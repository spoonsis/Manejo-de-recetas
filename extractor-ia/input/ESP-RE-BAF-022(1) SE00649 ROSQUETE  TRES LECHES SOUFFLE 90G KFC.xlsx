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A43D5384-34C8-47D7-AE31-766D5FB9C85E}" xr6:coauthVersionLast="47" xr6:coauthVersionMax="47" xr10:uidLastSave="{F042F2BA-CFF3-45BB-A198-DBD56DDAD6CB}"/>
  <bookViews>
    <workbookView xWindow="-120" yWindow="-120" windowWidth="29040" windowHeight="15840" tabRatio="717" xr2:uid="{93DF36B7-6ED9-40F2-93AD-A97D508EA7D8}"/>
  </bookViews>
  <sheets>
    <sheet name="Hoja1" sheetId="8" r:id="rId1"/>
    <sheet name="Costo Rosquete " sheetId="6" state="hidden" r:id="rId2"/>
    <sheet name="costo Mezclas leches Ron" sheetId="5" state="hidden" r:id="rId3"/>
    <sheet name="Costo ensamble " sheetId="7" state="hidden" r:id="rId4"/>
  </sheets>
  <externalReferences>
    <externalReference r:id="rId5"/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5" l="1"/>
  <c r="N13" i="5"/>
  <c r="D83" i="7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1" i="7"/>
  <c r="D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B37" i="7"/>
  <c r="A37" i="7"/>
  <c r="A46" i="7" s="1"/>
  <c r="C46" i="7" s="1"/>
  <c r="A36" i="7"/>
  <c r="A45" i="7" s="1"/>
  <c r="C45" i="7" s="1"/>
  <c r="A35" i="7"/>
  <c r="C35" i="7" s="1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D27" i="7"/>
  <c r="C27" i="7"/>
  <c r="B27" i="7"/>
  <c r="E24" i="7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F19" i="7"/>
  <c r="D19" i="7"/>
  <c r="C19" i="7"/>
  <c r="B19" i="7"/>
  <c r="C18" i="7"/>
  <c r="C17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D8" i="7"/>
  <c r="C8" i="7"/>
  <c r="B8" i="7"/>
  <c r="H6" i="7"/>
  <c r="D73" i="5"/>
  <c r="D74" i="5" s="1"/>
  <c r="D76" i="5" s="1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F49" i="5" s="1"/>
  <c r="D49" i="5"/>
  <c r="B49" i="5"/>
  <c r="A49" i="5"/>
  <c r="C49" i="5" s="1"/>
  <c r="E48" i="5"/>
  <c r="D48" i="5"/>
  <c r="B48" i="5"/>
  <c r="E47" i="5"/>
  <c r="D47" i="5"/>
  <c r="B47" i="5"/>
  <c r="A47" i="5"/>
  <c r="C47" i="5" s="1"/>
  <c r="E46" i="5"/>
  <c r="D46" i="5"/>
  <c r="B46" i="5"/>
  <c r="E45" i="5"/>
  <c r="D45" i="5"/>
  <c r="B45" i="5"/>
  <c r="E44" i="5"/>
  <c r="D44" i="5"/>
  <c r="B44" i="5"/>
  <c r="E41" i="5"/>
  <c r="D41" i="5"/>
  <c r="C41" i="5"/>
  <c r="B41" i="5"/>
  <c r="A41" i="5"/>
  <c r="A50" i="5" s="1"/>
  <c r="C50" i="5" s="1"/>
  <c r="E40" i="5"/>
  <c r="D40" i="5"/>
  <c r="B40" i="5"/>
  <c r="A40" i="5"/>
  <c r="C40" i="5" s="1"/>
  <c r="E39" i="5"/>
  <c r="D39" i="5"/>
  <c r="B39" i="5"/>
  <c r="A39" i="5"/>
  <c r="C39" i="5" s="1"/>
  <c r="E38" i="5"/>
  <c r="D38" i="5"/>
  <c r="B38" i="5"/>
  <c r="A38" i="5"/>
  <c r="C38" i="5" s="1"/>
  <c r="E37" i="5"/>
  <c r="D37" i="5"/>
  <c r="B37" i="5"/>
  <c r="A37" i="5"/>
  <c r="A46" i="5" s="1"/>
  <c r="C46" i="5" s="1"/>
  <c r="E36" i="5"/>
  <c r="D36" i="5"/>
  <c r="B36" i="5"/>
  <c r="A36" i="5"/>
  <c r="C36" i="5" s="1"/>
  <c r="E35" i="5"/>
  <c r="D35" i="5"/>
  <c r="B35" i="5"/>
  <c r="A35" i="5"/>
  <c r="C35" i="5" s="1"/>
  <c r="E32" i="5"/>
  <c r="D32" i="5"/>
  <c r="C32" i="5"/>
  <c r="B32" i="5"/>
  <c r="E31" i="5"/>
  <c r="D31" i="5"/>
  <c r="C31" i="5"/>
  <c r="B31" i="5"/>
  <c r="E30" i="5"/>
  <c r="F30" i="5" s="1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F17" i="5"/>
  <c r="D17" i="5"/>
  <c r="C17" i="5"/>
  <c r="B17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C8" i="5"/>
  <c r="F8" i="5" s="1"/>
  <c r="H6" i="5"/>
  <c r="D73" i="6"/>
  <c r="D74" i="6" s="1"/>
  <c r="D76" i="6" s="1"/>
  <c r="D71" i="6"/>
  <c r="D69" i="6"/>
  <c r="F65" i="6"/>
  <c r="C73" i="6" s="1"/>
  <c r="D60" i="6"/>
  <c r="D85" i="6" s="1"/>
  <c r="D86" i="6" s="1"/>
  <c r="C51" i="6"/>
  <c r="E50" i="6"/>
  <c r="D50" i="6"/>
  <c r="B50" i="6"/>
  <c r="E49" i="6"/>
  <c r="F49" i="6" s="1"/>
  <c r="D49" i="6"/>
  <c r="B49" i="6"/>
  <c r="A49" i="6"/>
  <c r="C49" i="6" s="1"/>
  <c r="E48" i="6"/>
  <c r="D48" i="6"/>
  <c r="B48" i="6"/>
  <c r="E47" i="6"/>
  <c r="D47" i="6"/>
  <c r="B47" i="6"/>
  <c r="E46" i="6"/>
  <c r="D46" i="6"/>
  <c r="B46" i="6"/>
  <c r="E45" i="6"/>
  <c r="D45" i="6"/>
  <c r="B45" i="6"/>
  <c r="A45" i="6"/>
  <c r="C45" i="6" s="1"/>
  <c r="E44" i="6"/>
  <c r="D44" i="6"/>
  <c r="B44" i="6"/>
  <c r="E41" i="6"/>
  <c r="D41" i="6"/>
  <c r="B41" i="6"/>
  <c r="A41" i="6"/>
  <c r="A50" i="6" s="1"/>
  <c r="C50" i="6" s="1"/>
  <c r="E40" i="6"/>
  <c r="D40" i="6"/>
  <c r="C40" i="6"/>
  <c r="B40" i="6"/>
  <c r="A40" i="6"/>
  <c r="E39" i="6"/>
  <c r="D39" i="6"/>
  <c r="B39" i="6"/>
  <c r="A39" i="6"/>
  <c r="C39" i="6" s="1"/>
  <c r="E38" i="6"/>
  <c r="D38" i="6"/>
  <c r="B38" i="6"/>
  <c r="A38" i="6"/>
  <c r="C38" i="6" s="1"/>
  <c r="E37" i="6"/>
  <c r="D37" i="6"/>
  <c r="B37" i="6"/>
  <c r="A37" i="6"/>
  <c r="A46" i="6" s="1"/>
  <c r="C46" i="6" s="1"/>
  <c r="E36" i="6"/>
  <c r="D36" i="6"/>
  <c r="C36" i="6"/>
  <c r="B36" i="6"/>
  <c r="A36" i="6"/>
  <c r="E35" i="6"/>
  <c r="D35" i="6"/>
  <c r="B35" i="6"/>
  <c r="A35" i="6"/>
  <c r="C35" i="6" s="1"/>
  <c r="E32" i="6"/>
  <c r="D32" i="6"/>
  <c r="C32" i="6"/>
  <c r="B32" i="6"/>
  <c r="E31" i="6"/>
  <c r="F31" i="6" s="1"/>
  <c r="D31" i="6"/>
  <c r="C31" i="6"/>
  <c r="B31" i="6"/>
  <c r="E30" i="6"/>
  <c r="D30" i="6"/>
  <c r="C30" i="6"/>
  <c r="B30" i="6"/>
  <c r="E29" i="6"/>
  <c r="F29" i="6" s="1"/>
  <c r="D29" i="6"/>
  <c r="C29" i="6"/>
  <c r="B29" i="6"/>
  <c r="C28" i="6"/>
  <c r="E27" i="6"/>
  <c r="F27" i="6" s="1"/>
  <c r="D27" i="6"/>
  <c r="C27" i="6"/>
  <c r="B27" i="6"/>
  <c r="E24" i="6"/>
  <c r="D24" i="6"/>
  <c r="C24" i="6"/>
  <c r="B24" i="6"/>
  <c r="E23" i="6"/>
  <c r="F23" i="6" s="1"/>
  <c r="D23" i="6"/>
  <c r="C23" i="6"/>
  <c r="B23" i="6"/>
  <c r="E22" i="6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F17" i="6"/>
  <c r="D17" i="6"/>
  <c r="C17" i="6"/>
  <c r="B17" i="6"/>
  <c r="B15" i="6"/>
  <c r="E14" i="6"/>
  <c r="D14" i="6"/>
  <c r="C14" i="6"/>
  <c r="B14" i="6"/>
  <c r="E13" i="6"/>
  <c r="D13" i="6"/>
  <c r="C13" i="6"/>
  <c r="B13" i="6"/>
  <c r="E12" i="6"/>
  <c r="F12" i="6" s="1"/>
  <c r="D12" i="6"/>
  <c r="C12" i="6"/>
  <c r="B12" i="6"/>
  <c r="E11" i="6"/>
  <c r="F11" i="6" s="1"/>
  <c r="D11" i="6"/>
  <c r="C11" i="6"/>
  <c r="B11" i="6"/>
  <c r="E10" i="6"/>
  <c r="F10" i="6" s="1"/>
  <c r="D10" i="6"/>
  <c r="C10" i="6"/>
  <c r="B10" i="6"/>
  <c r="E9" i="6"/>
  <c r="D9" i="6"/>
  <c r="C9" i="6"/>
  <c r="B9" i="6"/>
  <c r="E8" i="6"/>
  <c r="F8" i="6" s="1"/>
  <c r="D8" i="6"/>
  <c r="C8" i="6"/>
  <c r="B8" i="6"/>
  <c r="H6" i="6"/>
  <c r="F28" i="5" l="1"/>
  <c r="F46" i="6"/>
  <c r="F9" i="6"/>
  <c r="F36" i="5"/>
  <c r="F46" i="5"/>
  <c r="F38" i="5"/>
  <c r="F40" i="5"/>
  <c r="F50" i="5"/>
  <c r="F13" i="6"/>
  <c r="F36" i="6"/>
  <c r="F9" i="5"/>
  <c r="F10" i="5"/>
  <c r="F11" i="5"/>
  <c r="F12" i="5"/>
  <c r="F13" i="5"/>
  <c r="F14" i="5"/>
  <c r="F31" i="5"/>
  <c r="F32" i="5"/>
  <c r="F30" i="7"/>
  <c r="F31" i="7"/>
  <c r="F46" i="7"/>
  <c r="D81" i="7"/>
  <c r="F50" i="7"/>
  <c r="F40" i="7"/>
  <c r="F32" i="7"/>
  <c r="F29" i="7"/>
  <c r="F27" i="7"/>
  <c r="F28" i="7"/>
  <c r="F24" i="7"/>
  <c r="C41" i="7"/>
  <c r="F41" i="7" s="1"/>
  <c r="A49" i="7"/>
  <c r="C49" i="7" s="1"/>
  <c r="F49" i="7" s="1"/>
  <c r="F9" i="7"/>
  <c r="F10" i="7"/>
  <c r="F11" i="7"/>
  <c r="F12" i="7"/>
  <c r="F13" i="7"/>
  <c r="F14" i="7"/>
  <c r="F8" i="7"/>
  <c r="C37" i="7"/>
  <c r="F37" i="7" s="1"/>
  <c r="C36" i="7"/>
  <c r="D83" i="5"/>
  <c r="F47" i="5"/>
  <c r="F41" i="5"/>
  <c r="A45" i="5"/>
  <c r="C45" i="5" s="1"/>
  <c r="C37" i="5"/>
  <c r="F37" i="5" s="1"/>
  <c r="F35" i="5"/>
  <c r="E51" i="6"/>
  <c r="F51" i="6"/>
  <c r="F40" i="6"/>
  <c r="F38" i="6"/>
  <c r="F39" i="6"/>
  <c r="F30" i="6"/>
  <c r="F32" i="6"/>
  <c r="F22" i="6"/>
  <c r="C41" i="6"/>
  <c r="F41" i="6" s="1"/>
  <c r="F24" i="6"/>
  <c r="C37" i="6"/>
  <c r="F37" i="6" s="1"/>
  <c r="F45" i="6"/>
  <c r="F50" i="6"/>
  <c r="F14" i="6"/>
  <c r="F28" i="6"/>
  <c r="F38" i="7"/>
  <c r="F39" i="7"/>
  <c r="A44" i="7"/>
  <c r="C44" i="7" s="1"/>
  <c r="A48" i="7"/>
  <c r="C48" i="7" s="1"/>
  <c r="F48" i="7" s="1"/>
  <c r="A47" i="7"/>
  <c r="C47" i="7" s="1"/>
  <c r="F47" i="7" s="1"/>
  <c r="C73" i="7"/>
  <c r="F39" i="5"/>
  <c r="F45" i="5"/>
  <c r="A44" i="5"/>
  <c r="C44" i="5" s="1"/>
  <c r="F44" i="5" s="1"/>
  <c r="A48" i="5"/>
  <c r="C48" i="5" s="1"/>
  <c r="F48" i="5" s="1"/>
  <c r="D81" i="5"/>
  <c r="C73" i="5"/>
  <c r="F44" i="6"/>
  <c r="C85" i="6"/>
  <c r="E85" i="6" s="1"/>
  <c r="E73" i="6"/>
  <c r="F35" i="6"/>
  <c r="D83" i="6"/>
  <c r="A44" i="6"/>
  <c r="C44" i="6" s="1"/>
  <c r="A48" i="6"/>
  <c r="C48" i="6" s="1"/>
  <c r="F48" i="6" s="1"/>
  <c r="D81" i="6"/>
  <c r="A47" i="6"/>
  <c r="C47" i="6" s="1"/>
  <c r="F47" i="6" s="1"/>
  <c r="F53" i="5" l="1"/>
  <c r="F64" i="5" s="1"/>
  <c r="F53" i="6"/>
  <c r="F64" i="6" s="1"/>
  <c r="F54" i="5"/>
  <c r="H54" i="5" s="1"/>
  <c r="G2" i="5" s="1"/>
  <c r="C85" i="7"/>
  <c r="E85" i="7" s="1"/>
  <c r="E73" i="7"/>
  <c r="C85" i="5"/>
  <c r="E85" i="5" s="1"/>
  <c r="E73" i="5"/>
  <c r="F56" i="5"/>
  <c r="F56" i="6"/>
  <c r="F54" i="6"/>
  <c r="C69" i="6" l="1"/>
  <c r="H53" i="6"/>
  <c r="H53" i="5"/>
  <c r="F2" i="5" s="1"/>
  <c r="C69" i="5"/>
  <c r="C76" i="5"/>
  <c r="E76" i="5" s="1"/>
  <c r="E36" i="7" s="1"/>
  <c r="F36" i="7" s="1"/>
  <c r="F55" i="5"/>
  <c r="O54" i="5" s="1"/>
  <c r="F2" i="6"/>
  <c r="E17" i="7"/>
  <c r="F17" i="7" s="1"/>
  <c r="H56" i="5"/>
  <c r="C74" i="5"/>
  <c r="E69" i="5"/>
  <c r="E18" i="7" s="1"/>
  <c r="F18" i="7" s="1"/>
  <c r="C81" i="5"/>
  <c r="E81" i="5" s="1"/>
  <c r="H54" i="6"/>
  <c r="C76" i="6"/>
  <c r="E76" i="6" s="1"/>
  <c r="F55" i="6"/>
  <c r="E69" i="6"/>
  <c r="C81" i="6"/>
  <c r="E81" i="6" s="1"/>
  <c r="H56" i="6"/>
  <c r="E44" i="7" s="1"/>
  <c r="F44" i="7" s="1"/>
  <c r="C74" i="6"/>
  <c r="F63" i="5" l="1"/>
  <c r="H55" i="5"/>
  <c r="F53" i="7"/>
  <c r="G2" i="6"/>
  <c r="E35" i="7"/>
  <c r="F35" i="7" s="1"/>
  <c r="F54" i="7" s="1"/>
  <c r="E74" i="5"/>
  <c r="E45" i="7" s="1"/>
  <c r="F45" i="7" s="1"/>
  <c r="F56" i="7" s="1"/>
  <c r="C86" i="5"/>
  <c r="E86" i="5" s="1"/>
  <c r="O56" i="5"/>
  <c r="H2" i="5"/>
  <c r="H58" i="5"/>
  <c r="H59" i="5" s="1"/>
  <c r="O58" i="5" s="1"/>
  <c r="O55" i="5"/>
  <c r="C71" i="5"/>
  <c r="E63" i="5"/>
  <c r="F66" i="5"/>
  <c r="G63" i="5" s="1"/>
  <c r="H58" i="6"/>
  <c r="H59" i="6" s="1"/>
  <c r="O58" i="6" s="1"/>
  <c r="H2" i="6"/>
  <c r="O55" i="6"/>
  <c r="E74" i="6"/>
  <c r="E78" i="6" s="1"/>
  <c r="C86" i="6"/>
  <c r="E86" i="6" s="1"/>
  <c r="H55" i="6"/>
  <c r="F63" i="6"/>
  <c r="O54" i="6"/>
  <c r="E78" i="5" l="1"/>
  <c r="C74" i="7"/>
  <c r="H56" i="7"/>
  <c r="H53" i="7"/>
  <c r="F2" i="7" s="1"/>
  <c r="F64" i="7"/>
  <c r="C69" i="7"/>
  <c r="F55" i="7"/>
  <c r="O57" i="5"/>
  <c r="O59" i="5" s="1"/>
  <c r="O60" i="5" s="1"/>
  <c r="O61" i="5" s="1"/>
  <c r="O62" i="5" s="1"/>
  <c r="H54" i="7"/>
  <c r="G2" i="7" s="1"/>
  <c r="C76" i="7"/>
  <c r="E76" i="7" s="1"/>
  <c r="C83" i="5"/>
  <c r="E83" i="5" s="1"/>
  <c r="E71" i="5"/>
  <c r="G66" i="5"/>
  <c r="G9" i="5"/>
  <c r="G18" i="5"/>
  <c r="G19" i="5"/>
  <c r="G46" i="5"/>
  <c r="G47" i="5"/>
  <c r="G12" i="5"/>
  <c r="G31" i="5"/>
  <c r="G20" i="5"/>
  <c r="G40" i="5"/>
  <c r="G27" i="5"/>
  <c r="G22" i="5"/>
  <c r="G23" i="5"/>
  <c r="G37" i="5"/>
  <c r="G24" i="5"/>
  <c r="G8" i="5"/>
  <c r="G17" i="5"/>
  <c r="G32" i="5"/>
  <c r="G41" i="5"/>
  <c r="G38" i="5"/>
  <c r="G51" i="5"/>
  <c r="G11" i="5"/>
  <c r="G14" i="5"/>
  <c r="G28" i="5"/>
  <c r="G50" i="5"/>
  <c r="G13" i="5"/>
  <c r="G35" i="5"/>
  <c r="G29" i="5"/>
  <c r="G30" i="5"/>
  <c r="G49" i="5"/>
  <c r="G36" i="5"/>
  <c r="G10" i="5"/>
  <c r="G21" i="5"/>
  <c r="G65" i="5"/>
  <c r="G48" i="5"/>
  <c r="G45" i="5"/>
  <c r="G44" i="5"/>
  <c r="G39" i="5"/>
  <c r="G54" i="5"/>
  <c r="G53" i="5"/>
  <c r="G64" i="5"/>
  <c r="G56" i="5"/>
  <c r="G55" i="5"/>
  <c r="O56" i="6"/>
  <c r="O57" i="6" s="1"/>
  <c r="O59" i="6" s="1"/>
  <c r="C71" i="6"/>
  <c r="E63" i="6"/>
  <c r="F66" i="6"/>
  <c r="G63" i="6" s="1"/>
  <c r="H55" i="7" l="1"/>
  <c r="F63" i="7"/>
  <c r="O54" i="7"/>
  <c r="O55" i="7"/>
  <c r="H58" i="7"/>
  <c r="H59" i="7" s="1"/>
  <c r="O58" i="7" s="1"/>
  <c r="H2" i="7"/>
  <c r="E69" i="7"/>
  <c r="C81" i="7"/>
  <c r="E81" i="7" s="1"/>
  <c r="E74" i="7"/>
  <c r="C86" i="7"/>
  <c r="E86" i="7" s="1"/>
  <c r="P62" i="5"/>
  <c r="E2" i="5"/>
  <c r="C83" i="6"/>
  <c r="E83" i="6" s="1"/>
  <c r="E71" i="6"/>
  <c r="G66" i="6"/>
  <c r="G12" i="6"/>
  <c r="G45" i="6"/>
  <c r="G13" i="6"/>
  <c r="G41" i="6"/>
  <c r="G23" i="6"/>
  <c r="G18" i="6"/>
  <c r="G46" i="6"/>
  <c r="G10" i="6"/>
  <c r="G28" i="6"/>
  <c r="G27" i="6"/>
  <c r="G24" i="6"/>
  <c r="G36" i="6"/>
  <c r="G51" i="6"/>
  <c r="G17" i="6"/>
  <c r="G29" i="6"/>
  <c r="G39" i="6"/>
  <c r="G9" i="6"/>
  <c r="G22" i="6"/>
  <c r="G65" i="6"/>
  <c r="G30" i="6"/>
  <c r="G50" i="6"/>
  <c r="G19" i="6"/>
  <c r="G37" i="6"/>
  <c r="G11" i="6"/>
  <c r="G14" i="6"/>
  <c r="G31" i="6"/>
  <c r="G21" i="6"/>
  <c r="G40" i="6"/>
  <c r="G32" i="6"/>
  <c r="G49" i="6"/>
  <c r="G8" i="6"/>
  <c r="G20" i="6"/>
  <c r="G38" i="6"/>
  <c r="G47" i="6"/>
  <c r="G35" i="6"/>
  <c r="G44" i="6"/>
  <c r="G48" i="6"/>
  <c r="G53" i="6"/>
  <c r="G64" i="6"/>
  <c r="G56" i="6"/>
  <c r="G54" i="6"/>
  <c r="G55" i="6"/>
  <c r="O60" i="6"/>
  <c r="O61" i="6"/>
  <c r="O62" i="6" s="1"/>
  <c r="O56" i="7" l="1"/>
  <c r="O57" i="7" s="1"/>
  <c r="O59" i="7" s="1"/>
  <c r="O60" i="7" s="1"/>
  <c r="O61" i="7" s="1"/>
  <c r="O62" i="7" s="1"/>
  <c r="C71" i="7"/>
  <c r="E63" i="7"/>
  <c r="F66" i="7"/>
  <c r="E78" i="7"/>
  <c r="P62" i="6"/>
  <c r="E2" i="6"/>
  <c r="E2" i="7" l="1"/>
  <c r="P62" i="7"/>
  <c r="C83" i="7"/>
  <c r="E83" i="7" s="1"/>
  <c r="E71" i="7"/>
  <c r="G63" i="7"/>
  <c r="G66" i="7"/>
  <c r="G9" i="7"/>
  <c r="G65" i="7"/>
  <c r="G10" i="7"/>
  <c r="G27" i="7"/>
  <c r="G46" i="7"/>
  <c r="G11" i="7"/>
  <c r="G31" i="7"/>
  <c r="G47" i="7"/>
  <c r="G45" i="7"/>
  <c r="G56" i="7"/>
  <c r="G19" i="7"/>
  <c r="G8" i="7"/>
  <c r="G36" i="7"/>
  <c r="G38" i="7"/>
  <c r="G30" i="7"/>
  <c r="G37" i="7"/>
  <c r="G20" i="7"/>
  <c r="G18" i="7"/>
  <c r="G23" i="7"/>
  <c r="G51" i="7"/>
  <c r="G54" i="7"/>
  <c r="G21" i="7"/>
  <c r="G13" i="7"/>
  <c r="G22" i="7"/>
  <c r="G14" i="7"/>
  <c r="G41" i="7"/>
  <c r="G28" i="7"/>
  <c r="G17" i="7"/>
  <c r="G24" i="7"/>
  <c r="G39" i="7"/>
  <c r="G44" i="7"/>
  <c r="G64" i="7"/>
  <c r="G35" i="7"/>
  <c r="G40" i="7"/>
  <c r="G32" i="7"/>
  <c r="G50" i="7"/>
  <c r="G12" i="7"/>
  <c r="G48" i="7"/>
  <c r="G55" i="7"/>
  <c r="G49" i="7"/>
  <c r="G29" i="7"/>
  <c r="G53" i="7"/>
</calcChain>
</file>

<file path=xl/sharedStrings.xml><?xml version="1.0" encoding="utf-8"?>
<sst xmlns="http://schemas.openxmlformats.org/spreadsheetml/2006/main" count="362" uniqueCount="128">
  <si>
    <t>SERVICIOS DE PASTELERIA S.A.</t>
  </si>
  <si>
    <t>CÓDIGO:</t>
  </si>
  <si>
    <t>ESPECIFICACION DE RECETA</t>
  </si>
  <si>
    <t>REVISIÓN:</t>
  </si>
  <si>
    <t xml:space="preserve"> SE00649 ROSQUETE  TRES LECHES SOUFFLE 90G KFC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</si>
  <si>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</si>
  <si>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</si>
  <si>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</si>
  <si>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</si>
  <si>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</si>
  <si>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</si>
  <si>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</si>
  <si>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</si>
  <si>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</si>
  <si>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</si>
  <si>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</si>
  <si>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</si>
  <si>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SE00285</t>
  </si>
  <si>
    <t>BATIDO SOUFFLE (KILO)</t>
  </si>
  <si>
    <t>SPOON</t>
  </si>
  <si>
    <t>g</t>
  </si>
  <si>
    <t>EMPAQUE</t>
  </si>
  <si>
    <t>EM10011</t>
  </si>
  <si>
    <t>ETIQUETA BLANCA 2 5/8X1 15/16 (UND)</t>
  </si>
  <si>
    <t>ud</t>
  </si>
  <si>
    <t>MEZCLA P/ENGRASE MOLDES KILO</t>
  </si>
  <si>
    <t>EM10277</t>
  </si>
  <si>
    <t>BOLSA TRANSPARENTE 90X32.5 x 265 mm</t>
  </si>
  <si>
    <t>PESO TOTAL OBTENIDO</t>
  </si>
  <si>
    <t>TIEMPO TOTAL DE PREPARACION</t>
  </si>
  <si>
    <t>minutos</t>
  </si>
  <si>
    <t>Horno:</t>
  </si>
  <si>
    <t>CANTIDAD DE PORCIONES OBTENIDAS</t>
  </si>
  <si>
    <t>Und.</t>
  </si>
  <si>
    <t>PESO DE CADA PORCIÓN</t>
  </si>
  <si>
    <t>MERMA</t>
  </si>
  <si>
    <t>PROCEDIMIENTO DE PREPARACION DE LA  RECETA</t>
  </si>
  <si>
    <t>1-  Engrasar moldes individuales cuadrados pequeños.</t>
  </si>
  <si>
    <t>2- Pesar 90g en cada molde</t>
  </si>
  <si>
    <t>3- Hornear.</t>
  </si>
  <si>
    <t>4- Empacar 18 ud por lata, etiquetar, embolsar y etiquetar con vencimiento y lote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</si>
  <si>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</si>
  <si>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</si>
  <si>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</si>
  <si>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</si>
  <si>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</si>
  <si>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</si>
  <si>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</si>
  <si>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</si>
  <si>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</si>
  <si>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</si>
  <si>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</si>
  <si>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</si>
  <si>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</si>
  <si>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</si>
  <si>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902000018</t>
  </si>
  <si>
    <t>0702123</t>
  </si>
  <si>
    <t>Und</t>
  </si>
  <si>
    <t>401000007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</si>
  <si>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</si>
  <si>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</si>
  <si>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</si>
  <si>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</si>
  <si>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</si>
  <si>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</si>
  <si>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</si>
  <si>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</si>
  <si>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</si>
  <si>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</si>
  <si>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</si>
  <si>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</si>
  <si>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</si>
  <si>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</si>
  <si>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</si>
  <si>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</si>
  <si>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</si>
  <si>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</si>
  <si>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</si>
  <si>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</si>
  <si>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</si>
  <si>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</si>
  <si>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</si>
  <si>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</si>
  <si>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</si>
  <si>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</si>
  <si>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</si>
  <si>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</si>
  <si>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</si>
  <si>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</si>
  <si>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</si>
  <si>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</si>
  <si>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</si>
  <si>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</si>
  <si>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</si>
  <si>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</si>
  <si>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</si>
  <si>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SABORIZANTE RON ROYAL</t>
  </si>
  <si>
    <t>ML</t>
  </si>
  <si>
    <t>907000001</t>
  </si>
  <si>
    <t>10100122</t>
  </si>
  <si>
    <t xml:space="preserve"> ROSQUETE  TRES LECHES SOUFFLE 100G KFC</t>
  </si>
  <si>
    <t xml:space="preserve">UND </t>
  </si>
  <si>
    <t>Mezcla tres leches ron KFC</t>
  </si>
  <si>
    <t xml:space="preserve">Gramos </t>
  </si>
  <si>
    <t>95717</t>
  </si>
  <si>
    <t>1950909</t>
  </si>
  <si>
    <t>0702069</t>
  </si>
  <si>
    <t>0702007</t>
  </si>
  <si>
    <t>01</t>
  </si>
  <si>
    <t>Javier Tong, Chef</t>
  </si>
  <si>
    <t>Esteban Cartin, Gte Manufactura</t>
  </si>
  <si>
    <t>Batidos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</si>
  <si>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</si>
  <si>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</si>
  <si>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</si>
  <si>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</si>
  <si>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</si>
  <si>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</si>
  <si>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Empaque</t>
  </si>
  <si>
    <t>ETIPLAST</t>
  </si>
  <si>
    <t>FAS</t>
  </si>
  <si>
    <t>PLASTICOS P</t>
  </si>
  <si>
    <t/>
  </si>
  <si>
    <t>Tiempo de Horneo:</t>
  </si>
  <si>
    <t>Temperatura de Horneo:</t>
  </si>
  <si>
    <t>Otros</t>
  </si>
  <si>
    <t>CONTROL DE CAMBIOS</t>
  </si>
  <si>
    <t>ESP-RE-BAF-022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</si>
</sst>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49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5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91">
    <xf numFmtId="0" fontId="0" fillId="0" borderId="0" xfId="0"/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3" fillId="2" borderId="12" xfId="4" applyFont="1" applyFill="1" applyBorder="1" applyAlignment="1">
      <alignment horizontal="right"/>
    </xf>
    <xf numFmtId="0" fontId="3" fillId="2" borderId="10" xfId="4" applyFont="1" applyFill="1" applyBorder="1" applyAlignment="1">
      <alignment horizontal="right"/>
    </xf>
    <xf numFmtId="49" fontId="1" fillId="2" borderId="9" xfId="4" applyNumberFormat="1" applyFont="1" applyFill="1" applyBorder="1" applyAlignment="1">
      <alignment horizontal="center"/>
    </xf>
    <xf numFmtId="0" fontId="1" fillId="2" borderId="7" xfId="4" applyFont="1" applyFill="1" applyBorder="1" applyAlignment="1">
      <alignment horizontal="right"/>
    </xf>
    <xf numFmtId="0" fontId="1" fillId="2" borderId="10" xfId="4" applyFont="1" applyFill="1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9" fillId="0" borderId="10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0" fillId="4" borderId="0" xfId="0" applyFont="1" applyFill="1" applyAlignment="1">
      <alignment vertical="center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1" fillId="0" borderId="10" xfId="5" applyFont="1" applyFill="1" applyBorder="1" applyAlignment="1">
      <alignment horizontal="center" vertical="center"/>
    </xf>
    <xf numFmtId="43" fontId="11" fillId="0" borderId="0" xfId="5" applyFont="1" applyFill="1" applyBorder="1" applyAlignment="1">
      <alignment horizontal="center" vertical="center"/>
    </xf>
    <xf numFmtId="43" fontId="13" fillId="0" borderId="0" xfId="5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6" fontId="16" fillId="0" borderId="0" xfId="0" applyNumberFormat="1" applyFont="1" applyAlignment="1">
      <alignment horizontal="center" vertical="center" wrapText="1"/>
    </xf>
    <xf numFmtId="0" fontId="11" fillId="7" borderId="44" xfId="0" applyFont="1" applyFill="1" applyBorder="1" applyAlignment="1">
      <alignment horizontal="center" vertical="center"/>
    </xf>
    <xf numFmtId="0" fontId="11" fillId="7" borderId="45" xfId="0" applyFont="1" applyFill="1" applyBorder="1" applyAlignment="1">
      <alignment horizontal="center" vertical="center"/>
    </xf>
    <xf numFmtId="0" fontId="11" fillId="7" borderId="45" xfId="0" applyFont="1" applyFill="1" applyBorder="1" applyAlignment="1">
      <alignment horizontal="center" vertical="center" wrapText="1"/>
    </xf>
    <xf numFmtId="0" fontId="11" fillId="7" borderId="4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" fontId="17" fillId="0" borderId="0" xfId="6" applyNumberFormat="1" applyFont="1" applyFill="1" applyAlignment="1">
      <alignment horizontal="center" vertical="center"/>
    </xf>
    <xf numFmtId="4" fontId="11" fillId="0" borderId="0" xfId="6" applyNumberFormat="1" applyFont="1" applyFill="1" applyAlignment="1">
      <alignment horizontal="center" vertical="center"/>
    </xf>
    <xf numFmtId="10" fontId="11" fillId="0" borderId="0" xfId="7" applyNumberFormat="1" applyFont="1" applyFill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0" fontId="12" fillId="0" borderId="0" xfId="7" applyNumberFormat="1" applyFont="1" applyFill="1" applyAlignment="1">
      <alignment vertical="center"/>
    </xf>
    <xf numFmtId="0" fontId="10" fillId="0" borderId="0" xfId="0" applyFont="1"/>
    <xf numFmtId="49" fontId="11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5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" fontId="11" fillId="0" borderId="0" xfId="5" applyNumberFormat="1" applyFont="1" applyFill="1" applyAlignment="1">
      <alignment vertical="center"/>
    </xf>
    <xf numFmtId="43" fontId="19" fillId="0" borderId="0" xfId="5" applyFont="1" applyFill="1" applyAlignment="1">
      <alignment horizontal="center" vertical="center"/>
    </xf>
    <xf numFmtId="10" fontId="12" fillId="7" borderId="34" xfId="7" applyNumberFormat="1" applyFont="1" applyFill="1" applyBorder="1" applyAlignment="1">
      <alignment vertical="center"/>
    </xf>
    <xf numFmtId="0" fontId="10" fillId="7" borderId="36" xfId="0" applyFont="1" applyFill="1" applyBorder="1" applyAlignment="1">
      <alignment vertical="center"/>
    </xf>
    <xf numFmtId="0" fontId="10" fillId="7" borderId="34" xfId="0" applyFont="1" applyFill="1" applyBorder="1" applyAlignment="1">
      <alignment vertical="center"/>
    </xf>
    <xf numFmtId="43" fontId="19" fillId="7" borderId="47" xfId="5" applyFont="1" applyFill="1" applyBorder="1" applyAlignment="1">
      <alignment horizontal="center" vertical="center"/>
    </xf>
    <xf numFmtId="43" fontId="21" fillId="0" borderId="0" xfId="5" applyFont="1" applyFill="1" applyBorder="1" applyAlignment="1">
      <alignment horizontal="right"/>
    </xf>
    <xf numFmtId="0" fontId="10" fillId="7" borderId="47" xfId="0" applyFont="1" applyFill="1" applyBorder="1" applyAlignment="1">
      <alignment vertical="center"/>
    </xf>
    <xf numFmtId="10" fontId="12" fillId="7" borderId="47" xfId="7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22" fillId="0" borderId="0" xfId="7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5" applyNumberFormat="1" applyFont="1" applyFill="1" applyAlignment="1">
      <alignment vertical="center"/>
    </xf>
    <xf numFmtId="4" fontId="19" fillId="0" borderId="0" xfId="6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4" xfId="0" applyFont="1" applyBorder="1" applyAlignment="1">
      <alignment horizontal="right"/>
    </xf>
    <xf numFmtId="43" fontId="25" fillId="5" borderId="48" xfId="5" applyFont="1" applyFill="1" applyBorder="1" applyAlignment="1">
      <alignment horizontal="right"/>
    </xf>
    <xf numFmtId="43" fontId="25" fillId="0" borderId="0" xfId="5" applyFont="1" applyFill="1" applyBorder="1" applyAlignment="1">
      <alignment horizontal="right"/>
    </xf>
    <xf numFmtId="43" fontId="11" fillId="0" borderId="10" xfId="5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6" applyNumberFormat="1" applyFont="1" applyFill="1" applyAlignment="1">
      <alignment horizontal="center" vertical="center"/>
    </xf>
    <xf numFmtId="10" fontId="27" fillId="0" borderId="0" xfId="7" applyNumberFormat="1" applyFont="1" applyFill="1" applyAlignment="1">
      <alignment horizontal="right"/>
    </xf>
    <xf numFmtId="168" fontId="11" fillId="7" borderId="10" xfId="5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1" fillId="8" borderId="10" xfId="5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7" borderId="49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5" applyNumberFormat="1" applyFont="1" applyFill="1" applyBorder="1" applyAlignment="1">
      <alignment horizontal="center"/>
    </xf>
    <xf numFmtId="2" fontId="24" fillId="0" borderId="0" xfId="5" applyNumberFormat="1" applyFont="1" applyFill="1" applyBorder="1" applyAlignment="1">
      <alignment horizontal="center"/>
    </xf>
    <xf numFmtId="0" fontId="10" fillId="7" borderId="49" xfId="0" applyFont="1" applyFill="1" applyBorder="1" applyAlignment="1">
      <alignment vertical="center"/>
    </xf>
    <xf numFmtId="10" fontId="10" fillId="0" borderId="0" xfId="7" applyNumberFormat="1" applyFont="1" applyFill="1" applyAlignment="1">
      <alignment vertical="center"/>
    </xf>
    <xf numFmtId="4" fontId="10" fillId="0" borderId="0" xfId="5" applyNumberFormat="1" applyFont="1" applyFill="1" applyAlignment="1">
      <alignment vertical="center"/>
    </xf>
    <xf numFmtId="43" fontId="25" fillId="7" borderId="36" xfId="5" applyFont="1" applyFill="1" applyBorder="1" applyAlignment="1">
      <alignment horizontal="right"/>
    </xf>
    <xf numFmtId="0" fontId="11" fillId="7" borderId="37" xfId="0" applyFont="1" applyFill="1" applyBorder="1" applyAlignment="1">
      <alignment horizontal="right" vertical="center"/>
    </xf>
    <xf numFmtId="10" fontId="31" fillId="0" borderId="0" xfId="5" applyNumberFormat="1" applyFont="1" applyFill="1" applyAlignment="1">
      <alignment vertical="center"/>
    </xf>
    <xf numFmtId="10" fontId="12" fillId="0" borderId="0" xfId="7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43" fontId="33" fillId="0" borderId="0" xfId="5" applyFont="1" applyFill="1" applyAlignment="1">
      <alignment vertical="center"/>
    </xf>
    <xf numFmtId="4" fontId="34" fillId="0" borderId="0" xfId="6" applyNumberFormat="1" applyFont="1" applyFill="1" applyAlignment="1">
      <alignment horizontal="center" vertical="center" wrapText="1"/>
    </xf>
    <xf numFmtId="9" fontId="10" fillId="0" borderId="0" xfId="5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5" applyNumberFormat="1" applyFont="1" applyFill="1" applyAlignment="1">
      <alignment vertical="center"/>
    </xf>
    <xf numFmtId="4" fontId="11" fillId="10" borderId="48" xfId="5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43" fontId="35" fillId="0" borderId="0" xfId="5" applyFont="1" applyFill="1" applyAlignment="1">
      <alignment vertical="center"/>
    </xf>
    <xf numFmtId="9" fontId="35" fillId="0" borderId="0" xfId="5" applyNumberFormat="1" applyFont="1" applyFill="1" applyAlignment="1">
      <alignment vertical="center"/>
    </xf>
    <xf numFmtId="4" fontId="11" fillId="0" borderId="0" xfId="5" applyNumberFormat="1" applyFont="1" applyFill="1" applyAlignment="1">
      <alignment horizontal="center" vertical="center"/>
    </xf>
    <xf numFmtId="10" fontId="28" fillId="0" borderId="0" xfId="7" applyNumberFormat="1" applyFont="1" applyFill="1" applyAlignment="1">
      <alignment vertical="center"/>
    </xf>
    <xf numFmtId="43" fontId="28" fillId="0" borderId="0" xfId="5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5" applyFont="1" applyFill="1" applyBorder="1"/>
    <xf numFmtId="10" fontId="28" fillId="0" borderId="0" xfId="7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0" fillId="0" borderId="0" xfId="5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2" fillId="2" borderId="11" xfId="4" applyFont="1" applyFill="1" applyBorder="1" applyAlignment="1">
      <alignment horizontal="center"/>
    </xf>
    <xf numFmtId="14" fontId="40" fillId="2" borderId="0" xfId="4" applyNumberFormat="1" applyFont="1" applyFill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1" fontId="3" fillId="3" borderId="1" xfId="3" applyNumberFormat="1" applyFont="1" applyFill="1" applyBorder="1" applyAlignment="1">
      <alignment horizontal="center"/>
    </xf>
    <xf numFmtId="1" fontId="3" fillId="3" borderId="1" xfId="3" applyNumberFormat="1" applyFont="1" applyFill="1" applyBorder="1" applyAlignment="1">
      <alignment horizontal="center" wrapText="1"/>
    </xf>
    <xf numFmtId="0" fontId="3" fillId="3" borderId="50" xfId="3" applyFont="1" applyFill="1" applyBorder="1" applyAlignment="1">
      <alignment horizontal="center"/>
    </xf>
    <xf numFmtId="0" fontId="41" fillId="0" borderId="51" xfId="3" applyFont="1" applyBorder="1" applyAlignment="1">
      <alignment horizontal="center" vertical="center"/>
    </xf>
    <xf numFmtId="0" fontId="41" fillId="0" borderId="18" xfId="3" applyFont="1" applyBorder="1" applyAlignment="1">
      <alignment horizontal="center" vertical="center"/>
    </xf>
    <xf numFmtId="0" fontId="42" fillId="0" borderId="10" xfId="3" applyFont="1" applyBorder="1" applyAlignment="1">
      <alignment vertical="center"/>
    </xf>
    <xf numFmtId="0" fontId="41" fillId="0" borderId="10" xfId="3" applyFont="1" applyBorder="1" applyAlignment="1">
      <alignment horizontal="center" vertical="center"/>
    </xf>
    <xf numFmtId="1" fontId="41" fillId="0" borderId="10" xfId="3" applyNumberFormat="1" applyFont="1" applyBorder="1" applyAlignment="1">
      <alignment horizontal="center"/>
    </xf>
    <xf numFmtId="1" fontId="41" fillId="0" borderId="10" xfId="3" applyNumberFormat="1" applyFont="1" applyBorder="1" applyAlignment="1">
      <alignment horizontal="center" wrapText="1"/>
    </xf>
    <xf numFmtId="0" fontId="9" fillId="0" borderId="9" xfId="3" applyFont="1" applyBorder="1" applyAlignment="1">
      <alignment horizontal="center"/>
    </xf>
    <xf numFmtId="1" fontId="0" fillId="0" borderId="10" xfId="0" applyNumberFormat="1" applyBorder="1"/>
    <xf numFmtId="0" fontId="1" fillId="0" borderId="10" xfId="0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12" fontId="1" fillId="0" borderId="7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43" fillId="0" borderId="10" xfId="0" applyFont="1" applyBorder="1" applyAlignment="1">
      <alignment horizontal="center"/>
    </xf>
    <xf numFmtId="49" fontId="9" fillId="0" borderId="51" xfId="3" applyNumberFormat="1" applyFont="1" applyBorder="1" applyAlignment="1">
      <alignment horizontal="center"/>
    </xf>
    <xf numFmtId="49" fontId="9" fillId="0" borderId="18" xfId="3" applyNumberFormat="1" applyFont="1" applyBorder="1" applyAlignment="1">
      <alignment horizontal="center"/>
    </xf>
    <xf numFmtId="0" fontId="44" fillId="4" borderId="10" xfId="3" applyFont="1" applyFill="1" applyBorder="1" applyAlignment="1">
      <alignment horizontal="left"/>
    </xf>
    <xf numFmtId="0" fontId="1" fillId="4" borderId="10" xfId="3" applyFont="1" applyFill="1" applyBorder="1" applyAlignment="1">
      <alignment horizontal="center"/>
    </xf>
    <xf numFmtId="1" fontId="0" fillId="0" borderId="18" xfId="0" applyNumberFormat="1" applyBorder="1"/>
    <xf numFmtId="0" fontId="9" fillId="0" borderId="10" xfId="3" applyFont="1" applyBorder="1" applyAlignment="1">
      <alignment horizontal="center"/>
    </xf>
    <xf numFmtId="169" fontId="9" fillId="0" borderId="10" xfId="3" applyNumberFormat="1" applyFont="1" applyBorder="1" applyAlignment="1">
      <alignment horizontal="center"/>
    </xf>
    <xf numFmtId="1" fontId="9" fillId="0" borderId="10" xfId="3" applyNumberFormat="1" applyFont="1" applyBorder="1" applyAlignment="1">
      <alignment horizontal="center" wrapText="1"/>
    </xf>
    <xf numFmtId="0" fontId="45" fillId="4" borderId="51" xfId="0" applyFont="1" applyFill="1" applyBorder="1" applyAlignment="1">
      <alignment horizontal="center"/>
    </xf>
    <xf numFmtId="0" fontId="45" fillId="4" borderId="29" xfId="0" applyFont="1" applyFill="1" applyBorder="1" applyAlignment="1">
      <alignment horizontal="center"/>
    </xf>
    <xf numFmtId="0" fontId="45" fillId="4" borderId="7" xfId="0" applyFont="1" applyFill="1" applyBorder="1"/>
    <xf numFmtId="0" fontId="1" fillId="4" borderId="18" xfId="0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 wrapText="1"/>
    </xf>
    <xf numFmtId="16" fontId="1" fillId="0" borderId="10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 wrapText="1"/>
    </xf>
    <xf numFmtId="49" fontId="41" fillId="0" borderId="5" xfId="3" applyNumberFormat="1" applyFont="1" applyBorder="1" applyAlignment="1">
      <alignment horizontal="center"/>
    </xf>
    <xf numFmtId="49" fontId="41" fillId="0" borderId="4" xfId="3" applyNumberFormat="1" applyFont="1" applyBorder="1" applyAlignment="1">
      <alignment horizontal="center"/>
    </xf>
    <xf numFmtId="0" fontId="46" fillId="4" borderId="10" xfId="3" applyFont="1" applyFill="1" applyBorder="1" applyAlignment="1">
      <alignment vertical="center"/>
    </xf>
    <xf numFmtId="0" fontId="41" fillId="0" borderId="18" xfId="3" applyFont="1" applyBorder="1" applyAlignment="1">
      <alignment horizontal="center"/>
    </xf>
    <xf numFmtId="169" fontId="41" fillId="0" borderId="10" xfId="3" applyNumberFormat="1" applyFont="1" applyBorder="1" applyAlignment="1">
      <alignment horizontal="center"/>
    </xf>
    <xf numFmtId="49" fontId="9" fillId="0" borderId="51" xfId="0" applyNumberFormat="1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49" fontId="11" fillId="0" borderId="10" xfId="0" applyNumberFormat="1" applyFont="1" applyBorder="1"/>
    <xf numFmtId="1" fontId="9" fillId="0" borderId="10" xfId="0" applyNumberFormat="1" applyFont="1" applyBorder="1" applyAlignment="1">
      <alignment horizontal="center" wrapText="1"/>
    </xf>
    <xf numFmtId="170" fontId="3" fillId="4" borderId="10" xfId="5" applyNumberFormat="1" applyFont="1" applyFill="1" applyBorder="1" applyAlignment="1">
      <alignment horizontal="center"/>
    </xf>
    <xf numFmtId="0" fontId="47" fillId="0" borderId="51" xfId="0" applyFont="1" applyBorder="1" applyAlignment="1">
      <alignment horizontal="center"/>
    </xf>
    <xf numFmtId="0" fontId="47" fillId="0" borderId="18" xfId="0" applyFont="1" applyBorder="1" applyAlignment="1">
      <alignment horizontal="center"/>
    </xf>
    <xf numFmtId="0" fontId="35" fillId="0" borderId="10" xfId="0" applyFont="1" applyBorder="1"/>
    <xf numFmtId="12" fontId="9" fillId="0" borderId="10" xfId="3" applyNumberFormat="1" applyFont="1" applyBorder="1" applyAlignment="1">
      <alignment horizontal="center"/>
    </xf>
    <xf numFmtId="1" fontId="9" fillId="0" borderId="10" xfId="3" applyNumberFormat="1" applyFont="1" applyBorder="1" applyAlignment="1">
      <alignment horizontal="center"/>
    </xf>
    <xf numFmtId="0" fontId="1" fillId="0" borderId="10" xfId="0" quotePrefix="1" applyFont="1" applyBorder="1" applyAlignment="1">
      <alignment horizontal="center"/>
    </xf>
    <xf numFmtId="0" fontId="1" fillId="0" borderId="10" xfId="0" quotePrefix="1" applyFont="1" applyBorder="1"/>
    <xf numFmtId="49" fontId="4" fillId="2" borderId="15" xfId="3" applyNumberFormat="1" applyFont="1" applyFill="1" applyBorder="1" applyAlignment="1">
      <alignment horizontal="center" vertical="center"/>
    </xf>
    <xf numFmtId="49" fontId="4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14" xfId="3" applyFont="1" applyFill="1" applyBorder="1" applyAlignment="1">
      <alignment horizontal="center"/>
    </xf>
    <xf numFmtId="0" fontId="1" fillId="3" borderId="35" xfId="3" applyFont="1" applyFill="1" applyBorder="1" applyAlignment="1">
      <alignment horizontal="center"/>
    </xf>
    <xf numFmtId="0" fontId="1" fillId="3" borderId="36" xfId="3" applyFont="1" applyFill="1" applyBorder="1" applyAlignment="1">
      <alignment horizontal="center"/>
    </xf>
    <xf numFmtId="0" fontId="1" fillId="3" borderId="36" xfId="3" applyFont="1" applyFill="1" applyBorder="1"/>
    <xf numFmtId="0" fontId="3" fillId="3" borderId="36" xfId="3" applyFont="1" applyFill="1" applyBorder="1" applyAlignment="1">
      <alignment horizontal="center"/>
    </xf>
    <xf numFmtId="1" fontId="3" fillId="3" borderId="36" xfId="3" applyNumberFormat="1" applyFont="1" applyFill="1" applyBorder="1" applyAlignment="1">
      <alignment horizontal="center"/>
    </xf>
    <xf numFmtId="164" fontId="1" fillId="3" borderId="36" xfId="3" applyNumberFormat="1" applyFont="1" applyFill="1" applyBorder="1" applyAlignment="1">
      <alignment horizontal="center" wrapText="1"/>
    </xf>
    <xf numFmtId="0" fontId="1" fillId="3" borderId="37" xfId="3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2" borderId="22" xfId="4" applyNumberFormat="1" applyFont="1" applyFill="1" applyBorder="1" applyAlignment="1">
      <alignment horizontal="center" vertical="center" wrapText="1"/>
    </xf>
    <xf numFmtId="14" fontId="1" fillId="2" borderId="25" xfId="4" applyNumberFormat="1" applyFont="1" applyFill="1" applyBorder="1" applyAlignment="1">
      <alignment horizontal="center" vertical="center" wrapText="1"/>
    </xf>
    <xf numFmtId="14" fontId="1" fillId="2" borderId="6" xfId="4" applyNumberFormat="1" applyFont="1" applyFill="1" applyBorder="1" applyAlignment="1">
      <alignment horizontal="center" vertical="center" wrapText="1"/>
    </xf>
    <xf numFmtId="0" fontId="1" fillId="2" borderId="19" xfId="4" applyFont="1" applyFill="1" applyBorder="1" applyAlignment="1">
      <alignment horizontal="left"/>
    </xf>
    <xf numFmtId="0" fontId="1" fillId="2" borderId="28" xfId="4" applyFont="1" applyFill="1" applyBorder="1" applyAlignment="1">
      <alignment horizontal="left"/>
    </xf>
    <xf numFmtId="0" fontId="1" fillId="2" borderId="20" xfId="4" applyFont="1" applyFill="1" applyBorder="1" applyAlignment="1">
      <alignment horizontal="left"/>
    </xf>
    <xf numFmtId="0" fontId="1" fillId="2" borderId="17" xfId="4" applyFont="1" applyFill="1" applyBorder="1" applyAlignment="1">
      <alignment horizontal="left"/>
    </xf>
    <xf numFmtId="0" fontId="1" fillId="2" borderId="4" xfId="4" applyFont="1" applyFill="1" applyBorder="1" applyAlignment="1">
      <alignment horizontal="left"/>
    </xf>
    <xf numFmtId="0" fontId="1" fillId="2" borderId="18" xfId="4" applyFont="1" applyFill="1" applyBorder="1" applyAlignment="1">
      <alignment horizontal="left"/>
    </xf>
    <xf numFmtId="0" fontId="1" fillId="2" borderId="30" xfId="4" applyFont="1" applyFill="1" applyBorder="1" applyAlignment="1">
      <alignment horizontal="center"/>
    </xf>
    <xf numFmtId="0" fontId="1" fillId="2" borderId="32" xfId="4" applyFont="1" applyFill="1" applyBorder="1" applyAlignment="1">
      <alignment horizontal="center"/>
    </xf>
    <xf numFmtId="0" fontId="1" fillId="2" borderId="15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39" xfId="4" applyFont="1" applyFill="1" applyBorder="1" applyAlignment="1">
      <alignment horizontal="center"/>
    </xf>
    <xf numFmtId="0" fontId="1" fillId="2" borderId="40" xfId="4" applyFont="1" applyFill="1" applyBorder="1" applyAlignment="1">
      <alignment horizontal="center"/>
    </xf>
    <xf numFmtId="0" fontId="7" fillId="2" borderId="12" xfId="4" applyFont="1" applyFill="1" applyBorder="1" applyAlignment="1">
      <alignment horizontal="center"/>
    </xf>
    <xf numFmtId="0" fontId="7" fillId="2" borderId="16" xfId="4" applyFont="1" applyFill="1" applyBorder="1" applyAlignment="1">
      <alignment horizontal="center"/>
    </xf>
    <xf numFmtId="0" fontId="7" fillId="2" borderId="38" xfId="4" applyFont="1" applyFill="1" applyBorder="1" applyAlignment="1">
      <alignment horizontal="center"/>
    </xf>
    <xf numFmtId="0" fontId="7" fillId="2" borderId="31" xfId="4" applyFont="1" applyFill="1" applyBorder="1" applyAlignment="1">
      <alignment horizontal="center"/>
    </xf>
    <xf numFmtId="0" fontId="6" fillId="5" borderId="35" xfId="4" applyFont="1" applyFill="1" applyBorder="1" applyAlignment="1">
      <alignment horizontal="center" vertical="center" wrapText="1"/>
    </xf>
    <xf numFmtId="0" fontId="6" fillId="5" borderId="36" xfId="4" applyFont="1" applyFill="1" applyBorder="1" applyAlignment="1">
      <alignment horizontal="center" vertical="center" wrapText="1"/>
    </xf>
    <xf numFmtId="0" fontId="6" fillId="5" borderId="37" xfId="4" applyFont="1" applyFill="1" applyBorder="1" applyAlignment="1">
      <alignment horizontal="center" vertical="center" wrapText="1"/>
    </xf>
    <xf numFmtId="0" fontId="3" fillId="2" borderId="27" xfId="4" applyFont="1" applyFill="1" applyBorder="1" applyAlignment="1">
      <alignment horizontal="right" vertical="top" wrapText="1"/>
    </xf>
    <xf numFmtId="0" fontId="3" fillId="2" borderId="26" xfId="4" applyFont="1" applyFill="1" applyBorder="1" applyAlignment="1">
      <alignment horizontal="right" vertical="top" wrapText="1"/>
    </xf>
    <xf numFmtId="0" fontId="3" fillId="2" borderId="24" xfId="4" applyFont="1" applyFill="1" applyBorder="1" applyAlignment="1">
      <alignment horizontal="right" vertical="top" wrapText="1"/>
    </xf>
    <xf numFmtId="0" fontId="39" fillId="2" borderId="0" xfId="4" applyFont="1" applyFill="1" applyAlignment="1">
      <alignment horizontal="right"/>
    </xf>
    <xf numFmtId="0" fontId="40" fillId="2" borderId="21" xfId="4" applyFont="1" applyFill="1" applyBorder="1" applyAlignment="1">
      <alignment horizontal="center"/>
    </xf>
    <xf numFmtId="0" fontId="39" fillId="2" borderId="0" xfId="4" applyFont="1" applyFill="1"/>
    <xf numFmtId="0" fontId="3" fillId="3" borderId="13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 wrapText="1"/>
    </xf>
    <xf numFmtId="0" fontId="3" fillId="3" borderId="12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39" xfId="3" applyFont="1" applyBorder="1" applyAlignment="1">
      <alignment horizontal="right"/>
    </xf>
    <xf numFmtId="0" fontId="3" fillId="0" borderId="40" xfId="3" applyFont="1" applyBorder="1" applyAlignment="1">
      <alignment horizontal="right"/>
    </xf>
    <xf numFmtId="0" fontId="3" fillId="0" borderId="29" xfId="3" applyFont="1" applyBorder="1" applyAlignment="1">
      <alignment horizontal="right"/>
    </xf>
    <xf numFmtId="164" fontId="1" fillId="0" borderId="7" xfId="3" applyNumberFormat="1" applyFont="1" applyBorder="1" applyAlignment="1">
      <alignment horizontal="right"/>
    </xf>
    <xf numFmtId="0" fontId="1" fillId="2" borderId="33" xfId="3" applyFont="1" applyFill="1" applyBorder="1" applyAlignment="1">
      <alignment horizontal="center"/>
    </xf>
    <xf numFmtId="0" fontId="1" fillId="2" borderId="52" xfId="3" applyFont="1" applyFill="1" applyBorder="1" applyAlignment="1">
      <alignment horizontal="center"/>
    </xf>
    <xf numFmtId="0" fontId="3" fillId="0" borderId="5" xfId="3" applyFont="1" applyBorder="1" applyAlignment="1">
      <alignment horizontal="right"/>
    </xf>
    <xf numFmtId="0" fontId="3" fillId="0" borderId="4" xfId="3" applyFont="1" applyBorder="1" applyAlignment="1">
      <alignment horizontal="right"/>
    </xf>
    <xf numFmtId="0" fontId="3" fillId="0" borderId="18" xfId="3" applyFont="1" applyBorder="1" applyAlignment="1">
      <alignment horizontal="right"/>
    </xf>
    <xf numFmtId="0" fontId="1" fillId="0" borderId="10" xfId="3" applyFont="1" applyBorder="1" applyAlignment="1">
      <alignment horizontal="right"/>
    </xf>
    <xf numFmtId="164" fontId="1" fillId="0" borderId="17" xfId="3" applyNumberFormat="1" applyFont="1" applyBorder="1" applyAlignment="1">
      <alignment horizontal="center"/>
    </xf>
    <xf numFmtId="164" fontId="1" fillId="0" borderId="3" xfId="3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64" fontId="1" fillId="0" borderId="17" xfId="3" applyNumberFormat="1" applyFont="1" applyBorder="1" applyAlignment="1">
      <alignment horizontal="right" wrapText="1"/>
    </xf>
    <xf numFmtId="164" fontId="1" fillId="0" borderId="18" xfId="3" applyNumberFormat="1" applyFont="1" applyBorder="1" applyAlignment="1">
      <alignment horizontal="right" wrapText="1"/>
    </xf>
    <xf numFmtId="164" fontId="1" fillId="0" borderId="17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3" fillId="0" borderId="2" xfId="3" applyFont="1" applyBorder="1" applyAlignment="1">
      <alignment horizontal="right"/>
    </xf>
    <xf numFmtId="0" fontId="3" fillId="0" borderId="31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0" fontId="1" fillId="0" borderId="1" xfId="3" applyFont="1" applyBorder="1" applyAlignment="1">
      <alignment horizontal="right"/>
    </xf>
    <xf numFmtId="0" fontId="3" fillId="3" borderId="35" xfId="3" applyFont="1" applyFill="1" applyBorder="1" applyAlignment="1">
      <alignment horizontal="left"/>
    </xf>
    <xf numFmtId="0" fontId="3" fillId="3" borderId="36" xfId="3" applyFont="1" applyFill="1" applyBorder="1" applyAlignment="1">
      <alignment horizontal="left"/>
    </xf>
    <xf numFmtId="0" fontId="3" fillId="3" borderId="37" xfId="3" applyFont="1" applyFill="1" applyBorder="1" applyAlignment="1">
      <alignment horizontal="left"/>
    </xf>
    <xf numFmtId="0" fontId="1" fillId="0" borderId="17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3" fillId="11" borderId="53" xfId="4" applyFont="1" applyFill="1" applyBorder="1" applyAlignment="1">
      <alignment horizontal="center"/>
    </xf>
    <xf numFmtId="0" fontId="3" fillId="11" borderId="32" xfId="4" applyFont="1" applyFill="1" applyBorder="1" applyAlignment="1">
      <alignment horizontal="center"/>
    </xf>
    <xf numFmtId="0" fontId="1" fillId="2" borderId="54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8" fillId="0" borderId="39" xfId="3" applyFont="1" applyBorder="1" applyAlignment="1">
      <alignment horizontal="left" wrapText="1"/>
    </xf>
    <xf numFmtId="0" fontId="48" fillId="0" borderId="40" xfId="3" applyFont="1" applyBorder="1" applyAlignment="1">
      <alignment horizontal="left" wrapText="1"/>
    </xf>
    <xf numFmtId="0" fontId="48" fillId="0" borderId="52" xfId="3" applyFont="1" applyBorder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right" vertical="center" wrapText="1"/>
    </xf>
    <xf numFmtId="0" fontId="28" fillId="0" borderId="10" xfId="0" applyFont="1" applyBorder="1" applyAlignment="1">
      <alignment horizontal="right" vertical="center"/>
    </xf>
    <xf numFmtId="0" fontId="29" fillId="0" borderId="15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4" xfId="0" applyFont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20" fillId="0" borderId="30" xfId="0" applyFont="1" applyBorder="1" applyAlignment="1">
      <alignment horizontal="right"/>
    </xf>
    <xf numFmtId="0" fontId="20" fillId="0" borderId="32" xfId="0" applyFont="1" applyBorder="1" applyAlignment="1">
      <alignment horizontal="right"/>
    </xf>
    <xf numFmtId="0" fontId="10" fillId="0" borderId="10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right" vertical="center"/>
    </xf>
    <xf numFmtId="0" fontId="36" fillId="0" borderId="36" xfId="0" applyFont="1" applyBorder="1" applyAlignment="1">
      <alignment horizontal="right" vertical="center"/>
    </xf>
    <xf numFmtId="0" fontId="36" fillId="0" borderId="37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7" borderId="35" xfId="0" applyFont="1" applyFill="1" applyBorder="1" applyAlignment="1">
      <alignment horizontal="right"/>
    </xf>
    <xf numFmtId="0" fontId="25" fillId="7" borderId="36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1" fillId="0" borderId="21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1" fillId="9" borderId="35" xfId="0" applyFont="1" applyFill="1" applyBorder="1" applyAlignment="1">
      <alignment horizontal="right" vertical="center"/>
    </xf>
    <xf numFmtId="0" fontId="11" fillId="9" borderId="36" xfId="0" applyFont="1" applyFill="1" applyBorder="1" applyAlignment="1">
      <alignment horizontal="right" vertical="center"/>
    </xf>
    <xf numFmtId="0" fontId="11" fillId="9" borderId="37" xfId="0" applyFont="1" applyFill="1" applyBorder="1" applyAlignment="1">
      <alignment horizontal="right" vertical="center"/>
    </xf>
    <xf numFmtId="4" fontId="34" fillId="0" borderId="0" xfId="6" applyNumberFormat="1" applyFont="1" applyFill="1" applyAlignment="1">
      <alignment horizontal="center" vertical="center" wrapText="1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352424</xdr:colOff>
      <xdr:row>0</xdr:row>
      <xdr:rowOff>227746</xdr:rowOff>
    </xdr:from>
    <xdr:to>
      <xdr:col>19</xdr:col>
      <xdr:colOff>296120</xdr:colOff>
      <xdr:row>15</xdr:row>
      <xdr:rowOff>305259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FA9D1D-D13F-419F-B068-6BCA756B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299" y="227746"/>
          <a:ext cx="4620471" cy="25063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286-7433-480C-8F48-C81B3C734824}">
  <dimension ref="A1:I57"/>
  <sheetViews>
    <sheetView tabSelected="1" view="pageBreakPreview" zoomScale="60" zoomScaleNormal="70" workbookViewId="0">
      <selection activeCell="L17" sqref="L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95"/>
      <c r="B1" s="196"/>
      <c r="C1" s="201" t="s">
        <v>0</v>
      </c>
      <c r="D1" s="201"/>
      <c r="E1" s="201"/>
      <c r="F1" s="201"/>
      <c r="G1" s="201"/>
      <c r="H1" s="5" t="s">
        <v>1</v>
      </c>
      <c r="I1" s="116" t="s">
        <v>127</v>
      </c>
    </row>
    <row r="2" spans="1:9" ht="18" customHeight="1" thickBot="1" x14ac:dyDescent="0.3">
      <c r="A2" s="197"/>
      <c r="B2" s="198"/>
      <c r="C2" s="202" t="s">
        <v>2</v>
      </c>
      <c r="D2" s="203"/>
      <c r="E2" s="203"/>
      <c r="F2" s="203"/>
      <c r="G2" s="204"/>
      <c r="H2" s="6" t="s">
        <v>3</v>
      </c>
      <c r="I2" s="7" t="s">
        <v>108</v>
      </c>
    </row>
    <row r="3" spans="1:9" ht="31.5" customHeight="1" thickBot="1" x14ac:dyDescent="0.3">
      <c r="A3" s="197"/>
      <c r="B3" s="198"/>
      <c r="C3" s="205" t="s">
        <v>4</v>
      </c>
      <c r="D3" s="206"/>
      <c r="E3" s="206"/>
      <c r="F3" s="206"/>
      <c r="G3" s="207"/>
      <c r="H3" s="208" t="s">
        <v>5</v>
      </c>
      <c r="I3" s="186">
        <v>45618</v>
      </c>
    </row>
    <row r="4" spans="1:9" ht="18" customHeight="1" x14ac:dyDescent="0.25">
      <c r="A4" s="197"/>
      <c r="B4" s="198"/>
      <c r="C4" s="8" t="s">
        <v>6</v>
      </c>
      <c r="D4" s="189" t="s">
        <v>109</v>
      </c>
      <c r="E4" s="190"/>
      <c r="F4" s="190"/>
      <c r="G4" s="191"/>
      <c r="H4" s="209"/>
      <c r="I4" s="187"/>
    </row>
    <row r="5" spans="1:9" ht="15.75" thickBot="1" x14ac:dyDescent="0.3">
      <c r="A5" s="199"/>
      <c r="B5" s="200"/>
      <c r="C5" s="9" t="s">
        <v>7</v>
      </c>
      <c r="D5" s="192" t="s">
        <v>110</v>
      </c>
      <c r="E5" s="193"/>
      <c r="F5" s="193"/>
      <c r="G5" s="194"/>
      <c r="H5" s="210"/>
      <c r="I5" s="188"/>
    </row>
    <row r="6" spans="1:9" ht="18.75" thickBot="1" x14ac:dyDescent="0.3">
      <c r="A6" s="211" t="s">
        <v>8</v>
      </c>
      <c r="B6" s="211"/>
      <c r="C6" s="211"/>
      <c r="D6" s="212" t="s">
        <v>111</v>
      </c>
      <c r="E6" s="212"/>
      <c r="F6" s="212"/>
      <c r="G6" s="213" t="s">
        <v>9</v>
      </c>
      <c r="H6" s="213"/>
      <c r="I6" s="117" t="s">
        <v>111</v>
      </c>
    </row>
    <row r="7" spans="1:9" x14ac:dyDescent="0.25">
      <c r="A7" s="214" t="s">
        <v>10</v>
      </c>
      <c r="B7" s="216" t="s">
        <v>112</v>
      </c>
      <c r="C7" s="218" t="s">
        <v>11</v>
      </c>
      <c r="D7" s="218" t="s">
        <v>12</v>
      </c>
      <c r="E7" s="218" t="s">
        <v>13</v>
      </c>
      <c r="F7" s="218"/>
      <c r="G7" s="218" t="s">
        <v>113</v>
      </c>
      <c r="H7" s="218"/>
      <c r="I7" s="118" t="s">
        <v>114</v>
      </c>
    </row>
    <row r="8" spans="1:9" ht="27" thickBot="1" x14ac:dyDescent="0.3">
      <c r="A8" s="215"/>
      <c r="B8" s="217"/>
      <c r="C8" s="219"/>
      <c r="D8" s="219"/>
      <c r="E8" s="119" t="s">
        <v>15</v>
      </c>
      <c r="F8" s="120" t="s">
        <v>16</v>
      </c>
      <c r="G8" s="119" t="s">
        <v>15</v>
      </c>
      <c r="H8" s="120" t="s">
        <v>16</v>
      </c>
      <c r="I8" s="121" t="s">
        <v>115</v>
      </c>
    </row>
    <row r="9" spans="1:9" ht="18.600000000000001" customHeight="1" x14ac:dyDescent="0.25">
      <c r="A9" s="122"/>
      <c r="B9" s="123"/>
      <c r="C9" s="124" t="s">
        <v>116</v>
      </c>
      <c r="D9" s="125"/>
      <c r="E9" s="126"/>
      <c r="F9" s="127"/>
      <c r="G9" s="126"/>
      <c r="H9" s="127"/>
      <c r="I9" s="128"/>
    </row>
    <row r="10" spans="1:9" ht="18" customHeight="1" x14ac:dyDescent="0.25">
      <c r="A10" s="129">
        <v>902000018</v>
      </c>
      <c r="B10" s="4" t="s">
        <v>17</v>
      </c>
      <c r="C10" s="3" t="s">
        <v>18</v>
      </c>
      <c r="D10" s="130" t="s">
        <v>19</v>
      </c>
      <c r="E10" s="131">
        <v>11100</v>
      </c>
      <c r="F10" s="132" t="s">
        <v>20</v>
      </c>
      <c r="G10" s="133"/>
      <c r="H10" s="134"/>
      <c r="I10" s="128"/>
    </row>
    <row r="11" spans="1:9" x14ac:dyDescent="0.25">
      <c r="A11" s="130"/>
      <c r="B11" s="130"/>
      <c r="C11" s="135"/>
      <c r="D11" s="130"/>
      <c r="E11" s="131"/>
      <c r="F11" s="132"/>
      <c r="G11" s="133"/>
      <c r="H11" s="134"/>
      <c r="I11" s="128"/>
    </row>
    <row r="12" spans="1:9" x14ac:dyDescent="0.25">
      <c r="A12" s="130"/>
      <c r="B12" s="130"/>
      <c r="C12" s="135"/>
      <c r="D12" s="130"/>
      <c r="E12" s="131"/>
      <c r="F12" s="132"/>
      <c r="G12" s="133"/>
      <c r="H12" s="134"/>
      <c r="I12" s="128"/>
    </row>
    <row r="13" spans="1:9" x14ac:dyDescent="0.25">
      <c r="A13" s="130"/>
      <c r="B13" s="130"/>
      <c r="C13" s="135"/>
      <c r="D13" s="130"/>
      <c r="E13" s="131"/>
      <c r="F13" s="132"/>
      <c r="G13" s="133"/>
      <c r="H13" s="134"/>
      <c r="I13" s="128"/>
    </row>
    <row r="14" spans="1:9" x14ac:dyDescent="0.25">
      <c r="A14" s="130"/>
      <c r="B14" s="130"/>
      <c r="C14" s="135"/>
      <c r="D14" s="130"/>
      <c r="E14" s="131"/>
      <c r="F14" s="132"/>
      <c r="G14" s="133"/>
      <c r="H14" s="134"/>
      <c r="I14" s="128"/>
    </row>
    <row r="15" spans="1:9" x14ac:dyDescent="0.25">
      <c r="A15" s="130"/>
      <c r="B15" s="130"/>
      <c r="C15" s="135"/>
      <c r="D15" s="130"/>
      <c r="E15" s="131"/>
      <c r="F15" s="132"/>
      <c r="G15" s="133"/>
      <c r="H15" s="134"/>
      <c r="I15" s="128"/>
    </row>
    <row r="16" spans="1:9" x14ac:dyDescent="0.25">
      <c r="A16" s="130"/>
      <c r="B16" s="130"/>
      <c r="C16" s="135"/>
      <c r="D16" s="130"/>
      <c r="E16" s="131"/>
      <c r="F16" s="132"/>
      <c r="G16" s="133"/>
      <c r="H16" s="134"/>
      <c r="I16" s="128"/>
    </row>
    <row r="17" spans="1:9" x14ac:dyDescent="0.25">
      <c r="A17" s="130"/>
      <c r="B17" s="130"/>
      <c r="C17" s="135"/>
      <c r="D17" s="130"/>
      <c r="E17" s="131"/>
      <c r="F17" s="132"/>
      <c r="G17" s="133"/>
      <c r="H17" s="134"/>
      <c r="I17" s="128"/>
    </row>
    <row r="18" spans="1:9" x14ac:dyDescent="0.25">
      <c r="A18" s="130"/>
      <c r="B18" s="130"/>
      <c r="C18" s="135"/>
      <c r="D18" s="130"/>
      <c r="E18" s="131"/>
      <c r="F18" s="132"/>
      <c r="G18" s="133"/>
      <c r="H18" s="134"/>
      <c r="I18" s="128"/>
    </row>
    <row r="19" spans="1:9" x14ac:dyDescent="0.25">
      <c r="A19" s="130"/>
      <c r="B19" s="130"/>
      <c r="C19" s="135"/>
      <c r="D19" s="130"/>
      <c r="E19" s="131"/>
      <c r="F19" s="132"/>
      <c r="G19" s="133"/>
      <c r="H19" s="134"/>
      <c r="I19" s="128"/>
    </row>
    <row r="20" spans="1:9" ht="15.75" x14ac:dyDescent="0.25">
      <c r="A20" s="136"/>
      <c r="B20" s="136"/>
      <c r="C20" s="3"/>
      <c r="D20" s="137"/>
      <c r="E20" s="137"/>
      <c r="F20" s="137"/>
      <c r="G20" s="1"/>
      <c r="H20" s="134"/>
      <c r="I20" s="128"/>
    </row>
    <row r="21" spans="1:9" ht="15.75" x14ac:dyDescent="0.25">
      <c r="A21" s="138"/>
      <c r="B21" s="139"/>
      <c r="C21" s="140" t="s">
        <v>117</v>
      </c>
      <c r="D21" s="137"/>
      <c r="E21" s="137"/>
      <c r="F21" s="137"/>
      <c r="G21" s="1"/>
      <c r="H21" s="134"/>
      <c r="I21" s="128"/>
    </row>
    <row r="22" spans="1:9" x14ac:dyDescent="0.25">
      <c r="A22" s="129"/>
      <c r="B22" s="4"/>
      <c r="C22" s="3"/>
      <c r="D22" s="141"/>
      <c r="E22" s="141"/>
      <c r="F22" s="141"/>
      <c r="G22" s="126"/>
      <c r="H22" s="134"/>
      <c r="I22" s="128"/>
    </row>
    <row r="23" spans="1:9" x14ac:dyDescent="0.25">
      <c r="A23" s="142"/>
      <c r="B23" s="136"/>
      <c r="C23" s="3"/>
      <c r="D23" s="141"/>
      <c r="E23" s="141"/>
      <c r="F23" s="141"/>
      <c r="G23" s="126"/>
      <c r="H23" s="134"/>
      <c r="I23" s="128"/>
    </row>
    <row r="24" spans="1:9" x14ac:dyDescent="0.25">
      <c r="A24" s="142"/>
      <c r="B24" s="136"/>
      <c r="C24" s="3"/>
      <c r="D24" s="141"/>
      <c r="E24" s="141"/>
      <c r="F24" s="141"/>
      <c r="G24" s="126"/>
      <c r="H24" s="134"/>
      <c r="I24" s="128"/>
    </row>
    <row r="25" spans="1:9" ht="15.75" x14ac:dyDescent="0.25">
      <c r="A25" s="138"/>
      <c r="B25" s="139"/>
      <c r="C25" s="140"/>
      <c r="D25" s="143"/>
      <c r="E25" s="144"/>
      <c r="F25" s="145"/>
      <c r="G25" s="126"/>
      <c r="H25" s="134"/>
      <c r="I25" s="128"/>
    </row>
    <row r="26" spans="1:9" x14ac:dyDescent="0.25">
      <c r="A26" s="146"/>
      <c r="B26" s="147"/>
      <c r="C26" s="148"/>
      <c r="D26" s="149"/>
      <c r="E26" s="150"/>
      <c r="F26" s="151"/>
      <c r="G26" s="126"/>
      <c r="H26" s="134"/>
      <c r="I26" s="128"/>
    </row>
    <row r="27" spans="1:9" x14ac:dyDescent="0.25">
      <c r="A27" s="4"/>
      <c r="B27" s="4"/>
      <c r="C27" s="3"/>
      <c r="D27" s="152"/>
      <c r="E27" s="2"/>
      <c r="F27" s="153"/>
      <c r="G27" s="126"/>
      <c r="H27" s="134"/>
      <c r="I27" s="128"/>
    </row>
    <row r="28" spans="1:9" ht="15.75" x14ac:dyDescent="0.25">
      <c r="A28" s="154"/>
      <c r="B28" s="155"/>
      <c r="C28" s="156" t="s">
        <v>118</v>
      </c>
      <c r="D28" s="157"/>
      <c r="E28" s="158"/>
      <c r="F28" s="127"/>
      <c r="G28" s="126"/>
      <c r="H28" s="134"/>
      <c r="I28" s="128"/>
    </row>
    <row r="29" spans="1:9" x14ac:dyDescent="0.25">
      <c r="A29" s="159">
        <v>702123</v>
      </c>
      <c r="B29" s="160" t="s">
        <v>22</v>
      </c>
      <c r="C29" s="161" t="s">
        <v>23</v>
      </c>
      <c r="D29" s="12" t="s">
        <v>119</v>
      </c>
      <c r="E29" s="13">
        <v>5</v>
      </c>
      <c r="F29" s="162" t="s">
        <v>24</v>
      </c>
      <c r="G29" s="163"/>
      <c r="H29" s="134"/>
      <c r="I29" s="128"/>
    </row>
    <row r="30" spans="1:9" x14ac:dyDescent="0.25">
      <c r="A30" s="159">
        <v>902000019</v>
      </c>
      <c r="B30" s="160"/>
      <c r="C30" s="161" t="s">
        <v>25</v>
      </c>
      <c r="D30" s="12" t="s">
        <v>120</v>
      </c>
      <c r="E30" s="13">
        <v>1375</v>
      </c>
      <c r="F30" s="162" t="s">
        <v>20</v>
      </c>
      <c r="G30" s="163"/>
      <c r="H30" s="134"/>
      <c r="I30" s="128"/>
    </row>
    <row r="31" spans="1:9" x14ac:dyDescent="0.25">
      <c r="A31" s="164">
        <v>401000007</v>
      </c>
      <c r="B31" s="165" t="s">
        <v>26</v>
      </c>
      <c r="C31" s="166" t="s">
        <v>27</v>
      </c>
      <c r="D31" s="12" t="s">
        <v>121</v>
      </c>
      <c r="E31" s="13">
        <v>5</v>
      </c>
      <c r="F31" s="162" t="s">
        <v>24</v>
      </c>
      <c r="G31" s="163"/>
      <c r="H31" s="134"/>
      <c r="I31" s="128"/>
    </row>
    <row r="32" spans="1:9" x14ac:dyDescent="0.25">
      <c r="A32" s="10"/>
      <c r="B32" s="10"/>
      <c r="C32" s="11"/>
      <c r="D32" s="12"/>
      <c r="E32" s="13"/>
      <c r="F32" s="162"/>
      <c r="G32" s="126"/>
      <c r="H32" s="134"/>
      <c r="I32" s="128"/>
    </row>
    <row r="33" spans="1:9" x14ac:dyDescent="0.25">
      <c r="A33" s="10"/>
      <c r="B33" s="10"/>
      <c r="C33" s="11"/>
      <c r="D33" s="12"/>
      <c r="E33" s="13"/>
      <c r="F33" s="162"/>
      <c r="G33" s="126"/>
      <c r="H33" s="134"/>
      <c r="I33" s="128"/>
    </row>
    <row r="34" spans="1:9" x14ac:dyDescent="0.25">
      <c r="A34" s="10"/>
      <c r="B34" s="10"/>
      <c r="C34" s="11"/>
      <c r="D34" s="12"/>
      <c r="E34" s="13"/>
      <c r="F34" s="162"/>
      <c r="G34" s="167"/>
      <c r="H34" s="134"/>
      <c r="I34" s="128"/>
    </row>
    <row r="35" spans="1:9" ht="15.75" x14ac:dyDescent="0.25">
      <c r="A35" s="10"/>
      <c r="B35" s="10"/>
      <c r="C35" s="11"/>
      <c r="D35" s="137"/>
      <c r="E35" s="13"/>
      <c r="F35" s="162"/>
      <c r="G35" s="168"/>
      <c r="H35" s="134"/>
      <c r="I35" s="128"/>
    </row>
    <row r="36" spans="1:9" x14ac:dyDescent="0.25">
      <c r="A36" s="169"/>
      <c r="B36" s="169"/>
      <c r="C36" s="170"/>
      <c r="D36" s="12"/>
      <c r="E36" s="153"/>
      <c r="F36" s="153"/>
      <c r="G36" s="168"/>
      <c r="H36" s="127"/>
      <c r="I36" s="128"/>
    </row>
    <row r="37" spans="1:9" ht="15.75" thickBot="1" x14ac:dyDescent="0.3">
      <c r="A37" s="171"/>
      <c r="B37" s="172"/>
      <c r="C37" s="173" t="s">
        <v>122</v>
      </c>
      <c r="D37" s="173"/>
      <c r="E37" s="174"/>
      <c r="F37" s="175"/>
      <c r="G37" s="173"/>
      <c r="H37" s="173"/>
      <c r="I37" s="176"/>
    </row>
    <row r="38" spans="1:9" ht="15.75" thickBot="1" x14ac:dyDescent="0.3">
      <c r="A38" s="177"/>
      <c r="B38" s="178"/>
      <c r="C38" s="179" t="s">
        <v>122</v>
      </c>
      <c r="D38" s="180" t="s">
        <v>15</v>
      </c>
      <c r="E38" s="181" t="s">
        <v>14</v>
      </c>
      <c r="F38" s="182"/>
      <c r="G38" s="179"/>
      <c r="H38" s="179"/>
      <c r="I38" s="183"/>
    </row>
    <row r="39" spans="1:9" x14ac:dyDescent="0.25">
      <c r="A39" s="220" t="s">
        <v>28</v>
      </c>
      <c r="B39" s="221"/>
      <c r="C39" s="222"/>
      <c r="D39" s="184">
        <v>11000</v>
      </c>
      <c r="E39" s="14" t="s">
        <v>20</v>
      </c>
      <c r="F39" s="223" t="s">
        <v>123</v>
      </c>
      <c r="G39" s="223"/>
      <c r="H39" s="224"/>
      <c r="I39" s="225"/>
    </row>
    <row r="40" spans="1:9" x14ac:dyDescent="0.25">
      <c r="A40" s="226" t="s">
        <v>29</v>
      </c>
      <c r="B40" s="227"/>
      <c r="C40" s="228"/>
      <c r="D40" s="1">
        <v>20</v>
      </c>
      <c r="E40" s="1" t="s">
        <v>30</v>
      </c>
      <c r="F40" s="229" t="s">
        <v>31</v>
      </c>
      <c r="G40" s="229"/>
      <c r="H40" s="230"/>
      <c r="I40" s="231"/>
    </row>
    <row r="41" spans="1:9" x14ac:dyDescent="0.25">
      <c r="A41" s="226" t="s">
        <v>32</v>
      </c>
      <c r="B41" s="227"/>
      <c r="C41" s="228"/>
      <c r="D41" s="2">
        <v>122.22222222222223</v>
      </c>
      <c r="E41" s="1" t="s">
        <v>33</v>
      </c>
      <c r="F41" s="229" t="s">
        <v>124</v>
      </c>
      <c r="G41" s="229"/>
      <c r="H41" s="230"/>
      <c r="I41" s="231"/>
    </row>
    <row r="42" spans="1:9" x14ac:dyDescent="0.25">
      <c r="A42" s="226" t="s">
        <v>34</v>
      </c>
      <c r="B42" s="227"/>
      <c r="C42" s="228"/>
      <c r="D42" s="2">
        <v>90</v>
      </c>
      <c r="E42" s="1" t="s">
        <v>20</v>
      </c>
      <c r="F42" s="236" t="s">
        <v>125</v>
      </c>
      <c r="G42" s="237"/>
      <c r="H42" s="238"/>
      <c r="I42" s="239"/>
    </row>
    <row r="43" spans="1:9" ht="15.75" thickBot="1" x14ac:dyDescent="0.3">
      <c r="A43" s="240" t="s">
        <v>35</v>
      </c>
      <c r="B43" s="241"/>
      <c r="C43" s="242"/>
      <c r="D43" s="185">
        <v>100</v>
      </c>
      <c r="E43" s="15" t="s">
        <v>20</v>
      </c>
      <c r="F43" s="243"/>
      <c r="G43" s="243"/>
      <c r="H43" s="230"/>
      <c r="I43" s="231"/>
    </row>
    <row r="44" spans="1:9" ht="15.75" thickBot="1" x14ac:dyDescent="0.3">
      <c r="A44" s="244" t="s">
        <v>36</v>
      </c>
      <c r="B44" s="245"/>
      <c r="C44" s="245"/>
      <c r="D44" s="245"/>
      <c r="E44" s="245"/>
      <c r="F44" s="245"/>
      <c r="G44" s="245"/>
      <c r="H44" s="245"/>
      <c r="I44" s="246"/>
    </row>
    <row r="45" spans="1:9" ht="14.45" customHeight="1" x14ac:dyDescent="0.25">
      <c r="A45" s="232" t="s">
        <v>37</v>
      </c>
      <c r="B45" s="233"/>
      <c r="C45" s="234"/>
      <c r="D45" s="234"/>
      <c r="E45" s="234"/>
      <c r="F45" s="234"/>
      <c r="G45" s="234"/>
      <c r="H45" s="234"/>
      <c r="I45" s="235"/>
    </row>
    <row r="46" spans="1:9" ht="15.6" customHeight="1" x14ac:dyDescent="0.25">
      <c r="A46" s="232" t="s">
        <v>38</v>
      </c>
      <c r="B46" s="233"/>
      <c r="C46" s="234"/>
      <c r="D46" s="234"/>
      <c r="E46" s="234"/>
      <c r="F46" s="234"/>
      <c r="G46" s="234"/>
      <c r="H46" s="234"/>
      <c r="I46" s="235"/>
    </row>
    <row r="47" spans="1:9" ht="14.45" customHeight="1" x14ac:dyDescent="0.25">
      <c r="A47" s="254" t="s">
        <v>39</v>
      </c>
      <c r="B47" s="255"/>
      <c r="C47" s="255"/>
      <c r="D47" s="255"/>
      <c r="E47" s="255"/>
      <c r="F47" s="255"/>
      <c r="G47" s="255"/>
      <c r="H47" s="255"/>
      <c r="I47" s="256"/>
    </row>
    <row r="48" spans="1:9" ht="14.45" customHeight="1" x14ac:dyDescent="0.25">
      <c r="A48" s="16" t="s">
        <v>40</v>
      </c>
      <c r="B48" s="17"/>
      <c r="C48" s="17"/>
      <c r="D48" s="17"/>
      <c r="E48" s="17"/>
      <c r="F48" s="17"/>
      <c r="G48" s="17"/>
      <c r="H48" s="17"/>
      <c r="I48" s="18"/>
    </row>
    <row r="49" spans="1:9" x14ac:dyDescent="0.25">
      <c r="A49" s="257"/>
      <c r="B49" s="258"/>
      <c r="C49" s="258"/>
      <c r="D49" s="258"/>
      <c r="E49" s="258"/>
      <c r="F49" s="258"/>
      <c r="G49" s="258"/>
      <c r="H49" s="258"/>
      <c r="I49" s="259"/>
    </row>
    <row r="50" spans="1:9" ht="14.45" customHeight="1" x14ac:dyDescent="0.25">
      <c r="A50" s="257"/>
      <c r="B50" s="258"/>
      <c r="C50" s="258"/>
      <c r="D50" s="258"/>
      <c r="E50" s="258"/>
      <c r="F50" s="258"/>
      <c r="G50" s="258"/>
      <c r="H50" s="258"/>
      <c r="I50" s="259"/>
    </row>
    <row r="51" spans="1:9" ht="14.45" customHeight="1" x14ac:dyDescent="0.25">
      <c r="A51" s="247"/>
      <c r="B51" s="248"/>
      <c r="C51" s="248"/>
      <c r="D51" s="248"/>
      <c r="E51" s="248"/>
      <c r="F51" s="248"/>
      <c r="G51" s="248"/>
      <c r="H51" s="248"/>
      <c r="I51" s="249"/>
    </row>
    <row r="52" spans="1:9" ht="18" customHeight="1" x14ac:dyDescent="0.25">
      <c r="A52" s="247"/>
      <c r="B52" s="248"/>
      <c r="C52" s="248"/>
      <c r="D52" s="248"/>
      <c r="E52" s="248"/>
      <c r="F52" s="248"/>
      <c r="G52" s="248"/>
      <c r="H52" s="248"/>
      <c r="I52" s="249"/>
    </row>
    <row r="53" spans="1:9" ht="14.45" customHeight="1" x14ac:dyDescent="0.25">
      <c r="A53" s="247"/>
      <c r="B53" s="248"/>
      <c r="C53" s="248"/>
      <c r="D53" s="248"/>
      <c r="E53" s="248"/>
      <c r="F53" s="248"/>
      <c r="G53" s="248"/>
      <c r="H53" s="248"/>
      <c r="I53" s="249"/>
    </row>
    <row r="54" spans="1:9" ht="14.45" customHeight="1" thickBot="1" x14ac:dyDescent="0.3">
      <c r="A54" s="247"/>
      <c r="B54" s="248"/>
      <c r="C54" s="248"/>
      <c r="D54" s="248"/>
      <c r="E54" s="248"/>
      <c r="F54" s="248"/>
      <c r="G54" s="248"/>
      <c r="H54" s="248"/>
      <c r="I54" s="249"/>
    </row>
    <row r="55" spans="1:9" ht="14.45" customHeight="1" x14ac:dyDescent="0.25">
      <c r="A55" s="250" t="s">
        <v>126</v>
      </c>
      <c r="B55" s="251"/>
      <c r="C55" s="251"/>
      <c r="D55" s="251"/>
      <c r="E55" s="251"/>
      <c r="F55" s="251"/>
      <c r="G55" s="251"/>
      <c r="H55" s="251"/>
      <c r="I55" s="251"/>
    </row>
    <row r="56" spans="1:9" x14ac:dyDescent="0.25">
      <c r="A56" s="252"/>
      <c r="B56" s="253"/>
      <c r="C56" s="253"/>
      <c r="D56" s="253"/>
      <c r="E56" s="253"/>
      <c r="F56" s="253"/>
      <c r="G56" s="253"/>
      <c r="H56" s="253"/>
      <c r="I56" s="253"/>
    </row>
    <row r="57" spans="1:9" x14ac:dyDescent="0.25">
      <c r="A57" s="252"/>
      <c r="B57" s="253"/>
      <c r="C57" s="253"/>
      <c r="D57" s="253"/>
      <c r="E57" s="253"/>
      <c r="F57" s="253"/>
      <c r="G57" s="253"/>
      <c r="H57" s="253"/>
      <c r="I57" s="253"/>
    </row>
  </sheetData>
  <mergeCells count="45"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D8EA-601F-4C4C-BCBE-96F54CA6F79D}">
  <dimension ref="A1:Q91"/>
  <sheetViews>
    <sheetView topLeftCell="A44" workbookViewId="0">
      <selection activeCell="D60" sqref="D60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9.5703125" style="24" bestFit="1" customWidth="1"/>
    <col min="7" max="7" width="9.5703125" style="106" bestFit="1" customWidth="1"/>
    <col min="8" max="8" width="10.42578125" style="97" bestFit="1" customWidth="1"/>
    <col min="9" max="9" width="4.5703125" style="97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41</v>
      </c>
      <c r="F1" s="21" t="s">
        <v>42</v>
      </c>
      <c r="G1" s="21" t="s">
        <v>43</v>
      </c>
      <c r="H1" s="21" t="s">
        <v>44</v>
      </c>
      <c r="I1" s="22"/>
    </row>
    <row r="2" spans="1:10" ht="30.75" customHeight="1" x14ac:dyDescent="0.25">
      <c r="A2" s="19"/>
      <c r="B2" s="19"/>
      <c r="C2" s="19"/>
      <c r="D2" s="19"/>
      <c r="E2" s="25">
        <f>IFERROR(O62,"")</f>
        <v>267.9117470329997</v>
      </c>
      <c r="F2" s="25">
        <f>IFERROR(H53,"")</f>
        <v>266.39999999999998</v>
      </c>
      <c r="G2" s="25">
        <f>IFERROR(H54,"")</f>
        <v>0.92703030303030298</v>
      </c>
      <c r="H2" s="25">
        <f>IFERROR(H56,"")</f>
        <v>32.970161832727271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261"/>
      <c r="B4" s="261"/>
      <c r="C4" s="261"/>
      <c r="D4" s="261"/>
      <c r="E4" s="261"/>
      <c r="F4" s="261"/>
      <c r="G4" s="261"/>
      <c r="H4" s="261"/>
      <c r="I4" s="28"/>
    </row>
    <row r="5" spans="1:10" ht="19.5" customHeight="1" thickBot="1" x14ac:dyDescent="0.3">
      <c r="A5" s="262" t="s">
        <v>45</v>
      </c>
      <c r="B5" s="263"/>
      <c r="C5" s="263"/>
      <c r="D5" s="263"/>
      <c r="E5" s="263"/>
      <c r="F5" s="263"/>
      <c r="G5" s="263"/>
      <c r="H5" s="264"/>
      <c r="I5" s="29"/>
    </row>
    <row r="6" spans="1:10" ht="19.5" thickBot="1" x14ac:dyDescent="0.3">
      <c r="A6" s="29"/>
      <c r="B6" s="29"/>
      <c r="C6" s="29"/>
      <c r="D6" s="29"/>
      <c r="E6" s="29"/>
      <c r="F6" s="265" t="s">
        <v>46</v>
      </c>
      <c r="G6" s="265"/>
      <c r="H6" s="30">
        <f ca="1">TODAY()</f>
        <v>45715</v>
      </c>
      <c r="I6" s="30"/>
    </row>
    <row r="7" spans="1:10" ht="26.25" hidden="1" thickBot="1" x14ac:dyDescent="0.3">
      <c r="A7" s="31" t="s">
        <v>47</v>
      </c>
      <c r="B7" s="32" t="s">
        <v>48</v>
      </c>
      <c r="C7" s="32" t="s">
        <v>47</v>
      </c>
      <c r="D7" s="33" t="s">
        <v>49</v>
      </c>
      <c r="E7" s="33" t="s">
        <v>50</v>
      </c>
      <c r="F7" s="33" t="s">
        <v>51</v>
      </c>
      <c r="G7" s="33" t="s">
        <v>52</v>
      </c>
      <c r="H7" s="34" t="s">
        <v>53</v>
      </c>
      <c r="I7" s="35"/>
    </row>
    <row r="8" spans="1:10" ht="13.5" hidden="1" x14ac:dyDescent="0.25">
      <c r="A8" s="36"/>
      <c r="B8" s="24" t="str">
        <f>IFERROR(VLOOKUP(H8,'[1]Consolidado MP Planta'!$A$2:$M$823,3,0),"")</f>
        <v/>
      </c>
      <c r="C8" s="37">
        <f>+A8</f>
        <v>0</v>
      </c>
      <c r="D8" s="38" t="str">
        <f>IFERROR(VLOOKUP(H8,'[1]Consolidado MP Planta'!$A$2:$M$823,13,0),"")</f>
        <v/>
      </c>
      <c r="E8" s="38" t="str">
        <f>IFERROR(VLOOKUP(H8,'[1]Consolidado MP Planta'!$A$2:$M$823,12,0),"")</f>
        <v/>
      </c>
      <c r="F8" s="38" t="str">
        <f>IFERROR(C8*E8,"")</f>
        <v/>
      </c>
      <c r="G8" s="39" t="str">
        <f t="shared" ref="G8:G14" si="0">IFERROR(F8/$F$66,"")</f>
        <v/>
      </c>
      <c r="H8" s="40"/>
      <c r="I8" s="40"/>
      <c r="J8" s="41"/>
    </row>
    <row r="9" spans="1:10" ht="13.5" hidden="1" x14ac:dyDescent="0.25">
      <c r="A9" s="36"/>
      <c r="B9" s="24" t="str">
        <f>IFERROR(VLOOKUP(H9,'[1]Consolidado MP Planta'!$A$2:$M$823,3,0),"")</f>
        <v/>
      </c>
      <c r="C9" s="37">
        <f t="shared" ref="C9:C14" si="1">+A9</f>
        <v>0</v>
      </c>
      <c r="D9" s="38" t="str">
        <f>IFERROR(VLOOKUP(H9,'[1]Consolidado MP Planta'!$A$2:$M$823,13,0),"")</f>
        <v/>
      </c>
      <c r="E9" s="38" t="str">
        <f>IFERROR(VLOOKUP(H9,'[1]Consolidado MP Planta'!$A$2:$M$823,12,0),"")</f>
        <v/>
      </c>
      <c r="F9" s="38" t="str">
        <f t="shared" ref="F9:F14" si="2">IFERROR(C9*E9,"")</f>
        <v/>
      </c>
      <c r="G9" s="39" t="str">
        <f t="shared" si="0"/>
        <v/>
      </c>
      <c r="H9" s="40"/>
      <c r="I9" s="40"/>
      <c r="J9" s="41"/>
    </row>
    <row r="10" spans="1:10" ht="13.5" hidden="1" x14ac:dyDescent="0.25">
      <c r="A10" s="36"/>
      <c r="B10" s="24" t="str">
        <f>IFERROR(VLOOKUP(H10,'[1]Consolidado MP Planta'!$A$2:$M$823,3,0),"")</f>
        <v/>
      </c>
      <c r="C10" s="37">
        <f t="shared" si="1"/>
        <v>0</v>
      </c>
      <c r="D10" s="38" t="str">
        <f>IFERROR(VLOOKUP(H10,'[1]Consolidado MP Planta'!$A$2:$M$823,13,0),"")</f>
        <v/>
      </c>
      <c r="E10" s="38" t="str">
        <f>IFERROR(VLOOKUP(H10,'[1]Consolidado MP Planta'!$A$2:$M$823,12,0),"")</f>
        <v/>
      </c>
      <c r="F10" s="38" t="str">
        <f t="shared" si="2"/>
        <v/>
      </c>
      <c r="G10" s="39" t="str">
        <f t="shared" si="0"/>
        <v/>
      </c>
      <c r="H10" s="40"/>
      <c r="I10" s="40"/>
      <c r="J10" s="41"/>
    </row>
    <row r="11" spans="1:10" ht="13.5" hidden="1" x14ac:dyDescent="0.25">
      <c r="A11" s="36"/>
      <c r="B11" s="24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39" t="str">
        <f t="shared" si="0"/>
        <v/>
      </c>
      <c r="H11" s="40"/>
      <c r="I11" s="40"/>
      <c r="J11" s="41"/>
    </row>
    <row r="12" spans="1:10" ht="13.5" hidden="1" x14ac:dyDescent="0.25">
      <c r="A12" s="36"/>
      <c r="B12" s="24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40"/>
      <c r="I12" s="40"/>
      <c r="J12" s="41"/>
    </row>
    <row r="13" spans="1:10" ht="13.5" hidden="1" x14ac:dyDescent="0.25">
      <c r="A13" s="36"/>
      <c r="B13" s="24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40"/>
      <c r="I13" s="40"/>
      <c r="J13" s="41"/>
    </row>
    <row r="14" spans="1:10" ht="13.5" hidden="1" x14ac:dyDescent="0.25">
      <c r="A14" s="36"/>
      <c r="B14" s="24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40"/>
      <c r="I14" s="40"/>
      <c r="J14" s="41"/>
    </row>
    <row r="15" spans="1:10" ht="14.25" hidden="1" thickBot="1" x14ac:dyDescent="0.3">
      <c r="A15" s="36"/>
      <c r="B15" s="24" t="str">
        <f>IFERROR(VLOOKUP(H15,'[2]ARTICULOS MP PLANTA'!$A$2:$G$589,2,0),"")</f>
        <v/>
      </c>
      <c r="C15" s="37"/>
      <c r="D15" s="38"/>
      <c r="E15" s="38"/>
      <c r="F15" s="38"/>
      <c r="G15" s="39"/>
      <c r="H15" s="40"/>
      <c r="I15" s="40"/>
      <c r="J15" s="41"/>
    </row>
    <row r="16" spans="1:10" ht="26.25" thickBot="1" x14ac:dyDescent="0.3">
      <c r="A16" s="31" t="s">
        <v>47</v>
      </c>
      <c r="B16" s="32" t="s">
        <v>54</v>
      </c>
      <c r="C16" s="32" t="s">
        <v>47</v>
      </c>
      <c r="D16" s="33" t="s">
        <v>49</v>
      </c>
      <c r="E16" s="33" t="s">
        <v>50</v>
      </c>
      <c r="F16" s="33" t="s">
        <v>51</v>
      </c>
      <c r="G16" s="33" t="s">
        <v>52</v>
      </c>
      <c r="H16" s="34" t="s">
        <v>53</v>
      </c>
      <c r="I16" s="35"/>
      <c r="J16" s="41"/>
    </row>
    <row r="17" spans="1:12" ht="13.5" x14ac:dyDescent="0.25">
      <c r="A17" s="36">
        <v>11100</v>
      </c>
      <c r="B17" s="24" t="str">
        <f>IFERROR(VLOOKUP(H17,[1]SEMIELABORADOS!$A$2:$M$6000,2,0),"")</f>
        <v>BATIDO SOUFFLE (KILO)</v>
      </c>
      <c r="C17" s="37">
        <f>+A17</f>
        <v>11100</v>
      </c>
      <c r="D17" s="37" t="str">
        <f>IFERROR(VLOOKUP(H17,[1]SEMIELABORADOS!$A$2:$M$6000,6,0),"")</f>
        <v>Gramo</v>
      </c>
      <c r="E17" s="38">
        <v>2.64</v>
      </c>
      <c r="F17" s="38">
        <f>IFERROR(E17*C17,"")</f>
        <v>29304</v>
      </c>
      <c r="G17" s="39">
        <f t="shared" ref="G17:G24" si="3">IFERROR(F17/$F$66,"")</f>
        <v>0.93886806122762834</v>
      </c>
      <c r="H17" s="40" t="s">
        <v>55</v>
      </c>
      <c r="I17" s="40"/>
      <c r="J17" s="41"/>
    </row>
    <row r="18" spans="1:12" ht="13.5" hidden="1" x14ac:dyDescent="0.25">
      <c r="A18" s="36"/>
      <c r="B18" s="24" t="str">
        <f>IFERROR(VLOOKUP(H18,[1]SEMIELABORADOS!$A$2:$M$6000,2,0),"")</f>
        <v/>
      </c>
      <c r="C18" s="37">
        <f t="shared" ref="C18:C24" si="4">+A18</f>
        <v>0</v>
      </c>
      <c r="D18" s="37" t="str">
        <f>IFERROR(VLOOKUP(H18,[1]SEMIELABORADOS!$A$2:$M$6000,6,0),"")</f>
        <v/>
      </c>
      <c r="E18" s="38" t="str">
        <f>IFERROR(VLOOKUP(H18,[1]SEMIELABORADOS!$A$2:$H$65536,8,0),"")</f>
        <v/>
      </c>
      <c r="F18" s="38" t="str">
        <f t="shared" ref="F18:F24" si="5">IFERROR(E18*C18,"")</f>
        <v/>
      </c>
      <c r="G18" s="39" t="str">
        <f t="shared" si="3"/>
        <v/>
      </c>
      <c r="H18" s="40"/>
      <c r="I18" s="40"/>
      <c r="J18" s="41"/>
    </row>
    <row r="19" spans="1:12" ht="13.5" hidden="1" x14ac:dyDescent="0.25">
      <c r="A19" s="36"/>
      <c r="B19" s="24" t="str">
        <f>IFERROR(VLOOKUP(H19,[1]SEMIELABORADOS!$A$2:$M$6000,2,0),"")</f>
        <v/>
      </c>
      <c r="C19" s="37">
        <f>+A19</f>
        <v>0</v>
      </c>
      <c r="D19" s="37" t="str">
        <f>IFERROR(VLOOKUP(H19,[1]SEMIELABORADOS!$A$2:$M$6000,6,0),"")</f>
        <v/>
      </c>
      <c r="E19" s="38" t="str">
        <f>IFERROR(VLOOKUP(H19,[1]SEMIELABORADOS!$A$2:$H$65536,8,0),"")</f>
        <v/>
      </c>
      <c r="F19" s="38" t="str">
        <f>IFERROR(E19*C19,"")</f>
        <v/>
      </c>
      <c r="G19" s="39" t="str">
        <f t="shared" si="3"/>
        <v/>
      </c>
      <c r="H19" s="40"/>
      <c r="I19" s="40"/>
      <c r="J19" s="41"/>
    </row>
    <row r="20" spans="1:12" ht="13.5" hidden="1" x14ac:dyDescent="0.25">
      <c r="A20" s="36"/>
      <c r="B20" s="24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40"/>
      <c r="I20" s="40"/>
      <c r="J20" s="41"/>
    </row>
    <row r="21" spans="1:12" ht="13.5" hidden="1" x14ac:dyDescent="0.25">
      <c r="A21" s="36"/>
      <c r="B21" s="24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40"/>
      <c r="I21" s="40"/>
      <c r="J21" s="41"/>
    </row>
    <row r="22" spans="1:12" ht="13.5" hidden="1" x14ac:dyDescent="0.25">
      <c r="A22" s="36"/>
      <c r="B22" s="24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40"/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40"/>
      <c r="I24" s="40"/>
      <c r="J24" s="41"/>
    </row>
    <row r="25" spans="1:12" ht="14.25" thickBot="1" x14ac:dyDescent="0.3">
      <c r="A25" s="36"/>
      <c r="C25" s="37"/>
      <c r="D25" s="37"/>
      <c r="E25" s="38"/>
      <c r="F25" s="38"/>
      <c r="G25" s="39"/>
      <c r="H25" s="40"/>
      <c r="I25" s="40"/>
      <c r="J25" s="41"/>
    </row>
    <row r="26" spans="1:12" ht="26.25" thickBot="1" x14ac:dyDescent="0.3">
      <c r="A26" s="31" t="s">
        <v>47</v>
      </c>
      <c r="B26" s="32" t="s">
        <v>21</v>
      </c>
      <c r="C26" s="32" t="s">
        <v>47</v>
      </c>
      <c r="D26" s="33" t="s">
        <v>49</v>
      </c>
      <c r="E26" s="33" t="s">
        <v>50</v>
      </c>
      <c r="F26" s="33" t="s">
        <v>51</v>
      </c>
      <c r="G26" s="33" t="s">
        <v>52</v>
      </c>
      <c r="H26" s="34" t="s">
        <v>53</v>
      </c>
      <c r="I26" s="35"/>
    </row>
    <row r="27" spans="1:12" ht="13.5" x14ac:dyDescent="0.25">
      <c r="A27" s="36">
        <v>5</v>
      </c>
      <c r="B27" s="42" t="str">
        <f>IFERROR(VLOOKUP(H27,'[1]Consolidado MP Planta'!$A$2:$M$823,3,0),"")</f>
        <v>ETIQUETA BLANCA 2 5/8X1 15/16 (UND)</v>
      </c>
      <c r="C27" s="37">
        <f t="shared" ref="C27:C32" si="6">+A27</f>
        <v>5</v>
      </c>
      <c r="D27" s="38" t="str">
        <f>IFERROR(VLOOKUP(H27,'[1]Consolidado MP Planta'!$A$2:$M$823,13,0),"")</f>
        <v>Und</v>
      </c>
      <c r="E27" s="38">
        <f>IFERROR(VLOOKUP(H27,'[1]Consolidado MP Planta'!$A$2:$M$823,12,0),"")</f>
        <v>2.1280000000000001</v>
      </c>
      <c r="F27" s="38">
        <f t="shared" ref="F27:F32" si="7">IFERROR(C27*E27,"")</f>
        <v>10.64</v>
      </c>
      <c r="G27" s="39">
        <f t="shared" ref="G27:G32" si="8">IFERROR(F27/$F$66,"")</f>
        <v>3.4089394524508483E-4</v>
      </c>
      <c r="H27" s="43" t="s">
        <v>56</v>
      </c>
      <c r="I27" s="43"/>
      <c r="J27" s="41"/>
      <c r="K27" s="260"/>
      <c r="L27" s="260"/>
    </row>
    <row r="28" spans="1:12" ht="13.5" x14ac:dyDescent="0.25">
      <c r="A28" s="36">
        <v>5</v>
      </c>
      <c r="B28" s="42" t="s">
        <v>27</v>
      </c>
      <c r="C28" s="37">
        <f t="shared" si="6"/>
        <v>5</v>
      </c>
      <c r="D28" s="38" t="s">
        <v>57</v>
      </c>
      <c r="E28" s="38">
        <v>15</v>
      </c>
      <c r="F28" s="38">
        <f t="shared" si="7"/>
        <v>75</v>
      </c>
      <c r="G28" s="39">
        <f t="shared" si="8"/>
        <v>2.4029178471223081E-3</v>
      </c>
      <c r="H28" s="43" t="s">
        <v>58</v>
      </c>
      <c r="I28" s="43"/>
      <c r="J28" s="41"/>
      <c r="K28" s="260"/>
      <c r="L28" s="260"/>
    </row>
    <row r="29" spans="1:12" ht="13.5" hidden="1" x14ac:dyDescent="0.25">
      <c r="A29" s="36"/>
      <c r="B29" s="42" t="str">
        <f>IFERROR(VLOOKUP(H29,'[1]Consolidado MP Planta'!$A$2:$M$823,3,0),"")</f>
        <v/>
      </c>
      <c r="C29" s="37">
        <f t="shared" si="6"/>
        <v>0</v>
      </c>
      <c r="D29" s="38" t="str">
        <f>IFERROR(VLOOKUP(H29,'[1]Consolidado MP Planta'!$A$2:$M$823,13,0),"")</f>
        <v/>
      </c>
      <c r="E29" s="38" t="str">
        <f>IFERROR(VLOOKUP(H29,'[1]Consolidado MP Planta'!$A$2:$M$823,12,0),"")</f>
        <v/>
      </c>
      <c r="F29" s="38" t="str">
        <f t="shared" si="7"/>
        <v/>
      </c>
      <c r="G29" s="39" t="str">
        <f t="shared" si="8"/>
        <v/>
      </c>
      <c r="H29" s="43"/>
      <c r="I29" s="43"/>
      <c r="J29" s="41"/>
      <c r="K29" s="260"/>
      <c r="L29" s="260"/>
    </row>
    <row r="30" spans="1:12" ht="13.5" hidden="1" x14ac:dyDescent="0.25">
      <c r="A30" s="36"/>
      <c r="B30" s="42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39" t="str">
        <f t="shared" si="8"/>
        <v/>
      </c>
      <c r="H30" s="43"/>
      <c r="I30" s="43"/>
      <c r="J30" s="41"/>
      <c r="K30" s="260"/>
      <c r="L30" s="260"/>
    </row>
    <row r="31" spans="1:12" ht="13.5" hidden="1" x14ac:dyDescent="0.25">
      <c r="A31" s="36"/>
      <c r="B31" s="42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3"/>
      <c r="I31" s="43"/>
      <c r="J31" s="41"/>
      <c r="K31" s="44"/>
      <c r="L31" s="45"/>
    </row>
    <row r="32" spans="1:12" ht="13.5" hidden="1" x14ac:dyDescent="0.25">
      <c r="A32" s="36"/>
      <c r="B32" s="42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3"/>
      <c r="I32" s="43"/>
      <c r="J32" s="41"/>
    </row>
    <row r="33" spans="1:13" ht="14.25" thickBot="1" x14ac:dyDescent="0.3">
      <c r="A33" s="36"/>
      <c r="B33" s="42"/>
      <c r="C33" s="37"/>
      <c r="D33" s="38"/>
      <c r="E33" s="38"/>
      <c r="F33" s="38"/>
      <c r="G33" s="39"/>
      <c r="H33" s="43"/>
      <c r="I33" s="43"/>
      <c r="J33" s="41"/>
    </row>
    <row r="34" spans="1:13" ht="26.25" thickBot="1" x14ac:dyDescent="0.25">
      <c r="A34" s="31" t="s">
        <v>47</v>
      </c>
      <c r="B34" s="32" t="s">
        <v>59</v>
      </c>
      <c r="C34" s="32" t="s">
        <v>47</v>
      </c>
      <c r="D34" s="33" t="s">
        <v>49</v>
      </c>
      <c r="E34" s="33" t="s">
        <v>50</v>
      </c>
      <c r="F34" s="33" t="s">
        <v>51</v>
      </c>
      <c r="G34" s="33" t="s">
        <v>52</v>
      </c>
      <c r="H34" s="34" t="s">
        <v>53</v>
      </c>
      <c r="I34" s="43"/>
      <c r="J34" s="41"/>
    </row>
    <row r="35" spans="1:13" ht="13.5" x14ac:dyDescent="0.25">
      <c r="A35" s="36">
        <f>+A17</f>
        <v>11100</v>
      </c>
      <c r="B35" s="42" t="str">
        <f>IFERROR(VLOOKUP(H35,[1]SEMIELABORADOS!$A$2:$M$6000,2,0),"")</f>
        <v>BATIDO SOUFFLE (KILO)</v>
      </c>
      <c r="C35" s="37">
        <f>+A35</f>
        <v>11100</v>
      </c>
      <c r="D35" s="38" t="str">
        <f>IFERROR(VLOOKUP(H35,[1]SEMIELABORADOS!$A$2:$M$6000,6,0),"")</f>
        <v>Gramo</v>
      </c>
      <c r="E35" s="38">
        <f>IFERROR(VLOOKUP(H35,[1]SEMIELABORADOS!$A$2:$M$65536,10,0),"")</f>
        <v>1.4714714714714717E-3</v>
      </c>
      <c r="F35" s="38">
        <f>IFERROR(E35*C35,"")</f>
        <v>16.333333333333336</v>
      </c>
      <c r="G35" s="39">
        <f t="shared" ref="G35:G41" si="9">IFERROR(F35/$F$66,"")</f>
        <v>5.2330210892885835E-4</v>
      </c>
      <c r="H35" s="43" t="s">
        <v>55</v>
      </c>
      <c r="I35" s="43"/>
      <c r="J35" s="41"/>
    </row>
    <row r="36" spans="1:13" ht="13.5" hidden="1" x14ac:dyDescent="0.25">
      <c r="A36" s="36">
        <f t="shared" ref="A36:A41" si="10">+A18</f>
        <v>0</v>
      </c>
      <c r="B36" s="42" t="str">
        <f>IFERROR(VLOOKUP(H36,[1]SEMIELABORADOS!$A$2:$M$6000,2,0),"")</f>
        <v/>
      </c>
      <c r="C36" s="37">
        <f t="shared" ref="C36:C41" si="11">+A36</f>
        <v>0</v>
      </c>
      <c r="D36" s="38" t="str">
        <f>IFERROR(VLOOKUP(H36,[1]SEMIELABORADOS!$A$2:$M$6000,6,0),"")</f>
        <v/>
      </c>
      <c r="E36" s="38" t="str">
        <f>IFERROR(VLOOKUP(H36,[1]SEMIELABORADOS!$A$2:$M$65536,10,0),"")</f>
        <v/>
      </c>
      <c r="F36" s="38" t="str">
        <f t="shared" ref="F36:F41" si="12">IFERROR(E36*C36,"")</f>
        <v/>
      </c>
      <c r="G36" s="39" t="str">
        <f t="shared" si="9"/>
        <v/>
      </c>
      <c r="H36" s="43"/>
      <c r="I36" s="43"/>
      <c r="J36" s="41"/>
    </row>
    <row r="37" spans="1:13" ht="13.5" hidden="1" x14ac:dyDescent="0.25">
      <c r="A37" s="36">
        <f t="shared" si="10"/>
        <v>0</v>
      </c>
      <c r="B37" s="42" t="str">
        <f>IFERROR(VLOOKUP(H37,[1]SEMIELABORADOS!$A$2:$M$6000,2,0),"")</f>
        <v/>
      </c>
      <c r="C37" s="37">
        <f t="shared" si="11"/>
        <v>0</v>
      </c>
      <c r="D37" s="38" t="str">
        <f>IFERROR(VLOOKUP(H37,[1]SEMIELABORADOS!$A$2:$M$6000,6,0),"")</f>
        <v/>
      </c>
      <c r="E37" s="38" t="str">
        <f>IFERROR(VLOOKUP(H37,[1]SEMIELABORADOS!$A$2:$M$65536,10,0),"")</f>
        <v/>
      </c>
      <c r="F37" s="38" t="str">
        <f t="shared" si="12"/>
        <v/>
      </c>
      <c r="G37" s="39" t="str">
        <f t="shared" si="9"/>
        <v/>
      </c>
      <c r="H37" s="43"/>
      <c r="I37" s="43"/>
      <c r="J37" s="41"/>
    </row>
    <row r="38" spans="1:13" ht="13.5" hidden="1" x14ac:dyDescent="0.25">
      <c r="A38" s="36">
        <f t="shared" si="10"/>
        <v>0</v>
      </c>
      <c r="B38" s="42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9"/>
        <v/>
      </c>
      <c r="H38" s="43"/>
      <c r="I38" s="43"/>
      <c r="J38" s="41"/>
    </row>
    <row r="39" spans="1:13" ht="13.5" hidden="1" x14ac:dyDescent="0.25">
      <c r="A39" s="36">
        <f t="shared" si="10"/>
        <v>0</v>
      </c>
      <c r="B39" s="42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9"/>
        <v/>
      </c>
      <c r="H39" s="43"/>
      <c r="I39" s="43"/>
      <c r="J39" s="41"/>
    </row>
    <row r="40" spans="1:13" ht="13.5" hidden="1" x14ac:dyDescent="0.25">
      <c r="A40" s="36">
        <f t="shared" si="10"/>
        <v>0</v>
      </c>
      <c r="B40" s="42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3"/>
      <c r="I40" s="43"/>
      <c r="J40" s="41"/>
    </row>
    <row r="41" spans="1:13" ht="13.5" hidden="1" x14ac:dyDescent="0.25">
      <c r="A41" s="36">
        <f t="shared" si="10"/>
        <v>0</v>
      </c>
      <c r="B41" s="42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3"/>
      <c r="I41" s="43"/>
      <c r="J41" s="41"/>
    </row>
    <row r="42" spans="1:13" ht="14.25" thickBot="1" x14ac:dyDescent="0.3">
      <c r="A42" s="36"/>
      <c r="B42" s="42"/>
      <c r="C42" s="37"/>
      <c r="D42" s="38"/>
      <c r="E42" s="38"/>
      <c r="F42" s="38"/>
      <c r="G42" s="39"/>
      <c r="H42" s="43"/>
      <c r="I42" s="43"/>
      <c r="J42" s="41"/>
    </row>
    <row r="43" spans="1:13" ht="26.25" thickBot="1" x14ac:dyDescent="0.3">
      <c r="A43" s="31" t="s">
        <v>47</v>
      </c>
      <c r="B43" s="32" t="s">
        <v>60</v>
      </c>
      <c r="C43" s="32" t="s">
        <v>47</v>
      </c>
      <c r="D43" s="33" t="s">
        <v>49</v>
      </c>
      <c r="E43" s="33" t="s">
        <v>50</v>
      </c>
      <c r="F43" s="33" t="s">
        <v>51</v>
      </c>
      <c r="G43" s="33" t="s">
        <v>52</v>
      </c>
      <c r="H43" s="34" t="s">
        <v>53</v>
      </c>
      <c r="I43" s="35"/>
      <c r="J43" s="41"/>
    </row>
    <row r="44" spans="1:13" ht="13.5" x14ac:dyDescent="0.25">
      <c r="A44" s="36">
        <f>+A35</f>
        <v>11100</v>
      </c>
      <c r="B44" s="42" t="str">
        <f>IFERROR(VLOOKUP(H44,[1]SEMIELABORADOS!$A$2:$M$6000,2,0),"")</f>
        <v>BATIDO SOUFFLE (KILO)</v>
      </c>
      <c r="C44" s="37">
        <f>+A44</f>
        <v>11100</v>
      </c>
      <c r="D44" s="38" t="str">
        <f>IFERROR(VLOOKUP(H44,[1]SEMIELABORADOS!$A$2:$M$6000,6,0),"")</f>
        <v>Gramo</v>
      </c>
      <c r="E44" s="38">
        <f>IFERROR(VLOOKUP(H44,[1]SEMIELABORADOS!$A$2:$M$65536,12,0),"")</f>
        <v>0.21682142356756756</v>
      </c>
      <c r="F44" s="38">
        <f>IFERROR(E44*C44,"")</f>
        <v>2406.7178015999998</v>
      </c>
      <c r="G44" s="39">
        <f>IFERROR(F44/$F$66,"")</f>
        <v>7.7108602112688079E-2</v>
      </c>
      <c r="H44" s="43" t="s">
        <v>55</v>
      </c>
      <c r="I44" s="35"/>
      <c r="J44" s="41"/>
    </row>
    <row r="45" spans="1:13" ht="13.5" hidden="1" x14ac:dyDescent="0.25">
      <c r="A45" s="36">
        <f t="shared" ref="A45:A50" si="13">+A36</f>
        <v>0</v>
      </c>
      <c r="B45" s="42" t="str">
        <f>IFERROR(VLOOKUP(H45,[1]SEMIELABORADOS!$A$2:$M$6000,2,0),"")</f>
        <v/>
      </c>
      <c r="C45" s="37">
        <f t="shared" ref="C45:C50" si="14">+A45</f>
        <v>0</v>
      </c>
      <c r="D45" s="38" t="str">
        <f>IFERROR(VLOOKUP(H45,[1]SEMIELABORADOS!$A$2:$M$6000,6,0),"")</f>
        <v/>
      </c>
      <c r="E45" s="38" t="str">
        <f>IFERROR(VLOOKUP(H45,[1]SEMIELABORADOS!$A$2:$M$65536,12,0),"")</f>
        <v/>
      </c>
      <c r="F45" s="38" t="str">
        <f t="shared" ref="F45:F50" si="15">IFERROR(E45*C45,"")</f>
        <v/>
      </c>
      <c r="G45" s="39" t="str">
        <f t="shared" ref="G45:G50" si="16">IFERROR(F45/$F$66,"")</f>
        <v/>
      </c>
      <c r="H45" s="43"/>
      <c r="I45" s="35"/>
      <c r="J45" s="41"/>
      <c r="M45" s="46"/>
    </row>
    <row r="46" spans="1:13" ht="13.5" hidden="1" x14ac:dyDescent="0.25">
      <c r="A46" s="36">
        <f t="shared" si="13"/>
        <v>0</v>
      </c>
      <c r="B46" s="42" t="str">
        <f>IFERROR(VLOOKUP(H46,[1]SEMIELABORADOS!$A$2:$M$6000,2,0),"")</f>
        <v/>
      </c>
      <c r="C46" s="37">
        <f t="shared" si="14"/>
        <v>0</v>
      </c>
      <c r="D46" s="38" t="str">
        <f>IFERROR(VLOOKUP(H46,[1]SEMIELABORADOS!$A$2:$M$6000,6,0),"")</f>
        <v/>
      </c>
      <c r="E46" s="38" t="str">
        <f>IFERROR(VLOOKUP(H46,[1]SEMIELABORADOS!$A$2:$M$65536,12,0),"")</f>
        <v/>
      </c>
      <c r="F46" s="38" t="str">
        <f t="shared" si="15"/>
        <v/>
      </c>
      <c r="G46" s="39" t="str">
        <f t="shared" si="16"/>
        <v/>
      </c>
      <c r="H46" s="43"/>
      <c r="I46" s="35"/>
      <c r="J46" s="41"/>
    </row>
    <row r="47" spans="1:13" ht="13.5" hidden="1" x14ac:dyDescent="0.25">
      <c r="A47" s="36">
        <f t="shared" si="13"/>
        <v>0</v>
      </c>
      <c r="B47" s="42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39" t="str">
        <f t="shared" si="16"/>
        <v/>
      </c>
      <c r="H47" s="43"/>
      <c r="I47" s="35"/>
      <c r="J47" s="41"/>
    </row>
    <row r="48" spans="1:13" ht="13.5" hidden="1" x14ac:dyDescent="0.25">
      <c r="A48" s="36">
        <f t="shared" si="13"/>
        <v>0</v>
      </c>
      <c r="B48" s="42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39" t="str">
        <f t="shared" si="16"/>
        <v/>
      </c>
      <c r="H48" s="43"/>
      <c r="I48" s="35"/>
      <c r="J48" s="41"/>
    </row>
    <row r="49" spans="1:17" ht="13.5" hidden="1" x14ac:dyDescent="0.25">
      <c r="A49" s="36">
        <f t="shared" si="13"/>
        <v>0</v>
      </c>
      <c r="B49" s="42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3"/>
      <c r="I49" s="35"/>
      <c r="J49" s="41"/>
    </row>
    <row r="50" spans="1:17" ht="13.5" hidden="1" x14ac:dyDescent="0.25">
      <c r="A50" s="36">
        <f t="shared" si="13"/>
        <v>0</v>
      </c>
      <c r="B50" s="42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2"/>
      <c r="I50" s="35"/>
      <c r="J50" s="41"/>
    </row>
    <row r="51" spans="1:17" ht="13.5" x14ac:dyDescent="0.25">
      <c r="A51" s="36">
        <v>1</v>
      </c>
      <c r="B51" s="42" t="s">
        <v>61</v>
      </c>
      <c r="C51" s="37">
        <f>+A51</f>
        <v>1</v>
      </c>
      <c r="D51" s="37" t="s">
        <v>62</v>
      </c>
      <c r="E51" s="38">
        <f>+F65</f>
        <v>1220</v>
      </c>
      <c r="F51" s="38">
        <f>IFERROR(C51*E51,"")</f>
        <v>1220</v>
      </c>
      <c r="G51" s="39">
        <f>IFERROR(F51/$F$66,"")</f>
        <v>3.908746364652288E-2</v>
      </c>
      <c r="H51" s="47"/>
      <c r="I51" s="47"/>
      <c r="J51" s="41"/>
    </row>
    <row r="52" spans="1:17" ht="14.25" thickBot="1" x14ac:dyDescent="0.3">
      <c r="A52" s="36"/>
      <c r="B52" s="42"/>
      <c r="C52" s="37"/>
      <c r="D52" s="37"/>
      <c r="E52" s="38"/>
      <c r="F52" s="38"/>
      <c r="G52" s="39"/>
      <c r="H52" s="47"/>
      <c r="I52" s="47"/>
      <c r="J52" s="41"/>
    </row>
    <row r="53" spans="1:17" ht="13.5" thickBot="1" x14ac:dyDescent="0.3">
      <c r="A53" s="48"/>
      <c r="B53" s="270" t="s">
        <v>63</v>
      </c>
      <c r="C53" s="270"/>
      <c r="D53" s="270"/>
      <c r="E53" s="270"/>
      <c r="F53" s="50">
        <f>SUM(F8:F14,F17:F24)</f>
        <v>29304</v>
      </c>
      <c r="G53" s="39">
        <f>+F53/$F$66</f>
        <v>0.93886806122762834</v>
      </c>
      <c r="H53" s="51">
        <f>+F53/$D$60</f>
        <v>266.39999999999998</v>
      </c>
      <c r="I53" s="51"/>
      <c r="J53" s="52"/>
      <c r="K53" s="53"/>
      <c r="L53" s="53"/>
      <c r="M53" s="53"/>
      <c r="N53" s="53"/>
      <c r="O53" s="53"/>
      <c r="P53" s="53"/>
      <c r="Q53" s="54"/>
    </row>
    <row r="54" spans="1:17" x14ac:dyDescent="0.2">
      <c r="A54" s="48"/>
      <c r="B54" s="270" t="s">
        <v>64</v>
      </c>
      <c r="C54" s="270"/>
      <c r="D54" s="270"/>
      <c r="E54" s="270"/>
      <c r="F54" s="50">
        <f>SUM(F27:F32,F35:F41)</f>
        <v>101.97333333333333</v>
      </c>
      <c r="G54" s="39">
        <f>+F54/$F$66</f>
        <v>3.267113901296251E-3</v>
      </c>
      <c r="H54" s="51">
        <f>+F54/$D$60</f>
        <v>0.92703030303030298</v>
      </c>
      <c r="I54" s="51"/>
      <c r="J54" s="55"/>
      <c r="K54" s="271" t="s">
        <v>65</v>
      </c>
      <c r="L54" s="272"/>
      <c r="M54" s="272"/>
      <c r="N54" s="272"/>
      <c r="O54" s="56">
        <f>+F55</f>
        <v>29405.973333333332</v>
      </c>
      <c r="P54" s="56"/>
      <c r="Q54" s="57"/>
    </row>
    <row r="55" spans="1:17" x14ac:dyDescent="0.2">
      <c r="A55" s="48"/>
      <c r="B55" s="270" t="s">
        <v>66</v>
      </c>
      <c r="C55" s="270"/>
      <c r="D55" s="270"/>
      <c r="E55" s="270"/>
      <c r="F55" s="50">
        <f>+F53+F54</f>
        <v>29405.973333333332</v>
      </c>
      <c r="G55" s="39">
        <f>+F55/$F$66</f>
        <v>0.94213517512892453</v>
      </c>
      <c r="H55" s="51">
        <f>+F55/$D$60</f>
        <v>267.32703030303031</v>
      </c>
      <c r="I55" s="51"/>
      <c r="J55" s="58"/>
      <c r="K55" s="59"/>
      <c r="M55" s="60" t="s">
        <v>67</v>
      </c>
      <c r="N55" s="61"/>
      <c r="O55" s="56">
        <f>+H56</f>
        <v>32.970161832727271</v>
      </c>
      <c r="P55" s="56"/>
      <c r="Q55" s="57"/>
    </row>
    <row r="56" spans="1:17" ht="13.5" thickBot="1" x14ac:dyDescent="0.25">
      <c r="A56" s="48"/>
      <c r="B56" s="49"/>
      <c r="C56" s="270" t="s">
        <v>68</v>
      </c>
      <c r="D56" s="270"/>
      <c r="E56" s="270"/>
      <c r="F56" s="50">
        <f>SUM(F44:F51)</f>
        <v>3626.7178015999998</v>
      </c>
      <c r="G56" s="39">
        <f>+F56/$F$66</f>
        <v>0.11619606575921096</v>
      </c>
      <c r="H56" s="51">
        <f>+F56/$D$60</f>
        <v>32.970161832727271</v>
      </c>
      <c r="I56" s="51"/>
      <c r="J56" s="58"/>
      <c r="K56" s="59"/>
      <c r="L56" s="59"/>
      <c r="M56" s="59" t="s">
        <v>69</v>
      </c>
      <c r="N56" s="62"/>
      <c r="O56" s="56">
        <f>O54*N56</f>
        <v>0</v>
      </c>
      <c r="P56" s="56"/>
      <c r="Q56" s="57"/>
    </row>
    <row r="57" spans="1:17" ht="13.5" thickBot="1" x14ac:dyDescent="0.25">
      <c r="A57" s="48"/>
      <c r="B57" s="63"/>
      <c r="C57" s="63"/>
      <c r="D57" s="63"/>
      <c r="E57" s="63"/>
      <c r="F57" s="64"/>
      <c r="G57" s="39"/>
      <c r="H57" s="65"/>
      <c r="I57" s="51"/>
      <c r="J57" s="58"/>
      <c r="K57" s="66"/>
      <c r="M57" s="67" t="s">
        <v>70</v>
      </c>
      <c r="N57" s="68"/>
      <c r="O57" s="69">
        <f>SUM(O54:O56)</f>
        <v>29438.943495166059</v>
      </c>
      <c r="P57" s="70"/>
      <c r="Q57" s="57"/>
    </row>
    <row r="58" spans="1:17" x14ac:dyDescent="0.2">
      <c r="B58" s="273" t="s">
        <v>71</v>
      </c>
      <c r="C58" s="273"/>
      <c r="D58" s="71">
        <v>11000</v>
      </c>
      <c r="E58" s="72"/>
      <c r="G58" s="39"/>
      <c r="H58" s="65">
        <f>+H56/61</f>
        <v>0.54049445627421755</v>
      </c>
      <c r="I58" s="73"/>
      <c r="J58" s="58"/>
      <c r="K58" s="66"/>
      <c r="L58" s="59"/>
      <c r="M58" s="59" t="s">
        <v>72</v>
      </c>
      <c r="N58" s="74"/>
      <c r="O58" s="56">
        <f>+H59</f>
        <v>31.348678463904619</v>
      </c>
      <c r="P58" s="56"/>
      <c r="Q58" s="57"/>
    </row>
    <row r="59" spans="1:17" x14ac:dyDescent="0.2">
      <c r="B59" s="273" t="s">
        <v>73</v>
      </c>
      <c r="C59" s="273"/>
      <c r="D59" s="75">
        <v>100</v>
      </c>
      <c r="E59" s="72"/>
      <c r="G59" s="39"/>
      <c r="H59" s="65">
        <f>+H58*58</f>
        <v>31.348678463904619</v>
      </c>
      <c r="I59" s="73"/>
      <c r="J59" s="58"/>
      <c r="K59" s="66"/>
      <c r="L59" s="59"/>
      <c r="M59" s="274" t="s">
        <v>70</v>
      </c>
      <c r="N59" s="274"/>
      <c r="O59" s="56">
        <f>SUM(O57:O58)</f>
        <v>29470.292173629965</v>
      </c>
      <c r="P59" s="56"/>
      <c r="Q59" s="57"/>
    </row>
    <row r="60" spans="1:17" ht="13.5" thickBot="1" x14ac:dyDescent="0.25">
      <c r="B60" s="266" t="s">
        <v>74</v>
      </c>
      <c r="C60" s="266"/>
      <c r="D60" s="71">
        <f>+D58/D59</f>
        <v>110</v>
      </c>
      <c r="E60" s="72"/>
      <c r="F60" s="76"/>
      <c r="G60" s="39"/>
      <c r="H60" s="65"/>
      <c r="I60" s="73"/>
      <c r="J60" s="58"/>
      <c r="K60" s="66"/>
      <c r="L60" s="274"/>
      <c r="M60" s="274"/>
      <c r="N60" s="74"/>
      <c r="O60" s="56">
        <f>+O59*N60</f>
        <v>0</v>
      </c>
      <c r="P60" s="56"/>
      <c r="Q60" s="57"/>
    </row>
    <row r="61" spans="1:17" ht="13.5" thickBot="1" x14ac:dyDescent="0.25">
      <c r="B61" s="266" t="s">
        <v>75</v>
      </c>
      <c r="C61" s="266"/>
      <c r="D61" s="77"/>
      <c r="E61" s="72"/>
      <c r="F61" s="76"/>
      <c r="G61" s="39"/>
      <c r="H61" s="65"/>
      <c r="I61" s="73"/>
      <c r="J61" s="58"/>
      <c r="K61" s="267" t="s">
        <v>76</v>
      </c>
      <c r="L61" s="268"/>
      <c r="M61" s="268"/>
      <c r="N61" s="269"/>
      <c r="O61" s="69">
        <f>SUM(O59:O60)</f>
        <v>29470.292173629965</v>
      </c>
      <c r="P61" s="78" t="s">
        <v>77</v>
      </c>
      <c r="Q61" s="57"/>
    </row>
    <row r="62" spans="1:17" ht="13.5" thickBot="1" x14ac:dyDescent="0.25">
      <c r="C62" s="48" t="s">
        <v>78</v>
      </c>
      <c r="D62" s="79"/>
      <c r="E62" s="22" t="s">
        <v>79</v>
      </c>
      <c r="F62" s="80" t="s">
        <v>80</v>
      </c>
      <c r="G62" s="39"/>
      <c r="H62" s="65"/>
      <c r="I62" s="73"/>
      <c r="J62" s="81"/>
      <c r="K62" s="82"/>
      <c r="L62" s="280" t="s">
        <v>81</v>
      </c>
      <c r="M62" s="280"/>
      <c r="N62" s="280"/>
      <c r="O62" s="83">
        <f>+O61/D60</f>
        <v>267.9117470329997</v>
      </c>
      <c r="P62" s="84">
        <f>+O62/D59</f>
        <v>2.6791174703299969</v>
      </c>
      <c r="Q62" s="85"/>
    </row>
    <row r="63" spans="1:17" ht="13.5" thickBot="1" x14ac:dyDescent="0.25">
      <c r="B63" s="281" t="s">
        <v>66</v>
      </c>
      <c r="C63" s="281"/>
      <c r="D63" s="281"/>
      <c r="E63" s="86">
        <f>+F63/F63</f>
        <v>1</v>
      </c>
      <c r="F63" s="87">
        <f>SUM(F55)</f>
        <v>29405.973333333332</v>
      </c>
      <c r="G63" s="39">
        <f>+F63/$F$66</f>
        <v>0.94213517512892453</v>
      </c>
      <c r="H63" s="65"/>
      <c r="I63" s="73"/>
      <c r="K63" s="282"/>
      <c r="L63" s="283"/>
      <c r="M63" s="283"/>
      <c r="N63" s="283"/>
      <c r="O63" s="88"/>
      <c r="P63" s="89"/>
    </row>
    <row r="64" spans="1:17" ht="13.5" thickBot="1" x14ac:dyDescent="0.3">
      <c r="B64" s="284" t="s">
        <v>82</v>
      </c>
      <c r="C64" s="284"/>
      <c r="D64" s="284"/>
      <c r="E64" s="90">
        <v>0.02</v>
      </c>
      <c r="F64" s="87">
        <f>+F53*E64</f>
        <v>586.08000000000004</v>
      </c>
      <c r="G64" s="39">
        <f>+F64/$F$66</f>
        <v>1.8777361224552567E-2</v>
      </c>
      <c r="H64" s="51"/>
      <c r="I64" s="73"/>
      <c r="J64" s="91"/>
      <c r="O64" s="92"/>
      <c r="P64" s="49"/>
    </row>
    <row r="65" spans="2:13" ht="13.5" thickBot="1" x14ac:dyDescent="0.3">
      <c r="B65" s="285" t="s">
        <v>83</v>
      </c>
      <c r="C65" s="286"/>
      <c r="D65" s="93">
        <v>20</v>
      </c>
      <c r="E65" s="94">
        <v>61</v>
      </c>
      <c r="F65" s="87">
        <f>+E65*D65</f>
        <v>1220</v>
      </c>
      <c r="G65" s="39">
        <f>+F65/$F$66</f>
        <v>3.908746364652288E-2</v>
      </c>
      <c r="H65" s="51"/>
      <c r="I65" s="51"/>
      <c r="J65" s="41"/>
    </row>
    <row r="66" spans="2:13" ht="13.5" thickBot="1" x14ac:dyDescent="0.3">
      <c r="B66" s="287" t="s">
        <v>84</v>
      </c>
      <c r="C66" s="288"/>
      <c r="D66" s="288"/>
      <c r="E66" s="289"/>
      <c r="F66" s="64">
        <f>SUM(F63:F65)</f>
        <v>31212.053333333333</v>
      </c>
      <c r="G66" s="39">
        <f>+F66/$F$66</f>
        <v>1</v>
      </c>
      <c r="H66" s="290"/>
      <c r="I66" s="51"/>
      <c r="J66" s="41"/>
      <c r="M66" s="24" t="s">
        <v>85</v>
      </c>
    </row>
    <row r="67" spans="2:13" x14ac:dyDescent="0.25">
      <c r="C67" s="46"/>
      <c r="D67" s="46"/>
      <c r="E67" s="96"/>
      <c r="F67" s="87"/>
      <c r="G67" s="39"/>
      <c r="H67" s="290"/>
      <c r="I67" s="95"/>
      <c r="J67" s="24"/>
      <c r="M67" s="24" t="s">
        <v>86</v>
      </c>
    </row>
    <row r="68" spans="2:13" ht="13.5" thickBot="1" x14ac:dyDescent="0.3">
      <c r="B68" s="275" t="s">
        <v>87</v>
      </c>
      <c r="C68" s="275"/>
      <c r="D68" s="275"/>
      <c r="E68" s="275"/>
      <c r="F68" s="275"/>
      <c r="G68" s="39"/>
      <c r="H68" s="98"/>
      <c r="I68" s="95"/>
      <c r="J68" s="24"/>
      <c r="M68" s="24" t="s">
        <v>88</v>
      </c>
    </row>
    <row r="69" spans="2:13" ht="13.5" thickBot="1" x14ac:dyDescent="0.3">
      <c r="B69" s="99" t="s">
        <v>89</v>
      </c>
      <c r="C69" s="100">
        <f>+F53</f>
        <v>29304</v>
      </c>
      <c r="D69" s="100">
        <f>+D58</f>
        <v>11000</v>
      </c>
      <c r="E69" s="101">
        <f>+C69/D69</f>
        <v>2.6640000000000001</v>
      </c>
      <c r="F69" s="39"/>
      <c r="G69" s="98"/>
      <c r="H69" s="41"/>
      <c r="I69" s="98"/>
      <c r="J69" s="24"/>
    </row>
    <row r="70" spans="2:13" x14ac:dyDescent="0.25">
      <c r="B70" s="102"/>
      <c r="C70" s="103"/>
      <c r="D70" s="104"/>
      <c r="E70" s="87"/>
      <c r="F70" s="39"/>
      <c r="G70" s="98"/>
      <c r="H70" s="41"/>
      <c r="I70" s="41"/>
      <c r="J70" s="24"/>
    </row>
    <row r="71" spans="2:13" x14ac:dyDescent="0.25">
      <c r="B71" s="99" t="s">
        <v>90</v>
      </c>
      <c r="C71" s="100">
        <f>SUM(F63:F64)</f>
        <v>29992.053333333333</v>
      </c>
      <c r="D71" s="100">
        <f>+D58</f>
        <v>11000</v>
      </c>
      <c r="E71" s="105">
        <f>+C71/D71</f>
        <v>2.7265503030303031</v>
      </c>
      <c r="F71" s="39"/>
      <c r="G71" s="98"/>
      <c r="H71" s="41"/>
      <c r="I71" s="41"/>
      <c r="J71" s="24"/>
    </row>
    <row r="72" spans="2:13" x14ac:dyDescent="0.25">
      <c r="B72" s="99"/>
      <c r="C72" s="100"/>
      <c r="D72" s="100"/>
      <c r="E72" s="105"/>
      <c r="F72" s="39"/>
      <c r="G72" s="98"/>
      <c r="H72" s="41"/>
      <c r="I72" s="41"/>
      <c r="J72" s="24"/>
    </row>
    <row r="73" spans="2:13" ht="13.5" thickBot="1" x14ac:dyDescent="0.3">
      <c r="B73" s="99" t="s">
        <v>91</v>
      </c>
      <c r="C73" s="100">
        <f>+F65</f>
        <v>1220</v>
      </c>
      <c r="D73" s="100">
        <f>+D58</f>
        <v>11000</v>
      </c>
      <c r="E73" s="105">
        <f>+C73/D73</f>
        <v>0.11090909090909092</v>
      </c>
      <c r="F73" s="39"/>
      <c r="G73" s="98"/>
      <c r="H73" s="41"/>
      <c r="I73" s="41"/>
      <c r="J73" s="24"/>
    </row>
    <row r="74" spans="2:13" ht="13.5" thickBot="1" x14ac:dyDescent="0.3">
      <c r="B74" s="99" t="s">
        <v>92</v>
      </c>
      <c r="C74" s="100">
        <f>+F56</f>
        <v>3626.7178015999998</v>
      </c>
      <c r="D74" s="100">
        <f>+D73</f>
        <v>11000</v>
      </c>
      <c r="E74" s="101">
        <f>+C74/D74</f>
        <v>0.32970161832727268</v>
      </c>
      <c r="F74" s="39"/>
      <c r="G74" s="98"/>
      <c r="H74" s="41"/>
      <c r="I74" s="41"/>
      <c r="J74" s="24"/>
    </row>
    <row r="75" spans="2:13" ht="13.5" thickBot="1" x14ac:dyDescent="0.3">
      <c r="B75" s="63"/>
      <c r="C75" s="64"/>
      <c r="D75" s="64"/>
      <c r="E75" s="105"/>
      <c r="F75" s="39"/>
      <c r="G75" s="98"/>
      <c r="H75" s="41"/>
      <c r="I75" s="41"/>
      <c r="J75" s="24"/>
    </row>
    <row r="76" spans="2:13" ht="13.5" thickBot="1" x14ac:dyDescent="0.3">
      <c r="B76" s="99" t="s">
        <v>93</v>
      </c>
      <c r="C76" s="100">
        <f>+F54</f>
        <v>101.97333333333333</v>
      </c>
      <c r="D76" s="100">
        <f>+D74</f>
        <v>11000</v>
      </c>
      <c r="E76" s="101">
        <f>+C76/D76</f>
        <v>9.2703030303030298E-3</v>
      </c>
      <c r="F76" s="39"/>
      <c r="G76" s="98"/>
      <c r="H76" s="41"/>
      <c r="I76" s="41"/>
      <c r="J76" s="41"/>
    </row>
    <row r="77" spans="2:13" ht="13.5" thickBot="1" x14ac:dyDescent="0.3">
      <c r="B77" s="63"/>
      <c r="C77" s="64"/>
      <c r="D77" s="64"/>
      <c r="E77" s="105"/>
      <c r="F77" s="39"/>
      <c r="G77" s="98"/>
      <c r="H77" s="41"/>
      <c r="I77" s="41"/>
    </row>
    <row r="78" spans="2:13" ht="13.5" thickBot="1" x14ac:dyDescent="0.3">
      <c r="B78" s="276" t="s">
        <v>94</v>
      </c>
      <c r="C78" s="277"/>
      <c r="D78" s="278"/>
      <c r="E78" s="101">
        <f>+E69+E74</f>
        <v>2.9937016183272727</v>
      </c>
      <c r="G78" s="39"/>
      <c r="H78" s="98"/>
      <c r="I78" s="41"/>
      <c r="J78" s="105"/>
    </row>
    <row r="79" spans="2:13" x14ac:dyDescent="0.25">
      <c r="I79" s="98"/>
      <c r="J79" s="24"/>
    </row>
    <row r="80" spans="2:13" ht="13.5" thickBot="1" x14ac:dyDescent="0.3">
      <c r="B80" s="275" t="s">
        <v>95</v>
      </c>
      <c r="C80" s="275"/>
      <c r="D80" s="275"/>
      <c r="E80" s="275"/>
      <c r="F80" s="275"/>
      <c r="G80" s="39"/>
      <c r="H80" s="98"/>
      <c r="J80" s="24"/>
    </row>
    <row r="81" spans="1:10" ht="13.5" thickBot="1" x14ac:dyDescent="0.3">
      <c r="B81" s="99" t="s">
        <v>89</v>
      </c>
      <c r="C81" s="100">
        <f>+C69</f>
        <v>29304</v>
      </c>
      <c r="D81" s="100">
        <f>+D60</f>
        <v>110</v>
      </c>
      <c r="E81" s="101">
        <f>+C81/D81</f>
        <v>266.39999999999998</v>
      </c>
      <c r="F81" s="39"/>
      <c r="G81" s="98"/>
      <c r="H81" s="41"/>
      <c r="I81" s="98"/>
      <c r="J81" s="24"/>
    </row>
    <row r="82" spans="1:10" x14ac:dyDescent="0.25">
      <c r="B82" s="102"/>
      <c r="C82" s="103"/>
      <c r="D82" s="104"/>
      <c r="E82" s="87"/>
      <c r="F82" s="39"/>
      <c r="G82" s="98"/>
      <c r="H82" s="41"/>
      <c r="I82" s="41"/>
      <c r="J82" s="24"/>
    </row>
    <row r="83" spans="1:10" x14ac:dyDescent="0.25">
      <c r="B83" s="99" t="s">
        <v>90</v>
      </c>
      <c r="C83" s="100">
        <f>+C71</f>
        <v>29992.053333333333</v>
      </c>
      <c r="D83" s="100">
        <f>+D60</f>
        <v>110</v>
      </c>
      <c r="E83" s="105">
        <f>+C83/D83</f>
        <v>272.65503030303029</v>
      </c>
      <c r="F83" s="39"/>
      <c r="G83" s="98"/>
      <c r="H83" s="41"/>
      <c r="I83" s="41"/>
      <c r="J83" s="24"/>
    </row>
    <row r="84" spans="1:10" x14ac:dyDescent="0.25">
      <c r="B84" s="99"/>
      <c r="C84" s="100"/>
      <c r="D84" s="100"/>
      <c r="E84" s="105"/>
      <c r="F84" s="39"/>
      <c r="G84" s="98"/>
      <c r="H84" s="41"/>
      <c r="I84" s="41"/>
      <c r="J84" s="24"/>
    </row>
    <row r="85" spans="1:10" ht="13.5" thickBot="1" x14ac:dyDescent="0.3">
      <c r="B85" s="99" t="s">
        <v>92</v>
      </c>
      <c r="C85" s="100">
        <f>+C73</f>
        <v>1220</v>
      </c>
      <c r="D85" s="100">
        <f>+D60</f>
        <v>110</v>
      </c>
      <c r="E85" s="105">
        <f>+C85/D85</f>
        <v>11.090909090909092</v>
      </c>
      <c r="F85" s="107"/>
      <c r="G85" s="97"/>
      <c r="H85" s="23"/>
      <c r="I85" s="41"/>
    </row>
    <row r="86" spans="1:10" ht="13.5" thickBot="1" x14ac:dyDescent="0.3">
      <c r="B86" s="99" t="s">
        <v>92</v>
      </c>
      <c r="C86" s="100">
        <f>+C74</f>
        <v>3626.7178015999998</v>
      </c>
      <c r="D86" s="100">
        <f>+D85</f>
        <v>110</v>
      </c>
      <c r="E86" s="101">
        <f>+C86/D86</f>
        <v>32.970161832727271</v>
      </c>
      <c r="F86" s="106"/>
      <c r="G86" s="97"/>
      <c r="H86" s="23"/>
      <c r="I86" s="23"/>
    </row>
    <row r="87" spans="1:10" x14ac:dyDescent="0.25">
      <c r="I87" s="23"/>
    </row>
    <row r="88" spans="1:10" x14ac:dyDescent="0.2">
      <c r="A88" s="279"/>
      <c r="B88" s="279"/>
      <c r="C88" s="108"/>
      <c r="D88" s="108"/>
      <c r="E88" s="109"/>
      <c r="G88" s="110"/>
    </row>
    <row r="89" spans="1:10" x14ac:dyDescent="0.2">
      <c r="A89" s="42"/>
      <c r="B89" s="111"/>
      <c r="C89" s="112"/>
      <c r="D89" s="112"/>
      <c r="E89" s="113"/>
      <c r="G89" s="110"/>
    </row>
    <row r="90" spans="1:10" x14ac:dyDescent="0.2">
      <c r="A90" s="42"/>
      <c r="B90" s="111"/>
      <c r="C90" s="114"/>
      <c r="D90" s="114"/>
      <c r="E90" s="42"/>
      <c r="G90" s="110"/>
    </row>
    <row r="91" spans="1:10" x14ac:dyDescent="0.2">
      <c r="A91" s="42"/>
      <c r="B91" s="111"/>
      <c r="C91" s="115"/>
      <c r="D91" s="115"/>
      <c r="E91" s="42"/>
      <c r="G91" s="11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B4CE-935D-4324-8AC8-B8272D6C2F52}">
  <dimension ref="A1:Q91"/>
  <sheetViews>
    <sheetView workbookViewId="0">
      <selection sqref="A1:XFD1048576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9.5703125" style="24" bestFit="1" customWidth="1"/>
    <col min="7" max="7" width="9.5703125" style="106" bestFit="1" customWidth="1"/>
    <col min="8" max="8" width="10.42578125" style="97" bestFit="1" customWidth="1"/>
    <col min="9" max="9" width="4.5703125" style="97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4" ht="27.75" customHeight="1" x14ac:dyDescent="0.25">
      <c r="A1" s="19"/>
      <c r="B1" s="19"/>
      <c r="C1" s="19"/>
      <c r="D1" s="19"/>
      <c r="E1" s="20" t="s">
        <v>41</v>
      </c>
      <c r="F1" s="21" t="s">
        <v>42</v>
      </c>
      <c r="G1" s="21" t="s">
        <v>43</v>
      </c>
      <c r="H1" s="21" t="s">
        <v>44</v>
      </c>
      <c r="I1" s="22"/>
    </row>
    <row r="2" spans="1:14" ht="30.75" customHeight="1" x14ac:dyDescent="0.25">
      <c r="A2" s="19"/>
      <c r="B2" s="19"/>
      <c r="C2" s="19"/>
      <c r="D2" s="19"/>
      <c r="E2" s="25">
        <f>IFERROR(O62,"")</f>
        <v>6934.4285488103933</v>
      </c>
      <c r="F2" s="25">
        <f>IFERROR(H53,"")</f>
        <v>5033.3999999999996</v>
      </c>
      <c r="G2" s="25">
        <f>IFERROR(H54,"")</f>
        <v>2.3598009508571431</v>
      </c>
      <c r="H2" s="25">
        <f>IFERROR(H56,"")</f>
        <v>973.2671732725355</v>
      </c>
      <c r="I2" s="26"/>
    </row>
    <row r="3" spans="1:14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4" ht="24.75" customHeight="1" thickBot="1" x14ac:dyDescent="0.3">
      <c r="A4" s="261"/>
      <c r="B4" s="261"/>
      <c r="C4" s="261"/>
      <c r="D4" s="261"/>
      <c r="E4" s="261"/>
      <c r="F4" s="261"/>
      <c r="G4" s="261"/>
      <c r="H4" s="261"/>
      <c r="I4" s="28"/>
    </row>
    <row r="5" spans="1:14" ht="19.5" customHeight="1" thickBot="1" x14ac:dyDescent="0.3">
      <c r="A5" s="262" t="s">
        <v>45</v>
      </c>
      <c r="B5" s="263"/>
      <c r="C5" s="263"/>
      <c r="D5" s="263"/>
      <c r="E5" s="263"/>
      <c r="F5" s="263"/>
      <c r="G5" s="263"/>
      <c r="H5" s="264"/>
      <c r="I5" s="29"/>
    </row>
    <row r="6" spans="1:14" ht="19.5" thickBot="1" x14ac:dyDescent="0.3">
      <c r="A6" s="29"/>
      <c r="B6" s="29"/>
      <c r="C6" s="29"/>
      <c r="D6" s="29"/>
      <c r="E6" s="29"/>
      <c r="F6" s="265" t="s">
        <v>46</v>
      </c>
      <c r="G6" s="265"/>
      <c r="H6" s="30">
        <f ca="1">TODAY()</f>
        <v>45715</v>
      </c>
      <c r="I6" s="30"/>
    </row>
    <row r="7" spans="1:14" ht="26.25" thickBot="1" x14ac:dyDescent="0.3">
      <c r="A7" s="31" t="s">
        <v>47</v>
      </c>
      <c r="B7" s="32" t="s">
        <v>48</v>
      </c>
      <c r="C7" s="32" t="s">
        <v>47</v>
      </c>
      <c r="D7" s="33" t="s">
        <v>49</v>
      </c>
      <c r="E7" s="33" t="s">
        <v>50</v>
      </c>
      <c r="F7" s="33" t="s">
        <v>51</v>
      </c>
      <c r="G7" s="33" t="s">
        <v>52</v>
      </c>
      <c r="H7" s="34" t="s">
        <v>53</v>
      </c>
      <c r="I7" s="35"/>
    </row>
    <row r="8" spans="1:14" ht="13.5" x14ac:dyDescent="0.25">
      <c r="A8" s="36">
        <v>15</v>
      </c>
      <c r="B8" s="24" t="s">
        <v>96</v>
      </c>
      <c r="C8" s="37">
        <f>+A8</f>
        <v>15</v>
      </c>
      <c r="D8" s="38" t="s">
        <v>97</v>
      </c>
      <c r="E8" s="38">
        <v>19.559999999999999</v>
      </c>
      <c r="F8" s="38">
        <f>IFERROR(C8*E8,"")</f>
        <v>293.39999999999998</v>
      </c>
      <c r="G8" s="39">
        <f t="shared" ref="G8:G14" si="0">IFERROR(F8/$F$66,"")</f>
        <v>5.5796144989752612E-2</v>
      </c>
      <c r="H8" s="40"/>
      <c r="I8" s="40"/>
      <c r="J8" s="41"/>
    </row>
    <row r="9" spans="1:14" ht="13.5" hidden="1" x14ac:dyDescent="0.25">
      <c r="A9" s="36"/>
      <c r="B9" s="24" t="str">
        <f>IFERROR(VLOOKUP(H9,'[1]Consolidado MP Planta'!$A$2:$M$823,3,0),"")</f>
        <v/>
      </c>
      <c r="C9" s="37">
        <f t="shared" ref="C9:C14" si="1">+A9</f>
        <v>0</v>
      </c>
      <c r="D9" s="38" t="str">
        <f>IFERROR(VLOOKUP(H9,'[1]Consolidado MP Planta'!$A$2:$M$823,13,0),"")</f>
        <v/>
      </c>
      <c r="E9" s="38" t="str">
        <f>IFERROR(VLOOKUP(H9,'[1]Consolidado MP Planta'!$A$2:$M$823,12,0),"")</f>
        <v/>
      </c>
      <c r="F9" s="38" t="str">
        <f t="shared" ref="F9:F14" si="2">IFERROR(C9*E9,"")</f>
        <v/>
      </c>
      <c r="G9" s="39" t="str">
        <f t="shared" si="0"/>
        <v/>
      </c>
      <c r="H9" s="40"/>
      <c r="I9" s="40"/>
      <c r="J9" s="41"/>
    </row>
    <row r="10" spans="1:14" ht="13.5" hidden="1" x14ac:dyDescent="0.25">
      <c r="A10" s="36"/>
      <c r="B10" s="24" t="str">
        <f>IFERROR(VLOOKUP(H10,'[1]Consolidado MP Planta'!$A$2:$M$823,3,0),"")</f>
        <v/>
      </c>
      <c r="C10" s="37">
        <f t="shared" si="1"/>
        <v>0</v>
      </c>
      <c r="D10" s="38" t="str">
        <f>IFERROR(VLOOKUP(H10,'[1]Consolidado MP Planta'!$A$2:$M$823,13,0),"")</f>
        <v/>
      </c>
      <c r="E10" s="38" t="str">
        <f>IFERROR(VLOOKUP(H10,'[1]Consolidado MP Planta'!$A$2:$M$823,12,0),"")</f>
        <v/>
      </c>
      <c r="F10" s="38" t="str">
        <f t="shared" si="2"/>
        <v/>
      </c>
      <c r="G10" s="39" t="str">
        <f t="shared" si="0"/>
        <v/>
      </c>
      <c r="H10" s="40"/>
      <c r="I10" s="40"/>
      <c r="J10" s="41"/>
    </row>
    <row r="11" spans="1:14" ht="13.5" hidden="1" x14ac:dyDescent="0.25">
      <c r="A11" s="36"/>
      <c r="B11" s="24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39" t="str">
        <f t="shared" si="0"/>
        <v/>
      </c>
      <c r="H11" s="40"/>
      <c r="I11" s="40"/>
      <c r="J11" s="41"/>
    </row>
    <row r="12" spans="1:14" ht="13.5" hidden="1" x14ac:dyDescent="0.25">
      <c r="A12" s="36"/>
      <c r="B12" s="24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40"/>
      <c r="I12" s="40"/>
      <c r="J12" s="41"/>
    </row>
    <row r="13" spans="1:14" ht="13.5" hidden="1" x14ac:dyDescent="0.25">
      <c r="A13" s="36"/>
      <c r="B13" s="24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40"/>
      <c r="I13" s="40"/>
      <c r="J13" s="41"/>
      <c r="N13" s="24">
        <f>2347.66/120</f>
        <v>19.563833333333331</v>
      </c>
    </row>
    <row r="14" spans="1:14" ht="13.5" hidden="1" x14ac:dyDescent="0.25">
      <c r="A14" s="36"/>
      <c r="B14" s="24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40"/>
      <c r="I14" s="40"/>
      <c r="J14" s="41"/>
    </row>
    <row r="15" spans="1:14" ht="14.25" thickBot="1" x14ac:dyDescent="0.3">
      <c r="A15" s="36"/>
      <c r="B15" s="24" t="str">
        <f>IFERROR(VLOOKUP(H15,'[2]ARTICULOS MP PLANTA'!$A$2:$G$589,2,0),"")</f>
        <v/>
      </c>
      <c r="C15" s="37"/>
      <c r="D15" s="38"/>
      <c r="E15" s="38"/>
      <c r="F15" s="38"/>
      <c r="G15" s="39"/>
      <c r="H15" s="40"/>
      <c r="I15" s="40"/>
      <c r="J15" s="41"/>
    </row>
    <row r="16" spans="1:14" ht="26.25" thickBot="1" x14ac:dyDescent="0.3">
      <c r="A16" s="31" t="s">
        <v>47</v>
      </c>
      <c r="B16" s="32" t="s">
        <v>54</v>
      </c>
      <c r="C16" s="32" t="s">
        <v>47</v>
      </c>
      <c r="D16" s="33" t="s">
        <v>49</v>
      </c>
      <c r="E16" s="33" t="s">
        <v>50</v>
      </c>
      <c r="F16" s="33" t="s">
        <v>51</v>
      </c>
      <c r="G16" s="33" t="s">
        <v>52</v>
      </c>
      <c r="H16" s="34" t="s">
        <v>53</v>
      </c>
      <c r="I16" s="35"/>
      <c r="J16" s="41"/>
    </row>
    <row r="17" spans="1:15" ht="13.5" x14ac:dyDescent="0.25">
      <c r="A17" s="36">
        <v>3000</v>
      </c>
      <c r="B17" s="24" t="str">
        <f>IFERROR(VLOOKUP(H17,[1]SEMIELABORADOS!$A$2:$M$6000,2,0),"")</f>
        <v>MEZCLA TRES LECHES PASTEURIZADA KILO</v>
      </c>
      <c r="C17" s="37">
        <f>+A17</f>
        <v>3000</v>
      </c>
      <c r="D17" s="37" t="str">
        <f>IFERROR(VLOOKUP(H17,[1]SEMIELABORADOS!$A$2:$M$6000,6,0),"")</f>
        <v>Gramo</v>
      </c>
      <c r="E17" s="38">
        <v>1.58</v>
      </c>
      <c r="F17" s="38">
        <f>IFERROR(E17*C17,"")</f>
        <v>4740</v>
      </c>
      <c r="G17" s="39">
        <f t="shared" ref="G17:G24" si="3">IFERROR(F17/$F$66,"")</f>
        <v>0.90141011333138177</v>
      </c>
      <c r="H17" s="40" t="s">
        <v>98</v>
      </c>
      <c r="I17" s="40"/>
      <c r="J17" s="41"/>
    </row>
    <row r="18" spans="1:15" ht="13.5" hidden="1" x14ac:dyDescent="0.25">
      <c r="A18" s="36"/>
      <c r="B18" s="24" t="str">
        <f>IFERROR(VLOOKUP(H18,[1]SEMIELABORADOS!$A$2:$M$6000,2,0),"")</f>
        <v/>
      </c>
      <c r="C18" s="37">
        <f t="shared" ref="C18:C24" si="4">+A18</f>
        <v>0</v>
      </c>
      <c r="D18" s="37" t="str">
        <f>IFERROR(VLOOKUP(H18,[1]SEMIELABORADOS!$A$2:$M$6000,6,0),"")</f>
        <v/>
      </c>
      <c r="E18" s="38" t="str">
        <f>IFERROR(VLOOKUP(H18,[1]SEMIELABORADOS!$A$2:$H$65536,8,0),"")</f>
        <v/>
      </c>
      <c r="F18" s="38" t="str">
        <f t="shared" ref="F18:F24" si="5">IFERROR(E18*C18,"")</f>
        <v/>
      </c>
      <c r="G18" s="39" t="str">
        <f t="shared" si="3"/>
        <v/>
      </c>
      <c r="H18" s="40"/>
      <c r="I18" s="40"/>
      <c r="J18" s="41"/>
      <c r="O18" s="24">
        <f>2347.66/120</f>
        <v>19.563833333333331</v>
      </c>
    </row>
    <row r="19" spans="1:15" ht="13.5" hidden="1" x14ac:dyDescent="0.25">
      <c r="A19" s="36"/>
      <c r="B19" s="24" t="str">
        <f>IFERROR(VLOOKUP(H19,[1]SEMIELABORADOS!$A$2:$M$6000,2,0),"")</f>
        <v/>
      </c>
      <c r="C19" s="37">
        <f>+A19</f>
        <v>0</v>
      </c>
      <c r="D19" s="37" t="str">
        <f>IFERROR(VLOOKUP(H19,[1]SEMIELABORADOS!$A$2:$M$6000,6,0),"")</f>
        <v/>
      </c>
      <c r="E19" s="38" t="str">
        <f>IFERROR(VLOOKUP(H19,[1]SEMIELABORADOS!$A$2:$H$65536,8,0),"")</f>
        <v/>
      </c>
      <c r="F19" s="38" t="str">
        <f>IFERROR(E19*C19,"")</f>
        <v/>
      </c>
      <c r="G19" s="39" t="str">
        <f t="shared" si="3"/>
        <v/>
      </c>
      <c r="H19" s="40"/>
      <c r="I19" s="40"/>
      <c r="J19" s="41"/>
    </row>
    <row r="20" spans="1:15" ht="13.5" hidden="1" x14ac:dyDescent="0.25">
      <c r="A20" s="36"/>
      <c r="B20" s="24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40"/>
      <c r="I20" s="40"/>
      <c r="J20" s="41"/>
    </row>
    <row r="21" spans="1:15" ht="13.5" hidden="1" x14ac:dyDescent="0.25">
      <c r="A21" s="36"/>
      <c r="B21" s="24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40"/>
      <c r="I21" s="40"/>
      <c r="J21" s="41"/>
    </row>
    <row r="22" spans="1:15" ht="13.5" hidden="1" x14ac:dyDescent="0.25">
      <c r="A22" s="36"/>
      <c r="B22" s="24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40"/>
      <c r="I22" s="40"/>
      <c r="J22" s="41"/>
    </row>
    <row r="23" spans="1:15" ht="13.5" hidden="1" x14ac:dyDescent="0.25">
      <c r="A23" s="36"/>
      <c r="B23" s="24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40"/>
      <c r="I23" s="40"/>
      <c r="J23" s="41"/>
    </row>
    <row r="24" spans="1:15" ht="13.5" hidden="1" x14ac:dyDescent="0.25">
      <c r="A24" s="36"/>
      <c r="B24" s="24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40"/>
      <c r="I24" s="40"/>
      <c r="J24" s="41"/>
    </row>
    <row r="25" spans="1:15" ht="14.25" thickBot="1" x14ac:dyDescent="0.3">
      <c r="A25" s="36"/>
      <c r="C25" s="37"/>
      <c r="D25" s="37"/>
      <c r="E25" s="38"/>
      <c r="F25" s="38"/>
      <c r="G25" s="39"/>
      <c r="H25" s="40"/>
      <c r="I25" s="40"/>
      <c r="J25" s="41"/>
    </row>
    <row r="26" spans="1:15" ht="26.25" hidden="1" thickBot="1" x14ac:dyDescent="0.3">
      <c r="A26" s="31" t="s">
        <v>47</v>
      </c>
      <c r="B26" s="32" t="s">
        <v>21</v>
      </c>
      <c r="C26" s="32" t="s">
        <v>47</v>
      </c>
      <c r="D26" s="33" t="s">
        <v>49</v>
      </c>
      <c r="E26" s="33" t="s">
        <v>50</v>
      </c>
      <c r="F26" s="33" t="s">
        <v>51</v>
      </c>
      <c r="G26" s="33" t="s">
        <v>52</v>
      </c>
      <c r="H26" s="34" t="s">
        <v>53</v>
      </c>
      <c r="I26" s="35"/>
    </row>
    <row r="27" spans="1:15" ht="13.5" hidden="1" x14ac:dyDescent="0.25">
      <c r="A27" s="36">
        <v>0</v>
      </c>
      <c r="B27" s="42" t="str">
        <f>IFERROR(VLOOKUP(H27,'[1]Consolidado MP Planta'!$A$2:$M$823,3,0),"")</f>
        <v/>
      </c>
      <c r="C27" s="37">
        <f t="shared" ref="C27:C32" si="6">+A27</f>
        <v>0</v>
      </c>
      <c r="D27" s="38" t="str">
        <f>IFERROR(VLOOKUP(H27,'[1]Consolidado MP Planta'!$A$2:$M$823,13,0),"")</f>
        <v/>
      </c>
      <c r="E27" s="38" t="str">
        <f>IFERROR(VLOOKUP(H27,'[1]Consolidado MP Planta'!$A$2:$M$823,12,0),"")</f>
        <v/>
      </c>
      <c r="F27" s="38" t="str">
        <f t="shared" ref="F27:F32" si="7">IFERROR(C27*E27,"")</f>
        <v/>
      </c>
      <c r="G27" s="39" t="str">
        <f t="shared" ref="G27:G32" si="8">IFERROR(F27/$F$66,"")</f>
        <v/>
      </c>
      <c r="H27" s="43"/>
      <c r="I27" s="43"/>
      <c r="J27" s="41"/>
      <c r="K27" s="260"/>
      <c r="L27" s="260"/>
    </row>
    <row r="28" spans="1:15" ht="13.5" hidden="1" x14ac:dyDescent="0.25">
      <c r="A28" s="36"/>
      <c r="B28" s="42" t="str">
        <f>IFERROR(VLOOKUP(H28,'[1]Consolidado MP Planta'!$A$2:$M$823,3,0),"")</f>
        <v/>
      </c>
      <c r="C28" s="37">
        <f t="shared" si="6"/>
        <v>0</v>
      </c>
      <c r="D28" s="38" t="str">
        <f>IFERROR(VLOOKUP(H28,'[1]Consolidado MP Planta'!$A$2:$M$823,13,0),"")</f>
        <v/>
      </c>
      <c r="E28" s="38" t="str">
        <f>IFERROR(VLOOKUP(H28,'[1]Consolidado MP Planta'!$A$2:$M$823,12,0),"")</f>
        <v/>
      </c>
      <c r="F28" s="38" t="str">
        <f t="shared" si="7"/>
        <v/>
      </c>
      <c r="G28" s="39" t="str">
        <f t="shared" si="8"/>
        <v/>
      </c>
      <c r="H28" s="43"/>
      <c r="I28" s="43"/>
      <c r="J28" s="41"/>
      <c r="K28" s="260"/>
      <c r="L28" s="260"/>
    </row>
    <row r="29" spans="1:15" ht="13.5" hidden="1" x14ac:dyDescent="0.25">
      <c r="A29" s="36"/>
      <c r="B29" s="42" t="str">
        <f>IFERROR(VLOOKUP(H29,'[1]Consolidado MP Planta'!$A$2:$M$823,3,0),"")</f>
        <v/>
      </c>
      <c r="C29" s="37">
        <f t="shared" si="6"/>
        <v>0</v>
      </c>
      <c r="D29" s="38" t="str">
        <f>IFERROR(VLOOKUP(H29,'[1]Consolidado MP Planta'!$A$2:$M$823,13,0),"")</f>
        <v/>
      </c>
      <c r="E29" s="38" t="str">
        <f>IFERROR(VLOOKUP(H29,'[1]Consolidado MP Planta'!$A$2:$M$823,12,0),"")</f>
        <v/>
      </c>
      <c r="F29" s="38" t="str">
        <f t="shared" si="7"/>
        <v/>
      </c>
      <c r="G29" s="39" t="str">
        <f t="shared" si="8"/>
        <v/>
      </c>
      <c r="H29" s="43"/>
      <c r="I29" s="43"/>
      <c r="J29" s="41"/>
      <c r="K29" s="260"/>
      <c r="L29" s="260"/>
    </row>
    <row r="30" spans="1:15" ht="13.5" hidden="1" x14ac:dyDescent="0.25">
      <c r="A30" s="36"/>
      <c r="B30" s="42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39" t="str">
        <f t="shared" si="8"/>
        <v/>
      </c>
      <c r="H30" s="43"/>
      <c r="I30" s="43"/>
      <c r="J30" s="41"/>
      <c r="K30" s="260"/>
      <c r="L30" s="260"/>
    </row>
    <row r="31" spans="1:15" ht="13.5" hidden="1" x14ac:dyDescent="0.25">
      <c r="A31" s="36"/>
      <c r="B31" s="42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3"/>
      <c r="I31" s="43"/>
      <c r="J31" s="41"/>
      <c r="K31" s="44"/>
      <c r="L31" s="45"/>
    </row>
    <row r="32" spans="1:15" ht="13.5" hidden="1" x14ac:dyDescent="0.25">
      <c r="A32" s="36"/>
      <c r="B32" s="42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3"/>
      <c r="I32" s="43"/>
      <c r="J32" s="41"/>
    </row>
    <row r="33" spans="1:13" ht="14.25" hidden="1" thickBot="1" x14ac:dyDescent="0.3">
      <c r="A33" s="36"/>
      <c r="B33" s="42"/>
      <c r="C33" s="37"/>
      <c r="D33" s="38"/>
      <c r="E33" s="38"/>
      <c r="F33" s="38"/>
      <c r="G33" s="39"/>
      <c r="H33" s="43"/>
      <c r="I33" s="43"/>
      <c r="J33" s="41"/>
    </row>
    <row r="34" spans="1:13" ht="26.25" thickBot="1" x14ac:dyDescent="0.25">
      <c r="A34" s="31" t="s">
        <v>47</v>
      </c>
      <c r="B34" s="32" t="s">
        <v>59</v>
      </c>
      <c r="C34" s="32" t="s">
        <v>47</v>
      </c>
      <c r="D34" s="33" t="s">
        <v>49</v>
      </c>
      <c r="E34" s="33" t="s">
        <v>50</v>
      </c>
      <c r="F34" s="33" t="s">
        <v>51</v>
      </c>
      <c r="G34" s="33" t="s">
        <v>52</v>
      </c>
      <c r="H34" s="34" t="s">
        <v>53</v>
      </c>
      <c r="I34" s="43"/>
      <c r="J34" s="41"/>
    </row>
    <row r="35" spans="1:13" ht="13.5" x14ac:dyDescent="0.25">
      <c r="A35" s="36">
        <f>+A17</f>
        <v>3000</v>
      </c>
      <c r="B35" s="42" t="str">
        <f>IFERROR(VLOOKUP(H35,[1]SEMIELABORADOS!$A$2:$M$6000,2,0),"")</f>
        <v>MEZCLA TRES LECHES PASTEURIZADA KILO</v>
      </c>
      <c r="C35" s="37">
        <f>+A35</f>
        <v>3000</v>
      </c>
      <c r="D35" s="38" t="str">
        <f>IFERROR(VLOOKUP(H35,[1]SEMIELABORADOS!$A$2:$M$6000,6,0),"")</f>
        <v>Gramo</v>
      </c>
      <c r="E35" s="38">
        <f>IFERROR(VLOOKUP(H35,[1]SEMIELABORADOS!$A$2:$M$65536,10,0),"")</f>
        <v>7.8660031695238105E-4</v>
      </c>
      <c r="F35" s="38">
        <f>IFERROR(E35*C35,"")</f>
        <v>2.3598009508571431</v>
      </c>
      <c r="G35" s="39">
        <f t="shared" ref="G35:G41" si="9">IFERROR(F35/$F$66,"")</f>
        <v>4.4876549420920671E-4</v>
      </c>
      <c r="H35" s="43" t="s">
        <v>98</v>
      </c>
      <c r="I35" s="43"/>
      <c r="J35" s="41"/>
    </row>
    <row r="36" spans="1:13" ht="13.5" hidden="1" x14ac:dyDescent="0.25">
      <c r="A36" s="36">
        <f t="shared" ref="A36:A41" si="10">+A18</f>
        <v>0</v>
      </c>
      <c r="B36" s="42" t="str">
        <f>IFERROR(VLOOKUP(H36,[1]SEMIELABORADOS!$A$2:$M$6000,2,0),"")</f>
        <v/>
      </c>
      <c r="C36" s="37">
        <f t="shared" ref="C36:C41" si="11">+A36</f>
        <v>0</v>
      </c>
      <c r="D36" s="38" t="str">
        <f>IFERROR(VLOOKUP(H36,[1]SEMIELABORADOS!$A$2:$M$6000,6,0),"")</f>
        <v/>
      </c>
      <c r="E36" s="38" t="str">
        <f>IFERROR(VLOOKUP(H36,[1]SEMIELABORADOS!$A$2:$M$65536,10,0),"")</f>
        <v/>
      </c>
      <c r="F36" s="38" t="str">
        <f t="shared" ref="F36:F41" si="12">IFERROR(E36*C36,"")</f>
        <v/>
      </c>
      <c r="G36" s="39" t="str">
        <f t="shared" si="9"/>
        <v/>
      </c>
      <c r="H36" s="43"/>
      <c r="I36" s="43"/>
      <c r="J36" s="41"/>
    </row>
    <row r="37" spans="1:13" ht="13.5" hidden="1" x14ac:dyDescent="0.25">
      <c r="A37" s="36">
        <f t="shared" si="10"/>
        <v>0</v>
      </c>
      <c r="B37" s="42" t="str">
        <f>IFERROR(VLOOKUP(H37,[1]SEMIELABORADOS!$A$2:$M$6000,2,0),"")</f>
        <v/>
      </c>
      <c r="C37" s="37">
        <f t="shared" si="11"/>
        <v>0</v>
      </c>
      <c r="D37" s="38" t="str">
        <f>IFERROR(VLOOKUP(H37,[1]SEMIELABORADOS!$A$2:$M$6000,6,0),"")</f>
        <v/>
      </c>
      <c r="E37" s="38" t="str">
        <f>IFERROR(VLOOKUP(H37,[1]SEMIELABORADOS!$A$2:$M$65536,10,0),"")</f>
        <v/>
      </c>
      <c r="F37" s="38" t="str">
        <f t="shared" si="12"/>
        <v/>
      </c>
      <c r="G37" s="39" t="str">
        <f t="shared" si="9"/>
        <v/>
      </c>
      <c r="H37" s="43"/>
      <c r="I37" s="43"/>
      <c r="J37" s="41"/>
    </row>
    <row r="38" spans="1:13" ht="13.5" hidden="1" x14ac:dyDescent="0.25">
      <c r="A38" s="36">
        <f t="shared" si="10"/>
        <v>0</v>
      </c>
      <c r="B38" s="42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9"/>
        <v/>
      </c>
      <c r="H38" s="43"/>
      <c r="I38" s="43"/>
      <c r="J38" s="41"/>
    </row>
    <row r="39" spans="1:13" ht="13.5" hidden="1" x14ac:dyDescent="0.25">
      <c r="A39" s="36">
        <f t="shared" si="10"/>
        <v>0</v>
      </c>
      <c r="B39" s="42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9"/>
        <v/>
      </c>
      <c r="H39" s="43"/>
      <c r="I39" s="43"/>
      <c r="J39" s="41"/>
    </row>
    <row r="40" spans="1:13" ht="13.5" hidden="1" x14ac:dyDescent="0.25">
      <c r="A40" s="36">
        <f t="shared" si="10"/>
        <v>0</v>
      </c>
      <c r="B40" s="42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3"/>
      <c r="I40" s="43"/>
      <c r="J40" s="41"/>
    </row>
    <row r="41" spans="1:13" ht="13.5" hidden="1" x14ac:dyDescent="0.25">
      <c r="A41" s="36">
        <f t="shared" si="10"/>
        <v>0</v>
      </c>
      <c r="B41" s="42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3"/>
      <c r="I41" s="43"/>
      <c r="J41" s="41"/>
    </row>
    <row r="42" spans="1:13" ht="14.25" thickBot="1" x14ac:dyDescent="0.3">
      <c r="A42" s="36"/>
      <c r="B42" s="42"/>
      <c r="C42" s="37"/>
      <c r="D42" s="38"/>
      <c r="E42" s="38"/>
      <c r="F42" s="38"/>
      <c r="G42" s="39"/>
      <c r="H42" s="43"/>
      <c r="I42" s="43"/>
      <c r="J42" s="41"/>
    </row>
    <row r="43" spans="1:13" ht="26.25" thickBot="1" x14ac:dyDescent="0.3">
      <c r="A43" s="31" t="s">
        <v>47</v>
      </c>
      <c r="B43" s="32" t="s">
        <v>60</v>
      </c>
      <c r="C43" s="32" t="s">
        <v>47</v>
      </c>
      <c r="D43" s="33" t="s">
        <v>49</v>
      </c>
      <c r="E43" s="33" t="s">
        <v>50</v>
      </c>
      <c r="F43" s="33" t="s">
        <v>51</v>
      </c>
      <c r="G43" s="33" t="s">
        <v>52</v>
      </c>
      <c r="H43" s="34" t="s">
        <v>53</v>
      </c>
      <c r="I43" s="35"/>
      <c r="J43" s="41"/>
    </row>
    <row r="44" spans="1:13" ht="13.5" x14ac:dyDescent="0.25">
      <c r="A44" s="36">
        <f>+A35</f>
        <v>3000</v>
      </c>
      <c r="B44" s="42" t="str">
        <f>IFERROR(VLOOKUP(H44,[1]SEMIELABORADOS!$A$2:$M$6000,2,0),"")</f>
        <v>MEZCLA TRES LECHES PASTEURIZADA KILO</v>
      </c>
      <c r="C44" s="37">
        <f>+A44</f>
        <v>3000</v>
      </c>
      <c r="D44" s="38" t="str">
        <f>IFERROR(VLOOKUP(H44,[1]SEMIELABORADOS!$A$2:$M$6000,6,0),"")</f>
        <v>Gramo</v>
      </c>
      <c r="E44" s="38">
        <f>IFERROR(VLOOKUP(H44,[1]SEMIELABORADOS!$A$2:$M$65536,12,0),"")</f>
        <v>0.28375572442417851</v>
      </c>
      <c r="F44" s="38">
        <f>IFERROR(E44*C44,"")</f>
        <v>851.2671732725355</v>
      </c>
      <c r="G44" s="39">
        <f>IFERROR(F44/$F$66,"")</f>
        <v>0.16188625298204246</v>
      </c>
      <c r="H44" s="43" t="s">
        <v>98</v>
      </c>
      <c r="I44" s="35"/>
      <c r="J44" s="41"/>
    </row>
    <row r="45" spans="1:13" ht="13.5" hidden="1" x14ac:dyDescent="0.25">
      <c r="A45" s="36">
        <f t="shared" ref="A45:A50" si="13">+A36</f>
        <v>0</v>
      </c>
      <c r="B45" s="42" t="str">
        <f>IFERROR(VLOOKUP(H45,[1]SEMIELABORADOS!$A$2:$M$6000,2,0),"")</f>
        <v/>
      </c>
      <c r="C45" s="37">
        <f t="shared" ref="C45:C50" si="14">+A45</f>
        <v>0</v>
      </c>
      <c r="D45" s="38" t="str">
        <f>IFERROR(VLOOKUP(H45,[1]SEMIELABORADOS!$A$2:$M$6000,6,0),"")</f>
        <v/>
      </c>
      <c r="E45" s="38" t="str">
        <f>IFERROR(VLOOKUP(H45,[1]SEMIELABORADOS!$A$2:$M$65536,12,0),"")</f>
        <v/>
      </c>
      <c r="F45" s="38" t="str">
        <f t="shared" ref="F45:F50" si="15">IFERROR(E45*C45,"")</f>
        <v/>
      </c>
      <c r="G45" s="39" t="str">
        <f t="shared" ref="G45:G50" si="16">IFERROR(F45/$F$66,"")</f>
        <v/>
      </c>
      <c r="H45" s="43"/>
      <c r="I45" s="35"/>
      <c r="J45" s="41"/>
      <c r="M45" s="46"/>
    </row>
    <row r="46" spans="1:13" ht="13.5" hidden="1" x14ac:dyDescent="0.25">
      <c r="A46" s="36">
        <f t="shared" si="13"/>
        <v>0</v>
      </c>
      <c r="B46" s="42" t="str">
        <f>IFERROR(VLOOKUP(H46,[1]SEMIELABORADOS!$A$2:$M$6000,2,0),"")</f>
        <v/>
      </c>
      <c r="C46" s="37">
        <f t="shared" si="14"/>
        <v>0</v>
      </c>
      <c r="D46" s="38" t="str">
        <f>IFERROR(VLOOKUP(H46,[1]SEMIELABORADOS!$A$2:$M$6000,6,0),"")</f>
        <v/>
      </c>
      <c r="E46" s="38" t="str">
        <f>IFERROR(VLOOKUP(H46,[1]SEMIELABORADOS!$A$2:$M$65536,12,0),"")</f>
        <v/>
      </c>
      <c r="F46" s="38" t="str">
        <f t="shared" si="15"/>
        <v/>
      </c>
      <c r="G46" s="39" t="str">
        <f t="shared" si="16"/>
        <v/>
      </c>
      <c r="H46" s="43"/>
      <c r="I46" s="35"/>
      <c r="J46" s="41"/>
    </row>
    <row r="47" spans="1:13" ht="13.5" hidden="1" x14ac:dyDescent="0.25">
      <c r="A47" s="36">
        <f t="shared" si="13"/>
        <v>0</v>
      </c>
      <c r="B47" s="42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39" t="str">
        <f t="shared" si="16"/>
        <v/>
      </c>
      <c r="H47" s="43"/>
      <c r="I47" s="35"/>
      <c r="J47" s="41"/>
    </row>
    <row r="48" spans="1:13" ht="13.5" hidden="1" x14ac:dyDescent="0.25">
      <c r="A48" s="36">
        <f t="shared" si="13"/>
        <v>0</v>
      </c>
      <c r="B48" s="42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39" t="str">
        <f t="shared" si="16"/>
        <v/>
      </c>
      <c r="H48" s="43"/>
      <c r="I48" s="35"/>
      <c r="J48" s="41"/>
    </row>
    <row r="49" spans="1:17" ht="13.5" hidden="1" x14ac:dyDescent="0.25">
      <c r="A49" s="36">
        <f t="shared" si="13"/>
        <v>0</v>
      </c>
      <c r="B49" s="42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3"/>
      <c r="I49" s="35"/>
      <c r="J49" s="41"/>
    </row>
    <row r="50" spans="1:17" ht="13.5" hidden="1" x14ac:dyDescent="0.25">
      <c r="A50" s="36">
        <f t="shared" si="13"/>
        <v>0</v>
      </c>
      <c r="B50" s="42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2"/>
      <c r="I50" s="35"/>
      <c r="J50" s="41"/>
    </row>
    <row r="51" spans="1:17" ht="13.5" x14ac:dyDescent="0.25">
      <c r="A51" s="36">
        <v>1</v>
      </c>
      <c r="B51" s="42" t="s">
        <v>61</v>
      </c>
      <c r="C51" s="37">
        <f>+A51</f>
        <v>1</v>
      </c>
      <c r="D51" s="37" t="s">
        <v>62</v>
      </c>
      <c r="E51" s="38">
        <f>+F65</f>
        <v>122</v>
      </c>
      <c r="F51" s="38">
        <f>IFERROR(C51*E51,"")</f>
        <v>122</v>
      </c>
      <c r="G51" s="39">
        <f>IFERROR(F51/$F$66,"")</f>
        <v>2.3200851018233878E-2</v>
      </c>
      <c r="H51" s="47"/>
      <c r="I51" s="47"/>
      <c r="J51" s="41"/>
    </row>
    <row r="52" spans="1:17" ht="14.25" thickBot="1" x14ac:dyDescent="0.3">
      <c r="A52" s="36"/>
      <c r="B52" s="42"/>
      <c r="C52" s="37"/>
      <c r="D52" s="37"/>
      <c r="E52" s="38"/>
      <c r="F52" s="38"/>
      <c r="G52" s="39"/>
      <c r="H52" s="47"/>
      <c r="I52" s="47"/>
      <c r="J52" s="41"/>
    </row>
    <row r="53" spans="1:17" ht="13.5" thickBot="1" x14ac:dyDescent="0.3">
      <c r="A53" s="48"/>
      <c r="B53" s="270" t="s">
        <v>63</v>
      </c>
      <c r="C53" s="270"/>
      <c r="D53" s="270"/>
      <c r="E53" s="270"/>
      <c r="F53" s="50">
        <f>SUM(F8:F14,F17:F24)</f>
        <v>5033.3999999999996</v>
      </c>
      <c r="G53" s="39">
        <f>+F53/$F$66</f>
        <v>0.95720625832113437</v>
      </c>
      <c r="H53" s="51">
        <f>+F53/$D$60</f>
        <v>5033.3999999999996</v>
      </c>
      <c r="I53" s="51"/>
      <c r="J53" s="52"/>
      <c r="K53" s="53"/>
      <c r="L53" s="53"/>
      <c r="M53" s="53"/>
      <c r="N53" s="53"/>
      <c r="O53" s="53"/>
      <c r="P53" s="53"/>
      <c r="Q53" s="54"/>
    </row>
    <row r="54" spans="1:17" x14ac:dyDescent="0.2">
      <c r="A54" s="48"/>
      <c r="B54" s="270" t="s">
        <v>64</v>
      </c>
      <c r="C54" s="270"/>
      <c r="D54" s="270"/>
      <c r="E54" s="270"/>
      <c r="F54" s="50">
        <f>SUM(F27:F32,F35:F41)</f>
        <v>2.3598009508571431</v>
      </c>
      <c r="G54" s="39">
        <f>+F54/$F$66</f>
        <v>4.4876549420920671E-4</v>
      </c>
      <c r="H54" s="51">
        <f>+F54/$D$60</f>
        <v>2.3598009508571431</v>
      </c>
      <c r="I54" s="51"/>
      <c r="J54" s="55"/>
      <c r="K54" s="271" t="s">
        <v>65</v>
      </c>
      <c r="L54" s="272"/>
      <c r="M54" s="272"/>
      <c r="N54" s="272"/>
      <c r="O54" s="56">
        <f>+F55</f>
        <v>5035.7598009508565</v>
      </c>
      <c r="P54" s="56"/>
      <c r="Q54" s="57"/>
    </row>
    <row r="55" spans="1:17" x14ac:dyDescent="0.2">
      <c r="A55" s="48"/>
      <c r="B55" s="270" t="s">
        <v>66</v>
      </c>
      <c r="C55" s="270"/>
      <c r="D55" s="270"/>
      <c r="E55" s="270"/>
      <c r="F55" s="50">
        <f>+F53+F54</f>
        <v>5035.7598009508565</v>
      </c>
      <c r="G55" s="39">
        <f>+F55/$F$66</f>
        <v>0.95765502381534351</v>
      </c>
      <c r="H55" s="51">
        <f>+F55/$D$60</f>
        <v>5035.7598009508565</v>
      </c>
      <c r="I55" s="51"/>
      <c r="J55" s="58"/>
      <c r="K55" s="59"/>
      <c r="M55" s="60" t="s">
        <v>67</v>
      </c>
      <c r="N55" s="61"/>
      <c r="O55" s="56">
        <f>+H56</f>
        <v>973.2671732725355</v>
      </c>
      <c r="P55" s="56"/>
      <c r="Q55" s="57"/>
    </row>
    <row r="56" spans="1:17" ht="13.5" thickBot="1" x14ac:dyDescent="0.25">
      <c r="A56" s="48"/>
      <c r="B56" s="49"/>
      <c r="C56" s="270" t="s">
        <v>68</v>
      </c>
      <c r="D56" s="270"/>
      <c r="E56" s="270"/>
      <c r="F56" s="50">
        <f>SUM(F44:F51)</f>
        <v>973.2671732725355</v>
      </c>
      <c r="G56" s="39">
        <f>+F56/$F$66</f>
        <v>0.18508710400027634</v>
      </c>
      <c r="H56" s="51">
        <f>+F56/$D$60</f>
        <v>973.2671732725355</v>
      </c>
      <c r="I56" s="51"/>
      <c r="J56" s="58"/>
      <c r="K56" s="59"/>
      <c r="L56" s="59"/>
      <c r="M56" s="59" t="s">
        <v>69</v>
      </c>
      <c r="N56" s="62"/>
      <c r="O56" s="56">
        <f>O54*N56</f>
        <v>0</v>
      </c>
      <c r="P56" s="56"/>
      <c r="Q56" s="57"/>
    </row>
    <row r="57" spans="1:17" ht="13.5" thickBot="1" x14ac:dyDescent="0.25">
      <c r="A57" s="48"/>
      <c r="B57" s="63"/>
      <c r="C57" s="63"/>
      <c r="D57" s="63"/>
      <c r="E57" s="63"/>
      <c r="F57" s="64"/>
      <c r="G57" s="39"/>
      <c r="H57" s="65"/>
      <c r="I57" s="51"/>
      <c r="J57" s="58"/>
      <c r="K57" s="66"/>
      <c r="M57" s="67" t="s">
        <v>70</v>
      </c>
      <c r="N57" s="68"/>
      <c r="O57" s="69">
        <f>SUM(O54:O56)</f>
        <v>6009.0269742233922</v>
      </c>
      <c r="P57" s="70"/>
      <c r="Q57" s="57"/>
    </row>
    <row r="58" spans="1:17" x14ac:dyDescent="0.2">
      <c r="B58" s="273" t="s">
        <v>71</v>
      </c>
      <c r="C58" s="273"/>
      <c r="D58" s="71">
        <v>4000</v>
      </c>
      <c r="E58" s="72"/>
      <c r="G58" s="39"/>
      <c r="H58" s="65">
        <f>+H56/61</f>
        <v>15.955199561844845</v>
      </c>
      <c r="I58" s="73"/>
      <c r="J58" s="58"/>
      <c r="K58" s="66"/>
      <c r="L58" s="59"/>
      <c r="M58" s="59" t="s">
        <v>72</v>
      </c>
      <c r="N58" s="74"/>
      <c r="O58" s="56">
        <f>+H59</f>
        <v>925.40157458700105</v>
      </c>
      <c r="P58" s="56"/>
      <c r="Q58" s="57"/>
    </row>
    <row r="59" spans="1:17" x14ac:dyDescent="0.2">
      <c r="B59" s="273" t="s">
        <v>73</v>
      </c>
      <c r="C59" s="273"/>
      <c r="D59" s="75">
        <v>4000</v>
      </c>
      <c r="E59" s="72"/>
      <c r="G59" s="39"/>
      <c r="H59" s="65">
        <f>+H58*58</f>
        <v>925.40157458700105</v>
      </c>
      <c r="I59" s="73"/>
      <c r="J59" s="58"/>
      <c r="K59" s="66"/>
      <c r="L59" s="59"/>
      <c r="M59" s="274" t="s">
        <v>70</v>
      </c>
      <c r="N59" s="274"/>
      <c r="O59" s="56">
        <f>SUM(O57:O58)</f>
        <v>6934.4285488103933</v>
      </c>
      <c r="P59" s="56"/>
      <c r="Q59" s="57"/>
    </row>
    <row r="60" spans="1:17" ht="13.5" thickBot="1" x14ac:dyDescent="0.25">
      <c r="B60" s="266" t="s">
        <v>74</v>
      </c>
      <c r="C60" s="266"/>
      <c r="D60" s="71">
        <f>+D58/D59</f>
        <v>1</v>
      </c>
      <c r="E60" s="72"/>
      <c r="F60" s="76"/>
      <c r="G60" s="39"/>
      <c r="H60" s="65"/>
      <c r="I60" s="73"/>
      <c r="J60" s="58"/>
      <c r="K60" s="66"/>
      <c r="L60" s="274"/>
      <c r="M60" s="274"/>
      <c r="N60" s="74"/>
      <c r="O60" s="56">
        <f>+O59*N60</f>
        <v>0</v>
      </c>
      <c r="P60" s="56"/>
      <c r="Q60" s="57"/>
    </row>
    <row r="61" spans="1:17" ht="13.5" thickBot="1" x14ac:dyDescent="0.25">
      <c r="B61" s="266" t="s">
        <v>75</v>
      </c>
      <c r="C61" s="266"/>
      <c r="D61" s="77"/>
      <c r="E61" s="72"/>
      <c r="F61" s="76"/>
      <c r="G61" s="39"/>
      <c r="H61" s="65"/>
      <c r="I61" s="73"/>
      <c r="J61" s="58"/>
      <c r="K61" s="267" t="s">
        <v>76</v>
      </c>
      <c r="L61" s="268"/>
      <c r="M61" s="268"/>
      <c r="N61" s="269"/>
      <c r="O61" s="69">
        <f>SUM(O59:O60)</f>
        <v>6934.4285488103933</v>
      </c>
      <c r="P61" s="78" t="s">
        <v>77</v>
      </c>
      <c r="Q61" s="57"/>
    </row>
    <row r="62" spans="1:17" ht="13.5" thickBot="1" x14ac:dyDescent="0.25">
      <c r="C62" s="48" t="s">
        <v>78</v>
      </c>
      <c r="D62" s="79"/>
      <c r="E62" s="22" t="s">
        <v>79</v>
      </c>
      <c r="F62" s="80" t="s">
        <v>80</v>
      </c>
      <c r="G62" s="39"/>
      <c r="H62" s="65"/>
      <c r="I62" s="73"/>
      <c r="J62" s="81"/>
      <c r="K62" s="82"/>
      <c r="L62" s="280" t="s">
        <v>81</v>
      </c>
      <c r="M62" s="280"/>
      <c r="N62" s="280"/>
      <c r="O62" s="83">
        <f>+O61/D60</f>
        <v>6934.4285488103933</v>
      </c>
      <c r="P62" s="84">
        <f>+O62/D59</f>
        <v>1.7336071372025983</v>
      </c>
      <c r="Q62" s="85"/>
    </row>
    <row r="63" spans="1:17" ht="13.5" thickBot="1" x14ac:dyDescent="0.25">
      <c r="B63" s="281" t="s">
        <v>66</v>
      </c>
      <c r="C63" s="281"/>
      <c r="D63" s="281"/>
      <c r="E63" s="86">
        <f>+F63/F63</f>
        <v>1</v>
      </c>
      <c r="F63" s="87">
        <f>SUM(F55)</f>
        <v>5035.7598009508565</v>
      </c>
      <c r="G63" s="39">
        <f>+F63/$F$66</f>
        <v>0.95765502381534351</v>
      </c>
      <c r="H63" s="65"/>
      <c r="I63" s="73"/>
      <c r="K63" s="282"/>
      <c r="L63" s="283"/>
      <c r="M63" s="283"/>
      <c r="N63" s="283"/>
      <c r="O63" s="88"/>
      <c r="P63" s="89"/>
    </row>
    <row r="64" spans="1:17" ht="13.5" thickBot="1" x14ac:dyDescent="0.3">
      <c r="B64" s="284" t="s">
        <v>82</v>
      </c>
      <c r="C64" s="284"/>
      <c r="D64" s="284"/>
      <c r="E64" s="90">
        <v>0.02</v>
      </c>
      <c r="F64" s="87">
        <f>+F53*E64</f>
        <v>100.66799999999999</v>
      </c>
      <c r="G64" s="39">
        <f>+F64/$F$66</f>
        <v>1.9144125166422686E-2</v>
      </c>
      <c r="H64" s="51"/>
      <c r="I64" s="73"/>
      <c r="J64" s="91"/>
      <c r="O64" s="92"/>
      <c r="P64" s="49"/>
    </row>
    <row r="65" spans="2:13" ht="13.5" thickBot="1" x14ac:dyDescent="0.3">
      <c r="B65" s="285" t="s">
        <v>83</v>
      </c>
      <c r="C65" s="286"/>
      <c r="D65" s="93">
        <v>2</v>
      </c>
      <c r="E65" s="94">
        <v>61</v>
      </c>
      <c r="F65" s="87">
        <f>+E65*D65</f>
        <v>122</v>
      </c>
      <c r="G65" s="39">
        <f>+F65/$F$66</f>
        <v>2.3200851018233878E-2</v>
      </c>
      <c r="H65" s="51"/>
      <c r="I65" s="51"/>
      <c r="J65" s="41"/>
    </row>
    <row r="66" spans="2:13" ht="13.5" thickBot="1" x14ac:dyDescent="0.3">
      <c r="B66" s="287" t="s">
        <v>84</v>
      </c>
      <c r="C66" s="288"/>
      <c r="D66" s="288"/>
      <c r="E66" s="289"/>
      <c r="F66" s="64">
        <f>SUM(F63:F65)</f>
        <v>5258.4278009508562</v>
      </c>
      <c r="G66" s="39">
        <f>+F66/$F$66</f>
        <v>1</v>
      </c>
      <c r="H66" s="290"/>
      <c r="I66" s="51"/>
      <c r="J66" s="41"/>
      <c r="M66" s="24" t="s">
        <v>85</v>
      </c>
    </row>
    <row r="67" spans="2:13" x14ac:dyDescent="0.25">
      <c r="C67" s="46"/>
      <c r="D67" s="46"/>
      <c r="E67" s="96"/>
      <c r="F67" s="87"/>
      <c r="G67" s="39"/>
      <c r="H67" s="290"/>
      <c r="I67" s="95"/>
      <c r="J67" s="24"/>
      <c r="M67" s="24" t="s">
        <v>86</v>
      </c>
    </row>
    <row r="68" spans="2:13" ht="13.5" thickBot="1" x14ac:dyDescent="0.3">
      <c r="B68" s="275" t="s">
        <v>87</v>
      </c>
      <c r="C68" s="275"/>
      <c r="D68" s="275"/>
      <c r="E68" s="275"/>
      <c r="F68" s="275"/>
      <c r="G68" s="39"/>
      <c r="H68" s="98"/>
      <c r="I68" s="95"/>
      <c r="J68" s="24"/>
      <c r="M68" s="24" t="s">
        <v>88</v>
      </c>
    </row>
    <row r="69" spans="2:13" ht="13.5" thickBot="1" x14ac:dyDescent="0.3">
      <c r="B69" s="99" t="s">
        <v>89</v>
      </c>
      <c r="C69" s="100">
        <f>+F53</f>
        <v>5033.3999999999996</v>
      </c>
      <c r="D69" s="100">
        <f>+D58</f>
        <v>4000</v>
      </c>
      <c r="E69" s="101">
        <f>+C69/D69</f>
        <v>1.2583499999999999</v>
      </c>
      <c r="F69" s="39"/>
      <c r="G69" s="98"/>
      <c r="H69" s="41"/>
      <c r="I69" s="98"/>
      <c r="J69" s="24"/>
    </row>
    <row r="70" spans="2:13" x14ac:dyDescent="0.25">
      <c r="B70" s="102"/>
      <c r="C70" s="103"/>
      <c r="D70" s="104"/>
      <c r="E70" s="87"/>
      <c r="F70" s="39"/>
      <c r="G70" s="98"/>
      <c r="H70" s="41"/>
      <c r="I70" s="41"/>
      <c r="J70" s="24"/>
    </row>
    <row r="71" spans="2:13" x14ac:dyDescent="0.25">
      <c r="B71" s="99" t="s">
        <v>90</v>
      </c>
      <c r="C71" s="100">
        <f>SUM(F63:F64)</f>
        <v>5136.4278009508562</v>
      </c>
      <c r="D71" s="100">
        <f>+D58</f>
        <v>4000</v>
      </c>
      <c r="E71" s="105">
        <f>+C71/D71</f>
        <v>1.284106950237714</v>
      </c>
      <c r="F71" s="39"/>
      <c r="G71" s="98"/>
      <c r="H71" s="41"/>
      <c r="I71" s="41"/>
      <c r="J71" s="24"/>
    </row>
    <row r="72" spans="2:13" x14ac:dyDescent="0.25">
      <c r="B72" s="99"/>
      <c r="C72" s="100"/>
      <c r="D72" s="100"/>
      <c r="E72" s="105"/>
      <c r="F72" s="39"/>
      <c r="G72" s="98"/>
      <c r="H72" s="41"/>
      <c r="I72" s="41"/>
      <c r="J72" s="24"/>
    </row>
    <row r="73" spans="2:13" ht="13.5" thickBot="1" x14ac:dyDescent="0.3">
      <c r="B73" s="99" t="s">
        <v>91</v>
      </c>
      <c r="C73" s="100">
        <f>+F65</f>
        <v>122</v>
      </c>
      <c r="D73" s="100">
        <f>+D58</f>
        <v>4000</v>
      </c>
      <c r="E73" s="105">
        <f>+C73/D73</f>
        <v>3.0499999999999999E-2</v>
      </c>
      <c r="F73" s="39"/>
      <c r="G73" s="98"/>
      <c r="H73" s="41"/>
      <c r="I73" s="41"/>
      <c r="J73" s="24"/>
    </row>
    <row r="74" spans="2:13" ht="13.5" thickBot="1" x14ac:dyDescent="0.3">
      <c r="B74" s="99" t="s">
        <v>92</v>
      </c>
      <c r="C74" s="100">
        <f>+F56</f>
        <v>973.2671732725355</v>
      </c>
      <c r="D74" s="100">
        <f>+D73</f>
        <v>4000</v>
      </c>
      <c r="E74" s="101">
        <f>+C74/D74</f>
        <v>0.24331679331813388</v>
      </c>
      <c r="F74" s="39"/>
      <c r="G74" s="98"/>
      <c r="H74" s="41"/>
      <c r="I74" s="41"/>
      <c r="J74" s="24"/>
    </row>
    <row r="75" spans="2:13" ht="13.5" thickBot="1" x14ac:dyDescent="0.3">
      <c r="B75" s="63"/>
      <c r="C75" s="64"/>
      <c r="D75" s="64"/>
      <c r="E75" s="105"/>
      <c r="F75" s="39"/>
      <c r="G75" s="98"/>
      <c r="H75" s="41"/>
      <c r="I75" s="41"/>
      <c r="J75" s="24"/>
    </row>
    <row r="76" spans="2:13" ht="13.5" thickBot="1" x14ac:dyDescent="0.3">
      <c r="B76" s="99" t="s">
        <v>93</v>
      </c>
      <c r="C76" s="100">
        <f>+F54</f>
        <v>2.3598009508571431</v>
      </c>
      <c r="D76" s="100">
        <f>+D74</f>
        <v>4000</v>
      </c>
      <c r="E76" s="101">
        <f>+C76/D76</f>
        <v>5.8995023771428576E-4</v>
      </c>
      <c r="F76" s="39"/>
      <c r="G76" s="98"/>
      <c r="H76" s="41"/>
      <c r="I76" s="41"/>
      <c r="J76" s="41"/>
    </row>
    <row r="77" spans="2:13" ht="13.5" thickBot="1" x14ac:dyDescent="0.3">
      <c r="B77" s="63"/>
      <c r="C77" s="64"/>
      <c r="D77" s="64"/>
      <c r="E77" s="105"/>
      <c r="F77" s="39"/>
      <c r="G77" s="98"/>
      <c r="H77" s="41"/>
      <c r="I77" s="41"/>
    </row>
    <row r="78" spans="2:13" ht="13.5" thickBot="1" x14ac:dyDescent="0.3">
      <c r="B78" s="276" t="s">
        <v>94</v>
      </c>
      <c r="C78" s="277"/>
      <c r="D78" s="278"/>
      <c r="E78" s="101">
        <f>+E69+E74</f>
        <v>1.5016667933181338</v>
      </c>
      <c r="G78" s="39"/>
      <c r="H78" s="98"/>
      <c r="I78" s="41"/>
      <c r="J78" s="105"/>
    </row>
    <row r="79" spans="2:13" x14ac:dyDescent="0.25">
      <c r="I79" s="98"/>
      <c r="J79" s="24"/>
    </row>
    <row r="80" spans="2:13" ht="13.5" thickBot="1" x14ac:dyDescent="0.3">
      <c r="B80" s="275" t="s">
        <v>95</v>
      </c>
      <c r="C80" s="275"/>
      <c r="D80" s="275"/>
      <c r="E80" s="275"/>
      <c r="F80" s="275"/>
      <c r="G80" s="39"/>
      <c r="H80" s="98"/>
      <c r="J80" s="24"/>
    </row>
    <row r="81" spans="1:10" ht="13.5" thickBot="1" x14ac:dyDescent="0.3">
      <c r="B81" s="99" t="s">
        <v>89</v>
      </c>
      <c r="C81" s="100">
        <f>+C69</f>
        <v>5033.3999999999996</v>
      </c>
      <c r="D81" s="100">
        <f>+D60</f>
        <v>1</v>
      </c>
      <c r="E81" s="101">
        <f>+C81/D81</f>
        <v>5033.3999999999996</v>
      </c>
      <c r="F81" s="39"/>
      <c r="G81" s="98"/>
      <c r="H81" s="41"/>
      <c r="I81" s="98"/>
      <c r="J81" s="24"/>
    </row>
    <row r="82" spans="1:10" x14ac:dyDescent="0.25">
      <c r="B82" s="102"/>
      <c r="C82" s="103"/>
      <c r="D82" s="104"/>
      <c r="E82" s="87"/>
      <c r="F82" s="39"/>
      <c r="G82" s="98"/>
      <c r="H82" s="41"/>
      <c r="I82" s="41"/>
      <c r="J82" s="24"/>
    </row>
    <row r="83" spans="1:10" x14ac:dyDescent="0.25">
      <c r="B83" s="99" t="s">
        <v>90</v>
      </c>
      <c r="C83" s="100">
        <f>+C71</f>
        <v>5136.4278009508562</v>
      </c>
      <c r="D83" s="100">
        <f>+D60</f>
        <v>1</v>
      </c>
      <c r="E83" s="105">
        <f>+C83/D83</f>
        <v>5136.4278009508562</v>
      </c>
      <c r="F83" s="39"/>
      <c r="G83" s="98"/>
      <c r="H83" s="41"/>
      <c r="I83" s="41"/>
      <c r="J83" s="24"/>
    </row>
    <row r="84" spans="1:10" x14ac:dyDescent="0.25">
      <c r="B84" s="99"/>
      <c r="C84" s="100"/>
      <c r="D84" s="100"/>
      <c r="E84" s="105"/>
      <c r="F84" s="39"/>
      <c r="G84" s="98"/>
      <c r="H84" s="41"/>
      <c r="I84" s="41"/>
      <c r="J84" s="24"/>
    </row>
    <row r="85" spans="1:10" ht="13.5" thickBot="1" x14ac:dyDescent="0.3">
      <c r="B85" s="99" t="s">
        <v>92</v>
      </c>
      <c r="C85" s="100">
        <f>+C73</f>
        <v>122</v>
      </c>
      <c r="D85" s="100">
        <f>+D60</f>
        <v>1</v>
      </c>
      <c r="E85" s="105">
        <f>+C85/D85</f>
        <v>122</v>
      </c>
      <c r="F85" s="107"/>
      <c r="G85" s="97"/>
      <c r="H85" s="23"/>
      <c r="I85" s="41"/>
    </row>
    <row r="86" spans="1:10" ht="13.5" thickBot="1" x14ac:dyDescent="0.3">
      <c r="B86" s="99" t="s">
        <v>92</v>
      </c>
      <c r="C86" s="100">
        <f>+C74</f>
        <v>973.2671732725355</v>
      </c>
      <c r="D86" s="100">
        <f>+D85</f>
        <v>1</v>
      </c>
      <c r="E86" s="101">
        <f>+C86/D86</f>
        <v>973.2671732725355</v>
      </c>
      <c r="F86" s="106"/>
      <c r="G86" s="97"/>
      <c r="H86" s="23"/>
      <c r="I86" s="23"/>
    </row>
    <row r="87" spans="1:10" x14ac:dyDescent="0.25">
      <c r="I87" s="23"/>
    </row>
    <row r="88" spans="1:10" x14ac:dyDescent="0.2">
      <c r="A88" s="279"/>
      <c r="B88" s="279"/>
      <c r="C88" s="108"/>
      <c r="D88" s="108"/>
      <c r="E88" s="109"/>
      <c r="G88" s="110"/>
    </row>
    <row r="89" spans="1:10" x14ac:dyDescent="0.2">
      <c r="A89" s="42"/>
      <c r="B89" s="111"/>
      <c r="C89" s="112"/>
      <c r="D89" s="112"/>
      <c r="E89" s="113"/>
      <c r="G89" s="110"/>
    </row>
    <row r="90" spans="1:10" x14ac:dyDescent="0.2">
      <c r="A90" s="42"/>
      <c r="B90" s="111"/>
      <c r="C90" s="114"/>
      <c r="D90" s="114"/>
      <c r="E90" s="42"/>
      <c r="G90" s="110"/>
    </row>
    <row r="91" spans="1:10" x14ac:dyDescent="0.2">
      <c r="A91" s="42"/>
      <c r="B91" s="111"/>
      <c r="C91" s="115"/>
      <c r="D91" s="115"/>
      <c r="E91" s="42"/>
      <c r="G91" s="11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2B23-CBFB-4711-8760-62F7E26AD5E2}">
  <dimension ref="A1:Q91"/>
  <sheetViews>
    <sheetView workbookViewId="0">
      <selection activeCell="O66" sqref="O66"/>
    </sheetView>
  </sheetViews>
  <sheetFormatPr baseColWidth="10" defaultColWidth="8.42578125" defaultRowHeight="12.75" x14ac:dyDescent="0.25"/>
  <cols>
    <col min="1" max="1" width="10" style="24" bestFit="1" customWidth="1"/>
    <col min="2" max="2" width="44.28515625" style="24" bestFit="1" customWidth="1"/>
    <col min="3" max="3" width="10.42578125" style="24" bestFit="1" customWidth="1"/>
    <col min="4" max="4" width="10.42578125" style="24" customWidth="1"/>
    <col min="5" max="5" width="9.7109375" style="24" bestFit="1" customWidth="1"/>
    <col min="6" max="6" width="9.5703125" style="24" bestFit="1" customWidth="1"/>
    <col min="7" max="7" width="9.5703125" style="106" bestFit="1" customWidth="1"/>
    <col min="8" max="8" width="10.42578125" style="97" bestFit="1" customWidth="1"/>
    <col min="9" max="9" width="4.5703125" style="97" customWidth="1"/>
    <col min="10" max="10" width="1.85546875" style="23" customWidth="1"/>
    <col min="11" max="11" width="7" style="24" bestFit="1" customWidth="1"/>
    <col min="12" max="12" width="6.28515625" style="24" customWidth="1"/>
    <col min="13" max="13" width="20.42578125" style="24" customWidth="1"/>
    <col min="14" max="14" width="6.42578125" style="24" bestFit="1" customWidth="1"/>
    <col min="15" max="16" width="8.42578125" style="24"/>
    <col min="17" max="17" width="3.28515625" style="24" customWidth="1"/>
    <col min="18" max="256" width="8.42578125" style="24"/>
    <col min="257" max="257" width="10" style="24" bestFit="1" customWidth="1"/>
    <col min="258" max="258" width="44.28515625" style="24" bestFit="1" customWidth="1"/>
    <col min="259" max="259" width="10.42578125" style="24" bestFit="1" customWidth="1"/>
    <col min="260" max="260" width="10.42578125" style="24" customWidth="1"/>
    <col min="261" max="261" width="9.7109375" style="24" bestFit="1" customWidth="1"/>
    <col min="262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285156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28515625" style="24" customWidth="1"/>
    <col min="274" max="512" width="8.42578125" style="24"/>
    <col min="513" max="513" width="10" style="24" bestFit="1" customWidth="1"/>
    <col min="514" max="514" width="44.28515625" style="24" bestFit="1" customWidth="1"/>
    <col min="515" max="515" width="10.42578125" style="24" bestFit="1" customWidth="1"/>
    <col min="516" max="516" width="10.42578125" style="24" customWidth="1"/>
    <col min="517" max="517" width="9.7109375" style="24" bestFit="1" customWidth="1"/>
    <col min="518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285156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28515625" style="24" customWidth="1"/>
    <col min="530" max="768" width="8.42578125" style="24"/>
    <col min="769" max="769" width="10" style="24" bestFit="1" customWidth="1"/>
    <col min="770" max="770" width="44.28515625" style="24" bestFit="1" customWidth="1"/>
    <col min="771" max="771" width="10.42578125" style="24" bestFit="1" customWidth="1"/>
    <col min="772" max="772" width="10.42578125" style="24" customWidth="1"/>
    <col min="773" max="773" width="9.7109375" style="24" bestFit="1" customWidth="1"/>
    <col min="774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285156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28515625" style="24" customWidth="1"/>
    <col min="786" max="1024" width="8.42578125" style="24"/>
    <col min="1025" max="1025" width="10" style="24" bestFit="1" customWidth="1"/>
    <col min="1026" max="1026" width="44.28515625" style="24" bestFit="1" customWidth="1"/>
    <col min="1027" max="1027" width="10.42578125" style="24" bestFit="1" customWidth="1"/>
    <col min="1028" max="1028" width="10.42578125" style="24" customWidth="1"/>
    <col min="1029" max="1029" width="9.7109375" style="24" bestFit="1" customWidth="1"/>
    <col min="1030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285156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28515625" style="24" customWidth="1"/>
    <col min="1042" max="1280" width="8.42578125" style="24"/>
    <col min="1281" max="1281" width="10" style="24" bestFit="1" customWidth="1"/>
    <col min="1282" max="1282" width="44.28515625" style="24" bestFit="1" customWidth="1"/>
    <col min="1283" max="1283" width="10.42578125" style="24" bestFit="1" customWidth="1"/>
    <col min="1284" max="1284" width="10.42578125" style="24" customWidth="1"/>
    <col min="1285" max="1285" width="9.7109375" style="24" bestFit="1" customWidth="1"/>
    <col min="1286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285156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28515625" style="24" customWidth="1"/>
    <col min="1298" max="1536" width="8.42578125" style="24"/>
    <col min="1537" max="1537" width="10" style="24" bestFit="1" customWidth="1"/>
    <col min="1538" max="1538" width="44.28515625" style="24" bestFit="1" customWidth="1"/>
    <col min="1539" max="1539" width="10.42578125" style="24" bestFit="1" customWidth="1"/>
    <col min="1540" max="1540" width="10.42578125" style="24" customWidth="1"/>
    <col min="1541" max="1541" width="9.7109375" style="24" bestFit="1" customWidth="1"/>
    <col min="1542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285156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28515625" style="24" customWidth="1"/>
    <col min="1554" max="1792" width="8.42578125" style="24"/>
    <col min="1793" max="1793" width="10" style="24" bestFit="1" customWidth="1"/>
    <col min="1794" max="1794" width="44.28515625" style="24" bestFit="1" customWidth="1"/>
    <col min="1795" max="1795" width="10.42578125" style="24" bestFit="1" customWidth="1"/>
    <col min="1796" max="1796" width="10.42578125" style="24" customWidth="1"/>
    <col min="1797" max="1797" width="9.7109375" style="24" bestFit="1" customWidth="1"/>
    <col min="1798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285156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28515625" style="24" customWidth="1"/>
    <col min="1810" max="2048" width="8.42578125" style="24"/>
    <col min="2049" max="2049" width="10" style="24" bestFit="1" customWidth="1"/>
    <col min="2050" max="2050" width="44.28515625" style="24" bestFit="1" customWidth="1"/>
    <col min="2051" max="2051" width="10.42578125" style="24" bestFit="1" customWidth="1"/>
    <col min="2052" max="2052" width="10.42578125" style="24" customWidth="1"/>
    <col min="2053" max="2053" width="9.7109375" style="24" bestFit="1" customWidth="1"/>
    <col min="2054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285156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28515625" style="24" customWidth="1"/>
    <col min="2066" max="2304" width="8.42578125" style="24"/>
    <col min="2305" max="2305" width="10" style="24" bestFit="1" customWidth="1"/>
    <col min="2306" max="2306" width="44.28515625" style="24" bestFit="1" customWidth="1"/>
    <col min="2307" max="2307" width="10.42578125" style="24" bestFit="1" customWidth="1"/>
    <col min="2308" max="2308" width="10.42578125" style="24" customWidth="1"/>
    <col min="2309" max="2309" width="9.7109375" style="24" bestFit="1" customWidth="1"/>
    <col min="2310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285156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28515625" style="24" customWidth="1"/>
    <col min="2322" max="2560" width="8.42578125" style="24"/>
    <col min="2561" max="2561" width="10" style="24" bestFit="1" customWidth="1"/>
    <col min="2562" max="2562" width="44.28515625" style="24" bestFit="1" customWidth="1"/>
    <col min="2563" max="2563" width="10.42578125" style="24" bestFit="1" customWidth="1"/>
    <col min="2564" max="2564" width="10.42578125" style="24" customWidth="1"/>
    <col min="2565" max="2565" width="9.7109375" style="24" bestFit="1" customWidth="1"/>
    <col min="2566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285156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28515625" style="24" customWidth="1"/>
    <col min="2578" max="2816" width="8.42578125" style="24"/>
    <col min="2817" max="2817" width="10" style="24" bestFit="1" customWidth="1"/>
    <col min="2818" max="2818" width="44.28515625" style="24" bestFit="1" customWidth="1"/>
    <col min="2819" max="2819" width="10.42578125" style="24" bestFit="1" customWidth="1"/>
    <col min="2820" max="2820" width="10.42578125" style="24" customWidth="1"/>
    <col min="2821" max="2821" width="9.7109375" style="24" bestFit="1" customWidth="1"/>
    <col min="2822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285156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28515625" style="24" customWidth="1"/>
    <col min="2834" max="3072" width="8.42578125" style="24"/>
    <col min="3073" max="3073" width="10" style="24" bestFit="1" customWidth="1"/>
    <col min="3074" max="3074" width="44.28515625" style="24" bestFit="1" customWidth="1"/>
    <col min="3075" max="3075" width="10.42578125" style="24" bestFit="1" customWidth="1"/>
    <col min="3076" max="3076" width="10.42578125" style="24" customWidth="1"/>
    <col min="3077" max="3077" width="9.7109375" style="24" bestFit="1" customWidth="1"/>
    <col min="3078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285156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28515625" style="24" customWidth="1"/>
    <col min="3090" max="3328" width="8.42578125" style="24"/>
    <col min="3329" max="3329" width="10" style="24" bestFit="1" customWidth="1"/>
    <col min="3330" max="3330" width="44.28515625" style="24" bestFit="1" customWidth="1"/>
    <col min="3331" max="3331" width="10.42578125" style="24" bestFit="1" customWidth="1"/>
    <col min="3332" max="3332" width="10.42578125" style="24" customWidth="1"/>
    <col min="3333" max="3333" width="9.7109375" style="24" bestFit="1" customWidth="1"/>
    <col min="3334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285156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28515625" style="24" customWidth="1"/>
    <col min="3346" max="3584" width="8.42578125" style="24"/>
    <col min="3585" max="3585" width="10" style="24" bestFit="1" customWidth="1"/>
    <col min="3586" max="3586" width="44.28515625" style="24" bestFit="1" customWidth="1"/>
    <col min="3587" max="3587" width="10.42578125" style="24" bestFit="1" customWidth="1"/>
    <col min="3588" max="3588" width="10.42578125" style="24" customWidth="1"/>
    <col min="3589" max="3589" width="9.7109375" style="24" bestFit="1" customWidth="1"/>
    <col min="3590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285156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28515625" style="24" customWidth="1"/>
    <col min="3602" max="3840" width="8.42578125" style="24"/>
    <col min="3841" max="3841" width="10" style="24" bestFit="1" customWidth="1"/>
    <col min="3842" max="3842" width="44.28515625" style="24" bestFit="1" customWidth="1"/>
    <col min="3843" max="3843" width="10.42578125" style="24" bestFit="1" customWidth="1"/>
    <col min="3844" max="3844" width="10.42578125" style="24" customWidth="1"/>
    <col min="3845" max="3845" width="9.7109375" style="24" bestFit="1" customWidth="1"/>
    <col min="3846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285156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28515625" style="24" customWidth="1"/>
    <col min="3858" max="4096" width="8.42578125" style="24"/>
    <col min="4097" max="4097" width="10" style="24" bestFit="1" customWidth="1"/>
    <col min="4098" max="4098" width="44.28515625" style="24" bestFit="1" customWidth="1"/>
    <col min="4099" max="4099" width="10.42578125" style="24" bestFit="1" customWidth="1"/>
    <col min="4100" max="4100" width="10.42578125" style="24" customWidth="1"/>
    <col min="4101" max="4101" width="9.7109375" style="24" bestFit="1" customWidth="1"/>
    <col min="4102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285156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28515625" style="24" customWidth="1"/>
    <col min="4114" max="4352" width="8.42578125" style="24"/>
    <col min="4353" max="4353" width="10" style="24" bestFit="1" customWidth="1"/>
    <col min="4354" max="4354" width="44.28515625" style="24" bestFit="1" customWidth="1"/>
    <col min="4355" max="4355" width="10.42578125" style="24" bestFit="1" customWidth="1"/>
    <col min="4356" max="4356" width="10.42578125" style="24" customWidth="1"/>
    <col min="4357" max="4357" width="9.7109375" style="24" bestFit="1" customWidth="1"/>
    <col min="4358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285156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28515625" style="24" customWidth="1"/>
    <col min="4370" max="4608" width="8.42578125" style="24"/>
    <col min="4609" max="4609" width="10" style="24" bestFit="1" customWidth="1"/>
    <col min="4610" max="4610" width="44.28515625" style="24" bestFit="1" customWidth="1"/>
    <col min="4611" max="4611" width="10.42578125" style="24" bestFit="1" customWidth="1"/>
    <col min="4612" max="4612" width="10.42578125" style="24" customWidth="1"/>
    <col min="4613" max="4613" width="9.7109375" style="24" bestFit="1" customWidth="1"/>
    <col min="4614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285156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28515625" style="24" customWidth="1"/>
    <col min="4626" max="4864" width="8.42578125" style="24"/>
    <col min="4865" max="4865" width="10" style="24" bestFit="1" customWidth="1"/>
    <col min="4866" max="4866" width="44.28515625" style="24" bestFit="1" customWidth="1"/>
    <col min="4867" max="4867" width="10.42578125" style="24" bestFit="1" customWidth="1"/>
    <col min="4868" max="4868" width="10.42578125" style="24" customWidth="1"/>
    <col min="4869" max="4869" width="9.7109375" style="24" bestFit="1" customWidth="1"/>
    <col min="4870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285156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28515625" style="24" customWidth="1"/>
    <col min="4882" max="5120" width="8.42578125" style="24"/>
    <col min="5121" max="5121" width="10" style="24" bestFit="1" customWidth="1"/>
    <col min="5122" max="5122" width="44.28515625" style="24" bestFit="1" customWidth="1"/>
    <col min="5123" max="5123" width="10.42578125" style="24" bestFit="1" customWidth="1"/>
    <col min="5124" max="5124" width="10.42578125" style="24" customWidth="1"/>
    <col min="5125" max="5125" width="9.7109375" style="24" bestFit="1" customWidth="1"/>
    <col min="5126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285156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28515625" style="24" customWidth="1"/>
    <col min="5138" max="5376" width="8.42578125" style="24"/>
    <col min="5377" max="5377" width="10" style="24" bestFit="1" customWidth="1"/>
    <col min="5378" max="5378" width="44.28515625" style="24" bestFit="1" customWidth="1"/>
    <col min="5379" max="5379" width="10.42578125" style="24" bestFit="1" customWidth="1"/>
    <col min="5380" max="5380" width="10.42578125" style="24" customWidth="1"/>
    <col min="5381" max="5381" width="9.7109375" style="24" bestFit="1" customWidth="1"/>
    <col min="5382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285156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28515625" style="24" customWidth="1"/>
    <col min="5394" max="5632" width="8.42578125" style="24"/>
    <col min="5633" max="5633" width="10" style="24" bestFit="1" customWidth="1"/>
    <col min="5634" max="5634" width="44.28515625" style="24" bestFit="1" customWidth="1"/>
    <col min="5635" max="5635" width="10.42578125" style="24" bestFit="1" customWidth="1"/>
    <col min="5636" max="5636" width="10.42578125" style="24" customWidth="1"/>
    <col min="5637" max="5637" width="9.7109375" style="24" bestFit="1" customWidth="1"/>
    <col min="5638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285156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28515625" style="24" customWidth="1"/>
    <col min="5650" max="5888" width="8.42578125" style="24"/>
    <col min="5889" max="5889" width="10" style="24" bestFit="1" customWidth="1"/>
    <col min="5890" max="5890" width="44.28515625" style="24" bestFit="1" customWidth="1"/>
    <col min="5891" max="5891" width="10.42578125" style="24" bestFit="1" customWidth="1"/>
    <col min="5892" max="5892" width="10.42578125" style="24" customWidth="1"/>
    <col min="5893" max="5893" width="9.7109375" style="24" bestFit="1" customWidth="1"/>
    <col min="5894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285156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28515625" style="24" customWidth="1"/>
    <col min="5906" max="6144" width="8.42578125" style="24"/>
    <col min="6145" max="6145" width="10" style="24" bestFit="1" customWidth="1"/>
    <col min="6146" max="6146" width="44.28515625" style="24" bestFit="1" customWidth="1"/>
    <col min="6147" max="6147" width="10.42578125" style="24" bestFit="1" customWidth="1"/>
    <col min="6148" max="6148" width="10.42578125" style="24" customWidth="1"/>
    <col min="6149" max="6149" width="9.7109375" style="24" bestFit="1" customWidth="1"/>
    <col min="6150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285156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28515625" style="24" customWidth="1"/>
    <col min="6162" max="6400" width="8.42578125" style="24"/>
    <col min="6401" max="6401" width="10" style="24" bestFit="1" customWidth="1"/>
    <col min="6402" max="6402" width="44.28515625" style="24" bestFit="1" customWidth="1"/>
    <col min="6403" max="6403" width="10.42578125" style="24" bestFit="1" customWidth="1"/>
    <col min="6404" max="6404" width="10.42578125" style="24" customWidth="1"/>
    <col min="6405" max="6405" width="9.7109375" style="24" bestFit="1" customWidth="1"/>
    <col min="6406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285156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28515625" style="24" customWidth="1"/>
    <col min="6418" max="6656" width="8.42578125" style="24"/>
    <col min="6657" max="6657" width="10" style="24" bestFit="1" customWidth="1"/>
    <col min="6658" max="6658" width="44.28515625" style="24" bestFit="1" customWidth="1"/>
    <col min="6659" max="6659" width="10.42578125" style="24" bestFit="1" customWidth="1"/>
    <col min="6660" max="6660" width="10.42578125" style="24" customWidth="1"/>
    <col min="6661" max="6661" width="9.7109375" style="24" bestFit="1" customWidth="1"/>
    <col min="6662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285156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28515625" style="24" customWidth="1"/>
    <col min="6674" max="6912" width="8.42578125" style="24"/>
    <col min="6913" max="6913" width="10" style="24" bestFit="1" customWidth="1"/>
    <col min="6914" max="6914" width="44.28515625" style="24" bestFit="1" customWidth="1"/>
    <col min="6915" max="6915" width="10.42578125" style="24" bestFit="1" customWidth="1"/>
    <col min="6916" max="6916" width="10.42578125" style="24" customWidth="1"/>
    <col min="6917" max="6917" width="9.7109375" style="24" bestFit="1" customWidth="1"/>
    <col min="6918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285156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28515625" style="24" customWidth="1"/>
    <col min="6930" max="7168" width="8.42578125" style="24"/>
    <col min="7169" max="7169" width="10" style="24" bestFit="1" customWidth="1"/>
    <col min="7170" max="7170" width="44.28515625" style="24" bestFit="1" customWidth="1"/>
    <col min="7171" max="7171" width="10.42578125" style="24" bestFit="1" customWidth="1"/>
    <col min="7172" max="7172" width="10.42578125" style="24" customWidth="1"/>
    <col min="7173" max="7173" width="9.7109375" style="24" bestFit="1" customWidth="1"/>
    <col min="7174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285156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28515625" style="24" customWidth="1"/>
    <col min="7186" max="7424" width="8.42578125" style="24"/>
    <col min="7425" max="7425" width="10" style="24" bestFit="1" customWidth="1"/>
    <col min="7426" max="7426" width="44.28515625" style="24" bestFit="1" customWidth="1"/>
    <col min="7427" max="7427" width="10.42578125" style="24" bestFit="1" customWidth="1"/>
    <col min="7428" max="7428" width="10.42578125" style="24" customWidth="1"/>
    <col min="7429" max="7429" width="9.7109375" style="24" bestFit="1" customWidth="1"/>
    <col min="7430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285156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28515625" style="24" customWidth="1"/>
    <col min="7442" max="7680" width="8.42578125" style="24"/>
    <col min="7681" max="7681" width="10" style="24" bestFit="1" customWidth="1"/>
    <col min="7682" max="7682" width="44.28515625" style="24" bestFit="1" customWidth="1"/>
    <col min="7683" max="7683" width="10.42578125" style="24" bestFit="1" customWidth="1"/>
    <col min="7684" max="7684" width="10.42578125" style="24" customWidth="1"/>
    <col min="7685" max="7685" width="9.7109375" style="24" bestFit="1" customWidth="1"/>
    <col min="7686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285156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28515625" style="24" customWidth="1"/>
    <col min="7698" max="7936" width="8.42578125" style="24"/>
    <col min="7937" max="7937" width="10" style="24" bestFit="1" customWidth="1"/>
    <col min="7938" max="7938" width="44.28515625" style="24" bestFit="1" customWidth="1"/>
    <col min="7939" max="7939" width="10.42578125" style="24" bestFit="1" customWidth="1"/>
    <col min="7940" max="7940" width="10.42578125" style="24" customWidth="1"/>
    <col min="7941" max="7941" width="9.7109375" style="24" bestFit="1" customWidth="1"/>
    <col min="7942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285156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28515625" style="24" customWidth="1"/>
    <col min="7954" max="8192" width="8.42578125" style="24"/>
    <col min="8193" max="8193" width="10" style="24" bestFit="1" customWidth="1"/>
    <col min="8194" max="8194" width="44.28515625" style="24" bestFit="1" customWidth="1"/>
    <col min="8195" max="8195" width="10.42578125" style="24" bestFit="1" customWidth="1"/>
    <col min="8196" max="8196" width="10.42578125" style="24" customWidth="1"/>
    <col min="8197" max="8197" width="9.7109375" style="24" bestFit="1" customWidth="1"/>
    <col min="8198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285156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28515625" style="24" customWidth="1"/>
    <col min="8210" max="8448" width="8.42578125" style="24"/>
    <col min="8449" max="8449" width="10" style="24" bestFit="1" customWidth="1"/>
    <col min="8450" max="8450" width="44.28515625" style="24" bestFit="1" customWidth="1"/>
    <col min="8451" max="8451" width="10.42578125" style="24" bestFit="1" customWidth="1"/>
    <col min="8452" max="8452" width="10.42578125" style="24" customWidth="1"/>
    <col min="8453" max="8453" width="9.7109375" style="24" bestFit="1" customWidth="1"/>
    <col min="8454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285156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28515625" style="24" customWidth="1"/>
    <col min="8466" max="8704" width="8.42578125" style="24"/>
    <col min="8705" max="8705" width="10" style="24" bestFit="1" customWidth="1"/>
    <col min="8706" max="8706" width="44.28515625" style="24" bestFit="1" customWidth="1"/>
    <col min="8707" max="8707" width="10.42578125" style="24" bestFit="1" customWidth="1"/>
    <col min="8708" max="8708" width="10.42578125" style="24" customWidth="1"/>
    <col min="8709" max="8709" width="9.7109375" style="24" bestFit="1" customWidth="1"/>
    <col min="8710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285156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28515625" style="24" customWidth="1"/>
    <col min="8722" max="8960" width="8.42578125" style="24"/>
    <col min="8961" max="8961" width="10" style="24" bestFit="1" customWidth="1"/>
    <col min="8962" max="8962" width="44.28515625" style="24" bestFit="1" customWidth="1"/>
    <col min="8963" max="8963" width="10.42578125" style="24" bestFit="1" customWidth="1"/>
    <col min="8964" max="8964" width="10.42578125" style="24" customWidth="1"/>
    <col min="8965" max="8965" width="9.7109375" style="24" bestFit="1" customWidth="1"/>
    <col min="8966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285156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28515625" style="24" customWidth="1"/>
    <col min="8978" max="9216" width="8.42578125" style="24"/>
    <col min="9217" max="9217" width="10" style="24" bestFit="1" customWidth="1"/>
    <col min="9218" max="9218" width="44.28515625" style="24" bestFit="1" customWidth="1"/>
    <col min="9219" max="9219" width="10.42578125" style="24" bestFit="1" customWidth="1"/>
    <col min="9220" max="9220" width="10.42578125" style="24" customWidth="1"/>
    <col min="9221" max="9221" width="9.7109375" style="24" bestFit="1" customWidth="1"/>
    <col min="9222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285156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28515625" style="24" customWidth="1"/>
    <col min="9234" max="9472" width="8.42578125" style="24"/>
    <col min="9473" max="9473" width="10" style="24" bestFit="1" customWidth="1"/>
    <col min="9474" max="9474" width="44.28515625" style="24" bestFit="1" customWidth="1"/>
    <col min="9475" max="9475" width="10.42578125" style="24" bestFit="1" customWidth="1"/>
    <col min="9476" max="9476" width="10.42578125" style="24" customWidth="1"/>
    <col min="9477" max="9477" width="9.7109375" style="24" bestFit="1" customWidth="1"/>
    <col min="9478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285156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28515625" style="24" customWidth="1"/>
    <col min="9490" max="9728" width="8.42578125" style="24"/>
    <col min="9729" max="9729" width="10" style="24" bestFit="1" customWidth="1"/>
    <col min="9730" max="9730" width="44.28515625" style="24" bestFit="1" customWidth="1"/>
    <col min="9731" max="9731" width="10.42578125" style="24" bestFit="1" customWidth="1"/>
    <col min="9732" max="9732" width="10.42578125" style="24" customWidth="1"/>
    <col min="9733" max="9733" width="9.7109375" style="24" bestFit="1" customWidth="1"/>
    <col min="9734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285156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28515625" style="24" customWidth="1"/>
    <col min="9746" max="9984" width="8.42578125" style="24"/>
    <col min="9985" max="9985" width="10" style="24" bestFit="1" customWidth="1"/>
    <col min="9986" max="9986" width="44.28515625" style="24" bestFit="1" customWidth="1"/>
    <col min="9987" max="9987" width="10.42578125" style="24" bestFit="1" customWidth="1"/>
    <col min="9988" max="9988" width="10.42578125" style="24" customWidth="1"/>
    <col min="9989" max="9989" width="9.7109375" style="24" bestFit="1" customWidth="1"/>
    <col min="9990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285156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28515625" style="24" customWidth="1"/>
    <col min="10002" max="10240" width="8.42578125" style="24"/>
    <col min="10241" max="10241" width="10" style="24" bestFit="1" customWidth="1"/>
    <col min="10242" max="10242" width="44.28515625" style="24" bestFit="1" customWidth="1"/>
    <col min="10243" max="10243" width="10.42578125" style="24" bestFit="1" customWidth="1"/>
    <col min="10244" max="10244" width="10.42578125" style="24" customWidth="1"/>
    <col min="10245" max="10245" width="9.7109375" style="24" bestFit="1" customWidth="1"/>
    <col min="10246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285156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28515625" style="24" customWidth="1"/>
    <col min="10258" max="10496" width="8.42578125" style="24"/>
    <col min="10497" max="10497" width="10" style="24" bestFit="1" customWidth="1"/>
    <col min="10498" max="10498" width="44.28515625" style="24" bestFit="1" customWidth="1"/>
    <col min="10499" max="10499" width="10.42578125" style="24" bestFit="1" customWidth="1"/>
    <col min="10500" max="10500" width="10.42578125" style="24" customWidth="1"/>
    <col min="10501" max="10501" width="9.7109375" style="24" bestFit="1" customWidth="1"/>
    <col min="10502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285156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28515625" style="24" customWidth="1"/>
    <col min="10514" max="10752" width="8.42578125" style="24"/>
    <col min="10753" max="10753" width="10" style="24" bestFit="1" customWidth="1"/>
    <col min="10754" max="10754" width="44.28515625" style="24" bestFit="1" customWidth="1"/>
    <col min="10755" max="10755" width="10.42578125" style="24" bestFit="1" customWidth="1"/>
    <col min="10756" max="10756" width="10.42578125" style="24" customWidth="1"/>
    <col min="10757" max="10757" width="9.7109375" style="24" bestFit="1" customWidth="1"/>
    <col min="10758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285156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28515625" style="24" customWidth="1"/>
    <col min="10770" max="11008" width="8.42578125" style="24"/>
    <col min="11009" max="11009" width="10" style="24" bestFit="1" customWidth="1"/>
    <col min="11010" max="11010" width="44.28515625" style="24" bestFit="1" customWidth="1"/>
    <col min="11011" max="11011" width="10.42578125" style="24" bestFit="1" customWidth="1"/>
    <col min="11012" max="11012" width="10.42578125" style="24" customWidth="1"/>
    <col min="11013" max="11013" width="9.7109375" style="24" bestFit="1" customWidth="1"/>
    <col min="11014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285156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28515625" style="24" customWidth="1"/>
    <col min="11026" max="11264" width="8.42578125" style="24"/>
    <col min="11265" max="11265" width="10" style="24" bestFit="1" customWidth="1"/>
    <col min="11266" max="11266" width="44.28515625" style="24" bestFit="1" customWidth="1"/>
    <col min="11267" max="11267" width="10.42578125" style="24" bestFit="1" customWidth="1"/>
    <col min="11268" max="11268" width="10.42578125" style="24" customWidth="1"/>
    <col min="11269" max="11269" width="9.7109375" style="24" bestFit="1" customWidth="1"/>
    <col min="11270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285156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28515625" style="24" customWidth="1"/>
    <col min="11282" max="11520" width="8.42578125" style="24"/>
    <col min="11521" max="11521" width="10" style="24" bestFit="1" customWidth="1"/>
    <col min="11522" max="11522" width="44.28515625" style="24" bestFit="1" customWidth="1"/>
    <col min="11523" max="11523" width="10.42578125" style="24" bestFit="1" customWidth="1"/>
    <col min="11524" max="11524" width="10.42578125" style="24" customWidth="1"/>
    <col min="11525" max="11525" width="9.7109375" style="24" bestFit="1" customWidth="1"/>
    <col min="11526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285156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28515625" style="24" customWidth="1"/>
    <col min="11538" max="11776" width="8.42578125" style="24"/>
    <col min="11777" max="11777" width="10" style="24" bestFit="1" customWidth="1"/>
    <col min="11778" max="11778" width="44.28515625" style="24" bestFit="1" customWidth="1"/>
    <col min="11779" max="11779" width="10.42578125" style="24" bestFit="1" customWidth="1"/>
    <col min="11780" max="11780" width="10.42578125" style="24" customWidth="1"/>
    <col min="11781" max="11781" width="9.7109375" style="24" bestFit="1" customWidth="1"/>
    <col min="11782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285156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28515625" style="24" customWidth="1"/>
    <col min="11794" max="12032" width="8.42578125" style="24"/>
    <col min="12033" max="12033" width="10" style="24" bestFit="1" customWidth="1"/>
    <col min="12034" max="12034" width="44.28515625" style="24" bestFit="1" customWidth="1"/>
    <col min="12035" max="12035" width="10.42578125" style="24" bestFit="1" customWidth="1"/>
    <col min="12036" max="12036" width="10.42578125" style="24" customWidth="1"/>
    <col min="12037" max="12037" width="9.7109375" style="24" bestFit="1" customWidth="1"/>
    <col min="12038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285156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28515625" style="24" customWidth="1"/>
    <col min="12050" max="12288" width="8.42578125" style="24"/>
    <col min="12289" max="12289" width="10" style="24" bestFit="1" customWidth="1"/>
    <col min="12290" max="12290" width="44.28515625" style="24" bestFit="1" customWidth="1"/>
    <col min="12291" max="12291" width="10.42578125" style="24" bestFit="1" customWidth="1"/>
    <col min="12292" max="12292" width="10.42578125" style="24" customWidth="1"/>
    <col min="12293" max="12293" width="9.7109375" style="24" bestFit="1" customWidth="1"/>
    <col min="12294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285156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28515625" style="24" customWidth="1"/>
    <col min="12306" max="12544" width="8.42578125" style="24"/>
    <col min="12545" max="12545" width="10" style="24" bestFit="1" customWidth="1"/>
    <col min="12546" max="12546" width="44.28515625" style="24" bestFit="1" customWidth="1"/>
    <col min="12547" max="12547" width="10.42578125" style="24" bestFit="1" customWidth="1"/>
    <col min="12548" max="12548" width="10.42578125" style="24" customWidth="1"/>
    <col min="12549" max="12549" width="9.7109375" style="24" bestFit="1" customWidth="1"/>
    <col min="12550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285156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28515625" style="24" customWidth="1"/>
    <col min="12562" max="12800" width="8.42578125" style="24"/>
    <col min="12801" max="12801" width="10" style="24" bestFit="1" customWidth="1"/>
    <col min="12802" max="12802" width="44.28515625" style="24" bestFit="1" customWidth="1"/>
    <col min="12803" max="12803" width="10.42578125" style="24" bestFit="1" customWidth="1"/>
    <col min="12804" max="12804" width="10.42578125" style="24" customWidth="1"/>
    <col min="12805" max="12805" width="9.7109375" style="24" bestFit="1" customWidth="1"/>
    <col min="12806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285156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28515625" style="24" customWidth="1"/>
    <col min="12818" max="13056" width="8.42578125" style="24"/>
    <col min="13057" max="13057" width="10" style="24" bestFit="1" customWidth="1"/>
    <col min="13058" max="13058" width="44.28515625" style="24" bestFit="1" customWidth="1"/>
    <col min="13059" max="13059" width="10.42578125" style="24" bestFit="1" customWidth="1"/>
    <col min="13060" max="13060" width="10.42578125" style="24" customWidth="1"/>
    <col min="13061" max="13061" width="9.7109375" style="24" bestFit="1" customWidth="1"/>
    <col min="13062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285156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28515625" style="24" customWidth="1"/>
    <col min="13074" max="13312" width="8.42578125" style="24"/>
    <col min="13313" max="13313" width="10" style="24" bestFit="1" customWidth="1"/>
    <col min="13314" max="13314" width="44.28515625" style="24" bestFit="1" customWidth="1"/>
    <col min="13315" max="13315" width="10.42578125" style="24" bestFit="1" customWidth="1"/>
    <col min="13316" max="13316" width="10.42578125" style="24" customWidth="1"/>
    <col min="13317" max="13317" width="9.7109375" style="24" bestFit="1" customWidth="1"/>
    <col min="13318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285156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28515625" style="24" customWidth="1"/>
    <col min="13330" max="13568" width="8.42578125" style="24"/>
    <col min="13569" max="13569" width="10" style="24" bestFit="1" customWidth="1"/>
    <col min="13570" max="13570" width="44.28515625" style="24" bestFit="1" customWidth="1"/>
    <col min="13571" max="13571" width="10.42578125" style="24" bestFit="1" customWidth="1"/>
    <col min="13572" max="13572" width="10.42578125" style="24" customWidth="1"/>
    <col min="13573" max="13573" width="9.7109375" style="24" bestFit="1" customWidth="1"/>
    <col min="13574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285156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28515625" style="24" customWidth="1"/>
    <col min="13586" max="13824" width="8.42578125" style="24"/>
    <col min="13825" max="13825" width="10" style="24" bestFit="1" customWidth="1"/>
    <col min="13826" max="13826" width="44.28515625" style="24" bestFit="1" customWidth="1"/>
    <col min="13827" max="13827" width="10.42578125" style="24" bestFit="1" customWidth="1"/>
    <col min="13828" max="13828" width="10.42578125" style="24" customWidth="1"/>
    <col min="13829" max="13829" width="9.7109375" style="24" bestFit="1" customWidth="1"/>
    <col min="13830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285156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28515625" style="24" customWidth="1"/>
    <col min="13842" max="14080" width="8.42578125" style="24"/>
    <col min="14081" max="14081" width="10" style="24" bestFit="1" customWidth="1"/>
    <col min="14082" max="14082" width="44.28515625" style="24" bestFit="1" customWidth="1"/>
    <col min="14083" max="14083" width="10.42578125" style="24" bestFit="1" customWidth="1"/>
    <col min="14084" max="14084" width="10.42578125" style="24" customWidth="1"/>
    <col min="14085" max="14085" width="9.7109375" style="24" bestFit="1" customWidth="1"/>
    <col min="14086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285156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28515625" style="24" customWidth="1"/>
    <col min="14098" max="14336" width="8.42578125" style="24"/>
    <col min="14337" max="14337" width="10" style="24" bestFit="1" customWidth="1"/>
    <col min="14338" max="14338" width="44.28515625" style="24" bestFit="1" customWidth="1"/>
    <col min="14339" max="14339" width="10.42578125" style="24" bestFit="1" customWidth="1"/>
    <col min="14340" max="14340" width="10.42578125" style="24" customWidth="1"/>
    <col min="14341" max="14341" width="9.7109375" style="24" bestFit="1" customWidth="1"/>
    <col min="14342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285156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28515625" style="24" customWidth="1"/>
    <col min="14354" max="14592" width="8.42578125" style="24"/>
    <col min="14593" max="14593" width="10" style="24" bestFit="1" customWidth="1"/>
    <col min="14594" max="14594" width="44.28515625" style="24" bestFit="1" customWidth="1"/>
    <col min="14595" max="14595" width="10.42578125" style="24" bestFit="1" customWidth="1"/>
    <col min="14596" max="14596" width="10.42578125" style="24" customWidth="1"/>
    <col min="14597" max="14597" width="9.7109375" style="24" bestFit="1" customWidth="1"/>
    <col min="14598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285156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28515625" style="24" customWidth="1"/>
    <col min="14610" max="14848" width="8.42578125" style="24"/>
    <col min="14849" max="14849" width="10" style="24" bestFit="1" customWidth="1"/>
    <col min="14850" max="14850" width="44.28515625" style="24" bestFit="1" customWidth="1"/>
    <col min="14851" max="14851" width="10.42578125" style="24" bestFit="1" customWidth="1"/>
    <col min="14852" max="14852" width="10.42578125" style="24" customWidth="1"/>
    <col min="14853" max="14853" width="9.7109375" style="24" bestFit="1" customWidth="1"/>
    <col min="14854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285156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28515625" style="24" customWidth="1"/>
    <col min="14866" max="15104" width="8.42578125" style="24"/>
    <col min="15105" max="15105" width="10" style="24" bestFit="1" customWidth="1"/>
    <col min="15106" max="15106" width="44.28515625" style="24" bestFit="1" customWidth="1"/>
    <col min="15107" max="15107" width="10.42578125" style="24" bestFit="1" customWidth="1"/>
    <col min="15108" max="15108" width="10.42578125" style="24" customWidth="1"/>
    <col min="15109" max="15109" width="9.7109375" style="24" bestFit="1" customWidth="1"/>
    <col min="15110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285156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28515625" style="24" customWidth="1"/>
    <col min="15122" max="15360" width="8.42578125" style="24"/>
    <col min="15361" max="15361" width="10" style="24" bestFit="1" customWidth="1"/>
    <col min="15362" max="15362" width="44.28515625" style="24" bestFit="1" customWidth="1"/>
    <col min="15363" max="15363" width="10.42578125" style="24" bestFit="1" customWidth="1"/>
    <col min="15364" max="15364" width="10.42578125" style="24" customWidth="1"/>
    <col min="15365" max="15365" width="9.7109375" style="24" bestFit="1" customWidth="1"/>
    <col min="15366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285156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28515625" style="24" customWidth="1"/>
    <col min="15378" max="15616" width="8.42578125" style="24"/>
    <col min="15617" max="15617" width="10" style="24" bestFit="1" customWidth="1"/>
    <col min="15618" max="15618" width="44.28515625" style="24" bestFit="1" customWidth="1"/>
    <col min="15619" max="15619" width="10.42578125" style="24" bestFit="1" customWidth="1"/>
    <col min="15620" max="15620" width="10.42578125" style="24" customWidth="1"/>
    <col min="15621" max="15621" width="9.7109375" style="24" bestFit="1" customWidth="1"/>
    <col min="15622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285156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28515625" style="24" customWidth="1"/>
    <col min="15634" max="15872" width="8.42578125" style="24"/>
    <col min="15873" max="15873" width="10" style="24" bestFit="1" customWidth="1"/>
    <col min="15874" max="15874" width="44.28515625" style="24" bestFit="1" customWidth="1"/>
    <col min="15875" max="15875" width="10.42578125" style="24" bestFit="1" customWidth="1"/>
    <col min="15876" max="15876" width="10.42578125" style="24" customWidth="1"/>
    <col min="15877" max="15877" width="9.7109375" style="24" bestFit="1" customWidth="1"/>
    <col min="15878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285156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28515625" style="24" customWidth="1"/>
    <col min="15890" max="16128" width="8.42578125" style="24"/>
    <col min="16129" max="16129" width="10" style="24" bestFit="1" customWidth="1"/>
    <col min="16130" max="16130" width="44.28515625" style="24" bestFit="1" customWidth="1"/>
    <col min="16131" max="16131" width="10.42578125" style="24" bestFit="1" customWidth="1"/>
    <col min="16132" max="16132" width="10.42578125" style="24" customWidth="1"/>
    <col min="16133" max="16133" width="9.7109375" style="24" bestFit="1" customWidth="1"/>
    <col min="16134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285156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285156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41</v>
      </c>
      <c r="F1" s="21" t="s">
        <v>42</v>
      </c>
      <c r="G1" s="21" t="s">
        <v>43</v>
      </c>
      <c r="H1" s="21" t="s">
        <v>44</v>
      </c>
      <c r="I1" s="22"/>
    </row>
    <row r="2" spans="1:10" ht="30.75" customHeight="1" x14ac:dyDescent="0.25">
      <c r="A2" s="19"/>
      <c r="B2" s="19"/>
      <c r="C2" s="19"/>
      <c r="D2" s="19"/>
      <c r="E2" s="25">
        <f>IFERROR(O62,"")</f>
        <v>1271.3818298140234</v>
      </c>
      <c r="F2" s="25">
        <f>IFERROR(H53,"")</f>
        <v>675.71949999999993</v>
      </c>
      <c r="G2" s="25">
        <f>IFERROR(H54,"")</f>
        <v>142.20896658040763</v>
      </c>
      <c r="H2" s="25">
        <f>IFERROR(H56,"")</f>
        <v>232.44248031302999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261"/>
      <c r="B4" s="261"/>
      <c r="C4" s="261"/>
      <c r="D4" s="261"/>
      <c r="E4" s="261"/>
      <c r="F4" s="261"/>
      <c r="G4" s="261"/>
      <c r="H4" s="261"/>
      <c r="I4" s="28"/>
    </row>
    <row r="5" spans="1:10" ht="19.5" customHeight="1" thickBot="1" x14ac:dyDescent="0.3">
      <c r="A5" s="262" t="s">
        <v>45</v>
      </c>
      <c r="B5" s="263"/>
      <c r="C5" s="263"/>
      <c r="D5" s="263"/>
      <c r="E5" s="263"/>
      <c r="F5" s="263"/>
      <c r="G5" s="263"/>
      <c r="H5" s="264"/>
      <c r="I5" s="29"/>
    </row>
    <row r="6" spans="1:10" ht="19.5" thickBot="1" x14ac:dyDescent="0.3">
      <c r="A6" s="29"/>
      <c r="B6" s="29"/>
      <c r="C6" s="29"/>
      <c r="D6" s="29"/>
      <c r="E6" s="29"/>
      <c r="F6" s="265" t="s">
        <v>46</v>
      </c>
      <c r="G6" s="265"/>
      <c r="H6" s="30">
        <f ca="1">TODAY()</f>
        <v>45715</v>
      </c>
      <c r="I6" s="30"/>
    </row>
    <row r="7" spans="1:10" ht="26.25" thickBot="1" x14ac:dyDescent="0.3">
      <c r="A7" s="31" t="s">
        <v>47</v>
      </c>
      <c r="B7" s="32" t="s">
        <v>48</v>
      </c>
      <c r="C7" s="32" t="s">
        <v>47</v>
      </c>
      <c r="D7" s="33" t="s">
        <v>49</v>
      </c>
      <c r="E7" s="33" t="s">
        <v>50</v>
      </c>
      <c r="F7" s="33" t="s">
        <v>51</v>
      </c>
      <c r="G7" s="33" t="s">
        <v>52</v>
      </c>
      <c r="H7" s="34" t="s">
        <v>53</v>
      </c>
      <c r="I7" s="35"/>
    </row>
    <row r="8" spans="1:10" ht="13.5" x14ac:dyDescent="0.25">
      <c r="A8" s="36">
        <v>0.2</v>
      </c>
      <c r="B8" s="24" t="str">
        <f>IFERROR(VLOOKUP(H8,'[1]Consolidado MP Planta'!$A$2:$M$823,3,0),"")</f>
        <v>CANELA EN POLVO BADIA (UND: 1.82 K)</v>
      </c>
      <c r="C8" s="37">
        <f>+A8</f>
        <v>0.2</v>
      </c>
      <c r="D8" s="38" t="str">
        <f>IFERROR(VLOOKUP(H8,'[1]Consolidado MP Planta'!$A$2:$M$823,13,0),"")</f>
        <v>Gramos</v>
      </c>
      <c r="E8" s="38">
        <v>7.66</v>
      </c>
      <c r="F8" s="38">
        <f>IFERROR(C8*E8,"")</f>
        <v>1.532</v>
      </c>
      <c r="G8" s="39">
        <f t="shared" ref="G8:G14" si="0">IFERROR(F8/$F$66,"")</f>
        <v>1.606808409572263E-3</v>
      </c>
      <c r="H8" s="40" t="s">
        <v>99</v>
      </c>
      <c r="I8" s="40"/>
      <c r="J8" s="41"/>
    </row>
    <row r="9" spans="1:10" ht="13.5" hidden="1" x14ac:dyDescent="0.25">
      <c r="A9" s="36"/>
      <c r="B9" s="24" t="str">
        <f>IFERROR(VLOOKUP(H9,'[1]Consolidado MP Planta'!$A$2:$M$823,3,0),"")</f>
        <v/>
      </c>
      <c r="C9" s="37">
        <f t="shared" ref="C9:C14" si="1">+A9</f>
        <v>0</v>
      </c>
      <c r="D9" s="38" t="str">
        <f>IFERROR(VLOOKUP(H9,'[1]Consolidado MP Planta'!$A$2:$M$823,13,0),"")</f>
        <v/>
      </c>
      <c r="E9" s="38" t="str">
        <f>IFERROR(VLOOKUP(H9,'[1]Consolidado MP Planta'!$A$2:$M$823,12,0),"")</f>
        <v/>
      </c>
      <c r="F9" s="38" t="str">
        <f t="shared" ref="F9:F14" si="2">IFERROR(C9*E9,"")</f>
        <v/>
      </c>
      <c r="G9" s="39" t="str">
        <f t="shared" si="0"/>
        <v/>
      </c>
      <c r="H9" s="40"/>
      <c r="I9" s="40"/>
      <c r="J9" s="41"/>
    </row>
    <row r="10" spans="1:10" ht="13.5" hidden="1" x14ac:dyDescent="0.25">
      <c r="A10" s="36"/>
      <c r="B10" s="24" t="str">
        <f>IFERROR(VLOOKUP(H10,'[1]Consolidado MP Planta'!$A$2:$M$823,3,0),"")</f>
        <v/>
      </c>
      <c r="C10" s="37">
        <f t="shared" si="1"/>
        <v>0</v>
      </c>
      <c r="D10" s="38" t="str">
        <f>IFERROR(VLOOKUP(H10,'[1]Consolidado MP Planta'!$A$2:$M$823,13,0),"")</f>
        <v/>
      </c>
      <c r="E10" s="38" t="str">
        <f>IFERROR(VLOOKUP(H10,'[1]Consolidado MP Planta'!$A$2:$M$823,12,0),"")</f>
        <v/>
      </c>
      <c r="F10" s="38" t="str">
        <f t="shared" si="2"/>
        <v/>
      </c>
      <c r="G10" s="39" t="str">
        <f t="shared" si="0"/>
        <v/>
      </c>
      <c r="H10" s="40"/>
      <c r="I10" s="40"/>
      <c r="J10" s="41"/>
    </row>
    <row r="11" spans="1:10" ht="13.5" hidden="1" x14ac:dyDescent="0.25">
      <c r="A11" s="36"/>
      <c r="B11" s="24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39" t="str">
        <f t="shared" si="0"/>
        <v/>
      </c>
      <c r="H11" s="40"/>
      <c r="I11" s="40"/>
      <c r="J11" s="41"/>
    </row>
    <row r="12" spans="1:10" ht="13.5" hidden="1" x14ac:dyDescent="0.25">
      <c r="A12" s="36"/>
      <c r="B12" s="24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40"/>
      <c r="I12" s="40"/>
      <c r="J12" s="41"/>
    </row>
    <row r="13" spans="1:10" ht="13.5" hidden="1" x14ac:dyDescent="0.25">
      <c r="A13" s="36"/>
      <c r="B13" s="24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40"/>
      <c r="I13" s="40"/>
      <c r="J13" s="41"/>
    </row>
    <row r="14" spans="1:10" ht="13.5" hidden="1" x14ac:dyDescent="0.25">
      <c r="A14" s="36"/>
      <c r="B14" s="24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40"/>
      <c r="I14" s="40"/>
      <c r="J14" s="41"/>
    </row>
    <row r="15" spans="1:10" ht="14.25" thickBot="1" x14ac:dyDescent="0.3">
      <c r="A15" s="36"/>
      <c r="B15" s="24" t="str">
        <f>IFERROR(VLOOKUP(H15,'[2]ARTICULOS MP PLANTA'!$A$2:$G$589,2,0),"")</f>
        <v/>
      </c>
      <c r="C15" s="37"/>
      <c r="D15" s="38"/>
      <c r="E15" s="38"/>
      <c r="F15" s="38"/>
      <c r="G15" s="39"/>
      <c r="H15" s="40"/>
      <c r="I15" s="40"/>
      <c r="J15" s="41"/>
    </row>
    <row r="16" spans="1:10" ht="26.25" thickBot="1" x14ac:dyDescent="0.3">
      <c r="A16" s="31" t="s">
        <v>47</v>
      </c>
      <c r="B16" s="32" t="s">
        <v>54</v>
      </c>
      <c r="C16" s="32" t="s">
        <v>47</v>
      </c>
      <c r="D16" s="33" t="s">
        <v>49</v>
      </c>
      <c r="E16" s="33" t="s">
        <v>50</v>
      </c>
      <c r="F16" s="33" t="s">
        <v>51</v>
      </c>
      <c r="G16" s="33" t="s">
        <v>52</v>
      </c>
      <c r="H16" s="34" t="s">
        <v>53</v>
      </c>
      <c r="I16" s="35"/>
      <c r="J16" s="41"/>
    </row>
    <row r="17" spans="1:12" ht="13.5" x14ac:dyDescent="0.25">
      <c r="A17" s="36">
        <v>1</v>
      </c>
      <c r="B17" s="24" t="s">
        <v>100</v>
      </c>
      <c r="C17" s="37">
        <f>+A17</f>
        <v>1</v>
      </c>
      <c r="D17" s="37" t="s">
        <v>101</v>
      </c>
      <c r="E17" s="38">
        <f>+'Costo Rosquete '!H53</f>
        <v>266.39999999999998</v>
      </c>
      <c r="F17" s="38">
        <f>IFERROR(E17*C17,"")</f>
        <v>266.39999999999998</v>
      </c>
      <c r="G17" s="39">
        <f t="shared" ref="G17:G24" si="3">IFERROR(F17/$F$66,"")</f>
        <v>0.27940845973240919</v>
      </c>
      <c r="H17" s="40"/>
      <c r="I17" s="40"/>
      <c r="J17" s="41"/>
    </row>
    <row r="18" spans="1:12" ht="13.5" x14ac:dyDescent="0.25">
      <c r="A18" s="36">
        <v>250</v>
      </c>
      <c r="B18" s="24" t="s">
        <v>102</v>
      </c>
      <c r="C18" s="37">
        <f t="shared" ref="C18:C24" si="4">+A18</f>
        <v>250</v>
      </c>
      <c r="D18" s="37" t="s">
        <v>103</v>
      </c>
      <c r="E18" s="38">
        <f>+'costo Mezclas leches Ron'!E69</f>
        <v>1.2583499999999999</v>
      </c>
      <c r="F18" s="38">
        <f t="shared" ref="F18:F24" si="5">IFERROR(E18*C18,"")</f>
        <v>314.58749999999998</v>
      </c>
      <c r="G18" s="39">
        <f t="shared" si="3"/>
        <v>0.32994898207983958</v>
      </c>
      <c r="H18" s="40"/>
      <c r="I18" s="40"/>
      <c r="J18" s="41"/>
    </row>
    <row r="19" spans="1:12" ht="13.5" x14ac:dyDescent="0.25">
      <c r="A19" s="36">
        <v>40</v>
      </c>
      <c r="B19" s="24" t="str">
        <f>IFERROR(VLOOKUP(H19,[1]SEMIELABORADOS!$A$2:$M$6000,2,0),"")</f>
        <v>CREMA CHANTILLY BLANCA SPOON-IND KILO</v>
      </c>
      <c r="C19" s="37">
        <f>+A19</f>
        <v>40</v>
      </c>
      <c r="D19" s="37" t="str">
        <f>IFERROR(VLOOKUP(H19,[1]SEMIELABORADOS!$A$2:$M$6000,6,0),"")</f>
        <v>Gramo</v>
      </c>
      <c r="E19" s="38">
        <v>2.33</v>
      </c>
      <c r="F19" s="38">
        <f>IFERROR(E19*C19,"")</f>
        <v>93.2</v>
      </c>
      <c r="G19" s="39">
        <f t="shared" si="3"/>
        <v>9.7751007684161173E-2</v>
      </c>
      <c r="H19" s="40" t="s">
        <v>104</v>
      </c>
      <c r="I19" s="40"/>
      <c r="J19" s="41"/>
    </row>
    <row r="20" spans="1:12" ht="13.5" hidden="1" x14ac:dyDescent="0.25">
      <c r="A20" s="36"/>
      <c r="B20" s="24" t="str">
        <f>IFERROR(VLOOKUP(H20,[1]SEMIELABORADOS!$A$2:$M$6000,2,0),"")</f>
        <v/>
      </c>
      <c r="C20" s="37">
        <f>+A20</f>
        <v>0</v>
      </c>
      <c r="D20" s="37" t="str">
        <f>IFERROR(VLOOKUP(H20,[1]SEMIELABORADOS!$A$2:$M$6000,6,0),"")</f>
        <v/>
      </c>
      <c r="E20" s="38" t="str">
        <f>IFERROR(VLOOKUP(H20,[1]SEMIELABORADOS!$A$2:$H$65536,8,0),"")</f>
        <v/>
      </c>
      <c r="F20" s="38" t="str">
        <f>IFERROR(E20*C20,"")</f>
        <v/>
      </c>
      <c r="G20" s="39" t="str">
        <f t="shared" si="3"/>
        <v/>
      </c>
      <c r="H20" s="40"/>
      <c r="I20" s="40"/>
      <c r="J20" s="41"/>
    </row>
    <row r="21" spans="1:12" ht="13.5" hidden="1" x14ac:dyDescent="0.25">
      <c r="A21" s="36"/>
      <c r="B21" s="24" t="str">
        <f>IFERROR(VLOOKUP(H21,[1]SEMIELABORADOS!$A$2:$M$6000,2,0),"")</f>
        <v/>
      </c>
      <c r="C21" s="37">
        <f>+A21</f>
        <v>0</v>
      </c>
      <c r="D21" s="37" t="str">
        <f>IFERROR(VLOOKUP(H21,[1]SEMIELABORADOS!$A$2:$M$6000,6,0),"")</f>
        <v/>
      </c>
      <c r="E21" s="38" t="str">
        <f>IFERROR(VLOOKUP(H21,[1]SEMIELABORADOS!$A$2:$H$65536,8,0),"")</f>
        <v/>
      </c>
      <c r="F21" s="38" t="str">
        <f>IFERROR(E21*C21,"")</f>
        <v/>
      </c>
      <c r="G21" s="39" t="str">
        <f t="shared" si="3"/>
        <v/>
      </c>
      <c r="H21" s="40"/>
      <c r="I21" s="40"/>
      <c r="J21" s="41"/>
    </row>
    <row r="22" spans="1:12" ht="13.5" hidden="1" x14ac:dyDescent="0.25">
      <c r="A22" s="36"/>
      <c r="B22" s="24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40"/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40"/>
      <c r="I24" s="40"/>
      <c r="J24" s="41"/>
    </row>
    <row r="25" spans="1:12" ht="14.25" thickBot="1" x14ac:dyDescent="0.3">
      <c r="A25" s="36"/>
      <c r="C25" s="37"/>
      <c r="D25" s="37"/>
      <c r="E25" s="38"/>
      <c r="F25" s="38"/>
      <c r="G25" s="39"/>
      <c r="H25" s="40"/>
      <c r="I25" s="40"/>
      <c r="J25" s="41"/>
    </row>
    <row r="26" spans="1:12" ht="26.25" thickBot="1" x14ac:dyDescent="0.3">
      <c r="A26" s="31" t="s">
        <v>47</v>
      </c>
      <c r="B26" s="32" t="s">
        <v>21</v>
      </c>
      <c r="C26" s="32" t="s">
        <v>47</v>
      </c>
      <c r="D26" s="33" t="s">
        <v>49</v>
      </c>
      <c r="E26" s="33" t="s">
        <v>50</v>
      </c>
      <c r="F26" s="33" t="s">
        <v>51</v>
      </c>
      <c r="G26" s="33" t="s">
        <v>52</v>
      </c>
      <c r="H26" s="34" t="s">
        <v>53</v>
      </c>
      <c r="I26" s="35"/>
    </row>
    <row r="27" spans="1:12" ht="13.5" x14ac:dyDescent="0.25">
      <c r="A27" s="36">
        <v>1</v>
      </c>
      <c r="B27" s="42" t="str">
        <f>IFERROR(VLOOKUP(H27,'[1]Consolidado MP Planta'!$A$2:$M$823,3,0),"")</f>
        <v>CONT.24 ONZ.TAPA PLANA (CAJA:200 UND)</v>
      </c>
      <c r="C27" s="37">
        <f t="shared" ref="C27:C32" si="6">+A27</f>
        <v>1</v>
      </c>
      <c r="D27" s="38" t="str">
        <f>IFERROR(VLOOKUP(H27,'[1]Consolidado MP Planta'!$A$2:$M$823,13,0),"")</f>
        <v>Und</v>
      </c>
      <c r="E27" s="38">
        <v>140.22</v>
      </c>
      <c r="F27" s="38">
        <f t="shared" ref="F27:F32" si="7">IFERROR(C27*E27,"")</f>
        <v>140.22</v>
      </c>
      <c r="G27" s="39">
        <f t="shared" ref="G27:G32" si="8">IFERROR(F27/$F$66,"")</f>
        <v>0.1470670203591532</v>
      </c>
      <c r="H27" s="43" t="s">
        <v>105</v>
      </c>
      <c r="I27" s="43"/>
      <c r="J27" s="41"/>
      <c r="K27" s="260"/>
      <c r="L27" s="260"/>
    </row>
    <row r="28" spans="1:12" ht="13.5" x14ac:dyDescent="0.25">
      <c r="A28" s="36">
        <v>1</v>
      </c>
      <c r="B28" s="42" t="str">
        <f>IFERROR(VLOOKUP(H28,'[1]Consolidado MP Planta'!$A$2:$M$823,3,0),"")</f>
        <v>ETIQ.BLANCA 1 1/4 * 3/4 (UND)</v>
      </c>
      <c r="C28" s="37">
        <f t="shared" si="6"/>
        <v>1</v>
      </c>
      <c r="D28" s="38" t="str">
        <f>IFERROR(VLOOKUP(H28,'[1]Consolidado MP Planta'!$A$2:$M$823,13,0),"")</f>
        <v>Und</v>
      </c>
      <c r="E28" s="38">
        <f>IFERROR(VLOOKUP(H28,'[1]Consolidado MP Planta'!$A$2:$M$823,12,0),"")</f>
        <v>0.57999999999999996</v>
      </c>
      <c r="F28" s="38">
        <f t="shared" si="7"/>
        <v>0.57999999999999996</v>
      </c>
      <c r="G28" s="39">
        <f t="shared" si="8"/>
        <v>6.0832172163962956E-4</v>
      </c>
      <c r="H28" s="43" t="s">
        <v>106</v>
      </c>
      <c r="I28" s="43"/>
      <c r="J28" s="41"/>
      <c r="K28" s="260"/>
      <c r="L28" s="260"/>
    </row>
    <row r="29" spans="1:12" ht="13.5" x14ac:dyDescent="0.25">
      <c r="A29" s="36">
        <v>1</v>
      </c>
      <c r="B29" s="42" t="str">
        <f>IFERROR(VLOOKUP(H29,'[1]Consolidado MP Planta'!$A$2:$M$823,3,0),"")</f>
        <v>ETIQ.FECHA VENCIMIENTO BLANCO (ROLLO)</v>
      </c>
      <c r="C29" s="37">
        <f t="shared" si="6"/>
        <v>1</v>
      </c>
      <c r="D29" s="38" t="str">
        <f>IFERROR(VLOOKUP(H29,'[1]Consolidado MP Planta'!$A$2:$M$823,13,0),"")</f>
        <v>Gramos</v>
      </c>
      <c r="E29" s="38">
        <f>IFERROR(VLOOKUP(H29,'[1]Consolidado MP Planta'!$A$2:$M$823,12,0),"")</f>
        <v>0.33333333333333331</v>
      </c>
      <c r="F29" s="38">
        <f t="shared" si="7"/>
        <v>0.33333333333333331</v>
      </c>
      <c r="G29" s="39">
        <f t="shared" si="8"/>
        <v>3.4961018485036183E-4</v>
      </c>
      <c r="H29" s="43" t="s">
        <v>107</v>
      </c>
      <c r="I29" s="43"/>
      <c r="J29" s="41"/>
      <c r="K29" s="260"/>
      <c r="L29" s="260"/>
    </row>
    <row r="30" spans="1:12" ht="13.5" hidden="1" x14ac:dyDescent="0.25">
      <c r="A30" s="36"/>
      <c r="B30" s="42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39" t="str">
        <f t="shared" si="8"/>
        <v/>
      </c>
      <c r="H30" s="43"/>
      <c r="I30" s="43"/>
      <c r="J30" s="41"/>
      <c r="K30" s="260"/>
      <c r="L30" s="260"/>
    </row>
    <row r="31" spans="1:12" ht="13.5" hidden="1" x14ac:dyDescent="0.25">
      <c r="A31" s="36"/>
      <c r="B31" s="42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3"/>
      <c r="I31" s="43"/>
      <c r="J31" s="41"/>
      <c r="K31" s="44"/>
      <c r="L31" s="45"/>
    </row>
    <row r="32" spans="1:12" ht="13.5" hidden="1" x14ac:dyDescent="0.25">
      <c r="A32" s="36"/>
      <c r="B32" s="42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3"/>
      <c r="I32" s="43"/>
      <c r="J32" s="41"/>
    </row>
    <row r="33" spans="1:13" ht="14.25" thickBot="1" x14ac:dyDescent="0.3">
      <c r="A33" s="36"/>
      <c r="B33" s="42"/>
      <c r="C33" s="37"/>
      <c r="D33" s="38"/>
      <c r="E33" s="38"/>
      <c r="F33" s="38"/>
      <c r="G33" s="39"/>
      <c r="H33" s="43"/>
      <c r="I33" s="43"/>
      <c r="J33" s="41"/>
    </row>
    <row r="34" spans="1:13" ht="26.25" thickBot="1" x14ac:dyDescent="0.25">
      <c r="A34" s="31" t="s">
        <v>47</v>
      </c>
      <c r="B34" s="32" t="s">
        <v>59</v>
      </c>
      <c r="C34" s="32" t="s">
        <v>47</v>
      </c>
      <c r="D34" s="33" t="s">
        <v>49</v>
      </c>
      <c r="E34" s="33" t="s">
        <v>50</v>
      </c>
      <c r="F34" s="33" t="s">
        <v>51</v>
      </c>
      <c r="G34" s="33" t="s">
        <v>52</v>
      </c>
      <c r="H34" s="34" t="s">
        <v>53</v>
      </c>
      <c r="I34" s="43"/>
      <c r="J34" s="41"/>
    </row>
    <row r="35" spans="1:13" ht="13.5" x14ac:dyDescent="0.25">
      <c r="A35" s="36">
        <f>+A17</f>
        <v>1</v>
      </c>
      <c r="B35" s="42" t="s">
        <v>100</v>
      </c>
      <c r="C35" s="37">
        <f>+A35</f>
        <v>1</v>
      </c>
      <c r="D35" s="38" t="s">
        <v>101</v>
      </c>
      <c r="E35" s="38">
        <f>+'Costo Rosquete '!H54</f>
        <v>0.92703030303030298</v>
      </c>
      <c r="F35" s="38">
        <f>IFERROR(E35*C35,"")</f>
        <v>0.92703030303030298</v>
      </c>
      <c r="G35" s="39">
        <f t="shared" ref="G35:G41" si="9">IFERROR(F35/$F$66,"")</f>
        <v>9.722977068129336E-4</v>
      </c>
      <c r="H35" s="43"/>
      <c r="I35" s="43"/>
      <c r="J35" s="41"/>
    </row>
    <row r="36" spans="1:13" ht="13.5" x14ac:dyDescent="0.25">
      <c r="A36" s="36">
        <f t="shared" ref="A36:A41" si="10">+A18</f>
        <v>250</v>
      </c>
      <c r="B36" s="42" t="s">
        <v>102</v>
      </c>
      <c r="C36" s="37">
        <f t="shared" ref="C36:C41" si="11">+A36</f>
        <v>250</v>
      </c>
      <c r="D36" s="38" t="s">
        <v>103</v>
      </c>
      <c r="E36" s="38">
        <f>+'costo Mezclas leches Ron'!E76</f>
        <v>5.8995023771428576E-4</v>
      </c>
      <c r="F36" s="38">
        <f t="shared" ref="F36:F41" si="12">IFERROR(E36*C36,"")</f>
        <v>0.14748755942857145</v>
      </c>
      <c r="G36" s="39">
        <f t="shared" si="9"/>
        <v>1.5468945874485478E-4</v>
      </c>
      <c r="H36" s="43"/>
      <c r="I36" s="43"/>
      <c r="J36" s="41"/>
    </row>
    <row r="37" spans="1:13" ht="13.5" x14ac:dyDescent="0.25">
      <c r="A37" s="36">
        <f t="shared" si="10"/>
        <v>40</v>
      </c>
      <c r="B37" s="42" t="str">
        <f>IFERROR(VLOOKUP(H37,[1]SEMIELABORADOS!$A$2:$M$6000,2,0),"")</f>
        <v>CREMA CHANTILLY BLANCA SPOON-IND KILO</v>
      </c>
      <c r="C37" s="37">
        <f t="shared" si="11"/>
        <v>40</v>
      </c>
      <c r="D37" s="38" t="str">
        <f>IFERROR(VLOOKUP(H37,[1]SEMIELABORADOS!$A$2:$M$6000,6,0),"")</f>
        <v>Gramo</v>
      </c>
      <c r="E37" s="38">
        <f>IFERROR(VLOOKUP(H37,[1]SEMIELABORADOS!$A$2:$M$65536,10,0),"")</f>
        <v>2.7884615384615379E-5</v>
      </c>
      <c r="F37" s="38">
        <f t="shared" si="12"/>
        <v>1.1153846153846151E-3</v>
      </c>
      <c r="G37" s="39">
        <f t="shared" si="9"/>
        <v>1.1698494646915951E-6</v>
      </c>
      <c r="H37" s="43" t="s">
        <v>104</v>
      </c>
      <c r="I37" s="43"/>
      <c r="J37" s="41"/>
    </row>
    <row r="38" spans="1:13" ht="13.5" hidden="1" x14ac:dyDescent="0.25">
      <c r="A38" s="36">
        <f t="shared" si="10"/>
        <v>0</v>
      </c>
      <c r="B38" s="42" t="str">
        <f>IFERROR(VLOOKUP(H38,[1]SEMIELABORADOS!$A$2:$M$6000,2,0),"")</f>
        <v/>
      </c>
      <c r="C38" s="37">
        <f>+A38</f>
        <v>0</v>
      </c>
      <c r="D38" s="38" t="str">
        <f>IFERROR(VLOOKUP(H38,[1]SEMIELABORADOS!$A$2:$M$6000,6,0),"")</f>
        <v/>
      </c>
      <c r="E38" s="38" t="str">
        <f>IFERROR(VLOOKUP(H38,[1]SEMIELABORADOS!$A$2:$M$65536,10,0),"")</f>
        <v/>
      </c>
      <c r="F38" s="38" t="str">
        <f>IFERROR(E38*C38,"")</f>
        <v/>
      </c>
      <c r="G38" s="39" t="str">
        <f t="shared" si="9"/>
        <v/>
      </c>
      <c r="H38" s="43"/>
      <c r="I38" s="43"/>
      <c r="J38" s="41"/>
    </row>
    <row r="39" spans="1:13" ht="13.5" hidden="1" x14ac:dyDescent="0.25">
      <c r="A39" s="36">
        <f t="shared" si="10"/>
        <v>0</v>
      </c>
      <c r="B39" s="42" t="str">
        <f>IFERROR(VLOOKUP(H39,[1]SEMIELABORADOS!$A$2:$M$6000,2,0),"")</f>
        <v/>
      </c>
      <c r="C39" s="37">
        <f>+A39</f>
        <v>0</v>
      </c>
      <c r="D39" s="38" t="str">
        <f>IFERROR(VLOOKUP(H39,[1]SEMIELABORADOS!$A$2:$M$6000,6,0),"")</f>
        <v/>
      </c>
      <c r="E39" s="38" t="str">
        <f>IFERROR(VLOOKUP(H39,[1]SEMIELABORADOS!$A$2:$M$65536,10,0),"")</f>
        <v/>
      </c>
      <c r="F39" s="38" t="str">
        <f>IFERROR(E39*C39,"")</f>
        <v/>
      </c>
      <c r="G39" s="39" t="str">
        <f t="shared" si="9"/>
        <v/>
      </c>
      <c r="H39" s="43"/>
      <c r="I39" s="43"/>
      <c r="J39" s="41"/>
    </row>
    <row r="40" spans="1:13" ht="13.5" hidden="1" x14ac:dyDescent="0.25">
      <c r="A40" s="36">
        <f t="shared" si="10"/>
        <v>0</v>
      </c>
      <c r="B40" s="42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3"/>
      <c r="I40" s="43"/>
      <c r="J40" s="41"/>
    </row>
    <row r="41" spans="1:13" ht="13.5" hidden="1" x14ac:dyDescent="0.25">
      <c r="A41" s="36">
        <f t="shared" si="10"/>
        <v>0</v>
      </c>
      <c r="B41" s="42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3"/>
      <c r="I41" s="43"/>
      <c r="J41" s="41"/>
    </row>
    <row r="42" spans="1:13" ht="14.25" thickBot="1" x14ac:dyDescent="0.3">
      <c r="A42" s="36"/>
      <c r="B42" s="42"/>
      <c r="C42" s="37"/>
      <c r="D42" s="38"/>
      <c r="E42" s="38"/>
      <c r="F42" s="38"/>
      <c r="G42" s="39"/>
      <c r="H42" s="43"/>
      <c r="I42" s="43"/>
      <c r="J42" s="41"/>
    </row>
    <row r="43" spans="1:13" ht="26.25" thickBot="1" x14ac:dyDescent="0.3">
      <c r="A43" s="31" t="s">
        <v>47</v>
      </c>
      <c r="B43" s="32" t="s">
        <v>60</v>
      </c>
      <c r="C43" s="32" t="s">
        <v>47</v>
      </c>
      <c r="D43" s="33" t="s">
        <v>49</v>
      </c>
      <c r="E43" s="33" t="s">
        <v>50</v>
      </c>
      <c r="F43" s="33" t="s">
        <v>51</v>
      </c>
      <c r="G43" s="33" t="s">
        <v>52</v>
      </c>
      <c r="H43" s="34" t="s">
        <v>53</v>
      </c>
      <c r="I43" s="35"/>
      <c r="J43" s="41"/>
    </row>
    <row r="44" spans="1:13" ht="13.5" x14ac:dyDescent="0.25">
      <c r="A44" s="36">
        <f>+A35</f>
        <v>1</v>
      </c>
      <c r="B44" s="42" t="s">
        <v>100</v>
      </c>
      <c r="C44" s="37">
        <f>+A44</f>
        <v>1</v>
      </c>
      <c r="D44" s="38" t="s">
        <v>101</v>
      </c>
      <c r="E44" s="38">
        <f>+'Costo Rosquete '!H56</f>
        <v>32.970161832727271</v>
      </c>
      <c r="F44" s="38">
        <f>IFERROR(E44*C44,"")</f>
        <v>32.970161832727271</v>
      </c>
      <c r="G44" s="39">
        <f>IFERROR(F44/$F$66,"")</f>
        <v>3.4580113118658377E-2</v>
      </c>
      <c r="H44" s="43"/>
      <c r="I44" s="35"/>
      <c r="J44" s="41"/>
    </row>
    <row r="45" spans="1:13" ht="13.5" x14ac:dyDescent="0.25">
      <c r="A45" s="36">
        <f t="shared" ref="A45:A50" si="13">+A36</f>
        <v>250</v>
      </c>
      <c r="B45" s="42" t="s">
        <v>102</v>
      </c>
      <c r="C45" s="37">
        <f t="shared" ref="C45:C50" si="14">+A45</f>
        <v>250</v>
      </c>
      <c r="D45" s="38" t="s">
        <v>103</v>
      </c>
      <c r="E45" s="38">
        <f>+'costo Mezclas leches Ron'!E74</f>
        <v>0.24331679331813388</v>
      </c>
      <c r="F45" s="38">
        <f t="shared" ref="F45:F50" si="15">IFERROR(E45*C45,"")</f>
        <v>60.829198329533469</v>
      </c>
      <c r="G45" s="39">
        <f t="shared" ref="G45:G50" si="16">IFERROR(F45/$F$66,"")</f>
        <v>6.3799521816862548E-2</v>
      </c>
      <c r="H45" s="43"/>
      <c r="I45" s="35"/>
      <c r="J45" s="41"/>
      <c r="M45" s="46"/>
    </row>
    <row r="46" spans="1:13" ht="13.5" x14ac:dyDescent="0.25">
      <c r="A46" s="36">
        <f t="shared" si="13"/>
        <v>40</v>
      </c>
      <c r="B46" s="42" t="str">
        <f>IFERROR(VLOOKUP(H46,[1]SEMIELABORADOS!$A$2:$M$6000,2,0),"")</f>
        <v>CREMA CHANTILLY BLANCA SPOON-IND KILO</v>
      </c>
      <c r="C46" s="37">
        <f t="shared" si="14"/>
        <v>40</v>
      </c>
      <c r="D46" s="38" t="str">
        <f>IFERROR(VLOOKUP(H46,[1]SEMIELABORADOS!$A$2:$M$6000,6,0),"")</f>
        <v>Gramo</v>
      </c>
      <c r="E46" s="38">
        <f>IFERROR(VLOOKUP(H46,[1]SEMIELABORADOS!$A$2:$M$65536,12,0),"")</f>
        <v>0.41607800376923076</v>
      </c>
      <c r="F46" s="38">
        <f t="shared" si="15"/>
        <v>16.643120150769231</v>
      </c>
      <c r="G46" s="39">
        <f t="shared" si="16"/>
        <v>1.7455812937191638E-2</v>
      </c>
      <c r="H46" s="43" t="s">
        <v>104</v>
      </c>
      <c r="I46" s="35"/>
      <c r="J46" s="41"/>
    </row>
    <row r="47" spans="1:13" ht="13.5" hidden="1" x14ac:dyDescent="0.25">
      <c r="A47" s="36">
        <f t="shared" si="13"/>
        <v>0</v>
      </c>
      <c r="B47" s="42" t="str">
        <f>IFERROR(VLOOKUP(H47,[1]SEMIELABORADOS!$A$2:$M$6000,2,0),"")</f>
        <v/>
      </c>
      <c r="C47" s="37">
        <f t="shared" si="14"/>
        <v>0</v>
      </c>
      <c r="D47" s="38" t="str">
        <f>IFERROR(VLOOKUP(H47,[1]SEMIELABORADOS!$A$2:$M$6000,6,0),"")</f>
        <v/>
      </c>
      <c r="E47" s="38" t="str">
        <f>IFERROR(VLOOKUP(H47,[1]SEMIELABORADOS!$A$2:$M$65536,12,0),"")</f>
        <v/>
      </c>
      <c r="F47" s="38" t="str">
        <f t="shared" si="15"/>
        <v/>
      </c>
      <c r="G47" s="39" t="str">
        <f t="shared" si="16"/>
        <v/>
      </c>
      <c r="H47" s="43"/>
      <c r="I47" s="35"/>
      <c r="J47" s="41"/>
    </row>
    <row r="48" spans="1:13" ht="13.5" hidden="1" x14ac:dyDescent="0.25">
      <c r="A48" s="36">
        <f t="shared" si="13"/>
        <v>0</v>
      </c>
      <c r="B48" s="42" t="str">
        <f>IFERROR(VLOOKUP(H48,[1]SEMIELABORADOS!$A$2:$M$6000,2,0),"")</f>
        <v/>
      </c>
      <c r="C48" s="37">
        <f t="shared" si="14"/>
        <v>0</v>
      </c>
      <c r="D48" s="38" t="str">
        <f>IFERROR(VLOOKUP(H48,[1]SEMIELABORADOS!$A$2:$M$6000,6,0),"")</f>
        <v/>
      </c>
      <c r="E48" s="38" t="str">
        <f>IFERROR(VLOOKUP(H48,[1]SEMIELABORADOS!$A$2:$M$65536,12,0),"")</f>
        <v/>
      </c>
      <c r="F48" s="38" t="str">
        <f t="shared" si="15"/>
        <v/>
      </c>
      <c r="G48" s="39" t="str">
        <f t="shared" si="16"/>
        <v/>
      </c>
      <c r="H48" s="43"/>
      <c r="I48" s="35"/>
      <c r="J48" s="41"/>
    </row>
    <row r="49" spans="1:17" ht="13.5" hidden="1" x14ac:dyDescent="0.25">
      <c r="A49" s="36">
        <f t="shared" si="13"/>
        <v>0</v>
      </c>
      <c r="B49" s="42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3"/>
      <c r="I49" s="35"/>
      <c r="J49" s="41"/>
    </row>
    <row r="50" spans="1:17" ht="13.5" hidden="1" x14ac:dyDescent="0.25">
      <c r="A50" s="36">
        <f t="shared" si="13"/>
        <v>0</v>
      </c>
      <c r="B50" s="42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2"/>
      <c r="I50" s="35"/>
      <c r="J50" s="41"/>
    </row>
    <row r="51" spans="1:17" ht="13.5" x14ac:dyDescent="0.25">
      <c r="A51" s="36">
        <v>1</v>
      </c>
      <c r="B51" s="42" t="s">
        <v>61</v>
      </c>
      <c r="C51" s="37">
        <f>+A51</f>
        <v>1</v>
      </c>
      <c r="D51" s="37" t="s">
        <v>62</v>
      </c>
      <c r="E51" s="38">
        <f>+F65</f>
        <v>122</v>
      </c>
      <c r="F51" s="38">
        <f>IFERROR(C51*E51,"")</f>
        <v>122</v>
      </c>
      <c r="G51" s="39">
        <f>IFERROR(F51/$F$66,"")</f>
        <v>0.12795732765523243</v>
      </c>
      <c r="H51" s="47"/>
      <c r="I51" s="47"/>
      <c r="J51" s="41"/>
    </row>
    <row r="52" spans="1:17" ht="14.25" thickBot="1" x14ac:dyDescent="0.3">
      <c r="A52" s="36"/>
      <c r="B52" s="42"/>
      <c r="C52" s="37"/>
      <c r="D52" s="37"/>
      <c r="E52" s="38"/>
      <c r="F52" s="38"/>
      <c r="G52" s="39"/>
      <c r="H52" s="47"/>
      <c r="I52" s="47"/>
      <c r="J52" s="41"/>
    </row>
    <row r="53" spans="1:17" ht="13.5" thickBot="1" x14ac:dyDescent="0.3">
      <c r="A53" s="48"/>
      <c r="B53" s="270" t="s">
        <v>63</v>
      </c>
      <c r="C53" s="270"/>
      <c r="D53" s="270"/>
      <c r="E53" s="270"/>
      <c r="F53" s="50">
        <f>SUM(F8:F14,F17:F24)</f>
        <v>675.71949999999993</v>
      </c>
      <c r="G53" s="39">
        <f>+F53/$F$66</f>
        <v>0.70871525790598222</v>
      </c>
      <c r="H53" s="51">
        <f>+F53/$D$60</f>
        <v>675.71949999999993</v>
      </c>
      <c r="I53" s="51"/>
      <c r="J53" s="52"/>
      <c r="K53" s="53"/>
      <c r="L53" s="53"/>
      <c r="M53" s="53"/>
      <c r="N53" s="53"/>
      <c r="O53" s="53"/>
      <c r="P53" s="53"/>
      <c r="Q53" s="54"/>
    </row>
    <row r="54" spans="1:17" x14ac:dyDescent="0.2">
      <c r="A54" s="48"/>
      <c r="B54" s="270" t="s">
        <v>64</v>
      </c>
      <c r="C54" s="270"/>
      <c r="D54" s="270"/>
      <c r="E54" s="270"/>
      <c r="F54" s="50">
        <f>SUM(F27:F32,F35:F41)</f>
        <v>142.20896658040763</v>
      </c>
      <c r="G54" s="39">
        <f>+F54/$F$66</f>
        <v>0.14915310928066572</v>
      </c>
      <c r="H54" s="51">
        <f>+F54/$D$60</f>
        <v>142.20896658040763</v>
      </c>
      <c r="I54" s="51"/>
      <c r="J54" s="55"/>
      <c r="K54" s="271" t="s">
        <v>65</v>
      </c>
      <c r="L54" s="272"/>
      <c r="M54" s="272"/>
      <c r="N54" s="272"/>
      <c r="O54" s="56">
        <f>+F55</f>
        <v>817.92846658040753</v>
      </c>
      <c r="P54" s="56"/>
      <c r="Q54" s="57"/>
    </row>
    <row r="55" spans="1:17" x14ac:dyDescent="0.2">
      <c r="A55" s="48"/>
      <c r="B55" s="270" t="s">
        <v>66</v>
      </c>
      <c r="C55" s="270"/>
      <c r="D55" s="270"/>
      <c r="E55" s="270"/>
      <c r="F55" s="50">
        <f>+F53+F54</f>
        <v>817.92846658040753</v>
      </c>
      <c r="G55" s="39">
        <f>+F55/$F$66</f>
        <v>0.85786836718664783</v>
      </c>
      <c r="H55" s="51">
        <f>+F55/$D$60</f>
        <v>817.92846658040753</v>
      </c>
      <c r="I55" s="51"/>
      <c r="J55" s="58"/>
      <c r="K55" s="59"/>
      <c r="M55" s="60" t="s">
        <v>67</v>
      </c>
      <c r="N55" s="61"/>
      <c r="O55" s="56">
        <f>+H56</f>
        <v>232.44248031302999</v>
      </c>
      <c r="P55" s="56"/>
      <c r="Q55" s="57"/>
    </row>
    <row r="56" spans="1:17" ht="13.5" thickBot="1" x14ac:dyDescent="0.25">
      <c r="A56" s="48"/>
      <c r="B56" s="49"/>
      <c r="C56" s="270" t="s">
        <v>68</v>
      </c>
      <c r="D56" s="270"/>
      <c r="E56" s="270"/>
      <c r="F56" s="50">
        <f>SUM(F44:F51)</f>
        <v>232.44248031302999</v>
      </c>
      <c r="G56" s="39">
        <f>+F56/$F$66</f>
        <v>0.24379277552794504</v>
      </c>
      <c r="H56" s="51">
        <f>+F56/$D$60</f>
        <v>232.44248031302999</v>
      </c>
      <c r="I56" s="51"/>
      <c r="J56" s="58"/>
      <c r="K56" s="59"/>
      <c r="L56" s="59"/>
      <c r="M56" s="59" t="s">
        <v>69</v>
      </c>
      <c r="N56" s="62"/>
      <c r="O56" s="56">
        <f>O54*N56</f>
        <v>0</v>
      </c>
      <c r="P56" s="56"/>
      <c r="Q56" s="57"/>
    </row>
    <row r="57" spans="1:17" ht="13.5" thickBot="1" x14ac:dyDescent="0.25">
      <c r="A57" s="48"/>
      <c r="B57" s="63"/>
      <c r="C57" s="63"/>
      <c r="D57" s="63"/>
      <c r="E57" s="63"/>
      <c r="F57" s="64"/>
      <c r="G57" s="39"/>
      <c r="H57" s="65"/>
      <c r="I57" s="51"/>
      <c r="J57" s="58"/>
      <c r="K57" s="66"/>
      <c r="M57" s="67" t="s">
        <v>70</v>
      </c>
      <c r="N57" s="68"/>
      <c r="O57" s="69">
        <f>SUM(O54:O56)</f>
        <v>1050.3709468934376</v>
      </c>
      <c r="P57" s="70"/>
      <c r="Q57" s="57"/>
    </row>
    <row r="58" spans="1:17" x14ac:dyDescent="0.2">
      <c r="B58" s="273" t="s">
        <v>71</v>
      </c>
      <c r="C58" s="273"/>
      <c r="D58" s="71">
        <v>380</v>
      </c>
      <c r="E58" s="72"/>
      <c r="G58" s="39"/>
      <c r="H58" s="65">
        <f>+H56/61</f>
        <v>3.8105324641480327</v>
      </c>
      <c r="I58" s="73"/>
      <c r="J58" s="58"/>
      <c r="K58" s="66"/>
      <c r="L58" s="59"/>
      <c r="M58" s="59" t="s">
        <v>72</v>
      </c>
      <c r="N58" s="74"/>
      <c r="O58" s="56">
        <f>+H59</f>
        <v>221.01088292058589</v>
      </c>
      <c r="P58" s="56"/>
      <c r="Q58" s="57"/>
    </row>
    <row r="59" spans="1:17" x14ac:dyDescent="0.2">
      <c r="B59" s="273" t="s">
        <v>73</v>
      </c>
      <c r="C59" s="273"/>
      <c r="D59" s="75">
        <v>380</v>
      </c>
      <c r="E59" s="72"/>
      <c r="G59" s="39"/>
      <c r="H59" s="65">
        <f>+H58*58</f>
        <v>221.01088292058589</v>
      </c>
      <c r="I59" s="73"/>
      <c r="J59" s="58"/>
      <c r="K59" s="66"/>
      <c r="L59" s="59"/>
      <c r="M59" s="274" t="s">
        <v>70</v>
      </c>
      <c r="N59" s="274"/>
      <c r="O59" s="56">
        <f>SUM(O57:O58)</f>
        <v>1271.3818298140234</v>
      </c>
      <c r="P59" s="56"/>
      <c r="Q59" s="57"/>
    </row>
    <row r="60" spans="1:17" ht="13.5" thickBot="1" x14ac:dyDescent="0.25">
      <c r="B60" s="266" t="s">
        <v>74</v>
      </c>
      <c r="C60" s="266"/>
      <c r="D60" s="71">
        <f>+D58/D59</f>
        <v>1</v>
      </c>
      <c r="E60" s="72"/>
      <c r="F60" s="76"/>
      <c r="G60" s="39"/>
      <c r="H60" s="65"/>
      <c r="I60" s="73"/>
      <c r="J60" s="58"/>
      <c r="K60" s="66"/>
      <c r="L60" s="274"/>
      <c r="M60" s="274"/>
      <c r="N60" s="74"/>
      <c r="O60" s="56">
        <f>+O59*N60</f>
        <v>0</v>
      </c>
      <c r="P60" s="56"/>
      <c r="Q60" s="57"/>
    </row>
    <row r="61" spans="1:17" ht="13.5" thickBot="1" x14ac:dyDescent="0.25">
      <c r="B61" s="266" t="s">
        <v>75</v>
      </c>
      <c r="C61" s="266"/>
      <c r="D61" s="77"/>
      <c r="E61" s="72"/>
      <c r="F61" s="76"/>
      <c r="G61" s="39"/>
      <c r="H61" s="65"/>
      <c r="I61" s="73"/>
      <c r="J61" s="58"/>
      <c r="K61" s="267" t="s">
        <v>76</v>
      </c>
      <c r="L61" s="268"/>
      <c r="M61" s="268"/>
      <c r="N61" s="269"/>
      <c r="O61" s="69">
        <f>SUM(O59:O60)</f>
        <v>1271.3818298140234</v>
      </c>
      <c r="P61" s="78" t="s">
        <v>77</v>
      </c>
      <c r="Q61" s="57"/>
    </row>
    <row r="62" spans="1:17" ht="13.5" thickBot="1" x14ac:dyDescent="0.25">
      <c r="C62" s="48" t="s">
        <v>78</v>
      </c>
      <c r="D62" s="79"/>
      <c r="E62" s="22" t="s">
        <v>79</v>
      </c>
      <c r="F62" s="80" t="s">
        <v>80</v>
      </c>
      <c r="G62" s="39"/>
      <c r="H62" s="65"/>
      <c r="I62" s="73"/>
      <c r="J62" s="81"/>
      <c r="K62" s="82"/>
      <c r="L62" s="280" t="s">
        <v>81</v>
      </c>
      <c r="M62" s="280"/>
      <c r="N62" s="280"/>
      <c r="O62" s="83">
        <f>+O61/D60</f>
        <v>1271.3818298140234</v>
      </c>
      <c r="P62" s="84">
        <f>+O62/D59</f>
        <v>3.3457416574053247</v>
      </c>
      <c r="Q62" s="85"/>
    </row>
    <row r="63" spans="1:17" ht="13.5" thickBot="1" x14ac:dyDescent="0.25">
      <c r="B63" s="281" t="s">
        <v>66</v>
      </c>
      <c r="C63" s="281"/>
      <c r="D63" s="281"/>
      <c r="E63" s="86">
        <f>+F63/F63</f>
        <v>1</v>
      </c>
      <c r="F63" s="87">
        <f>SUM(F55)</f>
        <v>817.92846658040753</v>
      </c>
      <c r="G63" s="39">
        <f>+F63/$F$66</f>
        <v>0.85786836718664783</v>
      </c>
      <c r="H63" s="65"/>
      <c r="I63" s="73"/>
      <c r="K63" s="282"/>
      <c r="L63" s="283"/>
      <c r="M63" s="283"/>
      <c r="N63" s="283"/>
      <c r="O63" s="88"/>
      <c r="P63" s="89"/>
    </row>
    <row r="64" spans="1:17" ht="13.5" thickBot="1" x14ac:dyDescent="0.3">
      <c r="B64" s="284" t="s">
        <v>82</v>
      </c>
      <c r="C64" s="284"/>
      <c r="D64" s="284"/>
      <c r="E64" s="90">
        <v>0.02</v>
      </c>
      <c r="F64" s="87">
        <f>+F53*E64</f>
        <v>13.514389999999999</v>
      </c>
      <c r="G64" s="39">
        <f>+F64/$F$66</f>
        <v>1.4174305158119644E-2</v>
      </c>
      <c r="H64" s="51"/>
      <c r="I64" s="73"/>
      <c r="J64" s="91"/>
      <c r="O64" s="92"/>
      <c r="P64" s="49"/>
    </row>
    <row r="65" spans="2:13" ht="13.5" thickBot="1" x14ac:dyDescent="0.3">
      <c r="B65" s="285" t="s">
        <v>83</v>
      </c>
      <c r="C65" s="286"/>
      <c r="D65" s="93">
        <v>2</v>
      </c>
      <c r="E65" s="94">
        <v>61</v>
      </c>
      <c r="F65" s="87">
        <f>+E65*D65</f>
        <v>122</v>
      </c>
      <c r="G65" s="39">
        <f>+F65/$F$66</f>
        <v>0.12795732765523243</v>
      </c>
      <c r="H65" s="51"/>
      <c r="I65" s="51"/>
      <c r="J65" s="41"/>
    </row>
    <row r="66" spans="2:13" ht="13.5" thickBot="1" x14ac:dyDescent="0.3">
      <c r="B66" s="287" t="s">
        <v>84</v>
      </c>
      <c r="C66" s="288"/>
      <c r="D66" s="288"/>
      <c r="E66" s="289"/>
      <c r="F66" s="64">
        <f>SUM(F63:F65)</f>
        <v>953.44285658040758</v>
      </c>
      <c r="G66" s="39">
        <f>+F66/$F$66</f>
        <v>1</v>
      </c>
      <c r="H66" s="290"/>
      <c r="I66" s="51"/>
      <c r="J66" s="41"/>
      <c r="M66" s="24" t="s">
        <v>85</v>
      </c>
    </row>
    <row r="67" spans="2:13" x14ac:dyDescent="0.25">
      <c r="C67" s="46"/>
      <c r="D67" s="46"/>
      <c r="E67" s="96"/>
      <c r="F67" s="87"/>
      <c r="G67" s="39"/>
      <c r="H67" s="290"/>
      <c r="I67" s="95"/>
      <c r="J67" s="24"/>
      <c r="M67" s="24" t="s">
        <v>86</v>
      </c>
    </row>
    <row r="68" spans="2:13" ht="13.5" thickBot="1" x14ac:dyDescent="0.3">
      <c r="B68" s="275" t="s">
        <v>87</v>
      </c>
      <c r="C68" s="275"/>
      <c r="D68" s="275"/>
      <c r="E68" s="275"/>
      <c r="F68" s="275"/>
      <c r="G68" s="39"/>
      <c r="H68" s="98"/>
      <c r="I68" s="95"/>
      <c r="J68" s="24"/>
      <c r="M68" s="24" t="s">
        <v>88</v>
      </c>
    </row>
    <row r="69" spans="2:13" ht="13.5" thickBot="1" x14ac:dyDescent="0.3">
      <c r="B69" s="99" t="s">
        <v>89</v>
      </c>
      <c r="C69" s="100">
        <f>+F53</f>
        <v>675.71949999999993</v>
      </c>
      <c r="D69" s="100">
        <f>+D58</f>
        <v>380</v>
      </c>
      <c r="E69" s="101">
        <f>+C69/D69</f>
        <v>1.7782092105263156</v>
      </c>
      <c r="F69" s="39"/>
      <c r="G69" s="98"/>
      <c r="H69" s="41"/>
      <c r="I69" s="98"/>
      <c r="J69" s="24"/>
    </row>
    <row r="70" spans="2:13" x14ac:dyDescent="0.25">
      <c r="B70" s="102"/>
      <c r="C70" s="103"/>
      <c r="D70" s="104"/>
      <c r="E70" s="87"/>
      <c r="F70" s="39"/>
      <c r="G70" s="98"/>
      <c r="H70" s="41"/>
      <c r="I70" s="41"/>
      <c r="J70" s="24"/>
    </row>
    <row r="71" spans="2:13" x14ac:dyDescent="0.25">
      <c r="B71" s="99" t="s">
        <v>90</v>
      </c>
      <c r="C71" s="100">
        <f>SUM(F63:F64)</f>
        <v>831.44285658040758</v>
      </c>
      <c r="D71" s="100">
        <f>+D58</f>
        <v>380</v>
      </c>
      <c r="E71" s="105">
        <f>+C71/D71</f>
        <v>2.188007517316862</v>
      </c>
      <c r="F71" s="39"/>
      <c r="G71" s="98"/>
      <c r="H71" s="41"/>
      <c r="I71" s="41"/>
      <c r="J71" s="24"/>
    </row>
    <row r="72" spans="2:13" x14ac:dyDescent="0.25">
      <c r="B72" s="99"/>
      <c r="C72" s="100"/>
      <c r="D72" s="100"/>
      <c r="E72" s="105"/>
      <c r="F72" s="39"/>
      <c r="G72" s="98"/>
      <c r="H72" s="41"/>
      <c r="I72" s="41"/>
      <c r="J72" s="24"/>
    </row>
    <row r="73" spans="2:13" ht="13.5" thickBot="1" x14ac:dyDescent="0.3">
      <c r="B73" s="99" t="s">
        <v>91</v>
      </c>
      <c r="C73" s="100">
        <f>+F65</f>
        <v>122</v>
      </c>
      <c r="D73" s="100">
        <f>+D58</f>
        <v>380</v>
      </c>
      <c r="E73" s="105">
        <f>+C73/D73</f>
        <v>0.32105263157894737</v>
      </c>
      <c r="F73" s="39"/>
      <c r="G73" s="98"/>
      <c r="H73" s="41"/>
      <c r="I73" s="41"/>
      <c r="J73" s="24"/>
    </row>
    <row r="74" spans="2:13" ht="13.5" thickBot="1" x14ac:dyDescent="0.3">
      <c r="B74" s="99" t="s">
        <v>92</v>
      </c>
      <c r="C74" s="100">
        <f>+F56</f>
        <v>232.44248031302999</v>
      </c>
      <c r="D74" s="100">
        <f>+D73</f>
        <v>380</v>
      </c>
      <c r="E74" s="101">
        <f>+C74/D74</f>
        <v>0.61169073766586834</v>
      </c>
      <c r="F74" s="39"/>
      <c r="G74" s="98"/>
      <c r="H74" s="41"/>
      <c r="I74" s="41"/>
      <c r="J74" s="24"/>
    </row>
    <row r="75" spans="2:13" ht="13.5" thickBot="1" x14ac:dyDescent="0.3">
      <c r="B75" s="63"/>
      <c r="C75" s="64"/>
      <c r="D75" s="64"/>
      <c r="E75" s="105"/>
      <c r="F75" s="39"/>
      <c r="G75" s="98"/>
      <c r="H75" s="41"/>
      <c r="I75" s="41"/>
      <c r="J75" s="24"/>
    </row>
    <row r="76" spans="2:13" ht="13.5" thickBot="1" x14ac:dyDescent="0.3">
      <c r="B76" s="99" t="s">
        <v>93</v>
      </c>
      <c r="C76" s="100">
        <f>+F54</f>
        <v>142.20896658040763</v>
      </c>
      <c r="D76" s="100">
        <f>+D74</f>
        <v>380</v>
      </c>
      <c r="E76" s="101">
        <f>+C76/D76</f>
        <v>0.37423412258002009</v>
      </c>
      <c r="F76" s="39"/>
      <c r="G76" s="98"/>
      <c r="H76" s="41"/>
      <c r="I76" s="41"/>
      <c r="J76" s="41"/>
    </row>
    <row r="77" spans="2:13" ht="13.5" thickBot="1" x14ac:dyDescent="0.3">
      <c r="B77" s="63"/>
      <c r="C77" s="64"/>
      <c r="D77" s="64"/>
      <c r="E77" s="105"/>
      <c r="F77" s="39"/>
      <c r="G77" s="98"/>
      <c r="H77" s="41"/>
      <c r="I77" s="41"/>
    </row>
    <row r="78" spans="2:13" ht="13.5" thickBot="1" x14ac:dyDescent="0.3">
      <c r="B78" s="276" t="s">
        <v>94</v>
      </c>
      <c r="C78" s="277"/>
      <c r="D78" s="278"/>
      <c r="E78" s="101">
        <f>+E69+E74</f>
        <v>2.3898999481921841</v>
      </c>
      <c r="G78" s="39"/>
      <c r="H78" s="98"/>
      <c r="I78" s="41"/>
      <c r="J78" s="105"/>
    </row>
    <row r="79" spans="2:13" x14ac:dyDescent="0.25">
      <c r="I79" s="98"/>
      <c r="J79" s="24"/>
    </row>
    <row r="80" spans="2:13" ht="13.5" thickBot="1" x14ac:dyDescent="0.3">
      <c r="B80" s="275" t="s">
        <v>95</v>
      </c>
      <c r="C80" s="275"/>
      <c r="D80" s="275"/>
      <c r="E80" s="275"/>
      <c r="F80" s="275"/>
      <c r="G80" s="39"/>
      <c r="H80" s="98"/>
      <c r="J80" s="24"/>
    </row>
    <row r="81" spans="1:10" ht="13.5" thickBot="1" x14ac:dyDescent="0.3">
      <c r="B81" s="99" t="s">
        <v>89</v>
      </c>
      <c r="C81" s="100">
        <f>+C69</f>
        <v>675.71949999999993</v>
      </c>
      <c r="D81" s="100">
        <f>+D60</f>
        <v>1</v>
      </c>
      <c r="E81" s="101">
        <f>+C81/D81</f>
        <v>675.71949999999993</v>
      </c>
      <c r="F81" s="39"/>
      <c r="G81" s="98"/>
      <c r="H81" s="41"/>
      <c r="I81" s="98"/>
      <c r="J81" s="24"/>
    </row>
    <row r="82" spans="1:10" x14ac:dyDescent="0.25">
      <c r="B82" s="102"/>
      <c r="C82" s="103"/>
      <c r="D82" s="104"/>
      <c r="E82" s="87"/>
      <c r="F82" s="39"/>
      <c r="G82" s="98"/>
      <c r="H82" s="41"/>
      <c r="I82" s="41"/>
      <c r="J82" s="24"/>
    </row>
    <row r="83" spans="1:10" x14ac:dyDescent="0.25">
      <c r="B83" s="99" t="s">
        <v>90</v>
      </c>
      <c r="C83" s="100">
        <f>+C71</f>
        <v>831.44285658040758</v>
      </c>
      <c r="D83" s="100">
        <f>+D60</f>
        <v>1</v>
      </c>
      <c r="E83" s="105">
        <f>+C83/D83</f>
        <v>831.44285658040758</v>
      </c>
      <c r="F83" s="39"/>
      <c r="G83" s="98"/>
      <c r="H83" s="41"/>
      <c r="I83" s="41"/>
      <c r="J83" s="24"/>
    </row>
    <row r="84" spans="1:10" x14ac:dyDescent="0.25">
      <c r="B84" s="99"/>
      <c r="C84" s="100"/>
      <c r="D84" s="100"/>
      <c r="E84" s="105"/>
      <c r="F84" s="39"/>
      <c r="G84" s="98"/>
      <c r="H84" s="41"/>
      <c r="I84" s="41"/>
      <c r="J84" s="24"/>
    </row>
    <row r="85" spans="1:10" ht="13.5" thickBot="1" x14ac:dyDescent="0.3">
      <c r="B85" s="99" t="s">
        <v>92</v>
      </c>
      <c r="C85" s="100">
        <f>+C73</f>
        <v>122</v>
      </c>
      <c r="D85" s="100">
        <f>+D60</f>
        <v>1</v>
      </c>
      <c r="E85" s="105">
        <f>+C85/D85</f>
        <v>122</v>
      </c>
      <c r="F85" s="107"/>
      <c r="G85" s="97"/>
      <c r="H85" s="23"/>
      <c r="I85" s="41"/>
    </row>
    <row r="86" spans="1:10" ht="13.5" thickBot="1" x14ac:dyDescent="0.3">
      <c r="B86" s="99" t="s">
        <v>92</v>
      </c>
      <c r="C86" s="100">
        <f>+C74</f>
        <v>232.44248031302999</v>
      </c>
      <c r="D86" s="100">
        <f>+D85</f>
        <v>1</v>
      </c>
      <c r="E86" s="101">
        <f>+C86/D86</f>
        <v>232.44248031302999</v>
      </c>
      <c r="F86" s="106"/>
      <c r="G86" s="97"/>
      <c r="H86" s="23"/>
      <c r="I86" s="23"/>
    </row>
    <row r="87" spans="1:10" x14ac:dyDescent="0.25">
      <c r="I87" s="23"/>
    </row>
    <row r="88" spans="1:10" x14ac:dyDescent="0.2">
      <c r="A88" s="279"/>
      <c r="B88" s="279"/>
      <c r="C88" s="108"/>
      <c r="D88" s="108"/>
      <c r="E88" s="109"/>
      <c r="G88" s="110"/>
    </row>
    <row r="89" spans="1:10" x14ac:dyDescent="0.2">
      <c r="A89" s="42"/>
      <c r="B89" s="111"/>
      <c r="C89" s="112"/>
      <c r="D89" s="112"/>
      <c r="E89" s="113"/>
      <c r="G89" s="110"/>
    </row>
    <row r="90" spans="1:10" x14ac:dyDescent="0.2">
      <c r="A90" s="42"/>
      <c r="B90" s="111"/>
      <c r="C90" s="114"/>
      <c r="D90" s="114"/>
      <c r="E90" s="42"/>
      <c r="G90" s="110"/>
    </row>
    <row r="91" spans="1:10" x14ac:dyDescent="0.2">
      <c r="A91" s="42"/>
      <c r="B91" s="111"/>
      <c r="C91" s="115"/>
      <c r="D91" s="115"/>
      <c r="E91" s="42"/>
      <c r="G91" s="11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4DC261C-7FEA-4E1C-B1C6-5F6B2F29D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Rosquete </vt:lpstr>
      <vt:lpstr>costo Mezclas leches Ron</vt:lpstr>
      <vt:lpstr>Costo ensamble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Miguel Coto Consultor</cp:lastModifiedBy>
  <cp:revision/>
  <cp:lastPrinted>2025-02-27T16:29:33Z</cp:lastPrinted>
  <dcterms:created xsi:type="dcterms:W3CDTF">2023-07-28T19:10:29Z</dcterms:created>
  <dcterms:modified xsi:type="dcterms:W3CDTF">2025-02-27T16:29:34Z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
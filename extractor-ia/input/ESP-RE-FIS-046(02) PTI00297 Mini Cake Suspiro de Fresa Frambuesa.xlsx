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SPOON/"/>
    </mc:Choice>
  </mc:AlternateContent>
  <xr:revisionPtr revIDLastSave="2" documentId="8_{EF582C7D-F3DF-4FE9-A3B1-DD25996F9FDD}" xr6:coauthVersionLast="47" xr6:coauthVersionMax="47" xr10:uidLastSave="{58B96371-F64C-4D78-83B0-00E277D028DB}"/>
  <bookViews>
    <workbookView xWindow="-120" yWindow="-120" windowWidth="20730" windowHeight="11040" xr2:uid="{00000000-000D-0000-FFFF-FFFF00000000}"/>
  </bookViews>
  <sheets>
    <sheet name="Ensamble" sheetId="6" r:id="rId1"/>
    <sheet name="COSTO ENSAMBLE" sheetId="7" state="hidden" r:id="rId2"/>
  </sheets>
  <externalReferences>
    <externalReference r:id="rId3"/>
    <externalReference r:id="rId4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5" i="7" l="1"/>
  <c r="E34" i="7"/>
  <c r="D34" i="7"/>
  <c r="C34" i="7"/>
  <c r="B34" i="7"/>
  <c r="E33" i="7"/>
  <c r="F33" i="7" s="1"/>
  <c r="D33" i="7"/>
  <c r="C33" i="7"/>
  <c r="B33" i="7"/>
  <c r="F32" i="7"/>
  <c r="C32" i="7"/>
  <c r="C31" i="7"/>
  <c r="C30" i="7"/>
  <c r="C29" i="7"/>
  <c r="C28" i="7"/>
  <c r="F34" i="7" l="1"/>
  <c r="F31" i="7"/>
  <c r="F30" i="7"/>
  <c r="F29" i="7"/>
  <c r="F28" i="7"/>
  <c r="A43" i="7" l="1"/>
  <c r="C43" i="7" s="1"/>
  <c r="F43" i="7" s="1"/>
  <c r="A44" i="7"/>
  <c r="C44" i="7" s="1"/>
  <c r="A45" i="7"/>
  <c r="A56" i="7" s="1"/>
  <c r="A54" i="7" l="1"/>
  <c r="A55" i="7"/>
  <c r="D79" i="7" l="1"/>
  <c r="D80" i="7" s="1"/>
  <c r="D82" i="7" s="1"/>
  <c r="D77" i="7"/>
  <c r="D75" i="7"/>
  <c r="F71" i="7"/>
  <c r="E57" i="7" s="1"/>
  <c r="D66" i="7"/>
  <c r="D91" i="7" s="1"/>
  <c r="D92" i="7" s="1"/>
  <c r="C57" i="7"/>
  <c r="E45" i="7"/>
  <c r="D45" i="7"/>
  <c r="B45" i="7"/>
  <c r="C54" i="7"/>
  <c r="A42" i="7"/>
  <c r="C42" i="7" s="1"/>
  <c r="A41" i="7"/>
  <c r="A52" i="7" s="1"/>
  <c r="C52" i="7" s="1"/>
  <c r="A40" i="7"/>
  <c r="C40" i="7" s="1"/>
  <c r="A39" i="7"/>
  <c r="C39" i="7" s="1"/>
  <c r="A38" i="7"/>
  <c r="A49" i="7" s="1"/>
  <c r="C49" i="7" s="1"/>
  <c r="F49" i="7" s="1"/>
  <c r="A37" i="7"/>
  <c r="A48" i="7" s="1"/>
  <c r="C48" i="7" s="1"/>
  <c r="C27" i="7"/>
  <c r="E24" i="7"/>
  <c r="F24" i="7" s="1"/>
  <c r="D24" i="7"/>
  <c r="C24" i="7"/>
  <c r="B24" i="7"/>
  <c r="C23" i="7"/>
  <c r="C22" i="7"/>
  <c r="C21" i="7"/>
  <c r="C20" i="7"/>
  <c r="C19" i="7"/>
  <c r="C18" i="7"/>
  <c r="C17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C9" i="7"/>
  <c r="C8" i="7"/>
  <c r="H6" i="7"/>
  <c r="F14" i="7" l="1"/>
  <c r="F23" i="7"/>
  <c r="F27" i="7"/>
  <c r="F9" i="7"/>
  <c r="F13" i="7"/>
  <c r="F10" i="7"/>
  <c r="F57" i="7"/>
  <c r="F11" i="7"/>
  <c r="F22" i="7"/>
  <c r="C41" i="7"/>
  <c r="F41" i="7" s="1"/>
  <c r="F21" i="7"/>
  <c r="F20" i="7"/>
  <c r="F19" i="7"/>
  <c r="F42" i="7"/>
  <c r="F12" i="7"/>
  <c r="F40" i="7"/>
  <c r="F18" i="7"/>
  <c r="C38" i="7"/>
  <c r="F38" i="7" s="1"/>
  <c r="C37" i="7"/>
  <c r="F37" i="7" s="1"/>
  <c r="F17" i="7"/>
  <c r="F8" i="7"/>
  <c r="F39" i="7"/>
  <c r="F54" i="7"/>
  <c r="F48" i="7"/>
  <c r="F52" i="7"/>
  <c r="C45" i="7"/>
  <c r="F45" i="7" s="1"/>
  <c r="D87" i="7"/>
  <c r="A51" i="7"/>
  <c r="C51" i="7" s="1"/>
  <c r="F51" i="7" s="1"/>
  <c r="C79" i="7"/>
  <c r="A53" i="7"/>
  <c r="C53" i="7" s="1"/>
  <c r="F53" i="7" s="1"/>
  <c r="D89" i="7"/>
  <c r="A50" i="7"/>
  <c r="C50" i="7" s="1"/>
  <c r="F50" i="7" s="1"/>
  <c r="D38" i="6"/>
  <c r="F59" i="7" l="1"/>
  <c r="C75" i="7" s="1"/>
  <c r="F60" i="7"/>
  <c r="H60" i="7" s="1"/>
  <c r="G2" i="7" s="1"/>
  <c r="C91" i="7"/>
  <c r="E91" i="7" s="1"/>
  <c r="E79" i="7"/>
  <c r="F62" i="7"/>
  <c r="F70" i="7" l="1"/>
  <c r="H59" i="7"/>
  <c r="F2" i="7" s="1"/>
  <c r="F61" i="7"/>
  <c r="O60" i="7" s="1"/>
  <c r="C82" i="7"/>
  <c r="E82" i="7" s="1"/>
  <c r="H62" i="7"/>
  <c r="C80" i="7"/>
  <c r="E75" i="7"/>
  <c r="C87" i="7"/>
  <c r="E87" i="7" s="1"/>
  <c r="F69" i="7" l="1"/>
  <c r="E69" i="7" s="1"/>
  <c r="H61" i="7"/>
  <c r="C92" i="7"/>
  <c r="E92" i="7" s="1"/>
  <c r="E80" i="7"/>
  <c r="E84" i="7" s="1"/>
  <c r="H2" i="7"/>
  <c r="O61" i="7"/>
  <c r="H64" i="7"/>
  <c r="O64" i="7" s="1"/>
  <c r="O62" i="7"/>
  <c r="O63" i="7" l="1"/>
  <c r="O65" i="7" s="1"/>
  <c r="O66" i="7" s="1"/>
  <c r="O67" i="7" s="1"/>
  <c r="O68" i="7" s="1"/>
  <c r="C77" i="7"/>
  <c r="C89" i="7" s="1"/>
  <c r="E89" i="7" s="1"/>
  <c r="F72" i="7"/>
  <c r="E77" i="7" l="1"/>
  <c r="G31" i="7"/>
  <c r="G33" i="7"/>
  <c r="G29" i="7"/>
  <c r="G30" i="7"/>
  <c r="G32" i="7"/>
  <c r="G28" i="7"/>
  <c r="G34" i="7"/>
  <c r="G8" i="7"/>
  <c r="G20" i="7"/>
  <c r="G43" i="7"/>
  <c r="G14" i="7"/>
  <c r="G19" i="7"/>
  <c r="G41" i="7"/>
  <c r="G37" i="7"/>
  <c r="G10" i="7"/>
  <c r="G9" i="7"/>
  <c r="G61" i="7"/>
  <c r="G45" i="7"/>
  <c r="G54" i="7"/>
  <c r="G39" i="7"/>
  <c r="G52" i="7"/>
  <c r="G48" i="7"/>
  <c r="G50" i="7"/>
  <c r="G49" i="7"/>
  <c r="G72" i="7"/>
  <c r="G42" i="7"/>
  <c r="G62" i="7"/>
  <c r="G71" i="7"/>
  <c r="G51" i="7"/>
  <c r="G21" i="7"/>
  <c r="G11" i="7"/>
  <c r="G27" i="7"/>
  <c r="G38" i="7"/>
  <c r="G53" i="7"/>
  <c r="G18" i="7"/>
  <c r="G17" i="7"/>
  <c r="G70" i="7"/>
  <c r="G22" i="7"/>
  <c r="G13" i="7"/>
  <c r="G12" i="7"/>
  <c r="G59" i="7"/>
  <c r="G57" i="7"/>
  <c r="G60" i="7"/>
  <c r="G24" i="7"/>
  <c r="G23" i="7"/>
  <c r="G69" i="7"/>
  <c r="G40" i="7"/>
  <c r="P68" i="7"/>
  <c r="E2" i="7"/>
</calcChain>
</file>

<file path=xl/sharedStrings.xml><?xml version="1.0" encoding="utf-8"?>
<sst xmlns="http://schemas.openxmlformats.org/spreadsheetml/2006/main" count="317" uniqueCount="159">
  <si>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</si>
  <si>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</si>
  <si>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</si>
  <si>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</si>
  <si>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</si>
  <si>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</si>
  <si>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</si>
  <si>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</si>
  <si>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</si>
  <si>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</si>
  <si>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</si>
  <si>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</si>
  <si>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</si>
  <si>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</si>
  <si>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</si>
  <si>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</si>
  <si>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g</t>
  </si>
  <si>
    <t>Decoración</t>
  </si>
  <si>
    <t>Empaque</t>
  </si>
  <si>
    <t>Unidad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</si>
  <si>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</si>
  <si>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</si>
  <si>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</si>
  <si>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</si>
  <si>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</si>
  <si>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</si>
  <si>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</si>
  <si>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</si>
  <si>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</si>
  <si>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</si>
  <si>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</si>
  <si>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AREA QUE PRODUCE:</t>
  </si>
  <si>
    <t xml:space="preserve">AREA QUE EMPACA: </t>
  </si>
  <si>
    <t># Código Netsuite</t>
  </si>
  <si>
    <t>Ensamble</t>
  </si>
  <si>
    <t>CONTROL DE CAMBIOS</t>
  </si>
  <si>
    <t>FAS</t>
  </si>
  <si>
    <t>SE00386</t>
  </si>
  <si>
    <t xml:space="preserve">TRASVASADO LECHE CONDENSADA COCINADA </t>
  </si>
  <si>
    <t>EM10011</t>
  </si>
  <si>
    <t>CEMUSA</t>
  </si>
  <si>
    <t>ud</t>
  </si>
  <si>
    <t>RELLENO DE FRESA FRAMBUESA</t>
  </si>
  <si>
    <t>SE00051</t>
  </si>
  <si>
    <t>Ganache Chocolate Blanco</t>
  </si>
  <si>
    <t>SE00069</t>
  </si>
  <si>
    <t>CREMA BEIDGE (KILO)</t>
  </si>
  <si>
    <t>EM10009</t>
  </si>
  <si>
    <t>EM10008</t>
  </si>
  <si>
    <t>EM10248</t>
  </si>
  <si>
    <t>cm</t>
  </si>
  <si>
    <t>EM10124</t>
  </si>
  <si>
    <t>ETIQUETA BLANCA R-153 (UND)</t>
  </si>
  <si>
    <t>ETIPLAST</t>
  </si>
  <si>
    <t>EM10002</t>
  </si>
  <si>
    <t>Sebastian Díaz, Gte Manufactura</t>
  </si>
  <si>
    <t>11400066</t>
  </si>
  <si>
    <t>MP10007</t>
  </si>
  <si>
    <t>MANJAR LECHE CONDENSADA (PAQ: 6 K)</t>
  </si>
  <si>
    <t>NESTLÉ</t>
  </si>
  <si>
    <t>SE00795</t>
  </si>
  <si>
    <t>ROSQUETE NUCLEO VAINILLA DAWN REDONDO 70g</t>
  </si>
  <si>
    <t>SE00689</t>
  </si>
  <si>
    <t>Almibar con Limon</t>
  </si>
  <si>
    <t>SE00703</t>
  </si>
  <si>
    <t>TOPPIN DE SALSA DE FRESA</t>
  </si>
  <si>
    <t>QUEQUERA RED  BASE/DOMO 10 (CAJA:50)</t>
  </si>
  <si>
    <t>MAYCA</t>
  </si>
  <si>
    <t>ORLA CARTON 10"  (100 * PAQ)</t>
  </si>
  <si>
    <t>EM10006</t>
  </si>
  <si>
    <t>LOTOGRAFIA CR</t>
  </si>
  <si>
    <t>CINTA ADHESIVA TRANSPARENTE 2*100</t>
  </si>
  <si>
    <t>ETIQUETA BLANCA 2 5/8X1 15/16 PRE BLANCA</t>
  </si>
  <si>
    <t>ETIQ.BLANCA 1 1/4 * 3/4</t>
  </si>
  <si>
    <t xml:space="preserve">5.- Tapar y Etiquetar. </t>
  </si>
  <si>
    <t>Boquilla 2B</t>
  </si>
  <si>
    <t>30G X CAPA</t>
  </si>
  <si>
    <t>1 cucharada</t>
  </si>
  <si>
    <t>40g</t>
  </si>
  <si>
    <t>aro boquilla 22</t>
  </si>
  <si>
    <t>1/8 taza</t>
  </si>
  <si>
    <t>SUSPIRO DISCO</t>
  </si>
  <si>
    <t>SELIFOODS</t>
  </si>
  <si>
    <t>Espejo</t>
  </si>
  <si>
    <t>Bordes</t>
  </si>
  <si>
    <t>Hilos</t>
  </si>
  <si>
    <t>1.- Partir el rosquete por la mitad y bañar con el almibar. Pegar 1 tapa del rosquete con 10g de leche condensada cocinada a la base del domo.</t>
  </si>
  <si>
    <t xml:space="preserve">3.- Colocar la otra mitad de rosquete humedecido, encrema con ayuda de la boquila 2B, colocar en todo el costado el toppin de fresa y con ayuda de una espatula realizar un estilo marmoleado (jalandolo para arriba) como se ve en foto de ficha. </t>
  </si>
  <si>
    <t>Javier Tong, Chef</t>
  </si>
  <si>
    <t>Figuras</t>
  </si>
  <si>
    <t>PTI00297 Mini Cake Suspiro de Fresa Frambuesa</t>
  </si>
  <si>
    <t>SE00836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</si>
  <si>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</si>
  <si>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</si>
  <si>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</si>
  <si>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</si>
  <si>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</si>
  <si>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</si>
  <si>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</si>
  <si>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</si>
  <si>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</si>
  <si>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</si>
  <si>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</si>
  <si>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</si>
  <si>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</si>
  <si>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</si>
  <si>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</si>
  <si>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</si>
  <si>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</si>
  <si>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</si>
  <si>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</si>
  <si>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</si>
  <si>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</si>
  <si>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</si>
  <si>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</si>
  <si>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</si>
  <si>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</si>
  <si>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</si>
  <si>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</si>
  <si>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</si>
  <si>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</si>
  <si>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</si>
  <si>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</si>
  <si>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</si>
  <si>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</si>
  <si>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</si>
  <si>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</si>
  <si>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</si>
  <si>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</si>
  <si>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</si>
  <si>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</si>
  <si>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</si>
  <si>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</si>
  <si>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</si>
  <si>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83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</si>
  <si>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</si>
  <si>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</si>
  <si>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</si>
  <si>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</si>
  <si>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</si>
  <si>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</si>
  <si>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</si>
  <si>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</si>
  <si>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</si>
  <si>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Gramos</t>
  </si>
  <si>
    <t xml:space="preserve">UND </t>
  </si>
  <si>
    <t>UND</t>
  </si>
  <si>
    <t>ETIQUETA MINI CAKE SUPIRO FRAMBUESA</t>
  </si>
  <si>
    <t>EM10288</t>
  </si>
  <si>
    <t>QUEQUERA MINI CAKE (CAJA:100 UND)</t>
  </si>
  <si>
    <t>MP10938</t>
  </si>
  <si>
    <t>ESP-RE-FIS-046</t>
  </si>
  <si>
    <t>2.- Colocar primero la leche condensada cocinada, luego hacer un aro con crema beige y ayuda de la manga, luego salsa de frambuesa y fresa, y al final ganache de chocolate blanco</t>
  </si>
  <si>
    <t>4.- Realizar en la parte superior un espejo de toppin de fresa, hacer espejo de ganache blanco y colocar el suspiro en trozos y por ultimo hilos de ganache</t>
  </si>
  <si>
    <t>Trozos</t>
  </si>
  <si>
    <t>ETIQUETA MINI CAKE SUSPIRO FRESA Y FRAMBUESA</t>
  </si>
  <si>
    <t>2, Actualizacion pesos post corrida.</t>
  </si>
  <si>
    <t>EM10526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</si>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</sst>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  <numFmt numFmtId="167" formatCode="_(* #,##0.00_);_(* \(#,##0.00\);_(* &quot;-&quot;??_);_(@_)"/>
    <numFmt numFmtId="168" formatCode="[$-409]d\-mmm\-yy;@"/>
    <numFmt numFmtId="169" formatCode="&quot;$&quot;#,##0_);[Red]\(&quot;$&quot;#,##0\)"/>
    <numFmt numFmtId="170" formatCode="_-* #,##0.0\ _€_-;\-* #,##0.0\ _€_-;_-* &quot;-&quot;??\ _€_-;_-@_-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sz val="16"/>
      <name val="Arial"/>
      <family val="2"/>
    </font>
    <font>
      <b/>
      <sz val="18"/>
      <name val="Century Gothic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color rgb="FF000000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51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2">
    <xf numFmtId="0" fontId="0" fillId="0" borderId="0"/>
    <xf numFmtId="0" fontId="5" fillId="0" borderId="0"/>
    <xf numFmtId="9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3" fillId="0" borderId="0"/>
    <xf numFmtId="0" fontId="2" fillId="0" borderId="0"/>
    <xf numFmtId="0" fontId="3" fillId="0" borderId="0"/>
    <xf numFmtId="41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</cellStyleXfs>
  <cellXfs count="293">
    <xf numFmtId="0" fontId="0" fillId="0" borderId="0" xfId="0"/>
    <xf numFmtId="0" fontId="8" fillId="2" borderId="23" xfId="1" applyFont="1" applyFill="1" applyBorder="1" applyAlignment="1">
      <alignment horizontal="right"/>
    </xf>
    <xf numFmtId="0" fontId="8" fillId="2" borderId="3" xfId="1" applyFont="1" applyFill="1" applyBorder="1" applyAlignment="1">
      <alignment horizontal="right"/>
    </xf>
    <xf numFmtId="0" fontId="6" fillId="2" borderId="24" xfId="1" applyFont="1" applyFill="1" applyBorder="1" applyAlignment="1">
      <alignment horizontal="center"/>
    </xf>
    <xf numFmtId="49" fontId="6" fillId="2" borderId="6" xfId="1" applyNumberFormat="1" applyFont="1" applyFill="1" applyBorder="1" applyAlignment="1">
      <alignment horizontal="center"/>
    </xf>
    <xf numFmtId="0" fontId="6" fillId="2" borderId="28" xfId="1" applyFont="1" applyFill="1" applyBorder="1" applyAlignment="1">
      <alignment horizontal="right"/>
    </xf>
    <xf numFmtId="0" fontId="6" fillId="2" borderId="3" xfId="1" applyFont="1" applyFill="1" applyBorder="1" applyAlignment="1">
      <alignment horizontal="right"/>
    </xf>
    <xf numFmtId="0" fontId="8" fillId="5" borderId="24" xfId="5" applyFont="1" applyFill="1" applyBorder="1" applyAlignment="1">
      <alignment horizontal="center" vertical="center" wrapText="1"/>
    </xf>
    <xf numFmtId="1" fontId="8" fillId="5" borderId="11" xfId="5" applyNumberFormat="1" applyFont="1" applyFill="1" applyBorder="1" applyAlignment="1">
      <alignment horizontal="center"/>
    </xf>
    <xf numFmtId="1" fontId="8" fillId="5" borderId="11" xfId="5" applyNumberFormat="1" applyFont="1" applyFill="1" applyBorder="1" applyAlignment="1">
      <alignment horizontal="center" wrapText="1"/>
    </xf>
    <xf numFmtId="0" fontId="8" fillId="5" borderId="12" xfId="5" applyFont="1" applyFill="1" applyBorder="1" applyAlignment="1">
      <alignment horizontal="center"/>
    </xf>
    <xf numFmtId="0" fontId="4" fillId="3" borderId="0" xfId="0" applyFont="1" applyFill="1" applyAlignment="1">
      <alignment vertical="center"/>
    </xf>
    <xf numFmtId="0" fontId="13" fillId="7" borderId="3" xfId="0" applyFont="1" applyFill="1" applyBorder="1" applyAlignment="1">
      <alignment horizontal="center" vertical="center" wrapText="1"/>
    </xf>
    <xf numFmtId="0" fontId="13" fillId="7" borderId="3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3" fontId="13" fillId="0" borderId="3" xfId="3" applyFont="1" applyFill="1" applyBorder="1" applyAlignment="1">
      <alignment horizontal="center" vertical="center"/>
    </xf>
    <xf numFmtId="43" fontId="13" fillId="0" borderId="0" xfId="3" applyFont="1" applyFill="1" applyBorder="1" applyAlignment="1">
      <alignment horizontal="center" vertical="center"/>
    </xf>
    <xf numFmtId="43" fontId="15" fillId="0" borderId="0" xfId="3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168" fontId="18" fillId="0" borderId="0" xfId="0" applyNumberFormat="1" applyFont="1" applyAlignment="1">
      <alignment horizontal="center" vertical="center" wrapText="1"/>
    </xf>
    <xf numFmtId="0" fontId="13" fillId="8" borderId="43" xfId="0" applyFont="1" applyFill="1" applyBorder="1" applyAlignment="1">
      <alignment horizontal="center" vertical="center"/>
    </xf>
    <xf numFmtId="0" fontId="13" fillId="8" borderId="44" xfId="0" applyFont="1" applyFill="1" applyBorder="1" applyAlignment="1">
      <alignment horizontal="center" vertical="center"/>
    </xf>
    <xf numFmtId="0" fontId="13" fillId="8" borderId="44" xfId="0" applyFont="1" applyFill="1" applyBorder="1" applyAlignment="1">
      <alignment horizontal="center" vertical="center" wrapText="1"/>
    </xf>
    <xf numFmtId="0" fontId="13" fillId="8" borderId="45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2" fontId="19" fillId="0" borderId="0" xfId="0" applyNumberFormat="1" applyFont="1" applyAlignment="1">
      <alignment horizontal="center"/>
    </xf>
    <xf numFmtId="4" fontId="19" fillId="0" borderId="0" xfId="8" applyNumberFormat="1" applyFont="1" applyFill="1" applyAlignment="1">
      <alignment horizontal="center" vertical="center"/>
    </xf>
    <xf numFmtId="4" fontId="13" fillId="0" borderId="0" xfId="8" applyNumberFormat="1" applyFont="1" applyFill="1" applyAlignment="1">
      <alignment horizontal="center" vertical="center"/>
    </xf>
    <xf numFmtId="10" fontId="13" fillId="0" borderId="0" xfId="2" applyNumberFormat="1" applyFont="1" applyFill="1" applyAlignment="1">
      <alignment vertical="center"/>
    </xf>
    <xf numFmtId="49" fontId="13" fillId="0" borderId="0" xfId="0" applyNumberFormat="1" applyFont="1" applyAlignment="1">
      <alignment horizontal="center" vertical="center"/>
    </xf>
    <xf numFmtId="10" fontId="14" fillId="0" borderId="0" xfId="2" applyNumberFormat="1" applyFont="1" applyFill="1" applyAlignment="1">
      <alignment vertical="center"/>
    </xf>
    <xf numFmtId="0" fontId="4" fillId="0" borderId="0" xfId="0" applyFont="1"/>
    <xf numFmtId="49" fontId="13" fillId="0" borderId="0" xfId="0" applyNumberFormat="1" applyFont="1" applyAlignment="1">
      <alignment horizontal="center"/>
    </xf>
    <xf numFmtId="169" fontId="4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43" fontId="4" fillId="0" borderId="0" xfId="3" applyFont="1" applyFill="1" applyAlignment="1">
      <alignment vertical="center"/>
    </xf>
    <xf numFmtId="49" fontId="20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3" fillId="0" borderId="0" xfId="0" applyFont="1" applyAlignment="1">
      <alignment horizontal="right" vertical="center"/>
    </xf>
    <xf numFmtId="4" fontId="13" fillId="0" borderId="0" xfId="3" applyNumberFormat="1" applyFont="1" applyFill="1" applyAlignment="1">
      <alignment vertical="center"/>
    </xf>
    <xf numFmtId="43" fontId="21" fillId="0" borderId="0" xfId="3" applyFont="1" applyFill="1" applyAlignment="1">
      <alignment horizontal="center" vertical="center"/>
    </xf>
    <xf numFmtId="10" fontId="14" fillId="8" borderId="46" xfId="2" applyNumberFormat="1" applyFont="1" applyFill="1" applyBorder="1" applyAlignment="1">
      <alignment vertical="center"/>
    </xf>
    <xf numFmtId="0" fontId="4" fillId="8" borderId="30" xfId="0" applyFont="1" applyFill="1" applyBorder="1" applyAlignment="1">
      <alignment vertical="center"/>
    </xf>
    <xf numFmtId="0" fontId="4" fillId="8" borderId="46" xfId="0" applyFont="1" applyFill="1" applyBorder="1" applyAlignment="1">
      <alignment vertical="center"/>
    </xf>
    <xf numFmtId="43" fontId="21" fillId="8" borderId="47" xfId="3" applyFont="1" applyFill="1" applyBorder="1" applyAlignment="1">
      <alignment horizontal="center" vertical="center"/>
    </xf>
    <xf numFmtId="43" fontId="23" fillId="0" borderId="0" xfId="3" applyFont="1" applyFill="1" applyBorder="1" applyAlignment="1">
      <alignment horizontal="right"/>
    </xf>
    <xf numFmtId="0" fontId="4" fillId="8" borderId="47" xfId="0" applyFont="1" applyFill="1" applyBorder="1" applyAlignment="1">
      <alignment vertical="center"/>
    </xf>
    <xf numFmtId="10" fontId="14" fillId="8" borderId="47" xfId="2" applyNumberFormat="1" applyFont="1" applyFill="1" applyBorder="1" applyAlignment="1">
      <alignment vertical="center"/>
    </xf>
    <xf numFmtId="0" fontId="22" fillId="0" borderId="0" xfId="0" applyFont="1" applyAlignment="1">
      <alignment horizontal="right"/>
    </xf>
    <xf numFmtId="0" fontId="22" fillId="0" borderId="0" xfId="0" applyFont="1"/>
    <xf numFmtId="9" fontId="22" fillId="0" borderId="0" xfId="0" applyNumberFormat="1" applyFont="1"/>
    <xf numFmtId="9" fontId="24" fillId="0" borderId="0" xfId="2" applyFont="1" applyFill="1" applyAlignment="1">
      <alignment horizontal="center"/>
    </xf>
    <xf numFmtId="0" fontId="21" fillId="0" borderId="0" xfId="0" applyFont="1" applyAlignment="1">
      <alignment horizontal="right" vertical="center"/>
    </xf>
    <xf numFmtId="4" fontId="21" fillId="0" borderId="0" xfId="3" applyNumberFormat="1" applyFont="1" applyFill="1" applyAlignment="1">
      <alignment vertical="center"/>
    </xf>
    <xf numFmtId="4" fontId="21" fillId="0" borderId="0" xfId="8" applyNumberFormat="1" applyFont="1" applyAlignment="1">
      <alignment horizontal="center" vertical="center"/>
    </xf>
    <xf numFmtId="0" fontId="25" fillId="0" borderId="0" xfId="0" applyFont="1" applyAlignment="1">
      <alignment horizontal="right"/>
    </xf>
    <xf numFmtId="0" fontId="26" fillId="0" borderId="0" xfId="0" applyFont="1" applyAlignment="1">
      <alignment horizontal="right"/>
    </xf>
    <xf numFmtId="0" fontId="26" fillId="0" borderId="4" xfId="0" applyFont="1" applyBorder="1" applyAlignment="1">
      <alignment horizontal="right"/>
    </xf>
    <xf numFmtId="43" fontId="27" fillId="4" borderId="48" xfId="3" applyFont="1" applyFill="1" applyBorder="1" applyAlignment="1">
      <alignment horizontal="right"/>
    </xf>
    <xf numFmtId="43" fontId="27" fillId="0" borderId="0" xfId="3" applyFont="1" applyFill="1" applyBorder="1" applyAlignment="1">
      <alignment horizontal="right"/>
    </xf>
    <xf numFmtId="43" fontId="13" fillId="0" borderId="3" xfId="3" applyFont="1" applyFill="1" applyBorder="1" applyAlignment="1">
      <alignment vertical="center"/>
    </xf>
    <xf numFmtId="0" fontId="28" fillId="0" borderId="0" xfId="0" applyFont="1" applyAlignment="1">
      <alignment horizontal="left" vertical="center"/>
    </xf>
    <xf numFmtId="4" fontId="21" fillId="0" borderId="0" xfId="8" applyNumberFormat="1" applyFont="1" applyFill="1" applyAlignment="1">
      <alignment horizontal="center" vertical="center"/>
    </xf>
    <xf numFmtId="10" fontId="29" fillId="0" borderId="0" xfId="2" applyNumberFormat="1" applyFont="1" applyFill="1" applyAlignment="1">
      <alignment horizontal="right"/>
    </xf>
    <xf numFmtId="170" fontId="13" fillId="8" borderId="3" xfId="3" applyNumberFormat="1" applyFont="1" applyFill="1" applyBorder="1" applyAlignment="1">
      <alignment vertical="center"/>
    </xf>
    <xf numFmtId="4" fontId="4" fillId="0" borderId="0" xfId="0" applyNumberFormat="1" applyFont="1" applyAlignment="1">
      <alignment horizontal="center" vertical="center"/>
    </xf>
    <xf numFmtId="43" fontId="13" fillId="9" borderId="3" xfId="3" applyFont="1" applyFill="1" applyBorder="1" applyAlignment="1">
      <alignment vertical="center"/>
    </xf>
    <xf numFmtId="167" fontId="30" fillId="0" borderId="0" xfId="0" applyNumberFormat="1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4" fontId="13" fillId="0" borderId="0" xfId="0" applyNumberFormat="1" applyFont="1" applyAlignment="1">
      <alignment horizontal="center" vertical="center"/>
    </xf>
    <xf numFmtId="0" fontId="14" fillId="8" borderId="49" xfId="0" applyFont="1" applyFill="1" applyBorder="1" applyAlignment="1">
      <alignment vertical="center"/>
    </xf>
    <xf numFmtId="0" fontId="32" fillId="0" borderId="0" xfId="0" applyFont="1" applyAlignment="1">
      <alignment vertical="center"/>
    </xf>
    <xf numFmtId="2" fontId="29" fillId="0" borderId="0" xfId="3" applyNumberFormat="1" applyFont="1" applyFill="1" applyBorder="1" applyAlignment="1">
      <alignment horizontal="center"/>
    </xf>
    <xf numFmtId="2" fontId="26" fillId="0" borderId="0" xfId="3" applyNumberFormat="1" applyFont="1" applyFill="1" applyBorder="1" applyAlignment="1">
      <alignment horizontal="center"/>
    </xf>
    <xf numFmtId="0" fontId="4" fillId="8" borderId="49" xfId="0" applyFont="1" applyFill="1" applyBorder="1" applyAlignment="1">
      <alignment vertical="center"/>
    </xf>
    <xf numFmtId="10" fontId="4" fillId="0" borderId="0" xfId="2" applyNumberFormat="1" applyFont="1" applyFill="1" applyAlignment="1">
      <alignment vertical="center"/>
    </xf>
    <xf numFmtId="4" fontId="4" fillId="0" borderId="0" xfId="3" applyNumberFormat="1" applyFont="1" applyFill="1" applyAlignment="1">
      <alignment vertical="center"/>
    </xf>
    <xf numFmtId="43" fontId="27" fillId="8" borderId="30" xfId="3" applyFont="1" applyFill="1" applyBorder="1" applyAlignment="1">
      <alignment horizontal="right"/>
    </xf>
    <xf numFmtId="0" fontId="13" fillId="8" borderId="31" xfId="0" applyFont="1" applyFill="1" applyBorder="1" applyAlignment="1">
      <alignment horizontal="right" vertical="center"/>
    </xf>
    <xf numFmtId="10" fontId="33" fillId="0" borderId="0" xfId="3" applyNumberFormat="1" applyFont="1" applyFill="1" applyAlignment="1">
      <alignment vertical="center"/>
    </xf>
    <xf numFmtId="10" fontId="14" fillId="0" borderId="0" xfId="2" applyNumberFormat="1" applyFont="1" applyFill="1" applyBorder="1" applyAlignment="1">
      <alignment vertical="center"/>
    </xf>
    <xf numFmtId="167" fontId="34" fillId="0" borderId="0" xfId="0" applyNumberFormat="1" applyFont="1" applyAlignment="1">
      <alignment horizontal="center" vertical="center"/>
    </xf>
    <xf numFmtId="0" fontId="4" fillId="3" borderId="48" xfId="0" applyFont="1" applyFill="1" applyBorder="1" applyAlignment="1">
      <alignment horizontal="center" vertical="center"/>
    </xf>
    <xf numFmtId="43" fontId="35" fillId="0" borderId="0" xfId="3" applyFont="1" applyFill="1" applyAlignment="1">
      <alignment vertical="center"/>
    </xf>
    <xf numFmtId="4" fontId="36" fillId="0" borderId="0" xfId="8" applyNumberFormat="1" applyFont="1" applyFill="1" applyAlignment="1">
      <alignment horizontal="center" vertical="center" wrapText="1"/>
    </xf>
    <xf numFmtId="9" fontId="4" fillId="0" borderId="0" xfId="3" applyNumberFormat="1" applyFont="1" applyFill="1" applyAlignment="1">
      <alignment vertical="center"/>
    </xf>
    <xf numFmtId="0" fontId="2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0" fillId="0" borderId="0" xfId="0" applyFont="1" applyAlignment="1">
      <alignment horizontal="right" vertical="center"/>
    </xf>
    <xf numFmtId="4" fontId="20" fillId="0" borderId="0" xfId="3" applyNumberFormat="1" applyFont="1" applyFill="1" applyAlignment="1">
      <alignment vertical="center"/>
    </xf>
    <xf numFmtId="4" fontId="13" fillId="11" borderId="48" xfId="3" applyNumberFormat="1" applyFont="1" applyFill="1" applyBorder="1" applyAlignment="1">
      <alignment horizontal="center" vertical="center"/>
    </xf>
    <xf numFmtId="0" fontId="37" fillId="0" borderId="0" xfId="0" applyFont="1" applyAlignment="1">
      <alignment vertical="center"/>
    </xf>
    <xf numFmtId="43" fontId="37" fillId="0" borderId="0" xfId="3" applyFont="1" applyFill="1" applyAlignment="1">
      <alignment vertical="center"/>
    </xf>
    <xf numFmtId="9" fontId="37" fillId="0" borderId="0" xfId="3" applyNumberFormat="1" applyFont="1" applyFill="1" applyAlignment="1">
      <alignment vertical="center"/>
    </xf>
    <xf numFmtId="4" fontId="13" fillId="0" borderId="0" xfId="3" applyNumberFormat="1" applyFont="1" applyFill="1" applyAlignment="1">
      <alignment horizontal="center" vertical="center"/>
    </xf>
    <xf numFmtId="10" fontId="30" fillId="0" borderId="0" xfId="2" applyNumberFormat="1" applyFont="1" applyFill="1" applyAlignment="1">
      <alignment vertical="center"/>
    </xf>
    <xf numFmtId="43" fontId="30" fillId="0" borderId="0" xfId="3" applyFont="1" applyFill="1" applyBorder="1" applyAlignment="1">
      <alignment vertical="center"/>
    </xf>
    <xf numFmtId="4" fontId="4" fillId="0" borderId="0" xfId="0" applyNumberFormat="1" applyFont="1" applyAlignment="1">
      <alignment horizontal="center"/>
    </xf>
    <xf numFmtId="43" fontId="4" fillId="0" borderId="0" xfId="3" applyFont="1" applyFill="1" applyBorder="1"/>
    <xf numFmtId="10" fontId="30" fillId="0" borderId="0" xfId="2" applyNumberFormat="1" applyFont="1" applyFill="1" applyBorder="1" applyAlignment="1">
      <alignment vertical="center"/>
    </xf>
    <xf numFmtId="0" fontId="30" fillId="0" borderId="0" xfId="0" applyFont="1" applyAlignment="1">
      <alignment horizontal="right"/>
    </xf>
    <xf numFmtId="43" fontId="4" fillId="0" borderId="0" xfId="3" applyFont="1" applyFill="1" applyBorder="1" applyAlignment="1">
      <alignment horizontal="center"/>
    </xf>
    <xf numFmtId="9" fontId="40" fillId="0" borderId="0" xfId="0" applyNumberFormat="1" applyFont="1" applyAlignment="1">
      <alignment horizontal="left"/>
    </xf>
    <xf numFmtId="4" fontId="13" fillId="0" borderId="0" xfId="0" applyNumberFormat="1" applyFont="1" applyAlignment="1">
      <alignment horizontal="center"/>
    </xf>
    <xf numFmtId="167" fontId="13" fillId="0" borderId="0" xfId="0" applyNumberFormat="1" applyFont="1"/>
    <xf numFmtId="49" fontId="41" fillId="0" borderId="3" xfId="0" applyNumberFormat="1" applyFont="1" applyBorder="1" applyAlignment="1">
      <alignment horizontal="center" vertical="center"/>
    </xf>
    <xf numFmtId="0" fontId="41" fillId="0" borderId="3" xfId="0" applyFont="1" applyBorder="1" applyAlignment="1">
      <alignment vertical="center"/>
    </xf>
    <xf numFmtId="14" fontId="43" fillId="2" borderId="0" xfId="4" applyNumberFormat="1" applyFont="1" applyFill="1" applyAlignment="1">
      <alignment horizontal="center" vertical="center" wrapText="1"/>
    </xf>
    <xf numFmtId="0" fontId="44" fillId="0" borderId="7" xfId="5" applyFont="1" applyBorder="1" applyAlignment="1">
      <alignment horizontal="center" vertical="center"/>
    </xf>
    <xf numFmtId="0" fontId="44" fillId="0" borderId="18" xfId="5" applyFont="1" applyBorder="1" applyAlignment="1">
      <alignment horizontal="center" vertical="center"/>
    </xf>
    <xf numFmtId="0" fontId="45" fillId="0" borderId="3" xfId="5" applyFont="1" applyBorder="1" applyAlignment="1">
      <alignment vertical="center"/>
    </xf>
    <xf numFmtId="0" fontId="44" fillId="0" borderId="3" xfId="5" applyFont="1" applyBorder="1" applyAlignment="1">
      <alignment horizontal="center" vertical="center"/>
    </xf>
    <xf numFmtId="1" fontId="44" fillId="0" borderId="3" xfId="5" applyNumberFormat="1" applyFont="1" applyBorder="1" applyAlignment="1">
      <alignment horizontal="center"/>
    </xf>
    <xf numFmtId="1" fontId="44" fillId="0" borderId="3" xfId="5" applyNumberFormat="1" applyFont="1" applyBorder="1" applyAlignment="1">
      <alignment horizontal="center" wrapText="1"/>
    </xf>
    <xf numFmtId="0" fontId="41" fillId="0" borderId="6" xfId="5" applyFont="1" applyBorder="1" applyAlignment="1">
      <alignment horizontal="center"/>
    </xf>
    <xf numFmtId="49" fontId="41" fillId="3" borderId="3" xfId="5" applyNumberFormat="1" applyFont="1" applyFill="1" applyBorder="1" applyAlignment="1">
      <alignment horizontal="center" vertical="center"/>
    </xf>
    <xf numFmtId="49" fontId="41" fillId="3" borderId="3" xfId="5" applyNumberFormat="1" applyFont="1" applyFill="1" applyBorder="1" applyAlignment="1">
      <alignment vertical="center"/>
    </xf>
    <xf numFmtId="0" fontId="41" fillId="3" borderId="3" xfId="5" applyFont="1" applyFill="1" applyBorder="1" applyAlignment="1">
      <alignment horizontal="center" vertical="center"/>
    </xf>
    <xf numFmtId="1" fontId="41" fillId="3" borderId="3" xfId="0" applyNumberFormat="1" applyFont="1" applyFill="1" applyBorder="1" applyAlignment="1">
      <alignment horizontal="center" wrapText="1"/>
    </xf>
    <xf numFmtId="0" fontId="41" fillId="3" borderId="3" xfId="0" applyFont="1" applyFill="1" applyBorder="1" applyAlignment="1">
      <alignment horizontal="center" wrapText="1"/>
    </xf>
    <xf numFmtId="12" fontId="41" fillId="0" borderId="28" xfId="0" applyNumberFormat="1" applyFont="1" applyBorder="1" applyAlignment="1">
      <alignment horizontal="center"/>
    </xf>
    <xf numFmtId="0" fontId="41" fillId="0" borderId="3" xfId="0" applyFont="1" applyBorder="1" applyAlignment="1">
      <alignment horizontal="center"/>
    </xf>
    <xf numFmtId="0" fontId="41" fillId="0" borderId="0" xfId="0" applyFont="1"/>
    <xf numFmtId="0" fontId="44" fillId="3" borderId="3" xfId="0" applyFont="1" applyFill="1" applyBorder="1" applyAlignment="1">
      <alignment horizontal="center" wrapText="1"/>
    </xf>
    <xf numFmtId="0" fontId="41" fillId="3" borderId="3" xfId="0" applyFont="1" applyFill="1" applyBorder="1" applyAlignment="1">
      <alignment horizontal="center"/>
    </xf>
    <xf numFmtId="0" fontId="41" fillId="3" borderId="3" xfId="0" applyFont="1" applyFill="1" applyBorder="1" applyAlignment="1">
      <alignment horizontal="left"/>
    </xf>
    <xf numFmtId="16" fontId="41" fillId="3" borderId="3" xfId="0" applyNumberFormat="1" applyFont="1" applyFill="1" applyBorder="1" applyAlignment="1">
      <alignment horizontal="center"/>
    </xf>
    <xf numFmtId="1" fontId="41" fillId="3" borderId="3" xfId="0" applyNumberFormat="1" applyFont="1" applyFill="1" applyBorder="1" applyAlignment="1">
      <alignment horizontal="center"/>
    </xf>
    <xf numFmtId="0" fontId="46" fillId="12" borderId="3" xfId="0" applyFont="1" applyFill="1" applyBorder="1" applyAlignment="1">
      <alignment horizontal="center"/>
    </xf>
    <xf numFmtId="0" fontId="46" fillId="12" borderId="3" xfId="0" applyFont="1" applyFill="1" applyBorder="1"/>
    <xf numFmtId="0" fontId="41" fillId="12" borderId="18" xfId="0" applyFont="1" applyFill="1" applyBorder="1" applyAlignment="1">
      <alignment horizontal="center"/>
    </xf>
    <xf numFmtId="1" fontId="41" fillId="12" borderId="3" xfId="0" applyNumberFormat="1" applyFont="1" applyFill="1" applyBorder="1" applyAlignment="1">
      <alignment horizontal="center"/>
    </xf>
    <xf numFmtId="0" fontId="41" fillId="3" borderId="3" xfId="0" applyFont="1" applyFill="1" applyBorder="1"/>
    <xf numFmtId="0" fontId="41" fillId="13" borderId="3" xfId="0" applyFont="1" applyFill="1" applyBorder="1"/>
    <xf numFmtId="16" fontId="41" fillId="13" borderId="3" xfId="0" applyNumberFormat="1" applyFont="1" applyFill="1" applyBorder="1" applyAlignment="1">
      <alignment horizontal="center"/>
    </xf>
    <xf numFmtId="1" fontId="41" fillId="13" borderId="3" xfId="0" applyNumberFormat="1" applyFont="1" applyFill="1" applyBorder="1" applyAlignment="1">
      <alignment horizontal="center"/>
    </xf>
    <xf numFmtId="1" fontId="41" fillId="0" borderId="3" xfId="5" applyNumberFormat="1" applyFont="1" applyBorder="1" applyAlignment="1">
      <alignment horizontal="center"/>
    </xf>
    <xf numFmtId="0" fontId="41" fillId="0" borderId="3" xfId="5" applyFont="1" applyBorder="1" applyAlignment="1">
      <alignment horizontal="center"/>
    </xf>
    <xf numFmtId="1" fontId="41" fillId="0" borderId="3" xfId="5" applyNumberFormat="1" applyFont="1" applyBorder="1" applyAlignment="1">
      <alignment horizontal="center" wrapText="1"/>
    </xf>
    <xf numFmtId="49" fontId="41" fillId="0" borderId="7" xfId="5" applyNumberFormat="1" applyFont="1" applyBorder="1" applyAlignment="1">
      <alignment horizontal="center"/>
    </xf>
    <xf numFmtId="49" fontId="41" fillId="0" borderId="18" xfId="5" applyNumberFormat="1" applyFont="1" applyBorder="1" applyAlignment="1">
      <alignment horizontal="center"/>
    </xf>
    <xf numFmtId="0" fontId="44" fillId="3" borderId="3" xfId="5" applyFont="1" applyFill="1" applyBorder="1" applyAlignment="1">
      <alignment horizontal="left"/>
    </xf>
    <xf numFmtId="165" fontId="41" fillId="0" borderId="3" xfId="5" applyNumberFormat="1" applyFont="1" applyBorder="1" applyAlignment="1">
      <alignment horizontal="center"/>
    </xf>
    <xf numFmtId="0" fontId="47" fillId="3" borderId="13" xfId="0" applyFont="1" applyFill="1" applyBorder="1" applyAlignment="1">
      <alignment horizontal="center"/>
    </xf>
    <xf numFmtId="1" fontId="41" fillId="12" borderId="28" xfId="0" applyNumberFormat="1" applyFont="1" applyFill="1" applyBorder="1" applyAlignment="1">
      <alignment horizontal="center"/>
    </xf>
    <xf numFmtId="1" fontId="41" fillId="3" borderId="28" xfId="0" applyNumberFormat="1" applyFont="1" applyFill="1" applyBorder="1" applyAlignment="1">
      <alignment horizontal="center" wrapText="1"/>
    </xf>
    <xf numFmtId="0" fontId="41" fillId="13" borderId="3" xfId="0" applyFont="1" applyFill="1" applyBorder="1" applyAlignment="1">
      <alignment horizontal="center"/>
    </xf>
    <xf numFmtId="0" fontId="44" fillId="3" borderId="3" xfId="0" applyFont="1" applyFill="1" applyBorder="1" applyAlignment="1">
      <alignment horizontal="center"/>
    </xf>
    <xf numFmtId="0" fontId="47" fillId="3" borderId="3" xfId="0" applyFont="1" applyFill="1" applyBorder="1" applyAlignment="1">
      <alignment horizontal="center"/>
    </xf>
    <xf numFmtId="0" fontId="47" fillId="3" borderId="3" xfId="0" applyFont="1" applyFill="1" applyBorder="1"/>
    <xf numFmtId="1" fontId="41" fillId="3" borderId="28" xfId="0" applyNumberFormat="1" applyFont="1" applyFill="1" applyBorder="1" applyAlignment="1">
      <alignment horizontal="center"/>
    </xf>
    <xf numFmtId="12" fontId="41" fillId="3" borderId="3" xfId="0" applyNumberFormat="1" applyFont="1" applyFill="1" applyBorder="1" applyAlignment="1">
      <alignment horizontal="center"/>
    </xf>
    <xf numFmtId="1" fontId="41" fillId="3" borderId="3" xfId="5" applyNumberFormat="1" applyFont="1" applyFill="1" applyBorder="1" applyAlignment="1">
      <alignment horizontal="center" wrapText="1"/>
    </xf>
    <xf numFmtId="0" fontId="41" fillId="0" borderId="0" xfId="0" applyFont="1" applyAlignment="1">
      <alignment horizontal="center"/>
    </xf>
    <xf numFmtId="1" fontId="41" fillId="0" borderId="28" xfId="0" applyNumberFormat="1" applyFont="1" applyBorder="1" applyAlignment="1">
      <alignment horizontal="center"/>
    </xf>
    <xf numFmtId="1" fontId="41" fillId="0" borderId="3" xfId="0" applyNumberFormat="1" applyFont="1" applyBorder="1" applyAlignment="1">
      <alignment horizontal="center"/>
    </xf>
    <xf numFmtId="0" fontId="45" fillId="3" borderId="3" xfId="5" applyFont="1" applyFill="1" applyBorder="1" applyAlignment="1">
      <alignment vertical="center"/>
    </xf>
    <xf numFmtId="0" fontId="44" fillId="0" borderId="18" xfId="5" applyFont="1" applyBorder="1" applyAlignment="1">
      <alignment horizontal="center"/>
    </xf>
    <xf numFmtId="165" fontId="44" fillId="0" borderId="3" xfId="5" applyNumberFormat="1" applyFont="1" applyBorder="1" applyAlignment="1">
      <alignment horizontal="center"/>
    </xf>
    <xf numFmtId="0" fontId="47" fillId="0" borderId="0" xfId="0" applyFont="1" applyAlignment="1">
      <alignment horizontal="center"/>
    </xf>
    <xf numFmtId="0" fontId="41" fillId="3" borderId="18" xfId="0" applyFont="1" applyFill="1" applyBorder="1" applyAlignment="1">
      <alignment horizontal="center"/>
    </xf>
    <xf numFmtId="166" fontId="44" fillId="3" borderId="3" xfId="3" applyNumberFormat="1" applyFont="1" applyFill="1" applyBorder="1" applyAlignment="1">
      <alignment horizontal="center"/>
    </xf>
    <xf numFmtId="0" fontId="41" fillId="0" borderId="3" xfId="0" applyFont="1" applyBorder="1" applyAlignment="1">
      <alignment horizontal="center" wrapText="1"/>
    </xf>
    <xf numFmtId="0" fontId="41" fillId="0" borderId="3" xfId="0" applyFont="1" applyBorder="1" applyAlignment="1">
      <alignment horizontal="center" vertical="center"/>
    </xf>
    <xf numFmtId="0" fontId="41" fillId="0" borderId="3" xfId="0" applyFont="1" applyBorder="1" applyAlignment="1">
      <alignment horizontal="left" vertical="center"/>
    </xf>
    <xf numFmtId="0" fontId="41" fillId="0" borderId="42" xfId="0" applyFont="1" applyBorder="1" applyAlignment="1">
      <alignment horizontal="center"/>
    </xf>
    <xf numFmtId="12" fontId="41" fillId="0" borderId="3" xfId="5" applyNumberFormat="1" applyFont="1" applyBorder="1" applyAlignment="1">
      <alignment horizontal="center"/>
    </xf>
    <xf numFmtId="0" fontId="41" fillId="3" borderId="7" xfId="0" applyFont="1" applyFill="1" applyBorder="1" applyAlignment="1">
      <alignment horizontal="center"/>
    </xf>
    <xf numFmtId="49" fontId="48" fillId="2" borderId="5" xfId="5" applyNumberFormat="1" applyFont="1" applyFill="1" applyBorder="1" applyAlignment="1">
      <alignment horizontal="center" vertical="center"/>
    </xf>
    <xf numFmtId="49" fontId="48" fillId="2" borderId="0" xfId="5" applyNumberFormat="1" applyFont="1" applyFill="1" applyAlignment="1">
      <alignment horizontal="center" vertical="center"/>
    </xf>
    <xf numFmtId="0" fontId="41" fillId="2" borderId="0" xfId="5" applyFont="1" applyFill="1"/>
    <xf numFmtId="1" fontId="41" fillId="2" borderId="0" xfId="5" applyNumberFormat="1" applyFont="1" applyFill="1" applyAlignment="1">
      <alignment horizontal="center"/>
    </xf>
    <xf numFmtId="164" fontId="41" fillId="2" borderId="0" xfId="5" applyNumberFormat="1" applyFont="1" applyFill="1" applyAlignment="1">
      <alignment horizontal="center" wrapText="1"/>
    </xf>
    <xf numFmtId="0" fontId="41" fillId="2" borderId="4" xfId="5" applyFont="1" applyFill="1" applyBorder="1" applyAlignment="1">
      <alignment horizontal="center"/>
    </xf>
    <xf numFmtId="0" fontId="41" fillId="5" borderId="29" xfId="5" applyFont="1" applyFill="1" applyBorder="1" applyAlignment="1">
      <alignment horizontal="center"/>
    </xf>
    <xf numFmtId="0" fontId="41" fillId="5" borderId="30" xfId="5" applyFont="1" applyFill="1" applyBorder="1" applyAlignment="1">
      <alignment horizontal="center"/>
    </xf>
    <xf numFmtId="0" fontId="41" fillId="5" borderId="30" xfId="5" applyFont="1" applyFill="1" applyBorder="1"/>
    <xf numFmtId="0" fontId="44" fillId="5" borderId="30" xfId="5" applyFont="1" applyFill="1" applyBorder="1" applyAlignment="1">
      <alignment horizontal="center"/>
    </xf>
    <xf numFmtId="1" fontId="44" fillId="5" borderId="30" xfId="5" applyNumberFormat="1" applyFont="1" applyFill="1" applyBorder="1" applyAlignment="1">
      <alignment horizontal="center"/>
    </xf>
    <xf numFmtId="164" fontId="41" fillId="5" borderId="30" xfId="5" applyNumberFormat="1" applyFont="1" applyFill="1" applyBorder="1" applyAlignment="1">
      <alignment horizontal="center" wrapText="1"/>
    </xf>
    <xf numFmtId="0" fontId="41" fillId="5" borderId="31" xfId="5" applyFont="1" applyFill="1" applyBorder="1" applyAlignment="1">
      <alignment horizontal="center"/>
    </xf>
    <xf numFmtId="0" fontId="41" fillId="0" borderId="33" xfId="0" applyFont="1" applyBorder="1" applyAlignment="1">
      <alignment horizontal="center"/>
    </xf>
    <xf numFmtId="1" fontId="41" fillId="0" borderId="11" xfId="0" applyNumberFormat="1" applyFont="1" applyBorder="1" applyAlignment="1">
      <alignment horizontal="center"/>
    </xf>
    <xf numFmtId="0" fontId="41" fillId="0" borderId="11" xfId="0" applyFont="1" applyBorder="1" applyAlignment="1">
      <alignment horizontal="center"/>
    </xf>
    <xf numFmtId="49" fontId="44" fillId="0" borderId="3" xfId="5" applyNumberFormat="1" applyFont="1" applyBorder="1" applyAlignment="1">
      <alignment horizontal="center"/>
    </xf>
    <xf numFmtId="1" fontId="44" fillId="0" borderId="18" xfId="5" applyNumberFormat="1" applyFont="1" applyBorder="1" applyAlignment="1">
      <alignment wrapText="1"/>
    </xf>
    <xf numFmtId="14" fontId="6" fillId="2" borderId="20" xfId="1" applyNumberFormat="1" applyFont="1" applyFill="1" applyBorder="1" applyAlignment="1">
      <alignment horizontal="center" vertical="center" wrapText="1"/>
    </xf>
    <xf numFmtId="14" fontId="6" fillId="2" borderId="27" xfId="1" applyNumberFormat="1" applyFont="1" applyFill="1" applyBorder="1" applyAlignment="1">
      <alignment horizontal="center" vertical="center" wrapText="1"/>
    </xf>
    <xf numFmtId="14" fontId="6" fillId="2" borderId="21" xfId="1" applyNumberFormat="1" applyFont="1" applyFill="1" applyBorder="1" applyAlignment="1">
      <alignment horizontal="center" vertical="center" wrapText="1"/>
    </xf>
    <xf numFmtId="0" fontId="6" fillId="2" borderId="25" xfId="4" applyFont="1" applyFill="1" applyBorder="1" applyAlignment="1">
      <alignment horizontal="left"/>
    </xf>
    <xf numFmtId="0" fontId="6" fillId="2" borderId="17" xfId="4" applyFont="1" applyFill="1" applyBorder="1" applyAlignment="1">
      <alignment horizontal="left"/>
    </xf>
    <xf numFmtId="0" fontId="6" fillId="2" borderId="1" xfId="4" applyFont="1" applyFill="1" applyBorder="1" applyAlignment="1">
      <alignment horizontal="left"/>
    </xf>
    <xf numFmtId="0" fontId="6" fillId="2" borderId="22" xfId="4" applyFont="1" applyFill="1" applyBorder="1" applyAlignment="1">
      <alignment horizontal="left"/>
    </xf>
    <xf numFmtId="0" fontId="6" fillId="2" borderId="14" xfId="4" applyFont="1" applyFill="1" applyBorder="1" applyAlignment="1">
      <alignment horizontal="left"/>
    </xf>
    <xf numFmtId="0" fontId="6" fillId="2" borderId="18" xfId="4" applyFont="1" applyFill="1" applyBorder="1" applyAlignment="1">
      <alignment horizontal="left"/>
    </xf>
    <xf numFmtId="0" fontId="6" fillId="2" borderId="36" xfId="1" applyFont="1" applyFill="1" applyBorder="1" applyAlignment="1">
      <alignment horizontal="center"/>
    </xf>
    <xf numFmtId="0" fontId="6" fillId="2" borderId="37" xfId="1" applyFont="1" applyFill="1" applyBorder="1" applyAlignment="1">
      <alignment horizontal="center"/>
    </xf>
    <xf numFmtId="0" fontId="6" fillId="2" borderId="5" xfId="1" applyFont="1" applyFill="1" applyBorder="1" applyAlignment="1">
      <alignment horizontal="center"/>
    </xf>
    <xf numFmtId="0" fontId="6" fillId="2" borderId="0" xfId="1" applyFont="1" applyFill="1" applyAlignment="1">
      <alignment horizontal="center"/>
    </xf>
    <xf numFmtId="0" fontId="6" fillId="2" borderId="32" xfId="1" applyFont="1" applyFill="1" applyBorder="1" applyAlignment="1">
      <alignment horizontal="center"/>
    </xf>
    <xf numFmtId="0" fontId="6" fillId="2" borderId="35" xfId="1" applyFont="1" applyFill="1" applyBorder="1" applyAlignment="1">
      <alignment horizontal="center"/>
    </xf>
    <xf numFmtId="0" fontId="7" fillId="2" borderId="23" xfId="1" applyFont="1" applyFill="1" applyBorder="1" applyAlignment="1">
      <alignment horizontal="center"/>
    </xf>
    <xf numFmtId="0" fontId="7" fillId="2" borderId="16" xfId="1" applyFont="1" applyFill="1" applyBorder="1" applyAlignment="1">
      <alignment horizontal="center"/>
    </xf>
    <xf numFmtId="0" fontId="7" fillId="2" borderId="38" xfId="1" applyFont="1" applyFill="1" applyBorder="1" applyAlignment="1">
      <alignment horizontal="center"/>
    </xf>
    <xf numFmtId="0" fontId="7" fillId="2" borderId="34" xfId="1" applyFont="1" applyFill="1" applyBorder="1" applyAlignment="1">
      <alignment horizontal="center"/>
    </xf>
    <xf numFmtId="0" fontId="42" fillId="4" borderId="30" xfId="1" applyFont="1" applyFill="1" applyBorder="1" applyAlignment="1">
      <alignment horizontal="center" vertical="center" wrapText="1"/>
    </xf>
    <xf numFmtId="0" fontId="42" fillId="4" borderId="31" xfId="1" applyFont="1" applyFill="1" applyBorder="1" applyAlignment="1">
      <alignment horizontal="center" vertical="center" wrapText="1"/>
    </xf>
    <xf numFmtId="0" fontId="8" fillId="2" borderId="19" xfId="1" applyFont="1" applyFill="1" applyBorder="1" applyAlignment="1">
      <alignment horizontal="right" vertical="top" wrapText="1"/>
    </xf>
    <xf numFmtId="0" fontId="8" fillId="2" borderId="26" xfId="1" applyFont="1" applyFill="1" applyBorder="1" applyAlignment="1">
      <alignment horizontal="right" vertical="top" wrapText="1"/>
    </xf>
    <xf numFmtId="0" fontId="8" fillId="2" borderId="8" xfId="1" applyFont="1" applyFill="1" applyBorder="1" applyAlignment="1">
      <alignment horizontal="right" vertical="top" wrapText="1"/>
    </xf>
    <xf numFmtId="0" fontId="10" fillId="2" borderId="0" xfId="4" applyFont="1" applyFill="1" applyAlignment="1">
      <alignment horizontal="right"/>
    </xf>
    <xf numFmtId="0" fontId="43" fillId="2" borderId="39" xfId="4" applyFont="1" applyFill="1" applyBorder="1" applyAlignment="1">
      <alignment horizontal="center"/>
    </xf>
    <xf numFmtId="0" fontId="10" fillId="2" borderId="0" xfId="4" applyFont="1" applyFill="1"/>
    <xf numFmtId="0" fontId="8" fillId="5" borderId="40" xfId="5" applyFont="1" applyFill="1" applyBorder="1" applyAlignment="1">
      <alignment horizontal="center" vertical="center"/>
    </xf>
    <xf numFmtId="0" fontId="8" fillId="5" borderId="10" xfId="5" applyFont="1" applyFill="1" applyBorder="1" applyAlignment="1">
      <alignment horizontal="center" vertical="center"/>
    </xf>
    <xf numFmtId="0" fontId="8" fillId="5" borderId="40" xfId="5" applyFont="1" applyFill="1" applyBorder="1" applyAlignment="1">
      <alignment horizontal="center" vertical="center" wrapText="1"/>
    </xf>
    <xf numFmtId="0" fontId="8" fillId="5" borderId="10" xfId="5" applyFont="1" applyFill="1" applyBorder="1" applyAlignment="1">
      <alignment horizontal="center" vertical="center" wrapText="1"/>
    </xf>
    <xf numFmtId="0" fontId="8" fillId="5" borderId="23" xfId="5" applyFont="1" applyFill="1" applyBorder="1" applyAlignment="1">
      <alignment horizontal="center" vertical="center"/>
    </xf>
    <xf numFmtId="0" fontId="8" fillId="5" borderId="11" xfId="5" applyFont="1" applyFill="1" applyBorder="1" applyAlignment="1">
      <alignment horizontal="center" vertical="center"/>
    </xf>
    <xf numFmtId="0" fontId="44" fillId="0" borderId="32" xfId="5" applyFont="1" applyBorder="1" applyAlignment="1">
      <alignment horizontal="right"/>
    </xf>
    <xf numFmtId="0" fontId="44" fillId="0" borderId="35" xfId="5" applyFont="1" applyBorder="1" applyAlignment="1">
      <alignment horizontal="right"/>
    </xf>
    <xf numFmtId="0" fontId="44" fillId="0" borderId="2" xfId="5" applyFont="1" applyBorder="1" applyAlignment="1">
      <alignment horizontal="right"/>
    </xf>
    <xf numFmtId="164" fontId="41" fillId="0" borderId="28" xfId="5" applyNumberFormat="1" applyFont="1" applyBorder="1" applyAlignment="1">
      <alignment horizontal="right"/>
    </xf>
    <xf numFmtId="0" fontId="41" fillId="2" borderId="33" xfId="5" applyFont="1" applyFill="1" applyBorder="1" applyAlignment="1">
      <alignment horizontal="center"/>
    </xf>
    <xf numFmtId="0" fontId="41" fillId="2" borderId="9" xfId="5" applyFont="1" applyFill="1" applyBorder="1" applyAlignment="1">
      <alignment horizontal="center"/>
    </xf>
    <xf numFmtId="0" fontId="44" fillId="0" borderId="13" xfId="5" applyFont="1" applyBorder="1" applyAlignment="1">
      <alignment horizontal="right"/>
    </xf>
    <xf numFmtId="0" fontId="44" fillId="0" borderId="14" xfId="5" applyFont="1" applyBorder="1" applyAlignment="1">
      <alignment horizontal="right"/>
    </xf>
    <xf numFmtId="0" fontId="44" fillId="0" borderId="18" xfId="5" applyFont="1" applyBorder="1" applyAlignment="1">
      <alignment horizontal="right"/>
    </xf>
    <xf numFmtId="0" fontId="41" fillId="0" borderId="3" xfId="5" applyFont="1" applyBorder="1" applyAlignment="1">
      <alignment horizontal="right"/>
    </xf>
    <xf numFmtId="164" fontId="41" fillId="0" borderId="22" xfId="5" applyNumberFormat="1" applyFont="1" applyBorder="1" applyAlignment="1">
      <alignment horizontal="center"/>
    </xf>
    <xf numFmtId="164" fontId="41" fillId="0" borderId="15" xfId="5" applyNumberFormat="1" applyFont="1" applyBorder="1" applyAlignment="1">
      <alignment horizontal="center"/>
    </xf>
    <xf numFmtId="0" fontId="41" fillId="0" borderId="7" xfId="0" applyFont="1" applyBorder="1" applyAlignment="1">
      <alignment horizontal="left" wrapText="1"/>
    </xf>
    <xf numFmtId="0" fontId="41" fillId="0" borderId="18" xfId="0" applyFont="1" applyBorder="1" applyAlignment="1">
      <alignment horizontal="left" wrapText="1"/>
    </xf>
    <xf numFmtId="0" fontId="41" fillId="0" borderId="3" xfId="0" applyFont="1" applyBorder="1" applyAlignment="1">
      <alignment horizontal="left" wrapText="1"/>
    </xf>
    <xf numFmtId="0" fontId="41" fillId="0" borderId="6" xfId="0" applyFont="1" applyBorder="1" applyAlignment="1">
      <alignment horizontal="left" wrapText="1"/>
    </xf>
    <xf numFmtId="164" fontId="41" fillId="0" borderId="22" xfId="5" applyNumberFormat="1" applyFont="1" applyBorder="1" applyAlignment="1">
      <alignment horizontal="right" wrapText="1"/>
    </xf>
    <xf numFmtId="164" fontId="41" fillId="0" borderId="18" xfId="5" applyNumberFormat="1" applyFont="1" applyBorder="1" applyAlignment="1">
      <alignment horizontal="right" wrapText="1"/>
    </xf>
    <xf numFmtId="164" fontId="41" fillId="0" borderId="22" xfId="0" applyNumberFormat="1" applyFont="1" applyBorder="1" applyAlignment="1">
      <alignment horizontal="center" wrapText="1"/>
    </xf>
    <xf numFmtId="164" fontId="41" fillId="0" borderId="15" xfId="0" applyNumberFormat="1" applyFont="1" applyBorder="1" applyAlignment="1">
      <alignment horizontal="center" wrapText="1"/>
    </xf>
    <xf numFmtId="0" fontId="44" fillId="0" borderId="10" xfId="5" applyFont="1" applyBorder="1" applyAlignment="1">
      <alignment horizontal="right"/>
    </xf>
    <xf numFmtId="0" fontId="44" fillId="0" borderId="34" xfId="5" applyFont="1" applyBorder="1" applyAlignment="1">
      <alignment horizontal="right"/>
    </xf>
    <xf numFmtId="0" fontId="44" fillId="0" borderId="11" xfId="5" applyFont="1" applyBorder="1" applyAlignment="1">
      <alignment horizontal="right"/>
    </xf>
    <xf numFmtId="0" fontId="41" fillId="0" borderId="11" xfId="5" applyFont="1" applyBorder="1" applyAlignment="1">
      <alignment horizontal="right"/>
    </xf>
    <xf numFmtId="0" fontId="44" fillId="5" borderId="29" xfId="5" applyFont="1" applyFill="1" applyBorder="1" applyAlignment="1">
      <alignment horizontal="center"/>
    </xf>
    <xf numFmtId="0" fontId="44" fillId="5" borderId="30" xfId="5" applyFont="1" applyFill="1" applyBorder="1" applyAlignment="1">
      <alignment horizontal="center"/>
    </xf>
    <xf numFmtId="0" fontId="44" fillId="5" borderId="31" xfId="5" applyFont="1" applyFill="1" applyBorder="1" applyAlignment="1">
      <alignment horizontal="center"/>
    </xf>
    <xf numFmtId="0" fontId="41" fillId="0" borderId="7" xfId="0" applyFont="1" applyBorder="1" applyAlignment="1">
      <alignment horizontal="left"/>
    </xf>
    <xf numFmtId="0" fontId="41" fillId="0" borderId="18" xfId="0" applyFont="1" applyBorder="1" applyAlignment="1">
      <alignment horizontal="left"/>
    </xf>
    <xf numFmtId="0" fontId="41" fillId="0" borderId="3" xfId="0" applyFont="1" applyBorder="1" applyAlignment="1">
      <alignment horizontal="left"/>
    </xf>
    <xf numFmtId="0" fontId="41" fillId="0" borderId="6" xfId="0" applyFont="1" applyBorder="1" applyAlignment="1">
      <alignment horizontal="left"/>
    </xf>
    <xf numFmtId="0" fontId="44" fillId="6" borderId="41" xfId="1" applyFont="1" applyFill="1" applyBorder="1" applyAlignment="1">
      <alignment horizontal="center"/>
    </xf>
    <xf numFmtId="0" fontId="44" fillId="6" borderId="37" xfId="1" applyFont="1" applyFill="1" applyBorder="1" applyAlignment="1">
      <alignment horizontal="center"/>
    </xf>
    <xf numFmtId="0" fontId="41" fillId="2" borderId="3" xfId="1" applyFont="1" applyFill="1" applyBorder="1" applyAlignment="1">
      <alignment horizontal="left"/>
    </xf>
    <xf numFmtId="0" fontId="41" fillId="0" borderId="13" xfId="0" applyFont="1" applyBorder="1" applyAlignment="1">
      <alignment horizontal="left" wrapText="1"/>
    </xf>
    <xf numFmtId="0" fontId="41" fillId="0" borderId="14" xfId="0" applyFont="1" applyBorder="1" applyAlignment="1">
      <alignment horizontal="left" wrapText="1"/>
    </xf>
    <xf numFmtId="0" fontId="41" fillId="0" borderId="15" xfId="0" applyFont="1" applyBorder="1" applyAlignment="1">
      <alignment horizontal="left" wrapText="1"/>
    </xf>
    <xf numFmtId="0" fontId="21" fillId="0" borderId="0" xfId="0" applyFont="1" applyAlignment="1">
      <alignment horizontal="center" vertical="center"/>
    </xf>
    <xf numFmtId="0" fontId="38" fillId="0" borderId="29" xfId="0" applyFont="1" applyBorder="1" applyAlignment="1">
      <alignment horizontal="right" vertical="center"/>
    </xf>
    <xf numFmtId="0" fontId="38" fillId="0" borderId="30" xfId="0" applyFont="1" applyBorder="1" applyAlignment="1">
      <alignment horizontal="right" vertical="center"/>
    </xf>
    <xf numFmtId="0" fontId="38" fillId="0" borderId="31" xfId="0" applyFont="1" applyBorder="1" applyAlignment="1">
      <alignment horizontal="right" vertical="center"/>
    </xf>
    <xf numFmtId="0" fontId="39" fillId="0" borderId="0" xfId="0" applyFont="1" applyAlignment="1">
      <alignment horizontal="right"/>
    </xf>
    <xf numFmtId="0" fontId="29" fillId="0" borderId="39" xfId="0" applyFont="1" applyBorder="1" applyAlignment="1">
      <alignment horizontal="right"/>
    </xf>
    <xf numFmtId="0" fontId="21" fillId="0" borderId="0" xfId="0" applyFont="1" applyAlignment="1">
      <alignment horizontal="right" vertical="center"/>
    </xf>
    <xf numFmtId="0" fontId="27" fillId="8" borderId="29" xfId="0" applyFont="1" applyFill="1" applyBorder="1" applyAlignment="1">
      <alignment horizontal="right"/>
    </xf>
    <xf numFmtId="0" fontId="27" fillId="8" borderId="30" xfId="0" applyFont="1" applyFill="1" applyBorder="1" applyAlignment="1">
      <alignment horizontal="right"/>
    </xf>
    <xf numFmtId="0" fontId="4" fillId="0" borderId="0" xfId="0" applyFont="1" applyAlignment="1">
      <alignment horizontal="right" vertical="center"/>
    </xf>
    <xf numFmtId="0" fontId="13" fillId="0" borderId="39" xfId="0" applyFont="1" applyBorder="1" applyAlignment="1">
      <alignment horizontal="right" vertical="center"/>
    </xf>
    <xf numFmtId="0" fontId="13" fillId="0" borderId="50" xfId="0" applyFont="1" applyBorder="1" applyAlignment="1">
      <alignment horizontal="right" vertical="center"/>
    </xf>
    <xf numFmtId="0" fontId="13" fillId="10" borderId="29" xfId="0" applyFont="1" applyFill="1" applyBorder="1" applyAlignment="1">
      <alignment horizontal="right" vertical="center"/>
    </xf>
    <xf numFmtId="0" fontId="13" fillId="10" borderId="30" xfId="0" applyFont="1" applyFill="1" applyBorder="1" applyAlignment="1">
      <alignment horizontal="right" vertical="center"/>
    </xf>
    <xf numFmtId="0" fontId="13" fillId="10" borderId="31" xfId="0" applyFont="1" applyFill="1" applyBorder="1" applyAlignment="1">
      <alignment horizontal="right" vertical="center"/>
    </xf>
    <xf numFmtId="4" fontId="36" fillId="0" borderId="0" xfId="8" applyNumberFormat="1" applyFont="1" applyFill="1" applyAlignment="1">
      <alignment horizontal="center" vertical="center" wrapText="1"/>
    </xf>
    <xf numFmtId="0" fontId="30" fillId="0" borderId="3" xfId="0" applyFont="1" applyBorder="1" applyAlignment="1">
      <alignment horizontal="right" vertical="center"/>
    </xf>
    <xf numFmtId="0" fontId="31" fillId="0" borderId="5" xfId="0" applyFont="1" applyBorder="1" applyAlignment="1">
      <alignment horizontal="right"/>
    </xf>
    <xf numFmtId="0" fontId="31" fillId="0" borderId="0" xfId="0" applyFont="1" applyAlignment="1">
      <alignment horizontal="right"/>
    </xf>
    <xf numFmtId="0" fontId="31" fillId="0" borderId="4" xfId="0" applyFont="1" applyBorder="1" applyAlignment="1">
      <alignment horizontal="right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22" fillId="0" borderId="36" xfId="0" applyFont="1" applyBorder="1" applyAlignment="1">
      <alignment horizontal="right"/>
    </xf>
    <xf numFmtId="0" fontId="22" fillId="0" borderId="37" xfId="0" applyFont="1" applyBorder="1" applyAlignment="1">
      <alignment horizontal="right"/>
    </xf>
    <xf numFmtId="0" fontId="4" fillId="0" borderId="3" xfId="0" applyFont="1" applyBorder="1" applyAlignment="1">
      <alignment horizontal="right" vertical="center"/>
    </xf>
    <xf numFmtId="0" fontId="22" fillId="0" borderId="0" xfId="0" applyFont="1" applyAlignment="1">
      <alignment horizontal="right"/>
    </xf>
    <xf numFmtId="0" fontId="16" fillId="0" borderId="39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wrapText="1"/>
    </xf>
    <xf numFmtId="0" fontId="18" fillId="0" borderId="30" xfId="0" applyFont="1" applyBorder="1" applyAlignment="1">
      <alignment horizontal="right" vertical="center" wrapText="1"/>
    </xf>
    <xf numFmtId="0" fontId="44" fillId="0" borderId="3" xfId="0" applyFont="1" applyBorder="1" applyAlignment="1">
      <alignment horizontal="center"/>
    </xf>
    <xf numFmtId="0" fontId="0" fillId="0" borderId="3" xfId="0" applyBorder="1"/>
    <xf numFmtId="0" fontId="46" fillId="3" borderId="3" xfId="0" applyFont="1" applyFill="1" applyBorder="1" applyAlignment="1">
      <alignment horizontal="center"/>
    </xf>
  </cellXfs>
  <cellStyles count="12">
    <cellStyle name="Millares" xfId="3" builtinId="3"/>
    <cellStyle name="Millares [0]" xfId="8" builtinId="6"/>
    <cellStyle name="Millares [0] 2" xfId="11" xr:uid="{162CEEBD-D41E-4D00-9AA1-C01E878F0EE1}"/>
    <cellStyle name="Millares 2" xfId="9" xr:uid="{99948816-D495-404F-8289-982B771F9597}"/>
    <cellStyle name="Normal" xfId="0" builtinId="0"/>
    <cellStyle name="Normal 2" xfId="5" xr:uid="{8668F873-02DB-4A02-AF6D-4E21B12DB858}"/>
    <cellStyle name="Normal 3" xfId="6" xr:uid="{4ADA67B4-1C58-41FF-894E-9FE46F4573FE}"/>
    <cellStyle name="Normal 3 2" xfId="7" xr:uid="{644DA105-A70C-4C04-BB6D-F809E6E31D1E}"/>
    <cellStyle name="Normal 3 3" xfId="10" xr:uid="{B96800FB-6CCD-491C-B829-15500106C1CA}"/>
    <cellStyle name="Normal_CRITERIOS DE EVALUACION PT DE GB" xfId="1" xr:uid="{00000000-0005-0000-0000-000001000000}"/>
    <cellStyle name="Normal_CRITERIOS DE EVALUACION PT DE GB 2" xfId="4" xr:uid="{D6D0B999-AA00-461B-8241-8CAF4F956868}"/>
    <cellStyle name="Porcentaje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79376</xdr:colOff>
      <xdr:row>0</xdr:row>
      <xdr:rowOff>190499</xdr:rowOff>
    </xdr:from>
    <xdr:ext cx="2051586" cy="881063"/>
    <xdr:pic>
      <xdr:nvPicPr>
        <xdr:cNvPr id="2" name="Imagen 1">
          <a:extLst>
            <a:ext uri="{FF2B5EF4-FFF2-40B4-BE49-F238E27FC236}">
              <a16:creationId xmlns:a16="http://schemas.microsoft.com/office/drawing/2014/main" id="{42BBEFC2-EC98-400D-818B-7F84A1F36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76" y="190499"/>
          <a:ext cx="2051586" cy="8810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A2"/>
          <cell r="B2"/>
          <cell r="C2" t="str">
            <v>ESPECIFICACION DE RECETA</v>
          </cell>
          <cell r="D2"/>
          <cell r="E2"/>
          <cell r="F2"/>
          <cell r="G2"/>
        </row>
        <row r="3">
          <cell r="A3"/>
          <cell r="B3"/>
          <cell r="C3" t="str">
            <v>907000285(SE00434) Batido Easy queque vainilla SP</v>
          </cell>
          <cell r="D3"/>
          <cell r="E3"/>
          <cell r="F3"/>
          <cell r="G3"/>
        </row>
        <row r="4">
          <cell r="A4"/>
          <cell r="B4"/>
          <cell r="C4" t="str">
            <v>Elaborado</v>
          </cell>
          <cell r="D4" t="str">
            <v>Javier Tong, Chef</v>
          </cell>
          <cell r="E4"/>
          <cell r="F4"/>
          <cell r="G4"/>
        </row>
        <row r="5">
          <cell r="A5"/>
          <cell r="B5"/>
          <cell r="C5" t="str">
            <v>Aprobado</v>
          </cell>
          <cell r="D5" t="str">
            <v>Esteban Cartin, Gte Manufactura</v>
          </cell>
          <cell r="E5"/>
          <cell r="F5"/>
          <cell r="G5"/>
        </row>
        <row r="6">
          <cell r="A6" t="str">
            <v>AREA QUE PRODUCE:</v>
          </cell>
          <cell r="B6"/>
          <cell r="C6"/>
          <cell r="D6" t="str">
            <v>Batidos</v>
          </cell>
          <cell r="E6"/>
          <cell r="F6"/>
          <cell r="G6" t="str">
            <v xml:space="preserve">AREA QUE EMPACA: </v>
          </cell>
        </row>
        <row r="7">
          <cell r="A7" t="str">
            <v xml:space="preserve"># Código </v>
          </cell>
          <cell r="B7" t="str">
            <v># Código Netsuite</v>
          </cell>
          <cell r="C7" t="str">
            <v>Descripción del ingrediente</v>
          </cell>
          <cell r="D7" t="str">
            <v xml:space="preserve">Marca </v>
          </cell>
          <cell r="E7" t="str">
            <v>Unidad Internacional</v>
          </cell>
          <cell r="F7"/>
          <cell r="G7" t="str">
            <v>Medida alternativa</v>
          </cell>
        </row>
        <row r="8">
          <cell r="A8"/>
          <cell r="B8"/>
          <cell r="C8"/>
          <cell r="D8"/>
          <cell r="E8" t="str">
            <v>Cantidad</v>
          </cell>
          <cell r="F8" t="str">
            <v xml:space="preserve">Unidad medida </v>
          </cell>
          <cell r="G8" t="str">
            <v>Cantidad</v>
          </cell>
        </row>
        <row r="9">
          <cell r="A9"/>
          <cell r="B9"/>
          <cell r="C9" t="str">
            <v>Ensamble</v>
          </cell>
          <cell r="D9"/>
          <cell r="E9"/>
          <cell r="F9"/>
          <cell r="G9"/>
        </row>
        <row r="10">
          <cell r="A10">
            <v>906000135</v>
          </cell>
          <cell r="B10" t="str">
            <v>SE00435</v>
          </cell>
          <cell r="C10" t="str">
            <v>PREMEZCLA EASY QUEQUE VAINILLA SP</v>
          </cell>
          <cell r="D10" t="str">
            <v>FAS</v>
          </cell>
          <cell r="E10">
            <v>25050</v>
          </cell>
          <cell r="F10" t="str">
            <v>g</v>
          </cell>
          <cell r="G10"/>
        </row>
        <row r="11">
          <cell r="A11" t="str">
            <v>1210482</v>
          </cell>
          <cell r="B11" t="str">
            <v>MP10005</v>
          </cell>
          <cell r="C11" t="str">
            <v>HUEVO LIQUIDO ESPECIAL INNOV (CAJA:10 K)</v>
          </cell>
          <cell r="D11" t="str">
            <v>INNOVO</v>
          </cell>
          <cell r="E11">
            <v>8900</v>
          </cell>
          <cell r="F11" t="str">
            <v>g</v>
          </cell>
          <cell r="G11"/>
        </row>
        <row r="12">
          <cell r="A12" t="str">
            <v>10415</v>
          </cell>
          <cell r="B12"/>
          <cell r="C12" t="str">
            <v>AGUA POTABLE (PLANTA)</v>
          </cell>
          <cell r="D12" t="str">
            <v>FAS</v>
          </cell>
          <cell r="E12">
            <v>5900</v>
          </cell>
          <cell r="F12" t="str">
            <v>g</v>
          </cell>
          <cell r="G12"/>
        </row>
        <row r="13">
          <cell r="A13">
            <v>10100050</v>
          </cell>
          <cell r="B13" t="str">
            <v>MP10002</v>
          </cell>
          <cell r="C13" t="str">
            <v>ACEITE CAPULLO RBD (UND:17 L)</v>
          </cell>
          <cell r="D13" t="str">
            <v>CAPULLO</v>
          </cell>
          <cell r="E13">
            <v>8200</v>
          </cell>
          <cell r="F13" t="str">
            <v>g</v>
          </cell>
          <cell r="G13"/>
        </row>
        <row r="14">
          <cell r="A14"/>
          <cell r="B14"/>
          <cell r="C14"/>
          <cell r="D14"/>
          <cell r="E14"/>
          <cell r="F14"/>
          <cell r="G14"/>
        </row>
        <row r="15">
          <cell r="A15"/>
          <cell r="B15"/>
          <cell r="C15"/>
          <cell r="D15"/>
          <cell r="E15"/>
          <cell r="F15"/>
          <cell r="G15"/>
        </row>
        <row r="16">
          <cell r="A16"/>
          <cell r="B16"/>
          <cell r="C16"/>
          <cell r="D16"/>
          <cell r="E16"/>
          <cell r="F16"/>
          <cell r="G16"/>
        </row>
        <row r="17">
          <cell r="A17"/>
          <cell r="B17"/>
          <cell r="C17"/>
          <cell r="D17"/>
          <cell r="E17"/>
          <cell r="F17"/>
          <cell r="G17"/>
        </row>
        <row r="18">
          <cell r="A18"/>
          <cell r="B18"/>
          <cell r="C18"/>
          <cell r="D18"/>
          <cell r="E18"/>
          <cell r="F18"/>
          <cell r="G18"/>
        </row>
        <row r="19">
          <cell r="A19"/>
          <cell r="B19"/>
          <cell r="C19"/>
          <cell r="D19"/>
          <cell r="E19"/>
          <cell r="F19"/>
          <cell r="G19"/>
        </row>
        <row r="20">
          <cell r="A20"/>
          <cell r="B20"/>
          <cell r="C20"/>
          <cell r="D20"/>
          <cell r="E20"/>
          <cell r="F20"/>
          <cell r="G20"/>
        </row>
        <row r="21">
          <cell r="A21"/>
          <cell r="B21"/>
          <cell r="C21" t="str">
            <v>Decoración</v>
          </cell>
          <cell r="D21"/>
          <cell r="E21"/>
          <cell r="F21"/>
          <cell r="G21"/>
        </row>
        <row r="22">
          <cell r="A22"/>
          <cell r="B22"/>
          <cell r="C22"/>
          <cell r="D22"/>
          <cell r="E22"/>
          <cell r="F22"/>
          <cell r="G22"/>
        </row>
        <row r="23">
          <cell r="A23"/>
          <cell r="B23"/>
          <cell r="C23"/>
          <cell r="D23"/>
          <cell r="E23"/>
          <cell r="F23"/>
          <cell r="G23"/>
        </row>
        <row r="24">
          <cell r="A24"/>
          <cell r="B24"/>
          <cell r="C24"/>
          <cell r="D24"/>
          <cell r="E24"/>
          <cell r="F24"/>
          <cell r="G24"/>
        </row>
        <row r="25">
          <cell r="A25"/>
          <cell r="B25"/>
          <cell r="C25"/>
          <cell r="D25"/>
          <cell r="E25"/>
          <cell r="F25"/>
          <cell r="G25"/>
        </row>
        <row r="26">
          <cell r="A26"/>
          <cell r="B26"/>
          <cell r="C26"/>
          <cell r="D26"/>
          <cell r="E26"/>
          <cell r="F26"/>
          <cell r="G26"/>
        </row>
        <row r="27">
          <cell r="A27"/>
          <cell r="B27"/>
          <cell r="C27"/>
          <cell r="D27"/>
          <cell r="E27"/>
          <cell r="F27"/>
          <cell r="G27"/>
        </row>
        <row r="28">
          <cell r="A28"/>
          <cell r="B28"/>
          <cell r="C28" t="str">
            <v>Empaque</v>
          </cell>
          <cell r="D28"/>
          <cell r="E28"/>
          <cell r="F28"/>
          <cell r="G28"/>
        </row>
        <row r="29">
          <cell r="A29"/>
          <cell r="B29"/>
          <cell r="C29"/>
          <cell r="D29"/>
          <cell r="E29"/>
          <cell r="F29"/>
          <cell r="G29"/>
        </row>
        <row r="30">
          <cell r="A30"/>
          <cell r="B30"/>
          <cell r="C30"/>
          <cell r="D30"/>
          <cell r="E30"/>
          <cell r="F30"/>
          <cell r="G30"/>
        </row>
        <row r="31">
          <cell r="A31"/>
          <cell r="B31"/>
          <cell r="C31"/>
          <cell r="D31"/>
          <cell r="E31"/>
          <cell r="F31"/>
          <cell r="G31"/>
        </row>
        <row r="32">
          <cell r="A32"/>
          <cell r="B32"/>
          <cell r="C32"/>
          <cell r="D32"/>
          <cell r="E32"/>
          <cell r="F32"/>
          <cell r="G32"/>
        </row>
        <row r="33">
          <cell r="A33"/>
          <cell r="B33"/>
          <cell r="C33"/>
          <cell r="D33"/>
          <cell r="E33"/>
          <cell r="F33"/>
          <cell r="G33"/>
        </row>
        <row r="34">
          <cell r="A34"/>
          <cell r="B34"/>
          <cell r="C34"/>
          <cell r="D34"/>
          <cell r="E34"/>
          <cell r="F34"/>
          <cell r="G34"/>
        </row>
        <row r="35">
          <cell r="A35"/>
          <cell r="B35"/>
          <cell r="C35"/>
          <cell r="D35"/>
          <cell r="E35"/>
          <cell r="F35"/>
          <cell r="G35"/>
        </row>
        <row r="36">
          <cell r="A36"/>
          <cell r="B36"/>
          <cell r="C36"/>
          <cell r="D36"/>
          <cell r="E36"/>
          <cell r="F36"/>
          <cell r="G36"/>
        </row>
        <row r="37">
          <cell r="A37"/>
          <cell r="B37"/>
          <cell r="C37" t="str">
            <v/>
          </cell>
          <cell r="D37"/>
          <cell r="E37"/>
          <cell r="F37"/>
          <cell r="G37"/>
        </row>
        <row r="38">
          <cell r="A38"/>
          <cell r="B38"/>
          <cell r="C38" t="str">
            <v/>
          </cell>
          <cell r="D38" t="str">
            <v>Cantidad</v>
          </cell>
          <cell r="E38" t="str">
            <v>Unidad</v>
          </cell>
          <cell r="F38"/>
          <cell r="G38"/>
        </row>
        <row r="39">
          <cell r="A39" t="str">
            <v>PESO TOTAL OBTENIDO</v>
          </cell>
          <cell r="B39"/>
          <cell r="C39"/>
          <cell r="D39">
            <v>47400</v>
          </cell>
          <cell r="E39" t="str">
            <v>g</v>
          </cell>
          <cell r="F39" t="str">
            <v>Tiempo de Horneo:</v>
          </cell>
          <cell r="G39"/>
        </row>
        <row r="40">
          <cell r="A40" t="str">
            <v>TIEMPO TOTAL DE PREPARACION</v>
          </cell>
          <cell r="B40"/>
          <cell r="C40"/>
          <cell r="D40">
            <v>10</v>
          </cell>
          <cell r="E40" t="str">
            <v>min</v>
          </cell>
          <cell r="F40" t="str">
            <v>Horno:</v>
          </cell>
          <cell r="G40"/>
        </row>
        <row r="41">
          <cell r="A41" t="str">
            <v>CANTIDAD DE PORCIONES OBTENIDAS</v>
          </cell>
          <cell r="B41"/>
          <cell r="C41"/>
          <cell r="D41">
            <v>1</v>
          </cell>
          <cell r="E41" t="str">
            <v>ud</v>
          </cell>
          <cell r="F41" t="str">
            <v>Temperatura de Horneo:</v>
          </cell>
          <cell r="G41"/>
        </row>
        <row r="42">
          <cell r="A42" t="str">
            <v>PESO DE CADA PORCIÓN</v>
          </cell>
          <cell r="B42"/>
          <cell r="C42"/>
          <cell r="D42">
            <v>47400</v>
          </cell>
          <cell r="E42" t="str">
            <v>g</v>
          </cell>
          <cell r="F42" t="str">
            <v>Otros</v>
          </cell>
          <cell r="G42"/>
        </row>
        <row r="43">
          <cell r="A43" t="str">
            <v>MERMA</v>
          </cell>
          <cell r="B43"/>
          <cell r="C43"/>
          <cell r="D43">
            <v>650</v>
          </cell>
          <cell r="E43" t="str">
            <v>g</v>
          </cell>
          <cell r="F43"/>
          <cell r="G43"/>
        </row>
        <row r="44">
          <cell r="A44" t="str">
            <v>PROCEDIMIENTO DE PREPARACION DE LA  RECETA</v>
          </cell>
          <cell r="B44"/>
          <cell r="C44"/>
          <cell r="D44"/>
          <cell r="E44"/>
          <cell r="F44"/>
          <cell r="G44"/>
        </row>
        <row r="45">
          <cell r="A45" t="str">
            <v>1.- Colocar todos los ingredientes en la batidora y batir con paleta.</v>
          </cell>
          <cell r="B45"/>
          <cell r="C45"/>
          <cell r="D45"/>
          <cell r="E45"/>
          <cell r="F45"/>
          <cell r="G45"/>
        </row>
        <row r="46">
          <cell r="A46" t="str">
            <v>2.- Batir por 1 minutos en velocidad 1.</v>
          </cell>
          <cell r="B46"/>
          <cell r="C46"/>
          <cell r="D46"/>
          <cell r="E46"/>
          <cell r="F46"/>
          <cell r="G46"/>
        </row>
        <row r="47">
          <cell r="A47" t="str">
            <v>3.- Luego batir por 5 minutos a velocidad 2.</v>
          </cell>
          <cell r="B47"/>
          <cell r="C47"/>
          <cell r="D47"/>
          <cell r="E47"/>
          <cell r="F47"/>
          <cell r="G47"/>
        </row>
        <row r="48">
          <cell r="A48" t="str">
            <v>4.- Pasar a dosificar.</v>
          </cell>
          <cell r="B48"/>
          <cell r="C48"/>
          <cell r="D48"/>
          <cell r="E48"/>
          <cell r="F48"/>
          <cell r="G48"/>
        </row>
        <row r="49">
          <cell r="A49"/>
          <cell r="B49"/>
          <cell r="C49"/>
          <cell r="D49"/>
          <cell r="E49"/>
          <cell r="F49"/>
          <cell r="G49"/>
        </row>
        <row r="50">
          <cell r="A50"/>
          <cell r="B50"/>
          <cell r="C50"/>
          <cell r="D50"/>
          <cell r="E50"/>
          <cell r="F50"/>
          <cell r="G50"/>
        </row>
        <row r="51">
          <cell r="A51"/>
          <cell r="B51"/>
          <cell r="C51"/>
          <cell r="D51"/>
          <cell r="E51"/>
          <cell r="F51"/>
          <cell r="G51"/>
        </row>
        <row r="52">
          <cell r="A52"/>
          <cell r="B52"/>
          <cell r="C52"/>
          <cell r="D52"/>
          <cell r="E52"/>
          <cell r="F52"/>
          <cell r="G52"/>
        </row>
        <row r="53">
          <cell r="A53"/>
          <cell r="B53"/>
          <cell r="C53"/>
          <cell r="D53"/>
          <cell r="E53"/>
          <cell r="F53"/>
          <cell r="G53"/>
        </row>
        <row r="54">
          <cell r="A54"/>
          <cell r="B54"/>
          <cell r="C54"/>
          <cell r="D54"/>
          <cell r="E54"/>
          <cell r="F54"/>
          <cell r="G54"/>
        </row>
        <row r="55">
          <cell r="A55" t="str">
            <v>CONTROL DE CAMBIOS</v>
          </cell>
          <cell r="B55"/>
          <cell r="C55"/>
          <cell r="D55"/>
          <cell r="E55"/>
          <cell r="F55"/>
          <cell r="G55"/>
        </row>
        <row r="56">
          <cell r="A56" t="str">
            <v>2, Actualizacion de procedimeinto</v>
          </cell>
          <cell r="B56"/>
          <cell r="C56"/>
          <cell r="D56"/>
          <cell r="E56"/>
          <cell r="F56"/>
          <cell r="G56"/>
        </row>
        <row r="57">
          <cell r="A57"/>
          <cell r="B57"/>
          <cell r="C57"/>
          <cell r="D57"/>
          <cell r="E57"/>
          <cell r="F57"/>
          <cell r="G57"/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C60C5-3FFA-4501-804C-B6504BF541D7}">
  <sheetPr>
    <pageSetUpPr fitToPage="1"/>
  </sheetPr>
  <dimension ref="A1:I47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5" bestFit="1" customWidth="1"/>
    <col min="2" max="2" width="18.5703125" bestFit="1" customWidth="1"/>
    <col min="3" max="3" width="78.140625" customWidth="1"/>
    <col min="4" max="4" width="25.5703125" bestFit="1" customWidth="1"/>
    <col min="5" max="5" width="15" customWidth="1"/>
    <col min="7" max="7" width="21.42578125" customWidth="1"/>
    <col min="8" max="8" width="18.7109375" customWidth="1"/>
    <col min="9" max="9" width="17.42578125" bestFit="1" customWidth="1"/>
  </cols>
  <sheetData>
    <row r="1" spans="1:9" ht="15.75" x14ac:dyDescent="0.25">
      <c r="A1" s="198"/>
      <c r="B1" s="199"/>
      <c r="C1" s="204" t="s">
        <v>0</v>
      </c>
      <c r="D1" s="204"/>
      <c r="E1" s="204"/>
      <c r="F1" s="204"/>
      <c r="G1" s="204"/>
      <c r="H1" s="1" t="s">
        <v>1</v>
      </c>
      <c r="I1" s="3" t="s">
        <v>151</v>
      </c>
    </row>
    <row r="2" spans="1:9" ht="18" customHeight="1" thickBot="1" x14ac:dyDescent="0.3">
      <c r="A2" s="200"/>
      <c r="B2" s="201"/>
      <c r="C2" s="205" t="s">
        <v>2</v>
      </c>
      <c r="D2" s="206"/>
      <c r="E2" s="206"/>
      <c r="F2" s="206"/>
      <c r="G2" s="207"/>
      <c r="H2" s="2" t="s">
        <v>3</v>
      </c>
      <c r="I2" s="4" t="s">
        <v>158</v>
      </c>
    </row>
    <row r="3" spans="1:9" ht="31.5" customHeight="1" thickBot="1" x14ac:dyDescent="0.25">
      <c r="A3" s="200"/>
      <c r="B3" s="201"/>
      <c r="C3" s="208" t="s">
        <v>90</v>
      </c>
      <c r="D3" s="208"/>
      <c r="E3" s="208"/>
      <c r="F3" s="208"/>
      <c r="G3" s="209"/>
      <c r="H3" s="210" t="s">
        <v>4</v>
      </c>
      <c r="I3" s="189">
        <v>46134</v>
      </c>
    </row>
    <row r="4" spans="1:9" ht="18" customHeight="1" x14ac:dyDescent="0.25">
      <c r="A4" s="200"/>
      <c r="B4" s="201"/>
      <c r="C4" s="5" t="s">
        <v>5</v>
      </c>
      <c r="D4" s="192" t="s">
        <v>88</v>
      </c>
      <c r="E4" s="193"/>
      <c r="F4" s="193"/>
      <c r="G4" s="194"/>
      <c r="H4" s="211"/>
      <c r="I4" s="190"/>
    </row>
    <row r="5" spans="1:9" ht="14.25" thickBot="1" x14ac:dyDescent="0.3">
      <c r="A5" s="202"/>
      <c r="B5" s="203"/>
      <c r="C5" s="6" t="s">
        <v>6</v>
      </c>
      <c r="D5" s="195" t="s">
        <v>55</v>
      </c>
      <c r="E5" s="196"/>
      <c r="F5" s="196"/>
      <c r="G5" s="197"/>
      <c r="H5" s="212"/>
      <c r="I5" s="191"/>
    </row>
    <row r="6" spans="1:9" ht="18.75" thickBot="1" x14ac:dyDescent="0.3">
      <c r="A6" s="213" t="s">
        <v>31</v>
      </c>
      <c r="B6" s="213"/>
      <c r="C6" s="213"/>
      <c r="D6" s="214" t="s">
        <v>89</v>
      </c>
      <c r="E6" s="214"/>
      <c r="F6" s="214"/>
      <c r="G6" s="215" t="s">
        <v>32</v>
      </c>
      <c r="H6" s="215"/>
      <c r="I6" s="110" t="s">
        <v>89</v>
      </c>
    </row>
    <row r="7" spans="1:9" ht="25.5" x14ac:dyDescent="0.2">
      <c r="A7" s="216" t="s">
        <v>7</v>
      </c>
      <c r="B7" s="218" t="s">
        <v>33</v>
      </c>
      <c r="C7" s="220" t="s">
        <v>8</v>
      </c>
      <c r="D7" s="220" t="s">
        <v>9</v>
      </c>
      <c r="E7" s="220" t="s">
        <v>10</v>
      </c>
      <c r="F7" s="220"/>
      <c r="G7" s="220" t="s">
        <v>11</v>
      </c>
      <c r="H7" s="220"/>
      <c r="I7" s="7" t="s">
        <v>12</v>
      </c>
    </row>
    <row r="8" spans="1:9" ht="26.25" thickBot="1" x14ac:dyDescent="0.25">
      <c r="A8" s="217"/>
      <c r="B8" s="219"/>
      <c r="C8" s="221"/>
      <c r="D8" s="221"/>
      <c r="E8" s="8" t="s">
        <v>13</v>
      </c>
      <c r="F8" s="9" t="s">
        <v>14</v>
      </c>
      <c r="G8" s="8" t="s">
        <v>13</v>
      </c>
      <c r="H8" s="9" t="s">
        <v>14</v>
      </c>
      <c r="I8" s="10" t="s">
        <v>15</v>
      </c>
    </row>
    <row r="9" spans="1:9" ht="18.600000000000001" customHeight="1" x14ac:dyDescent="0.3">
      <c r="A9" s="111"/>
      <c r="B9" s="112"/>
      <c r="C9" s="113" t="s">
        <v>34</v>
      </c>
      <c r="D9" s="114"/>
      <c r="E9" s="115"/>
      <c r="F9" s="116"/>
      <c r="G9" s="115"/>
      <c r="H9" s="116"/>
      <c r="I9" s="117"/>
    </row>
    <row r="10" spans="1:9" ht="20.25" x14ac:dyDescent="0.3">
      <c r="A10" s="118" t="s">
        <v>56</v>
      </c>
      <c r="B10" s="118" t="s">
        <v>57</v>
      </c>
      <c r="C10" s="119" t="s">
        <v>58</v>
      </c>
      <c r="D10" s="120" t="s">
        <v>59</v>
      </c>
      <c r="E10" s="120">
        <v>10</v>
      </c>
      <c r="F10" s="121" t="s">
        <v>16</v>
      </c>
      <c r="G10" s="122"/>
      <c r="H10" s="123"/>
      <c r="I10" s="117"/>
    </row>
    <row r="11" spans="1:9" ht="20.25" x14ac:dyDescent="0.3">
      <c r="A11" s="118"/>
      <c r="B11" s="118" t="s">
        <v>60</v>
      </c>
      <c r="C11" s="119" t="s">
        <v>61</v>
      </c>
      <c r="D11" s="120" t="s">
        <v>36</v>
      </c>
      <c r="E11" s="120">
        <v>60</v>
      </c>
      <c r="F11" s="121" t="s">
        <v>16</v>
      </c>
      <c r="G11" s="122"/>
      <c r="H11" s="123"/>
      <c r="I11" s="117"/>
    </row>
    <row r="12" spans="1:9" ht="20.25" x14ac:dyDescent="0.3">
      <c r="A12" s="118"/>
      <c r="B12" s="124" t="s">
        <v>62</v>
      </c>
      <c r="C12" s="125" t="s">
        <v>63</v>
      </c>
      <c r="D12" s="120" t="s">
        <v>36</v>
      </c>
      <c r="E12" s="120">
        <v>60</v>
      </c>
      <c r="F12" s="121" t="s">
        <v>16</v>
      </c>
      <c r="G12" s="126" t="s">
        <v>76</v>
      </c>
      <c r="H12" s="123"/>
      <c r="I12" s="117"/>
    </row>
    <row r="13" spans="1:9" ht="20.25" x14ac:dyDescent="0.3">
      <c r="A13" s="127"/>
      <c r="B13" s="127" t="s">
        <v>37</v>
      </c>
      <c r="C13" s="128" t="s">
        <v>38</v>
      </c>
      <c r="D13" s="129" t="s">
        <v>36</v>
      </c>
      <c r="E13" s="130">
        <v>15</v>
      </c>
      <c r="F13" s="121" t="s">
        <v>16</v>
      </c>
      <c r="G13" s="127" t="s">
        <v>77</v>
      </c>
      <c r="H13" s="123"/>
      <c r="I13" s="117"/>
    </row>
    <row r="14" spans="1:9" ht="20.25" x14ac:dyDescent="0.3">
      <c r="A14" s="127"/>
      <c r="B14" s="131" t="s">
        <v>45</v>
      </c>
      <c r="C14" s="132" t="s">
        <v>46</v>
      </c>
      <c r="D14" s="133" t="s">
        <v>36</v>
      </c>
      <c r="E14" s="134">
        <v>10</v>
      </c>
      <c r="F14" s="121" t="s">
        <v>16</v>
      </c>
      <c r="G14" s="127" t="s">
        <v>79</v>
      </c>
      <c r="H14" s="123"/>
      <c r="I14" s="117"/>
    </row>
    <row r="15" spans="1:9" ht="20.25" x14ac:dyDescent="0.3">
      <c r="A15" s="127"/>
      <c r="B15" s="127" t="s">
        <v>91</v>
      </c>
      <c r="C15" s="135" t="s">
        <v>42</v>
      </c>
      <c r="D15" s="129" t="s">
        <v>36</v>
      </c>
      <c r="E15" s="130">
        <v>40</v>
      </c>
      <c r="F15" s="121" t="s">
        <v>16</v>
      </c>
      <c r="G15" s="127" t="s">
        <v>80</v>
      </c>
      <c r="H15" s="123"/>
      <c r="I15" s="117"/>
    </row>
    <row r="16" spans="1:9" ht="20.25" x14ac:dyDescent="0.3">
      <c r="A16" s="127"/>
      <c r="B16" s="136" t="s">
        <v>43</v>
      </c>
      <c r="C16" s="136" t="s">
        <v>44</v>
      </c>
      <c r="D16" s="137" t="s">
        <v>36</v>
      </c>
      <c r="E16" s="138">
        <v>10</v>
      </c>
      <c r="F16" s="121" t="s">
        <v>16</v>
      </c>
      <c r="G16" s="127" t="s">
        <v>77</v>
      </c>
      <c r="H16" s="123"/>
      <c r="I16" s="117"/>
    </row>
    <row r="17" spans="1:9" ht="20.25" x14ac:dyDescent="0.3">
      <c r="A17" s="124"/>
      <c r="B17" s="124"/>
      <c r="C17" s="135"/>
      <c r="D17" s="139"/>
      <c r="E17" s="140"/>
      <c r="F17" s="141"/>
      <c r="G17" s="124"/>
      <c r="H17" s="123"/>
      <c r="I17" s="117"/>
    </row>
    <row r="18" spans="1:9" ht="20.25" x14ac:dyDescent="0.3">
      <c r="A18" s="142"/>
      <c r="B18" s="143"/>
      <c r="C18" s="144" t="s">
        <v>17</v>
      </c>
      <c r="D18" s="140"/>
      <c r="E18" s="145"/>
      <c r="F18" s="141"/>
      <c r="G18" s="115"/>
      <c r="H18" s="116"/>
      <c r="I18" s="117"/>
    </row>
    <row r="19" spans="1:9" ht="20.25" x14ac:dyDescent="0.3">
      <c r="A19" s="146"/>
      <c r="B19" s="131" t="s">
        <v>45</v>
      </c>
      <c r="C19" s="132" t="s">
        <v>46</v>
      </c>
      <c r="D19" s="133" t="s">
        <v>36</v>
      </c>
      <c r="E19" s="147">
        <v>26</v>
      </c>
      <c r="F19" s="148" t="s">
        <v>16</v>
      </c>
      <c r="G19" s="115" t="s">
        <v>78</v>
      </c>
      <c r="H19" s="290" t="s">
        <v>75</v>
      </c>
      <c r="I19" s="117"/>
    </row>
    <row r="20" spans="1:9" ht="20.25" x14ac:dyDescent="0.3">
      <c r="A20" s="146"/>
      <c r="B20" s="151" t="s">
        <v>64</v>
      </c>
      <c r="C20" s="152" t="s">
        <v>65</v>
      </c>
      <c r="D20" s="151" t="s">
        <v>36</v>
      </c>
      <c r="E20" s="153">
        <v>4</v>
      </c>
      <c r="F20" s="148" t="s">
        <v>16</v>
      </c>
      <c r="G20" s="115" t="s">
        <v>84</v>
      </c>
      <c r="H20" s="291"/>
      <c r="I20" s="117"/>
    </row>
    <row r="21" spans="1:9" ht="20.25" x14ac:dyDescent="0.3">
      <c r="A21" s="146"/>
      <c r="B21" s="151" t="s">
        <v>64</v>
      </c>
      <c r="C21" s="152" t="s">
        <v>65</v>
      </c>
      <c r="D21" s="151" t="s">
        <v>36</v>
      </c>
      <c r="E21" s="153">
        <v>10</v>
      </c>
      <c r="F21" s="148" t="s">
        <v>16</v>
      </c>
      <c r="G21" s="115" t="s">
        <v>83</v>
      </c>
      <c r="H21" s="116"/>
      <c r="I21" s="117"/>
    </row>
    <row r="22" spans="1:9" ht="20.25" x14ac:dyDescent="0.3">
      <c r="A22" s="146"/>
      <c r="B22" s="149" t="s">
        <v>43</v>
      </c>
      <c r="C22" s="136" t="s">
        <v>44</v>
      </c>
      <c r="D22" s="137" t="s">
        <v>36</v>
      </c>
      <c r="E22" s="138">
        <v>10</v>
      </c>
      <c r="F22" s="121" t="s">
        <v>16</v>
      </c>
      <c r="G22" s="115" t="s">
        <v>83</v>
      </c>
      <c r="H22" s="188"/>
      <c r="I22" s="117"/>
    </row>
    <row r="23" spans="1:9" ht="20.25" x14ac:dyDescent="0.3">
      <c r="A23" s="146"/>
      <c r="B23" s="127" t="s">
        <v>150</v>
      </c>
      <c r="C23" s="135" t="s">
        <v>81</v>
      </c>
      <c r="D23" s="151" t="s">
        <v>82</v>
      </c>
      <c r="E23" s="154">
        <v>6</v>
      </c>
      <c r="F23" s="155" t="s">
        <v>16</v>
      </c>
      <c r="G23" s="115" t="s">
        <v>154</v>
      </c>
      <c r="H23" s="116"/>
      <c r="I23" s="117"/>
    </row>
    <row r="24" spans="1:9" ht="20.25" x14ac:dyDescent="0.3">
      <c r="A24" s="124"/>
      <c r="B24" s="149" t="s">
        <v>43</v>
      </c>
      <c r="C24" s="136" t="s">
        <v>44</v>
      </c>
      <c r="D24" s="137" t="s">
        <v>36</v>
      </c>
      <c r="E24" s="138">
        <v>10</v>
      </c>
      <c r="F24" s="121" t="s">
        <v>16</v>
      </c>
      <c r="G24" s="150" t="s">
        <v>85</v>
      </c>
      <c r="H24" s="116"/>
      <c r="I24" s="117"/>
    </row>
    <row r="25" spans="1:9" ht="20.25" x14ac:dyDescent="0.3">
      <c r="A25" s="187"/>
      <c r="B25" s="187"/>
      <c r="C25" s="159" t="s">
        <v>18</v>
      </c>
      <c r="D25" s="160"/>
      <c r="E25" s="161"/>
      <c r="F25" s="116"/>
      <c r="G25" s="115"/>
      <c r="H25" s="125"/>
      <c r="I25" s="117"/>
    </row>
    <row r="26" spans="1:9" ht="20.25" x14ac:dyDescent="0.3">
      <c r="A26" s="162">
        <v>121603</v>
      </c>
      <c r="B26" s="108" t="s">
        <v>148</v>
      </c>
      <c r="C26" s="109" t="s">
        <v>149</v>
      </c>
      <c r="D26" s="163" t="s">
        <v>67</v>
      </c>
      <c r="E26" s="153">
        <v>1</v>
      </c>
      <c r="F26" s="148" t="s">
        <v>41</v>
      </c>
      <c r="G26" s="164"/>
      <c r="H26" s="116"/>
      <c r="I26" s="117"/>
    </row>
    <row r="27" spans="1:9" ht="20.25" x14ac:dyDescent="0.3">
      <c r="A27" s="156"/>
      <c r="B27" s="108" t="s">
        <v>157</v>
      </c>
      <c r="C27" s="108" t="s">
        <v>155</v>
      </c>
      <c r="D27" s="124" t="s">
        <v>70</v>
      </c>
      <c r="E27" s="124">
        <v>1</v>
      </c>
      <c r="F27" s="165" t="s">
        <v>41</v>
      </c>
      <c r="G27" s="164"/>
      <c r="H27" s="116"/>
      <c r="I27" s="117"/>
    </row>
    <row r="28" spans="1:9" ht="20.25" x14ac:dyDescent="0.3">
      <c r="A28" s="166">
        <v>703020</v>
      </c>
      <c r="B28" s="166" t="s">
        <v>49</v>
      </c>
      <c r="C28" s="167" t="s">
        <v>71</v>
      </c>
      <c r="D28" s="124" t="s">
        <v>67</v>
      </c>
      <c r="E28" s="168">
        <v>60</v>
      </c>
      <c r="F28" s="165" t="s">
        <v>50</v>
      </c>
      <c r="G28" s="115"/>
      <c r="H28" s="116"/>
      <c r="I28" s="117"/>
    </row>
    <row r="29" spans="1:9" ht="20.25" x14ac:dyDescent="0.3">
      <c r="A29" s="166">
        <v>701096</v>
      </c>
      <c r="B29" s="166" t="s">
        <v>51</v>
      </c>
      <c r="C29" s="167" t="s">
        <v>52</v>
      </c>
      <c r="D29" s="124" t="s">
        <v>40</v>
      </c>
      <c r="E29" s="124">
        <v>1</v>
      </c>
      <c r="F29" s="165" t="s">
        <v>41</v>
      </c>
      <c r="G29" s="115"/>
      <c r="H29" s="116"/>
      <c r="I29" s="117"/>
    </row>
    <row r="30" spans="1:9" ht="20.25" x14ac:dyDescent="0.3">
      <c r="A30" s="166">
        <v>702123</v>
      </c>
      <c r="B30" s="166" t="s">
        <v>39</v>
      </c>
      <c r="C30" s="167" t="s">
        <v>72</v>
      </c>
      <c r="D30" s="124" t="s">
        <v>53</v>
      </c>
      <c r="E30" s="124">
        <v>1</v>
      </c>
      <c r="F30" s="165" t="s">
        <v>41</v>
      </c>
      <c r="G30" s="169"/>
      <c r="H30" s="116"/>
      <c r="I30" s="117"/>
    </row>
    <row r="31" spans="1:9" ht="20.25" x14ac:dyDescent="0.3">
      <c r="A31" s="170">
        <v>702069</v>
      </c>
      <c r="B31" s="292" t="s">
        <v>54</v>
      </c>
      <c r="C31" s="135" t="s">
        <v>73</v>
      </c>
      <c r="D31" s="127" t="s">
        <v>40</v>
      </c>
      <c r="E31" s="127">
        <v>2</v>
      </c>
      <c r="F31" s="122" t="s">
        <v>41</v>
      </c>
      <c r="G31" s="139"/>
      <c r="H31" s="116"/>
      <c r="I31" s="117"/>
    </row>
    <row r="32" spans="1:9" ht="21" thickBot="1" x14ac:dyDescent="0.35">
      <c r="A32" s="171"/>
      <c r="B32" s="172"/>
      <c r="C32" s="173"/>
      <c r="D32" s="173"/>
      <c r="E32" s="174"/>
      <c r="F32" s="175"/>
      <c r="G32" s="173"/>
      <c r="H32" s="173"/>
      <c r="I32" s="176"/>
    </row>
    <row r="33" spans="1:9" ht="21" thickBot="1" x14ac:dyDescent="0.35">
      <c r="A33" s="177"/>
      <c r="B33" s="178"/>
      <c r="C33" s="179"/>
      <c r="D33" s="180" t="s">
        <v>13</v>
      </c>
      <c r="E33" s="181" t="s">
        <v>19</v>
      </c>
      <c r="F33" s="182"/>
      <c r="G33" s="179"/>
      <c r="H33" s="179"/>
      <c r="I33" s="183"/>
    </row>
    <row r="34" spans="1:9" ht="20.25" x14ac:dyDescent="0.3">
      <c r="A34" s="222" t="s">
        <v>20</v>
      </c>
      <c r="B34" s="223"/>
      <c r="C34" s="224"/>
      <c r="D34" s="157">
        <v>180</v>
      </c>
      <c r="E34" s="184" t="s">
        <v>16</v>
      </c>
      <c r="F34" s="225" t="s">
        <v>21</v>
      </c>
      <c r="G34" s="225"/>
      <c r="H34" s="226"/>
      <c r="I34" s="227"/>
    </row>
    <row r="35" spans="1:9" ht="20.25" x14ac:dyDescent="0.3">
      <c r="A35" s="228" t="s">
        <v>22</v>
      </c>
      <c r="B35" s="229"/>
      <c r="C35" s="230"/>
      <c r="D35" s="158">
        <v>4</v>
      </c>
      <c r="E35" s="124" t="s">
        <v>23</v>
      </c>
      <c r="F35" s="231" t="s">
        <v>24</v>
      </c>
      <c r="G35" s="231"/>
      <c r="H35" s="232"/>
      <c r="I35" s="233"/>
    </row>
    <row r="36" spans="1:9" ht="20.25" x14ac:dyDescent="0.3">
      <c r="A36" s="228" t="s">
        <v>25</v>
      </c>
      <c r="B36" s="229"/>
      <c r="C36" s="230"/>
      <c r="D36" s="124">
        <v>1</v>
      </c>
      <c r="E36" s="124" t="s">
        <v>41</v>
      </c>
      <c r="F36" s="231" t="s">
        <v>26</v>
      </c>
      <c r="G36" s="231"/>
      <c r="H36" s="232"/>
      <c r="I36" s="233"/>
    </row>
    <row r="37" spans="1:9" ht="20.25" x14ac:dyDescent="0.3">
      <c r="A37" s="228" t="s">
        <v>27</v>
      </c>
      <c r="B37" s="229"/>
      <c r="C37" s="230"/>
      <c r="D37" s="158">
        <v>180</v>
      </c>
      <c r="E37" s="124" t="s">
        <v>16</v>
      </c>
      <c r="F37" s="238" t="s">
        <v>28</v>
      </c>
      <c r="G37" s="239"/>
      <c r="H37" s="240"/>
      <c r="I37" s="241"/>
    </row>
    <row r="38" spans="1:9" ht="21" thickBot="1" x14ac:dyDescent="0.35">
      <c r="A38" s="242" t="s">
        <v>29</v>
      </c>
      <c r="B38" s="243"/>
      <c r="C38" s="244"/>
      <c r="D38" s="185">
        <f>SUM(E10:E23)-D34</f>
        <v>81</v>
      </c>
      <c r="E38" s="186" t="s">
        <v>16</v>
      </c>
      <c r="F38" s="245"/>
      <c r="G38" s="245"/>
      <c r="H38" s="232"/>
      <c r="I38" s="233"/>
    </row>
    <row r="39" spans="1:9" ht="21" thickBot="1" x14ac:dyDescent="0.35">
      <c r="A39" s="246" t="s">
        <v>30</v>
      </c>
      <c r="B39" s="247"/>
      <c r="C39" s="247"/>
      <c r="D39" s="247"/>
      <c r="E39" s="247"/>
      <c r="F39" s="247"/>
      <c r="G39" s="247"/>
      <c r="H39" s="247"/>
      <c r="I39" s="248"/>
    </row>
    <row r="40" spans="1:9" ht="20.25" x14ac:dyDescent="0.3">
      <c r="A40" s="249" t="s">
        <v>86</v>
      </c>
      <c r="B40" s="250"/>
      <c r="C40" s="251"/>
      <c r="D40" s="251"/>
      <c r="E40" s="251"/>
      <c r="F40" s="251"/>
      <c r="G40" s="251"/>
      <c r="H40" s="251"/>
      <c r="I40" s="252"/>
    </row>
    <row r="41" spans="1:9" ht="46.15" customHeight="1" x14ac:dyDescent="0.3">
      <c r="A41" s="234" t="s">
        <v>152</v>
      </c>
      <c r="B41" s="235"/>
      <c r="C41" s="236"/>
      <c r="D41" s="236"/>
      <c r="E41" s="236"/>
      <c r="F41" s="236"/>
      <c r="G41" s="236"/>
      <c r="H41" s="236"/>
      <c r="I41" s="237"/>
    </row>
    <row r="42" spans="1:9" ht="46.5" customHeight="1" x14ac:dyDescent="0.3">
      <c r="A42" s="234" t="s">
        <v>87</v>
      </c>
      <c r="B42" s="235"/>
      <c r="C42" s="236"/>
      <c r="D42" s="236"/>
      <c r="E42" s="236"/>
      <c r="F42" s="236"/>
      <c r="G42" s="236"/>
      <c r="H42" s="236"/>
      <c r="I42" s="237"/>
    </row>
    <row r="43" spans="1:9" ht="24.6" customHeight="1" x14ac:dyDescent="0.3">
      <c r="A43" s="234" t="s">
        <v>153</v>
      </c>
      <c r="B43" s="235"/>
      <c r="C43" s="236"/>
      <c r="D43" s="236"/>
      <c r="E43" s="236"/>
      <c r="F43" s="236"/>
      <c r="G43" s="236"/>
      <c r="H43" s="236"/>
      <c r="I43" s="237"/>
    </row>
    <row r="44" spans="1:9" ht="21.6" customHeight="1" thickBot="1" x14ac:dyDescent="0.35">
      <c r="A44" s="256" t="s">
        <v>74</v>
      </c>
      <c r="B44" s="257"/>
      <c r="C44" s="257"/>
      <c r="D44" s="257"/>
      <c r="E44" s="257"/>
      <c r="F44" s="257"/>
      <c r="G44" s="257"/>
      <c r="H44" s="257"/>
      <c r="I44" s="258"/>
    </row>
    <row r="45" spans="1:9" ht="20.25" x14ac:dyDescent="0.3">
      <c r="A45" s="253" t="s">
        <v>35</v>
      </c>
      <c r="B45" s="254"/>
      <c r="C45" s="254"/>
      <c r="D45" s="254"/>
      <c r="E45" s="254"/>
      <c r="F45" s="254"/>
      <c r="G45" s="254"/>
      <c r="H45" s="254"/>
      <c r="I45" s="254"/>
    </row>
    <row r="46" spans="1:9" ht="20.25" x14ac:dyDescent="0.3">
      <c r="A46" s="255" t="s">
        <v>156</v>
      </c>
      <c r="B46" s="255"/>
      <c r="C46" s="255"/>
      <c r="D46" s="255"/>
      <c r="E46" s="255"/>
      <c r="F46" s="255"/>
      <c r="G46" s="255"/>
      <c r="H46" s="255"/>
      <c r="I46" s="255"/>
    </row>
    <row r="47" spans="1:9" ht="20.25" x14ac:dyDescent="0.3">
      <c r="A47" s="255"/>
      <c r="B47" s="255"/>
      <c r="C47" s="255"/>
      <c r="D47" s="255"/>
      <c r="E47" s="255"/>
      <c r="F47" s="255"/>
      <c r="G47" s="255"/>
      <c r="H47" s="255"/>
      <c r="I47" s="255"/>
    </row>
  </sheetData>
  <mergeCells count="41">
    <mergeCell ref="A45:I45"/>
    <mergeCell ref="A46:I46"/>
    <mergeCell ref="A47:I47"/>
    <mergeCell ref="A42:I42"/>
    <mergeCell ref="A43:I43"/>
    <mergeCell ref="A44:I44"/>
    <mergeCell ref="A41:I41"/>
    <mergeCell ref="A36:C36"/>
    <mergeCell ref="F36:G36"/>
    <mergeCell ref="H36:I36"/>
    <mergeCell ref="A37:C37"/>
    <mergeCell ref="F37:G37"/>
    <mergeCell ref="H37:I37"/>
    <mergeCell ref="A38:C38"/>
    <mergeCell ref="F38:G38"/>
    <mergeCell ref="H38:I38"/>
    <mergeCell ref="A39:I39"/>
    <mergeCell ref="A40:I40"/>
    <mergeCell ref="A34:C34"/>
    <mergeCell ref="F34:G34"/>
    <mergeCell ref="H34:I34"/>
    <mergeCell ref="A35:C35"/>
    <mergeCell ref="F35:G35"/>
    <mergeCell ref="H35:I3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honeticPr fontId="11" type="noConversion"/>
  <pageMargins left="0.25" right="0.25" top="0.75" bottom="0.75" header="0.3" footer="0.3"/>
  <pageSetup scale="4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40C42-D1D9-4BBA-9CF1-E47137BDBBD4}">
  <dimension ref="A1:Q97"/>
  <sheetViews>
    <sheetView topLeftCell="A48" workbookViewId="0">
      <selection activeCell="K55" sqref="K55"/>
    </sheetView>
  </sheetViews>
  <sheetFormatPr baseColWidth="10" defaultColWidth="8.42578125" defaultRowHeight="12.75" x14ac:dyDescent="0.2"/>
  <cols>
    <col min="1" max="1" width="10" style="16" bestFit="1" customWidth="1"/>
    <col min="2" max="2" width="48.7109375" style="16" customWidth="1"/>
    <col min="3" max="3" width="10.42578125" style="16" bestFit="1" customWidth="1"/>
    <col min="4" max="4" width="10.42578125" style="16" customWidth="1"/>
    <col min="5" max="5" width="11" style="16" customWidth="1"/>
    <col min="6" max="6" width="9.5703125" style="16" bestFit="1" customWidth="1"/>
    <col min="7" max="7" width="10.7109375" style="98" customWidth="1"/>
    <col min="8" max="8" width="10.42578125" style="89" bestFit="1" customWidth="1"/>
    <col min="9" max="9" width="4.5703125" style="89" customWidth="1"/>
    <col min="10" max="10" width="1.7109375" style="15" customWidth="1"/>
    <col min="11" max="11" width="7" style="16" bestFit="1" customWidth="1"/>
    <col min="12" max="12" width="6.28515625" style="16" customWidth="1"/>
    <col min="13" max="13" width="20.42578125" style="16" customWidth="1"/>
    <col min="14" max="14" width="6.42578125" style="16" bestFit="1" customWidth="1"/>
    <col min="15" max="16" width="8.42578125" style="16"/>
    <col min="17" max="17" width="3.28515625" style="16" customWidth="1"/>
    <col min="18" max="16384" width="8.42578125" style="16"/>
  </cols>
  <sheetData>
    <row r="1" spans="1:10" ht="27.75" customHeight="1" x14ac:dyDescent="0.2">
      <c r="A1" s="11"/>
      <c r="B1" s="11"/>
      <c r="C1" s="11"/>
      <c r="D1" s="11"/>
      <c r="E1" s="12" t="s">
        <v>92</v>
      </c>
      <c r="F1" s="13" t="s">
        <v>93</v>
      </c>
      <c r="G1" s="13" t="s">
        <v>94</v>
      </c>
      <c r="H1" s="13" t="s">
        <v>95</v>
      </c>
      <c r="I1" s="14"/>
    </row>
    <row r="2" spans="1:10" ht="30.75" customHeight="1" x14ac:dyDescent="0.2">
      <c r="A2" s="11"/>
      <c r="B2" s="11"/>
      <c r="C2" s="11"/>
      <c r="D2" s="11"/>
      <c r="E2" s="17">
        <f>IFERROR(O68,"")</f>
        <v>1461.0379220779218</v>
      </c>
      <c r="F2" s="17">
        <f>IFERROR(H59,"")</f>
        <v>585.51</v>
      </c>
      <c r="G2" s="17">
        <f>IFERROR(H60,"")</f>
        <v>196.65</v>
      </c>
      <c r="H2" s="17">
        <f>IFERROR(H62,"")</f>
        <v>326.70999999999998</v>
      </c>
      <c r="I2" s="18"/>
    </row>
    <row r="3" spans="1:10" ht="15" customHeight="1" x14ac:dyDescent="0.2">
      <c r="A3" s="11"/>
      <c r="B3" s="11"/>
      <c r="C3" s="11"/>
      <c r="D3" s="11"/>
      <c r="E3" s="11"/>
      <c r="F3" s="19"/>
      <c r="G3" s="19"/>
      <c r="H3" s="19"/>
      <c r="I3" s="19"/>
    </row>
    <row r="4" spans="1:10" ht="24.75" customHeight="1" thickBot="1" x14ac:dyDescent="0.25">
      <c r="A4" s="285"/>
      <c r="B4" s="285"/>
      <c r="C4" s="285"/>
      <c r="D4" s="285"/>
      <c r="E4" s="285"/>
      <c r="F4" s="285"/>
      <c r="G4" s="285"/>
      <c r="H4" s="285"/>
      <c r="I4" s="20"/>
    </row>
    <row r="5" spans="1:10" ht="19.5" customHeight="1" thickBot="1" x14ac:dyDescent="0.25">
      <c r="A5" s="286" t="s">
        <v>96</v>
      </c>
      <c r="B5" s="287"/>
      <c r="C5" s="287"/>
      <c r="D5" s="287"/>
      <c r="E5" s="287"/>
      <c r="F5" s="287"/>
      <c r="G5" s="287"/>
      <c r="H5" s="288"/>
      <c r="I5" s="21"/>
    </row>
    <row r="6" spans="1:10" ht="19.5" thickBot="1" x14ac:dyDescent="0.25">
      <c r="A6" s="21"/>
      <c r="B6" s="21"/>
      <c r="C6" s="21"/>
      <c r="D6" s="21"/>
      <c r="E6" s="21"/>
      <c r="F6" s="289" t="s">
        <v>97</v>
      </c>
      <c r="G6" s="289"/>
      <c r="H6" s="22">
        <f ca="1">TODAY()</f>
        <v>46139</v>
      </c>
      <c r="I6" s="22"/>
    </row>
    <row r="7" spans="1:10" ht="26.25" thickBot="1" x14ac:dyDescent="0.25">
      <c r="A7" s="23" t="s">
        <v>98</v>
      </c>
      <c r="B7" s="24" t="s">
        <v>99</v>
      </c>
      <c r="C7" s="24" t="s">
        <v>98</v>
      </c>
      <c r="D7" s="25" t="s">
        <v>100</v>
      </c>
      <c r="E7" s="25" t="s">
        <v>101</v>
      </c>
      <c r="F7" s="25" t="s">
        <v>102</v>
      </c>
      <c r="G7" s="25" t="s">
        <v>103</v>
      </c>
      <c r="H7" s="26" t="s">
        <v>104</v>
      </c>
      <c r="I7" s="27"/>
    </row>
    <row r="8" spans="1:10" ht="13.5" x14ac:dyDescent="0.25">
      <c r="A8" s="28">
        <v>10</v>
      </c>
      <c r="B8" s="16" t="s">
        <v>58</v>
      </c>
      <c r="C8" s="29">
        <f>+A8</f>
        <v>10</v>
      </c>
      <c r="D8" s="30" t="s">
        <v>144</v>
      </c>
      <c r="E8" s="30">
        <v>2.56</v>
      </c>
      <c r="F8" s="30">
        <f>IFERROR(C8*E8,"")</f>
        <v>25.6</v>
      </c>
      <c r="G8" s="31">
        <f t="shared" ref="G8:G14" si="0">IFERROR(F8/$F$72,"")</f>
        <v>2.3233226563346577E-2</v>
      </c>
      <c r="H8" s="32" t="s">
        <v>57</v>
      </c>
      <c r="I8" s="32"/>
      <c r="J8" s="33"/>
    </row>
    <row r="9" spans="1:10" ht="13.5" x14ac:dyDescent="0.25">
      <c r="A9" s="28">
        <v>16</v>
      </c>
      <c r="B9" s="16" t="s">
        <v>81</v>
      </c>
      <c r="C9" s="29">
        <f t="shared" ref="C9:C14" si="1">+A9</f>
        <v>16</v>
      </c>
      <c r="D9" s="30" t="s">
        <v>144</v>
      </c>
      <c r="E9" s="30">
        <v>7</v>
      </c>
      <c r="F9" s="30">
        <f t="shared" ref="F9:F14" si="2">IFERROR(C9*E9,"")</f>
        <v>112</v>
      </c>
      <c r="G9" s="31">
        <f t="shared" si="0"/>
        <v>0.10164536621464126</v>
      </c>
      <c r="H9" s="32"/>
      <c r="I9" s="32"/>
      <c r="J9" s="33"/>
    </row>
    <row r="10" spans="1:10" ht="13.5" hidden="1" x14ac:dyDescent="0.25">
      <c r="A10" s="28"/>
      <c r="B10" s="16" t="str">
        <f>IFERROR(VLOOKUP(H10,'[1]Consolidado MP Planta'!$A$2:$M$823,3,0),"")</f>
        <v/>
      </c>
      <c r="C10" s="29">
        <f t="shared" si="1"/>
        <v>0</v>
      </c>
      <c r="D10" s="30" t="str">
        <f>IFERROR(VLOOKUP(H10,'[1]Consolidado MP Planta'!$A$2:$M$823,13,0),"")</f>
        <v/>
      </c>
      <c r="E10" s="30" t="str">
        <f>IFERROR(VLOOKUP(H10,'[1]Consolidado MP Planta'!$A$2:$M$823,12,0),"")</f>
        <v/>
      </c>
      <c r="F10" s="30" t="str">
        <f t="shared" si="2"/>
        <v/>
      </c>
      <c r="G10" s="31" t="str">
        <f t="shared" si="0"/>
        <v/>
      </c>
      <c r="H10" s="32"/>
      <c r="I10" s="32"/>
      <c r="J10" s="33"/>
    </row>
    <row r="11" spans="1:10" ht="13.5" hidden="1" x14ac:dyDescent="0.25">
      <c r="A11" s="28"/>
      <c r="B11" s="16" t="str">
        <f>IFERROR(VLOOKUP(H11,'[1]Consolidado MP Planta'!$A$2:$M$823,3,0),"")</f>
        <v/>
      </c>
      <c r="C11" s="29">
        <f t="shared" si="1"/>
        <v>0</v>
      </c>
      <c r="D11" s="30" t="str">
        <f>IFERROR(VLOOKUP(H11,'[1]Consolidado MP Planta'!$A$2:$M$823,13,0),"")</f>
        <v/>
      </c>
      <c r="E11" s="30" t="str">
        <f>IFERROR(VLOOKUP(H11,'[1]Consolidado MP Planta'!$A$2:$M$823,12,0),"")</f>
        <v/>
      </c>
      <c r="F11" s="30" t="str">
        <f t="shared" si="2"/>
        <v/>
      </c>
      <c r="G11" s="31" t="str">
        <f t="shared" si="0"/>
        <v/>
      </c>
      <c r="H11" s="32"/>
      <c r="I11" s="32"/>
      <c r="J11" s="33"/>
    </row>
    <row r="12" spans="1:10" ht="13.5" hidden="1" x14ac:dyDescent="0.25">
      <c r="A12" s="28"/>
      <c r="B12" s="16" t="str">
        <f>IFERROR(VLOOKUP(H12,'[1]Consolidado MP Planta'!$A$2:$M$823,3,0),"")</f>
        <v/>
      </c>
      <c r="C12" s="29">
        <f t="shared" si="1"/>
        <v>0</v>
      </c>
      <c r="D12" s="30" t="str">
        <f>IFERROR(VLOOKUP(H12,'[1]Consolidado MP Planta'!$A$2:$M$823,13,0),"")</f>
        <v/>
      </c>
      <c r="E12" s="30" t="str">
        <f>IFERROR(VLOOKUP(H12,'[1]Consolidado MP Planta'!$A$2:$M$823,12,0),"")</f>
        <v/>
      </c>
      <c r="F12" s="30" t="str">
        <f t="shared" si="2"/>
        <v/>
      </c>
      <c r="G12" s="31" t="str">
        <f t="shared" si="0"/>
        <v/>
      </c>
      <c r="H12" s="32"/>
      <c r="I12" s="32"/>
      <c r="J12" s="33"/>
    </row>
    <row r="13" spans="1:10" ht="13.5" hidden="1" x14ac:dyDescent="0.25">
      <c r="A13" s="28"/>
      <c r="B13" s="16" t="str">
        <f>IFERROR(VLOOKUP(H13,'[1]Consolidado MP Planta'!$A$2:$M$823,3,0),"")</f>
        <v/>
      </c>
      <c r="C13" s="29">
        <f t="shared" si="1"/>
        <v>0</v>
      </c>
      <c r="D13" s="30" t="str">
        <f>IFERROR(VLOOKUP(H13,'[1]Consolidado MP Planta'!$A$2:$M$823,13,0),"")</f>
        <v/>
      </c>
      <c r="E13" s="30" t="str">
        <f>IFERROR(VLOOKUP(H13,'[1]Consolidado MP Planta'!$A$2:$M$823,12,0),"")</f>
        <v/>
      </c>
      <c r="F13" s="30" t="str">
        <f t="shared" si="2"/>
        <v/>
      </c>
      <c r="G13" s="31" t="str">
        <f t="shared" si="0"/>
        <v/>
      </c>
      <c r="H13" s="32"/>
      <c r="I13" s="32"/>
      <c r="J13" s="33"/>
    </row>
    <row r="14" spans="1:10" ht="13.5" hidden="1" x14ac:dyDescent="0.25">
      <c r="A14" s="28"/>
      <c r="B14" s="16" t="str">
        <f>IFERROR(VLOOKUP(H14,'[1]Consolidado MP Planta'!$A$2:$M$823,3,0),"")</f>
        <v/>
      </c>
      <c r="C14" s="29">
        <f t="shared" si="1"/>
        <v>0</v>
      </c>
      <c r="D14" s="30" t="str">
        <f>IFERROR(VLOOKUP(H14,'[1]Consolidado MP Planta'!$A$2:$M$823,13,0),"")</f>
        <v/>
      </c>
      <c r="E14" s="30" t="str">
        <f>IFERROR(VLOOKUP(H14,'[1]Consolidado MP Planta'!$A$2:$M$823,12,0),"")</f>
        <v/>
      </c>
      <c r="F14" s="30" t="str">
        <f t="shared" si="2"/>
        <v/>
      </c>
      <c r="G14" s="31" t="str">
        <f t="shared" si="0"/>
        <v/>
      </c>
      <c r="H14" s="32"/>
      <c r="I14" s="32"/>
      <c r="J14" s="33"/>
    </row>
    <row r="15" spans="1:10" ht="14.25" thickBot="1" x14ac:dyDescent="0.3">
      <c r="A15" s="28"/>
      <c r="B15" s="16" t="str">
        <f>IFERROR(VLOOKUP(H15,[2]Hoja2!$A$2:$G$589,2,0),"")</f>
        <v/>
      </c>
      <c r="C15" s="29"/>
      <c r="D15" s="30"/>
      <c r="E15" s="30"/>
      <c r="F15" s="30"/>
      <c r="G15" s="31"/>
      <c r="H15" s="32"/>
      <c r="I15" s="32"/>
      <c r="J15" s="33"/>
    </row>
    <row r="16" spans="1:10" ht="26.25" thickBot="1" x14ac:dyDescent="0.25">
      <c r="A16" s="23" t="s">
        <v>98</v>
      </c>
      <c r="B16" s="24" t="s">
        <v>105</v>
      </c>
      <c r="C16" s="24" t="s">
        <v>98</v>
      </c>
      <c r="D16" s="25" t="s">
        <v>100</v>
      </c>
      <c r="E16" s="25" t="s">
        <v>101</v>
      </c>
      <c r="F16" s="25" t="s">
        <v>102</v>
      </c>
      <c r="G16" s="25" t="s">
        <v>103</v>
      </c>
      <c r="H16" s="26" t="s">
        <v>104</v>
      </c>
      <c r="I16" s="27"/>
      <c r="J16" s="33"/>
    </row>
    <row r="17" spans="1:12" ht="13.5" x14ac:dyDescent="0.25">
      <c r="A17" s="28">
        <v>1</v>
      </c>
      <c r="B17" s="16" t="s">
        <v>61</v>
      </c>
      <c r="C17" s="29">
        <f>+A17</f>
        <v>1</v>
      </c>
      <c r="D17" s="29" t="s">
        <v>145</v>
      </c>
      <c r="E17" s="30">
        <v>124.89</v>
      </c>
      <c r="F17" s="30">
        <f>IFERROR(E17*C17,"")</f>
        <v>124.89</v>
      </c>
      <c r="G17" s="31">
        <f t="shared" ref="G17:G24" si="3">IFERROR(F17/$F$72,"")</f>
        <v>0.11334365880845132</v>
      </c>
      <c r="H17" s="32" t="s">
        <v>60</v>
      </c>
      <c r="I17" s="32"/>
      <c r="J17" s="33"/>
    </row>
    <row r="18" spans="1:12" ht="13.5" x14ac:dyDescent="0.25">
      <c r="A18" s="28">
        <v>60</v>
      </c>
      <c r="B18" s="16" t="s">
        <v>63</v>
      </c>
      <c r="C18" s="29">
        <f t="shared" ref="C18:C24" si="4">+A18</f>
        <v>60</v>
      </c>
      <c r="D18" s="29" t="s">
        <v>144</v>
      </c>
      <c r="E18" s="30">
        <v>0.19</v>
      </c>
      <c r="F18" s="30">
        <f t="shared" ref="F18:F24" si="5">IFERROR(E18*C18,"")</f>
        <v>11.4</v>
      </c>
      <c r="G18" s="31">
        <f t="shared" si="3"/>
        <v>1.0346046203990272E-2</v>
      </c>
      <c r="H18" s="32" t="s">
        <v>62</v>
      </c>
      <c r="I18" s="32"/>
      <c r="J18" s="33"/>
    </row>
    <row r="19" spans="1:12" ht="13.5" x14ac:dyDescent="0.25">
      <c r="A19" s="28">
        <v>15</v>
      </c>
      <c r="B19" s="16" t="s">
        <v>38</v>
      </c>
      <c r="C19" s="29">
        <f>+A19</f>
        <v>15</v>
      </c>
      <c r="D19" s="29" t="s">
        <v>144</v>
      </c>
      <c r="E19" s="30">
        <v>1.94</v>
      </c>
      <c r="F19" s="30">
        <f>IFERROR(E19*C19,"")</f>
        <v>29.099999999999998</v>
      </c>
      <c r="G19" s="31">
        <f t="shared" si="3"/>
        <v>2.6409644257554113E-2</v>
      </c>
      <c r="H19" s="32" t="s">
        <v>37</v>
      </c>
      <c r="I19" s="32"/>
      <c r="J19" s="33"/>
    </row>
    <row r="20" spans="1:12" ht="13.5" x14ac:dyDescent="0.25">
      <c r="A20" s="28">
        <v>36</v>
      </c>
      <c r="B20" s="16" t="s">
        <v>46</v>
      </c>
      <c r="C20" s="29">
        <f>+A20</f>
        <v>36</v>
      </c>
      <c r="D20" s="29" t="s">
        <v>144</v>
      </c>
      <c r="E20" s="30">
        <v>2.2999999999999998</v>
      </c>
      <c r="F20" s="30">
        <f>IFERROR(E20*C20,"")</f>
        <v>82.8</v>
      </c>
      <c r="G20" s="31">
        <f t="shared" si="3"/>
        <v>7.5144967165824084E-2</v>
      </c>
      <c r="H20" s="32" t="s">
        <v>45</v>
      </c>
      <c r="I20" s="32"/>
      <c r="J20" s="33"/>
    </row>
    <row r="21" spans="1:12" ht="13.5" x14ac:dyDescent="0.25">
      <c r="A21" s="28">
        <v>40</v>
      </c>
      <c r="B21" s="16" t="s">
        <v>42</v>
      </c>
      <c r="C21" s="29">
        <f>+A21</f>
        <v>40</v>
      </c>
      <c r="D21" s="29" t="s">
        <v>144</v>
      </c>
      <c r="E21" s="30">
        <v>2.59</v>
      </c>
      <c r="F21" s="30">
        <f>IFERROR(E21*C21,"")</f>
        <v>103.6</v>
      </c>
      <c r="G21" s="31">
        <f t="shared" si="3"/>
        <v>9.4021963748543172E-2</v>
      </c>
      <c r="H21" s="32" t="s">
        <v>91</v>
      </c>
      <c r="I21" s="32"/>
      <c r="J21" s="33"/>
    </row>
    <row r="22" spans="1:12" ht="13.5" x14ac:dyDescent="0.25">
      <c r="A22" s="28">
        <v>20</v>
      </c>
      <c r="B22" s="16" t="s">
        <v>44</v>
      </c>
      <c r="C22" s="29">
        <f t="shared" si="4"/>
        <v>20</v>
      </c>
      <c r="D22" s="29" t="s">
        <v>144</v>
      </c>
      <c r="E22" s="30">
        <v>3.14</v>
      </c>
      <c r="F22" s="30">
        <f t="shared" si="5"/>
        <v>62.800000000000004</v>
      </c>
      <c r="G22" s="31">
        <f t="shared" si="3"/>
        <v>5.6994008913209569E-2</v>
      </c>
      <c r="H22" s="32" t="s">
        <v>43</v>
      </c>
      <c r="I22" s="32"/>
      <c r="J22" s="33"/>
    </row>
    <row r="23" spans="1:12" ht="13.5" x14ac:dyDescent="0.25">
      <c r="A23" s="28">
        <v>14</v>
      </c>
      <c r="B23" s="16" t="s">
        <v>65</v>
      </c>
      <c r="C23" s="29">
        <f t="shared" si="4"/>
        <v>14</v>
      </c>
      <c r="D23" s="29" t="s">
        <v>144</v>
      </c>
      <c r="E23" s="30">
        <v>2.38</v>
      </c>
      <c r="F23" s="30">
        <f t="shared" si="5"/>
        <v>33.32</v>
      </c>
      <c r="G23" s="31">
        <f t="shared" si="3"/>
        <v>3.0239496448855777E-2</v>
      </c>
      <c r="H23" s="32" t="s">
        <v>64</v>
      </c>
      <c r="I23" s="32"/>
      <c r="J23" s="33"/>
    </row>
    <row r="24" spans="1:12" ht="13.5" x14ac:dyDescent="0.25">
      <c r="A24" s="28"/>
      <c r="B24" s="16" t="str">
        <f>IFERROR(VLOOKUP(H24,[1]SEMIELABORADOS!$A$2:$M$6000,2,0),"")</f>
        <v/>
      </c>
      <c r="C24" s="29">
        <f t="shared" si="4"/>
        <v>0</v>
      </c>
      <c r="D24" s="29" t="str">
        <f>IFERROR(VLOOKUP(H24,[1]SEMIELABORADOS!$A$2:$M$6000,6,0),"")</f>
        <v/>
      </c>
      <c r="E24" s="30" t="str">
        <f>IFERROR(VLOOKUP(H24,[1]SEMIELABORADOS!$A$2:$H$65536,8,0),"")</f>
        <v/>
      </c>
      <c r="F24" s="30" t="str">
        <f t="shared" si="5"/>
        <v/>
      </c>
      <c r="G24" s="31" t="str">
        <f t="shared" si="3"/>
        <v/>
      </c>
      <c r="H24" s="32"/>
      <c r="I24" s="32"/>
      <c r="J24" s="33"/>
    </row>
    <row r="25" spans="1:12" ht="14.25" thickBot="1" x14ac:dyDescent="0.3">
      <c r="A25" s="28"/>
      <c r="C25" s="29"/>
      <c r="D25" s="29"/>
      <c r="E25" s="30"/>
      <c r="F25" s="30"/>
      <c r="G25" s="31"/>
      <c r="H25" s="32"/>
      <c r="I25" s="32"/>
      <c r="J25" s="33"/>
    </row>
    <row r="26" spans="1:12" ht="26.25" thickBot="1" x14ac:dyDescent="0.25">
      <c r="A26" s="23" t="s">
        <v>98</v>
      </c>
      <c r="B26" s="24" t="s">
        <v>106</v>
      </c>
      <c r="C26" s="24" t="s">
        <v>98</v>
      </c>
      <c r="D26" s="25" t="s">
        <v>100</v>
      </c>
      <c r="E26" s="25" t="s">
        <v>101</v>
      </c>
      <c r="F26" s="25" t="s">
        <v>102</v>
      </c>
      <c r="G26" s="25" t="s">
        <v>103</v>
      </c>
      <c r="H26" s="26" t="s">
        <v>104</v>
      </c>
      <c r="I26" s="27"/>
    </row>
    <row r="27" spans="1:12" ht="13.5" x14ac:dyDescent="0.25">
      <c r="A27" s="28">
        <v>1</v>
      </c>
      <c r="B27" s="34" t="s">
        <v>66</v>
      </c>
      <c r="C27" s="29">
        <f t="shared" ref="C27" si="6">+A27</f>
        <v>1</v>
      </c>
      <c r="D27" s="30" t="s">
        <v>146</v>
      </c>
      <c r="E27" s="30">
        <v>132</v>
      </c>
      <c r="F27" s="30">
        <f t="shared" ref="F27" si="7">IFERROR(C27*E27,"")</f>
        <v>132</v>
      </c>
      <c r="G27" s="31">
        <f t="shared" ref="G27:G34" si="8">IFERROR(F27/$F$72,"")</f>
        <v>0.11979632446725579</v>
      </c>
      <c r="H27" s="35" t="s">
        <v>47</v>
      </c>
      <c r="I27" s="35"/>
      <c r="J27" s="33"/>
      <c r="K27" s="279"/>
      <c r="L27" s="279"/>
    </row>
    <row r="28" spans="1:12" ht="13.5" x14ac:dyDescent="0.25">
      <c r="A28" s="28">
        <v>1</v>
      </c>
      <c r="B28" s="34" t="s">
        <v>68</v>
      </c>
      <c r="C28" s="29">
        <f t="shared" ref="C28:C34" si="9">+A28</f>
        <v>1</v>
      </c>
      <c r="D28" s="30" t="s">
        <v>146</v>
      </c>
      <c r="E28" s="30">
        <v>0</v>
      </c>
      <c r="F28" s="30">
        <f t="shared" ref="F28:F34" si="10">IFERROR(C28*E28,"")</f>
        <v>0</v>
      </c>
      <c r="G28" s="31">
        <f t="shared" si="8"/>
        <v>0</v>
      </c>
      <c r="H28" s="35" t="s">
        <v>48</v>
      </c>
      <c r="I28" s="35"/>
      <c r="J28" s="33"/>
      <c r="K28" s="279"/>
      <c r="L28" s="279"/>
    </row>
    <row r="29" spans="1:12" ht="13.5" x14ac:dyDescent="0.25">
      <c r="A29" s="28">
        <v>1</v>
      </c>
      <c r="B29" s="34" t="s">
        <v>147</v>
      </c>
      <c r="C29" s="29">
        <f t="shared" si="9"/>
        <v>1</v>
      </c>
      <c r="D29" s="30" t="s">
        <v>146</v>
      </c>
      <c r="E29" s="30">
        <v>61</v>
      </c>
      <c r="F29" s="30">
        <f t="shared" si="10"/>
        <v>61</v>
      </c>
      <c r="G29" s="31">
        <f t="shared" si="8"/>
        <v>5.5360422670474259E-2</v>
      </c>
      <c r="H29" s="35" t="s">
        <v>69</v>
      </c>
      <c r="I29" s="35"/>
      <c r="J29" s="33"/>
      <c r="K29" s="14"/>
      <c r="L29" s="14"/>
    </row>
    <row r="30" spans="1:12" ht="13.5" x14ac:dyDescent="0.25">
      <c r="A30" s="28">
        <v>1</v>
      </c>
      <c r="B30" s="34" t="s">
        <v>52</v>
      </c>
      <c r="C30" s="29">
        <f t="shared" si="9"/>
        <v>1</v>
      </c>
      <c r="D30" s="30" t="s">
        <v>146</v>
      </c>
      <c r="E30" s="30">
        <v>0.39</v>
      </c>
      <c r="F30" s="30">
        <f t="shared" si="10"/>
        <v>0.39</v>
      </c>
      <c r="G30" s="31">
        <f t="shared" si="8"/>
        <v>3.5394368592598301E-4</v>
      </c>
      <c r="H30" s="35" t="s">
        <v>51</v>
      </c>
      <c r="I30" s="35"/>
      <c r="J30" s="33"/>
      <c r="K30" s="14"/>
      <c r="L30" s="14"/>
    </row>
    <row r="31" spans="1:12" ht="13.5" x14ac:dyDescent="0.25">
      <c r="A31" s="28">
        <v>1</v>
      </c>
      <c r="B31" s="34" t="s">
        <v>72</v>
      </c>
      <c r="C31" s="29">
        <f t="shared" si="9"/>
        <v>1</v>
      </c>
      <c r="D31" s="30" t="s">
        <v>146</v>
      </c>
      <c r="E31" s="30">
        <v>2.13</v>
      </c>
      <c r="F31" s="30">
        <f t="shared" si="10"/>
        <v>2.13</v>
      </c>
      <c r="G31" s="31">
        <f t="shared" si="8"/>
        <v>1.9330770539034454E-3</v>
      </c>
      <c r="H31" s="35" t="s">
        <v>39</v>
      </c>
      <c r="I31" s="35"/>
      <c r="J31" s="33"/>
      <c r="K31" s="279"/>
      <c r="L31" s="279"/>
    </row>
    <row r="32" spans="1:12" ht="13.5" x14ac:dyDescent="0.25">
      <c r="A32" s="28">
        <v>1</v>
      </c>
      <c r="B32" s="34" t="s">
        <v>73</v>
      </c>
      <c r="C32" s="29">
        <f t="shared" si="9"/>
        <v>1</v>
      </c>
      <c r="D32" s="30" t="s">
        <v>146</v>
      </c>
      <c r="E32" s="30">
        <v>0.57999999999999996</v>
      </c>
      <c r="F32" s="30">
        <f t="shared" si="10"/>
        <v>0.57999999999999996</v>
      </c>
      <c r="G32" s="31">
        <f t="shared" si="8"/>
        <v>5.2637778932582082E-4</v>
      </c>
      <c r="H32" s="35" t="s">
        <v>54</v>
      </c>
      <c r="I32" s="35"/>
      <c r="J32" s="33"/>
      <c r="K32" s="279"/>
      <c r="L32" s="279"/>
    </row>
    <row r="33" spans="1:12" ht="13.5" hidden="1" x14ac:dyDescent="0.25">
      <c r="A33" s="28"/>
      <c r="B33" s="34" t="str">
        <f>IFERROR(VLOOKUP(H33,'[1]Consolidado MP Planta'!$A$2:$M$823,3,0),"")</f>
        <v/>
      </c>
      <c r="C33" s="29">
        <f t="shared" si="9"/>
        <v>0</v>
      </c>
      <c r="D33" s="30" t="str">
        <f>IFERROR(VLOOKUP(H33,'[1]Consolidado MP Planta'!$A$2:$M$823,13,0),"")</f>
        <v/>
      </c>
      <c r="E33" s="30" t="str">
        <f>IFERROR(VLOOKUP(H33,'[1]Consolidado MP Planta'!$A$2:$M$823,12,0),"")</f>
        <v/>
      </c>
      <c r="F33" s="30" t="str">
        <f t="shared" si="10"/>
        <v/>
      </c>
      <c r="G33" s="31" t="str">
        <f t="shared" si="8"/>
        <v/>
      </c>
      <c r="H33" s="35"/>
      <c r="I33" s="35"/>
      <c r="J33" s="33"/>
      <c r="K33" s="36"/>
      <c r="L33" s="37"/>
    </row>
    <row r="34" spans="1:12" ht="13.5" hidden="1" x14ac:dyDescent="0.25">
      <c r="A34" s="28"/>
      <c r="B34" s="34" t="str">
        <f>IFERROR(VLOOKUP(H34,'[1]Consolidado MP Planta'!$A$2:$M$823,3,0),"")</f>
        <v/>
      </c>
      <c r="C34" s="29">
        <f t="shared" si="9"/>
        <v>0</v>
      </c>
      <c r="D34" s="30" t="str">
        <f>IFERROR(VLOOKUP(H34,'[1]Consolidado MP Planta'!$A$2:$M$823,13,0),"")</f>
        <v/>
      </c>
      <c r="E34" s="30" t="str">
        <f>IFERROR(VLOOKUP(H34,'[1]Consolidado MP Planta'!$A$2:$M$823,12,0),"")</f>
        <v/>
      </c>
      <c r="F34" s="30" t="str">
        <f t="shared" si="10"/>
        <v/>
      </c>
      <c r="G34" s="31" t="str">
        <f t="shared" si="8"/>
        <v/>
      </c>
      <c r="H34" s="35"/>
      <c r="I34" s="35"/>
      <c r="J34" s="33"/>
    </row>
    <row r="35" spans="1:12" ht="14.25" thickBot="1" x14ac:dyDescent="0.3">
      <c r="A35" s="28"/>
      <c r="B35" s="34"/>
      <c r="C35" s="29"/>
      <c r="D35" s="30"/>
      <c r="E35" s="30"/>
      <c r="F35" s="30"/>
      <c r="G35" s="31"/>
      <c r="H35" s="35"/>
      <c r="I35" s="35"/>
      <c r="J35" s="33"/>
    </row>
    <row r="36" spans="1:12" ht="26.25" thickBot="1" x14ac:dyDescent="0.25">
      <c r="A36" s="23" t="s">
        <v>98</v>
      </c>
      <c r="B36" s="24" t="s">
        <v>107</v>
      </c>
      <c r="C36" s="24" t="s">
        <v>98</v>
      </c>
      <c r="D36" s="25" t="s">
        <v>100</v>
      </c>
      <c r="E36" s="25" t="s">
        <v>101</v>
      </c>
      <c r="F36" s="25" t="s">
        <v>102</v>
      </c>
      <c r="G36" s="25" t="s">
        <v>103</v>
      </c>
      <c r="H36" s="26" t="s">
        <v>104</v>
      </c>
      <c r="I36" s="35"/>
      <c r="J36" s="33"/>
    </row>
    <row r="37" spans="1:12" ht="13.5" x14ac:dyDescent="0.25">
      <c r="A37" s="28">
        <f t="shared" ref="A37:A45" si="11">+A17</f>
        <v>1</v>
      </c>
      <c r="B37" s="34" t="s">
        <v>61</v>
      </c>
      <c r="C37" s="29">
        <f>+A37</f>
        <v>1</v>
      </c>
      <c r="D37" s="30" t="s">
        <v>145</v>
      </c>
      <c r="E37" s="30">
        <v>0</v>
      </c>
      <c r="F37" s="30">
        <f>IFERROR(E37*C37,"")</f>
        <v>0</v>
      </c>
      <c r="G37" s="31">
        <f t="shared" ref="G37:G43" si="12">IFERROR(F37/$F$72,"")</f>
        <v>0</v>
      </c>
      <c r="H37" s="35" t="s">
        <v>60</v>
      </c>
      <c r="I37" s="35"/>
      <c r="J37" s="33"/>
    </row>
    <row r="38" spans="1:12" ht="13.5" x14ac:dyDescent="0.25">
      <c r="A38" s="28">
        <f t="shared" si="11"/>
        <v>60</v>
      </c>
      <c r="B38" s="34" t="s">
        <v>63</v>
      </c>
      <c r="C38" s="29">
        <f t="shared" ref="C38:C45" si="13">+A38</f>
        <v>60</v>
      </c>
      <c r="D38" s="30" t="s">
        <v>144</v>
      </c>
      <c r="E38" s="30">
        <v>0</v>
      </c>
      <c r="F38" s="30">
        <f t="shared" ref="F38:F45" si="14">IFERROR(E38*C38,"")</f>
        <v>0</v>
      </c>
      <c r="G38" s="31">
        <f t="shared" si="12"/>
        <v>0</v>
      </c>
      <c r="H38" s="35" t="s">
        <v>62</v>
      </c>
      <c r="I38" s="35"/>
      <c r="J38" s="33"/>
    </row>
    <row r="39" spans="1:12" ht="13.5" x14ac:dyDescent="0.25">
      <c r="A39" s="28">
        <f t="shared" si="11"/>
        <v>15</v>
      </c>
      <c r="B39" s="34" t="s">
        <v>38</v>
      </c>
      <c r="C39" s="29">
        <f t="shared" si="13"/>
        <v>15</v>
      </c>
      <c r="D39" s="30" t="s">
        <v>144</v>
      </c>
      <c r="E39" s="30">
        <v>0.01</v>
      </c>
      <c r="F39" s="30">
        <f t="shared" si="14"/>
        <v>0.15</v>
      </c>
      <c r="G39" s="31">
        <f t="shared" si="12"/>
        <v>1.3613218689460883E-4</v>
      </c>
      <c r="H39" s="35" t="s">
        <v>37</v>
      </c>
      <c r="I39" s="35"/>
      <c r="J39" s="33"/>
    </row>
    <row r="40" spans="1:12" ht="13.5" x14ac:dyDescent="0.25">
      <c r="A40" s="28">
        <f t="shared" si="11"/>
        <v>36</v>
      </c>
      <c r="B40" s="34" t="s">
        <v>46</v>
      </c>
      <c r="C40" s="29">
        <f>+A40</f>
        <v>36</v>
      </c>
      <c r="D40" s="30" t="s">
        <v>144</v>
      </c>
      <c r="E40" s="30">
        <v>0</v>
      </c>
      <c r="F40" s="30">
        <f>IFERROR(E40*C40,"")</f>
        <v>0</v>
      </c>
      <c r="G40" s="31">
        <f t="shared" si="12"/>
        <v>0</v>
      </c>
      <c r="H40" s="35" t="s">
        <v>45</v>
      </c>
      <c r="I40" s="35"/>
      <c r="J40" s="33"/>
    </row>
    <row r="41" spans="1:12" ht="13.5" x14ac:dyDescent="0.25">
      <c r="A41" s="28">
        <f t="shared" si="11"/>
        <v>40</v>
      </c>
      <c r="B41" s="34" t="s">
        <v>42</v>
      </c>
      <c r="C41" s="29">
        <f>+A41</f>
        <v>40</v>
      </c>
      <c r="D41" s="30" t="s">
        <v>144</v>
      </c>
      <c r="E41" s="30">
        <v>0.01</v>
      </c>
      <c r="F41" s="30">
        <f>IFERROR(E41*C41,"")</f>
        <v>0.4</v>
      </c>
      <c r="G41" s="31">
        <f t="shared" si="12"/>
        <v>3.6301916505229026E-4</v>
      </c>
      <c r="H41" s="35" t="s">
        <v>91</v>
      </c>
      <c r="I41" s="35"/>
      <c r="J41" s="33"/>
    </row>
    <row r="42" spans="1:12" ht="13.5" x14ac:dyDescent="0.25">
      <c r="A42" s="28">
        <f t="shared" si="11"/>
        <v>20</v>
      </c>
      <c r="B42" s="34" t="s">
        <v>44</v>
      </c>
      <c r="C42" s="29">
        <f t="shared" si="13"/>
        <v>20</v>
      </c>
      <c r="D42" s="30" t="s">
        <v>144</v>
      </c>
      <c r="E42" s="30">
        <v>0</v>
      </c>
      <c r="F42" s="30">
        <f t="shared" si="14"/>
        <v>0</v>
      </c>
      <c r="G42" s="31">
        <f t="shared" si="12"/>
        <v>0</v>
      </c>
      <c r="H42" s="35" t="s">
        <v>43</v>
      </c>
      <c r="I42" s="35"/>
      <c r="J42" s="33"/>
    </row>
    <row r="43" spans="1:12" ht="13.5" x14ac:dyDescent="0.25">
      <c r="A43" s="28">
        <f t="shared" si="11"/>
        <v>14</v>
      </c>
      <c r="B43" s="34" t="s">
        <v>65</v>
      </c>
      <c r="C43" s="29">
        <f t="shared" si="13"/>
        <v>14</v>
      </c>
      <c r="D43" s="30" t="s">
        <v>144</v>
      </c>
      <c r="E43" s="30">
        <v>0</v>
      </c>
      <c r="F43" s="30">
        <f t="shared" si="14"/>
        <v>0</v>
      </c>
      <c r="G43" s="31">
        <f t="shared" si="12"/>
        <v>0</v>
      </c>
      <c r="H43" s="35" t="s">
        <v>64</v>
      </c>
      <c r="I43" s="35"/>
      <c r="J43" s="33"/>
    </row>
    <row r="44" spans="1:12" ht="13.5" x14ac:dyDescent="0.25">
      <c r="A44" s="28">
        <f t="shared" si="11"/>
        <v>0</v>
      </c>
      <c r="B44" s="34"/>
      <c r="C44" s="29">
        <f t="shared" si="13"/>
        <v>0</v>
      </c>
      <c r="D44" s="30"/>
      <c r="E44" s="30"/>
      <c r="F44" s="30"/>
      <c r="G44" s="31"/>
      <c r="H44" s="35"/>
      <c r="I44" s="35"/>
      <c r="J44" s="33"/>
    </row>
    <row r="45" spans="1:12" ht="13.5" x14ac:dyDescent="0.25">
      <c r="A45" s="28">
        <f t="shared" si="11"/>
        <v>0</v>
      </c>
      <c r="B45" s="34" t="str">
        <f>IFERROR(VLOOKUP(H45,[1]SEMIELABORADOS!$A$2:$M$6000,2,0),"")</f>
        <v/>
      </c>
      <c r="C45" s="29">
        <f t="shared" si="13"/>
        <v>0</v>
      </c>
      <c r="D45" s="30" t="str">
        <f>IFERROR(VLOOKUP(H45,[1]SEMIELABORADOS!$A$2:$M$6000,6,0),"")</f>
        <v/>
      </c>
      <c r="E45" s="30" t="str">
        <f>IFERROR(VLOOKUP(H45,[1]SEMIELABORADOS!$A$2:$M$65536,10,0),"")</f>
        <v/>
      </c>
      <c r="F45" s="30" t="str">
        <f t="shared" si="14"/>
        <v/>
      </c>
      <c r="G45" s="31" t="str">
        <f>IFERROR(F45/$F$72,"")</f>
        <v/>
      </c>
      <c r="H45" s="35"/>
      <c r="I45" s="35"/>
      <c r="J45" s="33"/>
    </row>
    <row r="46" spans="1:12" ht="14.25" thickBot="1" x14ac:dyDescent="0.3">
      <c r="A46" s="28"/>
      <c r="B46" s="34"/>
      <c r="C46" s="29"/>
      <c r="D46" s="30"/>
      <c r="E46" s="30"/>
      <c r="F46" s="30"/>
      <c r="G46" s="31"/>
      <c r="H46" s="35"/>
      <c r="I46" s="35"/>
      <c r="J46" s="33"/>
    </row>
    <row r="47" spans="1:12" ht="26.25" thickBot="1" x14ac:dyDescent="0.25">
      <c r="A47" s="23" t="s">
        <v>98</v>
      </c>
      <c r="B47" s="24" t="s">
        <v>108</v>
      </c>
      <c r="C47" s="24" t="s">
        <v>98</v>
      </c>
      <c r="D47" s="25" t="s">
        <v>100</v>
      </c>
      <c r="E47" s="25" t="s">
        <v>101</v>
      </c>
      <c r="F47" s="25" t="s">
        <v>102</v>
      </c>
      <c r="G47" s="25" t="s">
        <v>103</v>
      </c>
      <c r="H47" s="26" t="s">
        <v>104</v>
      </c>
      <c r="I47" s="27"/>
      <c r="J47" s="33"/>
    </row>
    <row r="48" spans="1:12" ht="13.5" x14ac:dyDescent="0.25">
      <c r="A48" s="28">
        <f t="shared" ref="A48:A53" si="15">+A37</f>
        <v>1</v>
      </c>
      <c r="B48" s="34" t="s">
        <v>61</v>
      </c>
      <c r="C48" s="29">
        <f>+A48</f>
        <v>1</v>
      </c>
      <c r="D48" s="30" t="s">
        <v>146</v>
      </c>
      <c r="E48" s="30">
        <v>3.18</v>
      </c>
      <c r="F48" s="30">
        <f>IFERROR(E48*C48,"")</f>
        <v>3.18</v>
      </c>
      <c r="G48" s="31">
        <f>IFERROR(F48/$F$72,"")</f>
        <v>2.8860023621657075E-3</v>
      </c>
      <c r="H48" s="35" t="s">
        <v>60</v>
      </c>
      <c r="I48" s="27"/>
      <c r="J48" s="33"/>
    </row>
    <row r="49" spans="1:17" ht="13.5" x14ac:dyDescent="0.25">
      <c r="A49" s="28">
        <f t="shared" si="15"/>
        <v>60</v>
      </c>
      <c r="B49" s="34" t="s">
        <v>63</v>
      </c>
      <c r="C49" s="29">
        <f t="shared" ref="C49:C54" si="16">+A49</f>
        <v>60</v>
      </c>
      <c r="D49" s="30" t="s">
        <v>144</v>
      </c>
      <c r="E49" s="30">
        <v>0.03</v>
      </c>
      <c r="F49" s="30">
        <f t="shared" ref="F49:F54" si="17">IFERROR(E49*C49,"")</f>
        <v>1.7999999999999998</v>
      </c>
      <c r="G49" s="31">
        <f t="shared" ref="G49:G54" si="18">IFERROR(F49/$F$72,"")</f>
        <v>1.6335862427353058E-3</v>
      </c>
      <c r="H49" s="35" t="s">
        <v>62</v>
      </c>
      <c r="I49" s="27"/>
      <c r="J49" s="33"/>
      <c r="M49" s="38"/>
    </row>
    <row r="50" spans="1:17" ht="13.5" x14ac:dyDescent="0.25">
      <c r="A50" s="28">
        <f t="shared" si="15"/>
        <v>15</v>
      </c>
      <c r="B50" s="34" t="s">
        <v>38</v>
      </c>
      <c r="C50" s="29">
        <f t="shared" si="16"/>
        <v>15</v>
      </c>
      <c r="D50" s="30" t="s">
        <v>144</v>
      </c>
      <c r="E50" s="30">
        <v>0.13</v>
      </c>
      <c r="F50" s="30">
        <f t="shared" si="17"/>
        <v>1.9500000000000002</v>
      </c>
      <c r="G50" s="31">
        <f t="shared" si="18"/>
        <v>1.7697184296299152E-3</v>
      </c>
      <c r="H50" s="35" t="s">
        <v>37</v>
      </c>
      <c r="I50" s="27"/>
      <c r="J50" s="33"/>
    </row>
    <row r="51" spans="1:17" ht="13.5" x14ac:dyDescent="0.25">
      <c r="A51" s="28">
        <f t="shared" si="15"/>
        <v>36</v>
      </c>
      <c r="B51" s="34" t="s">
        <v>46</v>
      </c>
      <c r="C51" s="29">
        <f t="shared" si="16"/>
        <v>36</v>
      </c>
      <c r="D51" s="30" t="s">
        <v>144</v>
      </c>
      <c r="E51" s="30">
        <v>0.03</v>
      </c>
      <c r="F51" s="30">
        <f t="shared" si="17"/>
        <v>1.08</v>
      </c>
      <c r="G51" s="31">
        <f t="shared" si="18"/>
        <v>9.8015174564118363E-4</v>
      </c>
      <c r="H51" s="35" t="s">
        <v>45</v>
      </c>
      <c r="I51" s="27"/>
      <c r="J51" s="33"/>
    </row>
    <row r="52" spans="1:17" ht="13.5" x14ac:dyDescent="0.25">
      <c r="A52" s="28">
        <f t="shared" si="15"/>
        <v>40</v>
      </c>
      <c r="B52" s="34" t="s">
        <v>42</v>
      </c>
      <c r="C52" s="29">
        <f t="shared" si="16"/>
        <v>40</v>
      </c>
      <c r="D52" s="30" t="s">
        <v>144</v>
      </c>
      <c r="E52" s="30">
        <v>0.23</v>
      </c>
      <c r="F52" s="30">
        <f t="shared" si="17"/>
        <v>9.2000000000000011</v>
      </c>
      <c r="G52" s="31">
        <f t="shared" si="18"/>
        <v>8.3494407962026763E-3</v>
      </c>
      <c r="H52" s="35" t="s">
        <v>91</v>
      </c>
      <c r="I52" s="27"/>
      <c r="J52" s="33"/>
    </row>
    <row r="53" spans="1:17" ht="13.5" x14ac:dyDescent="0.25">
      <c r="A53" s="28">
        <f t="shared" si="15"/>
        <v>20</v>
      </c>
      <c r="B53" s="34" t="s">
        <v>44</v>
      </c>
      <c r="C53" s="29">
        <f t="shared" si="16"/>
        <v>20</v>
      </c>
      <c r="D53" s="30" t="s">
        <v>144</v>
      </c>
      <c r="E53" s="30">
        <v>0.04</v>
      </c>
      <c r="F53" s="30">
        <f t="shared" si="17"/>
        <v>0.8</v>
      </c>
      <c r="G53" s="31">
        <f t="shared" si="18"/>
        <v>7.2603833010458053E-4</v>
      </c>
      <c r="H53" s="35" t="s">
        <v>43</v>
      </c>
      <c r="I53" s="27"/>
      <c r="J53" s="33"/>
    </row>
    <row r="54" spans="1:17" ht="13.5" x14ac:dyDescent="0.25">
      <c r="A54" s="28">
        <f t="shared" ref="A54:A56" si="19">+A43</f>
        <v>14</v>
      </c>
      <c r="B54" s="34" t="s">
        <v>65</v>
      </c>
      <c r="C54" s="29">
        <f t="shared" si="16"/>
        <v>14</v>
      </c>
      <c r="D54" s="30" t="s">
        <v>144</v>
      </c>
      <c r="E54" s="30">
        <v>0.05</v>
      </c>
      <c r="F54" s="30">
        <f t="shared" si="17"/>
        <v>0.70000000000000007</v>
      </c>
      <c r="G54" s="31">
        <f t="shared" si="18"/>
        <v>6.3528353884150803E-4</v>
      </c>
      <c r="H54" s="34" t="s">
        <v>64</v>
      </c>
      <c r="I54" s="27"/>
      <c r="J54" s="33"/>
    </row>
    <row r="55" spans="1:17" ht="13.5" x14ac:dyDescent="0.25">
      <c r="A55" s="28">
        <f t="shared" si="19"/>
        <v>0</v>
      </c>
      <c r="B55" s="34"/>
      <c r="C55" s="29"/>
      <c r="D55" s="30"/>
      <c r="E55" s="30"/>
      <c r="F55" s="30"/>
      <c r="G55" s="31"/>
      <c r="H55" s="34"/>
      <c r="I55" s="27"/>
      <c r="J55" s="33"/>
    </row>
    <row r="56" spans="1:17" ht="13.5" x14ac:dyDescent="0.25">
      <c r="A56" s="28">
        <f t="shared" si="19"/>
        <v>0</v>
      </c>
      <c r="B56" s="34"/>
      <c r="C56" s="29"/>
      <c r="D56" s="30"/>
      <c r="E56" s="30"/>
      <c r="F56" s="30"/>
      <c r="G56" s="31"/>
      <c r="H56" s="34"/>
      <c r="I56" s="27"/>
      <c r="J56" s="33"/>
    </row>
    <row r="57" spans="1:17" ht="13.5" x14ac:dyDescent="0.25">
      <c r="A57" s="28">
        <v>1</v>
      </c>
      <c r="B57" s="34" t="s">
        <v>109</v>
      </c>
      <c r="C57" s="29">
        <f>+A57</f>
        <v>1</v>
      </c>
      <c r="D57" s="29" t="s">
        <v>110</v>
      </c>
      <c r="E57" s="30">
        <f>+F71</f>
        <v>308</v>
      </c>
      <c r="F57" s="30">
        <f>IFERROR(C57*E57,"")</f>
        <v>308</v>
      </c>
      <c r="G57" s="31">
        <f>IFERROR(F57/$F$72,"")</f>
        <v>0.27952475709026348</v>
      </c>
      <c r="H57" s="39"/>
      <c r="I57" s="39"/>
      <c r="J57" s="33"/>
    </row>
    <row r="58" spans="1:17" ht="14.25" thickBot="1" x14ac:dyDescent="0.3">
      <c r="A58" s="28"/>
      <c r="B58" s="34"/>
      <c r="C58" s="29"/>
      <c r="D58" s="29"/>
      <c r="E58" s="30"/>
      <c r="F58" s="30"/>
      <c r="G58" s="31"/>
      <c r="H58" s="39"/>
      <c r="I58" s="39"/>
      <c r="J58" s="33"/>
    </row>
    <row r="59" spans="1:17" ht="13.5" thickBot="1" x14ac:dyDescent="0.25">
      <c r="A59" s="40"/>
      <c r="B59" s="280" t="s">
        <v>111</v>
      </c>
      <c r="C59" s="280"/>
      <c r="D59" s="280"/>
      <c r="E59" s="280"/>
      <c r="F59" s="42">
        <f>SUM(F8:F14,F17:F24)</f>
        <v>585.51</v>
      </c>
      <c r="G59" s="31">
        <f>+F59/$F$72</f>
        <v>0.53137837832441615</v>
      </c>
      <c r="H59" s="43">
        <f>+F59/$D$66</f>
        <v>585.51</v>
      </c>
      <c r="I59" s="43"/>
      <c r="J59" s="44"/>
      <c r="K59" s="45"/>
      <c r="L59" s="45"/>
      <c r="M59" s="45"/>
      <c r="N59" s="45"/>
      <c r="O59" s="45"/>
      <c r="P59" s="45"/>
      <c r="Q59" s="46"/>
    </row>
    <row r="60" spans="1:17" x14ac:dyDescent="0.2">
      <c r="A60" s="40"/>
      <c r="B60" s="280" t="s">
        <v>112</v>
      </c>
      <c r="C60" s="280"/>
      <c r="D60" s="280"/>
      <c r="E60" s="280"/>
      <c r="F60" s="42">
        <f>SUM(F27:F34,F37:F45)</f>
        <v>196.65</v>
      </c>
      <c r="G60" s="31">
        <f>+F60/$F$72</f>
        <v>0.17846929701883218</v>
      </c>
      <c r="H60" s="43">
        <f>+F60/$D$66</f>
        <v>196.65</v>
      </c>
      <c r="I60" s="43"/>
      <c r="J60" s="47"/>
      <c r="K60" s="281" t="s">
        <v>113</v>
      </c>
      <c r="L60" s="282"/>
      <c r="M60" s="282"/>
      <c r="N60" s="282"/>
      <c r="O60" s="48">
        <f>+F61</f>
        <v>782.16</v>
      </c>
      <c r="P60" s="48"/>
      <c r="Q60" s="49"/>
    </row>
    <row r="61" spans="1:17" x14ac:dyDescent="0.2">
      <c r="A61" s="40"/>
      <c r="B61" s="280" t="s">
        <v>114</v>
      </c>
      <c r="C61" s="280"/>
      <c r="D61" s="280"/>
      <c r="E61" s="280"/>
      <c r="F61" s="42">
        <f>+F59+F60</f>
        <v>782.16</v>
      </c>
      <c r="G61" s="31">
        <f>+F61/$F$72</f>
        <v>0.70984767534324833</v>
      </c>
      <c r="H61" s="43">
        <f>+F61/$D$66</f>
        <v>782.16</v>
      </c>
      <c r="I61" s="43"/>
      <c r="J61" s="50"/>
      <c r="K61" s="51"/>
      <c r="M61" s="52" t="s">
        <v>115</v>
      </c>
      <c r="N61" s="53"/>
      <c r="O61" s="48">
        <f>+H62</f>
        <v>326.70999999999998</v>
      </c>
      <c r="P61" s="48"/>
      <c r="Q61" s="49"/>
    </row>
    <row r="62" spans="1:17" ht="13.5" thickBot="1" x14ac:dyDescent="0.25">
      <c r="A62" s="40"/>
      <c r="B62" s="41"/>
      <c r="C62" s="280" t="s">
        <v>116</v>
      </c>
      <c r="D62" s="280"/>
      <c r="E62" s="280"/>
      <c r="F62" s="42">
        <f>SUM(F48:F57)</f>
        <v>326.70999999999998</v>
      </c>
      <c r="G62" s="31">
        <f>+F62/$F$72</f>
        <v>0.29650497853558433</v>
      </c>
      <c r="H62" s="43">
        <f>+F62/$D$66</f>
        <v>326.70999999999998</v>
      </c>
      <c r="I62" s="43"/>
      <c r="J62" s="50"/>
      <c r="K62" s="51"/>
      <c r="L62" s="51"/>
      <c r="M62" s="51" t="s">
        <v>117</v>
      </c>
      <c r="N62" s="54"/>
      <c r="O62" s="48">
        <f>O60*N62</f>
        <v>0</v>
      </c>
      <c r="P62" s="48"/>
      <c r="Q62" s="49"/>
    </row>
    <row r="63" spans="1:17" ht="13.5" thickBot="1" x14ac:dyDescent="0.25">
      <c r="A63" s="40"/>
      <c r="B63" s="55"/>
      <c r="C63" s="55"/>
      <c r="D63" s="55"/>
      <c r="E63" s="55"/>
      <c r="F63" s="56"/>
      <c r="G63" s="31"/>
      <c r="H63" s="57"/>
      <c r="I63" s="43"/>
      <c r="J63" s="50"/>
      <c r="K63" s="58"/>
      <c r="M63" s="59" t="s">
        <v>118</v>
      </c>
      <c r="N63" s="60"/>
      <c r="O63" s="61">
        <f>SUM(O60:O62)</f>
        <v>1108.8699999999999</v>
      </c>
      <c r="P63" s="62"/>
      <c r="Q63" s="49"/>
    </row>
    <row r="64" spans="1:17" x14ac:dyDescent="0.2">
      <c r="B64" s="283" t="s">
        <v>119</v>
      </c>
      <c r="C64" s="283"/>
      <c r="D64" s="63">
        <v>200</v>
      </c>
      <c r="E64" s="64"/>
      <c r="G64" s="31"/>
      <c r="H64" s="57">
        <f>+H62/77</f>
        <v>4.2429870129870126</v>
      </c>
      <c r="I64" s="65"/>
      <c r="J64" s="50"/>
      <c r="K64" s="58"/>
      <c r="L64" s="51"/>
      <c r="M64" s="51" t="s">
        <v>120</v>
      </c>
      <c r="N64" s="66"/>
      <c r="O64" s="48">
        <f>+H65</f>
        <v>352.16792207792207</v>
      </c>
      <c r="P64" s="48"/>
      <c r="Q64" s="49"/>
    </row>
    <row r="65" spans="2:17" x14ac:dyDescent="0.2">
      <c r="B65" s="283" t="s">
        <v>121</v>
      </c>
      <c r="C65" s="283"/>
      <c r="D65" s="67">
        <v>200</v>
      </c>
      <c r="E65" s="64"/>
      <c r="G65" s="31"/>
      <c r="H65" s="57">
        <f>+H64*83</f>
        <v>352.16792207792207</v>
      </c>
      <c r="I65" s="65"/>
      <c r="J65" s="50"/>
      <c r="K65" s="58"/>
      <c r="L65" s="51"/>
      <c r="M65" s="284" t="s">
        <v>118</v>
      </c>
      <c r="N65" s="284"/>
      <c r="O65" s="48">
        <f>SUM(O63:O64)</f>
        <v>1461.0379220779218</v>
      </c>
      <c r="P65" s="48"/>
      <c r="Q65" s="49"/>
    </row>
    <row r="66" spans="2:17" ht="13.5" thickBot="1" x14ac:dyDescent="0.25">
      <c r="B66" s="275" t="s">
        <v>122</v>
      </c>
      <c r="C66" s="275"/>
      <c r="D66" s="63">
        <f>+D64/D65</f>
        <v>1</v>
      </c>
      <c r="E66" s="64"/>
      <c r="F66" s="68"/>
      <c r="G66" s="31"/>
      <c r="H66" s="57"/>
      <c r="I66" s="65"/>
      <c r="J66" s="50"/>
      <c r="K66" s="58"/>
      <c r="L66" s="284"/>
      <c r="M66" s="284"/>
      <c r="N66" s="66"/>
      <c r="O66" s="48">
        <f>+O65*N66</f>
        <v>0</v>
      </c>
      <c r="P66" s="48"/>
      <c r="Q66" s="49"/>
    </row>
    <row r="67" spans="2:17" ht="13.5" thickBot="1" x14ac:dyDescent="0.25">
      <c r="B67" s="275" t="s">
        <v>123</v>
      </c>
      <c r="C67" s="275"/>
      <c r="D67" s="69"/>
      <c r="E67" s="64"/>
      <c r="F67" s="68"/>
      <c r="G67" s="31"/>
      <c r="H67" s="57"/>
      <c r="I67" s="65"/>
      <c r="J67" s="50"/>
      <c r="K67" s="276" t="s">
        <v>124</v>
      </c>
      <c r="L67" s="277"/>
      <c r="M67" s="277"/>
      <c r="N67" s="278"/>
      <c r="O67" s="61">
        <f>SUM(O65:O66)</f>
        <v>1461.0379220779218</v>
      </c>
      <c r="P67" s="70" t="s">
        <v>125</v>
      </c>
      <c r="Q67" s="49"/>
    </row>
    <row r="68" spans="2:17" ht="13.5" thickBot="1" x14ac:dyDescent="0.25">
      <c r="C68" s="40" t="s">
        <v>126</v>
      </c>
      <c r="D68" s="71"/>
      <c r="E68" s="14" t="s">
        <v>127</v>
      </c>
      <c r="F68" s="72" t="s">
        <v>128</v>
      </c>
      <c r="G68" s="31"/>
      <c r="H68" s="57"/>
      <c r="I68" s="65"/>
      <c r="J68" s="73"/>
      <c r="K68" s="74"/>
      <c r="L68" s="264" t="s">
        <v>129</v>
      </c>
      <c r="M68" s="264"/>
      <c r="N68" s="264"/>
      <c r="O68" s="75">
        <f>+O67/D66</f>
        <v>1461.0379220779218</v>
      </c>
      <c r="P68" s="76">
        <f>+O68/D65</f>
        <v>7.3051896103896095</v>
      </c>
      <c r="Q68" s="77"/>
    </row>
    <row r="69" spans="2:17" ht="13.5" thickBot="1" x14ac:dyDescent="0.25">
      <c r="B69" s="265" t="s">
        <v>114</v>
      </c>
      <c r="C69" s="265"/>
      <c r="D69" s="265"/>
      <c r="E69" s="78">
        <f>+F69/F69</f>
        <v>1</v>
      </c>
      <c r="F69" s="79">
        <f>SUM(F61)</f>
        <v>782.16</v>
      </c>
      <c r="G69" s="31">
        <f>+F69/$F$72</f>
        <v>0.70984767534324833</v>
      </c>
      <c r="H69" s="57"/>
      <c r="I69" s="65"/>
      <c r="K69" s="266"/>
      <c r="L69" s="267"/>
      <c r="M69" s="267"/>
      <c r="N69" s="267"/>
      <c r="O69" s="80"/>
      <c r="P69" s="81"/>
    </row>
    <row r="70" spans="2:17" ht="13.5" thickBot="1" x14ac:dyDescent="0.25">
      <c r="B70" s="268" t="s">
        <v>130</v>
      </c>
      <c r="C70" s="268"/>
      <c r="D70" s="268"/>
      <c r="E70" s="82">
        <v>0.02</v>
      </c>
      <c r="F70" s="79">
        <f>+F59*E70</f>
        <v>11.7102</v>
      </c>
      <c r="G70" s="31">
        <f>+F70/$F$72</f>
        <v>1.0627567566488322E-2</v>
      </c>
      <c r="H70" s="43"/>
      <c r="I70" s="65"/>
      <c r="J70" s="83"/>
      <c r="O70" s="84"/>
      <c r="P70" s="41"/>
    </row>
    <row r="71" spans="2:17" ht="13.5" thickBot="1" x14ac:dyDescent="0.25">
      <c r="B71" s="269" t="s">
        <v>131</v>
      </c>
      <c r="C71" s="270"/>
      <c r="D71" s="85">
        <v>4</v>
      </c>
      <c r="E71" s="86">
        <v>77</v>
      </c>
      <c r="F71" s="79">
        <f>+E71*D71</f>
        <v>308</v>
      </c>
      <c r="G71" s="31">
        <f>+F71/$F$72</f>
        <v>0.27952475709026348</v>
      </c>
      <c r="H71" s="43"/>
      <c r="I71" s="43"/>
      <c r="J71" s="33"/>
    </row>
    <row r="72" spans="2:17" ht="13.5" thickBot="1" x14ac:dyDescent="0.25">
      <c r="B72" s="271" t="s">
        <v>132</v>
      </c>
      <c r="C72" s="272"/>
      <c r="D72" s="272"/>
      <c r="E72" s="273"/>
      <c r="F72" s="56">
        <f>SUM(F69:F71)</f>
        <v>1101.8701999999998</v>
      </c>
      <c r="G72" s="31">
        <f>+F72/$F$72</f>
        <v>1</v>
      </c>
      <c r="H72" s="274"/>
      <c r="I72" s="43"/>
      <c r="J72" s="33"/>
      <c r="M72" s="16" t="s">
        <v>133</v>
      </c>
    </row>
    <row r="73" spans="2:17" x14ac:dyDescent="0.2">
      <c r="C73" s="38"/>
      <c r="D73" s="38"/>
      <c r="E73" s="88"/>
      <c r="F73" s="79"/>
      <c r="G73" s="31"/>
      <c r="H73" s="274"/>
      <c r="I73" s="87"/>
      <c r="J73" s="16"/>
      <c r="M73" s="16" t="s">
        <v>134</v>
      </c>
    </row>
    <row r="74" spans="2:17" ht="13.5" thickBot="1" x14ac:dyDescent="0.25">
      <c r="B74" s="259" t="s">
        <v>135</v>
      </c>
      <c r="C74" s="259"/>
      <c r="D74" s="259"/>
      <c r="E74" s="259"/>
      <c r="F74" s="259"/>
      <c r="G74" s="31"/>
      <c r="H74" s="90"/>
      <c r="I74" s="87"/>
      <c r="J74" s="16"/>
      <c r="M74" s="16" t="s">
        <v>136</v>
      </c>
    </row>
    <row r="75" spans="2:17" ht="13.5" thickBot="1" x14ac:dyDescent="0.25">
      <c r="B75" s="91" t="s">
        <v>137</v>
      </c>
      <c r="C75" s="92">
        <f>+F59</f>
        <v>585.51</v>
      </c>
      <c r="D75" s="92">
        <f>+D64</f>
        <v>200</v>
      </c>
      <c r="E75" s="93">
        <f>+C75/D75</f>
        <v>2.9275500000000001</v>
      </c>
      <c r="F75" s="31"/>
      <c r="G75" s="90"/>
      <c r="H75" s="33"/>
      <c r="I75" s="90"/>
      <c r="J75" s="16"/>
    </row>
    <row r="76" spans="2:17" x14ac:dyDescent="0.2">
      <c r="B76" s="94"/>
      <c r="C76" s="95"/>
      <c r="D76" s="96"/>
      <c r="E76" s="79"/>
      <c r="F76" s="31"/>
      <c r="G76" s="90"/>
      <c r="H76" s="33"/>
      <c r="I76" s="33"/>
      <c r="J76" s="16"/>
    </row>
    <row r="77" spans="2:17" x14ac:dyDescent="0.2">
      <c r="B77" s="91" t="s">
        <v>138</v>
      </c>
      <c r="C77" s="92">
        <f>SUM(F69:F70)</f>
        <v>793.87019999999995</v>
      </c>
      <c r="D77" s="92">
        <f>+D64</f>
        <v>200</v>
      </c>
      <c r="E77" s="97">
        <f>+C77/D77</f>
        <v>3.9693509999999996</v>
      </c>
      <c r="F77" s="31"/>
      <c r="G77" s="90"/>
      <c r="H77" s="33"/>
      <c r="I77" s="33"/>
      <c r="J77" s="16"/>
    </row>
    <row r="78" spans="2:17" x14ac:dyDescent="0.2">
      <c r="B78" s="91"/>
      <c r="C78" s="92"/>
      <c r="D78" s="92"/>
      <c r="E78" s="97"/>
      <c r="F78" s="31"/>
      <c r="G78" s="90"/>
      <c r="H78" s="33"/>
      <c r="I78" s="33"/>
      <c r="J78" s="16"/>
    </row>
    <row r="79" spans="2:17" ht="13.5" thickBot="1" x14ac:dyDescent="0.25">
      <c r="B79" s="91" t="s">
        <v>139</v>
      </c>
      <c r="C79" s="92">
        <f>+F71</f>
        <v>308</v>
      </c>
      <c r="D79" s="92">
        <f>+D64</f>
        <v>200</v>
      </c>
      <c r="E79" s="97">
        <f>+C79/D79</f>
        <v>1.54</v>
      </c>
      <c r="F79" s="31"/>
      <c r="G79" s="90"/>
      <c r="H79" s="33"/>
      <c r="I79" s="33"/>
      <c r="J79" s="16"/>
    </row>
    <row r="80" spans="2:17" ht="13.5" thickBot="1" x14ac:dyDescent="0.25">
      <c r="B80" s="91" t="s">
        <v>140</v>
      </c>
      <c r="C80" s="92">
        <f>+F62</f>
        <v>326.70999999999998</v>
      </c>
      <c r="D80" s="92">
        <f>+D79</f>
        <v>200</v>
      </c>
      <c r="E80" s="93">
        <f>+C80/D80</f>
        <v>1.6335499999999998</v>
      </c>
      <c r="F80" s="31"/>
      <c r="G80" s="90"/>
      <c r="H80" s="33"/>
      <c r="I80" s="33"/>
      <c r="J80" s="16"/>
    </row>
    <row r="81" spans="1:10" ht="13.5" thickBot="1" x14ac:dyDescent="0.25">
      <c r="B81" s="55"/>
      <c r="C81" s="56"/>
      <c r="D81" s="56"/>
      <c r="E81" s="97"/>
      <c r="F81" s="31"/>
      <c r="G81" s="90"/>
      <c r="H81" s="33"/>
      <c r="I81" s="33"/>
      <c r="J81" s="16"/>
    </row>
    <row r="82" spans="1:10" ht="13.5" thickBot="1" x14ac:dyDescent="0.25">
      <c r="B82" s="91" t="s">
        <v>141</v>
      </c>
      <c r="C82" s="92">
        <f>+F60</f>
        <v>196.65</v>
      </c>
      <c r="D82" s="92">
        <f>+D80</f>
        <v>200</v>
      </c>
      <c r="E82" s="93">
        <f>+C82/D82</f>
        <v>0.98325000000000007</v>
      </c>
      <c r="F82" s="31"/>
      <c r="G82" s="90"/>
      <c r="H82" s="33"/>
      <c r="I82" s="33"/>
      <c r="J82" s="33"/>
    </row>
    <row r="83" spans="1:10" ht="13.5" thickBot="1" x14ac:dyDescent="0.25">
      <c r="B83" s="55"/>
      <c r="C83" s="56"/>
      <c r="D83" s="56"/>
      <c r="E83" s="97"/>
      <c r="F83" s="31"/>
      <c r="G83" s="90"/>
      <c r="H83" s="33"/>
      <c r="I83" s="33"/>
    </row>
    <row r="84" spans="1:10" ht="13.5" thickBot="1" x14ac:dyDescent="0.25">
      <c r="B84" s="260" t="s">
        <v>142</v>
      </c>
      <c r="C84" s="261"/>
      <c r="D84" s="262"/>
      <c r="E84" s="93">
        <f>+E75+E80</f>
        <v>4.5610999999999997</v>
      </c>
      <c r="G84" s="31"/>
      <c r="H84" s="90"/>
      <c r="I84" s="33"/>
      <c r="J84" s="97"/>
    </row>
    <row r="85" spans="1:10" x14ac:dyDescent="0.2">
      <c r="I85" s="90"/>
      <c r="J85" s="16"/>
    </row>
    <row r="86" spans="1:10" ht="13.5" thickBot="1" x14ac:dyDescent="0.25">
      <c r="B86" s="259" t="s">
        <v>143</v>
      </c>
      <c r="C86" s="259"/>
      <c r="D86" s="259"/>
      <c r="E86" s="259"/>
      <c r="F86" s="259"/>
      <c r="G86" s="31"/>
      <c r="H86" s="90"/>
      <c r="J86" s="16"/>
    </row>
    <row r="87" spans="1:10" ht="13.5" thickBot="1" x14ac:dyDescent="0.25">
      <c r="B87" s="91" t="s">
        <v>137</v>
      </c>
      <c r="C87" s="92">
        <f>+C75</f>
        <v>585.51</v>
      </c>
      <c r="D87" s="92">
        <f>+D66</f>
        <v>1</v>
      </c>
      <c r="E87" s="93">
        <f>+C87/D87</f>
        <v>585.51</v>
      </c>
      <c r="F87" s="31"/>
      <c r="G87" s="90"/>
      <c r="H87" s="33"/>
      <c r="I87" s="90"/>
      <c r="J87" s="16"/>
    </row>
    <row r="88" spans="1:10" x14ac:dyDescent="0.2">
      <c r="B88" s="94"/>
      <c r="C88" s="95"/>
      <c r="D88" s="96"/>
      <c r="E88" s="79"/>
      <c r="F88" s="31"/>
      <c r="G88" s="90"/>
      <c r="H88" s="33"/>
      <c r="I88" s="33"/>
      <c r="J88" s="16"/>
    </row>
    <row r="89" spans="1:10" x14ac:dyDescent="0.2">
      <c r="B89" s="91" t="s">
        <v>138</v>
      </c>
      <c r="C89" s="92">
        <f>+C77</f>
        <v>793.87019999999995</v>
      </c>
      <c r="D89" s="92">
        <f>+D66</f>
        <v>1</v>
      </c>
      <c r="E89" s="97">
        <f>+C89/D89</f>
        <v>793.87019999999995</v>
      </c>
      <c r="F89" s="31"/>
      <c r="G89" s="90"/>
      <c r="H89" s="33"/>
      <c r="I89" s="33"/>
      <c r="J89" s="16"/>
    </row>
    <row r="90" spans="1:10" x14ac:dyDescent="0.2">
      <c r="B90" s="91"/>
      <c r="C90" s="92"/>
      <c r="D90" s="92"/>
      <c r="E90" s="97"/>
      <c r="F90" s="31"/>
      <c r="G90" s="90"/>
      <c r="H90" s="33"/>
      <c r="I90" s="33"/>
      <c r="J90" s="16"/>
    </row>
    <row r="91" spans="1:10" ht="13.5" thickBot="1" x14ac:dyDescent="0.25">
      <c r="B91" s="91" t="s">
        <v>140</v>
      </c>
      <c r="C91" s="92">
        <f>+C79</f>
        <v>308</v>
      </c>
      <c r="D91" s="92">
        <f>+D66</f>
        <v>1</v>
      </c>
      <c r="E91" s="97">
        <f>+C91/D91</f>
        <v>308</v>
      </c>
      <c r="F91" s="99"/>
      <c r="G91" s="89"/>
      <c r="H91" s="15"/>
      <c r="I91" s="33"/>
    </row>
    <row r="92" spans="1:10" ht="13.5" thickBot="1" x14ac:dyDescent="0.25">
      <c r="B92" s="91" t="s">
        <v>140</v>
      </c>
      <c r="C92" s="92">
        <f>+C80</f>
        <v>326.70999999999998</v>
      </c>
      <c r="D92" s="92">
        <f>+D91</f>
        <v>1</v>
      </c>
      <c r="E92" s="93">
        <f>+C92/D92</f>
        <v>326.70999999999998</v>
      </c>
      <c r="F92" s="98"/>
      <c r="G92" s="89"/>
      <c r="H92" s="15"/>
      <c r="I92" s="15"/>
    </row>
    <row r="93" spans="1:10" x14ac:dyDescent="0.2">
      <c r="I93" s="15"/>
    </row>
    <row r="94" spans="1:10" x14ac:dyDescent="0.2">
      <c r="A94" s="263"/>
      <c r="B94" s="263"/>
      <c r="C94" s="100"/>
      <c r="D94" s="100"/>
      <c r="E94" s="101"/>
      <c r="G94" s="102"/>
    </row>
    <row r="95" spans="1:10" x14ac:dyDescent="0.2">
      <c r="A95" s="34"/>
      <c r="B95" s="103"/>
      <c r="C95" s="104"/>
      <c r="D95" s="104"/>
      <c r="E95" s="105"/>
      <c r="G95" s="102"/>
    </row>
    <row r="96" spans="1:10" x14ac:dyDescent="0.2">
      <c r="A96" s="34"/>
      <c r="B96" s="103"/>
      <c r="C96" s="106"/>
      <c r="D96" s="106"/>
      <c r="E96" s="34"/>
      <c r="G96" s="102"/>
    </row>
    <row r="97" spans="1:7" x14ac:dyDescent="0.2">
      <c r="A97" s="34"/>
      <c r="B97" s="103"/>
      <c r="C97" s="107"/>
      <c r="D97" s="107"/>
      <c r="E97" s="34"/>
      <c r="G97" s="102"/>
    </row>
  </sheetData>
  <mergeCells count="30">
    <mergeCell ref="K31:L31"/>
    <mergeCell ref="A4:H4"/>
    <mergeCell ref="A5:H5"/>
    <mergeCell ref="F6:G6"/>
    <mergeCell ref="K27:L27"/>
    <mergeCell ref="K28:L28"/>
    <mergeCell ref="B67:C67"/>
    <mergeCell ref="K67:N67"/>
    <mergeCell ref="K32:L32"/>
    <mergeCell ref="B59:E59"/>
    <mergeCell ref="B60:E60"/>
    <mergeCell ref="K60:N60"/>
    <mergeCell ref="B61:E61"/>
    <mergeCell ref="C62:E62"/>
    <mergeCell ref="B64:C64"/>
    <mergeCell ref="B65:C65"/>
    <mergeCell ref="M65:N65"/>
    <mergeCell ref="B66:C66"/>
    <mergeCell ref="L66:M66"/>
    <mergeCell ref="B74:F74"/>
    <mergeCell ref="B84:D84"/>
    <mergeCell ref="B86:F86"/>
    <mergeCell ref="A94:B94"/>
    <mergeCell ref="L68:N68"/>
    <mergeCell ref="B69:D69"/>
    <mergeCell ref="K69:N69"/>
    <mergeCell ref="B70:D70"/>
    <mergeCell ref="B71:C71"/>
    <mergeCell ref="B72:E72"/>
    <mergeCell ref="H72:H7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9DEF23-FC3B-4F46-9A93-161F4AACB5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49688B-0C87-4022-9F33-FCF00B9AF371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301CC3D5-A989-4BB4-A390-1F72F30453C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Ensamble</vt:lpstr>
      <vt:lpstr>COSTO ENSAMBLE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 Rodriguez</dc:creator>
  <cp:keywords/>
  <dc:description/>
  <cp:lastModifiedBy>Allan Brenes</cp:lastModifiedBy>
  <cp:revision/>
  <cp:lastPrinted>2026-04-27T17:41:55Z</cp:lastPrinted>
  <dcterms:created xsi:type="dcterms:W3CDTF">2012-08-16T22:23:23Z</dcterms:created>
  <dcterms:modified xsi:type="dcterms:W3CDTF">2026-04-27T17:41:57Z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382000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
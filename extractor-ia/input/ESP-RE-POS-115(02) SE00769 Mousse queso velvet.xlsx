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89590B25-D72C-44AB-BA22-A6C2B08F65F1}" xr6:coauthVersionLast="47" xr6:coauthVersionMax="47" xr10:uidLastSave="{30BDCD62-281B-4872-B193-57AC673DC92D}"/>
  <bookViews>
    <workbookView xWindow="-120" yWindow="-120" windowWidth="20730" windowHeight="11040" xr2:uid="{5702CF5A-D22E-4289-A103-8ACDE790A129}"/>
  </bookViews>
  <sheets>
    <sheet name="Mousse queso" sheetId="1" r:id="rId1"/>
  </sheets>
  <definedNames>
    <definedName name="_xlnm.Print_Area" localSheetId="0">'Mousse queso'!$A$1:$I$31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9" i="1" s="1"/>
  <c r="J10" i="1"/>
  <c r="K10" i="1" s="1"/>
  <c r="J11" i="1"/>
  <c r="J12" i="1"/>
  <c r="K12" i="1" s="1"/>
  <c r="J14" i="1"/>
  <c r="K14" i="1" s="1"/>
  <c r="M18" i="1"/>
  <c r="D20" i="1"/>
  <c r="D22" i="1"/>
  <c r="L22" i="1"/>
  <c r="M22" i="1"/>
</calcChain>
</file>

<file path=xl/sharedStrings.xml><?xml version="1.0" encoding="utf-8"?>
<sst xmlns="http://schemas.openxmlformats.org/spreadsheetml/2006/main" count="67" uniqueCount="59">
  <si>
    <t>SERVICIOS DE PASTELERIA S.A.</t>
  </si>
  <si>
    <t>CÓDIGO:</t>
  </si>
  <si>
    <t>ESP-RE-POS-115</t>
  </si>
  <si>
    <t>ESPECIFICACION DE RECETA</t>
  </si>
  <si>
    <t>REVISIÓN:</t>
  </si>
  <si>
    <t>SE00769 Mousse queso velvet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</si>
  <si>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</si>
  <si>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</si>
  <si>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</si>
  <si>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</si>
  <si>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</si>
  <si>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</si>
  <si>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POSTRES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</si>
  <si>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</si>
  <si>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</si>
  <si>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</si>
  <si>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</si>
  <si>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</si>
  <si>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</si>
  <si>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</si>
  <si>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</si>
  <si>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</si>
  <si>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</si>
  <si>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</si>
  <si>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MP10046</t>
  </si>
  <si>
    <t>Queso Crema Panadero</t>
  </si>
  <si>
    <t>Dos Pinos</t>
  </si>
  <si>
    <t>MP10239</t>
  </si>
  <si>
    <t>Limon En Polvo</t>
  </si>
  <si>
    <t>Mayca</t>
  </si>
  <si>
    <t>SE00010</t>
  </si>
  <si>
    <t>Crema Chantilly Blanca (Spoon-Ind)</t>
  </si>
  <si>
    <t>FAS</t>
  </si>
  <si>
    <t>MP10050</t>
  </si>
  <si>
    <t>Leche Condensada</t>
  </si>
  <si>
    <t>Nestle</t>
  </si>
  <si>
    <t>AGUA POTABLE (PLANTA)</t>
  </si>
  <si>
    <t>MP10043</t>
  </si>
  <si>
    <t>Gelatina Pura</t>
  </si>
  <si>
    <t>Unidad</t>
  </si>
  <si>
    <t>PESO TOTAL OBTENIDO</t>
  </si>
  <si>
    <t>g</t>
  </si>
  <si>
    <t>Tiempo de Horneo:</t>
  </si>
  <si>
    <t>TIEMPO TOTAL DE PREPARACION</t>
  </si>
  <si>
    <t>min</t>
  </si>
  <si>
    <t>Horno:</t>
  </si>
  <si>
    <t>CANTIDAD DE PORCIONES OBTENIDAS</t>
  </si>
  <si>
    <t>ud</t>
  </si>
  <si>
    <t>Temperatura de Horneo:</t>
  </si>
  <si>
    <t>PESO DE CADA PORCIÓN</t>
  </si>
  <si>
    <t>Otros</t>
  </si>
  <si>
    <t>MERMA</t>
  </si>
  <si>
    <t>PROCEDIMIENTO DE PREPARACION DE LA  RECETA</t>
  </si>
  <si>
    <t>1.- Colocar el queso crema con la leche condensada y el polvo de limon y cremar con globo.</t>
  </si>
  <si>
    <t>2.- Luego agregar la crema chantilly e incorporar a la mezcla anterior.</t>
  </si>
  <si>
    <t>3.- Hidratar la gelatina en agua y agregar a la mezcla anterior.</t>
  </si>
  <si>
    <t>CONTROL DE CAMBIOS</t>
  </si>
  <si>
    <t>Revision2: Aumento en el agua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</si>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</sst>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6" fillId="0" borderId="0"/>
  </cellStyleXfs>
  <cellXfs count="133">
    <xf numFmtId="0" fontId="0" fillId="0" borderId="0" xfId="0"/>
    <xf numFmtId="0" fontId="5" fillId="4" borderId="21" xfId="3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0" fontId="4" fillId="4" borderId="20" xfId="3" applyFont="1" applyFill="1" applyBorder="1" applyAlignment="1">
      <alignment horizontal="center"/>
    </xf>
    <xf numFmtId="0" fontId="4" fillId="4" borderId="21" xfId="3" applyFont="1" applyFill="1" applyBorder="1"/>
    <xf numFmtId="164" fontId="4" fillId="4" borderId="21" xfId="3" applyNumberFormat="1" applyFont="1" applyFill="1" applyBorder="1" applyAlignment="1">
      <alignment horizontal="center" wrapText="1"/>
    </xf>
    <xf numFmtId="1" fontId="5" fillId="4" borderId="21" xfId="3" applyNumberFormat="1" applyFont="1" applyFill="1" applyBorder="1" applyAlignment="1">
      <alignment horizontal="center"/>
    </xf>
    <xf numFmtId="0" fontId="4" fillId="4" borderId="21" xfId="3" applyFont="1" applyFill="1" applyBorder="1" applyAlignment="1">
      <alignment horizontal="center"/>
    </xf>
    <xf numFmtId="0" fontId="4" fillId="4" borderId="22" xfId="3" applyFont="1" applyFill="1" applyBorder="1" applyAlignment="1">
      <alignment horizontal="center"/>
    </xf>
    <xf numFmtId="0" fontId="4" fillId="2" borderId="28" xfId="3" applyFont="1" applyFill="1" applyBorder="1" applyAlignment="1">
      <alignment horizontal="center"/>
    </xf>
    <xf numFmtId="0" fontId="4" fillId="2" borderId="0" xfId="3" applyFont="1" applyFill="1"/>
    <xf numFmtId="164" fontId="4" fillId="2" borderId="0" xfId="3" applyNumberFormat="1" applyFont="1" applyFill="1" applyAlignment="1">
      <alignment horizontal="center" wrapText="1"/>
    </xf>
    <xf numFmtId="1" fontId="4" fillId="2" borderId="0" xfId="3" applyNumberFormat="1" applyFont="1" applyFill="1" applyAlignment="1">
      <alignment horizontal="center"/>
    </xf>
    <xf numFmtId="49" fontId="7" fillId="2" borderId="0" xfId="3" applyNumberFormat="1" applyFont="1" applyFill="1" applyAlignment="1">
      <alignment horizontal="center" vertical="center"/>
    </xf>
    <xf numFmtId="49" fontId="7" fillId="2" borderId="29" xfId="3" applyNumberFormat="1" applyFont="1" applyFill="1" applyBorder="1" applyAlignment="1">
      <alignment horizontal="center" vertical="center"/>
    </xf>
    <xf numFmtId="43" fontId="0" fillId="0" borderId="0" xfId="1" applyFont="1"/>
    <xf numFmtId="0" fontId="4" fillId="0" borderId="7" xfId="3" applyFont="1" applyBorder="1" applyAlignment="1">
      <alignment horizontal="center"/>
    </xf>
    <xf numFmtId="1" fontId="5" fillId="0" borderId="1" xfId="3" applyNumberFormat="1" applyFont="1" applyBorder="1" applyAlignment="1">
      <alignment horizontal="center" wrapText="1"/>
    </xf>
    <xf numFmtId="1" fontId="4" fillId="0" borderId="1" xfId="3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4" fillId="0" borderId="1" xfId="0" quotePrefix="1" applyFont="1" applyBorder="1"/>
    <xf numFmtId="0" fontId="4" fillId="0" borderId="1" xfId="0" quotePrefix="1" applyFont="1" applyBorder="1" applyAlignment="1">
      <alignment horizontal="center"/>
    </xf>
    <xf numFmtId="12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1" xfId="0" applyFont="1" applyBorder="1"/>
    <xf numFmtId="0" fontId="4" fillId="0" borderId="14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1" fontId="8" fillId="0" borderId="23" xfId="0" applyNumberFormat="1" applyFont="1" applyBorder="1"/>
    <xf numFmtId="1" fontId="5" fillId="0" borderId="1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0" fontId="10" fillId="4" borderId="3" xfId="3" applyFont="1" applyFill="1" applyBorder="1" applyAlignment="1">
      <alignment horizontal="center"/>
    </xf>
    <xf numFmtId="1" fontId="10" fillId="4" borderId="4" xfId="3" applyNumberFormat="1" applyFont="1" applyFill="1" applyBorder="1" applyAlignment="1">
      <alignment horizontal="center" wrapText="1"/>
    </xf>
    <xf numFmtId="1" fontId="10" fillId="4" borderId="4" xfId="3" applyNumberFormat="1" applyFont="1" applyFill="1" applyBorder="1" applyAlignment="1">
      <alignment horizontal="center"/>
    </xf>
    <xf numFmtId="0" fontId="10" fillId="4" borderId="16" xfId="3" applyFont="1" applyFill="1" applyBorder="1" applyAlignment="1">
      <alignment horizontal="center" vertical="center" wrapText="1"/>
    </xf>
    <xf numFmtId="14" fontId="11" fillId="2" borderId="0" xfId="2" applyNumberFormat="1" applyFont="1" applyFill="1" applyAlignment="1">
      <alignment horizontal="center" vertical="center" wrapText="1"/>
    </xf>
    <xf numFmtId="0" fontId="3" fillId="2" borderId="1" xfId="2" applyFont="1" applyFill="1" applyBorder="1" applyAlignment="1">
      <alignment horizontal="right"/>
    </xf>
    <xf numFmtId="0" fontId="3" fillId="2" borderId="11" xfId="2" applyFont="1" applyFill="1" applyBorder="1" applyAlignment="1">
      <alignment horizontal="right"/>
    </xf>
    <xf numFmtId="0" fontId="10" fillId="2" borderId="1" xfId="2" applyFont="1" applyFill="1" applyBorder="1" applyAlignment="1">
      <alignment horizontal="right"/>
    </xf>
    <xf numFmtId="0" fontId="15" fillId="0" borderId="16" xfId="0" applyFont="1" applyBorder="1" applyAlignment="1">
      <alignment horizontal="center"/>
    </xf>
    <xf numFmtId="0" fontId="10" fillId="2" borderId="17" xfId="2" applyFont="1" applyFill="1" applyBorder="1" applyAlignment="1">
      <alignment horizontal="right"/>
    </xf>
    <xf numFmtId="49" fontId="3" fillId="6" borderId="7" xfId="2" applyNumberFormat="1" applyFont="1" applyFill="1" applyBorder="1" applyAlignment="1">
      <alignment horizontal="center"/>
    </xf>
    <xf numFmtId="14" fontId="3" fillId="2" borderId="38" xfId="2" applyNumberFormat="1" applyFont="1" applyFill="1" applyBorder="1" applyAlignment="1">
      <alignment horizontal="center" vertical="center" wrapText="1"/>
    </xf>
    <xf numFmtId="14" fontId="3" fillId="2" borderId="34" xfId="2" applyNumberFormat="1" applyFont="1" applyFill="1" applyBorder="1" applyAlignment="1">
      <alignment horizontal="center" vertical="center" wrapText="1"/>
    </xf>
    <xf numFmtId="14" fontId="3" fillId="2" borderId="10" xfId="2" applyNumberFormat="1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left"/>
    </xf>
    <xf numFmtId="0" fontId="3" fillId="2" borderId="36" xfId="2" applyFont="1" applyFill="1" applyBorder="1" applyAlignment="1">
      <alignment horizontal="left"/>
    </xf>
    <xf numFmtId="0" fontId="3" fillId="2" borderId="18" xfId="2" applyFont="1" applyFill="1" applyBorder="1" applyAlignment="1">
      <alignment horizontal="left"/>
    </xf>
    <xf numFmtId="0" fontId="3" fillId="2" borderId="23" xfId="2" applyFont="1" applyFill="1" applyBorder="1" applyAlignment="1">
      <alignment horizontal="left"/>
    </xf>
    <xf numFmtId="0" fontId="3" fillId="2" borderId="14" xfId="2" applyFont="1" applyFill="1" applyBorder="1" applyAlignment="1">
      <alignment horizontal="left"/>
    </xf>
    <xf numFmtId="0" fontId="3" fillId="2" borderId="8" xfId="2" applyFont="1" applyFill="1" applyBorder="1" applyAlignment="1">
      <alignment horizontal="left"/>
    </xf>
    <xf numFmtId="0" fontId="3" fillId="2" borderId="44" xfId="2" applyFont="1" applyFill="1" applyBorder="1" applyAlignment="1">
      <alignment horizontal="center"/>
    </xf>
    <xf numFmtId="0" fontId="3" fillId="2" borderId="2" xfId="2" applyFont="1" applyFill="1" applyBorder="1" applyAlignment="1">
      <alignment horizontal="center"/>
    </xf>
    <xf numFmtId="0" fontId="3" fillId="2" borderId="29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27" xfId="2" applyFont="1" applyFill="1" applyBorder="1" applyAlignment="1">
      <alignment horizontal="center"/>
    </xf>
    <xf numFmtId="0" fontId="3" fillId="2" borderId="26" xfId="2" applyFont="1" applyFill="1" applyBorder="1" applyAlignment="1">
      <alignment horizontal="center"/>
    </xf>
    <xf numFmtId="0" fontId="14" fillId="2" borderId="17" xfId="2" applyFont="1" applyFill="1" applyBorder="1" applyAlignment="1">
      <alignment horizontal="center"/>
    </xf>
    <xf numFmtId="0" fontId="14" fillId="2" borderId="43" xfId="2" applyFont="1" applyFill="1" applyBorder="1" applyAlignment="1">
      <alignment horizontal="center"/>
    </xf>
    <xf numFmtId="0" fontId="14" fillId="2" borderId="42" xfId="2" applyFont="1" applyFill="1" applyBorder="1" applyAlignment="1">
      <alignment horizontal="center"/>
    </xf>
    <xf numFmtId="0" fontId="14" fillId="2" borderId="5" xfId="2" applyFont="1" applyFill="1" applyBorder="1" applyAlignment="1">
      <alignment horizontal="center"/>
    </xf>
    <xf numFmtId="0" fontId="13" fillId="5" borderId="41" xfId="2" applyFont="1" applyFill="1" applyBorder="1" applyAlignment="1">
      <alignment horizontal="center" vertical="center" wrapText="1"/>
    </xf>
    <xf numFmtId="0" fontId="13" fillId="5" borderId="36" xfId="2" applyFont="1" applyFill="1" applyBorder="1" applyAlignment="1">
      <alignment horizontal="center" vertical="center" wrapText="1"/>
    </xf>
    <xf numFmtId="0" fontId="13" fillId="5" borderId="40" xfId="2" applyFont="1" applyFill="1" applyBorder="1" applyAlignment="1">
      <alignment horizontal="center" vertical="center" wrapText="1"/>
    </xf>
    <xf numFmtId="0" fontId="10" fillId="2" borderId="39" xfId="2" applyFont="1" applyFill="1" applyBorder="1" applyAlignment="1">
      <alignment horizontal="right" vertical="top" wrapText="1"/>
    </xf>
    <xf numFmtId="0" fontId="10" fillId="2" borderId="35" xfId="2" applyFont="1" applyFill="1" applyBorder="1" applyAlignment="1">
      <alignment horizontal="right" vertical="top" wrapText="1"/>
    </xf>
    <xf numFmtId="0" fontId="10" fillId="2" borderId="33" xfId="2" applyFont="1" applyFill="1" applyBorder="1" applyAlignment="1">
      <alignment horizontal="right" vertical="top" wrapText="1"/>
    </xf>
    <xf numFmtId="0" fontId="12" fillId="2" borderId="0" xfId="2" applyFont="1" applyFill="1" applyAlignment="1">
      <alignment horizontal="right"/>
    </xf>
    <xf numFmtId="0" fontId="11" fillId="2" borderId="32" xfId="2" applyFont="1" applyFill="1" applyBorder="1" applyAlignment="1">
      <alignment horizontal="center"/>
    </xf>
    <xf numFmtId="0" fontId="12" fillId="2" borderId="0" xfId="2" applyFont="1" applyFill="1"/>
    <xf numFmtId="0" fontId="10" fillId="4" borderId="19" xfId="3" applyFont="1" applyFill="1" applyBorder="1" applyAlignment="1">
      <alignment horizontal="center" vertical="center"/>
    </xf>
    <xf numFmtId="0" fontId="10" fillId="4" borderId="6" xfId="3" applyFont="1" applyFill="1" applyBorder="1" applyAlignment="1">
      <alignment horizontal="center" vertical="center"/>
    </xf>
    <xf numFmtId="0" fontId="10" fillId="4" borderId="19" xfId="3" applyFont="1" applyFill="1" applyBorder="1" applyAlignment="1">
      <alignment horizontal="center" vertical="center" wrapText="1"/>
    </xf>
    <xf numFmtId="0" fontId="10" fillId="4" borderId="31" xfId="3" applyFont="1" applyFill="1" applyBorder="1" applyAlignment="1">
      <alignment horizontal="center" vertical="center" wrapText="1"/>
    </xf>
    <xf numFmtId="0" fontId="10" fillId="4" borderId="17" xfId="3" applyFont="1" applyFill="1" applyBorder="1" applyAlignment="1">
      <alignment horizontal="center" vertical="center"/>
    </xf>
    <xf numFmtId="0" fontId="10" fillId="4" borderId="30" xfId="3" applyFont="1" applyFill="1" applyBorder="1" applyAlignment="1">
      <alignment horizontal="center" vertical="center"/>
    </xf>
    <xf numFmtId="0" fontId="10" fillId="4" borderId="4" xfId="3" applyFont="1" applyFill="1" applyBorder="1" applyAlignment="1">
      <alignment horizontal="center" vertical="center"/>
    </xf>
    <xf numFmtId="0" fontId="5" fillId="0" borderId="27" xfId="3" applyFont="1" applyBorder="1" applyAlignment="1">
      <alignment horizontal="right"/>
    </xf>
    <xf numFmtId="0" fontId="5" fillId="0" borderId="26" xfId="3" applyFont="1" applyBorder="1" applyAlignment="1">
      <alignment horizontal="right"/>
    </xf>
    <xf numFmtId="0" fontId="5" fillId="0" borderId="12" xfId="3" applyFont="1" applyBorder="1" applyAlignment="1">
      <alignment horizontal="right"/>
    </xf>
    <xf numFmtId="164" fontId="4" fillId="0" borderId="11" xfId="3" applyNumberFormat="1" applyFont="1" applyBorder="1" applyAlignment="1">
      <alignment horizontal="right"/>
    </xf>
    <xf numFmtId="0" fontId="4" fillId="2" borderId="25" xfId="3" applyFont="1" applyFill="1" applyBorder="1" applyAlignment="1">
      <alignment horizontal="center"/>
    </xf>
    <xf numFmtId="0" fontId="4" fillId="2" borderId="24" xfId="3" applyFont="1" applyFill="1" applyBorder="1" applyAlignment="1">
      <alignment horizontal="center"/>
    </xf>
    <xf numFmtId="0" fontId="5" fillId="0" borderId="15" xfId="3" applyFont="1" applyBorder="1" applyAlignment="1">
      <alignment horizontal="right"/>
    </xf>
    <xf numFmtId="0" fontId="5" fillId="0" borderId="14" xfId="3" applyFont="1" applyBorder="1" applyAlignment="1">
      <alignment horizontal="right"/>
    </xf>
    <xf numFmtId="0" fontId="5" fillId="0" borderId="8" xfId="3" applyFont="1" applyBorder="1" applyAlignment="1">
      <alignment horizontal="right"/>
    </xf>
    <xf numFmtId="0" fontId="4" fillId="0" borderId="1" xfId="3" applyFont="1" applyBorder="1" applyAlignment="1">
      <alignment horizontal="right"/>
    </xf>
    <xf numFmtId="164" fontId="4" fillId="0" borderId="23" xfId="3" applyNumberFormat="1" applyFont="1" applyBorder="1" applyAlignment="1">
      <alignment horizontal="center"/>
    </xf>
    <xf numFmtId="164" fontId="4" fillId="0" borderId="13" xfId="3" applyNumberFormat="1" applyFont="1" applyBorder="1" applyAlignment="1">
      <alignment horizontal="center"/>
    </xf>
    <xf numFmtId="0" fontId="4" fillId="0" borderId="9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164" fontId="4" fillId="0" borderId="23" xfId="3" applyNumberFormat="1" applyFont="1" applyBorder="1" applyAlignment="1">
      <alignment horizontal="right" wrapText="1"/>
    </xf>
    <xf numFmtId="164" fontId="4" fillId="0" borderId="8" xfId="3" applyNumberFormat="1" applyFont="1" applyBorder="1" applyAlignment="1">
      <alignment horizontal="right" wrapText="1"/>
    </xf>
    <xf numFmtId="164" fontId="4" fillId="0" borderId="23" xfId="0" applyNumberFormat="1" applyFont="1" applyBorder="1" applyAlignment="1">
      <alignment horizontal="center" wrapText="1"/>
    </xf>
    <xf numFmtId="164" fontId="4" fillId="0" borderId="13" xfId="0" applyNumberFormat="1" applyFont="1" applyBorder="1" applyAlignment="1">
      <alignment horizontal="center" wrapText="1"/>
    </xf>
    <xf numFmtId="0" fontId="5" fillId="0" borderId="6" xfId="3" applyFont="1" applyBorder="1" applyAlignment="1">
      <alignment horizontal="right"/>
    </xf>
    <xf numFmtId="0" fontId="5" fillId="0" borderId="5" xfId="3" applyFont="1" applyBorder="1" applyAlignment="1">
      <alignment horizontal="right"/>
    </xf>
    <xf numFmtId="0" fontId="5" fillId="0" borderId="4" xfId="3" applyFont="1" applyBorder="1" applyAlignment="1">
      <alignment horizontal="right"/>
    </xf>
    <xf numFmtId="0" fontId="4" fillId="0" borderId="4" xfId="3" applyFont="1" applyBorder="1" applyAlignment="1">
      <alignment horizontal="right"/>
    </xf>
    <xf numFmtId="0" fontId="5" fillId="4" borderId="22" xfId="3" applyFont="1" applyFill="1" applyBorder="1" applyAlignment="1">
      <alignment horizontal="center"/>
    </xf>
    <xf numFmtId="0" fontId="5" fillId="4" borderId="21" xfId="3" applyFont="1" applyFill="1" applyBorder="1" applyAlignment="1">
      <alignment horizontal="center"/>
    </xf>
    <xf numFmtId="0" fontId="5" fillId="4" borderId="20" xfId="3" applyFont="1" applyFill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2" borderId="1" xfId="2" applyFont="1" applyFill="1" applyBorder="1" applyAlignment="1">
      <alignment horizontal="left"/>
    </xf>
    <xf numFmtId="0" fontId="3" fillId="2" borderId="1" xfId="2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15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5" fillId="3" borderId="1" xfId="2" applyFont="1" applyFill="1" applyBorder="1" applyAlignment="1">
      <alignment horizontal="center"/>
    </xf>
  </cellXfs>
  <cellStyles count="4">
    <cellStyle name="Millares" xfId="1" builtinId="3"/>
    <cellStyle name="Normal" xfId="0" builtinId="0"/>
    <cellStyle name="Normal 2" xfId="3" xr:uid="{D4CB72F7-E273-442E-AD33-6148BBB37444}"/>
    <cellStyle name="Normal_CRITERIOS DE EVALUACION PT DE GB 2" xfId="2" xr:uid="{924D6BD8-85ED-45F4-9DD2-FEB9F369A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47623</xdr:colOff>
      <xdr:row>0</xdr:row>
      <xdr:rowOff>154780</xdr:rowOff>
    </xdr:from>
    <xdr:ext cx="1871417" cy="845345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DD913BA-AC18-4896-8A7D-D8869660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3" y="154780"/>
          <a:ext cx="1871417" cy="84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4707-8755-45C7-900D-4ADE9E8309AF}">
  <sheetPr>
    <pageSetUpPr fitToPage="1"/>
  </sheetPr>
  <dimension ref="A1:M31"/>
  <sheetViews>
    <sheetView tabSelected="1" zoomScale="80" zoomScaleNormal="80" workbookViewId="0">
      <selection activeCell="C1" sqref="C1:G1"/>
    </sheetView>
  </sheetViews>
  <sheetFormatPr baseColWidth="10" defaultColWidth="11.42578125" defaultRowHeight="15" x14ac:dyDescent="0.25"/>
  <cols>
    <col min="1" max="1" width="10.5703125" bestFit="1" customWidth="1"/>
    <col min="2" max="2" width="18.5703125" bestFit="1" customWidth="1"/>
    <col min="3" max="3" width="49.85546875" bestFit="1" customWidth="1"/>
    <col min="4" max="4" width="19" customWidth="1"/>
    <col min="5" max="5" width="12.85546875" customWidth="1"/>
    <col min="7" max="7" width="22" customWidth="1"/>
    <col min="8" max="8" width="15.5703125" customWidth="1"/>
    <col min="9" max="9" width="17.42578125" bestFit="1" customWidth="1"/>
  </cols>
  <sheetData>
    <row r="1" spans="1:11" ht="16.5" x14ac:dyDescent="0.3">
      <c r="A1" s="62"/>
      <c r="B1" s="63"/>
      <c r="C1" s="68" t="s">
        <v>0</v>
      </c>
      <c r="D1" s="68"/>
      <c r="E1" s="68"/>
      <c r="F1" s="68"/>
      <c r="G1" s="68"/>
      <c r="H1" s="51" t="s">
        <v>1</v>
      </c>
      <c r="I1" s="50" t="s">
        <v>2</v>
      </c>
    </row>
    <row r="2" spans="1:11" ht="16.5" thickBot="1" x14ac:dyDescent="0.3">
      <c r="A2" s="64"/>
      <c r="B2" s="65"/>
      <c r="C2" s="69" t="s">
        <v>3</v>
      </c>
      <c r="D2" s="70"/>
      <c r="E2" s="70"/>
      <c r="F2" s="70"/>
      <c r="G2" s="71"/>
      <c r="H2" s="49" t="s">
        <v>4</v>
      </c>
      <c r="I2" s="52" t="s">
        <v>58</v>
      </c>
    </row>
    <row r="3" spans="1:11" ht="30.75" customHeight="1" thickBot="1" x14ac:dyDescent="0.3">
      <c r="A3" s="64"/>
      <c r="B3" s="65"/>
      <c r="C3" s="72" t="s">
        <v>5</v>
      </c>
      <c r="D3" s="73"/>
      <c r="E3" s="73"/>
      <c r="F3" s="73"/>
      <c r="G3" s="74"/>
      <c r="H3" s="75" t="s">
        <v>6</v>
      </c>
      <c r="I3" s="53">
        <v>45985</v>
      </c>
    </row>
    <row r="4" spans="1:11" x14ac:dyDescent="0.25">
      <c r="A4" s="64"/>
      <c r="B4" s="65"/>
      <c r="C4" s="48" t="s">
        <v>7</v>
      </c>
      <c r="D4" s="56" t="s">
        <v>8</v>
      </c>
      <c r="E4" s="57"/>
      <c r="F4" s="57"/>
      <c r="G4" s="58"/>
      <c r="H4" s="76"/>
      <c r="I4" s="54"/>
    </row>
    <row r="5" spans="1:11" ht="15.75" thickBot="1" x14ac:dyDescent="0.3">
      <c r="A5" s="66"/>
      <c r="B5" s="67"/>
      <c r="C5" s="47" t="s">
        <v>9</v>
      </c>
      <c r="D5" s="59" t="s">
        <v>10</v>
      </c>
      <c r="E5" s="60"/>
      <c r="F5" s="60"/>
      <c r="G5" s="61"/>
      <c r="H5" s="77"/>
      <c r="I5" s="55"/>
    </row>
    <row r="6" spans="1:11" ht="18.75" thickBot="1" x14ac:dyDescent="0.3">
      <c r="A6" s="78" t="s">
        <v>11</v>
      </c>
      <c r="B6" s="78"/>
      <c r="C6" s="78"/>
      <c r="D6" s="79" t="s">
        <v>12</v>
      </c>
      <c r="E6" s="79"/>
      <c r="F6" s="79"/>
      <c r="G6" s="80" t="s">
        <v>13</v>
      </c>
      <c r="H6" s="80"/>
      <c r="I6" s="46" t="s">
        <v>12</v>
      </c>
    </row>
    <row r="7" spans="1:11" ht="30" customHeight="1" x14ac:dyDescent="0.25">
      <c r="A7" s="81" t="s">
        <v>14</v>
      </c>
      <c r="B7" s="83" t="s">
        <v>15</v>
      </c>
      <c r="C7" s="85" t="s">
        <v>16</v>
      </c>
      <c r="D7" s="85" t="s">
        <v>17</v>
      </c>
      <c r="E7" s="85" t="s">
        <v>18</v>
      </c>
      <c r="F7" s="85"/>
      <c r="G7" s="85" t="s">
        <v>19</v>
      </c>
      <c r="H7" s="85"/>
      <c r="I7" s="45" t="s">
        <v>20</v>
      </c>
    </row>
    <row r="8" spans="1:11" ht="31.5" customHeight="1" thickBot="1" x14ac:dyDescent="0.3">
      <c r="A8" s="82"/>
      <c r="B8" s="84"/>
      <c r="C8" s="86"/>
      <c r="D8" s="87"/>
      <c r="E8" s="44" t="s">
        <v>21</v>
      </c>
      <c r="F8" s="43" t="s">
        <v>22</v>
      </c>
      <c r="G8" s="44" t="s">
        <v>21</v>
      </c>
      <c r="H8" s="43" t="s">
        <v>22</v>
      </c>
      <c r="I8" s="42" t="s">
        <v>23</v>
      </c>
    </row>
    <row r="9" spans="1:11" ht="20.25" x14ac:dyDescent="0.3">
      <c r="A9" s="41"/>
      <c r="B9" s="32" t="s">
        <v>24</v>
      </c>
      <c r="C9" s="32" t="s">
        <v>25</v>
      </c>
      <c r="D9" s="40" t="s">
        <v>26</v>
      </c>
      <c r="E9" s="39">
        <v>3000</v>
      </c>
      <c r="F9" s="22"/>
      <c r="G9" s="39"/>
      <c r="H9" s="22"/>
      <c r="I9" s="21"/>
      <c r="J9" s="20">
        <f>+E9/$D$18</f>
        <v>0.44117647058823528</v>
      </c>
      <c r="K9">
        <f>+J9*1000</f>
        <v>441.1764705882353</v>
      </c>
    </row>
    <row r="10" spans="1:11" ht="20.25" x14ac:dyDescent="0.3">
      <c r="A10" s="38"/>
      <c r="B10" s="32" t="s">
        <v>27</v>
      </c>
      <c r="C10" s="32" t="s">
        <v>28</v>
      </c>
      <c r="D10" s="31" t="s">
        <v>29</v>
      </c>
      <c r="E10" s="30">
        <v>10</v>
      </c>
      <c r="F10" s="29"/>
      <c r="G10" s="28"/>
      <c r="H10" s="27"/>
      <c r="I10" s="21"/>
      <c r="J10" s="20">
        <f>+E10/$D$18</f>
        <v>1.4705882352941176E-3</v>
      </c>
      <c r="K10">
        <f>+J10*1000</f>
        <v>1.4705882352941175</v>
      </c>
    </row>
    <row r="11" spans="1:11" ht="20.25" x14ac:dyDescent="0.3">
      <c r="A11" s="37"/>
      <c r="B11" s="32" t="s">
        <v>30</v>
      </c>
      <c r="C11" s="32" t="s">
        <v>31</v>
      </c>
      <c r="D11" s="31" t="s">
        <v>32</v>
      </c>
      <c r="E11" s="30">
        <v>2000</v>
      </c>
      <c r="F11" s="29"/>
      <c r="G11" s="28"/>
      <c r="H11" s="27"/>
      <c r="I11" s="21"/>
      <c r="J11" s="20">
        <f>+E11/$D$18</f>
        <v>0.29411764705882354</v>
      </c>
    </row>
    <row r="12" spans="1:11" ht="20.25" x14ac:dyDescent="0.3">
      <c r="A12" s="33"/>
      <c r="B12" s="32" t="s">
        <v>33</v>
      </c>
      <c r="C12" s="32" t="s">
        <v>34</v>
      </c>
      <c r="D12" s="31" t="s">
        <v>35</v>
      </c>
      <c r="E12" s="30">
        <v>1000</v>
      </c>
      <c r="F12" s="29"/>
      <c r="G12" s="28"/>
      <c r="H12" s="27"/>
      <c r="I12" s="21"/>
      <c r="J12" s="20">
        <f>+E12/$D$18</f>
        <v>0.14705882352941177</v>
      </c>
      <c r="K12">
        <f>+J12*1000</f>
        <v>147.05882352941177</v>
      </c>
    </row>
    <row r="13" spans="1:11" ht="20.25" x14ac:dyDescent="0.3">
      <c r="A13" s="36">
        <v>10415</v>
      </c>
      <c r="B13" s="35"/>
      <c r="C13" s="34" t="s">
        <v>36</v>
      </c>
      <c r="D13" s="31" t="s">
        <v>32</v>
      </c>
      <c r="E13" s="30">
        <v>1100</v>
      </c>
      <c r="F13" s="29"/>
      <c r="G13" s="28"/>
      <c r="H13" s="27"/>
      <c r="I13" s="21"/>
      <c r="J13" s="20"/>
    </row>
    <row r="14" spans="1:11" ht="20.25" x14ac:dyDescent="0.3">
      <c r="A14" s="33"/>
      <c r="B14" s="32" t="s">
        <v>37</v>
      </c>
      <c r="C14" s="32" t="s">
        <v>38</v>
      </c>
      <c r="D14" s="31" t="s">
        <v>29</v>
      </c>
      <c r="E14" s="30">
        <v>80</v>
      </c>
      <c r="F14" s="29"/>
      <c r="G14" s="28"/>
      <c r="H14" s="27"/>
      <c r="I14" s="21"/>
      <c r="J14" s="20">
        <f>+E14/$D$18</f>
        <v>1.1764705882352941E-2</v>
      </c>
      <c r="K14">
        <f>+J14*1000</f>
        <v>11.76470588235294</v>
      </c>
    </row>
    <row r="15" spans="1:11" ht="20.25" x14ac:dyDescent="0.3">
      <c r="A15" s="26"/>
      <c r="B15" s="26"/>
      <c r="C15" s="25"/>
      <c r="D15" s="4"/>
      <c r="E15" s="24"/>
      <c r="F15" s="24"/>
      <c r="G15" s="23"/>
      <c r="H15" s="22"/>
      <c r="I15" s="21"/>
      <c r="J15" s="20"/>
    </row>
    <row r="16" spans="1:11" ht="21" thickBot="1" x14ac:dyDescent="0.35">
      <c r="A16" s="19"/>
      <c r="B16" s="18"/>
      <c r="C16" s="15"/>
      <c r="D16" s="15"/>
      <c r="E16" s="17"/>
      <c r="F16" s="16"/>
      <c r="G16" s="15"/>
      <c r="H16" s="15"/>
      <c r="I16" s="14"/>
    </row>
    <row r="17" spans="1:13" ht="21" thickBot="1" x14ac:dyDescent="0.35">
      <c r="A17" s="13"/>
      <c r="B17" s="12"/>
      <c r="C17" s="9"/>
      <c r="D17" s="1" t="s">
        <v>21</v>
      </c>
      <c r="E17" s="11" t="s">
        <v>39</v>
      </c>
      <c r="F17" s="10"/>
      <c r="G17" s="9"/>
      <c r="H17" s="9"/>
      <c r="I17" s="8"/>
    </row>
    <row r="18" spans="1:13" ht="20.25" x14ac:dyDescent="0.3">
      <c r="A18" s="88" t="s">
        <v>40</v>
      </c>
      <c r="B18" s="89"/>
      <c r="C18" s="90"/>
      <c r="D18" s="7">
        <v>6800</v>
      </c>
      <c r="E18" s="6" t="s">
        <v>41</v>
      </c>
      <c r="F18" s="91" t="s">
        <v>42</v>
      </c>
      <c r="G18" s="91"/>
      <c r="H18" s="92"/>
      <c r="I18" s="93"/>
      <c r="K18">
        <v>6800</v>
      </c>
      <c r="L18">
        <v>1000</v>
      </c>
      <c r="M18">
        <f>6800/4000</f>
        <v>1.7</v>
      </c>
    </row>
    <row r="19" spans="1:13" ht="20.25" x14ac:dyDescent="0.3">
      <c r="A19" s="94" t="s">
        <v>43</v>
      </c>
      <c r="B19" s="95"/>
      <c r="C19" s="96"/>
      <c r="D19" s="5">
        <v>4</v>
      </c>
      <c r="E19" s="4" t="s">
        <v>44</v>
      </c>
      <c r="F19" s="97" t="s">
        <v>45</v>
      </c>
      <c r="G19" s="97"/>
      <c r="H19" s="98"/>
      <c r="I19" s="99"/>
      <c r="K19">
        <v>4</v>
      </c>
    </row>
    <row r="20" spans="1:13" ht="20.25" x14ac:dyDescent="0.3">
      <c r="A20" s="94" t="s">
        <v>46</v>
      </c>
      <c r="B20" s="95"/>
      <c r="C20" s="96"/>
      <c r="D20" s="5">
        <f>D18/D21</f>
        <v>18.888888888888889</v>
      </c>
      <c r="E20" s="4" t="s">
        <v>47</v>
      </c>
      <c r="F20" s="97" t="s">
        <v>48</v>
      </c>
      <c r="G20" s="97"/>
      <c r="H20" s="98"/>
      <c r="I20" s="99"/>
    </row>
    <row r="21" spans="1:13" ht="20.25" x14ac:dyDescent="0.3">
      <c r="A21" s="94" t="s">
        <v>49</v>
      </c>
      <c r="B21" s="95"/>
      <c r="C21" s="96"/>
      <c r="D21" s="5">
        <v>360</v>
      </c>
      <c r="E21" s="4" t="s">
        <v>41</v>
      </c>
      <c r="F21" s="104" t="s">
        <v>50</v>
      </c>
      <c r="G21" s="105"/>
      <c r="H21" s="106"/>
      <c r="I21" s="107"/>
    </row>
    <row r="22" spans="1:13" ht="21" thickBot="1" x14ac:dyDescent="0.35">
      <c r="A22" s="108" t="s">
        <v>51</v>
      </c>
      <c r="B22" s="109"/>
      <c r="C22" s="110"/>
      <c r="D22" s="3">
        <f>SUM(E9:E14)-D18</f>
        <v>390</v>
      </c>
      <c r="E22" s="2" t="s">
        <v>41</v>
      </c>
      <c r="F22" s="111"/>
      <c r="G22" s="111"/>
      <c r="H22" s="98"/>
      <c r="I22" s="99"/>
      <c r="L22">
        <f>4000/6800</f>
        <v>0.58823529411764708</v>
      </c>
      <c r="M22">
        <f>+L22/1000</f>
        <v>5.8823529411764712E-4</v>
      </c>
    </row>
    <row r="23" spans="1:13" ht="21" thickBot="1" x14ac:dyDescent="0.35">
      <c r="A23" s="112" t="s">
        <v>52</v>
      </c>
      <c r="B23" s="113"/>
      <c r="C23" s="113"/>
      <c r="D23" s="113"/>
      <c r="E23" s="113"/>
      <c r="F23" s="113"/>
      <c r="G23" s="113"/>
      <c r="H23" s="113"/>
      <c r="I23" s="114"/>
    </row>
    <row r="24" spans="1:13" ht="20.25" x14ac:dyDescent="0.3">
      <c r="A24" s="115" t="s">
        <v>53</v>
      </c>
      <c r="B24" s="116"/>
      <c r="C24" s="117"/>
      <c r="D24" s="117"/>
      <c r="E24" s="117"/>
      <c r="F24" s="117"/>
      <c r="G24" s="117"/>
      <c r="H24" s="117"/>
      <c r="I24" s="118"/>
    </row>
    <row r="25" spans="1:13" ht="20.25" x14ac:dyDescent="0.3">
      <c r="A25" s="100" t="s">
        <v>54</v>
      </c>
      <c r="B25" s="101"/>
      <c r="C25" s="102"/>
      <c r="D25" s="102"/>
      <c r="E25" s="102"/>
      <c r="F25" s="102"/>
      <c r="G25" s="102"/>
      <c r="H25" s="102"/>
      <c r="I25" s="103"/>
    </row>
    <row r="26" spans="1:13" ht="20.25" x14ac:dyDescent="0.3">
      <c r="A26" s="121" t="s">
        <v>55</v>
      </c>
      <c r="B26" s="122"/>
      <c r="C26" s="123"/>
      <c r="D26" s="123"/>
      <c r="E26" s="123"/>
      <c r="F26" s="123"/>
      <c r="G26" s="123"/>
      <c r="H26" s="123"/>
      <c r="I26" s="124"/>
    </row>
    <row r="27" spans="1:13" ht="20.25" x14ac:dyDescent="0.25">
      <c r="A27" s="125"/>
      <c r="B27" s="126"/>
      <c r="C27" s="126"/>
      <c r="D27" s="126"/>
      <c r="E27" s="126"/>
      <c r="F27" s="126"/>
      <c r="G27" s="126"/>
      <c r="H27" s="126"/>
      <c r="I27" s="127"/>
    </row>
    <row r="28" spans="1:13" ht="20.25" x14ac:dyDescent="0.3">
      <c r="A28" s="128"/>
      <c r="B28" s="129"/>
      <c r="C28" s="130"/>
      <c r="D28" s="130"/>
      <c r="E28" s="130"/>
      <c r="F28" s="130"/>
      <c r="G28" s="130"/>
      <c r="H28" s="130"/>
      <c r="I28" s="131"/>
    </row>
    <row r="29" spans="1:13" ht="20.25" x14ac:dyDescent="0.3">
      <c r="A29" s="132" t="s">
        <v>56</v>
      </c>
      <c r="B29" s="132"/>
      <c r="C29" s="132"/>
      <c r="D29" s="132"/>
      <c r="E29" s="132"/>
      <c r="F29" s="132"/>
      <c r="G29" s="132"/>
      <c r="H29" s="132"/>
      <c r="I29" s="132"/>
    </row>
    <row r="30" spans="1:13" ht="20.25" x14ac:dyDescent="0.3">
      <c r="A30" s="119" t="s">
        <v>57</v>
      </c>
      <c r="B30" s="119"/>
      <c r="C30" s="119"/>
      <c r="D30" s="119"/>
      <c r="E30" s="119"/>
      <c r="F30" s="119"/>
      <c r="G30" s="119"/>
      <c r="H30" s="119"/>
      <c r="I30" s="119"/>
    </row>
    <row r="31" spans="1:13" ht="22.5" customHeight="1" x14ac:dyDescent="0.25">
      <c r="A31" s="120"/>
      <c r="B31" s="120"/>
      <c r="C31" s="120"/>
      <c r="D31" s="120"/>
      <c r="E31" s="120"/>
      <c r="F31" s="120"/>
      <c r="G31" s="120"/>
      <c r="H31" s="120"/>
      <c r="I31" s="120"/>
    </row>
  </sheetData>
  <mergeCells count="41">
    <mergeCell ref="A29:I29"/>
    <mergeCell ref="A30:I30"/>
    <mergeCell ref="A31:I31"/>
    <mergeCell ref="A26:I26"/>
    <mergeCell ref="A27:I27"/>
    <mergeCell ref="A28:I28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18:C18"/>
    <mergeCell ref="F18:G18"/>
    <mergeCell ref="H18:I18"/>
    <mergeCell ref="A19:C19"/>
    <mergeCell ref="F19:G19"/>
    <mergeCell ref="H19:I1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32D38C0-2124-442E-AF8A-AFD658491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F7ED74-109C-46D9-B2AA-F52080215C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F1807E-2BC8-4511-8AB8-652FDCB8928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Mousse queso</vt:lpstr>
      <vt:lpstr>'Mousse queso'!Área_de_impresión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Brenes</dc:creator>
  <cp:keywords/>
  <dc:description/>
  <cp:lastModifiedBy>Allan Brenes</cp:lastModifiedBy>
  <cp:revision/>
  <cp:lastPrinted>2026-03-18T15:46:06Z</cp:lastPrinted>
  <dcterms:created xsi:type="dcterms:W3CDTF">2025-11-24T20:04:32Z</dcterms:created>
  <dcterms:modified xsi:type="dcterms:W3CDTF">2026-03-18T15:47:00Z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
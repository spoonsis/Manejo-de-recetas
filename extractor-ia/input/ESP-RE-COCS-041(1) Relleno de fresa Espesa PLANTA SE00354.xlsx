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CALIENTE/"/>
    </mc:Choice>
  </mc:AlternateContent>
  <xr:revisionPtr revIDLastSave="5" documentId="8_{82871176-815A-4D0C-A1A0-C6F4C4E0E031}" xr6:coauthVersionLast="47" xr6:coauthVersionMax="47" xr10:uidLastSave="{1C5CC467-CF9A-410F-9BDF-DCCCC3499432}"/>
  <bookViews>
    <workbookView xWindow="-120" yWindow="-120" windowWidth="29040" windowHeight="15840" xr2:uid="{00000000-000D-0000-FFFF-FFFF00000000}"/>
  </bookViews>
  <sheets>
    <sheet name="Hoja1" sheetId="12" r:id="rId1"/>
    <sheet name="Costo Relleno 6-04-2020" sheetId="10" state="hidden" r:id="rId2"/>
    <sheet name="COSTEO RELL" sheetId="4" state="hidden" r:id="rId3"/>
    <sheet name="costo empaque 06-04-2020" sheetId="11" state="hidden" r:id="rId4"/>
    <sheet name="COSTEO EMP" sheetId="5" state="hidden" r:id="rId5"/>
  </sheets>
  <externalReferences>
    <externalReference r:id="rId6"/>
    <externalReference r:id="rId7"/>
    <externalReference r:id="rId8"/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40" i="10" l="1"/>
  <c r="E33" i="10"/>
  <c r="D66" i="11"/>
  <c r="D67" i="11"/>
  <c r="D69" i="11"/>
  <c r="D64" i="11"/>
  <c r="D62" i="11"/>
  <c r="F58" i="11"/>
  <c r="C66" i="11"/>
  <c r="D53" i="11"/>
  <c r="D78" i="11"/>
  <c r="D79" i="11"/>
  <c r="C44" i="11"/>
  <c r="E43" i="11"/>
  <c r="A43" i="11"/>
  <c r="C43" i="11"/>
  <c r="E42" i="11"/>
  <c r="A42" i="11"/>
  <c r="C42" i="11"/>
  <c r="E41" i="11"/>
  <c r="A41" i="11"/>
  <c r="C41" i="11"/>
  <c r="E40" i="11"/>
  <c r="A40" i="11"/>
  <c r="C40" i="11"/>
  <c r="A39" i="11"/>
  <c r="C39" i="11"/>
  <c r="E36" i="11"/>
  <c r="A36" i="11"/>
  <c r="C36" i="11"/>
  <c r="E35" i="11"/>
  <c r="A35" i="11"/>
  <c r="C35" i="11"/>
  <c r="E34" i="11"/>
  <c r="A34" i="11"/>
  <c r="C34" i="11"/>
  <c r="E33" i="11"/>
  <c r="A33" i="11"/>
  <c r="C33" i="11"/>
  <c r="C32" i="11"/>
  <c r="A32" i="11"/>
  <c r="B30" i="11"/>
  <c r="E29" i="11"/>
  <c r="F29" i="11"/>
  <c r="D29" i="11"/>
  <c r="C29" i="11"/>
  <c r="B29" i="11"/>
  <c r="E28" i="11"/>
  <c r="F28" i="11"/>
  <c r="D28" i="11"/>
  <c r="C28" i="11"/>
  <c r="B28" i="11"/>
  <c r="E27" i="11"/>
  <c r="D27" i="11"/>
  <c r="C27" i="11"/>
  <c r="B27" i="11"/>
  <c r="E26" i="11"/>
  <c r="C26" i="11"/>
  <c r="E25" i="11"/>
  <c r="C25" i="11"/>
  <c r="E24" i="11"/>
  <c r="D24" i="11"/>
  <c r="C24" i="11"/>
  <c r="B24" i="11"/>
  <c r="E21" i="11"/>
  <c r="D21" i="11"/>
  <c r="C21" i="11"/>
  <c r="B21" i="11"/>
  <c r="E20" i="11"/>
  <c r="F20" i="11"/>
  <c r="D20" i="11"/>
  <c r="C20" i="11"/>
  <c r="B20" i="11"/>
  <c r="E19" i="11"/>
  <c r="D19" i="11"/>
  <c r="C19" i="11"/>
  <c r="B19" i="11"/>
  <c r="E18" i="11"/>
  <c r="F18" i="11"/>
  <c r="D18" i="11"/>
  <c r="C18" i="11"/>
  <c r="B18" i="11"/>
  <c r="C17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H6" i="11"/>
  <c r="D66" i="10"/>
  <c r="D67" i="10"/>
  <c r="D69" i="10"/>
  <c r="D64" i="10"/>
  <c r="D62" i="10"/>
  <c r="F58" i="10"/>
  <c r="C66" i="10"/>
  <c r="D53" i="10"/>
  <c r="D78" i="10"/>
  <c r="D79" i="10"/>
  <c r="C44" i="10"/>
  <c r="E43" i="10"/>
  <c r="A43" i="10"/>
  <c r="C43" i="10"/>
  <c r="E42" i="10"/>
  <c r="C42" i="10"/>
  <c r="A42" i="10"/>
  <c r="E41" i="10"/>
  <c r="A41" i="10"/>
  <c r="C41" i="10"/>
  <c r="A40" i="10"/>
  <c r="C40" i="10"/>
  <c r="F40" i="10"/>
  <c r="A39" i="10"/>
  <c r="C39" i="10"/>
  <c r="E36" i="10"/>
  <c r="A36" i="10"/>
  <c r="C36" i="10"/>
  <c r="E35" i="10"/>
  <c r="A35" i="10"/>
  <c r="C35" i="10"/>
  <c r="E34" i="10"/>
  <c r="A34" i="10"/>
  <c r="C34" i="10"/>
  <c r="A33" i="10"/>
  <c r="C33" i="10"/>
  <c r="A32" i="10"/>
  <c r="C32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C24" i="10"/>
  <c r="F24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C18" i="10"/>
  <c r="C17" i="10"/>
  <c r="B15" i="10"/>
  <c r="E14" i="10"/>
  <c r="D14" i="10"/>
  <c r="C14" i="10"/>
  <c r="B14" i="10"/>
  <c r="E13" i="10"/>
  <c r="D13" i="10"/>
  <c r="C13" i="10"/>
  <c r="B13" i="10"/>
  <c r="E12" i="10"/>
  <c r="C12" i="10"/>
  <c r="B12" i="10"/>
  <c r="C11" i="10"/>
  <c r="C10" i="10"/>
  <c r="E9" i="10"/>
  <c r="D9" i="10"/>
  <c r="C9" i="10"/>
  <c r="B9" i="10"/>
  <c r="E8" i="10"/>
  <c r="D8" i="10"/>
  <c r="C8" i="10"/>
  <c r="B8" i="10"/>
  <c r="H6" i="10"/>
  <c r="F20" i="10"/>
  <c r="F25" i="10"/>
  <c r="F10" i="11"/>
  <c r="F12" i="11"/>
  <c r="F14" i="11"/>
  <c r="D76" i="11"/>
  <c r="D74" i="11"/>
  <c r="F41" i="11"/>
  <c r="F27" i="11"/>
  <c r="F36" i="11"/>
  <c r="G36" i="11"/>
  <c r="F33" i="11"/>
  <c r="G33" i="11"/>
  <c r="F42" i="11"/>
  <c r="F26" i="11"/>
  <c r="F24" i="11"/>
  <c r="F25" i="11"/>
  <c r="F11" i="11"/>
  <c r="F13" i="11"/>
  <c r="F8" i="11"/>
  <c r="F14" i="10"/>
  <c r="F9" i="11"/>
  <c r="D74" i="10"/>
  <c r="D76" i="10"/>
  <c r="F41" i="10"/>
  <c r="F43" i="10"/>
  <c r="F34" i="10"/>
  <c r="G34" i="10"/>
  <c r="F26" i="10"/>
  <c r="F27" i="10"/>
  <c r="F28" i="10"/>
  <c r="F29" i="10"/>
  <c r="F42" i="10"/>
  <c r="F36" i="10"/>
  <c r="G36" i="10"/>
  <c r="F34" i="11"/>
  <c r="G34" i="11"/>
  <c r="F19" i="10"/>
  <c r="F21" i="10"/>
  <c r="F35" i="10"/>
  <c r="G35" i="10"/>
  <c r="F19" i="11"/>
  <c r="F21" i="11"/>
  <c r="F35" i="11"/>
  <c r="G35" i="11"/>
  <c r="F40" i="11"/>
  <c r="F43" i="11"/>
  <c r="F33" i="10"/>
  <c r="G33" i="10"/>
  <c r="F10" i="10"/>
  <c r="F13" i="10"/>
  <c r="F8" i="10"/>
  <c r="F9" i="10"/>
  <c r="F11" i="10"/>
  <c r="F12" i="10"/>
  <c r="E66" i="11"/>
  <c r="C78" i="11"/>
  <c r="E78" i="11"/>
  <c r="E44" i="11"/>
  <c r="F44" i="11"/>
  <c r="C78" i="10"/>
  <c r="E78" i="10"/>
  <c r="E66" i="10"/>
  <c r="E44" i="10"/>
  <c r="F44" i="10"/>
  <c r="E18" i="10"/>
  <c r="F18" i="10"/>
  <c r="B12" i="4"/>
  <c r="C12" i="4"/>
  <c r="D12" i="4"/>
  <c r="E12" i="4"/>
  <c r="B13" i="4"/>
  <c r="C13" i="4"/>
  <c r="D13" i="4"/>
  <c r="E13" i="4"/>
  <c r="F13" i="4"/>
  <c r="F12" i="4"/>
  <c r="C14" i="4"/>
  <c r="F14" i="4"/>
  <c r="D62" i="5"/>
  <c r="D63" i="5"/>
  <c r="D65" i="5"/>
  <c r="D60" i="5"/>
  <c r="D58" i="5"/>
  <c r="F54" i="5"/>
  <c r="E40" i="5"/>
  <c r="D49" i="5"/>
  <c r="D74" i="5"/>
  <c r="D75" i="5"/>
  <c r="N46" i="5"/>
  <c r="C40" i="5"/>
  <c r="A39" i="5"/>
  <c r="C39" i="5"/>
  <c r="E36" i="5"/>
  <c r="A36" i="5"/>
  <c r="C36" i="5"/>
  <c r="E35" i="5"/>
  <c r="A35" i="5"/>
  <c r="C35" i="5"/>
  <c r="E34" i="5"/>
  <c r="A34" i="5"/>
  <c r="C34" i="5"/>
  <c r="E33" i="5"/>
  <c r="A33" i="5"/>
  <c r="C33" i="5"/>
  <c r="A32" i="5"/>
  <c r="C32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C17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F8" i="5"/>
  <c r="D8" i="5"/>
  <c r="C8" i="5"/>
  <c r="B8" i="5"/>
  <c r="H6" i="5"/>
  <c r="C62" i="5"/>
  <c r="C74" i="5"/>
  <c r="F40" i="5"/>
  <c r="F33" i="5"/>
  <c r="G33" i="5"/>
  <c r="F34" i="5"/>
  <c r="G34" i="5"/>
  <c r="F36" i="5"/>
  <c r="G36" i="5"/>
  <c r="F27" i="5"/>
  <c r="F28" i="5"/>
  <c r="F29" i="5"/>
  <c r="F26" i="5"/>
  <c r="F25" i="5"/>
  <c r="F24" i="5"/>
  <c r="F18" i="5"/>
  <c r="F19" i="5"/>
  <c r="F20" i="5"/>
  <c r="F21" i="5"/>
  <c r="F9" i="5"/>
  <c r="F10" i="5"/>
  <c r="F11" i="5"/>
  <c r="F12" i="5"/>
  <c r="F13" i="5"/>
  <c r="F14" i="5"/>
  <c r="F35" i="5"/>
  <c r="G35" i="5"/>
  <c r="E74" i="5"/>
  <c r="E62" i="5"/>
  <c r="D72" i="5"/>
  <c r="D70" i="5"/>
  <c r="D62" i="4"/>
  <c r="D63" i="4"/>
  <c r="D65" i="4"/>
  <c r="D60" i="4"/>
  <c r="D58" i="4"/>
  <c r="F54" i="4"/>
  <c r="E40" i="4"/>
  <c r="D49" i="4"/>
  <c r="D74" i="4"/>
  <c r="D75" i="4"/>
  <c r="N46" i="4"/>
  <c r="C40" i="4"/>
  <c r="A39" i="4"/>
  <c r="C39" i="4"/>
  <c r="E36" i="4"/>
  <c r="A36" i="4"/>
  <c r="C36" i="4"/>
  <c r="E35" i="4"/>
  <c r="A35" i="4"/>
  <c r="C35" i="4"/>
  <c r="E34" i="4"/>
  <c r="A34" i="4"/>
  <c r="C34" i="4"/>
  <c r="E33" i="4"/>
  <c r="A33" i="4"/>
  <c r="C33" i="4"/>
  <c r="A32" i="4"/>
  <c r="C32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D17" i="4"/>
  <c r="C17" i="4"/>
  <c r="B17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H6" i="4"/>
  <c r="F24" i="4"/>
  <c r="F25" i="4"/>
  <c r="F26" i="4"/>
  <c r="F27" i="4"/>
  <c r="F28" i="4"/>
  <c r="F29" i="4"/>
  <c r="F18" i="4"/>
  <c r="F20" i="4"/>
  <c r="F21" i="4"/>
  <c r="F34" i="4"/>
  <c r="G34" i="4"/>
  <c r="C62" i="4"/>
  <c r="C74" i="4"/>
  <c r="E74" i="4"/>
  <c r="F40" i="4"/>
  <c r="F35" i="4"/>
  <c r="G35" i="4"/>
  <c r="F10" i="4"/>
  <c r="F8" i="4"/>
  <c r="F9" i="4"/>
  <c r="F11" i="4"/>
  <c r="F19" i="4"/>
  <c r="F36" i="4"/>
  <c r="G36" i="4"/>
  <c r="F33" i="4"/>
  <c r="G33" i="4"/>
  <c r="D72" i="4"/>
  <c r="D70" i="4"/>
  <c r="E62" i="4"/>
  <c r="E32" i="4"/>
  <c r="F32" i="4"/>
  <c r="E17" i="4"/>
  <c r="F17" i="4"/>
  <c r="G32" i="4"/>
  <c r="F43" i="4"/>
  <c r="F42" i="4"/>
  <c r="E39" i="4"/>
  <c r="F39" i="4"/>
  <c r="F45" i="4"/>
  <c r="H42" i="4"/>
  <c r="F2" i="4"/>
  <c r="C58" i="4"/>
  <c r="F53" i="4"/>
  <c r="F44" i="4"/>
  <c r="H43" i="4"/>
  <c r="G2" i="4"/>
  <c r="C65" i="4"/>
  <c r="E65" i="4"/>
  <c r="E32" i="5"/>
  <c r="F32" i="5"/>
  <c r="H44" i="4"/>
  <c r="O43" i="4"/>
  <c r="F52" i="4"/>
  <c r="G32" i="5"/>
  <c r="F43" i="5"/>
  <c r="H45" i="4"/>
  <c r="H2" i="4"/>
  <c r="C63" i="4"/>
  <c r="O44" i="4"/>
  <c r="C70" i="4"/>
  <c r="E70" i="4"/>
  <c r="E58" i="4"/>
  <c r="H43" i="5"/>
  <c r="G2" i="5"/>
  <c r="C65" i="5"/>
  <c r="E65" i="5"/>
  <c r="O45" i="4"/>
  <c r="E17" i="5"/>
  <c r="F17" i="5"/>
  <c r="E63" i="4"/>
  <c r="E39" i="5"/>
  <c r="F39" i="5"/>
  <c r="C75" i="4"/>
  <c r="E75" i="4"/>
  <c r="C60" i="4"/>
  <c r="E52" i="4"/>
  <c r="F55" i="4"/>
  <c r="G52" i="4"/>
  <c r="O46" i="4"/>
  <c r="O48" i="4"/>
  <c r="O49" i="4"/>
  <c r="O47" i="4"/>
  <c r="O50" i="4"/>
  <c r="O51" i="4"/>
  <c r="O52" i="4"/>
  <c r="O53" i="4"/>
  <c r="G13" i="4"/>
  <c r="G26" i="4"/>
  <c r="G40" i="4"/>
  <c r="G24" i="4"/>
  <c r="G20" i="4"/>
  <c r="G28" i="4"/>
  <c r="G55" i="4"/>
  <c r="G18" i="4"/>
  <c r="G8" i="4"/>
  <c r="G14" i="4"/>
  <c r="G21" i="4"/>
  <c r="G10" i="4"/>
  <c r="G12" i="4"/>
  <c r="G19" i="4"/>
  <c r="G27" i="4"/>
  <c r="G9" i="4"/>
  <c r="G54" i="4"/>
  <c r="G11" i="4"/>
  <c r="G25" i="4"/>
  <c r="G29" i="4"/>
  <c r="G17" i="4"/>
  <c r="G42" i="4"/>
  <c r="G39" i="4"/>
  <c r="G43" i="4"/>
  <c r="G53" i="4"/>
  <c r="G44" i="4"/>
  <c r="G45" i="4"/>
  <c r="F45" i="5"/>
  <c r="E67" i="4"/>
  <c r="C72" i="4"/>
  <c r="E72" i="4"/>
  <c r="E60" i="4"/>
  <c r="F42" i="5"/>
  <c r="H42" i="5"/>
  <c r="F2" i="5"/>
  <c r="C58" i="5"/>
  <c r="F44" i="5"/>
  <c r="F53" i="5"/>
  <c r="H45" i="5"/>
  <c r="H2" i="5"/>
  <c r="O44" i="5"/>
  <c r="C63" i="5"/>
  <c r="E2" i="4"/>
  <c r="P53" i="4"/>
  <c r="C75" i="5"/>
  <c r="E75" i="5"/>
  <c r="E63" i="5"/>
  <c r="H44" i="5"/>
  <c r="F52" i="5"/>
  <c r="O43" i="5"/>
  <c r="C70" i="5"/>
  <c r="E70" i="5"/>
  <c r="E58" i="5"/>
  <c r="O46" i="5"/>
  <c r="O49" i="5"/>
  <c r="E67" i="5"/>
  <c r="O48" i="5"/>
  <c r="F55" i="5"/>
  <c r="G52" i="5"/>
  <c r="E52" i="5"/>
  <c r="C60" i="5"/>
  <c r="O45" i="5"/>
  <c r="O47" i="5"/>
  <c r="E60" i="5"/>
  <c r="C72" i="5"/>
  <c r="E72" i="5"/>
  <c r="O50" i="5"/>
  <c r="O51" i="5"/>
  <c r="O52" i="5"/>
  <c r="O53" i="5"/>
  <c r="O56" i="5"/>
  <c r="O57" i="5"/>
  <c r="G27" i="5"/>
  <c r="G26" i="5"/>
  <c r="G25" i="5"/>
  <c r="G54" i="5"/>
  <c r="G21" i="5"/>
  <c r="G9" i="5"/>
  <c r="G40" i="5"/>
  <c r="G55" i="5"/>
  <c r="G18" i="5"/>
  <c r="G10" i="5"/>
  <c r="G28" i="5"/>
  <c r="G11" i="5"/>
  <c r="G12" i="5"/>
  <c r="G24" i="5"/>
  <c r="G20" i="5"/>
  <c r="G8" i="5"/>
  <c r="G19" i="5"/>
  <c r="G14" i="5"/>
  <c r="G29" i="5"/>
  <c r="G13" i="5"/>
  <c r="G43" i="5"/>
  <c r="G39" i="5"/>
  <c r="G17" i="5"/>
  <c r="G42" i="5"/>
  <c r="G45" i="5"/>
  <c r="G53" i="5"/>
  <c r="G44" i="5"/>
  <c r="P53" i="5"/>
  <c r="E2" i="5"/>
  <c r="E32" i="10"/>
  <c r="F32" i="10"/>
  <c r="G32" i="10"/>
  <c r="F47" i="10"/>
  <c r="E39" i="10"/>
  <c r="F39" i="10"/>
  <c r="E17" i="10"/>
  <c r="F17" i="10"/>
  <c r="F49" i="10"/>
  <c r="H47" i="10"/>
  <c r="G2" i="10"/>
  <c r="C69" i="10"/>
  <c r="E69" i="10"/>
  <c r="E32" i="11"/>
  <c r="F32" i="11"/>
  <c r="F46" i="10"/>
  <c r="G32" i="11"/>
  <c r="F47" i="11"/>
  <c r="F57" i="10"/>
  <c r="F48" i="10"/>
  <c r="C62" i="10"/>
  <c r="H46" i="10"/>
  <c r="F2" i="10"/>
  <c r="C67" i="10"/>
  <c r="H49" i="10"/>
  <c r="H2" i="10"/>
  <c r="O48" i="10"/>
  <c r="C69" i="11"/>
  <c r="E69" i="11"/>
  <c r="H47" i="11"/>
  <c r="G2" i="11"/>
  <c r="C74" i="10"/>
  <c r="E74" i="10"/>
  <c r="E62" i="10"/>
  <c r="E17" i="11"/>
  <c r="F17" i="11"/>
  <c r="C79" i="10"/>
  <c r="E79" i="10"/>
  <c r="E67" i="10"/>
  <c r="H48" i="10"/>
  <c r="F56" i="10"/>
  <c r="O47" i="10"/>
  <c r="O49" i="10"/>
  <c r="O50" i="10"/>
  <c r="O51" i="10"/>
  <c r="O52" i="10"/>
  <c r="E71" i="10"/>
  <c r="E39" i="11"/>
  <c r="F39" i="11"/>
  <c r="F46" i="11"/>
  <c r="O53" i="10"/>
  <c r="O54" i="10"/>
  <c r="O55" i="10"/>
  <c r="C64" i="10"/>
  <c r="F59" i="10"/>
  <c r="E56" i="10"/>
  <c r="F57" i="11"/>
  <c r="F48" i="11"/>
  <c r="C62" i="11"/>
  <c r="H46" i="11"/>
  <c r="F2" i="11"/>
  <c r="F49" i="11"/>
  <c r="G56" i="10"/>
  <c r="G28" i="10"/>
  <c r="G43" i="10"/>
  <c r="G42" i="10"/>
  <c r="G18" i="10"/>
  <c r="G20" i="10"/>
  <c r="G9" i="10"/>
  <c r="G26" i="10"/>
  <c r="G27" i="10"/>
  <c r="G44" i="10"/>
  <c r="G19" i="10"/>
  <c r="G58" i="10"/>
  <c r="G41" i="10"/>
  <c r="G12" i="10"/>
  <c r="G40" i="10"/>
  <c r="G10" i="10"/>
  <c r="G59" i="10"/>
  <c r="G11" i="10"/>
  <c r="G24" i="10"/>
  <c r="G21" i="10"/>
  <c r="G13" i="10"/>
  <c r="G14" i="10"/>
  <c r="G8" i="10"/>
  <c r="G29" i="10"/>
  <c r="G25" i="10"/>
  <c r="G47" i="10"/>
  <c r="G39" i="10"/>
  <c r="G17" i="10"/>
  <c r="G46" i="10"/>
  <c r="G49" i="10"/>
  <c r="G57" i="10"/>
  <c r="G48" i="10"/>
  <c r="C76" i="10"/>
  <c r="E76" i="10"/>
  <c r="E64" i="10"/>
  <c r="E2" i="10"/>
  <c r="P55" i="10"/>
  <c r="O48" i="11"/>
  <c r="C67" i="11"/>
  <c r="H49" i="11"/>
  <c r="H2" i="11"/>
  <c r="O47" i="11"/>
  <c r="O49" i="11"/>
  <c r="O50" i="11"/>
  <c r="O51" i="11"/>
  <c r="O52" i="11"/>
  <c r="O53" i="11"/>
  <c r="O54" i="11"/>
  <c r="O55" i="11"/>
  <c r="F56" i="11"/>
  <c r="H48" i="11"/>
  <c r="E62" i="11"/>
  <c r="C74" i="11"/>
  <c r="E74" i="11"/>
  <c r="E2" i="11"/>
  <c r="P55" i="11"/>
  <c r="C64" i="11"/>
  <c r="E56" i="11"/>
  <c r="F59" i="11"/>
  <c r="G56" i="11"/>
  <c r="E67" i="11"/>
  <c r="E71" i="11"/>
  <c r="C79" i="11"/>
  <c r="E79" i="11"/>
  <c r="C76" i="11"/>
  <c r="E76" i="11"/>
  <c r="E64" i="11"/>
  <c r="G42" i="11"/>
  <c r="G24" i="11"/>
  <c r="G58" i="11"/>
  <c r="G10" i="11"/>
  <c r="G20" i="11"/>
  <c r="G21" i="11"/>
  <c r="G8" i="11"/>
  <c r="G26" i="11"/>
  <c r="G41" i="11"/>
  <c r="G59" i="11"/>
  <c r="G12" i="11"/>
  <c r="G18" i="11"/>
  <c r="G19" i="11"/>
  <c r="G28" i="11"/>
  <c r="G14" i="11"/>
  <c r="G44" i="11"/>
  <c r="G29" i="11"/>
  <c r="G13" i="11"/>
  <c r="G25" i="11"/>
  <c r="G11" i="11"/>
  <c r="G9" i="11"/>
  <c r="G27" i="11"/>
  <c r="G40" i="11"/>
  <c r="G43" i="11"/>
  <c r="G47" i="11"/>
  <c r="G17" i="11"/>
  <c r="G46" i="11"/>
  <c r="G39" i="11"/>
  <c r="G57" i="11"/>
  <c r="G49" i="11"/>
  <c r="G48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arodriguez</author>
  </authors>
  <commentList>
    <comment ref="N48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arodriguez:</t>
        </r>
        <r>
          <rPr>
            <sz val="9"/>
            <color indexed="81"/>
            <rFont val="Tahoma"/>
            <family val="2"/>
          </rPr>
          <t xml:space="preserve">
Iincluye alisto y camiones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arodriguez</author>
  </authors>
  <commentList>
    <comment ref="N48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arodriguez:</t>
        </r>
        <r>
          <rPr>
            <sz val="9"/>
            <color indexed="81"/>
            <rFont val="Tahoma"/>
            <family val="2"/>
          </rPr>
          <t xml:space="preserve">
Iincluye alisto y camiones</t>
        </r>
      </text>
    </comment>
  </commentList>
</comments>
</file>

<file path=xl/sharedStrings.xml><?xml version="1.0" encoding="utf-8"?>
<sst xmlns="http://schemas.openxmlformats.org/spreadsheetml/2006/main" count="532" uniqueCount="162">
  <si>
    <t>CÓDIGO:</t>
  </si>
  <si>
    <t>ESPECIFICACION DE RECETA</t>
  </si>
  <si>
    <t>REVISIÓN:</t>
  </si>
  <si>
    <t>FECHA DE APROBACIÓN:</t>
  </si>
  <si>
    <t>Elaborado</t>
  </si>
  <si>
    <t>Aprobado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</si>
  <si>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</si>
  <si>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</si>
  <si>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</si>
  <si>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</si>
  <si>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</si>
  <si>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</si>
  <si>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</si>
  <si>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</si>
  <si>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</si>
  <si>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PESO TOTAL OBTENIDO</t>
  </si>
  <si>
    <t>TIEMPO TOTAL DE PREPARACION</t>
  </si>
  <si>
    <t>Horno:</t>
  </si>
  <si>
    <t>CANTIDAD DE PORCIONES OBTENIDAS</t>
  </si>
  <si>
    <t>PESO DE CADA PORCIÓN</t>
  </si>
  <si>
    <t>Otros</t>
  </si>
  <si>
    <t>MERMA</t>
  </si>
  <si>
    <t>PROCEDIMIENTO DE PREPARACION DE LA  RECETA</t>
  </si>
  <si>
    <t>SERVICIOS DE PASTELERIA S.A.</t>
  </si>
  <si>
    <t>Tiempo de Horneo:</t>
  </si>
  <si>
    <t>Temperatura de Horneo:</t>
  </si>
  <si>
    <t>0702012</t>
  </si>
  <si>
    <t>510301</t>
  </si>
  <si>
    <t>95692</t>
  </si>
  <si>
    <t>JUGO DE LIMON (7.9 Litros)</t>
  </si>
  <si>
    <t>1212410</t>
  </si>
  <si>
    <t>ASEAL</t>
  </si>
  <si>
    <t>0510215</t>
  </si>
  <si>
    <t>ALMIDON MODIFICADO ( 25 KG )</t>
  </si>
  <si>
    <t>99999</t>
  </si>
  <si>
    <t>AGUA POTABLE (PLANTA)</t>
  </si>
  <si>
    <t>1950765</t>
  </si>
  <si>
    <t>1950708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</si>
  <si>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</si>
  <si>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</si>
  <si>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</si>
  <si>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</si>
  <si>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</si>
  <si>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</si>
  <si>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</si>
  <si>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</si>
  <si>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</si>
  <si>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</si>
  <si>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</si>
  <si>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</si>
  <si>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</si>
  <si>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</si>
  <si>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</t>
  </si>
  <si>
    <t>EMPAQUE SEMIELABORADOS</t>
  </si>
  <si>
    <t>N/A</t>
  </si>
  <si>
    <t>MODI</t>
  </si>
  <si>
    <t>MODI PREPARACION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</si>
  <si>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</si>
  <si>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</si>
  <si>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</si>
  <si>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</si>
  <si>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</si>
  <si>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</si>
  <si>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 xml:space="preserve">DESECHO </t>
  </si>
  <si>
    <t>GAF</t>
  </si>
  <si>
    <t xml:space="preserve"> GRAMOS</t>
  </si>
  <si>
    <t>COSTO PLANTA</t>
  </si>
  <si>
    <t xml:space="preserve"> PESO POR UNIDAD</t>
  </si>
  <si>
    <t>LOGISTICA</t>
  </si>
  <si>
    <t>UNIDADES TOTALES</t>
  </si>
  <si>
    <t>ADMINISTRACION</t>
  </si>
  <si>
    <t>UNIDAD EMPAQUE</t>
  </si>
  <si>
    <t>COSTO TOTAL</t>
  </si>
  <si>
    <t xml:space="preserve"> </t>
  </si>
  <si>
    <t>S/ COSTO</t>
  </si>
  <si>
    <t>TOTAL</t>
  </si>
  <si>
    <t>TRANSFERENCIA</t>
  </si>
  <si>
    <t>PRECIO DE VENTA PLANTA A LOCAL</t>
  </si>
  <si>
    <t>GR</t>
  </si>
  <si>
    <t xml:space="preserve"> DESECHOS Y PERDIDAS</t>
  </si>
  <si>
    <t>UNIDAD</t>
  </si>
  <si>
    <t>MANO OBRA DIRECTA</t>
  </si>
  <si>
    <t>TOTAL COSTO PLANTA</t>
  </si>
  <si>
    <t>COSTO POR GRAMO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</si>
  <si>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</si>
  <si>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</si>
  <si>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</si>
  <si>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</si>
  <si>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</si>
  <si>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</si>
  <si>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</si>
  <si>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RELLENO FRESA</t>
  </si>
  <si>
    <t>KILO</t>
  </si>
  <si>
    <t>EMPAQUE RELLENO FRESA</t>
  </si>
  <si>
    <t>RELLENO FRESA SPOON</t>
  </si>
  <si>
    <t>Gramo</t>
  </si>
  <si>
    <t>0702067</t>
  </si>
  <si>
    <t>FRESAS CONGELADAS</t>
  </si>
  <si>
    <t>Nuevo</t>
  </si>
  <si>
    <t>2, Mezclar el almidon con el preservante, juego de limon . Agregar a la mezcla anterior. Hervir</t>
  </si>
  <si>
    <t>1, Colocar la fresa congelada en la olla junto con el azucar, el agua y el colorante. Hervir</t>
  </si>
  <si>
    <t>0702069</t>
  </si>
  <si>
    <t>ANCLA</t>
  </si>
  <si>
    <t>1212383</t>
  </si>
  <si>
    <t>AMERICOLOR</t>
  </si>
  <si>
    <t>0807003</t>
  </si>
  <si>
    <t>CEMUSA</t>
  </si>
  <si>
    <t>10100230</t>
  </si>
  <si>
    <t>FRESA CONGELADA BEGRO (PAQ:1 K)</t>
  </si>
  <si>
    <t>g</t>
  </si>
  <si>
    <t>90100131</t>
  </si>
  <si>
    <t>AZUCAR BLANCO INDUSTRIAL (BOLSAS:1500g)</t>
  </si>
  <si>
    <t>908000036</t>
  </si>
  <si>
    <t>JUGO LIMON (KILO)</t>
  </si>
  <si>
    <t>1212412</t>
  </si>
  <si>
    <t>PRESERVANTE 1017S (PAQ=5 KILO)</t>
  </si>
  <si>
    <t>10415</t>
  </si>
  <si>
    <t>10400009</t>
  </si>
  <si>
    <t>COLORANTE GEL SUPER RED</t>
  </si>
  <si>
    <t>10400010</t>
  </si>
  <si>
    <t>COLORANTE ROJO (50ML)</t>
  </si>
  <si>
    <t>BEGRO</t>
  </si>
  <si>
    <t>FAS</t>
  </si>
  <si>
    <t>0702123</t>
  </si>
  <si>
    <t>ETIQUETA BLANCA 2 5/8X1 15/16 (UND)</t>
  </si>
  <si>
    <t>3, Colocar en bandejas y hacer choque termico.</t>
  </si>
  <si>
    <t>bolsas</t>
  </si>
  <si>
    <t>min</t>
  </si>
  <si>
    <t>ETIQ.BLANCA 1 1/4 * 3/4 (UND)</t>
  </si>
  <si>
    <t>0702007</t>
  </si>
  <si>
    <t>ETIQ.FECHA VENCIMIENTO BLANCO (ROLLO)</t>
  </si>
  <si>
    <t>AREA QUE PRODUCE:</t>
  </si>
  <si>
    <t xml:space="preserve">AREA QUE EMPACA: </t>
  </si>
  <si>
    <t>Cocina</t>
  </si>
  <si>
    <t>Empaque</t>
  </si>
  <si>
    <t>RELLENO DE FRESA ESPESA PLANTA</t>
  </si>
  <si>
    <t>DESECHO</t>
  </si>
  <si>
    <t>% MK</t>
  </si>
  <si>
    <t>UNIDAD MEDIDA</t>
  </si>
  <si>
    <t>Mililitro</t>
  </si>
  <si>
    <t xml:space="preserve">UND </t>
  </si>
  <si>
    <t xml:space="preserve">GRAMOS </t>
  </si>
  <si>
    <t>ud</t>
  </si>
  <si>
    <t>Esteban Cartin, Gte Manufactura</t>
  </si>
  <si>
    <t># Código Netsuite</t>
  </si>
  <si>
    <t>MP10191</t>
  </si>
  <si>
    <t>MP10025</t>
  </si>
  <si>
    <t>MP10026</t>
  </si>
  <si>
    <t>MP10157</t>
  </si>
  <si>
    <t>MP10509</t>
  </si>
  <si>
    <t>SE00016</t>
  </si>
  <si>
    <t>SE00015</t>
  </si>
  <si>
    <t>EM10011</t>
  </si>
  <si>
    <t>SE00354  Relleno de fresa Espesa PLANTA</t>
  </si>
  <si>
    <t>ESP-RE-COCS-041</t>
  </si>
  <si>
    <t>01</t>
  </si>
  <si>
    <t>Javier Tong, Chef</t>
  </si>
  <si>
    <t>Ensamble</t>
  </si>
  <si>
    <t>Decoración</t>
  </si>
  <si>
    <t>Unidad</t>
  </si>
  <si>
    <t>CONTROL DE CAMBIOS</t>
  </si>
  <si>
    <t>GOTAS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</si>
</sst>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&quot;$&quot;#,##0_);[Red]\(&quot;$&quot;#,##0\)"/>
    <numFmt numFmtId="165" formatCode="_(* #,##0_);_(* \(#,##0\);_(* &quot;-&quot;_);_(@_)"/>
    <numFmt numFmtId="166" formatCode="_(* #,##0.00_);_(* \(#,##0.00\);_(* &quot;-&quot;??_);_(@_)"/>
    <numFmt numFmtId="167" formatCode="0.000"/>
    <numFmt numFmtId="168" formatCode="[$-409]d\-mmm\-yy;@"/>
    <numFmt numFmtId="169" formatCode="_-* #,##0.0\ _€_-;\-* #,##0.0\ _€_-;_-* &quot;-&quot;??\ _€_-;_-@_-"/>
    <numFmt numFmtId="170" formatCode="0.0"/>
  </numFmts>
  <fonts count="53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b/>
      <sz val="12"/>
      <name val="Century Gothic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0"/>
      <color indexed="8"/>
      <name val="Century Gothic"/>
      <family val="2"/>
    </font>
    <font>
      <b/>
      <sz val="14"/>
      <name val="Century Gothic"/>
      <family val="2"/>
    </font>
    <font>
      <sz val="10"/>
      <name val="Times New Roman"/>
      <family val="1"/>
    </font>
    <font>
      <b/>
      <sz val="10"/>
      <name val="Times New Roman"/>
      <family val="1"/>
    </font>
    <font>
      <sz val="10"/>
      <color indexed="8"/>
      <name val="Arial"/>
      <family val="2"/>
    </font>
    <font>
      <sz val="9"/>
      <color indexed="8"/>
      <name val="Calibri"/>
      <family val="2"/>
      <scheme val="minor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indexed="10"/>
      <name val="Times New Roman"/>
      <family val="1"/>
    </font>
    <font>
      <sz val="8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7"/>
      <name val="Times New Roman"/>
      <family val="1"/>
    </font>
    <font>
      <sz val="10"/>
      <color indexed="10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b/>
      <sz val="10"/>
      <color indexed="18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Tahoma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9"/>
      <color rgb="FFFF0000"/>
      <name val="Times New Roman"/>
      <family val="1"/>
    </font>
    <font>
      <sz val="10"/>
      <name val="Tahoma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1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2"/>
      <name val="Times New Roman"/>
      <family val="1"/>
    </font>
    <font>
      <b/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theme="0" tint="-0.14999847407452621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9">
    <xf numFmtId="0" fontId="0" fillId="0" borderId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3" fillId="0" borderId="0"/>
    <xf numFmtId="9" fontId="2" fillId="0" borderId="0" applyFont="0" applyFill="0" applyBorder="0" applyAlignment="0" applyProtection="0"/>
    <xf numFmtId="0" fontId="3" fillId="0" borderId="0"/>
    <xf numFmtId="0" fontId="2" fillId="0" borderId="0"/>
    <xf numFmtId="0" fontId="2" fillId="0" borderId="0"/>
    <xf numFmtId="0" fontId="1" fillId="0" borderId="0"/>
  </cellStyleXfs>
  <cellXfs count="307">
    <xf numFmtId="0" fontId="0" fillId="0" borderId="0" xfId="0"/>
    <xf numFmtId="0" fontId="6" fillId="2" borderId="3" xfId="3" applyFont="1" applyFill="1" applyBorder="1" applyAlignment="1">
      <alignment horizontal="right"/>
    </xf>
    <xf numFmtId="0" fontId="6" fillId="2" borderId="4" xfId="3" applyFont="1" applyFill="1" applyBorder="1" applyAlignment="1">
      <alignment horizontal="right"/>
    </xf>
    <xf numFmtId="0" fontId="5" fillId="2" borderId="6" xfId="3" applyFont="1" applyFill="1" applyBorder="1" applyAlignment="1">
      <alignment horizontal="right"/>
    </xf>
    <xf numFmtId="0" fontId="5" fillId="2" borderId="4" xfId="3" applyFont="1" applyFill="1" applyBorder="1" applyAlignment="1">
      <alignment horizontal="right"/>
    </xf>
    <xf numFmtId="1" fontId="5" fillId="5" borderId="4" xfId="0" applyNumberFormat="1" applyFont="1" applyFill="1" applyBorder="1" applyAlignment="1">
      <alignment horizontal="center"/>
    </xf>
    <xf numFmtId="1" fontId="5" fillId="5" borderId="4" xfId="0" applyNumberFormat="1" applyFont="1" applyFill="1" applyBorder="1" applyAlignment="1">
      <alignment horizontal="center" wrapText="1"/>
    </xf>
    <xf numFmtId="0" fontId="11" fillId="0" borderId="4" xfId="0" applyFont="1" applyBorder="1" applyAlignment="1">
      <alignment vertical="top"/>
    </xf>
    <xf numFmtId="0" fontId="11" fillId="0" borderId="4" xfId="0" applyFont="1" applyBorder="1" applyAlignment="1">
      <alignment horizontal="center" vertical="top"/>
    </xf>
    <xf numFmtId="1" fontId="5" fillId="5" borderId="6" xfId="0" applyNumberFormat="1" applyFont="1" applyFill="1" applyBorder="1" applyAlignment="1">
      <alignment horizontal="center"/>
    </xf>
    <xf numFmtId="1" fontId="5" fillId="5" borderId="6" xfId="0" applyNumberFormat="1" applyFont="1" applyFill="1" applyBorder="1" applyAlignment="1">
      <alignment horizontal="center" wrapText="1"/>
    </xf>
    <xf numFmtId="0" fontId="12" fillId="0" borderId="4" xfId="0" applyFont="1" applyBorder="1" applyAlignment="1">
      <alignment horizontal="center" vertical="top"/>
    </xf>
    <xf numFmtId="0" fontId="9" fillId="5" borderId="0" xfId="0" applyFont="1" applyFill="1" applyAlignment="1">
      <alignment vertical="center"/>
    </xf>
    <xf numFmtId="0" fontId="10" fillId="6" borderId="4" xfId="0" applyFont="1" applyFill="1" applyBorder="1" applyAlignment="1">
      <alignment horizontal="center" vertical="center" wrapText="1"/>
    </xf>
    <xf numFmtId="0" fontId="10" fillId="6" borderId="4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166" fontId="10" fillId="0" borderId="4" xfId="1" applyFont="1" applyFill="1" applyBorder="1" applyAlignment="1">
      <alignment horizontal="center" vertical="center"/>
    </xf>
    <xf numFmtId="166" fontId="10" fillId="0" borderId="0" xfId="1" applyFont="1" applyFill="1" applyBorder="1" applyAlignment="1">
      <alignment horizontal="center" vertical="center"/>
    </xf>
    <xf numFmtId="166" fontId="14" fillId="0" borderId="0" xfId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168" fontId="17" fillId="0" borderId="0" xfId="0" applyNumberFormat="1" applyFont="1" applyAlignment="1">
      <alignment horizontal="center" vertical="center" wrapText="1"/>
    </xf>
    <xf numFmtId="0" fontId="10" fillId="7" borderId="35" xfId="0" applyFont="1" applyFill="1" applyBorder="1" applyAlignment="1">
      <alignment horizontal="center" vertical="center"/>
    </xf>
    <xf numFmtId="0" fontId="10" fillId="7" borderId="36" xfId="0" applyFont="1" applyFill="1" applyBorder="1" applyAlignment="1">
      <alignment horizontal="center" vertical="center"/>
    </xf>
    <xf numFmtId="0" fontId="10" fillId="7" borderId="36" xfId="0" applyFont="1" applyFill="1" applyBorder="1" applyAlignment="1">
      <alignment horizontal="center" vertical="center" wrapText="1"/>
    </xf>
    <xf numFmtId="0" fontId="10" fillId="7" borderId="37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2" fontId="18" fillId="0" borderId="0" xfId="0" applyNumberFormat="1" applyFont="1" applyAlignment="1">
      <alignment horizontal="center"/>
    </xf>
    <xf numFmtId="4" fontId="18" fillId="0" borderId="0" xfId="2" applyNumberFormat="1" applyFont="1" applyFill="1" applyAlignment="1">
      <alignment horizontal="center" vertical="center"/>
    </xf>
    <xf numFmtId="4" fontId="10" fillId="0" borderId="0" xfId="2" applyNumberFormat="1" applyFont="1" applyFill="1" applyAlignment="1">
      <alignment horizontal="center" vertical="center"/>
    </xf>
    <xf numFmtId="10" fontId="10" fillId="0" borderId="0" xfId="4" applyNumberFormat="1" applyFont="1" applyFill="1" applyAlignment="1">
      <alignment vertical="center"/>
    </xf>
    <xf numFmtId="49" fontId="10" fillId="0" borderId="0" xfId="0" applyNumberFormat="1" applyFont="1" applyAlignment="1">
      <alignment horizontal="center" vertical="center"/>
    </xf>
    <xf numFmtId="10" fontId="13" fillId="0" borderId="0" xfId="4" applyNumberFormat="1" applyFont="1" applyFill="1" applyAlignment="1">
      <alignment vertical="center"/>
    </xf>
    <xf numFmtId="0" fontId="9" fillId="0" borderId="0" xfId="0" applyFont="1"/>
    <xf numFmtId="49" fontId="10" fillId="0" borderId="0" xfId="0" applyNumberFormat="1" applyFont="1" applyAlignment="1">
      <alignment horizontal="center"/>
    </xf>
    <xf numFmtId="164" fontId="9" fillId="0" borderId="0" xfId="0" applyNumberFormat="1" applyFont="1" applyAlignment="1">
      <alignment vertical="center"/>
    </xf>
    <xf numFmtId="0" fontId="9" fillId="0" borderId="0" xfId="0" applyFont="1" applyAlignment="1">
      <alignment horizontal="left" vertical="center"/>
    </xf>
    <xf numFmtId="49" fontId="9" fillId="0" borderId="0" xfId="0" applyNumberFormat="1" applyFont="1"/>
    <xf numFmtId="49" fontId="1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4" fontId="10" fillId="0" borderId="0" xfId="1" applyNumberFormat="1" applyFont="1" applyFill="1" applyAlignment="1">
      <alignment vertical="center"/>
    </xf>
    <xf numFmtId="166" fontId="20" fillId="0" borderId="0" xfId="1" applyFont="1" applyFill="1" applyAlignment="1">
      <alignment horizontal="center" vertical="center"/>
    </xf>
    <xf numFmtId="10" fontId="13" fillId="7" borderId="38" xfId="4" applyNumberFormat="1" applyFont="1" applyFill="1" applyBorder="1" applyAlignment="1">
      <alignment vertical="center"/>
    </xf>
    <xf numFmtId="0" fontId="9" fillId="7" borderId="8" xfId="0" applyFont="1" applyFill="1" applyBorder="1" applyAlignment="1">
      <alignment vertical="center"/>
    </xf>
    <xf numFmtId="0" fontId="9" fillId="7" borderId="38" xfId="0" applyFont="1" applyFill="1" applyBorder="1" applyAlignment="1">
      <alignment vertical="center"/>
    </xf>
    <xf numFmtId="166" fontId="20" fillId="7" borderId="39" xfId="1" applyFont="1" applyFill="1" applyBorder="1" applyAlignment="1">
      <alignment horizontal="center" vertical="center"/>
    </xf>
    <xf numFmtId="166" fontId="22" fillId="0" borderId="0" xfId="1" applyFont="1" applyFill="1" applyBorder="1" applyAlignment="1">
      <alignment horizontal="right"/>
    </xf>
    <xf numFmtId="0" fontId="9" fillId="7" borderId="39" xfId="0" applyFont="1" applyFill="1" applyBorder="1" applyAlignment="1">
      <alignment vertical="center"/>
    </xf>
    <xf numFmtId="10" fontId="13" fillId="7" borderId="39" xfId="4" applyNumberFormat="1" applyFont="1" applyFill="1" applyBorder="1" applyAlignment="1">
      <alignment vertical="center"/>
    </xf>
    <xf numFmtId="0" fontId="21" fillId="0" borderId="0" xfId="0" applyFont="1" applyAlignment="1">
      <alignment horizontal="right"/>
    </xf>
    <xf numFmtId="0" fontId="10" fillId="0" borderId="0" xfId="0" applyFont="1" applyAlignment="1">
      <alignment horizontal="right" vertical="center"/>
    </xf>
    <xf numFmtId="9" fontId="23" fillId="0" borderId="0" xfId="1" applyNumberFormat="1" applyFont="1" applyFill="1"/>
    <xf numFmtId="0" fontId="20" fillId="0" borderId="0" xfId="0" applyFont="1" applyAlignment="1">
      <alignment horizontal="right" vertical="center"/>
    </xf>
    <xf numFmtId="4" fontId="20" fillId="0" borderId="0" xfId="1" applyNumberFormat="1" applyFont="1" applyFill="1" applyAlignment="1">
      <alignment vertical="center"/>
    </xf>
    <xf numFmtId="4" fontId="20" fillId="0" borderId="0" xfId="2" applyNumberFormat="1" applyFont="1" applyAlignment="1">
      <alignment horizontal="center" vertical="center"/>
    </xf>
    <xf numFmtId="4" fontId="20" fillId="0" borderId="0" xfId="2" applyNumberFormat="1" applyFont="1" applyFill="1" applyAlignment="1">
      <alignment horizontal="center" vertical="center"/>
    </xf>
    <xf numFmtId="166" fontId="10" fillId="0" borderId="4" xfId="1" applyFont="1" applyFill="1" applyBorder="1" applyAlignment="1">
      <alignment vertical="center"/>
    </xf>
    <xf numFmtId="0" fontId="24" fillId="0" borderId="0" xfId="0" applyFont="1" applyAlignment="1">
      <alignment horizontal="left" vertical="center"/>
    </xf>
    <xf numFmtId="0" fontId="25" fillId="0" borderId="0" xfId="0" applyFont="1" applyAlignment="1">
      <alignment horizontal="right"/>
    </xf>
    <xf numFmtId="0" fontId="26" fillId="0" borderId="0" xfId="0" applyFont="1" applyAlignment="1">
      <alignment horizontal="right"/>
    </xf>
    <xf numFmtId="0" fontId="26" fillId="0" borderId="41" xfId="0" applyFont="1" applyBorder="1" applyAlignment="1">
      <alignment horizontal="right"/>
    </xf>
    <xf numFmtId="166" fontId="27" fillId="4" borderId="42" xfId="1" applyFont="1" applyFill="1" applyBorder="1" applyAlignment="1">
      <alignment horizontal="right"/>
    </xf>
    <xf numFmtId="166" fontId="27" fillId="0" borderId="0" xfId="1" applyFont="1" applyFill="1" applyBorder="1" applyAlignment="1">
      <alignment horizontal="right"/>
    </xf>
    <xf numFmtId="169" fontId="10" fillId="7" borderId="4" xfId="1" applyNumberFormat="1" applyFont="1" applyFill="1" applyBorder="1" applyAlignment="1">
      <alignment vertical="center"/>
    </xf>
    <xf numFmtId="10" fontId="23" fillId="0" borderId="0" xfId="4" applyNumberFormat="1" applyFont="1" applyFill="1" applyAlignment="1">
      <alignment horizontal="right"/>
    </xf>
    <xf numFmtId="4" fontId="9" fillId="0" borderId="0" xfId="0" applyNumberFormat="1" applyFont="1" applyAlignment="1">
      <alignment horizontal="center" vertical="center"/>
    </xf>
    <xf numFmtId="166" fontId="10" fillId="8" borderId="4" xfId="1" applyFont="1" applyFill="1" applyBorder="1" applyAlignment="1">
      <alignment vertical="center"/>
    </xf>
    <xf numFmtId="0" fontId="9" fillId="5" borderId="0" xfId="0" applyFont="1" applyFill="1" applyAlignment="1">
      <alignment horizontal="center" vertical="center"/>
    </xf>
    <xf numFmtId="4" fontId="10" fillId="0" borderId="0" xfId="0" applyNumberFormat="1" applyFont="1" applyAlignment="1">
      <alignment horizontal="center" vertical="center"/>
    </xf>
    <xf numFmtId="10" fontId="9" fillId="0" borderId="0" xfId="4" applyNumberFormat="1" applyFont="1" applyFill="1" applyAlignment="1">
      <alignment vertical="center"/>
    </xf>
    <xf numFmtId="4" fontId="9" fillId="0" borderId="0" xfId="1" applyNumberFormat="1" applyFont="1" applyFill="1" applyAlignment="1">
      <alignment vertical="center"/>
    </xf>
    <xf numFmtId="166" fontId="28" fillId="0" borderId="0" xfId="0" applyNumberFormat="1" applyFont="1" applyAlignment="1">
      <alignment horizontal="center" vertical="center"/>
    </xf>
    <xf numFmtId="10" fontId="30" fillId="0" borderId="0" xfId="1" applyNumberFormat="1" applyFont="1" applyFill="1" applyAlignment="1">
      <alignment vertical="center"/>
    </xf>
    <xf numFmtId="0" fontId="13" fillId="7" borderId="43" xfId="0" applyFont="1" applyFill="1" applyBorder="1" applyAlignment="1">
      <alignment vertical="center"/>
    </xf>
    <xf numFmtId="0" fontId="31" fillId="0" borderId="0" xfId="0" applyFont="1" applyAlignment="1">
      <alignment vertical="center"/>
    </xf>
    <xf numFmtId="2" fontId="23" fillId="0" borderId="0" xfId="1" applyNumberFormat="1" applyFont="1" applyFill="1" applyBorder="1" applyAlignment="1">
      <alignment horizontal="center"/>
    </xf>
    <xf numFmtId="2" fontId="26" fillId="0" borderId="0" xfId="1" applyNumberFormat="1" applyFont="1" applyFill="1" applyBorder="1" applyAlignment="1">
      <alignment horizontal="center"/>
    </xf>
    <xf numFmtId="0" fontId="9" fillId="7" borderId="43" xfId="0" applyFont="1" applyFill="1" applyBorder="1" applyAlignment="1">
      <alignment vertical="center"/>
    </xf>
    <xf numFmtId="166" fontId="32" fillId="0" borderId="0" xfId="1" applyFont="1" applyFill="1" applyAlignment="1">
      <alignment vertical="center"/>
    </xf>
    <xf numFmtId="166" fontId="27" fillId="7" borderId="8" xfId="1" applyFont="1" applyFill="1" applyBorder="1" applyAlignment="1">
      <alignment horizontal="right"/>
    </xf>
    <xf numFmtId="0" fontId="10" fillId="7" borderId="9" xfId="0" applyFont="1" applyFill="1" applyBorder="1" applyAlignment="1">
      <alignment horizontal="right" vertical="center"/>
    </xf>
    <xf numFmtId="4" fontId="33" fillId="0" borderId="0" xfId="2" applyNumberFormat="1" applyFont="1" applyFill="1" applyAlignment="1">
      <alignment horizontal="center" vertical="center" wrapText="1"/>
    </xf>
    <xf numFmtId="10" fontId="13" fillId="0" borderId="0" xfId="4" applyNumberFormat="1" applyFont="1" applyFill="1" applyBorder="1" applyAlignment="1">
      <alignment vertical="center"/>
    </xf>
    <xf numFmtId="166" fontId="34" fillId="0" borderId="0" xfId="0" applyNumberFormat="1" applyFont="1" applyAlignment="1">
      <alignment horizontal="center" vertical="center"/>
    </xf>
    <xf numFmtId="166" fontId="9" fillId="0" borderId="0" xfId="1" applyFont="1" applyFill="1" applyAlignment="1">
      <alignment vertical="center"/>
    </xf>
    <xf numFmtId="9" fontId="9" fillId="0" borderId="0" xfId="1" applyNumberFormat="1" applyFont="1" applyFill="1" applyAlignment="1">
      <alignment vertical="center"/>
    </xf>
    <xf numFmtId="0" fontId="9" fillId="0" borderId="0" xfId="0" applyFont="1" applyAlignment="1">
      <alignment horizontal="center" vertical="center" wrapText="1"/>
    </xf>
    <xf numFmtId="0" fontId="19" fillId="0" borderId="0" xfId="0" applyFont="1" applyAlignment="1">
      <alignment horizontal="right" vertical="center"/>
    </xf>
    <xf numFmtId="4" fontId="19" fillId="0" borderId="0" xfId="1" applyNumberFormat="1" applyFont="1" applyFill="1" applyAlignment="1">
      <alignment vertical="center"/>
    </xf>
    <xf numFmtId="4" fontId="10" fillId="10" borderId="42" xfId="1" applyNumberFormat="1" applyFont="1" applyFill="1" applyBorder="1" applyAlignment="1">
      <alignment horizontal="center" vertical="center"/>
    </xf>
    <xf numFmtId="0" fontId="35" fillId="0" borderId="0" xfId="0" applyFont="1" applyAlignment="1">
      <alignment vertical="center"/>
    </xf>
    <xf numFmtId="166" fontId="35" fillId="0" borderId="0" xfId="1" applyFont="1" applyFill="1" applyAlignment="1">
      <alignment vertical="center"/>
    </xf>
    <xf numFmtId="9" fontId="35" fillId="0" borderId="0" xfId="1" applyNumberFormat="1" applyFont="1" applyFill="1" applyAlignment="1">
      <alignment vertical="center"/>
    </xf>
    <xf numFmtId="4" fontId="10" fillId="0" borderId="0" xfId="1" applyNumberFormat="1" applyFont="1" applyFill="1" applyAlignment="1">
      <alignment horizontal="center" vertical="center"/>
    </xf>
    <xf numFmtId="10" fontId="28" fillId="0" borderId="0" xfId="4" applyNumberFormat="1" applyFont="1" applyFill="1" applyAlignment="1">
      <alignment vertical="center"/>
    </xf>
    <xf numFmtId="0" fontId="20" fillId="0" borderId="0" xfId="0" applyFont="1" applyAlignment="1">
      <alignment horizontal="center" vertical="center"/>
    </xf>
    <xf numFmtId="166" fontId="28" fillId="0" borderId="0" xfId="1" applyFont="1" applyFill="1" applyBorder="1" applyAlignment="1">
      <alignment vertical="center"/>
    </xf>
    <xf numFmtId="4" fontId="9" fillId="0" borderId="0" xfId="0" applyNumberFormat="1" applyFont="1" applyAlignment="1">
      <alignment horizontal="center"/>
    </xf>
    <xf numFmtId="166" fontId="9" fillId="0" borderId="0" xfId="1" applyFont="1" applyFill="1" applyBorder="1"/>
    <xf numFmtId="10" fontId="28" fillId="0" borderId="0" xfId="4" applyNumberFormat="1" applyFont="1" applyFill="1" applyBorder="1" applyAlignment="1">
      <alignment vertical="center"/>
    </xf>
    <xf numFmtId="0" fontId="28" fillId="0" borderId="0" xfId="0" applyFont="1" applyAlignment="1">
      <alignment horizontal="right"/>
    </xf>
    <xf numFmtId="166" fontId="9" fillId="0" borderId="0" xfId="1" applyFont="1" applyFill="1" applyBorder="1" applyAlignment="1">
      <alignment horizontal="center"/>
    </xf>
    <xf numFmtId="9" fontId="38" fillId="0" borderId="0" xfId="0" applyNumberFormat="1" applyFont="1" applyAlignment="1">
      <alignment horizontal="left"/>
    </xf>
    <xf numFmtId="4" fontId="10" fillId="0" borderId="0" xfId="0" applyNumberFormat="1" applyFont="1" applyAlignment="1">
      <alignment horizontal="center"/>
    </xf>
    <xf numFmtId="166" fontId="10" fillId="0" borderId="0" xfId="0" applyNumberFormat="1" applyFont="1"/>
    <xf numFmtId="0" fontId="9" fillId="5" borderId="42" xfId="0" applyFont="1" applyFill="1" applyBorder="1" applyAlignment="1">
      <alignment horizontal="center" vertical="center"/>
    </xf>
    <xf numFmtId="2" fontId="18" fillId="5" borderId="0" xfId="0" applyNumberFormat="1" applyFont="1" applyFill="1" applyAlignment="1">
      <alignment horizontal="center"/>
    </xf>
    <xf numFmtId="49" fontId="5" fillId="2" borderId="5" xfId="3" applyNumberFormat="1" applyFont="1" applyFill="1" applyBorder="1" applyAlignment="1">
      <alignment horizontal="center"/>
    </xf>
    <xf numFmtId="0" fontId="5" fillId="2" borderId="1" xfId="3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41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center"/>
    </xf>
    <xf numFmtId="0" fontId="41" fillId="0" borderId="4" xfId="0" applyFont="1" applyBorder="1" applyAlignment="1">
      <alignment horizontal="center" vertical="top" wrapText="1"/>
    </xf>
    <xf numFmtId="14" fontId="43" fillId="2" borderId="0" xfId="5" applyNumberFormat="1" applyFont="1" applyFill="1" applyAlignment="1">
      <alignment horizontal="center" vertical="center" wrapText="1"/>
    </xf>
    <xf numFmtId="9" fontId="44" fillId="0" borderId="0" xfId="4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24" xfId="0" applyBorder="1" applyAlignment="1">
      <alignment horizontal="center"/>
    </xf>
    <xf numFmtId="0" fontId="11" fillId="0" borderId="24" xfId="0" applyFont="1" applyBorder="1" applyAlignment="1">
      <alignment horizontal="center" vertical="top"/>
    </xf>
    <xf numFmtId="0" fontId="45" fillId="0" borderId="24" xfId="0" applyFont="1" applyBorder="1" applyAlignment="1">
      <alignment horizontal="center" vertical="top" wrapText="1"/>
    </xf>
    <xf numFmtId="0" fontId="41" fillId="0" borderId="24" xfId="0" applyFont="1" applyBorder="1" applyAlignment="1">
      <alignment horizontal="center" vertical="top" wrapText="1"/>
    </xf>
    <xf numFmtId="0" fontId="6" fillId="3" borderId="1" xfId="6" applyFont="1" applyFill="1" applyBorder="1" applyAlignment="1">
      <alignment horizontal="center" vertical="center" wrapText="1"/>
    </xf>
    <xf numFmtId="1" fontId="6" fillId="3" borderId="2" xfId="6" applyNumberFormat="1" applyFont="1" applyFill="1" applyBorder="1" applyAlignment="1">
      <alignment horizontal="center"/>
    </xf>
    <xf numFmtId="1" fontId="6" fillId="3" borderId="2" xfId="6" applyNumberFormat="1" applyFont="1" applyFill="1" applyBorder="1" applyAlignment="1">
      <alignment horizontal="center" wrapText="1"/>
    </xf>
    <xf numFmtId="0" fontId="6" fillId="3" borderId="50" xfId="6" applyFont="1" applyFill="1" applyBorder="1" applyAlignment="1">
      <alignment horizontal="center"/>
    </xf>
    <xf numFmtId="0" fontId="46" fillId="0" borderId="51" xfId="6" applyFont="1" applyBorder="1" applyAlignment="1">
      <alignment horizontal="center" vertical="center"/>
    </xf>
    <xf numFmtId="0" fontId="46" fillId="0" borderId="23" xfId="6" applyFont="1" applyBorder="1" applyAlignment="1">
      <alignment horizontal="center" vertical="center"/>
    </xf>
    <xf numFmtId="0" fontId="47" fillId="0" borderId="4" xfId="6" applyFont="1" applyBorder="1" applyAlignment="1">
      <alignment vertical="center"/>
    </xf>
    <xf numFmtId="0" fontId="46" fillId="0" borderId="4" xfId="6" applyFont="1" applyBorder="1" applyAlignment="1">
      <alignment horizontal="center" vertical="center"/>
    </xf>
    <xf numFmtId="1" fontId="46" fillId="0" borderId="4" xfId="6" applyNumberFormat="1" applyFont="1" applyBorder="1" applyAlignment="1">
      <alignment horizontal="center"/>
    </xf>
    <xf numFmtId="1" fontId="46" fillId="0" borderId="4" xfId="6" applyNumberFormat="1" applyFont="1" applyBorder="1" applyAlignment="1">
      <alignment horizontal="center" wrapText="1"/>
    </xf>
    <xf numFmtId="0" fontId="48" fillId="0" borderId="5" xfId="6" applyFont="1" applyBorder="1" applyAlignment="1">
      <alignment horizontal="center"/>
    </xf>
    <xf numFmtId="2" fontId="5" fillId="0" borderId="3" xfId="6" applyNumberFormat="1" applyFont="1" applyBorder="1" applyAlignment="1">
      <alignment horizontal="center"/>
    </xf>
    <xf numFmtId="0" fontId="5" fillId="0" borderId="3" xfId="6" applyFont="1" applyBorder="1" applyAlignment="1">
      <alignment horizontal="center"/>
    </xf>
    <xf numFmtId="2" fontId="5" fillId="0" borderId="6" xfId="6" applyNumberFormat="1" applyFont="1" applyBorder="1" applyAlignment="1">
      <alignment horizontal="center"/>
    </xf>
    <xf numFmtId="0" fontId="5" fillId="0" borderId="51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5" fillId="0" borderId="4" xfId="0" applyFont="1" applyBorder="1"/>
    <xf numFmtId="16" fontId="5" fillId="0" borderId="4" xfId="6" applyNumberFormat="1" applyFont="1" applyBorder="1" applyAlignment="1">
      <alignment horizontal="center"/>
    </xf>
    <xf numFmtId="1" fontId="5" fillId="0" borderId="4" xfId="6" applyNumberFormat="1" applyFont="1" applyBorder="1" applyAlignment="1">
      <alignment horizontal="center"/>
    </xf>
    <xf numFmtId="1" fontId="5" fillId="0" borderId="4" xfId="6" applyNumberFormat="1" applyFont="1" applyBorder="1" applyAlignment="1">
      <alignment horizontal="center" wrapText="1"/>
    </xf>
    <xf numFmtId="1" fontId="0" fillId="0" borderId="4" xfId="0" applyNumberFormat="1" applyBorder="1" applyAlignment="1">
      <alignment horizontal="center"/>
    </xf>
    <xf numFmtId="16" fontId="48" fillId="0" borderId="4" xfId="0" applyNumberFormat="1" applyFont="1" applyBorder="1" applyAlignment="1">
      <alignment horizontal="center"/>
    </xf>
    <xf numFmtId="1" fontId="48" fillId="0" borderId="4" xfId="0" applyNumberFormat="1" applyFont="1" applyBorder="1" applyAlignment="1">
      <alignment horizontal="center"/>
    </xf>
    <xf numFmtId="1" fontId="5" fillId="0" borderId="6" xfId="0" applyNumberFormat="1" applyFont="1" applyBorder="1" applyAlignment="1">
      <alignment horizontal="center" wrapText="1"/>
    </xf>
    <xf numFmtId="0" fontId="0" fillId="5" borderId="4" xfId="0" applyFill="1" applyBorder="1"/>
    <xf numFmtId="1" fontId="48" fillId="0" borderId="4" xfId="6" applyNumberFormat="1" applyFont="1" applyBorder="1" applyAlignment="1">
      <alignment horizontal="center"/>
    </xf>
    <xf numFmtId="1" fontId="48" fillId="0" borderId="4" xfId="6" applyNumberFormat="1" applyFont="1" applyBorder="1" applyAlignment="1">
      <alignment horizontal="center" wrapText="1"/>
    </xf>
    <xf numFmtId="49" fontId="48" fillId="0" borderId="51" xfId="6" applyNumberFormat="1" applyFont="1" applyBorder="1" applyAlignment="1">
      <alignment horizontal="center"/>
    </xf>
    <xf numFmtId="49" fontId="48" fillId="0" borderId="23" xfId="6" applyNumberFormat="1" applyFont="1" applyBorder="1" applyAlignment="1">
      <alignment horizontal="center"/>
    </xf>
    <xf numFmtId="0" fontId="49" fillId="5" borderId="4" xfId="6" applyFont="1" applyFill="1" applyBorder="1" applyAlignment="1">
      <alignment horizontal="left"/>
    </xf>
    <xf numFmtId="0" fontId="48" fillId="0" borderId="4" xfId="6" applyFont="1" applyBorder="1" applyAlignment="1">
      <alignment horizontal="center"/>
    </xf>
    <xf numFmtId="170" fontId="48" fillId="0" borderId="4" xfId="6" applyNumberFormat="1" applyFont="1" applyBorder="1" applyAlignment="1">
      <alignment horizontal="center"/>
    </xf>
    <xf numFmtId="0" fontId="2" fillId="0" borderId="51" xfId="7" applyBorder="1" applyAlignment="1">
      <alignment horizontal="center"/>
    </xf>
    <xf numFmtId="0" fontId="2" fillId="0" borderId="4" xfId="6" applyBorder="1" applyAlignment="1">
      <alignment horizontal="center"/>
    </xf>
    <xf numFmtId="0" fontId="2" fillId="5" borderId="4" xfId="7" applyFill="1" applyBorder="1"/>
    <xf numFmtId="16" fontId="48" fillId="0" borderId="4" xfId="7" applyNumberFormat="1" applyFont="1" applyBorder="1" applyAlignment="1">
      <alignment horizontal="center"/>
    </xf>
    <xf numFmtId="0" fontId="2" fillId="0" borderId="4" xfId="7" applyBorder="1" applyAlignment="1">
      <alignment horizontal="center"/>
    </xf>
    <xf numFmtId="1" fontId="48" fillId="0" borderId="4" xfId="7" applyNumberFormat="1" applyFont="1" applyBorder="1" applyAlignment="1">
      <alignment horizontal="center"/>
    </xf>
    <xf numFmtId="1" fontId="48" fillId="0" borderId="4" xfId="7" applyNumberFormat="1" applyFont="1" applyBorder="1" applyAlignment="1">
      <alignment horizontal="center" wrapText="1"/>
    </xf>
    <xf numFmtId="49" fontId="46" fillId="0" borderId="20" xfId="6" applyNumberFormat="1" applyFont="1" applyBorder="1" applyAlignment="1">
      <alignment horizontal="center"/>
    </xf>
    <xf numFmtId="49" fontId="46" fillId="0" borderId="21" xfId="6" applyNumberFormat="1" applyFont="1" applyBorder="1" applyAlignment="1">
      <alignment horizontal="center"/>
    </xf>
    <xf numFmtId="0" fontId="50" fillId="5" borderId="4" xfId="6" applyFont="1" applyFill="1" applyBorder="1" applyAlignment="1">
      <alignment vertical="center"/>
    </xf>
    <xf numFmtId="0" fontId="46" fillId="0" borderId="23" xfId="6" applyFont="1" applyBorder="1" applyAlignment="1">
      <alignment horizontal="center"/>
    </xf>
    <xf numFmtId="2" fontId="48" fillId="0" borderId="4" xfId="6" applyNumberFormat="1" applyFont="1" applyBorder="1" applyAlignment="1">
      <alignment horizontal="center"/>
    </xf>
    <xf numFmtId="0" fontId="1" fillId="0" borderId="51" xfId="8" applyBorder="1" applyAlignment="1">
      <alignment horizontal="center"/>
    </xf>
    <xf numFmtId="0" fontId="0" fillId="0" borderId="23" xfId="8" applyFont="1" applyBorder="1" applyAlignment="1">
      <alignment horizontal="center"/>
    </xf>
    <xf numFmtId="0" fontId="1" fillId="0" borderId="4" xfId="8" applyBorder="1"/>
    <xf numFmtId="0" fontId="1" fillId="0" borderId="4" xfId="8" applyBorder="1" applyAlignment="1">
      <alignment horizontal="center" vertical="center"/>
    </xf>
    <xf numFmtId="1" fontId="48" fillId="0" borderId="4" xfId="0" applyNumberFormat="1" applyFont="1" applyBorder="1" applyAlignment="1">
      <alignment horizontal="center" wrapText="1"/>
    </xf>
    <xf numFmtId="0" fontId="0" fillId="5" borderId="4" xfId="0" applyFill="1" applyBorder="1" applyAlignment="1">
      <alignment horizontal="center"/>
    </xf>
    <xf numFmtId="49" fontId="48" fillId="5" borderId="51" xfId="6" applyNumberFormat="1" applyFont="1" applyFill="1" applyBorder="1" applyAlignment="1">
      <alignment horizontal="center"/>
    </xf>
    <xf numFmtId="49" fontId="48" fillId="5" borderId="23" xfId="6" applyNumberFormat="1" applyFont="1" applyFill="1" applyBorder="1" applyAlignment="1">
      <alignment horizontal="center"/>
    </xf>
    <xf numFmtId="49" fontId="9" fillId="5" borderId="4" xfId="6" applyNumberFormat="1" applyFont="1" applyFill="1" applyBorder="1"/>
    <xf numFmtId="0" fontId="51" fillId="0" borderId="4" xfId="6" applyFont="1" applyBorder="1" applyAlignment="1">
      <alignment horizontal="center"/>
    </xf>
    <xf numFmtId="12" fontId="48" fillId="0" borderId="4" xfId="6" applyNumberFormat="1" applyFont="1" applyBorder="1" applyAlignment="1">
      <alignment horizontal="center"/>
    </xf>
    <xf numFmtId="49" fontId="9" fillId="0" borderId="4" xfId="6" applyNumberFormat="1" applyFont="1" applyBorder="1"/>
    <xf numFmtId="1" fontId="51" fillId="0" borderId="4" xfId="6" applyNumberFormat="1" applyFont="1" applyBorder="1" applyAlignment="1">
      <alignment horizontal="center"/>
    </xf>
    <xf numFmtId="49" fontId="7" fillId="2" borderId="30" xfId="6" applyNumberFormat="1" applyFont="1" applyFill="1" applyBorder="1" applyAlignment="1">
      <alignment horizontal="center" vertical="center"/>
    </xf>
    <xf numFmtId="49" fontId="7" fillId="2" borderId="0" xfId="6" applyNumberFormat="1" applyFont="1" applyFill="1" applyAlignment="1">
      <alignment horizontal="center" vertical="center"/>
    </xf>
    <xf numFmtId="0" fontId="5" fillId="2" borderId="0" xfId="6" applyFont="1" applyFill="1"/>
    <xf numFmtId="1" fontId="5" fillId="2" borderId="0" xfId="6" applyNumberFormat="1" applyFont="1" applyFill="1" applyAlignment="1">
      <alignment horizontal="center"/>
    </xf>
    <xf numFmtId="167" fontId="5" fillId="2" borderId="0" xfId="6" applyNumberFormat="1" applyFont="1" applyFill="1" applyAlignment="1">
      <alignment horizontal="center" wrapText="1"/>
    </xf>
    <xf numFmtId="0" fontId="5" fillId="2" borderId="41" xfId="6" applyFont="1" applyFill="1" applyBorder="1" applyAlignment="1">
      <alignment horizontal="center"/>
    </xf>
    <xf numFmtId="0" fontId="5" fillId="3" borderId="7" xfId="6" applyFont="1" applyFill="1" applyBorder="1" applyAlignment="1">
      <alignment horizontal="center"/>
    </xf>
    <xf numFmtId="0" fontId="5" fillId="3" borderId="8" xfId="6" applyFont="1" applyFill="1" applyBorder="1" applyAlignment="1">
      <alignment horizontal="center"/>
    </xf>
    <xf numFmtId="0" fontId="5" fillId="3" borderId="8" xfId="6" applyFont="1" applyFill="1" applyBorder="1"/>
    <xf numFmtId="0" fontId="6" fillId="3" borderId="8" xfId="6" applyFont="1" applyFill="1" applyBorder="1" applyAlignment="1">
      <alignment horizontal="center"/>
    </xf>
    <xf numFmtId="1" fontId="6" fillId="3" borderId="8" xfId="6" applyNumberFormat="1" applyFont="1" applyFill="1" applyBorder="1" applyAlignment="1">
      <alignment horizontal="center"/>
    </xf>
    <xf numFmtId="167" fontId="5" fillId="3" borderId="8" xfId="6" applyNumberFormat="1" applyFont="1" applyFill="1" applyBorder="1" applyAlignment="1">
      <alignment horizontal="center" wrapText="1"/>
    </xf>
    <xf numFmtId="0" fontId="5" fillId="3" borderId="9" xfId="6" applyFont="1" applyFill="1" applyBorder="1" applyAlignment="1">
      <alignment horizontal="center"/>
    </xf>
    <xf numFmtId="1" fontId="2" fillId="0" borderId="6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52" fillId="0" borderId="4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48" fillId="0" borderId="21" xfId="0" applyFont="1" applyBorder="1" applyAlignment="1">
      <alignment horizontal="left"/>
    </xf>
    <xf numFmtId="14" fontId="5" fillId="2" borderId="13" xfId="3" applyNumberFormat="1" applyFont="1" applyFill="1" applyBorder="1" applyAlignment="1">
      <alignment horizontal="center" vertical="center" wrapText="1"/>
    </xf>
    <xf numFmtId="14" fontId="5" fillId="2" borderId="12" xfId="3" applyNumberFormat="1" applyFont="1" applyFill="1" applyBorder="1" applyAlignment="1">
      <alignment horizontal="center" vertical="center" wrapText="1"/>
    </xf>
    <xf numFmtId="14" fontId="5" fillId="2" borderId="47" xfId="3" applyNumberFormat="1" applyFont="1" applyFill="1" applyBorder="1" applyAlignment="1">
      <alignment horizontal="center" vertical="center" wrapText="1"/>
    </xf>
    <xf numFmtId="0" fontId="5" fillId="2" borderId="27" xfId="3" applyFont="1" applyFill="1" applyBorder="1" applyAlignment="1">
      <alignment horizontal="left"/>
    </xf>
    <xf numFmtId="0" fontId="5" fillId="2" borderId="18" xfId="3" applyFont="1" applyFill="1" applyBorder="1" applyAlignment="1">
      <alignment horizontal="left"/>
    </xf>
    <xf numFmtId="0" fontId="5" fillId="2" borderId="28" xfId="3" applyFont="1" applyFill="1" applyBorder="1" applyAlignment="1">
      <alignment horizontal="left"/>
    </xf>
    <xf numFmtId="0" fontId="5" fillId="2" borderId="24" xfId="3" applyFont="1" applyFill="1" applyBorder="1" applyAlignment="1">
      <alignment horizontal="left"/>
    </xf>
    <xf numFmtId="0" fontId="5" fillId="2" borderId="21" xfId="3" applyFont="1" applyFill="1" applyBorder="1" applyAlignment="1">
      <alignment horizontal="left"/>
    </xf>
    <xf numFmtId="0" fontId="5" fillId="2" borderId="23" xfId="3" applyFont="1" applyFill="1" applyBorder="1" applyAlignment="1">
      <alignment horizontal="left"/>
    </xf>
    <xf numFmtId="0" fontId="5" fillId="2" borderId="29" xfId="3" applyFont="1" applyFill="1" applyBorder="1" applyAlignment="1">
      <alignment horizontal="center"/>
    </xf>
    <xf numFmtId="0" fontId="5" fillId="2" borderId="40" xfId="3" applyFont="1" applyFill="1" applyBorder="1" applyAlignment="1">
      <alignment horizontal="center"/>
    </xf>
    <xf numFmtId="0" fontId="5" fillId="2" borderId="30" xfId="3" applyFont="1" applyFill="1" applyBorder="1" applyAlignment="1">
      <alignment horizontal="center"/>
    </xf>
    <xf numFmtId="0" fontId="5" fillId="2" borderId="0" xfId="3" applyFont="1" applyFill="1" applyAlignment="1">
      <alignment horizontal="center"/>
    </xf>
    <xf numFmtId="0" fontId="5" fillId="2" borderId="45" xfId="3" applyFont="1" applyFill="1" applyBorder="1" applyAlignment="1">
      <alignment horizontal="center"/>
    </xf>
    <xf numFmtId="0" fontId="5" fillId="2" borderId="46" xfId="3" applyFont="1" applyFill="1" applyBorder="1" applyAlignment="1">
      <alignment horizontal="center"/>
    </xf>
    <xf numFmtId="0" fontId="4" fillId="2" borderId="3" xfId="3" applyFont="1" applyFill="1" applyBorder="1" applyAlignment="1">
      <alignment horizontal="center"/>
    </xf>
    <xf numFmtId="0" fontId="4" fillId="2" borderId="11" xfId="3" applyFont="1" applyFill="1" applyBorder="1" applyAlignment="1">
      <alignment horizontal="center"/>
    </xf>
    <xf numFmtId="0" fontId="8" fillId="4" borderId="7" xfId="3" applyFont="1" applyFill="1" applyBorder="1" applyAlignment="1">
      <alignment horizontal="center"/>
    </xf>
    <xf numFmtId="0" fontId="8" fillId="4" borderId="8" xfId="3" applyFont="1" applyFill="1" applyBorder="1" applyAlignment="1">
      <alignment horizontal="center"/>
    </xf>
    <xf numFmtId="0" fontId="8" fillId="4" borderId="9" xfId="3" applyFont="1" applyFill="1" applyBorder="1" applyAlignment="1">
      <alignment horizontal="center"/>
    </xf>
    <xf numFmtId="0" fontId="6" fillId="2" borderId="31" xfId="3" applyFont="1" applyFill="1" applyBorder="1" applyAlignment="1">
      <alignment horizontal="right" vertical="top" wrapText="1"/>
    </xf>
    <xf numFmtId="0" fontId="6" fillId="2" borderId="32" xfId="3" applyFont="1" applyFill="1" applyBorder="1" applyAlignment="1">
      <alignment horizontal="right" vertical="top" wrapText="1"/>
    </xf>
    <xf numFmtId="0" fontId="6" fillId="2" borderId="33" xfId="3" applyFont="1" applyFill="1" applyBorder="1" applyAlignment="1">
      <alignment horizontal="right" vertical="top" wrapText="1"/>
    </xf>
    <xf numFmtId="0" fontId="42" fillId="2" borderId="0" xfId="5" applyFont="1" applyFill="1" applyAlignment="1">
      <alignment horizontal="right"/>
    </xf>
    <xf numFmtId="0" fontId="43" fillId="2" borderId="34" xfId="5" applyFont="1" applyFill="1" applyBorder="1" applyAlignment="1">
      <alignment horizontal="center"/>
    </xf>
    <xf numFmtId="0" fontId="42" fillId="2" borderId="0" xfId="5" applyFont="1" applyFill="1"/>
    <xf numFmtId="0" fontId="6" fillId="3" borderId="48" xfId="6" applyFont="1" applyFill="1" applyBorder="1" applyAlignment="1">
      <alignment horizontal="center" vertical="center"/>
    </xf>
    <xf numFmtId="0" fontId="6" fillId="3" borderId="49" xfId="6" applyFont="1" applyFill="1" applyBorder="1" applyAlignment="1">
      <alignment horizontal="center" vertical="center"/>
    </xf>
    <xf numFmtId="0" fontId="6" fillId="3" borderId="48" xfId="6" applyFont="1" applyFill="1" applyBorder="1" applyAlignment="1">
      <alignment horizontal="center" vertical="center" wrapText="1"/>
    </xf>
    <xf numFmtId="0" fontId="6" fillId="3" borderId="49" xfId="6" applyFont="1" applyFill="1" applyBorder="1" applyAlignment="1">
      <alignment horizontal="center" vertical="center" wrapText="1"/>
    </xf>
    <xf numFmtId="0" fontId="6" fillId="3" borderId="3" xfId="6" applyFont="1" applyFill="1" applyBorder="1" applyAlignment="1">
      <alignment horizontal="center" vertical="center"/>
    </xf>
    <xf numFmtId="0" fontId="6" fillId="3" borderId="2" xfId="6" applyFont="1" applyFill="1" applyBorder="1" applyAlignment="1">
      <alignment horizontal="center" vertical="center"/>
    </xf>
    <xf numFmtId="0" fontId="6" fillId="0" borderId="45" xfId="6" applyFont="1" applyBorder="1" applyAlignment="1">
      <alignment horizontal="right"/>
    </xf>
    <xf numFmtId="0" fontId="6" fillId="0" borderId="46" xfId="6" applyFont="1" applyBorder="1" applyAlignment="1">
      <alignment horizontal="right"/>
    </xf>
    <xf numFmtId="0" fontId="6" fillId="0" borderId="52" xfId="6" applyFont="1" applyBorder="1" applyAlignment="1">
      <alignment horizontal="right"/>
    </xf>
    <xf numFmtId="167" fontId="5" fillId="0" borderId="6" xfId="6" applyNumberFormat="1" applyFont="1" applyBorder="1" applyAlignment="1">
      <alignment horizontal="right"/>
    </xf>
    <xf numFmtId="0" fontId="5" fillId="2" borderId="10" xfId="6" applyFont="1" applyFill="1" applyBorder="1" applyAlignment="1">
      <alignment horizontal="center"/>
    </xf>
    <xf numFmtId="0" fontId="5" fillId="2" borderId="53" xfId="6" applyFont="1" applyFill="1" applyBorder="1" applyAlignment="1">
      <alignment horizontal="center"/>
    </xf>
    <xf numFmtId="0" fontId="6" fillId="0" borderId="20" xfId="6" applyFont="1" applyBorder="1" applyAlignment="1">
      <alignment horizontal="right"/>
    </xf>
    <xf numFmtId="0" fontId="6" fillId="0" borderId="21" xfId="6" applyFont="1" applyBorder="1" applyAlignment="1">
      <alignment horizontal="right"/>
    </xf>
    <xf numFmtId="0" fontId="6" fillId="0" borderId="23" xfId="6" applyFont="1" applyBorder="1" applyAlignment="1">
      <alignment horizontal="right"/>
    </xf>
    <xf numFmtId="0" fontId="5" fillId="0" borderId="4" xfId="6" applyFont="1" applyBorder="1" applyAlignment="1">
      <alignment horizontal="right"/>
    </xf>
    <xf numFmtId="167" fontId="5" fillId="0" borderId="24" xfId="6" applyNumberFormat="1" applyFont="1" applyBorder="1" applyAlignment="1">
      <alignment horizontal="center"/>
    </xf>
    <xf numFmtId="167" fontId="5" fillId="0" borderId="22" xfId="6" applyNumberFormat="1" applyFont="1" applyBorder="1" applyAlignment="1">
      <alignment horizontal="center"/>
    </xf>
    <xf numFmtId="0" fontId="5" fillId="0" borderId="20" xfId="0" applyFont="1" applyBorder="1" applyAlignment="1">
      <alignment horizontal="left"/>
    </xf>
    <xf numFmtId="0" fontId="5" fillId="0" borderId="21" xfId="0" applyFont="1" applyBorder="1" applyAlignment="1">
      <alignment horizontal="left"/>
    </xf>
    <xf numFmtId="0" fontId="5" fillId="0" borderId="22" xfId="0" applyFont="1" applyBorder="1" applyAlignment="1">
      <alignment horizontal="left"/>
    </xf>
    <xf numFmtId="167" fontId="5" fillId="0" borderId="24" xfId="6" applyNumberFormat="1" applyFont="1" applyBorder="1" applyAlignment="1">
      <alignment horizontal="right" wrapText="1"/>
    </xf>
    <xf numFmtId="167" fontId="5" fillId="0" borderId="23" xfId="6" applyNumberFormat="1" applyFont="1" applyBorder="1" applyAlignment="1">
      <alignment horizontal="right" wrapText="1"/>
    </xf>
    <xf numFmtId="0" fontId="6" fillId="0" borderId="49" xfId="6" applyFont="1" applyBorder="1" applyAlignment="1">
      <alignment horizontal="right"/>
    </xf>
    <xf numFmtId="0" fontId="6" fillId="0" borderId="25" xfId="6" applyFont="1" applyBorder="1" applyAlignment="1">
      <alignment horizontal="right"/>
    </xf>
    <xf numFmtId="0" fontId="6" fillId="0" borderId="2" xfId="6" applyFont="1" applyBorder="1" applyAlignment="1">
      <alignment horizontal="right"/>
    </xf>
    <xf numFmtId="0" fontId="5" fillId="0" borderId="2" xfId="6" applyFont="1" applyBorder="1" applyAlignment="1">
      <alignment horizontal="right"/>
    </xf>
    <xf numFmtId="167" fontId="5" fillId="0" borderId="26" xfId="6" applyNumberFormat="1" applyFont="1" applyBorder="1" applyAlignment="1">
      <alignment horizontal="center"/>
    </xf>
    <xf numFmtId="167" fontId="5" fillId="0" borderId="16" xfId="6" applyNumberFormat="1" applyFont="1" applyBorder="1" applyAlignment="1">
      <alignment horizontal="center"/>
    </xf>
    <xf numFmtId="0" fontId="6" fillId="3" borderId="7" xfId="6" applyFont="1" applyFill="1" applyBorder="1" applyAlignment="1">
      <alignment horizontal="left"/>
    </xf>
    <xf numFmtId="0" fontId="6" fillId="3" borderId="8" xfId="6" applyFont="1" applyFill="1" applyBorder="1" applyAlignment="1">
      <alignment horizontal="left"/>
    </xf>
    <xf numFmtId="0" fontId="6" fillId="3" borderId="9" xfId="6" applyFont="1" applyFill="1" applyBorder="1" applyAlignment="1">
      <alignment horizontal="left"/>
    </xf>
    <xf numFmtId="0" fontId="5" fillId="0" borderId="17" xfId="0" applyFont="1" applyBorder="1" applyAlignment="1">
      <alignment horizontal="left"/>
    </xf>
    <xf numFmtId="0" fontId="5" fillId="0" borderId="18" xfId="0" applyFont="1" applyBorder="1" applyAlignment="1">
      <alignment horizontal="left"/>
    </xf>
    <xf numFmtId="0" fontId="5" fillId="0" borderId="19" xfId="0" applyFont="1" applyBorder="1" applyAlignment="1">
      <alignment horizontal="left"/>
    </xf>
    <xf numFmtId="0" fontId="5" fillId="0" borderId="14" xfId="6" applyFont="1" applyBorder="1" applyAlignment="1">
      <alignment horizontal="left"/>
    </xf>
    <xf numFmtId="0" fontId="5" fillId="0" borderId="15" xfId="6" applyFont="1" applyBorder="1" applyAlignment="1">
      <alignment horizontal="left"/>
    </xf>
    <xf numFmtId="0" fontId="5" fillId="0" borderId="16" xfId="6" applyFont="1" applyBorder="1" applyAlignment="1">
      <alignment horizontal="left"/>
    </xf>
    <xf numFmtId="0" fontId="6" fillId="11" borderId="54" xfId="3" applyFont="1" applyFill="1" applyBorder="1" applyAlignment="1">
      <alignment horizontal="center"/>
    </xf>
    <xf numFmtId="0" fontId="6" fillId="11" borderId="40" xfId="3" applyFont="1" applyFill="1" applyBorder="1" applyAlignment="1">
      <alignment horizontal="center"/>
    </xf>
    <xf numFmtId="0" fontId="5" fillId="2" borderId="55" xfId="3" applyFont="1" applyFill="1" applyBorder="1" applyAlignment="1">
      <alignment horizontal="left"/>
    </xf>
    <xf numFmtId="0" fontId="5" fillId="2" borderId="0" xfId="3" applyFont="1" applyFill="1" applyAlignment="1">
      <alignment horizontal="left"/>
    </xf>
    <xf numFmtId="0" fontId="5" fillId="0" borderId="45" xfId="6" applyFont="1" applyBorder="1" applyAlignment="1">
      <alignment horizontal="left" wrapText="1"/>
    </xf>
    <xf numFmtId="0" fontId="5" fillId="0" borderId="46" xfId="6" applyFont="1" applyBorder="1" applyAlignment="1">
      <alignment horizontal="left" wrapText="1"/>
    </xf>
    <xf numFmtId="0" fontId="5" fillId="0" borderId="53" xfId="6" applyFont="1" applyBorder="1" applyAlignment="1">
      <alignment horizontal="left" wrapText="1"/>
    </xf>
    <xf numFmtId="0" fontId="5" fillId="0" borderId="2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48" fillId="0" borderId="21" xfId="0" applyFont="1" applyBorder="1" applyAlignment="1">
      <alignment horizontal="left"/>
    </xf>
    <xf numFmtId="0" fontId="10" fillId="0" borderId="0" xfId="0" applyFont="1" applyAlignment="1">
      <alignment horizontal="center" vertical="center"/>
    </xf>
    <xf numFmtId="0" fontId="15" fillId="0" borderId="34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right" vertical="center" wrapText="1"/>
    </xf>
    <xf numFmtId="0" fontId="10" fillId="0" borderId="0" xfId="0" applyFont="1" applyAlignment="1">
      <alignment horizontal="right" vertical="center"/>
    </xf>
    <xf numFmtId="0" fontId="21" fillId="0" borderId="29" xfId="0" applyFont="1" applyBorder="1" applyAlignment="1">
      <alignment horizontal="right"/>
    </xf>
    <xf numFmtId="0" fontId="21" fillId="0" borderId="40" xfId="0" applyFont="1" applyBorder="1" applyAlignment="1">
      <alignment horizontal="right"/>
    </xf>
    <xf numFmtId="0" fontId="21" fillId="0" borderId="0" xfId="0" applyFont="1" applyAlignment="1">
      <alignment horizontal="right"/>
    </xf>
    <xf numFmtId="0" fontId="9" fillId="0" borderId="0" xfId="0" applyFont="1" applyAlignment="1">
      <alignment horizontal="right" vertical="center"/>
    </xf>
    <xf numFmtId="0" fontId="9" fillId="0" borderId="4" xfId="0" applyFont="1" applyBorder="1" applyAlignment="1">
      <alignment horizontal="right" vertical="center"/>
    </xf>
    <xf numFmtId="0" fontId="28" fillId="0" borderId="4" xfId="0" applyFont="1" applyBorder="1" applyAlignment="1">
      <alignment horizontal="right" vertical="center"/>
    </xf>
    <xf numFmtId="0" fontId="29" fillId="0" borderId="30" xfId="0" applyFont="1" applyBorder="1" applyAlignment="1">
      <alignment horizontal="right"/>
    </xf>
    <xf numFmtId="0" fontId="29" fillId="0" borderId="0" xfId="0" applyFont="1" applyAlignment="1">
      <alignment horizontal="right"/>
    </xf>
    <xf numFmtId="0" fontId="29" fillId="0" borderId="41" xfId="0" applyFont="1" applyBorder="1" applyAlignment="1">
      <alignment horizontal="right"/>
    </xf>
    <xf numFmtId="0" fontId="23" fillId="0" borderId="34" xfId="0" applyFont="1" applyBorder="1" applyAlignment="1">
      <alignment horizontal="right"/>
    </xf>
    <xf numFmtId="0" fontId="20" fillId="0" borderId="0" xfId="0" applyFont="1" applyAlignment="1">
      <alignment horizontal="right" vertical="center"/>
    </xf>
    <xf numFmtId="0" fontId="27" fillId="7" borderId="7" xfId="0" applyFont="1" applyFill="1" applyBorder="1" applyAlignment="1">
      <alignment horizontal="right"/>
    </xf>
    <xf numFmtId="0" fontId="27" fillId="7" borderId="8" xfId="0" applyFont="1" applyFill="1" applyBorder="1" applyAlignment="1">
      <alignment horizontal="right"/>
    </xf>
    <xf numFmtId="0" fontId="37" fillId="0" borderId="0" xfId="0" applyFont="1" applyAlignment="1">
      <alignment horizontal="right"/>
    </xf>
    <xf numFmtId="0" fontId="10" fillId="0" borderId="34" xfId="0" applyFont="1" applyBorder="1" applyAlignment="1">
      <alignment horizontal="right" vertical="center"/>
    </xf>
    <xf numFmtId="0" fontId="10" fillId="0" borderId="44" xfId="0" applyFont="1" applyBorder="1" applyAlignment="1">
      <alignment horizontal="right" vertical="center"/>
    </xf>
    <xf numFmtId="0" fontId="10" fillId="9" borderId="7" xfId="0" applyFont="1" applyFill="1" applyBorder="1" applyAlignment="1">
      <alignment horizontal="right" vertical="center"/>
    </xf>
    <xf numFmtId="0" fontId="10" fillId="9" borderId="8" xfId="0" applyFont="1" applyFill="1" applyBorder="1" applyAlignment="1">
      <alignment horizontal="right" vertical="center"/>
    </xf>
    <xf numFmtId="0" fontId="10" fillId="9" borderId="9" xfId="0" applyFont="1" applyFill="1" applyBorder="1" applyAlignment="1">
      <alignment horizontal="right" vertical="center"/>
    </xf>
    <xf numFmtId="4" fontId="33" fillId="0" borderId="0" xfId="2" applyNumberFormat="1" applyFont="1" applyFill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36" fillId="0" borderId="7" xfId="0" applyFont="1" applyBorder="1" applyAlignment="1">
      <alignment horizontal="right" vertical="center"/>
    </xf>
    <xf numFmtId="0" fontId="36" fillId="0" borderId="8" xfId="0" applyFont="1" applyBorder="1" applyAlignment="1">
      <alignment horizontal="right" vertical="center"/>
    </xf>
    <xf numFmtId="0" fontId="36" fillId="0" borderId="9" xfId="0" applyFont="1" applyBorder="1" applyAlignment="1">
      <alignment horizontal="right" vertical="center"/>
    </xf>
    <xf numFmtId="0" fontId="26" fillId="0" borderId="0" xfId="0" applyFont="1" applyAlignment="1">
      <alignment horizontal="right"/>
    </xf>
    <xf numFmtId="0" fontId="26" fillId="0" borderId="41" xfId="0" applyFont="1" applyBorder="1" applyAlignment="1">
      <alignment horizontal="right"/>
    </xf>
  </cellXfs>
  <cellStyles count="9">
    <cellStyle name="Millares" xfId="1" builtinId="3"/>
    <cellStyle name="Millares [0]" xfId="2" builtinId="6"/>
    <cellStyle name="Normal" xfId="0" builtinId="0"/>
    <cellStyle name="Normal 2" xfId="6" xr:uid="{859BAB17-6BE0-47EB-AA87-BA6A214F3718}"/>
    <cellStyle name="Normal 3" xfId="8" xr:uid="{80AE8B89-468A-4F06-A416-D253E9523BD5}"/>
    <cellStyle name="Normal 3 2" xfId="7" xr:uid="{D309EC8C-36A7-4B21-9AC9-541F5C03E559}"/>
    <cellStyle name="Normal_CRITERIOS DE EVALUACION PT DE GB" xfId="3" xr:uid="{00000000-0005-0000-0000-000003000000}"/>
    <cellStyle name="Normal_CRITERIOS DE EVALUACION PT DE GB 2" xfId="5" xr:uid="{863E97B5-A397-4ACE-8DB6-446B6261C701}"/>
    <cellStyle name="Porcentaje" xfId="4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COSTOS%202013\LISTA%20COSTOS%20AL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COSTOS%202013\Planta\Planta%20Premezclas\Spoon\90100131%20Azucar%20blanco%20industrial%201500g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COSTOS%202013\Planta\Planta%20Subrecetas\Especiales\95692%20-%20JUGO%20DE%20LIMON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Base%20datos%20costos%20201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</sheetNames>
    <sheetDataSet>
      <sheetData sheetId="0">
        <row r="2">
          <cell r="A2" t="str">
            <v>0512334</v>
          </cell>
          <cell r="B2" t="str">
            <v>BENZOATO SODIO (KILO)</v>
          </cell>
          <cell r="C2" t="str">
            <v>1 KILO</v>
          </cell>
          <cell r="D2" t="str">
            <v>26/12/2019</v>
          </cell>
          <cell r="E2">
            <v>1651.7</v>
          </cell>
          <cell r="F2" t="str">
            <v>Gramo</v>
          </cell>
          <cell r="G2">
            <v>1.6516999999999999</v>
          </cell>
        </row>
        <row r="3">
          <cell r="A3" t="str">
            <v>10300041</v>
          </cell>
          <cell r="B3" t="str">
            <v>JAMON DE PAVO LIGHT (PAQ:250 G)</v>
          </cell>
          <cell r="C3" t="str">
            <v>1 PAQUETE</v>
          </cell>
          <cell r="D3" t="str">
            <v>18/01/2020</v>
          </cell>
          <cell r="E3">
            <v>2.9678</v>
          </cell>
        </row>
        <row r="4">
          <cell r="A4" t="str">
            <v>0512262</v>
          </cell>
          <cell r="B4" t="str">
            <v>PROPIANATO CALCIO (KILO)</v>
          </cell>
          <cell r="C4" t="str">
            <v>1 KILO</v>
          </cell>
          <cell r="D4" t="str">
            <v>03/02/2020</v>
          </cell>
          <cell r="E4">
            <v>1779</v>
          </cell>
          <cell r="F4" t="str">
            <v>Gramo</v>
          </cell>
          <cell r="G4">
            <v>1.7789999999999999</v>
          </cell>
        </row>
        <row r="5">
          <cell r="A5" t="str">
            <v>510179</v>
          </cell>
          <cell r="B5" t="str">
            <v>CONFITURA COLORES(PAQ:1 KILO)</v>
          </cell>
          <cell r="C5" t="str">
            <v>1 PAQUETE</v>
          </cell>
          <cell r="D5" t="str">
            <v>13/02/2020</v>
          </cell>
          <cell r="E5">
            <v>3.5640000000000001</v>
          </cell>
        </row>
        <row r="6">
          <cell r="A6" t="str">
            <v>510174</v>
          </cell>
          <cell r="B6" t="str">
            <v>COCO RALLADO (PAQ: 1 K)</v>
          </cell>
          <cell r="C6" t="str">
            <v>1 PAQUETE</v>
          </cell>
          <cell r="D6" t="str">
            <v>03/03/2020</v>
          </cell>
          <cell r="E6">
            <v>2154</v>
          </cell>
          <cell r="F6" t="str">
            <v>Gramo</v>
          </cell>
          <cell r="G6">
            <v>2.1539999999999999</v>
          </cell>
        </row>
        <row r="7">
          <cell r="A7" t="str">
            <v>119000009</v>
          </cell>
          <cell r="B7" t="str">
            <v>MANI SIMPLE (PAQ:1 K)</v>
          </cell>
          <cell r="C7" t="str">
            <v>1 PAQUETE</v>
          </cell>
          <cell r="D7" t="str">
            <v>28/01/2020</v>
          </cell>
          <cell r="E7">
            <v>4</v>
          </cell>
        </row>
        <row r="8">
          <cell r="A8" t="str">
            <v>10100210</v>
          </cell>
          <cell r="B8" t="str">
            <v>COCOA NATURAL (PAQ:1 K)</v>
          </cell>
          <cell r="C8" t="str">
            <v>1 PAQUETE</v>
          </cell>
          <cell r="D8" t="str">
            <v>03/11/2019</v>
          </cell>
          <cell r="E8">
            <v>4.5030000000000001</v>
          </cell>
        </row>
        <row r="9">
          <cell r="A9" t="str">
            <v>0510146</v>
          </cell>
          <cell r="B9" t="str">
            <v>AJONJOLI (PAQ:1 KILO)</v>
          </cell>
          <cell r="C9" t="str">
            <v>1 PAQUETE</v>
          </cell>
          <cell r="D9" t="str">
            <v>05/02/2020</v>
          </cell>
          <cell r="E9">
            <v>5</v>
          </cell>
        </row>
        <row r="10">
          <cell r="A10" t="str">
            <v>10700030</v>
          </cell>
          <cell r="B10" t="str">
            <v>CONFITE MENTA STARLIGHT (PAQ:3 LIBRAS)</v>
          </cell>
          <cell r="C10" t="str">
            <v>1 PAQUETE</v>
          </cell>
          <cell r="D10" t="str">
            <v>03/11/2019</v>
          </cell>
          <cell r="E10">
            <v>5.3139705882352901</v>
          </cell>
        </row>
        <row r="11">
          <cell r="A11" t="str">
            <v>107000012</v>
          </cell>
          <cell r="B11" t="str">
            <v>CONFITILLO CORAZON MAVALERIO (PAQ:150G)</v>
          </cell>
          <cell r="C11" t="str">
            <v>1 PAQ</v>
          </cell>
          <cell r="D11" t="str">
            <v>13/02/2020</v>
          </cell>
          <cell r="E11">
            <v>6.4203333333333301</v>
          </cell>
        </row>
        <row r="12">
          <cell r="A12" t="str">
            <v>512261</v>
          </cell>
          <cell r="B12" t="str">
            <v>ACIDO SORBICO (KILO)</v>
          </cell>
          <cell r="C12" t="str">
            <v>1 KILO</v>
          </cell>
          <cell r="D12" t="str">
            <v>16/12/2019</v>
          </cell>
          <cell r="E12">
            <v>7163.04</v>
          </cell>
          <cell r="F12" t="str">
            <v>Gramo</v>
          </cell>
          <cell r="G12">
            <v>7.1630399999999996</v>
          </cell>
        </row>
        <row r="13">
          <cell r="A13" t="str">
            <v>11900015</v>
          </cell>
          <cell r="B13" t="str">
            <v>PASAS (CAJA:10 k)</v>
          </cell>
          <cell r="C13" t="str">
            <v xml:space="preserve">1 CAJA </v>
          </cell>
          <cell r="D13" t="str">
            <v>29/11/2019</v>
          </cell>
          <cell r="E13">
            <v>32.5</v>
          </cell>
        </row>
        <row r="14">
          <cell r="A14" t="str">
            <v>510173</v>
          </cell>
          <cell r="B14" t="str">
            <v>CIRUELA (CAJA:10 Kg)</v>
          </cell>
          <cell r="C14" t="str">
            <v>1 CAJA</v>
          </cell>
          <cell r="D14" t="str">
            <v>16/01/2020</v>
          </cell>
          <cell r="E14">
            <v>40</v>
          </cell>
        </row>
        <row r="15">
          <cell r="A15" t="str">
            <v>1210462</v>
          </cell>
          <cell r="B15" t="str">
            <v>MONEDAS MARMOLEADAS (CAJA:240 UND)</v>
          </cell>
          <cell r="C15" t="str">
            <v>1 UND</v>
          </cell>
          <cell r="D15" t="str">
            <v>02/03/2020</v>
          </cell>
          <cell r="E15">
            <v>42</v>
          </cell>
          <cell r="F15" t="str">
            <v>UND</v>
          </cell>
          <cell r="G15">
            <v>42</v>
          </cell>
        </row>
        <row r="16">
          <cell r="A16" t="str">
            <v>510215</v>
          </cell>
          <cell r="B16" t="str">
            <v xml:space="preserve">ALMIDON MODIFICADO (SACO:25 K) </v>
          </cell>
          <cell r="C16" t="str">
            <v>1 SACO</v>
          </cell>
          <cell r="D16" t="str">
            <v>03/03/2020</v>
          </cell>
          <cell r="E16">
            <v>28581</v>
          </cell>
          <cell r="F16" t="str">
            <v>Gramo</v>
          </cell>
          <cell r="G16">
            <v>1.14324</v>
          </cell>
        </row>
        <row r="17">
          <cell r="A17" t="str">
            <v>203000096</v>
          </cell>
          <cell r="B17" t="str">
            <v>TARJETA CARTULINA CUCHARA BELGA</v>
          </cell>
          <cell r="C17" t="str">
            <v>1 UND</v>
          </cell>
          <cell r="D17" t="str">
            <v>03/02/2020</v>
          </cell>
          <cell r="E17">
            <v>50.189086666000001</v>
          </cell>
        </row>
        <row r="18">
          <cell r="A18" t="str">
            <v>2000001</v>
          </cell>
          <cell r="B18" t="str">
            <v>SALMON AHUMADO  (PAQ:900g)</v>
          </cell>
          <cell r="C18" t="str">
            <v>1 PAQUETE</v>
          </cell>
          <cell r="D18" t="str">
            <v>03/03/2020</v>
          </cell>
          <cell r="E18">
            <v>50.647058823529399</v>
          </cell>
        </row>
        <row r="19">
          <cell r="A19" t="str">
            <v>0510200</v>
          </cell>
          <cell r="B19" t="str">
            <v>PASAS (CAJAS:13.6KG)</v>
          </cell>
          <cell r="C19" t="str">
            <v xml:space="preserve">1 CAJA </v>
          </cell>
          <cell r="D19" t="str">
            <v>17/02/2020</v>
          </cell>
          <cell r="E19">
            <v>64.599999999999994</v>
          </cell>
        </row>
        <row r="20">
          <cell r="A20" t="str">
            <v>116000009</v>
          </cell>
          <cell r="B20" t="str">
            <v>PRESERVANTE OPTIFORM PD4 (UND:25K)</v>
          </cell>
          <cell r="C20" t="str">
            <v>1 UND</v>
          </cell>
          <cell r="D20" t="str">
            <v>09/12/2019</v>
          </cell>
          <cell r="E20">
            <v>80</v>
          </cell>
        </row>
        <row r="21">
          <cell r="A21" t="str">
            <v>1900001</v>
          </cell>
          <cell r="B21" t="str">
            <v>QUINUA BLANCA (SACO:25 Kg)</v>
          </cell>
          <cell r="C21" t="str">
            <v>1 SACO</v>
          </cell>
          <cell r="D21" t="str">
            <v>17/02/2020</v>
          </cell>
          <cell r="E21">
            <v>112.5</v>
          </cell>
        </row>
        <row r="22">
          <cell r="A22" t="str">
            <v>510148</v>
          </cell>
          <cell r="B22" t="str">
            <v>ALMENDRA FILETEADA (CAJA: 11,34KG)</v>
          </cell>
          <cell r="C22" t="str">
            <v xml:space="preserve">1 CAJA </v>
          </cell>
          <cell r="D22" t="str">
            <v>03/03/2020</v>
          </cell>
          <cell r="E22">
            <v>64675</v>
          </cell>
          <cell r="F22" t="str">
            <v>Gramo</v>
          </cell>
          <cell r="G22">
            <v>5.7032627865961203</v>
          </cell>
        </row>
        <row r="23">
          <cell r="A23" t="str">
            <v>510149</v>
          </cell>
          <cell r="B23" t="str">
            <v>ALMENDRA ENTERA (CAJA:12 KG)</v>
          </cell>
          <cell r="C23" t="str">
            <v xml:space="preserve">1 CAJA </v>
          </cell>
          <cell r="D23" t="str">
            <v>24/12/2019</v>
          </cell>
          <cell r="E23">
            <v>117</v>
          </cell>
        </row>
        <row r="24">
          <cell r="A24" t="str">
            <v>0101130</v>
          </cell>
          <cell r="B24" t="str">
            <v>LIMONES MAYA (UND)</v>
          </cell>
          <cell r="C24" t="str">
            <v>1 UND</v>
          </cell>
          <cell r="D24" t="str">
            <v>05/03/2020</v>
          </cell>
          <cell r="E24">
            <v>145</v>
          </cell>
          <cell r="F24" t="str">
            <v>UND</v>
          </cell>
          <cell r="G24">
            <v>145</v>
          </cell>
        </row>
        <row r="25">
          <cell r="A25" t="str">
            <v>101050</v>
          </cell>
          <cell r="B25" t="str">
            <v>CHAYOTE (UND)</v>
          </cell>
          <cell r="C25" t="str">
            <v>1 UND</v>
          </cell>
          <cell r="D25" t="str">
            <v>24/02/2020</v>
          </cell>
          <cell r="E25">
            <v>150</v>
          </cell>
        </row>
        <row r="26">
          <cell r="A26" t="str">
            <v>11900001</v>
          </cell>
          <cell r="B26" t="str">
            <v>NUEZ PECANA QUEBRADURA (CAJA:10 Kg)</v>
          </cell>
          <cell r="C26" t="str">
            <v>1 CAJA</v>
          </cell>
          <cell r="D26" t="str">
            <v>27/02/2020</v>
          </cell>
          <cell r="E26">
            <v>131157</v>
          </cell>
          <cell r="F26" t="str">
            <v>Gramo</v>
          </cell>
          <cell r="G26">
            <v>13.1157</v>
          </cell>
        </row>
        <row r="27">
          <cell r="A27" t="str">
            <v>10100098</v>
          </cell>
          <cell r="B27" t="str">
            <v>SAL REFINADA (PAQ:500g)</v>
          </cell>
          <cell r="C27" t="str">
            <v>1 PAQUETE</v>
          </cell>
          <cell r="D27" t="str">
            <v>29/02/2020</v>
          </cell>
          <cell r="E27">
            <v>173.833333333333</v>
          </cell>
          <cell r="F27" t="str">
            <v>Gramo</v>
          </cell>
          <cell r="G27">
            <v>0.34766666666666601</v>
          </cell>
        </row>
        <row r="28">
          <cell r="A28" t="str">
            <v>1730642</v>
          </cell>
          <cell r="B28" t="str">
            <v>PLATANO VERDE (UND)</v>
          </cell>
          <cell r="C28" t="str">
            <v>1 KILO</v>
          </cell>
          <cell r="D28" t="str">
            <v>13/01/2020</v>
          </cell>
          <cell r="E28">
            <v>195</v>
          </cell>
        </row>
        <row r="29">
          <cell r="A29" t="str">
            <v>112000065</v>
          </cell>
          <cell r="B29" t="str">
            <v>PANINI PARRILADA 8" (PAQ:10 UND)</v>
          </cell>
          <cell r="C29" t="str">
            <v>1 PAQUETE</v>
          </cell>
          <cell r="D29" t="str">
            <v>13/01/2020</v>
          </cell>
          <cell r="E29">
            <v>203.1</v>
          </cell>
        </row>
        <row r="30">
          <cell r="A30" t="str">
            <v>0512255</v>
          </cell>
          <cell r="B30" t="str">
            <v>COCOA DUTCH PROCESS (25 KG)</v>
          </cell>
          <cell r="C30" t="str">
            <v>1 SACO</v>
          </cell>
          <cell r="D30" t="str">
            <v>02/03/2020</v>
          </cell>
          <cell r="E30">
            <v>121620</v>
          </cell>
          <cell r="F30" t="str">
            <v>Gramo</v>
          </cell>
          <cell r="G30">
            <v>4.8647999999999998</v>
          </cell>
        </row>
        <row r="31">
          <cell r="A31" t="str">
            <v>0510262</v>
          </cell>
          <cell r="B31" t="str">
            <v>PECANA ENTERA (CAJA:13.6 K)</v>
          </cell>
          <cell r="C31" t="str">
            <v xml:space="preserve">1 CAJA </v>
          </cell>
          <cell r="D31" t="str">
            <v>24/02/2020</v>
          </cell>
          <cell r="E31">
            <v>133018</v>
          </cell>
          <cell r="F31" t="str">
            <v>Gramo</v>
          </cell>
          <cell r="G31">
            <v>9.7807352941176475</v>
          </cell>
        </row>
        <row r="32">
          <cell r="A32" t="str">
            <v>10200018</v>
          </cell>
          <cell r="B32" t="str">
            <v>AGUA EMBOT SPOON (PAQ: 20/600 ML)</v>
          </cell>
          <cell r="C32" t="str">
            <v>1 UND</v>
          </cell>
          <cell r="D32" t="str">
            <v>18/02/2020</v>
          </cell>
          <cell r="E32">
            <v>234</v>
          </cell>
        </row>
        <row r="33">
          <cell r="A33" t="str">
            <v>1212310</v>
          </cell>
          <cell r="B33" t="str">
            <v>FIBRA CITRICA F1 200 FG (UND:20 K)</v>
          </cell>
          <cell r="C33" t="str">
            <v>1 UND</v>
          </cell>
          <cell r="D33" t="str">
            <v>13/11/2019</v>
          </cell>
          <cell r="E33">
            <v>150265</v>
          </cell>
          <cell r="F33" t="str">
            <v>Gramo</v>
          </cell>
          <cell r="G33">
            <v>7.5132500000000002</v>
          </cell>
        </row>
        <row r="34">
          <cell r="A34" t="str">
            <v>2006223</v>
          </cell>
          <cell r="B34" t="str">
            <v>TORTILLA REDONDITA RUMBA (PAQ:1 KG)</v>
          </cell>
          <cell r="C34" t="str">
            <v>1 PAQUETE</v>
          </cell>
          <cell r="D34" t="str">
            <v>28/12/2019</v>
          </cell>
          <cell r="E34">
            <v>275.16666666666703</v>
          </cell>
        </row>
        <row r="35">
          <cell r="A35" t="str">
            <v>10900040</v>
          </cell>
          <cell r="B35" t="str">
            <v>PEREJIL (PAQUETE: 32 gr)</v>
          </cell>
          <cell r="C35" t="str">
            <v>1 PAQUETE</v>
          </cell>
          <cell r="D35" t="str">
            <v>04/03/2020</v>
          </cell>
          <cell r="E35">
            <v>308</v>
          </cell>
        </row>
        <row r="36">
          <cell r="A36" t="str">
            <v>10100155</v>
          </cell>
          <cell r="B36" t="str">
            <v>WAFLE LUTOSA (PAQ: 70g)</v>
          </cell>
          <cell r="C36" t="str">
            <v>1 PAQUETE</v>
          </cell>
          <cell r="D36" t="str">
            <v>29/02/2020</v>
          </cell>
          <cell r="E36">
            <v>347.82</v>
          </cell>
        </row>
        <row r="37">
          <cell r="A37" t="str">
            <v>101072</v>
          </cell>
          <cell r="B37" t="str">
            <v>CULANTRO DESINFECTADO (PAQ:100g)</v>
          </cell>
          <cell r="C37" t="str">
            <v>1 PAQUETE</v>
          </cell>
          <cell r="D37" t="str">
            <v>04/03/2020</v>
          </cell>
          <cell r="E37">
            <v>359</v>
          </cell>
          <cell r="F37" t="str">
            <v>Gramo</v>
          </cell>
          <cell r="G37">
            <v>3.59</v>
          </cell>
        </row>
        <row r="38">
          <cell r="A38" t="str">
            <v>10100082</v>
          </cell>
          <cell r="B38" t="str">
            <v>MAIZ DULCE ENTERO (UND:425g)</v>
          </cell>
          <cell r="C38" t="str">
            <v>1 UND</v>
          </cell>
          <cell r="D38" t="str">
            <v>10/02/2020</v>
          </cell>
          <cell r="E38">
            <v>374</v>
          </cell>
        </row>
        <row r="39">
          <cell r="A39" t="str">
            <v>10100211</v>
          </cell>
          <cell r="B39" t="str">
            <v>MANTECA CLOVER GRUESA (UND:460 G)</v>
          </cell>
          <cell r="C39" t="str">
            <v>1 UND</v>
          </cell>
          <cell r="D39" t="str">
            <v>13/02/2020</v>
          </cell>
          <cell r="E39">
            <v>378</v>
          </cell>
        </row>
        <row r="40">
          <cell r="A40" t="str">
            <v>10100224</v>
          </cell>
          <cell r="B40" t="str">
            <v>REPOLLO VERDE GRANEL (KILO)</v>
          </cell>
          <cell r="C40" t="str">
            <v xml:space="preserve">1 KILO </v>
          </cell>
          <cell r="D40" t="str">
            <v>05/03/2020</v>
          </cell>
          <cell r="E40">
            <v>380</v>
          </cell>
        </row>
        <row r="41">
          <cell r="A41" t="str">
            <v>10900041</v>
          </cell>
          <cell r="B41" t="str">
            <v>REPOLLO MORADO RALLADO (PAQ:250g)</v>
          </cell>
          <cell r="C41" t="str">
            <v>1 PAQUETE</v>
          </cell>
          <cell r="D41" t="str">
            <v>05/03/2020</v>
          </cell>
          <cell r="E41">
            <v>399</v>
          </cell>
          <cell r="F41" t="str">
            <v>Gramo</v>
          </cell>
          <cell r="G41">
            <v>1.5960000000000001</v>
          </cell>
        </row>
        <row r="42">
          <cell r="A42" t="str">
            <v>10900057</v>
          </cell>
          <cell r="B42" t="str">
            <v>ZUQUINI MINI (PAQ:200g)</v>
          </cell>
          <cell r="C42" t="str">
            <v>1 PAQUETE</v>
          </cell>
          <cell r="D42" t="str">
            <v>05/03/2020</v>
          </cell>
          <cell r="E42">
            <v>400</v>
          </cell>
        </row>
        <row r="43">
          <cell r="A43" t="str">
            <v>10900029</v>
          </cell>
          <cell r="B43" t="str">
            <v>ZANAHORIA TIRAS (PAQ:500g)</v>
          </cell>
          <cell r="C43" t="str">
            <v>1 PAQUETE</v>
          </cell>
          <cell r="D43" t="str">
            <v>05/03/2020</v>
          </cell>
          <cell r="E43">
            <v>428</v>
          </cell>
        </row>
        <row r="44">
          <cell r="A44" t="str">
            <v>1110386</v>
          </cell>
          <cell r="B44" t="str">
            <v>TABASCO (UND: 62g)</v>
          </cell>
          <cell r="C44" t="str">
            <v>1 UND</v>
          </cell>
          <cell r="D44" t="str">
            <v>27/02/2020</v>
          </cell>
          <cell r="E44">
            <v>435.25</v>
          </cell>
        </row>
        <row r="45">
          <cell r="A45" t="str">
            <v>20300004</v>
          </cell>
          <cell r="B45" t="str">
            <v>GALLETA FONDANT TEMPORADA PAQ</v>
          </cell>
          <cell r="C45" t="str">
            <v>1 PAQ</v>
          </cell>
          <cell r="D45" t="str">
            <v>25/11/2019</v>
          </cell>
          <cell r="E45">
            <v>450</v>
          </cell>
        </row>
        <row r="46">
          <cell r="A46" t="str">
            <v>20300005</v>
          </cell>
          <cell r="B46" t="str">
            <v>CUP CAKE FONDANT  (UND)</v>
          </cell>
          <cell r="C46" t="str">
            <v>1 UND</v>
          </cell>
          <cell r="D46" t="str">
            <v>14/02/2020</v>
          </cell>
          <cell r="E46">
            <v>450</v>
          </cell>
        </row>
        <row r="47">
          <cell r="A47" t="str">
            <v>10900043</v>
          </cell>
          <cell r="B47" t="str">
            <v>TOMATE CHERRY (PAQ:200g)</v>
          </cell>
          <cell r="C47" t="str">
            <v>1 PAQUETE</v>
          </cell>
          <cell r="D47" t="str">
            <v>05/03/2020</v>
          </cell>
          <cell r="E47">
            <v>450</v>
          </cell>
        </row>
        <row r="48">
          <cell r="A48" t="str">
            <v>10100116</v>
          </cell>
          <cell r="B48" t="str">
            <v>ACEITUNA VERDE C/PIMIENTO (UND:180g)</v>
          </cell>
          <cell r="C48" t="str">
            <v>1 UND</v>
          </cell>
          <cell r="D48" t="str">
            <v>24/02/2020</v>
          </cell>
          <cell r="E48">
            <v>495.83333333333297</v>
          </cell>
        </row>
        <row r="49">
          <cell r="A49" t="str">
            <v>120000022</v>
          </cell>
          <cell r="B49" t="str">
            <v>GALLETA OREO ( PAQ: 126 G)</v>
          </cell>
          <cell r="C49" t="str">
            <v>1 PAQUETE</v>
          </cell>
          <cell r="D49" t="str">
            <v>11/02/2020</v>
          </cell>
          <cell r="E49">
            <v>510</v>
          </cell>
        </row>
        <row r="50">
          <cell r="A50" t="str">
            <v>10900034</v>
          </cell>
          <cell r="B50" t="str">
            <v>ALBAHACA (PAQ: 100g)</v>
          </cell>
          <cell r="C50" t="str">
            <v>1 PAQUETE</v>
          </cell>
          <cell r="D50" t="str">
            <v>04/03/2020</v>
          </cell>
          <cell r="E50">
            <v>511</v>
          </cell>
        </row>
        <row r="51">
          <cell r="A51" t="str">
            <v>207000001</v>
          </cell>
          <cell r="B51" t="str">
            <v>BATIDO DE PIÑA,PEPINO Y ALBAHACA (UND)</v>
          </cell>
          <cell r="C51" t="str">
            <v>1 UND</v>
          </cell>
          <cell r="D51" t="str">
            <v>02/03/2020</v>
          </cell>
          <cell r="E51">
            <v>515</v>
          </cell>
        </row>
        <row r="52">
          <cell r="A52" t="str">
            <v>207000002</v>
          </cell>
          <cell r="B52" t="str">
            <v>BATIDO DE MORA Y JENJIBRE (UND)</v>
          </cell>
          <cell r="C52" t="str">
            <v>1 UND</v>
          </cell>
          <cell r="D52" t="str">
            <v>02/03/2020</v>
          </cell>
          <cell r="E52">
            <v>515</v>
          </cell>
        </row>
        <row r="53">
          <cell r="A53" t="str">
            <v>207000003</v>
          </cell>
          <cell r="B53" t="str">
            <v>BATIDO MANGO, NARANJA Y MARACUYA (UND)</v>
          </cell>
          <cell r="C53" t="str">
            <v>1 UND</v>
          </cell>
          <cell r="D53" t="str">
            <v>02/03/2020</v>
          </cell>
          <cell r="E53">
            <v>515</v>
          </cell>
        </row>
        <row r="54">
          <cell r="A54" t="str">
            <v>10100175</v>
          </cell>
          <cell r="B54" t="str">
            <v>SALSITA TOMATE CON CARNE (UND: 307 G)</v>
          </cell>
          <cell r="C54" t="str">
            <v>1 UND</v>
          </cell>
          <cell r="D54" t="str">
            <v>27/02/2020</v>
          </cell>
          <cell r="E54">
            <v>515.375</v>
          </cell>
        </row>
        <row r="55">
          <cell r="A55" t="str">
            <v>10900005</v>
          </cell>
          <cell r="B55" t="str">
            <v>MENTA EN RAMAS (PAQ:100g)</v>
          </cell>
          <cell r="C55" t="str">
            <v>1 PAQUETE</v>
          </cell>
          <cell r="D55" t="str">
            <v>04/03/2020</v>
          </cell>
          <cell r="E55">
            <v>526</v>
          </cell>
        </row>
        <row r="56">
          <cell r="A56" t="str">
            <v>10100145</v>
          </cell>
          <cell r="B56" t="str">
            <v>JALEA DE GUAYABA (PAQ:200g)</v>
          </cell>
          <cell r="C56" t="str">
            <v>1 PAQUETE</v>
          </cell>
          <cell r="D56" t="str">
            <v>05/03/2020</v>
          </cell>
          <cell r="E56">
            <v>550</v>
          </cell>
        </row>
        <row r="57">
          <cell r="A57" t="str">
            <v>20300008</v>
          </cell>
          <cell r="B57" t="str">
            <v>GALLETA DE FIGURA BOLSA</v>
          </cell>
          <cell r="C57" t="str">
            <v>1 UND</v>
          </cell>
          <cell r="D57" t="str">
            <v>04/03/2020</v>
          </cell>
          <cell r="E57">
            <v>570</v>
          </cell>
        </row>
        <row r="58">
          <cell r="A58" t="str">
            <v>120000018</v>
          </cell>
          <cell r="B58" t="str">
            <v>GALLETA DE CRAMBERRY (PAQ:5 UND)</v>
          </cell>
          <cell r="C58" t="str">
            <v>1 PAQ</v>
          </cell>
          <cell r="D58" t="str">
            <v>28/02/2020</v>
          </cell>
          <cell r="E58">
            <v>573.1</v>
          </cell>
        </row>
        <row r="59">
          <cell r="A59" t="str">
            <v>120000019</v>
          </cell>
          <cell r="B59" t="str">
            <v>GALLETA DE CANELA (PAQ:4 UND)</v>
          </cell>
          <cell r="C59" t="str">
            <v>1 PAQ</v>
          </cell>
          <cell r="D59" t="str">
            <v>28/02/2020</v>
          </cell>
          <cell r="E59">
            <v>573.1</v>
          </cell>
        </row>
        <row r="60">
          <cell r="A60" t="str">
            <v>10900037</v>
          </cell>
          <cell r="B60" t="str">
            <v>VAINICA BABY (PAQ:200g)</v>
          </cell>
          <cell r="C60" t="str">
            <v>1 PAQUETE</v>
          </cell>
          <cell r="D60" t="str">
            <v>04/02/2020</v>
          </cell>
          <cell r="E60">
            <v>580</v>
          </cell>
        </row>
        <row r="61">
          <cell r="A61" t="str">
            <v>2001001</v>
          </cell>
          <cell r="B61" t="str">
            <v>PEPINO ENTERO KILO</v>
          </cell>
          <cell r="C61" t="str">
            <v>1 KILO</v>
          </cell>
          <cell r="D61" t="str">
            <v>05/03/2020</v>
          </cell>
          <cell r="E61">
            <v>600</v>
          </cell>
        </row>
        <row r="62">
          <cell r="A62" t="str">
            <v>10100239</v>
          </cell>
          <cell r="B62" t="str">
            <v>TOMATE SALSA (KILO)</v>
          </cell>
          <cell r="C62" t="str">
            <v xml:space="preserve">1 KILO </v>
          </cell>
          <cell r="D62" t="str">
            <v>05/03/2020</v>
          </cell>
          <cell r="E62">
            <v>600</v>
          </cell>
        </row>
        <row r="63">
          <cell r="A63" t="str">
            <v>10100194</v>
          </cell>
          <cell r="B63" t="str">
            <v>NATILLA CREMOSITA 18% CON SAL(PAQ:300 G)</v>
          </cell>
          <cell r="C63" t="str">
            <v>1 PAQUETE</v>
          </cell>
          <cell r="D63" t="str">
            <v>05/03/2020</v>
          </cell>
          <cell r="E63">
            <v>602</v>
          </cell>
          <cell r="F63" t="str">
            <v>Gramo</v>
          </cell>
          <cell r="G63">
            <v>2.0066666666666668</v>
          </cell>
        </row>
        <row r="64">
          <cell r="A64" t="str">
            <v>0101240</v>
          </cell>
          <cell r="B64" t="str">
            <v>ZANAHORIA ENTERA KILO</v>
          </cell>
          <cell r="C64" t="str">
            <v>1 KILO</v>
          </cell>
          <cell r="D64" t="str">
            <v>04/03/2020</v>
          </cell>
          <cell r="E64">
            <v>615</v>
          </cell>
          <cell r="F64" t="str">
            <v>Gramo</v>
          </cell>
          <cell r="G64">
            <v>0.61499999999999999</v>
          </cell>
        </row>
        <row r="65">
          <cell r="A65" t="str">
            <v>120000017</v>
          </cell>
          <cell r="B65" t="str">
            <v>GALLETA DE CHOCOLATE (PAQ:3 UND)</v>
          </cell>
          <cell r="C65" t="str">
            <v>1 PAQ</v>
          </cell>
          <cell r="D65" t="str">
            <v>28/02/2020</v>
          </cell>
          <cell r="E65">
            <v>623.1</v>
          </cell>
        </row>
        <row r="66">
          <cell r="A66" t="str">
            <v>20200036</v>
          </cell>
          <cell r="B66" t="str">
            <v>GALLETA PARA DECORAR MENU INFANTIL</v>
          </cell>
          <cell r="C66" t="str">
            <v>1 UND</v>
          </cell>
          <cell r="D66" t="str">
            <v>29/02/2020</v>
          </cell>
          <cell r="E66">
            <v>625</v>
          </cell>
        </row>
        <row r="67">
          <cell r="A67" t="str">
            <v>0310108</v>
          </cell>
          <cell r="B67" t="str">
            <v>LECHE HOMOGENIZADA TB 3.5%  (UND:1 L)</v>
          </cell>
          <cell r="C67" t="str">
            <v>1 UND</v>
          </cell>
          <cell r="D67" t="str">
            <v>18/02/2020</v>
          </cell>
          <cell r="E67">
            <v>648.75</v>
          </cell>
          <cell r="F67" t="str">
            <v>Mililitro</v>
          </cell>
          <cell r="G67">
            <v>0.64875000000000005</v>
          </cell>
        </row>
        <row r="68">
          <cell r="A68" t="str">
            <v>0810288</v>
          </cell>
          <cell r="B68" t="str">
            <v>JUGO DE NARANJA TB (UND: L)</v>
          </cell>
          <cell r="C68" t="str">
            <v>1 UND</v>
          </cell>
          <cell r="D68" t="str">
            <v>06/02/2020</v>
          </cell>
          <cell r="E68">
            <v>650.5</v>
          </cell>
          <cell r="F68" t="str">
            <v>Mililitro</v>
          </cell>
          <cell r="G68">
            <v>0.65049999999999997</v>
          </cell>
        </row>
        <row r="69">
          <cell r="A69" t="str">
            <v>101073</v>
          </cell>
          <cell r="B69" t="str">
            <v>CULANTRO DESINFECTADO (PAQ:250g)</v>
          </cell>
          <cell r="C69" t="str">
            <v>1 PAQUETE</v>
          </cell>
          <cell r="D69" t="str">
            <v>04/03/2020</v>
          </cell>
          <cell r="E69">
            <v>667</v>
          </cell>
          <cell r="F69" t="str">
            <v>Gramo</v>
          </cell>
          <cell r="G69">
            <v>2.6680000000000001</v>
          </cell>
        </row>
        <row r="70">
          <cell r="A70" t="str">
            <v>102000048</v>
          </cell>
          <cell r="B70" t="str">
            <v>PIPA (UND)</v>
          </cell>
          <cell r="C70" t="str">
            <v>1 UND</v>
          </cell>
          <cell r="D70" t="str">
            <v>02/03/2020</v>
          </cell>
          <cell r="E70">
            <v>675</v>
          </cell>
        </row>
        <row r="71">
          <cell r="A71" t="str">
            <v>0101210</v>
          </cell>
          <cell r="B71" t="str">
            <v>TOMATE KILO</v>
          </cell>
          <cell r="C71" t="str">
            <v>1 KILO</v>
          </cell>
          <cell r="D71" t="str">
            <v>05/03/2020</v>
          </cell>
          <cell r="E71">
            <v>680</v>
          </cell>
        </row>
        <row r="72">
          <cell r="A72" t="str">
            <v>11300010</v>
          </cell>
          <cell r="B72" t="str">
            <v>HUEVO DURO (PAQ:4 UND)</v>
          </cell>
          <cell r="C72" t="str">
            <v>1 PAQUETE</v>
          </cell>
          <cell r="D72" t="str">
            <v>05/03/2020</v>
          </cell>
          <cell r="E72">
            <v>680</v>
          </cell>
        </row>
        <row r="73">
          <cell r="A73" t="str">
            <v>10900062</v>
          </cell>
          <cell r="B73" t="str">
            <v>PLATANO MADURO KILO</v>
          </cell>
          <cell r="C73" t="str">
            <v xml:space="preserve">1 KILO </v>
          </cell>
          <cell r="D73" t="str">
            <v>04/03/2020</v>
          </cell>
          <cell r="E73">
            <v>685</v>
          </cell>
        </row>
        <row r="74">
          <cell r="A74" t="str">
            <v>10100045</v>
          </cell>
          <cell r="B74" t="str">
            <v>AZUCAR CARAMELO (PAQ:0.5 K)</v>
          </cell>
          <cell r="C74" t="str">
            <v>1 PAQUETE</v>
          </cell>
          <cell r="D74" t="str">
            <v>27/02/2020</v>
          </cell>
          <cell r="E74">
            <v>686</v>
          </cell>
          <cell r="F74" t="str">
            <v>Gramo</v>
          </cell>
          <cell r="G74">
            <v>1.3720000000000001</v>
          </cell>
        </row>
        <row r="75">
          <cell r="A75" t="str">
            <v>101000015</v>
          </cell>
          <cell r="B75" t="str">
            <v>AZUCAR REFINADA VICTORIA (PAQ:1 K)</v>
          </cell>
          <cell r="C75" t="str">
            <v>1 PAQUETE</v>
          </cell>
          <cell r="D75" t="str">
            <v>25/02/2020</v>
          </cell>
          <cell r="E75">
            <v>691.16666666666697</v>
          </cell>
          <cell r="F75" t="str">
            <v>Gramo</v>
          </cell>
          <cell r="G75">
            <v>0.69116666666666693</v>
          </cell>
        </row>
        <row r="76">
          <cell r="A76" t="str">
            <v>10700026</v>
          </cell>
          <cell r="B76" t="str">
            <v>PLACA DE FONDANT (PAQ:10 UND)</v>
          </cell>
          <cell r="C76" t="str">
            <v>1 PAQUETE</v>
          </cell>
          <cell r="D76" t="str">
            <v>04/03/2020</v>
          </cell>
          <cell r="E76">
            <v>700</v>
          </cell>
        </row>
        <row r="77">
          <cell r="A77" t="str">
            <v>210085</v>
          </cell>
          <cell r="B77" t="str">
            <v>CARCASA DE POLLO KILO</v>
          </cell>
          <cell r="C77" t="str">
            <v>1 KILO</v>
          </cell>
          <cell r="D77" t="str">
            <v>27/01/2020</v>
          </cell>
          <cell r="E77">
            <v>740</v>
          </cell>
          <cell r="F77" t="str">
            <v>Gramo</v>
          </cell>
          <cell r="G77">
            <v>0.74</v>
          </cell>
        </row>
        <row r="78">
          <cell r="A78" t="str">
            <v>10900047</v>
          </cell>
          <cell r="B78" t="str">
            <v>ALFALFA (PAQ:150g)</v>
          </cell>
          <cell r="C78" t="str">
            <v>1 PAQUETE</v>
          </cell>
          <cell r="D78" t="str">
            <v>05/03/2020</v>
          </cell>
          <cell r="E78">
            <v>750</v>
          </cell>
        </row>
        <row r="79">
          <cell r="A79" t="str">
            <v>1212419</v>
          </cell>
          <cell r="B79" t="str">
            <v>GUARNICION BROCOLI COCIDO (PAQ:240g)</v>
          </cell>
          <cell r="C79" t="str">
            <v>1 PAQUETE</v>
          </cell>
          <cell r="D79" t="str">
            <v>25/11/2019</v>
          </cell>
          <cell r="E79">
            <v>765</v>
          </cell>
        </row>
        <row r="80">
          <cell r="A80" t="str">
            <v>10900033</v>
          </cell>
          <cell r="B80" t="str">
            <v>ELOTE MINI (PAQ:200g)</v>
          </cell>
          <cell r="C80" t="str">
            <v>1 PAQUETE</v>
          </cell>
          <cell r="D80" t="str">
            <v>02/03/2020</v>
          </cell>
          <cell r="E80">
            <v>780</v>
          </cell>
        </row>
        <row r="81">
          <cell r="A81" t="str">
            <v>0101022</v>
          </cell>
          <cell r="B81" t="str">
            <v>PAPA MINI KILO</v>
          </cell>
          <cell r="C81" t="str">
            <v>1 KILO</v>
          </cell>
          <cell r="D81" t="str">
            <v>15/01/2020</v>
          </cell>
          <cell r="E81">
            <v>800</v>
          </cell>
        </row>
        <row r="82">
          <cell r="A82" t="str">
            <v>10300036</v>
          </cell>
          <cell r="B82" t="str">
            <v>ATUN LIGHT LOMO TROZOS AGUA(UND:170 G)</v>
          </cell>
          <cell r="C82" t="str">
            <v>1 UND</v>
          </cell>
          <cell r="D82" t="str">
            <v>04/02/2020</v>
          </cell>
          <cell r="E82">
            <v>823</v>
          </cell>
        </row>
        <row r="83">
          <cell r="A83" t="str">
            <v>11200041</v>
          </cell>
          <cell r="B83" t="str">
            <v>CONCHA PIZZA (PAQ:5 UND)</v>
          </cell>
          <cell r="C83" t="str">
            <v>1 PAQUETE</v>
          </cell>
          <cell r="D83" t="str">
            <v>05/03/2020</v>
          </cell>
          <cell r="E83">
            <v>845</v>
          </cell>
        </row>
        <row r="84">
          <cell r="A84" t="str">
            <v>10300001</v>
          </cell>
          <cell r="B84" t="str">
            <v>JARRETE PICADO KILO</v>
          </cell>
          <cell r="C84" t="str">
            <v>1 KILO</v>
          </cell>
          <cell r="D84" t="str">
            <v>05/03/2020</v>
          </cell>
          <cell r="E84">
            <v>859</v>
          </cell>
          <cell r="F84" t="str">
            <v>Gramo</v>
          </cell>
          <cell r="G84">
            <v>0.85899999999999999</v>
          </cell>
        </row>
        <row r="85">
          <cell r="A85" t="str">
            <v>101150</v>
          </cell>
          <cell r="B85" t="str">
            <v>APIO PICADO (PAQ:500gr)</v>
          </cell>
          <cell r="C85" t="str">
            <v>1 PAQUETE</v>
          </cell>
          <cell r="D85" t="str">
            <v>04/03/2020</v>
          </cell>
          <cell r="E85">
            <v>872</v>
          </cell>
          <cell r="F85" t="str">
            <v>Gramo</v>
          </cell>
          <cell r="G85">
            <v>1.744</v>
          </cell>
        </row>
        <row r="86">
          <cell r="A86" t="str">
            <v>10900032</v>
          </cell>
          <cell r="B86" t="str">
            <v>FRESA ENTERA (UND:300 g)</v>
          </cell>
          <cell r="C86" t="str">
            <v>1 UND</v>
          </cell>
          <cell r="D86" t="str">
            <v>04/03/2020</v>
          </cell>
          <cell r="E86">
            <v>875</v>
          </cell>
        </row>
        <row r="87">
          <cell r="A87" t="str">
            <v>10900042</v>
          </cell>
          <cell r="B87" t="str">
            <v>HIERBA BUENA (PAQ:100g)</v>
          </cell>
          <cell r="C87" t="str">
            <v>1 PAQUETE</v>
          </cell>
          <cell r="D87" t="str">
            <v>04/03/2020</v>
          </cell>
          <cell r="E87">
            <v>890</v>
          </cell>
        </row>
        <row r="88">
          <cell r="A88" t="str">
            <v>505605</v>
          </cell>
          <cell r="B88" t="str">
            <v>LECHE CONDENSADA NESTLE (UND:395 G)</v>
          </cell>
          <cell r="C88" t="str">
            <v>1 UND</v>
          </cell>
          <cell r="D88" t="str">
            <v>03/03/2020</v>
          </cell>
          <cell r="E88">
            <v>895</v>
          </cell>
          <cell r="F88" t="str">
            <v>Gramo</v>
          </cell>
          <cell r="G88">
            <v>2.2658227848101267</v>
          </cell>
        </row>
        <row r="89">
          <cell r="A89" t="str">
            <v>11200058</v>
          </cell>
          <cell r="B89" t="str">
            <v>PAN ARABE BLANCO 15 CM (PAQ:5 UND)</v>
          </cell>
          <cell r="C89" t="str">
            <v>1 PAQUETE</v>
          </cell>
          <cell r="D89" t="str">
            <v>02/03/2020</v>
          </cell>
          <cell r="E89">
            <v>910</v>
          </cell>
        </row>
        <row r="90">
          <cell r="A90" t="str">
            <v>10300035</v>
          </cell>
          <cell r="B90" t="str">
            <v>JAMON COCIDO DELIKA GI (PAQ:250 G)</v>
          </cell>
          <cell r="C90" t="str">
            <v>1 PAQUETE</v>
          </cell>
          <cell r="D90" t="str">
            <v>02/03/2020</v>
          </cell>
          <cell r="E90">
            <v>912.6</v>
          </cell>
          <cell r="F90" t="str">
            <v>Gramo</v>
          </cell>
          <cell r="G90">
            <v>3.6504000000000003</v>
          </cell>
        </row>
        <row r="91">
          <cell r="A91" t="str">
            <v>1730616</v>
          </cell>
          <cell r="B91" t="str">
            <v>REMOLACHA KILO</v>
          </cell>
          <cell r="C91" t="str">
            <v>1 KILO</v>
          </cell>
          <cell r="D91" t="str">
            <v>02/03/2020</v>
          </cell>
          <cell r="E91">
            <v>923</v>
          </cell>
        </row>
        <row r="92">
          <cell r="A92" t="str">
            <v>10100131</v>
          </cell>
          <cell r="B92" t="str">
            <v>PAN TOAST ARTESANAL BRUCHETAS (PAQ)</v>
          </cell>
          <cell r="C92" t="str">
            <v>1 PAQUETE</v>
          </cell>
          <cell r="D92" t="str">
            <v>05/03/2020</v>
          </cell>
          <cell r="E92">
            <v>923</v>
          </cell>
        </row>
        <row r="93">
          <cell r="A93" t="str">
            <v>10300007</v>
          </cell>
          <cell r="B93" t="str">
            <v>JAMON COCIDO (PAQ:250g)</v>
          </cell>
          <cell r="C93" t="str">
            <v>1 PAQUETE</v>
          </cell>
          <cell r="D93" t="str">
            <v>04/03/2020</v>
          </cell>
          <cell r="E93">
            <v>930</v>
          </cell>
        </row>
        <row r="94">
          <cell r="A94" t="str">
            <v>11200026</v>
          </cell>
          <cell r="B94" t="str">
            <v>PAN ARABE BLANCO (PAQ:5 UND)</v>
          </cell>
          <cell r="C94" t="str">
            <v>1 PAQUETE</v>
          </cell>
          <cell r="D94" t="str">
            <v>25/11/2019</v>
          </cell>
          <cell r="E94">
            <v>940.9</v>
          </cell>
          <cell r="F94" t="str">
            <v>UND</v>
          </cell>
          <cell r="G94">
            <v>188.18</v>
          </cell>
        </row>
        <row r="95">
          <cell r="A95" t="str">
            <v>11200019</v>
          </cell>
          <cell r="B95" t="str">
            <v>PAN MINI BAGUET (PAQ:5 UND)</v>
          </cell>
          <cell r="C95" t="str">
            <v>1 PAQUETE</v>
          </cell>
          <cell r="D95" t="str">
            <v>05/03/2020</v>
          </cell>
          <cell r="E95">
            <v>950</v>
          </cell>
        </row>
        <row r="96">
          <cell r="A96" t="str">
            <v>44074</v>
          </cell>
          <cell r="B96" t="str">
            <v>PAPITA RAYADA (UND:70g)</v>
          </cell>
          <cell r="C96" t="str">
            <v>1 UND</v>
          </cell>
          <cell r="D96" t="str">
            <v>17/02/2020</v>
          </cell>
          <cell r="E96">
            <v>980</v>
          </cell>
        </row>
        <row r="97">
          <cell r="A97" t="str">
            <v>0710261</v>
          </cell>
          <cell r="B97" t="str">
            <v>PAN CUADRADO BLANCO (PAQ=22 REBANADAS )</v>
          </cell>
          <cell r="C97" t="str">
            <v>1 PAQUETE</v>
          </cell>
          <cell r="D97" t="str">
            <v>04/03/2020</v>
          </cell>
          <cell r="E97">
            <v>1000</v>
          </cell>
          <cell r="F97" t="str">
            <v>REBA</v>
          </cell>
          <cell r="G97">
            <v>45.454545454545453</v>
          </cell>
        </row>
        <row r="98">
          <cell r="A98" t="str">
            <v>10100107</v>
          </cell>
          <cell r="B98" t="str">
            <v>TORTILLA (PAQ:50 UND)</v>
          </cell>
          <cell r="C98" t="str">
            <v>1 PAQUETE</v>
          </cell>
          <cell r="D98" t="str">
            <v>05/03/2020</v>
          </cell>
          <cell r="E98">
            <v>1000</v>
          </cell>
        </row>
        <row r="99">
          <cell r="A99" t="str">
            <v>10100241</v>
          </cell>
          <cell r="B99" t="str">
            <v>APIO GRANEL (KILO)</v>
          </cell>
          <cell r="C99" t="str">
            <v xml:space="preserve">1 KILO </v>
          </cell>
          <cell r="D99" t="str">
            <v>05/03/2020</v>
          </cell>
          <cell r="E99">
            <v>1000</v>
          </cell>
        </row>
        <row r="100">
          <cell r="A100" t="str">
            <v>0101248</v>
          </cell>
          <cell r="B100" t="str">
            <v>ZUQUINI KILO</v>
          </cell>
          <cell r="C100" t="str">
            <v>1 KILO</v>
          </cell>
          <cell r="D100" t="str">
            <v>03/03/2020</v>
          </cell>
          <cell r="E100">
            <v>1008.11688311</v>
          </cell>
        </row>
        <row r="101">
          <cell r="A101" t="str">
            <v>10100252</v>
          </cell>
          <cell r="B101" t="str">
            <v>TORTILLA TRIGO MISION 12" CON (CJ:6 PAQ)</v>
          </cell>
          <cell r="C101" t="str">
            <v>1 PAQUETE</v>
          </cell>
          <cell r="D101" t="str">
            <v>26/02/2020</v>
          </cell>
          <cell r="E101">
            <v>1008.33333333333</v>
          </cell>
          <cell r="F101" t="str">
            <v>UND</v>
          </cell>
          <cell r="G101">
            <v>168.055555555555</v>
          </cell>
        </row>
        <row r="102">
          <cell r="A102" t="str">
            <v>0510298</v>
          </cell>
          <cell r="B102" t="str">
            <v>PREMEZCLA TEGRAL BIZCO MELOC (PAQ:6K)</v>
          </cell>
          <cell r="C102" t="str">
            <v>1 KILO</v>
          </cell>
          <cell r="D102" t="str">
            <v>27/02/2020</v>
          </cell>
          <cell r="E102">
            <v>1010</v>
          </cell>
          <cell r="F102" t="str">
            <v>Gramo</v>
          </cell>
          <cell r="G102">
            <v>1.01</v>
          </cell>
        </row>
        <row r="103">
          <cell r="A103" t="str">
            <v>0101241</v>
          </cell>
          <cell r="B103" t="str">
            <v>ZANAHORIA PICADA (PAQ:1 KILO)</v>
          </cell>
          <cell r="C103" t="str">
            <v>1 PAQUETE</v>
          </cell>
          <cell r="D103" t="str">
            <v>04/03/2020</v>
          </cell>
          <cell r="E103">
            <v>1020</v>
          </cell>
        </row>
        <row r="104">
          <cell r="A104" t="str">
            <v>10900036</v>
          </cell>
          <cell r="B104" t="str">
            <v>LECHUGA AMERICANA ENTERA (PAQ:500g)</v>
          </cell>
          <cell r="C104" t="str">
            <v>1 PAQUETE</v>
          </cell>
          <cell r="D104" t="str">
            <v>04/03/2020</v>
          </cell>
          <cell r="E104">
            <v>1026</v>
          </cell>
          <cell r="F104" t="str">
            <v>Gramo</v>
          </cell>
          <cell r="G104">
            <v>2.052</v>
          </cell>
        </row>
        <row r="105">
          <cell r="A105" t="str">
            <v>101051</v>
          </cell>
          <cell r="B105" t="str">
            <v>CHAYOTE PICADO (PAQ:1 KILO)</v>
          </cell>
          <cell r="C105" t="str">
            <v>1 PAQUETE</v>
          </cell>
          <cell r="D105" t="str">
            <v>04/03/2020</v>
          </cell>
          <cell r="E105">
            <v>1029</v>
          </cell>
        </row>
        <row r="106">
          <cell r="A106" t="str">
            <v>10300040</v>
          </cell>
          <cell r="B106" t="str">
            <v>MORTADELITA CUADRADA MIXTA (PAQ:400 G)</v>
          </cell>
          <cell r="C106" t="str">
            <v>1 PAQUETE</v>
          </cell>
          <cell r="D106" t="str">
            <v>19/12/2019</v>
          </cell>
          <cell r="E106">
            <v>1042</v>
          </cell>
        </row>
        <row r="107">
          <cell r="A107" t="str">
            <v>12300005</v>
          </cell>
          <cell r="B107" t="str">
            <v>SALSA AJI AMARILLO 160 ML (UND)</v>
          </cell>
          <cell r="C107" t="str">
            <v>1 UND</v>
          </cell>
          <cell r="D107" t="str">
            <v>06/12/2019</v>
          </cell>
          <cell r="E107">
            <v>1048.7</v>
          </cell>
        </row>
        <row r="108">
          <cell r="A108" t="str">
            <v>10100204</v>
          </cell>
          <cell r="B108" t="str">
            <v>QUESO CREMA IN LINE (UND: 210 G)</v>
          </cell>
          <cell r="C108" t="str">
            <v>1 UND</v>
          </cell>
          <cell r="D108" t="str">
            <v>22/02/2020</v>
          </cell>
          <cell r="E108">
            <v>1056</v>
          </cell>
        </row>
        <row r="109">
          <cell r="A109" t="str">
            <v>0101133</v>
          </cell>
          <cell r="B109" t="str">
            <v>LECHUGA MIX CUADRO # 2 (PAQ:500g)</v>
          </cell>
          <cell r="C109" t="str">
            <v>1 PAQUETE</v>
          </cell>
          <cell r="D109" t="str">
            <v>05/03/2020</v>
          </cell>
          <cell r="E109">
            <v>1057</v>
          </cell>
        </row>
        <row r="110">
          <cell r="A110" t="str">
            <v>10100271</v>
          </cell>
          <cell r="B110" t="str">
            <v>FRIJOL TIERNO RP (PAQ:1 KG)</v>
          </cell>
          <cell r="C110" t="str">
            <v>1 PAQUETE</v>
          </cell>
          <cell r="D110" t="str">
            <v>05/03/2020</v>
          </cell>
          <cell r="E110">
            <v>1066.3699999999999</v>
          </cell>
        </row>
        <row r="111">
          <cell r="A111" t="str">
            <v>101055</v>
          </cell>
          <cell r="B111" t="str">
            <v>CHILE DULCE ENTERO KILO</v>
          </cell>
          <cell r="C111" t="str">
            <v xml:space="preserve">1 KILO </v>
          </cell>
          <cell r="D111" t="str">
            <v>05/03/2020</v>
          </cell>
          <cell r="E111">
            <v>1095</v>
          </cell>
          <cell r="F111" t="str">
            <v>Gramo</v>
          </cell>
          <cell r="G111">
            <v>1.095</v>
          </cell>
        </row>
        <row r="112">
          <cell r="A112" t="str">
            <v>0710260</v>
          </cell>
          <cell r="B112" t="str">
            <v>PAN CUADRADO INTEGRAL (PAQ=22 REBANADAS)</v>
          </cell>
          <cell r="C112" t="str">
            <v>1 PAQUETE</v>
          </cell>
          <cell r="D112" t="str">
            <v>04/03/2020</v>
          </cell>
          <cell r="E112">
            <v>1100</v>
          </cell>
        </row>
        <row r="113">
          <cell r="A113" t="str">
            <v>101115</v>
          </cell>
          <cell r="B113" t="str">
            <v>CHILE DULCE PICADO (PAQ:500g)</v>
          </cell>
          <cell r="C113" t="str">
            <v>1 PAQUETE</v>
          </cell>
          <cell r="D113" t="str">
            <v>04/03/2020</v>
          </cell>
          <cell r="E113">
            <v>1121.7</v>
          </cell>
          <cell r="F113" t="str">
            <v>Gramo</v>
          </cell>
          <cell r="G113">
            <v>2.2434000000000003</v>
          </cell>
        </row>
        <row r="114">
          <cell r="A114" t="str">
            <v>10700037</v>
          </cell>
          <cell r="B114" t="str">
            <v>CHOCOLATE HERSHEYS ALMENDRA GIGANT (UND)</v>
          </cell>
          <cell r="C114" t="str">
            <v>1 UND</v>
          </cell>
          <cell r="D114" t="str">
            <v>04/02/2020</v>
          </cell>
          <cell r="E114">
            <v>1137.58</v>
          </cell>
        </row>
        <row r="115">
          <cell r="A115" t="str">
            <v>112000061</v>
          </cell>
          <cell r="B115" t="str">
            <v>PAN MUFFIN 70G (PAQ:6 UND)</v>
          </cell>
          <cell r="C115" t="str">
            <v>1 PAQUETE</v>
          </cell>
          <cell r="D115" t="str">
            <v>05/03/2020</v>
          </cell>
          <cell r="E115">
            <v>1140</v>
          </cell>
          <cell r="F115" t="str">
            <v>UND</v>
          </cell>
          <cell r="G115">
            <v>190</v>
          </cell>
        </row>
        <row r="116">
          <cell r="A116" t="str">
            <v>10900059</v>
          </cell>
          <cell r="B116" t="str">
            <v>RABANO (PAQ:125g)</v>
          </cell>
          <cell r="C116" t="str">
            <v xml:space="preserve">1 KILO </v>
          </cell>
          <cell r="D116" t="str">
            <v>04/03/2020</v>
          </cell>
          <cell r="E116">
            <v>1149</v>
          </cell>
          <cell r="F116" t="str">
            <v>Gramo</v>
          </cell>
          <cell r="G116">
            <v>1.149</v>
          </cell>
        </row>
        <row r="117">
          <cell r="A117" t="str">
            <v>10100229</v>
          </cell>
          <cell r="B117" t="str">
            <v>NEGRO B100 ESPECIAL (PAQ:100 UND)</v>
          </cell>
          <cell r="C117" t="str">
            <v>1 PAQUETE</v>
          </cell>
          <cell r="D117" t="str">
            <v>13/02/2020</v>
          </cell>
          <cell r="E117">
            <v>1150</v>
          </cell>
        </row>
        <row r="118">
          <cell r="A118" t="str">
            <v>10100262</v>
          </cell>
          <cell r="B118" t="str">
            <v>YOGURT NATURAL (UND:500 G)</v>
          </cell>
          <cell r="C118" t="str">
            <v>1 UND</v>
          </cell>
          <cell r="D118" t="str">
            <v>20/02/2020</v>
          </cell>
          <cell r="E118">
            <v>1161</v>
          </cell>
        </row>
        <row r="119">
          <cell r="A119" t="str">
            <v>10100121</v>
          </cell>
          <cell r="B119" t="str">
            <v>DULCE GRANULADO (UND=900GR)</v>
          </cell>
          <cell r="C119" t="str">
            <v>1 UNIDAD</v>
          </cell>
          <cell r="D119" t="str">
            <v>10/12/2019</v>
          </cell>
          <cell r="E119">
            <v>1190</v>
          </cell>
        </row>
        <row r="120">
          <cell r="A120" t="str">
            <v>11000003</v>
          </cell>
          <cell r="B120" t="str">
            <v>BATERIA MAXELL ALKALINA TI D (PAQ:2 UND)</v>
          </cell>
          <cell r="C120" t="str">
            <v>1 PAQ</v>
          </cell>
          <cell r="D120" t="str">
            <v>12/12/2019</v>
          </cell>
          <cell r="E120">
            <v>1200</v>
          </cell>
        </row>
        <row r="121">
          <cell r="A121" t="str">
            <v>10100181</v>
          </cell>
          <cell r="B121" t="str">
            <v>VINAGRE SINTETICO CLARO (GALON)</v>
          </cell>
          <cell r="C121" t="str">
            <v xml:space="preserve">1 GALON </v>
          </cell>
          <cell r="D121" t="str">
            <v>19/02/2020</v>
          </cell>
          <cell r="E121">
            <v>1215</v>
          </cell>
        </row>
        <row r="122">
          <cell r="A122" t="str">
            <v>10100253</v>
          </cell>
          <cell r="B122" t="str">
            <v>LENTEJAS ( PAQ:1 K)</v>
          </cell>
          <cell r="C122" t="str">
            <v xml:space="preserve">1 PAQUETE </v>
          </cell>
          <cell r="D122" t="str">
            <v>26/11/2019</v>
          </cell>
          <cell r="E122">
            <v>1250</v>
          </cell>
        </row>
        <row r="123">
          <cell r="A123" t="str">
            <v>1110415</v>
          </cell>
          <cell r="B123" t="str">
            <v>PETI PIOS CON ZANAHORIA (PAQ: 1 K)</v>
          </cell>
          <cell r="C123" t="str">
            <v>1 PAQUETE</v>
          </cell>
          <cell r="D123" t="str">
            <v>29/02/2020</v>
          </cell>
          <cell r="E123">
            <v>1298</v>
          </cell>
          <cell r="F123" t="str">
            <v>Gramo</v>
          </cell>
          <cell r="G123">
            <v>1.298</v>
          </cell>
        </row>
        <row r="124">
          <cell r="A124" t="str">
            <v>510207</v>
          </cell>
          <cell r="B124" t="str">
            <v>FRIJOL BLANCO (PAQ:1KILO)</v>
          </cell>
          <cell r="C124" t="str">
            <v>1 PAQUETE</v>
          </cell>
          <cell r="D124" t="str">
            <v>04/03/2020</v>
          </cell>
          <cell r="E124">
            <v>1300</v>
          </cell>
        </row>
        <row r="125">
          <cell r="A125" t="str">
            <v>10400010</v>
          </cell>
          <cell r="B125" t="str">
            <v>COLORANTE ROJO (50ML)</v>
          </cell>
          <cell r="C125" t="str">
            <v>1 UND</v>
          </cell>
          <cell r="D125" t="str">
            <v>27/11/2019</v>
          </cell>
          <cell r="E125">
            <v>1301.74</v>
          </cell>
          <cell r="F125" t="str">
            <v>Mililitro</v>
          </cell>
          <cell r="G125">
            <v>26.034800000000001</v>
          </cell>
        </row>
        <row r="126">
          <cell r="A126" t="str">
            <v>1110408</v>
          </cell>
          <cell r="B126" t="str">
            <v>GUISANTES LAMB WESTON (PAQ: 1 K)</v>
          </cell>
          <cell r="C126" t="str">
            <v>1 PAQUETE</v>
          </cell>
          <cell r="D126" t="str">
            <v>23/01/2020</v>
          </cell>
          <cell r="E126">
            <v>1324</v>
          </cell>
          <cell r="F126" t="str">
            <v>Gramo</v>
          </cell>
          <cell r="G126">
            <v>1.3240000000000001</v>
          </cell>
        </row>
        <row r="127">
          <cell r="A127" t="str">
            <v>510414</v>
          </cell>
          <cell r="B127" t="str">
            <v>SNACK MIX PLATANO-YUCA (PAQ:500g)</v>
          </cell>
          <cell r="C127" t="str">
            <v>1 PAQUETE</v>
          </cell>
          <cell r="D127" t="str">
            <v>03/03/2020</v>
          </cell>
          <cell r="E127">
            <v>1327.4333329999999</v>
          </cell>
        </row>
        <row r="128">
          <cell r="A128" t="str">
            <v>10200090</v>
          </cell>
          <cell r="B128" t="str">
            <v>CERVEZA AMBAR (UND: 350 ML)</v>
          </cell>
          <cell r="C128" t="str">
            <v>1 UND</v>
          </cell>
          <cell r="D128" t="str">
            <v>02/12/2019</v>
          </cell>
          <cell r="E128">
            <v>1350</v>
          </cell>
        </row>
        <row r="129">
          <cell r="A129" t="str">
            <v>10100261</v>
          </cell>
          <cell r="B129" t="str">
            <v>GARBANZO MFS (PAQ:KILO)</v>
          </cell>
          <cell r="C129" t="str">
            <v>1 PAQUETE</v>
          </cell>
          <cell r="D129" t="str">
            <v>03/03/2020</v>
          </cell>
          <cell r="E129">
            <v>1380</v>
          </cell>
        </row>
        <row r="130">
          <cell r="A130" t="str">
            <v>1730617</v>
          </cell>
          <cell r="B130" t="str">
            <v>REPOLLO VERDE RAYADO KILO</v>
          </cell>
          <cell r="C130" t="str">
            <v>1 KILO</v>
          </cell>
          <cell r="D130" t="str">
            <v>27/02/2020</v>
          </cell>
          <cell r="E130">
            <v>1384</v>
          </cell>
        </row>
        <row r="131">
          <cell r="A131" t="str">
            <v>0610212</v>
          </cell>
          <cell r="B131" t="str">
            <v>JENGIBRE ENTERO KILO</v>
          </cell>
          <cell r="C131" t="str">
            <v>1 KILO</v>
          </cell>
          <cell r="D131" t="str">
            <v>03/03/2020</v>
          </cell>
          <cell r="E131">
            <v>1390</v>
          </cell>
        </row>
        <row r="132">
          <cell r="A132" t="str">
            <v>1210413</v>
          </cell>
          <cell r="B132" t="str">
            <v>PASTA WANTAN (PAQ:465g)</v>
          </cell>
          <cell r="C132" t="str">
            <v>1 PAQUETE</v>
          </cell>
          <cell r="D132" t="str">
            <v>03/03/2020</v>
          </cell>
          <cell r="E132">
            <v>1415</v>
          </cell>
        </row>
        <row r="133">
          <cell r="A133" t="str">
            <v>0101100</v>
          </cell>
          <cell r="B133" t="str">
            <v>HOJA TAMAL KILO</v>
          </cell>
          <cell r="C133" t="str">
            <v>1 KILO</v>
          </cell>
          <cell r="D133" t="str">
            <v>16/12/2019</v>
          </cell>
          <cell r="E133">
            <v>1425</v>
          </cell>
        </row>
        <row r="134">
          <cell r="A134" t="str">
            <v>102000035</v>
          </cell>
          <cell r="B134" t="str">
            <v>JUGO LIMON (UND=930 ml)</v>
          </cell>
          <cell r="C134" t="str">
            <v>1 UND</v>
          </cell>
          <cell r="D134" t="str">
            <v>25/02/2020</v>
          </cell>
          <cell r="E134">
            <v>1425</v>
          </cell>
        </row>
        <row r="135">
          <cell r="A135" t="str">
            <v>0101075</v>
          </cell>
          <cell r="B135" t="str">
            <v>ESPINACA EN HOJA (PAQ:500g)</v>
          </cell>
          <cell r="C135" t="str">
            <v>1 PAQUETE</v>
          </cell>
          <cell r="D135" t="str">
            <v>04/03/2020</v>
          </cell>
          <cell r="E135">
            <v>1436</v>
          </cell>
        </row>
        <row r="136">
          <cell r="A136" t="str">
            <v>10300042</v>
          </cell>
          <cell r="B136" t="str">
            <v>MUSLO DE POLLO ENTERO (KILO)</v>
          </cell>
          <cell r="C136" t="str">
            <v>1 KILO</v>
          </cell>
          <cell r="D136" t="str">
            <v>27/02/2020</v>
          </cell>
          <cell r="E136">
            <v>1450</v>
          </cell>
        </row>
        <row r="137">
          <cell r="A137" t="str">
            <v>10100165</v>
          </cell>
          <cell r="B137" t="str">
            <v>FLAT BREAD REDONDO (PAQ:12 UND)</v>
          </cell>
          <cell r="C137" t="str">
            <v>1 PAQUETE</v>
          </cell>
          <cell r="D137" t="str">
            <v>08/02/2020</v>
          </cell>
          <cell r="E137">
            <v>1455</v>
          </cell>
        </row>
        <row r="138">
          <cell r="A138" t="str">
            <v>1210420</v>
          </cell>
          <cell r="B138" t="str">
            <v>ESPAGUETTI (PAQ: 1K)</v>
          </cell>
          <cell r="C138" t="str">
            <v>1 PAQUETE</v>
          </cell>
          <cell r="D138" t="str">
            <v>03/03/2020</v>
          </cell>
          <cell r="E138">
            <v>1465</v>
          </cell>
        </row>
        <row r="139">
          <cell r="A139" t="str">
            <v>0710290</v>
          </cell>
          <cell r="B139" t="str">
            <v>PAPEL DE ARROZ (PAQ:36 UND)</v>
          </cell>
          <cell r="C139" t="str">
            <v>1 PAQUETE</v>
          </cell>
          <cell r="D139" t="str">
            <v>05/03/2020</v>
          </cell>
          <cell r="E139">
            <v>1467.39</v>
          </cell>
        </row>
        <row r="140">
          <cell r="A140" t="str">
            <v>0110085</v>
          </cell>
          <cell r="B140" t="str">
            <v>PLATANO VERDE PICADO KILO</v>
          </cell>
          <cell r="C140" t="str">
            <v>1 KILO</v>
          </cell>
          <cell r="D140" t="str">
            <v>04/03/2020</v>
          </cell>
          <cell r="E140">
            <v>1474</v>
          </cell>
        </row>
        <row r="141">
          <cell r="A141" t="str">
            <v>0110080</v>
          </cell>
          <cell r="B141" t="str">
            <v>CEBOLLA MORADA KILO</v>
          </cell>
          <cell r="C141" t="str">
            <v xml:space="preserve">1 KILO </v>
          </cell>
          <cell r="D141" t="str">
            <v>03/03/2020</v>
          </cell>
          <cell r="E141">
            <v>1500</v>
          </cell>
        </row>
        <row r="142">
          <cell r="A142" t="str">
            <v>0110060</v>
          </cell>
          <cell r="B142" t="str">
            <v>PULPA DE TAMARINDO KILO</v>
          </cell>
          <cell r="C142" t="str">
            <v>1 KILO</v>
          </cell>
          <cell r="D142" t="str">
            <v>04/03/2020</v>
          </cell>
          <cell r="E142">
            <v>1500</v>
          </cell>
        </row>
        <row r="143">
          <cell r="A143" t="str">
            <v>10100053</v>
          </cell>
          <cell r="B143" t="str">
            <v>SALSA TOMATE BANQUETE (PAQ:2 Kg)</v>
          </cell>
          <cell r="C143" t="str">
            <v>1 PAQUETE</v>
          </cell>
          <cell r="D143" t="str">
            <v>03/03/2020</v>
          </cell>
          <cell r="E143">
            <v>1510</v>
          </cell>
        </row>
        <row r="144">
          <cell r="A144" t="str">
            <v>10100243</v>
          </cell>
          <cell r="B144" t="str">
            <v>BATTER ZFC (PAQ: 1 K)</v>
          </cell>
          <cell r="C144" t="str">
            <v>1 PAQUETE</v>
          </cell>
          <cell r="D144" t="str">
            <v>21/01/2020</v>
          </cell>
          <cell r="E144">
            <v>1514</v>
          </cell>
        </row>
        <row r="145">
          <cell r="A145" t="str">
            <v>0212254</v>
          </cell>
          <cell r="B145" t="str">
            <v>MANTECA DE CERDO</v>
          </cell>
          <cell r="C145" t="str">
            <v xml:space="preserve">1 KILO </v>
          </cell>
          <cell r="D145" t="str">
            <v>17/12/2019</v>
          </cell>
          <cell r="E145">
            <v>1545</v>
          </cell>
        </row>
        <row r="146">
          <cell r="A146" t="str">
            <v>111000032</v>
          </cell>
          <cell r="B146" t="str">
            <v>BISCOTTI ALMENDRAS 50 G (BOLSA:3 PAQ)</v>
          </cell>
          <cell r="C146" t="str">
            <v>1 BOLSA</v>
          </cell>
          <cell r="D146" t="str">
            <v>10/02/2020</v>
          </cell>
          <cell r="E146">
            <v>1545</v>
          </cell>
        </row>
        <row r="147">
          <cell r="A147" t="str">
            <v>10100089</v>
          </cell>
          <cell r="B147" t="str">
            <v>CHILE MORRON LATA (UND:390g)</v>
          </cell>
          <cell r="C147" t="str">
            <v>1 UND</v>
          </cell>
          <cell r="D147" t="str">
            <v>22/02/2020</v>
          </cell>
          <cell r="E147">
            <v>1600</v>
          </cell>
        </row>
        <row r="148">
          <cell r="A148" t="str">
            <v>105000003</v>
          </cell>
          <cell r="B148" t="str">
            <v>PEREJIL SECO (UND:57 G)</v>
          </cell>
          <cell r="C148" t="str">
            <v>1 UND</v>
          </cell>
          <cell r="D148" t="str">
            <v>03/03/2020</v>
          </cell>
          <cell r="E148">
            <v>1614</v>
          </cell>
        </row>
        <row r="149">
          <cell r="A149" t="str">
            <v>111000031</v>
          </cell>
          <cell r="B149" t="str">
            <v>GALLETA MANTEQ ALMEND 50G (BOLSA:3 PAQ)</v>
          </cell>
          <cell r="C149" t="str">
            <v>1 BOLSA</v>
          </cell>
          <cell r="D149" t="str">
            <v>10/02/2020</v>
          </cell>
          <cell r="E149">
            <v>1624</v>
          </cell>
        </row>
        <row r="150">
          <cell r="A150" t="str">
            <v>102000041</v>
          </cell>
          <cell r="B150" t="str">
            <v>TE FRIO LIMON (PAQ:500 G)</v>
          </cell>
          <cell r="C150" t="str">
            <v>1 PAQUETE</v>
          </cell>
          <cell r="D150" t="str">
            <v>04/03/2020</v>
          </cell>
          <cell r="E150">
            <v>1650</v>
          </cell>
        </row>
        <row r="151">
          <cell r="A151" t="str">
            <v>10100135</v>
          </cell>
          <cell r="B151" t="str">
            <v>FIDEOS TORNILLITO (PAQ:1 K)</v>
          </cell>
          <cell r="C151" t="str">
            <v>1 PAQUETE</v>
          </cell>
          <cell r="D151" t="str">
            <v>28/01/2020</v>
          </cell>
          <cell r="E151">
            <v>1655</v>
          </cell>
        </row>
        <row r="152">
          <cell r="A152" t="str">
            <v>109000122</v>
          </cell>
          <cell r="B152" t="str">
            <v>RELLENO PULPA DE PIÑA (KILO)</v>
          </cell>
          <cell r="C152" t="str">
            <v>1 KILOGramos</v>
          </cell>
          <cell r="D152" t="str">
            <v>25/02/2020</v>
          </cell>
          <cell r="E152">
            <v>1655</v>
          </cell>
        </row>
        <row r="153">
          <cell r="A153" t="str">
            <v>101040</v>
          </cell>
          <cell r="B153" t="str">
            <v>CEBOLLA TRENZA KILO</v>
          </cell>
          <cell r="C153" t="str">
            <v>1 KILO</v>
          </cell>
          <cell r="D153" t="str">
            <v>05/03/2020</v>
          </cell>
          <cell r="E153">
            <v>1657</v>
          </cell>
        </row>
        <row r="154">
          <cell r="A154" t="str">
            <v>10300037</v>
          </cell>
          <cell r="B154" t="str">
            <v>ANCHOAS FILET OLIVA ROLAND (UND:56 G)</v>
          </cell>
          <cell r="C154" t="str">
            <v>1 UND</v>
          </cell>
          <cell r="D154" t="str">
            <v>18/11/2019</v>
          </cell>
          <cell r="E154">
            <v>1660</v>
          </cell>
        </row>
        <row r="155">
          <cell r="A155" t="str">
            <v>1210437</v>
          </cell>
          <cell r="B155" t="str">
            <v>PASTA CARACOLITOS (PAQ: 1  K)</v>
          </cell>
          <cell r="C155" t="str">
            <v>1 PAQUETE</v>
          </cell>
          <cell r="D155" t="str">
            <v>12/12/2019</v>
          </cell>
          <cell r="E155">
            <v>1685</v>
          </cell>
        </row>
        <row r="156">
          <cell r="A156" t="str">
            <v>10100047</v>
          </cell>
          <cell r="B156" t="str">
            <v>SIROPE CHOCO. LIQUIDO (UND: 680 g)</v>
          </cell>
          <cell r="C156" t="str">
            <v>1 UND</v>
          </cell>
          <cell r="D156" t="str">
            <v>04/01/2020</v>
          </cell>
          <cell r="E156">
            <v>1691</v>
          </cell>
        </row>
        <row r="157">
          <cell r="A157" t="str">
            <v>1010047</v>
          </cell>
          <cell r="B157" t="str">
            <v>SIROPE CHOCOLATE HERSHEY (UND:24 ONZ)</v>
          </cell>
          <cell r="C157" t="str">
            <v>1 UND</v>
          </cell>
          <cell r="D157" t="str">
            <v>25/02/2020</v>
          </cell>
          <cell r="E157">
            <v>1691</v>
          </cell>
        </row>
        <row r="158">
          <cell r="A158" t="str">
            <v>0212275</v>
          </cell>
          <cell r="B158" t="str">
            <v>MORTADELA ESPECIAL KILO</v>
          </cell>
          <cell r="C158" t="str">
            <v>1 KILO</v>
          </cell>
          <cell r="D158" t="str">
            <v>05/03/2020</v>
          </cell>
          <cell r="E158">
            <v>1695</v>
          </cell>
        </row>
        <row r="159">
          <cell r="A159" t="str">
            <v>510268</v>
          </cell>
          <cell r="B159" t="str">
            <v>FRIJOL TIERNO (PAQ:1KILO)</v>
          </cell>
          <cell r="C159" t="str">
            <v>1 PAQUETE</v>
          </cell>
          <cell r="D159" t="str">
            <v>04/03/2020</v>
          </cell>
          <cell r="E159">
            <v>1700</v>
          </cell>
          <cell r="F159" t="str">
            <v>Gramo</v>
          </cell>
          <cell r="G159">
            <v>1.7</v>
          </cell>
        </row>
        <row r="160">
          <cell r="A160" t="str">
            <v>610220</v>
          </cell>
          <cell r="B160" t="str">
            <v>CONSOME POLLO ALSERRO (PAQ: 1 K)</v>
          </cell>
          <cell r="C160" t="str">
            <v>1 PAQUETE</v>
          </cell>
          <cell r="D160" t="str">
            <v>03/03/2020</v>
          </cell>
          <cell r="E160">
            <v>1708</v>
          </cell>
          <cell r="F160" t="str">
            <v>Gramo</v>
          </cell>
          <cell r="G160">
            <v>1.708</v>
          </cell>
        </row>
        <row r="161">
          <cell r="A161" t="str">
            <v>0710282</v>
          </cell>
          <cell r="B161" t="str">
            <v>GALLETA POZUELO ENTERA KILO</v>
          </cell>
          <cell r="C161" t="str">
            <v>1 KILO</v>
          </cell>
          <cell r="D161" t="str">
            <v>04/03/2020</v>
          </cell>
          <cell r="E161">
            <v>1726.34</v>
          </cell>
          <cell r="F161" t="str">
            <v>Gramo</v>
          </cell>
          <cell r="G161">
            <v>1.72634</v>
          </cell>
        </row>
        <row r="162">
          <cell r="A162" t="str">
            <v>1110407</v>
          </cell>
          <cell r="B162" t="str">
            <v>VEGETALES MIXTOS LAMB WESTON (PAQ: 1 K)</v>
          </cell>
          <cell r="C162" t="str">
            <v>1 PAQUETE</v>
          </cell>
          <cell r="D162" t="str">
            <v>03/03/2020</v>
          </cell>
          <cell r="E162">
            <v>1728</v>
          </cell>
        </row>
        <row r="163">
          <cell r="A163" t="str">
            <v>11400040</v>
          </cell>
          <cell r="B163" t="str">
            <v>YOGURT BATIDO NATURAL (UND:1 K)</v>
          </cell>
          <cell r="C163" t="str">
            <v>1 UND</v>
          </cell>
          <cell r="D163" t="str">
            <v>03/03/2020</v>
          </cell>
          <cell r="E163">
            <v>1750</v>
          </cell>
        </row>
        <row r="164">
          <cell r="A164" t="str">
            <v>105000002</v>
          </cell>
          <cell r="B164" t="str">
            <v>OREGANO (UND: 156 G)</v>
          </cell>
          <cell r="C164" t="str">
            <v>1 UND</v>
          </cell>
          <cell r="D164" t="str">
            <v>27/02/2020</v>
          </cell>
          <cell r="E164">
            <v>1765</v>
          </cell>
          <cell r="F164" t="str">
            <v>Gramo</v>
          </cell>
          <cell r="G164">
            <v>11.314102564102564</v>
          </cell>
        </row>
        <row r="165">
          <cell r="A165" t="str">
            <v>503000036</v>
          </cell>
          <cell r="B165" t="str">
            <v>BICARBONATO DE SODIO (PAQ:2.5 K)</v>
          </cell>
          <cell r="C165" t="str">
            <v>1 PAQUETE</v>
          </cell>
          <cell r="D165" t="str">
            <v>15/02/2020</v>
          </cell>
          <cell r="E165">
            <v>1766.45</v>
          </cell>
          <cell r="F165" t="str">
            <v>Gramo</v>
          </cell>
          <cell r="G165">
            <v>0.70657999999999999</v>
          </cell>
        </row>
        <row r="166">
          <cell r="A166" t="str">
            <v>1730602</v>
          </cell>
          <cell r="B166" t="str">
            <v>MUSLO DE POLLO DESHUESADO KILO</v>
          </cell>
          <cell r="C166" t="str">
            <v>1 KILO</v>
          </cell>
          <cell r="D166" t="str">
            <v>25/11/2019</v>
          </cell>
          <cell r="E166">
            <v>1770</v>
          </cell>
        </row>
        <row r="167">
          <cell r="A167" t="str">
            <v>710305</v>
          </cell>
          <cell r="B167" t="str">
            <v>GALLETA DE CHOCOLATE KILO</v>
          </cell>
          <cell r="C167" t="str">
            <v>1 KILO</v>
          </cell>
          <cell r="D167" t="str">
            <v>16/12/2019</v>
          </cell>
          <cell r="E167">
            <v>1782</v>
          </cell>
        </row>
        <row r="168">
          <cell r="A168" t="str">
            <v>12100006</v>
          </cell>
          <cell r="B168" t="str">
            <v>CHOCOLATE GUAYABITA (PAQ=36 UND)</v>
          </cell>
          <cell r="C168" t="str">
            <v>1 PAQ</v>
          </cell>
          <cell r="D168" t="str">
            <v>02/03/2020</v>
          </cell>
          <cell r="E168">
            <v>1782</v>
          </cell>
        </row>
        <row r="169">
          <cell r="A169" t="str">
            <v>1110414</v>
          </cell>
          <cell r="B169" t="str">
            <v>LECHE EVAPORADA (UND: 1 L)</v>
          </cell>
          <cell r="C169" t="str">
            <v>1 UND</v>
          </cell>
          <cell r="D169" t="str">
            <v>03/03/2020</v>
          </cell>
          <cell r="E169">
            <v>1786</v>
          </cell>
          <cell r="F169" t="str">
            <v>Mililitro</v>
          </cell>
          <cell r="G169">
            <v>1.786</v>
          </cell>
        </row>
        <row r="170">
          <cell r="A170" t="str">
            <v>510157</v>
          </cell>
          <cell r="B170" t="str">
            <v>AZUCAR MORENO (PAQ:2 K)</v>
          </cell>
          <cell r="C170" t="str">
            <v>1 PAQUETE</v>
          </cell>
          <cell r="D170" t="str">
            <v>03/03/2020</v>
          </cell>
          <cell r="E170">
            <v>1788</v>
          </cell>
          <cell r="F170" t="str">
            <v>Gramo</v>
          </cell>
          <cell r="G170">
            <v>0.89400000000000002</v>
          </cell>
        </row>
        <row r="171">
          <cell r="A171" t="str">
            <v>101045</v>
          </cell>
          <cell r="B171" t="str">
            <v>CEBOLLINO KILO</v>
          </cell>
          <cell r="C171" t="str">
            <v>1 KILO</v>
          </cell>
          <cell r="D171" t="str">
            <v>04/03/2020</v>
          </cell>
          <cell r="E171">
            <v>1795</v>
          </cell>
          <cell r="F171" t="str">
            <v>Gramo</v>
          </cell>
          <cell r="G171">
            <v>1.7949999999999999</v>
          </cell>
        </row>
        <row r="172">
          <cell r="A172" t="str">
            <v>10700008</v>
          </cell>
          <cell r="B172" t="str">
            <v>CONFITE PALITO CHOCOLATE (PAQ:680 G)</v>
          </cell>
          <cell r="C172" t="str">
            <v>1 PAQUETE</v>
          </cell>
          <cell r="D172" t="str">
            <v>29/02/2020</v>
          </cell>
          <cell r="E172">
            <v>1810</v>
          </cell>
          <cell r="F172" t="str">
            <v>Gramo</v>
          </cell>
          <cell r="G172">
            <v>2.6617647058823528</v>
          </cell>
        </row>
        <row r="173">
          <cell r="A173" t="str">
            <v>10100254</v>
          </cell>
          <cell r="B173" t="str">
            <v>GRANOLA (PAQ:500 G)</v>
          </cell>
          <cell r="C173" t="str">
            <v>1 PAQUETE</v>
          </cell>
          <cell r="D173" t="str">
            <v>30/11/2019</v>
          </cell>
          <cell r="E173">
            <v>1815</v>
          </cell>
        </row>
        <row r="174">
          <cell r="A174" t="str">
            <v>0510304</v>
          </cell>
          <cell r="B174" t="str">
            <v>PREMEZCLA PASTEL SUPER ESPONJA</v>
          </cell>
          <cell r="C174" t="str">
            <v>1 KILO</v>
          </cell>
          <cell r="D174" t="str">
            <v>19/02/2020</v>
          </cell>
          <cell r="E174">
            <v>1823.5</v>
          </cell>
          <cell r="F174" t="str">
            <v>Gramo</v>
          </cell>
          <cell r="G174">
            <v>1.8234999999999999</v>
          </cell>
        </row>
        <row r="175">
          <cell r="A175" t="str">
            <v>20400022</v>
          </cell>
          <cell r="B175" t="str">
            <v>CAJETA GRANDE (CAJA:6 UND)</v>
          </cell>
          <cell r="C175" t="str">
            <v>1 CAJA</v>
          </cell>
          <cell r="D175" t="str">
            <v>05/03/2020</v>
          </cell>
          <cell r="E175">
            <v>1830</v>
          </cell>
        </row>
        <row r="176">
          <cell r="A176" t="str">
            <v>10700014</v>
          </cell>
          <cell r="B176" t="str">
            <v>CONFITE FIGURA NAVIDAD (PAQ:500 G)</v>
          </cell>
          <cell r="C176" t="str">
            <v>1 PAQUETE</v>
          </cell>
          <cell r="D176" t="str">
            <v>23/11/2019</v>
          </cell>
          <cell r="E176">
            <v>1836.01</v>
          </cell>
        </row>
        <row r="177">
          <cell r="A177" t="str">
            <v>0101236</v>
          </cell>
          <cell r="B177" t="str">
            <v>ZANAHORIA JULIANA (PAQ:1 KILO)</v>
          </cell>
          <cell r="C177" t="str">
            <v>1 PAQUETE</v>
          </cell>
          <cell r="D177" t="str">
            <v>04/03/2020</v>
          </cell>
          <cell r="E177">
            <v>1841</v>
          </cell>
          <cell r="F177" t="str">
            <v>Gramo</v>
          </cell>
          <cell r="G177">
            <v>1.841</v>
          </cell>
        </row>
        <row r="178">
          <cell r="A178" t="str">
            <v>10100230</v>
          </cell>
          <cell r="B178" t="str">
            <v>FRESA CONGELADA BEGRO (PAQ:1 K)</v>
          </cell>
          <cell r="C178" t="str">
            <v>1 PAQUETE</v>
          </cell>
          <cell r="D178" t="str">
            <v>01/02/2020</v>
          </cell>
          <cell r="E178">
            <v>1861</v>
          </cell>
          <cell r="F178" t="str">
            <v>Gramo</v>
          </cell>
          <cell r="G178">
            <v>1.861</v>
          </cell>
        </row>
        <row r="179">
          <cell r="A179" t="str">
            <v>1112444</v>
          </cell>
          <cell r="B179" t="str">
            <v>FRIJOL MOLIDO NEGRO D PEDRO (UND=2.2 K)</v>
          </cell>
          <cell r="C179" t="str">
            <v>1 UND</v>
          </cell>
          <cell r="D179" t="str">
            <v>03/03/2020</v>
          </cell>
          <cell r="E179">
            <v>1879</v>
          </cell>
        </row>
        <row r="180">
          <cell r="A180" t="str">
            <v>111000028</v>
          </cell>
          <cell r="B180" t="str">
            <v>CROCANTE CHOCO Y ALMENDRA (BOLSA:3 PAQ)</v>
          </cell>
          <cell r="C180" t="str">
            <v>1 BOLSA</v>
          </cell>
          <cell r="D180" t="str">
            <v>04/03/2020</v>
          </cell>
          <cell r="E180">
            <v>1890</v>
          </cell>
        </row>
        <row r="181">
          <cell r="A181" t="str">
            <v>10900004</v>
          </cell>
          <cell r="B181" t="str">
            <v>OLLA DE CARNE MIXTO (PAQ:1KILO)</v>
          </cell>
          <cell r="C181" t="str">
            <v>1 PAQUETE</v>
          </cell>
          <cell r="D181" t="str">
            <v>03/03/2020</v>
          </cell>
          <cell r="E181">
            <v>1900</v>
          </cell>
        </row>
        <row r="182">
          <cell r="A182" t="str">
            <v>10100259</v>
          </cell>
          <cell r="B182" t="str">
            <v>CHAYOTE TIERNO CUBO (PAQ:2K)</v>
          </cell>
          <cell r="C182" t="str">
            <v>1 PAQUETE</v>
          </cell>
          <cell r="D182" t="str">
            <v>05/03/2020</v>
          </cell>
          <cell r="E182">
            <v>1900</v>
          </cell>
        </row>
        <row r="183">
          <cell r="A183" t="str">
            <v>10100103</v>
          </cell>
          <cell r="B183" t="str">
            <v>ACEITE EXTRA VIRGEN FILIPPO (UND:250 ML)</v>
          </cell>
          <cell r="C183" t="str">
            <v>1 UND</v>
          </cell>
          <cell r="D183" t="str">
            <v>29/02/2020</v>
          </cell>
          <cell r="E183">
            <v>1902.3</v>
          </cell>
        </row>
        <row r="184">
          <cell r="A184" t="str">
            <v>11400051</v>
          </cell>
          <cell r="B184" t="str">
            <v>CREMA PRESTIGE GRAND (UND:1 K)</v>
          </cell>
          <cell r="C184" t="str">
            <v>1 UND</v>
          </cell>
          <cell r="D184" t="str">
            <v>30/12/2019</v>
          </cell>
          <cell r="E184">
            <v>1903.25</v>
          </cell>
        </row>
        <row r="185">
          <cell r="A185" t="str">
            <v>11400015</v>
          </cell>
          <cell r="B185" t="str">
            <v>QUESO GOUDA (PAQ:160g)</v>
          </cell>
          <cell r="C185" t="str">
            <v>1 PAQUETE</v>
          </cell>
          <cell r="D185" t="str">
            <v>03/03/2020</v>
          </cell>
          <cell r="E185">
            <v>1922</v>
          </cell>
        </row>
        <row r="186">
          <cell r="A186" t="str">
            <v>101043</v>
          </cell>
          <cell r="B186" t="str">
            <v>CEBOLLA BLANCA JULIANA (PAQ:1 KILO )</v>
          </cell>
          <cell r="C186" t="str">
            <v>1 PAQUETE</v>
          </cell>
          <cell r="D186" t="str">
            <v>04/03/2020</v>
          </cell>
          <cell r="E186">
            <v>1928</v>
          </cell>
        </row>
        <row r="187">
          <cell r="A187" t="str">
            <v>0101166</v>
          </cell>
          <cell r="B187" t="str">
            <v>PAPA PICADA (PAQ:1 KILO)</v>
          </cell>
          <cell r="C187" t="str">
            <v>1 PAQUETE</v>
          </cell>
          <cell r="D187" t="str">
            <v>04/03/2020</v>
          </cell>
          <cell r="E187">
            <v>1943</v>
          </cell>
        </row>
        <row r="188">
          <cell r="A188" t="str">
            <v>10300003</v>
          </cell>
          <cell r="B188" t="str">
            <v>JAMON COCIDO EN TROZOS (PAQ:500g)</v>
          </cell>
          <cell r="C188" t="str">
            <v>1 PAQUETE</v>
          </cell>
          <cell r="D188" t="str">
            <v>29/02/2020</v>
          </cell>
          <cell r="E188">
            <v>1950</v>
          </cell>
        </row>
        <row r="189">
          <cell r="A189" t="str">
            <v>11200068</v>
          </cell>
          <cell r="B189" t="str">
            <v xml:space="preserve">PAN FOCACCIA ( PAQ:10 UND) </v>
          </cell>
          <cell r="C189" t="str">
            <v>1 PAQUETE</v>
          </cell>
          <cell r="D189" t="str">
            <v>05/03/2020</v>
          </cell>
          <cell r="E189">
            <v>1950</v>
          </cell>
        </row>
        <row r="190">
          <cell r="A190" t="str">
            <v>12000003</v>
          </cell>
          <cell r="B190" t="str">
            <v>CREMA VERSATIE (UND: L)</v>
          </cell>
          <cell r="C190" t="str">
            <v>1 UND</v>
          </cell>
          <cell r="D190" t="str">
            <v>03/03/2020</v>
          </cell>
          <cell r="E190">
            <v>1962</v>
          </cell>
          <cell r="F190" t="str">
            <v>Mililitro</v>
          </cell>
          <cell r="G190">
            <v>1.962</v>
          </cell>
        </row>
        <row r="191">
          <cell r="A191" t="str">
            <v>101035</v>
          </cell>
          <cell r="B191" t="str">
            <v>CEBOLLA PICADA (PAQ:KILO)</v>
          </cell>
          <cell r="C191" t="str">
            <v xml:space="preserve">1 KILO   </v>
          </cell>
          <cell r="D191" t="str">
            <v>04/03/2020</v>
          </cell>
          <cell r="E191">
            <v>1975</v>
          </cell>
          <cell r="F191" t="str">
            <v>Gramo</v>
          </cell>
          <cell r="G191">
            <v>1.9750000000000001</v>
          </cell>
        </row>
        <row r="192">
          <cell r="A192" t="str">
            <v>0410174</v>
          </cell>
          <cell r="B192" t="str">
            <v>RELLENO PIÑA COLADA KILO</v>
          </cell>
          <cell r="C192" t="str">
            <v>1 KILO</v>
          </cell>
          <cell r="D192" t="str">
            <v>02/03/2020</v>
          </cell>
          <cell r="E192">
            <v>1982</v>
          </cell>
        </row>
        <row r="193">
          <cell r="A193" t="str">
            <v>0210056</v>
          </cell>
          <cell r="B193" t="str">
            <v>MONDONGO ENTERO KILO</v>
          </cell>
          <cell r="C193" t="str">
            <v>1 KILO</v>
          </cell>
          <cell r="D193" t="str">
            <v>22/01/2020</v>
          </cell>
          <cell r="E193">
            <v>1995</v>
          </cell>
        </row>
        <row r="194">
          <cell r="A194" t="str">
            <v>120000020</v>
          </cell>
          <cell r="B194" t="str">
            <v>CURITAS COLORES (CAJA:100 UND)</v>
          </cell>
          <cell r="C194" t="str">
            <v>1 CAJA</v>
          </cell>
          <cell r="D194" t="str">
            <v>13/11/2019</v>
          </cell>
          <cell r="E194">
            <v>2000</v>
          </cell>
        </row>
        <row r="195">
          <cell r="A195" t="str">
            <v>0101155</v>
          </cell>
          <cell r="B195" t="str">
            <v>PALMITO CRUDO KILO</v>
          </cell>
          <cell r="C195" t="str">
            <v>1 KILO</v>
          </cell>
          <cell r="D195" t="str">
            <v>03/03/2020</v>
          </cell>
          <cell r="E195">
            <v>2000</v>
          </cell>
          <cell r="F195" t="str">
            <v>Gramo</v>
          </cell>
          <cell r="G195">
            <v>2</v>
          </cell>
        </row>
        <row r="196">
          <cell r="A196" t="str">
            <v>1730589</v>
          </cell>
          <cell r="B196" t="str">
            <v>SALCHICHAS KILO</v>
          </cell>
          <cell r="C196" t="str">
            <v>1 KILO</v>
          </cell>
          <cell r="D196" t="str">
            <v>05/03/2020</v>
          </cell>
          <cell r="E196">
            <v>2010</v>
          </cell>
        </row>
        <row r="197">
          <cell r="A197" t="str">
            <v>10100198</v>
          </cell>
          <cell r="B197" t="str">
            <v>CURCUMA POLVO (PAQ: 1 K)</v>
          </cell>
          <cell r="C197" t="str">
            <v>1 PAQUETE</v>
          </cell>
          <cell r="D197" t="str">
            <v>17/01/2020</v>
          </cell>
          <cell r="E197">
            <v>2013.48</v>
          </cell>
        </row>
        <row r="198">
          <cell r="A198" t="str">
            <v>11200004</v>
          </cell>
          <cell r="B198" t="str">
            <v>PAN TRENZA(PAQ:10 UND)</v>
          </cell>
          <cell r="C198" t="str">
            <v>1 PAQUETE</v>
          </cell>
          <cell r="D198" t="str">
            <v>04/03/2020</v>
          </cell>
          <cell r="E198">
            <v>2050</v>
          </cell>
        </row>
        <row r="199">
          <cell r="A199" t="str">
            <v>103000027</v>
          </cell>
          <cell r="B199" t="str">
            <v>CHORIZO PASTA KILO</v>
          </cell>
          <cell r="C199" t="str">
            <v>1 KILO</v>
          </cell>
          <cell r="D199" t="str">
            <v>05/03/2020</v>
          </cell>
          <cell r="E199">
            <v>2050</v>
          </cell>
        </row>
        <row r="200">
          <cell r="A200" t="str">
            <v>0101074</v>
          </cell>
          <cell r="B200" t="str">
            <v>PEREJIL DESINFECTADO (PAQ: 250g)</v>
          </cell>
          <cell r="C200" t="str">
            <v>1 PAQUETE</v>
          </cell>
          <cell r="D200" t="str">
            <v>04/03/2020</v>
          </cell>
          <cell r="E200">
            <v>2051</v>
          </cell>
          <cell r="F200" t="str">
            <v>Gramo</v>
          </cell>
          <cell r="G200">
            <v>8.2040000000000006</v>
          </cell>
        </row>
        <row r="201">
          <cell r="A201" t="str">
            <v>0410153</v>
          </cell>
          <cell r="B201" t="str">
            <v>TOOPING MELOCOTON KILO</v>
          </cell>
          <cell r="C201" t="str">
            <v>1 KILO</v>
          </cell>
          <cell r="D201" t="str">
            <v>05/03/2020</v>
          </cell>
          <cell r="E201">
            <v>2060</v>
          </cell>
          <cell r="F201" t="str">
            <v>Gramo</v>
          </cell>
          <cell r="G201">
            <v>2.06</v>
          </cell>
        </row>
        <row r="202">
          <cell r="A202" t="str">
            <v>11400047</v>
          </cell>
          <cell r="B202" t="str">
            <v>LECHE 2% PASTEURIZADA (UND)</v>
          </cell>
          <cell r="C202" t="str">
            <v>1 UND</v>
          </cell>
          <cell r="D202" t="str">
            <v>03/03/2020</v>
          </cell>
          <cell r="E202">
            <v>2071.92</v>
          </cell>
        </row>
        <row r="203">
          <cell r="A203" t="str">
            <v>10100215</v>
          </cell>
          <cell r="B203" t="str">
            <v>COCO DESHIDRATADO MEDIO (PAQ: KILO)</v>
          </cell>
          <cell r="C203" t="str">
            <v>1 PAQUETE</v>
          </cell>
          <cell r="D203" t="str">
            <v>22/02/2020</v>
          </cell>
          <cell r="E203">
            <v>2078</v>
          </cell>
        </row>
        <row r="204">
          <cell r="A204" t="str">
            <v>1730640</v>
          </cell>
          <cell r="B204" t="str">
            <v xml:space="preserve">ALITAS DE POLLO KILO </v>
          </cell>
          <cell r="C204" t="str">
            <v>1 KILO</v>
          </cell>
          <cell r="D204" t="str">
            <v>05/02/2020</v>
          </cell>
          <cell r="E204">
            <v>2080</v>
          </cell>
        </row>
        <row r="205">
          <cell r="A205" t="str">
            <v>410127</v>
          </cell>
          <cell r="B205" t="str">
            <v>CREMA PASTELERA KILO</v>
          </cell>
          <cell r="C205" t="str">
            <v>1 KILO</v>
          </cell>
          <cell r="D205" t="str">
            <v>02/03/2020</v>
          </cell>
          <cell r="E205">
            <v>2080</v>
          </cell>
        </row>
        <row r="206">
          <cell r="A206" t="str">
            <v>10300043</v>
          </cell>
          <cell r="B206" t="str">
            <v>CHORIZO COCIDO DE CERDO (PAQ: 600 G)</v>
          </cell>
          <cell r="C206" t="str">
            <v>1 PAQUETE</v>
          </cell>
          <cell r="D206" t="str">
            <v>05/03/2020</v>
          </cell>
          <cell r="E206">
            <v>2080</v>
          </cell>
        </row>
        <row r="207">
          <cell r="A207" t="str">
            <v>0210080</v>
          </cell>
          <cell r="B207" t="str">
            <v>HUESO DE PESCUEZO PICADO KILO</v>
          </cell>
          <cell r="C207" t="str">
            <v>1 KILO</v>
          </cell>
          <cell r="D207" t="str">
            <v>17/02/2020</v>
          </cell>
          <cell r="E207">
            <v>2095</v>
          </cell>
        </row>
        <row r="208">
          <cell r="A208" t="str">
            <v>812389</v>
          </cell>
          <cell r="B208" t="str">
            <v>JUGO LIMON (UND= 1 LITRO)</v>
          </cell>
          <cell r="C208" t="str">
            <v>1 UND</v>
          </cell>
          <cell r="D208" t="str">
            <v>25/11/2019</v>
          </cell>
          <cell r="E208">
            <v>2100</v>
          </cell>
        </row>
        <row r="209">
          <cell r="A209" t="str">
            <v>10100169</v>
          </cell>
          <cell r="B209" t="str">
            <v>ARUGULA EN HOJAS ( PAQ = 400g)</v>
          </cell>
          <cell r="C209" t="str">
            <v>1 PAQUETE</v>
          </cell>
          <cell r="D209" t="str">
            <v>05/12/2019</v>
          </cell>
          <cell r="E209">
            <v>2100</v>
          </cell>
        </row>
        <row r="210">
          <cell r="A210" t="str">
            <v>0410110</v>
          </cell>
          <cell r="B210" t="str">
            <v>RELLENO MELOCOTON BUCCA KILO</v>
          </cell>
          <cell r="C210" t="str">
            <v>1 KILO</v>
          </cell>
          <cell r="D210" t="str">
            <v>04/03/2020</v>
          </cell>
          <cell r="E210">
            <v>2133</v>
          </cell>
          <cell r="F210" t="str">
            <v>Gramo</v>
          </cell>
          <cell r="G210">
            <v>2.133</v>
          </cell>
        </row>
        <row r="211">
          <cell r="A211" t="str">
            <v>11300005</v>
          </cell>
          <cell r="B211" t="str">
            <v>HUEVOS EN CARTON (30UNID)</v>
          </cell>
          <cell r="C211" t="str">
            <v>1 CARTON</v>
          </cell>
          <cell r="D211" t="str">
            <v>05/03/2020</v>
          </cell>
          <cell r="E211">
            <v>2140.6</v>
          </cell>
          <cell r="F211" t="str">
            <v>UND</v>
          </cell>
          <cell r="G211">
            <v>71.353333333333325</v>
          </cell>
        </row>
        <row r="212">
          <cell r="A212" t="str">
            <v>10200027</v>
          </cell>
          <cell r="B212" t="str">
            <v>TE GINGER FRESH (PAQ:12 UND)</v>
          </cell>
          <cell r="C212" t="str">
            <v>1 PAQUETE</v>
          </cell>
          <cell r="D212" t="str">
            <v>28/01/2020</v>
          </cell>
          <cell r="E212">
            <v>2142</v>
          </cell>
        </row>
        <row r="213">
          <cell r="A213" t="str">
            <v>10200025</v>
          </cell>
          <cell r="B213" t="str">
            <v>TE SPICY CHAI (PAQ:12 UND)</v>
          </cell>
          <cell r="C213" t="str">
            <v>1 PAQUETE</v>
          </cell>
          <cell r="D213" t="str">
            <v>07/02/2020</v>
          </cell>
          <cell r="E213">
            <v>2142</v>
          </cell>
        </row>
        <row r="214">
          <cell r="A214" t="str">
            <v>10200022</v>
          </cell>
          <cell r="B214" t="str">
            <v>TE PALACIO ROYAL"ARANDANO" (PAQ:12 UND)</v>
          </cell>
          <cell r="C214" t="str">
            <v>1 PAQUETE</v>
          </cell>
          <cell r="D214" t="str">
            <v>25/02/2020</v>
          </cell>
          <cell r="E214">
            <v>2142</v>
          </cell>
        </row>
        <row r="215">
          <cell r="A215" t="str">
            <v>10200026</v>
          </cell>
          <cell r="B215" t="str">
            <v>TE BED TIME "MANZANILLA" (PAQ:12 UND)</v>
          </cell>
          <cell r="C215" t="str">
            <v>1 PAQUETE</v>
          </cell>
          <cell r="D215" t="str">
            <v>25/02/2020</v>
          </cell>
          <cell r="E215">
            <v>2142</v>
          </cell>
        </row>
        <row r="216">
          <cell r="A216" t="str">
            <v>10200024</v>
          </cell>
          <cell r="B216" t="str">
            <v>TE MENTA DEGESTIVA (PAQ:12 UND)</v>
          </cell>
          <cell r="C216" t="str">
            <v>1 PAQUETE</v>
          </cell>
          <cell r="D216" t="str">
            <v>03/03/2020</v>
          </cell>
          <cell r="E216">
            <v>2142</v>
          </cell>
        </row>
        <row r="217">
          <cell r="A217" t="str">
            <v>0210117</v>
          </cell>
          <cell r="B217" t="str">
            <v>RECORTE FILET Nº1358 KILO</v>
          </cell>
          <cell r="C217" t="str">
            <v>1 KILO</v>
          </cell>
          <cell r="D217" t="str">
            <v>05/03/2020</v>
          </cell>
          <cell r="E217">
            <v>2170</v>
          </cell>
          <cell r="F217" t="str">
            <v>Gramo</v>
          </cell>
          <cell r="G217">
            <v>2.17</v>
          </cell>
        </row>
        <row r="218">
          <cell r="A218" t="str">
            <v>101065</v>
          </cell>
          <cell r="B218" t="str">
            <v>COLIFLOR KILO</v>
          </cell>
          <cell r="C218" t="str">
            <v>1 KILO</v>
          </cell>
          <cell r="D218" t="str">
            <v>29/02/2020</v>
          </cell>
          <cell r="E218">
            <v>2179</v>
          </cell>
        </row>
        <row r="219">
          <cell r="A219" t="str">
            <v>0210093</v>
          </cell>
          <cell r="B219" t="str">
            <v>SALCHICHON KILO</v>
          </cell>
          <cell r="C219" t="str">
            <v>1 KILO</v>
          </cell>
          <cell r="D219" t="str">
            <v>04/03/2020</v>
          </cell>
          <cell r="E219">
            <v>2190</v>
          </cell>
        </row>
        <row r="220">
          <cell r="A220" t="str">
            <v>103000021</v>
          </cell>
          <cell r="B220" t="str">
            <v>CARNE OSOBUCO PICADO (KILO)</v>
          </cell>
          <cell r="C220" t="str">
            <v>1 KILO</v>
          </cell>
          <cell r="D220" t="str">
            <v>13/01/2020</v>
          </cell>
          <cell r="E220">
            <v>2195</v>
          </cell>
        </row>
        <row r="221">
          <cell r="A221" t="str">
            <v>1730594</v>
          </cell>
          <cell r="B221" t="str">
            <v>COSTILLA DE RES</v>
          </cell>
          <cell r="C221" t="str">
            <v>1 KILO</v>
          </cell>
          <cell r="D221" t="str">
            <v>04/02/2020</v>
          </cell>
          <cell r="E221">
            <v>2195</v>
          </cell>
        </row>
        <row r="222">
          <cell r="A222" t="str">
            <v>210060</v>
          </cell>
          <cell r="B222" t="str">
            <v>CHORIZO  CRIOLLO KILO</v>
          </cell>
          <cell r="C222" t="str">
            <v>1 KILO</v>
          </cell>
          <cell r="D222" t="str">
            <v>29/02/2020</v>
          </cell>
          <cell r="E222">
            <v>2195</v>
          </cell>
        </row>
        <row r="223">
          <cell r="A223" t="str">
            <v>10100184</v>
          </cell>
          <cell r="B223" t="str">
            <v>PLATANO VERDE PELADO (PAQ: 2 K)</v>
          </cell>
          <cell r="C223" t="str">
            <v>1 PAQUETE</v>
          </cell>
          <cell r="D223" t="str">
            <v>04/03/2020</v>
          </cell>
          <cell r="E223">
            <v>2200</v>
          </cell>
        </row>
        <row r="224">
          <cell r="A224" t="str">
            <v>11200063</v>
          </cell>
          <cell r="B224" t="str">
            <v>PAN CIABATTA 16 CM (PAQ:10 UND)</v>
          </cell>
          <cell r="C224" t="str">
            <v xml:space="preserve">1 PAQUETE  </v>
          </cell>
          <cell r="D224" t="str">
            <v>05/03/2020</v>
          </cell>
          <cell r="E224">
            <v>2200</v>
          </cell>
          <cell r="F224" t="str">
            <v>UND</v>
          </cell>
          <cell r="G224">
            <v>220</v>
          </cell>
        </row>
        <row r="225">
          <cell r="A225" t="str">
            <v>10100256</v>
          </cell>
          <cell r="B225" t="str">
            <v>FRIJOLES MOLIDOS SADE (PAQ: 4 K)</v>
          </cell>
          <cell r="C225" t="str">
            <v>1 PAQUETE</v>
          </cell>
          <cell r="D225" t="str">
            <v>05/03/2020</v>
          </cell>
          <cell r="E225">
            <v>2205.3200000000002</v>
          </cell>
        </row>
        <row r="226">
          <cell r="A226" t="str">
            <v>10100046</v>
          </cell>
          <cell r="B226" t="str">
            <v>POLVO HORNEAR FLEISHMAN (PAQ:2.5 K)</v>
          </cell>
          <cell r="C226" t="str">
            <v>1 PAQUETE</v>
          </cell>
          <cell r="D226" t="str">
            <v>25/02/2020</v>
          </cell>
          <cell r="E226">
            <v>2238</v>
          </cell>
          <cell r="F226" t="str">
            <v>Gramo</v>
          </cell>
          <cell r="G226">
            <v>0.8952</v>
          </cell>
        </row>
        <row r="227">
          <cell r="A227" t="str">
            <v>10700038</v>
          </cell>
          <cell r="B227" t="str">
            <v xml:space="preserve">CHOCOLATE SURTIDO GALLITO (CAJA: 330 G) </v>
          </cell>
          <cell r="C227" t="str">
            <v>1 CAJA</v>
          </cell>
          <cell r="D227" t="str">
            <v>05/02/2020</v>
          </cell>
          <cell r="E227">
            <v>2252.27</v>
          </cell>
        </row>
        <row r="228">
          <cell r="A228" t="str">
            <v>105000042</v>
          </cell>
          <cell r="B228" t="str">
            <v>CONSOME RES PRIMA (PAQ:1 KILO)</v>
          </cell>
          <cell r="C228" t="str">
            <v>1 PAQUETE</v>
          </cell>
          <cell r="D228" t="str">
            <v>29/11/2019</v>
          </cell>
          <cell r="E228">
            <v>2255</v>
          </cell>
          <cell r="F228" t="str">
            <v>Gramo</v>
          </cell>
          <cell r="G228">
            <v>2.2549999999999999</v>
          </cell>
        </row>
        <row r="229">
          <cell r="A229" t="str">
            <v>10100263</v>
          </cell>
          <cell r="B229" t="str">
            <v>CHILE DULCE JULIANO (PAQ:KILO)</v>
          </cell>
          <cell r="C229" t="str">
            <v>1 PAQUETE</v>
          </cell>
          <cell r="D229" t="str">
            <v>17/01/2020</v>
          </cell>
          <cell r="E229">
            <v>2295</v>
          </cell>
        </row>
        <row r="230">
          <cell r="A230" t="str">
            <v>106000006</v>
          </cell>
          <cell r="B230" t="str">
            <v>ENCURTIDO EN MOSTAZA (UND:960 G)</v>
          </cell>
          <cell r="C230" t="str">
            <v>1 UND</v>
          </cell>
          <cell r="D230" t="str">
            <v>02/11/2019</v>
          </cell>
          <cell r="E230">
            <v>2305</v>
          </cell>
        </row>
        <row r="231">
          <cell r="A231" t="str">
            <v>10900020</v>
          </cell>
          <cell r="B231" t="str">
            <v>ZANAHORIA EN TROZOS (PAQ=2Kg)</v>
          </cell>
          <cell r="C231" t="str">
            <v>1 PAQUETE</v>
          </cell>
          <cell r="D231" t="str">
            <v>04/03/2020</v>
          </cell>
          <cell r="E231">
            <v>2307</v>
          </cell>
        </row>
        <row r="232">
          <cell r="A232" t="str">
            <v>10300032</v>
          </cell>
          <cell r="B232" t="str">
            <v>MUSLITO DE MUSLO KILO</v>
          </cell>
          <cell r="C232" t="str">
            <v>1 KILO</v>
          </cell>
          <cell r="D232" t="str">
            <v>10/02/2020</v>
          </cell>
          <cell r="E232">
            <v>2310</v>
          </cell>
        </row>
        <row r="233">
          <cell r="A233" t="str">
            <v>111000037</v>
          </cell>
          <cell r="B233" t="str">
            <v>BISCOTTI ALMENDRAS 75GR (BOLSA:3 PAQ)</v>
          </cell>
          <cell r="C233" t="str">
            <v>1 BOLSA</v>
          </cell>
          <cell r="D233" t="str">
            <v>04/03/2020</v>
          </cell>
          <cell r="E233">
            <v>2310</v>
          </cell>
        </row>
        <row r="234">
          <cell r="A234" t="str">
            <v>10100189</v>
          </cell>
          <cell r="B234" t="str">
            <v>CLORURO DE CALCIO (PAQ: KILO)</v>
          </cell>
          <cell r="C234" t="str">
            <v>1 PAQUETE</v>
          </cell>
          <cell r="D234" t="str">
            <v>26/02/2020</v>
          </cell>
          <cell r="E234">
            <v>2338.9499999999998</v>
          </cell>
        </row>
        <row r="235">
          <cell r="A235" t="str">
            <v>10100185</v>
          </cell>
          <cell r="B235" t="str">
            <v>SALSA TOMATE ROSTIPOLLOS (UND: 4 K)</v>
          </cell>
          <cell r="C235" t="str">
            <v>1 UND</v>
          </cell>
          <cell r="D235" t="str">
            <v>05/03/2020</v>
          </cell>
          <cell r="E235">
            <v>2353</v>
          </cell>
        </row>
        <row r="236">
          <cell r="A236" t="str">
            <v>10500016</v>
          </cell>
          <cell r="B236" t="str">
            <v>HOJA DE LAUREL (UND:43g)</v>
          </cell>
          <cell r="C236" t="str">
            <v>1 UND</v>
          </cell>
          <cell r="D236" t="str">
            <v>13/02/2020</v>
          </cell>
          <cell r="E236">
            <v>2358</v>
          </cell>
          <cell r="F236" t="str">
            <v>Gramo</v>
          </cell>
          <cell r="G236">
            <v>54.837209302325583</v>
          </cell>
        </row>
        <row r="237">
          <cell r="A237" t="str">
            <v>0410172</v>
          </cell>
          <cell r="B237" t="str">
            <v>RELLENO DE FRESA KILO</v>
          </cell>
          <cell r="C237" t="str">
            <v>1 KILO</v>
          </cell>
          <cell r="D237" t="str">
            <v>05/03/2020</v>
          </cell>
          <cell r="E237">
            <v>2397</v>
          </cell>
          <cell r="F237" t="str">
            <v>Gramo</v>
          </cell>
          <cell r="G237">
            <v>2.3969999999999998</v>
          </cell>
        </row>
        <row r="238">
          <cell r="A238" t="str">
            <v>10400002</v>
          </cell>
          <cell r="B238" t="str">
            <v>COLORANTE GEL ELECTRIC PURPLE (UND=4.5)</v>
          </cell>
          <cell r="C238" t="str">
            <v>1 UND</v>
          </cell>
          <cell r="D238" t="str">
            <v>16/12/2019</v>
          </cell>
          <cell r="E238">
            <v>2400</v>
          </cell>
        </row>
        <row r="239">
          <cell r="A239" t="str">
            <v>10400001</v>
          </cell>
          <cell r="B239" t="str">
            <v>COLORANTE GEL ELECTRIC GREEN (UD=130ml)</v>
          </cell>
          <cell r="C239" t="str">
            <v>1 UND</v>
          </cell>
          <cell r="D239" t="str">
            <v>07/01/2020</v>
          </cell>
          <cell r="E239">
            <v>2400</v>
          </cell>
        </row>
        <row r="240">
          <cell r="A240" t="str">
            <v>10400006</v>
          </cell>
          <cell r="B240" t="str">
            <v>COLORANTE GEL LEMON YELLOW UND 130 ML</v>
          </cell>
          <cell r="C240" t="str">
            <v>1 UND</v>
          </cell>
          <cell r="D240" t="str">
            <v>07/02/2020</v>
          </cell>
          <cell r="E240">
            <v>2400</v>
          </cell>
        </row>
        <row r="241">
          <cell r="A241" t="str">
            <v>10400008</v>
          </cell>
          <cell r="B241" t="str">
            <v>COLORANTE GEL EGG YELLOW  (UND= 130 ML)</v>
          </cell>
          <cell r="C241" t="str">
            <v>1 UND</v>
          </cell>
          <cell r="D241" t="str">
            <v>18/02/2020</v>
          </cell>
          <cell r="E241">
            <v>2400</v>
          </cell>
        </row>
        <row r="242">
          <cell r="A242" t="str">
            <v>10400004</v>
          </cell>
          <cell r="B242" t="str">
            <v>COLORANTE GEL MINT GREEN (UND)</v>
          </cell>
          <cell r="C242" t="str">
            <v>1 UND</v>
          </cell>
          <cell r="D242" t="str">
            <v>18/02/2020</v>
          </cell>
          <cell r="E242">
            <v>2400</v>
          </cell>
        </row>
        <row r="243">
          <cell r="A243" t="str">
            <v>10400003</v>
          </cell>
          <cell r="B243" t="str">
            <v>COLORANTE GEL ELECTRIC BLUE (UND=130ml)</v>
          </cell>
          <cell r="C243" t="str">
            <v>1 UND</v>
          </cell>
          <cell r="D243" t="str">
            <v>18/02/2020</v>
          </cell>
          <cell r="E243">
            <v>2400</v>
          </cell>
        </row>
        <row r="244">
          <cell r="A244" t="str">
            <v>10400005</v>
          </cell>
          <cell r="B244" t="str">
            <v>COLORANTE GEL ELECTRIC PINK (UND=4.5 OZ)</v>
          </cell>
          <cell r="C244" t="str">
            <v>1 UND</v>
          </cell>
          <cell r="D244" t="str">
            <v>18/02/2020</v>
          </cell>
          <cell r="E244">
            <v>2400</v>
          </cell>
        </row>
        <row r="245">
          <cell r="A245" t="str">
            <v>10400009</v>
          </cell>
          <cell r="B245" t="str">
            <v>COLORANTE GEL SUPER RED</v>
          </cell>
          <cell r="C245" t="str">
            <v>1 UND</v>
          </cell>
          <cell r="D245" t="str">
            <v>18/02/2020</v>
          </cell>
          <cell r="E245">
            <v>2400</v>
          </cell>
          <cell r="G245">
            <v>18.46153846153846</v>
          </cell>
        </row>
        <row r="246">
          <cell r="A246" t="str">
            <v>11200005</v>
          </cell>
          <cell r="B246" t="str">
            <v>PAN BAGUETTINO (PAQ:20 UND)</v>
          </cell>
          <cell r="C246" t="str">
            <v>1 PAQUETE</v>
          </cell>
          <cell r="D246" t="str">
            <v>05/03/2020</v>
          </cell>
          <cell r="E246">
            <v>2400</v>
          </cell>
        </row>
        <row r="247">
          <cell r="A247" t="str">
            <v>1210405</v>
          </cell>
          <cell r="B247" t="str">
            <v>PASTA P/LASAG/(PAQ:1 KG)</v>
          </cell>
          <cell r="C247" t="str">
            <v>1 PAQUETE</v>
          </cell>
          <cell r="D247" t="str">
            <v>03/03/2020</v>
          </cell>
          <cell r="E247">
            <v>2411</v>
          </cell>
          <cell r="F247" t="str">
            <v>Gramo</v>
          </cell>
          <cell r="G247">
            <v>2.411</v>
          </cell>
        </row>
        <row r="248">
          <cell r="A248" t="str">
            <v>10100088</v>
          </cell>
          <cell r="B248" t="str">
            <v>VINAGRE BALSAMICO TINTO (UND:250 ML)**</v>
          </cell>
          <cell r="C248" t="str">
            <v>1 UND</v>
          </cell>
          <cell r="D248" t="str">
            <v>28/01/2020</v>
          </cell>
          <cell r="E248">
            <v>2415</v>
          </cell>
        </row>
        <row r="249">
          <cell r="A249" t="str">
            <v>101081</v>
          </cell>
          <cell r="B249" t="str">
            <v>FRESA PICADA KILO</v>
          </cell>
          <cell r="C249" t="str">
            <v>1 KILO</v>
          </cell>
          <cell r="D249" t="str">
            <v>04/03/2020</v>
          </cell>
          <cell r="E249">
            <v>2425</v>
          </cell>
          <cell r="F249" t="str">
            <v>Gramo</v>
          </cell>
          <cell r="G249">
            <v>2.4249999999999998</v>
          </cell>
        </row>
        <row r="250">
          <cell r="A250" t="str">
            <v>102000046</v>
          </cell>
          <cell r="B250" t="str">
            <v>BEBIDA TE CHAI (PAQ: 300 G)</v>
          </cell>
          <cell r="C250" t="str">
            <v>1 PAQUETE</v>
          </cell>
          <cell r="D250" t="str">
            <v>20/01/2020</v>
          </cell>
          <cell r="E250">
            <v>2445</v>
          </cell>
        </row>
        <row r="251">
          <cell r="A251" t="str">
            <v>10900022</v>
          </cell>
          <cell r="B251" t="str">
            <v>CHAYOTE TIERNO EN TROZOS (PAQ:2 KILOS)</v>
          </cell>
          <cell r="C251" t="str">
            <v>1 PAQUETE</v>
          </cell>
          <cell r="D251" t="str">
            <v>25/02/2020</v>
          </cell>
          <cell r="E251">
            <v>2455</v>
          </cell>
        </row>
        <row r="252">
          <cell r="A252" t="str">
            <v>102000039</v>
          </cell>
          <cell r="B252" t="str">
            <v>ROMPOPE SPOON (UND:510 G)</v>
          </cell>
          <cell r="C252" t="str">
            <v>1 UND</v>
          </cell>
          <cell r="D252" t="str">
            <v>20/12/2019</v>
          </cell>
          <cell r="E252">
            <v>2460</v>
          </cell>
        </row>
        <row r="253">
          <cell r="A253" t="str">
            <v>10100208</v>
          </cell>
          <cell r="B253" t="str">
            <v>MARACUYA (KILO)</v>
          </cell>
          <cell r="C253" t="str">
            <v xml:space="preserve">1 KILO </v>
          </cell>
          <cell r="D253" t="str">
            <v>15/02/2020</v>
          </cell>
          <cell r="E253">
            <v>2465</v>
          </cell>
        </row>
        <row r="254">
          <cell r="A254" t="str">
            <v>10100164</v>
          </cell>
          <cell r="B254" t="str">
            <v>MELOCOTON CUBOS MONACO (UND)</v>
          </cell>
          <cell r="C254" t="str">
            <v>1 UND</v>
          </cell>
          <cell r="D254" t="str">
            <v>19/11/2019</v>
          </cell>
          <cell r="E254">
            <v>2478</v>
          </cell>
        </row>
        <row r="255">
          <cell r="A255" t="str">
            <v>111000038</v>
          </cell>
          <cell r="B255" t="str">
            <v>GALLETA MANTEQU ALMEND 75GR(BOLSA:3 PAQ)</v>
          </cell>
          <cell r="C255" t="str">
            <v>1 BOLSA</v>
          </cell>
          <cell r="D255" t="str">
            <v>04/03/2020</v>
          </cell>
          <cell r="E255">
            <v>2490</v>
          </cell>
        </row>
        <row r="256">
          <cell r="A256" t="str">
            <v>0101145</v>
          </cell>
          <cell r="B256" t="str">
            <v>ROMERO FRESCO KILO</v>
          </cell>
          <cell r="C256" t="str">
            <v xml:space="preserve">1 KILO </v>
          </cell>
          <cell r="D256" t="str">
            <v>20/12/2019</v>
          </cell>
          <cell r="E256">
            <v>2500</v>
          </cell>
        </row>
        <row r="257">
          <cell r="A257" t="str">
            <v>101151</v>
          </cell>
          <cell r="B257" t="str">
            <v>AJI PERUANO (KILO)</v>
          </cell>
          <cell r="C257" t="str">
            <v xml:space="preserve">1 KILO </v>
          </cell>
          <cell r="D257" t="str">
            <v>31/12/2019</v>
          </cell>
          <cell r="E257">
            <v>2500</v>
          </cell>
        </row>
        <row r="258">
          <cell r="A258" t="str">
            <v>105000001</v>
          </cell>
          <cell r="B258" t="str">
            <v>CURRY POLVO (UND:454 G)</v>
          </cell>
          <cell r="C258" t="str">
            <v>1 UND</v>
          </cell>
          <cell r="D258" t="str">
            <v>22/02/2020</v>
          </cell>
          <cell r="E258">
            <v>2511</v>
          </cell>
          <cell r="F258" t="str">
            <v>Gramo</v>
          </cell>
          <cell r="G258">
            <v>5.5308370044052859</v>
          </cell>
        </row>
        <row r="259">
          <cell r="A259" t="str">
            <v>101000114</v>
          </cell>
          <cell r="B259" t="str">
            <v>MAIZ DULCE GALON MONACO (UND:2.5K)</v>
          </cell>
          <cell r="C259" t="str">
            <v>1 UND</v>
          </cell>
          <cell r="D259" t="str">
            <v>28/01/2020</v>
          </cell>
          <cell r="E259">
            <v>2516</v>
          </cell>
        </row>
        <row r="260">
          <cell r="A260" t="str">
            <v>0410152</v>
          </cell>
          <cell r="B260" t="str">
            <v>RELLENO MELOCOTON KILO</v>
          </cell>
          <cell r="C260" t="str">
            <v>1 KILO</v>
          </cell>
          <cell r="D260" t="str">
            <v>05/03/2020</v>
          </cell>
          <cell r="E260">
            <v>2525</v>
          </cell>
          <cell r="F260" t="str">
            <v>Gramo</v>
          </cell>
          <cell r="G260">
            <v>2.5249999999999999</v>
          </cell>
        </row>
        <row r="261">
          <cell r="A261" t="str">
            <v>0410189</v>
          </cell>
          <cell r="B261" t="str">
            <v>RELLENO DE FRESA ESPESA KILO</v>
          </cell>
          <cell r="C261" t="str">
            <v>1 KILO</v>
          </cell>
          <cell r="D261" t="str">
            <v>23/01/2020</v>
          </cell>
          <cell r="E261">
            <v>2540</v>
          </cell>
        </row>
        <row r="262">
          <cell r="A262" t="str">
            <v>10100153</v>
          </cell>
          <cell r="B262" t="str">
            <v>DEDOS DE SEÑORA DIVELLA</v>
          </cell>
          <cell r="C262" t="str">
            <v>1 PAQUETE</v>
          </cell>
          <cell r="D262" t="str">
            <v>18/01/2020</v>
          </cell>
          <cell r="E262">
            <v>2550</v>
          </cell>
        </row>
        <row r="263">
          <cell r="A263" t="str">
            <v>10700035</v>
          </cell>
          <cell r="B263" t="str">
            <v>DOYPACK FUDGE (UND:650 G)</v>
          </cell>
          <cell r="C263" t="str">
            <v>1 UND</v>
          </cell>
          <cell r="D263" t="str">
            <v>04/03/2020</v>
          </cell>
          <cell r="E263">
            <v>2599</v>
          </cell>
        </row>
        <row r="264">
          <cell r="A264" t="str">
            <v>101025</v>
          </cell>
          <cell r="B264" t="str">
            <v>BROCOLI KILO</v>
          </cell>
          <cell r="C264" t="str">
            <v>1 KILO</v>
          </cell>
          <cell r="D264" t="str">
            <v>02/03/2020</v>
          </cell>
          <cell r="E264">
            <v>2600</v>
          </cell>
        </row>
        <row r="265">
          <cell r="A265" t="str">
            <v>10500</v>
          </cell>
          <cell r="B265" t="str">
            <v>PAPRIKA (UND:454g)</v>
          </cell>
          <cell r="C265" t="str">
            <v>1 UND</v>
          </cell>
          <cell r="D265" t="str">
            <v>22/02/2020</v>
          </cell>
          <cell r="E265">
            <v>2606</v>
          </cell>
          <cell r="F265" t="str">
            <v>Gramo</v>
          </cell>
          <cell r="G265">
            <v>5.7400881057268727</v>
          </cell>
        </row>
        <row r="266">
          <cell r="A266" t="str">
            <v>1730647</v>
          </cell>
          <cell r="B266" t="str">
            <v>PECHUGA DES FILET LOMITO KILO</v>
          </cell>
          <cell r="C266" t="str">
            <v>1 KILO</v>
          </cell>
          <cell r="D266" t="str">
            <v>02/03/2020</v>
          </cell>
          <cell r="E266">
            <v>2620</v>
          </cell>
          <cell r="F266" t="str">
            <v>Gramo</v>
          </cell>
          <cell r="G266">
            <v>2.62</v>
          </cell>
        </row>
        <row r="267">
          <cell r="A267" t="str">
            <v>10200028</v>
          </cell>
          <cell r="B267" t="str">
            <v>TE MAGIC TEA "AZUL" (PAQ:12 UND)</v>
          </cell>
          <cell r="C267" t="str">
            <v>1 PAQUETE</v>
          </cell>
          <cell r="D267" t="str">
            <v>28/01/2020</v>
          </cell>
          <cell r="E267">
            <v>2640</v>
          </cell>
        </row>
        <row r="268">
          <cell r="A268" t="str">
            <v>10100124</v>
          </cell>
          <cell r="B268" t="str">
            <v>BIDON DE AGUA UND</v>
          </cell>
          <cell r="C268" t="str">
            <v>1 UND</v>
          </cell>
          <cell r="D268" t="str">
            <v>21/02/2020</v>
          </cell>
          <cell r="E268">
            <v>2654.84</v>
          </cell>
        </row>
        <row r="269">
          <cell r="A269" t="str">
            <v>610218</v>
          </cell>
          <cell r="B269" t="str">
            <v>COMINO (UND:454G)</v>
          </cell>
          <cell r="C269" t="str">
            <v>1 UND</v>
          </cell>
          <cell r="D269" t="str">
            <v>20/02/2020</v>
          </cell>
          <cell r="E269">
            <v>2656</v>
          </cell>
          <cell r="F269" t="str">
            <v>Gramo</v>
          </cell>
          <cell r="G269">
            <v>5.8502202643171808</v>
          </cell>
        </row>
        <row r="270">
          <cell r="A270" t="str">
            <v>11900016</v>
          </cell>
          <cell r="B270" t="str">
            <v>AJONJOLI NEGRO (UND:454 G)</v>
          </cell>
          <cell r="C270" t="str">
            <v>1 UND</v>
          </cell>
          <cell r="D270" t="str">
            <v>13/02/2020</v>
          </cell>
          <cell r="E270">
            <v>2660</v>
          </cell>
        </row>
        <row r="271">
          <cell r="A271" t="str">
            <v>10100067</v>
          </cell>
          <cell r="B271" t="str">
            <v>MAÍZ DULCE GALON (1.800K= DRENADO)</v>
          </cell>
          <cell r="C271" t="str">
            <v>1 UND</v>
          </cell>
          <cell r="D271" t="str">
            <v>26/02/2020</v>
          </cell>
          <cell r="E271">
            <v>2729</v>
          </cell>
        </row>
        <row r="272">
          <cell r="A272" t="str">
            <v>11400053</v>
          </cell>
          <cell r="B272" t="str">
            <v>SALSA QUESO CHEDDAR SYSCO (UND:3.03 K)</v>
          </cell>
          <cell r="C272" t="str">
            <v>1 UND</v>
          </cell>
          <cell r="D272" t="str">
            <v>18/12/2019</v>
          </cell>
          <cell r="E272">
            <v>2730</v>
          </cell>
        </row>
        <row r="273">
          <cell r="A273" t="str">
            <v>0510181</v>
          </cell>
          <cell r="B273" t="str">
            <v>CREMOR TARTARO (PAQ: 1 KILO)</v>
          </cell>
          <cell r="C273" t="str">
            <v>1 PAQUETE</v>
          </cell>
          <cell r="D273" t="str">
            <v>22/02/2020</v>
          </cell>
          <cell r="E273">
            <v>2765.55</v>
          </cell>
          <cell r="F273" t="str">
            <v>Gramo</v>
          </cell>
          <cell r="G273">
            <v>2.7655500000000002</v>
          </cell>
        </row>
        <row r="274">
          <cell r="A274" t="str">
            <v>0610244</v>
          </cell>
          <cell r="B274" t="str">
            <v>JENGIBRE MOLIDO (UND:340g)</v>
          </cell>
          <cell r="C274" t="str">
            <v>1 UND</v>
          </cell>
          <cell r="D274" t="str">
            <v>16/01/2020</v>
          </cell>
          <cell r="E274">
            <v>2771</v>
          </cell>
          <cell r="F274" t="str">
            <v>Gramo</v>
          </cell>
          <cell r="G274">
            <v>8.15</v>
          </cell>
        </row>
        <row r="275">
          <cell r="A275" t="str">
            <v>1730535</v>
          </cell>
          <cell r="B275" t="str">
            <v>MANZANA PICADA (PAQ:1 K)</v>
          </cell>
          <cell r="C275" t="str">
            <v>1 PAQ</v>
          </cell>
          <cell r="D275" t="str">
            <v>03/02/2020</v>
          </cell>
          <cell r="E275">
            <v>2795</v>
          </cell>
        </row>
        <row r="276">
          <cell r="A276" t="str">
            <v>10300004</v>
          </cell>
          <cell r="B276" t="str">
            <v>CARNE MOLIDA DE POLLO (KILO)</v>
          </cell>
          <cell r="C276" t="str">
            <v>1 KILO</v>
          </cell>
          <cell r="D276" t="str">
            <v>24/12/2019</v>
          </cell>
          <cell r="E276">
            <v>2800</v>
          </cell>
        </row>
        <row r="277">
          <cell r="A277" t="str">
            <v>0510190</v>
          </cell>
          <cell r="B277" t="str">
            <v>HARINA GOLD MEDAL (PAQ:4.5 K)</v>
          </cell>
          <cell r="C277" t="str">
            <v>1 PAQUETE</v>
          </cell>
          <cell r="D277" t="str">
            <v>02/03/2020</v>
          </cell>
          <cell r="E277">
            <v>2833.83</v>
          </cell>
          <cell r="F277" t="str">
            <v>Gramo</v>
          </cell>
          <cell r="G277">
            <v>0.62973999999999997</v>
          </cell>
        </row>
        <row r="278">
          <cell r="A278" t="str">
            <v>0210070</v>
          </cell>
          <cell r="B278" t="str">
            <v>PECHUGA FILET S/ PIEL Y S/ GRASA KILO</v>
          </cell>
          <cell r="C278" t="str">
            <v>1 KILO</v>
          </cell>
          <cell r="D278" t="str">
            <v>05/03/2020</v>
          </cell>
          <cell r="E278">
            <v>2900</v>
          </cell>
          <cell r="F278" t="str">
            <v>Gramo</v>
          </cell>
          <cell r="G278">
            <v>2.9</v>
          </cell>
        </row>
        <row r="279">
          <cell r="A279" t="str">
            <v>10100213</v>
          </cell>
          <cell r="B279" t="str">
            <v>VINAGRE DULCE GRIFFITH RP (UND:4 K)</v>
          </cell>
          <cell r="C279" t="str">
            <v>1 UND</v>
          </cell>
          <cell r="D279" t="str">
            <v>22/01/2020</v>
          </cell>
          <cell r="E279">
            <v>2904</v>
          </cell>
        </row>
        <row r="280">
          <cell r="A280" t="str">
            <v>11400054</v>
          </cell>
          <cell r="B280" t="str">
            <v>QUESO BOCCOCINI (PAQ:250 G)</v>
          </cell>
          <cell r="C280" t="str">
            <v>1 PAQUETE</v>
          </cell>
          <cell r="D280" t="str">
            <v>28/02/2020</v>
          </cell>
          <cell r="E280">
            <v>2918</v>
          </cell>
        </row>
        <row r="281">
          <cell r="A281" t="str">
            <v>111000027</v>
          </cell>
          <cell r="B281" t="str">
            <v>BISCOTTI ALMENDRAS/ARAND (BOLSA:3 PAQ)</v>
          </cell>
          <cell r="C281" t="str">
            <v>1 BOLSA</v>
          </cell>
          <cell r="D281" t="str">
            <v>10/02/2020</v>
          </cell>
          <cell r="E281">
            <v>2925</v>
          </cell>
        </row>
        <row r="282">
          <cell r="A282" t="str">
            <v>10200001</v>
          </cell>
          <cell r="B282" t="str">
            <v>SIROPE DE KOLA (GALON)</v>
          </cell>
          <cell r="C282" t="str">
            <v>1 GALON</v>
          </cell>
          <cell r="D282" t="str">
            <v>02/03/2020</v>
          </cell>
          <cell r="E282">
            <v>2931</v>
          </cell>
        </row>
        <row r="283">
          <cell r="A283" t="str">
            <v>103000036</v>
          </cell>
          <cell r="B283" t="str">
            <v>FILET TILAPIA (5-7 ONZ P/KILO)</v>
          </cell>
          <cell r="C283" t="str">
            <v>1 KILO</v>
          </cell>
          <cell r="D283" t="str">
            <v>09/01/2020</v>
          </cell>
          <cell r="E283">
            <v>2932.5221238938102</v>
          </cell>
        </row>
        <row r="284">
          <cell r="A284" t="str">
            <v>3110271</v>
          </cell>
          <cell r="B284" t="str">
            <v>FILET TILAPIA (5-7 ONZ P/KILO)</v>
          </cell>
          <cell r="C284" t="str">
            <v>1 KILO</v>
          </cell>
          <cell r="D284" t="str">
            <v>15/02/2020</v>
          </cell>
          <cell r="E284">
            <v>2933</v>
          </cell>
        </row>
        <row r="285">
          <cell r="A285" t="str">
            <v>11400036</v>
          </cell>
          <cell r="B285" t="str">
            <v>QUESO FETTA (PAQ:200g)</v>
          </cell>
          <cell r="C285" t="str">
            <v>1 PAQUETE</v>
          </cell>
          <cell r="D285" t="str">
            <v>21/02/2020</v>
          </cell>
          <cell r="E285">
            <v>2940.49</v>
          </cell>
        </row>
        <row r="286">
          <cell r="A286" t="str">
            <v>0210096</v>
          </cell>
          <cell r="B286" t="str">
            <v>POSTA DE CERDO KILO</v>
          </cell>
          <cell r="C286" t="str">
            <v>1 KILO</v>
          </cell>
          <cell r="D286" t="str">
            <v>05/03/2020</v>
          </cell>
          <cell r="E286">
            <v>2990</v>
          </cell>
          <cell r="F286" t="str">
            <v>Gramo</v>
          </cell>
          <cell r="G286">
            <v>2.99</v>
          </cell>
        </row>
        <row r="287">
          <cell r="A287" t="str">
            <v>109000123</v>
          </cell>
          <cell r="B287" t="str">
            <v>RELLENO PULPA DE GUANABANA (KILO)</v>
          </cell>
          <cell r="C287" t="str">
            <v>1 KILOGramos</v>
          </cell>
          <cell r="D287" t="str">
            <v>25/02/2020</v>
          </cell>
          <cell r="E287">
            <v>2995</v>
          </cell>
        </row>
        <row r="288">
          <cell r="A288" t="str">
            <v>102000010</v>
          </cell>
          <cell r="B288" t="str">
            <v>SIROPE MENTA VERDE (UND:750 ML)</v>
          </cell>
          <cell r="C288" t="str">
            <v>1 UND</v>
          </cell>
          <cell r="D288" t="str">
            <v>06/11/2019</v>
          </cell>
          <cell r="E288">
            <v>3000</v>
          </cell>
        </row>
        <row r="289">
          <cell r="A289" t="str">
            <v>10100178</v>
          </cell>
          <cell r="B289" t="str">
            <v>CHILE ROJO TRITURADO (UND:368G)</v>
          </cell>
          <cell r="C289" t="str">
            <v>1 UND</v>
          </cell>
          <cell r="D289" t="str">
            <v>14/12/2019</v>
          </cell>
          <cell r="E289">
            <v>3000</v>
          </cell>
        </row>
        <row r="290">
          <cell r="A290" t="str">
            <v>102000024</v>
          </cell>
          <cell r="B290" t="str">
            <v>MEZCLA BEBIDA MARACUYA (UND:946ML)</v>
          </cell>
          <cell r="C290" t="str">
            <v>1 UND</v>
          </cell>
          <cell r="D290" t="str">
            <v>04/02/2020</v>
          </cell>
          <cell r="E290">
            <v>3035</v>
          </cell>
        </row>
        <row r="291">
          <cell r="A291" t="str">
            <v>111000030</v>
          </cell>
          <cell r="B291" t="str">
            <v>BISCOTTI DEGUSTACION (PAQUETE)</v>
          </cell>
          <cell r="C291" t="str">
            <v>1 PAQUETE</v>
          </cell>
          <cell r="D291" t="str">
            <v>03/11/2019</v>
          </cell>
          <cell r="E291">
            <v>3052.5</v>
          </cell>
        </row>
        <row r="292">
          <cell r="A292" t="str">
            <v>111000030</v>
          </cell>
          <cell r="B292" t="str">
            <v>BISCOTTI DEGUSTACION (PAQUETE)</v>
          </cell>
          <cell r="C292" t="str">
            <v>1 PAQUETE</v>
          </cell>
          <cell r="D292" t="str">
            <v>04/11/2019</v>
          </cell>
          <cell r="E292">
            <v>3052.5</v>
          </cell>
        </row>
        <row r="293">
          <cell r="A293" t="str">
            <v>1110393</v>
          </cell>
          <cell r="B293" t="str">
            <v>PIÑA EN RODAJAS (UND: 3 K)</v>
          </cell>
          <cell r="C293" t="str">
            <v>1 UND</v>
          </cell>
          <cell r="D293" t="str">
            <v>25/02/2020</v>
          </cell>
          <cell r="E293">
            <v>3061</v>
          </cell>
          <cell r="F293" t="str">
            <v>Gramo</v>
          </cell>
          <cell r="G293">
            <v>1.0203333333333333</v>
          </cell>
        </row>
        <row r="294">
          <cell r="A294" t="str">
            <v>1730663</v>
          </cell>
          <cell r="B294" t="str">
            <v>SALSA AJI AMARILLO DOYPACK  (UND:460g)</v>
          </cell>
          <cell r="C294" t="str">
            <v>1 UND</v>
          </cell>
          <cell r="D294" t="str">
            <v>25/01/2020</v>
          </cell>
          <cell r="E294">
            <v>3075.22</v>
          </cell>
        </row>
        <row r="295">
          <cell r="A295" t="str">
            <v>11200060</v>
          </cell>
          <cell r="B295" t="str">
            <v>PAN BRIOCHE (PAQ= 20 UND)</v>
          </cell>
          <cell r="C295" t="str">
            <v>1 PAQUETE</v>
          </cell>
          <cell r="D295" t="str">
            <v>07/01/2020</v>
          </cell>
          <cell r="E295">
            <v>3100</v>
          </cell>
        </row>
        <row r="296">
          <cell r="A296" t="str">
            <v>10100125</v>
          </cell>
          <cell r="B296" t="str">
            <v>PASTA TOMATE OLD CALI (UND:3.14 K)</v>
          </cell>
          <cell r="C296" t="str">
            <v>1 UND</v>
          </cell>
          <cell r="D296" t="str">
            <v>27/02/2020</v>
          </cell>
          <cell r="E296">
            <v>3123</v>
          </cell>
          <cell r="F296" t="str">
            <v>Gramo</v>
          </cell>
          <cell r="G296">
            <v>0.99458598726114644</v>
          </cell>
        </row>
        <row r="297">
          <cell r="A297" t="str">
            <v>105000009</v>
          </cell>
          <cell r="B297" t="str">
            <v>ACHIOTE (UND:850g)</v>
          </cell>
          <cell r="C297" t="str">
            <v>1 UND</v>
          </cell>
          <cell r="D297" t="str">
            <v>03/03/2020</v>
          </cell>
          <cell r="E297">
            <v>3137</v>
          </cell>
          <cell r="F297" t="str">
            <v>Gramo</v>
          </cell>
          <cell r="G297">
            <v>3.6905882352941175</v>
          </cell>
        </row>
        <row r="298">
          <cell r="A298" t="str">
            <v>906288</v>
          </cell>
          <cell r="B298" t="str">
            <v>CILINDRO CHANTILLY (CAJA=10UND)</v>
          </cell>
          <cell r="C298" t="str">
            <v>1 CAJA</v>
          </cell>
          <cell r="D298" t="str">
            <v>21/01/2020</v>
          </cell>
          <cell r="E298">
            <v>3150</v>
          </cell>
        </row>
        <row r="299">
          <cell r="A299" t="str">
            <v>210069</v>
          </cell>
          <cell r="B299" t="str">
            <v>CARNE MOLIDA RES PREMIUM KILO</v>
          </cell>
          <cell r="C299" t="str">
            <v>1 KILO</v>
          </cell>
          <cell r="D299" t="str">
            <v>02/03/2020</v>
          </cell>
          <cell r="E299">
            <v>3150</v>
          </cell>
          <cell r="F299" t="str">
            <v>Gramo</v>
          </cell>
          <cell r="G299">
            <v>3.15</v>
          </cell>
        </row>
        <row r="300">
          <cell r="A300" t="str">
            <v>10100003</v>
          </cell>
          <cell r="B300" t="str">
            <v>AZUCAR POLVO P.REAL (PAQ:2.5 Kg)</v>
          </cell>
          <cell r="C300" t="str">
            <v>1 PAQUETE</v>
          </cell>
          <cell r="D300" t="str">
            <v>29/02/2020</v>
          </cell>
          <cell r="E300">
            <v>3151.8</v>
          </cell>
          <cell r="F300" t="str">
            <v>Gramo</v>
          </cell>
          <cell r="G300">
            <v>1.2607200000000001</v>
          </cell>
        </row>
        <row r="301">
          <cell r="A301" t="str">
            <v>0101107</v>
          </cell>
          <cell r="B301" t="str">
            <v>HONGO REBANADOS (UND: 2.84 kg)</v>
          </cell>
          <cell r="C301" t="str">
            <v>1 UND</v>
          </cell>
          <cell r="D301" t="str">
            <v>27/02/2020</v>
          </cell>
          <cell r="E301">
            <v>3163</v>
          </cell>
        </row>
        <row r="302">
          <cell r="A302" t="str">
            <v>10100134</v>
          </cell>
          <cell r="B302" t="str">
            <v>GRANOLA FITNESS AVENA Y MIEL (PAQ:300g)</v>
          </cell>
          <cell r="C302" t="str">
            <v>1 PAQUETE</v>
          </cell>
          <cell r="D302" t="str">
            <v>04/02/2020</v>
          </cell>
          <cell r="E302">
            <v>3176</v>
          </cell>
        </row>
        <row r="303">
          <cell r="A303" t="str">
            <v>0910322</v>
          </cell>
          <cell r="B303" t="str">
            <v>VINAGRE BLANCO (UND:3.785 L)</v>
          </cell>
          <cell r="C303" t="str">
            <v>1 UND</v>
          </cell>
          <cell r="D303" t="str">
            <v>22/02/2020</v>
          </cell>
          <cell r="E303">
            <v>3230</v>
          </cell>
          <cell r="F303" t="str">
            <v>Mililitro</v>
          </cell>
          <cell r="G303">
            <v>0.8533685601056803</v>
          </cell>
        </row>
        <row r="304">
          <cell r="A304" t="str">
            <v>102000028</v>
          </cell>
          <cell r="B304" t="str">
            <v>JUGO DE NARANJA NATURAL (UND:3.785 L)</v>
          </cell>
          <cell r="C304" t="str">
            <v>1 UND</v>
          </cell>
          <cell r="D304" t="str">
            <v>05/03/2020</v>
          </cell>
          <cell r="E304">
            <v>3236</v>
          </cell>
        </row>
        <row r="305">
          <cell r="A305" t="str">
            <v>510109</v>
          </cell>
          <cell r="B305" t="str">
            <v>AZUCAR DOÑA MARIA (PAQ:5 K)</v>
          </cell>
          <cell r="C305" t="str">
            <v>1 PAQUETE</v>
          </cell>
          <cell r="D305" t="str">
            <v>22/02/2020</v>
          </cell>
          <cell r="E305">
            <v>3240</v>
          </cell>
          <cell r="F305" t="str">
            <v>Gramo</v>
          </cell>
          <cell r="G305">
            <v>0.64800000000000002</v>
          </cell>
        </row>
        <row r="306">
          <cell r="A306" t="str">
            <v>10900021</v>
          </cell>
          <cell r="B306" t="str">
            <v>AYOTE SAZON PELADO EN TROZOS (PAQ: 2Kg)</v>
          </cell>
          <cell r="C306" t="str">
            <v>1 PAQUETE</v>
          </cell>
          <cell r="D306" t="str">
            <v>04/03/2020</v>
          </cell>
          <cell r="E306">
            <v>3241</v>
          </cell>
          <cell r="F306" t="str">
            <v>Gramo</v>
          </cell>
          <cell r="G306">
            <v>1.6205000000000001</v>
          </cell>
        </row>
        <row r="307">
          <cell r="A307" t="str">
            <v>10900051</v>
          </cell>
          <cell r="B307" t="str">
            <v>AGUACATE KILO</v>
          </cell>
          <cell r="C307" t="str">
            <v>1 KILO</v>
          </cell>
          <cell r="D307" t="str">
            <v>05/03/2020</v>
          </cell>
          <cell r="E307">
            <v>3250</v>
          </cell>
        </row>
        <row r="308">
          <cell r="A308" t="str">
            <v>102000040</v>
          </cell>
          <cell r="B308" t="str">
            <v>TE MATCHA NARANJA (PAQ: 20/50 G)</v>
          </cell>
          <cell r="C308" t="str">
            <v>1 PAQ</v>
          </cell>
          <cell r="D308" t="str">
            <v>04/03/2020</v>
          </cell>
          <cell r="E308">
            <v>3300</v>
          </cell>
        </row>
        <row r="309">
          <cell r="A309" t="str">
            <v>10100051</v>
          </cell>
          <cell r="B309" t="str">
            <v>SALSA CHINA GALON</v>
          </cell>
          <cell r="C309" t="str">
            <v>1 UND</v>
          </cell>
          <cell r="D309" t="str">
            <v>03/03/2020</v>
          </cell>
          <cell r="E309">
            <v>3305</v>
          </cell>
          <cell r="F309" t="str">
            <v>Mililitro</v>
          </cell>
          <cell r="G309">
            <v>0.87318361955085866</v>
          </cell>
        </row>
        <row r="310">
          <cell r="A310" t="str">
            <v>10100176</v>
          </cell>
          <cell r="B310" t="str">
            <v>PREMEZCLA DAWN BROWNI (PAQ: 1 K)</v>
          </cell>
          <cell r="C310" t="str">
            <v>1 PAQUETE</v>
          </cell>
          <cell r="D310" t="str">
            <v>09/11/2019</v>
          </cell>
          <cell r="E310">
            <v>3311.45</v>
          </cell>
        </row>
        <row r="311">
          <cell r="A311" t="str">
            <v>0410154</v>
          </cell>
          <cell r="B311" t="str">
            <v>RELLENO CARAMELO KILO</v>
          </cell>
          <cell r="C311" t="str">
            <v>1 KILO</v>
          </cell>
          <cell r="D311" t="str">
            <v>05/03/2020</v>
          </cell>
          <cell r="E311">
            <v>3335</v>
          </cell>
          <cell r="F311" t="str">
            <v>Gramo</v>
          </cell>
          <cell r="G311">
            <v>3.335</v>
          </cell>
        </row>
        <row r="312">
          <cell r="A312" t="str">
            <v>0101105</v>
          </cell>
          <cell r="B312" t="str">
            <v>HONGO FRESCO REBANADO (KILO)</v>
          </cell>
          <cell r="C312" t="str">
            <v>1 KILO</v>
          </cell>
          <cell r="D312" t="str">
            <v>05/03/2020</v>
          </cell>
          <cell r="E312">
            <v>3335</v>
          </cell>
          <cell r="F312" t="str">
            <v>Gramo</v>
          </cell>
          <cell r="G312">
            <v>3.335</v>
          </cell>
        </row>
        <row r="313">
          <cell r="A313" t="str">
            <v>10100193</v>
          </cell>
          <cell r="B313" t="str">
            <v>CONSOME POLLO MAGGI (PAQ:1K)</v>
          </cell>
          <cell r="C313" t="str">
            <v>1 PAQUETE</v>
          </cell>
          <cell r="D313" t="str">
            <v>24/02/2020</v>
          </cell>
          <cell r="E313">
            <v>3398</v>
          </cell>
          <cell r="F313" t="str">
            <v>Gramo</v>
          </cell>
          <cell r="G313">
            <v>3.3980000000000001</v>
          </cell>
        </row>
        <row r="314">
          <cell r="A314" t="str">
            <v>105000020</v>
          </cell>
          <cell r="B314" t="str">
            <v>CURCUMA MOLIDA BADIA (UND:453 G)</v>
          </cell>
          <cell r="C314" t="str">
            <v>1 UND</v>
          </cell>
          <cell r="D314" t="str">
            <v>12/02/2020</v>
          </cell>
          <cell r="E314">
            <v>3403</v>
          </cell>
        </row>
        <row r="315">
          <cell r="A315" t="str">
            <v>10100041</v>
          </cell>
          <cell r="B315" t="str">
            <v>GARBANZOS (UND:3 K)</v>
          </cell>
          <cell r="C315" t="str">
            <v>1 UND</v>
          </cell>
          <cell r="D315" t="str">
            <v>29/02/2020</v>
          </cell>
          <cell r="E315">
            <v>3409</v>
          </cell>
          <cell r="F315" t="str">
            <v>Gramo</v>
          </cell>
          <cell r="G315">
            <v>1.1363333333333334</v>
          </cell>
        </row>
        <row r="316">
          <cell r="A316" t="str">
            <v>20400050</v>
          </cell>
          <cell r="B316" t="str">
            <v>CROCANTE DE CHOCOLATE (CAJA:6 UND)</v>
          </cell>
          <cell r="C316" t="str">
            <v>1 CAJA</v>
          </cell>
          <cell r="D316" t="str">
            <v>29/11/2019</v>
          </cell>
          <cell r="E316">
            <v>3420</v>
          </cell>
        </row>
        <row r="317">
          <cell r="A317" t="str">
            <v>10900024</v>
          </cell>
          <cell r="B317" t="str">
            <v>YUCA EN TROZOS (PAQ: 2K)</v>
          </cell>
          <cell r="C317" t="str">
            <v>1 PAQUETE</v>
          </cell>
          <cell r="D317" t="str">
            <v>04/03/2020</v>
          </cell>
          <cell r="E317">
            <v>3450</v>
          </cell>
        </row>
        <row r="318">
          <cell r="A318" t="str">
            <v>10100188</v>
          </cell>
          <cell r="B318" t="str">
            <v>YUCA EN TROZO (PAQ:3 K)</v>
          </cell>
          <cell r="C318" t="str">
            <v>1 PAQUETE</v>
          </cell>
          <cell r="D318" t="str">
            <v>04/03/2020</v>
          </cell>
          <cell r="E318">
            <v>3450</v>
          </cell>
        </row>
        <row r="319">
          <cell r="A319" t="str">
            <v>10300028</v>
          </cell>
          <cell r="B319" t="str">
            <v>CARNE PARA MECHAR TD KILO</v>
          </cell>
          <cell r="C319" t="str">
            <v xml:space="preserve">1 KILO </v>
          </cell>
          <cell r="D319" t="str">
            <v>05/03/2020</v>
          </cell>
          <cell r="E319">
            <v>3450</v>
          </cell>
        </row>
        <row r="320">
          <cell r="A320" t="str">
            <v>1210428</v>
          </cell>
          <cell r="B320" t="str">
            <v>PRUEBA CODIGO</v>
          </cell>
          <cell r="C320" t="str">
            <v>1 UND</v>
          </cell>
          <cell r="D320" t="str">
            <v>27/02/2020</v>
          </cell>
          <cell r="E320">
            <v>3460</v>
          </cell>
        </row>
        <row r="321">
          <cell r="A321" t="str">
            <v>111000026</v>
          </cell>
          <cell r="B321" t="str">
            <v>GALLETA MANTEQUILLA ALMEND (BOLSA:3 PAQ)</v>
          </cell>
          <cell r="C321" t="str">
            <v>1 BOLSA</v>
          </cell>
          <cell r="D321" t="str">
            <v>10/02/2020</v>
          </cell>
          <cell r="E321">
            <v>3465</v>
          </cell>
        </row>
        <row r="322">
          <cell r="A322" t="str">
            <v>105000008</v>
          </cell>
          <cell r="B322" t="str">
            <v>CANELA ASTILLA (PAQ:500g)</v>
          </cell>
          <cell r="C322" t="str">
            <v>1 PAQUETE</v>
          </cell>
          <cell r="D322" t="str">
            <v>20/02/2020</v>
          </cell>
          <cell r="E322">
            <v>3475</v>
          </cell>
          <cell r="F322" t="str">
            <v>Gramo</v>
          </cell>
          <cell r="G322">
            <v>6.95</v>
          </cell>
        </row>
        <row r="323">
          <cell r="A323" t="str">
            <v>0210076</v>
          </cell>
          <cell r="B323" t="str">
            <v>LOMITO DE CERDO KILO</v>
          </cell>
          <cell r="C323" t="str">
            <v>1 KILO</v>
          </cell>
          <cell r="D323" t="str">
            <v>28/12/2019</v>
          </cell>
          <cell r="E323">
            <v>3500</v>
          </cell>
        </row>
        <row r="324">
          <cell r="A324" t="str">
            <v>20400051</v>
          </cell>
          <cell r="B324" t="str">
            <v>CROCANTE DE NUEZ (CAJA:6 UND)</v>
          </cell>
          <cell r="C324" t="str">
            <v>1 CAJA</v>
          </cell>
          <cell r="D324" t="str">
            <v>05/03/2020</v>
          </cell>
          <cell r="E324">
            <v>3510</v>
          </cell>
        </row>
        <row r="325">
          <cell r="A325" t="str">
            <v>10100214</v>
          </cell>
          <cell r="B325" t="str">
            <v>VINAGRE PICANTE GRIFFITH RP (UND:4 K)</v>
          </cell>
          <cell r="C325" t="str">
            <v>1 UND</v>
          </cell>
          <cell r="D325" t="str">
            <v>23/01/2020</v>
          </cell>
          <cell r="E325">
            <v>3516.25</v>
          </cell>
        </row>
        <row r="326">
          <cell r="A326" t="str">
            <v>210107</v>
          </cell>
          <cell r="B326" t="str">
            <v>BISTEC CERDO KILO</v>
          </cell>
          <cell r="C326" t="str">
            <v>1 KILO</v>
          </cell>
          <cell r="D326" t="str">
            <v>24/02/2020</v>
          </cell>
          <cell r="E326">
            <v>3550</v>
          </cell>
        </row>
        <row r="327">
          <cell r="A327" t="str">
            <v>0210108</v>
          </cell>
          <cell r="B327" t="str">
            <v>CHULETA AHUMADA KILO</v>
          </cell>
          <cell r="C327" t="str">
            <v>1 KILO</v>
          </cell>
          <cell r="D327" t="str">
            <v>03/03/2020</v>
          </cell>
          <cell r="E327">
            <v>3550</v>
          </cell>
        </row>
        <row r="328">
          <cell r="A328" t="str">
            <v>10900026</v>
          </cell>
          <cell r="B328" t="str">
            <v>ELOTE BLANCO EN TROZOS (PAQ:2K)</v>
          </cell>
          <cell r="C328" t="str">
            <v>1 UND</v>
          </cell>
          <cell r="D328" t="str">
            <v>24/02/2020</v>
          </cell>
          <cell r="E328">
            <v>3560</v>
          </cell>
        </row>
        <row r="329">
          <cell r="A329" t="str">
            <v>11400048</v>
          </cell>
          <cell r="B329" t="str">
            <v>QUESO AMERI CHEESE NESTLE (PAQ:52 UND)</v>
          </cell>
          <cell r="C329" t="str">
            <v>1 PAQUETE</v>
          </cell>
          <cell r="D329" t="str">
            <v>03/03/2020</v>
          </cell>
          <cell r="E329">
            <v>3563</v>
          </cell>
        </row>
        <row r="330">
          <cell r="A330" t="str">
            <v>10100172</v>
          </cell>
          <cell r="B330" t="str">
            <v>CHOP SUEY VIGUI (PAQ: 860 G)</v>
          </cell>
          <cell r="C330" t="str">
            <v>1 PAQUETE</v>
          </cell>
          <cell r="D330" t="str">
            <v>29/02/2020</v>
          </cell>
          <cell r="E330">
            <v>3583.5</v>
          </cell>
        </row>
        <row r="331">
          <cell r="A331" t="str">
            <v>10900023</v>
          </cell>
          <cell r="B331" t="str">
            <v xml:space="preserve">PAPA EN TROZOS (PAQ: 2 K) </v>
          </cell>
          <cell r="C331" t="str">
            <v>1 PAQUETE</v>
          </cell>
          <cell r="D331" t="str">
            <v>04/03/2020</v>
          </cell>
          <cell r="E331">
            <v>3641</v>
          </cell>
        </row>
        <row r="332">
          <cell r="A332" t="str">
            <v>10100187</v>
          </cell>
          <cell r="B332" t="str">
            <v>CMC AMTEX (PAQ: KILO)</v>
          </cell>
          <cell r="C332" t="str">
            <v>1 PAQUETE</v>
          </cell>
          <cell r="D332" t="str">
            <v>14/01/2020</v>
          </cell>
          <cell r="E332">
            <v>3646.4423999999999</v>
          </cell>
        </row>
        <row r="333">
          <cell r="A333" t="str">
            <v>10100218</v>
          </cell>
          <cell r="B333" t="str">
            <v>QUESO SEMIDURO DADOS RD (KILO)</v>
          </cell>
          <cell r="C333" t="str">
            <v xml:space="preserve">1 KILO </v>
          </cell>
          <cell r="D333" t="str">
            <v>05/03/2020</v>
          </cell>
          <cell r="E333">
            <v>3667</v>
          </cell>
        </row>
        <row r="334">
          <cell r="A334" t="str">
            <v>0610253</v>
          </cell>
          <cell r="B334" t="str">
            <v>SOPA OLLA CARNE MAGGI (CAJA:12 UND)</v>
          </cell>
          <cell r="C334" t="str">
            <v>1 CAJA</v>
          </cell>
          <cell r="D334" t="str">
            <v>03/03/2020</v>
          </cell>
          <cell r="E334">
            <v>3684</v>
          </cell>
          <cell r="F334" t="str">
            <v>Gramo</v>
          </cell>
          <cell r="G334">
            <v>7.6749999999999998</v>
          </cell>
        </row>
        <row r="335">
          <cell r="A335" t="str">
            <v>1730579</v>
          </cell>
          <cell r="B335" t="str">
            <v>CHULETAS KILO</v>
          </cell>
          <cell r="C335" t="str">
            <v>1 KILO</v>
          </cell>
          <cell r="D335" t="str">
            <v>03/03/2020</v>
          </cell>
          <cell r="E335">
            <v>3695</v>
          </cell>
        </row>
        <row r="336">
          <cell r="A336" t="str">
            <v>0410151</v>
          </cell>
          <cell r="B336" t="str">
            <v>RELLENO FUDGE KILO</v>
          </cell>
          <cell r="C336" t="str">
            <v>1 KILO</v>
          </cell>
          <cell r="D336" t="str">
            <v>05/03/2020</v>
          </cell>
          <cell r="E336">
            <v>3697</v>
          </cell>
          <cell r="F336" t="str">
            <v>Gramo</v>
          </cell>
          <cell r="G336">
            <v>3.6970000000000001</v>
          </cell>
        </row>
        <row r="337">
          <cell r="A337" t="str">
            <v>1210448</v>
          </cell>
          <cell r="B337" t="str">
            <v>CLARAS HUEVO PASTEURIZADO (CAJA:2 k)</v>
          </cell>
          <cell r="C337" t="str">
            <v>1 CAJA</v>
          </cell>
          <cell r="D337" t="str">
            <v>25/11/2019</v>
          </cell>
          <cell r="E337">
            <v>3700</v>
          </cell>
        </row>
        <row r="338">
          <cell r="A338" t="str">
            <v>10100203</v>
          </cell>
          <cell r="B338" t="str">
            <v>GALLETA MARIA EN POLVO (PAQ:KILO)</v>
          </cell>
          <cell r="C338" t="str">
            <v>1 PAQUETE</v>
          </cell>
          <cell r="D338" t="str">
            <v>22/02/2020</v>
          </cell>
          <cell r="E338">
            <v>3709</v>
          </cell>
        </row>
        <row r="339">
          <cell r="A339" t="str">
            <v>1110354</v>
          </cell>
          <cell r="B339" t="str">
            <v>ALCAPARRA (UND:944g)</v>
          </cell>
          <cell r="C339" t="str">
            <v>1 UND</v>
          </cell>
          <cell r="D339" t="str">
            <v>11/02/2020</v>
          </cell>
          <cell r="E339">
            <v>3727</v>
          </cell>
        </row>
        <row r="340">
          <cell r="A340" t="str">
            <v>10100270</v>
          </cell>
          <cell r="B340" t="str">
            <v>TABASCO BANQUETE (UND: 1/2 GALON)</v>
          </cell>
          <cell r="C340" t="str">
            <v>1 UND</v>
          </cell>
          <cell r="D340" t="str">
            <v>04/02/2020</v>
          </cell>
          <cell r="E340">
            <v>3738</v>
          </cell>
        </row>
        <row r="341">
          <cell r="A341" t="str">
            <v>10100191</v>
          </cell>
          <cell r="B341" t="str">
            <v>SORBATO DE POTASIO (PAQ: KILO)</v>
          </cell>
          <cell r="C341" t="str">
            <v>1 PAQUETE</v>
          </cell>
          <cell r="D341" t="str">
            <v>17/02/2020</v>
          </cell>
          <cell r="E341">
            <v>3764.1779999999999</v>
          </cell>
          <cell r="F341" t="str">
            <v>Gramo</v>
          </cell>
          <cell r="G341">
            <v>3.7641779999999998</v>
          </cell>
        </row>
        <row r="342">
          <cell r="A342" t="str">
            <v>0210104</v>
          </cell>
          <cell r="B342" t="str">
            <v>MANO PIEDRA KILO</v>
          </cell>
          <cell r="C342" t="str">
            <v>1 KILO</v>
          </cell>
          <cell r="D342" t="str">
            <v>18/02/2020</v>
          </cell>
          <cell r="E342">
            <v>3775</v>
          </cell>
        </row>
        <row r="343">
          <cell r="A343" t="str">
            <v>11300001</v>
          </cell>
          <cell r="B343" t="str">
            <v>CLARA HUEVO PASTE DEB-EL (CAJA:2.267 K)</v>
          </cell>
          <cell r="C343" t="str">
            <v>1 CAJA</v>
          </cell>
          <cell r="D343" t="str">
            <v>25/02/2020</v>
          </cell>
          <cell r="E343">
            <v>3800</v>
          </cell>
        </row>
        <row r="344">
          <cell r="A344" t="str">
            <v>1110377</v>
          </cell>
          <cell r="B344" t="str">
            <v>MOSTAZA FRENCH (UND:2.98 L)</v>
          </cell>
          <cell r="C344" t="str">
            <v>1 UND</v>
          </cell>
          <cell r="D344" t="str">
            <v>03/03/2020</v>
          </cell>
          <cell r="E344">
            <v>3800</v>
          </cell>
        </row>
        <row r="345">
          <cell r="A345" t="str">
            <v>101005</v>
          </cell>
          <cell r="B345" t="str">
            <v>AJO PELADO (PAQ:1 KILO)</v>
          </cell>
          <cell r="C345" t="str">
            <v>1 PAQUETE</v>
          </cell>
          <cell r="D345" t="str">
            <v>04/03/2020</v>
          </cell>
          <cell r="E345">
            <v>3807</v>
          </cell>
          <cell r="F345" t="str">
            <v>Gramo</v>
          </cell>
          <cell r="G345">
            <v>3.8069999999999999</v>
          </cell>
        </row>
        <row r="346">
          <cell r="A346" t="str">
            <v>10100195</v>
          </cell>
          <cell r="B346" t="str">
            <v>QUESO MOLIDO (PAQ:1 K)</v>
          </cell>
          <cell r="C346" t="str">
            <v>1 PAQUETE</v>
          </cell>
          <cell r="D346" t="str">
            <v>20/02/2020</v>
          </cell>
          <cell r="E346">
            <v>3819</v>
          </cell>
        </row>
        <row r="347">
          <cell r="A347" t="str">
            <v>1110406</v>
          </cell>
          <cell r="B347" t="str">
            <v>ATUN LOMO TROZOS AGUA (UND:1 K)</v>
          </cell>
          <cell r="C347" t="str">
            <v>1 UND</v>
          </cell>
          <cell r="D347" t="str">
            <v>29/02/2020</v>
          </cell>
          <cell r="E347">
            <v>3839</v>
          </cell>
        </row>
        <row r="348">
          <cell r="A348" t="str">
            <v>1730580</v>
          </cell>
          <cell r="B348" t="str">
            <v>COSTILLA DE CERDO (PAQ:1 KILO)</v>
          </cell>
          <cell r="C348" t="str">
            <v>1 PAQUETE</v>
          </cell>
          <cell r="D348" t="str">
            <v>05/03/2020</v>
          </cell>
          <cell r="E348">
            <v>3895</v>
          </cell>
        </row>
        <row r="349">
          <cell r="A349" t="str">
            <v>118000004</v>
          </cell>
          <cell r="B349" t="str">
            <v>VAINILLA OSCURA (UND: 3.78 L)</v>
          </cell>
          <cell r="C349" t="str">
            <v>1 UND</v>
          </cell>
          <cell r="D349" t="str">
            <v>25/02/2020</v>
          </cell>
          <cell r="E349">
            <v>3900</v>
          </cell>
          <cell r="F349" t="str">
            <v>Mililitro</v>
          </cell>
          <cell r="G349">
            <v>1.0303830911492735</v>
          </cell>
        </row>
        <row r="350">
          <cell r="A350" t="str">
            <v>1730592</v>
          </cell>
          <cell r="B350" t="str">
            <v>PECHO LIMPIO KILO</v>
          </cell>
          <cell r="C350" t="str">
            <v>1 KILO</v>
          </cell>
          <cell r="D350" t="str">
            <v>19/02/2020</v>
          </cell>
          <cell r="E350">
            <v>3990</v>
          </cell>
        </row>
        <row r="351">
          <cell r="A351" t="str">
            <v>10100199</v>
          </cell>
          <cell r="B351" t="str">
            <v>PECHUGA VENTANITA CONCASA (KILO)</v>
          </cell>
          <cell r="C351" t="str">
            <v xml:space="preserve">1 KILO </v>
          </cell>
          <cell r="D351" t="str">
            <v>11/02/2020</v>
          </cell>
          <cell r="E351">
            <v>4000</v>
          </cell>
        </row>
        <row r="352">
          <cell r="A352" t="str">
            <v>10100200</v>
          </cell>
          <cell r="B352" t="str">
            <v>MUSLO VENTANITA CONCASA (KILO)</v>
          </cell>
          <cell r="C352" t="str">
            <v xml:space="preserve">1 KILO  </v>
          </cell>
          <cell r="D352" t="str">
            <v>11/02/2020</v>
          </cell>
          <cell r="E352">
            <v>4000</v>
          </cell>
          <cell r="F352" t="str">
            <v>Gramo</v>
          </cell>
          <cell r="G352">
            <v>4</v>
          </cell>
        </row>
        <row r="353">
          <cell r="A353" t="str">
            <v>10100264</v>
          </cell>
          <cell r="B353" t="str">
            <v>LIMON MESINO (GALON)</v>
          </cell>
          <cell r="C353" t="str">
            <v xml:space="preserve">1 GALON </v>
          </cell>
          <cell r="D353" t="str">
            <v>20/02/2020</v>
          </cell>
          <cell r="E353">
            <v>4000</v>
          </cell>
        </row>
        <row r="354">
          <cell r="A354" t="str">
            <v>0310120</v>
          </cell>
          <cell r="B354" t="str">
            <v>QUESO RICOTTA (UND: KILO)</v>
          </cell>
          <cell r="C354" t="str">
            <v>1 UND</v>
          </cell>
          <cell r="D354" t="str">
            <v>04/03/2020</v>
          </cell>
          <cell r="E354">
            <v>4000</v>
          </cell>
          <cell r="F354" t="str">
            <v>Gramo</v>
          </cell>
          <cell r="G354">
            <v>4</v>
          </cell>
        </row>
        <row r="355">
          <cell r="A355" t="str">
            <v>10100219</v>
          </cell>
          <cell r="B355" t="str">
            <v>POLLO LOMITO S/R FCO (30 KG)</v>
          </cell>
          <cell r="C355" t="str">
            <v xml:space="preserve">1 KILO </v>
          </cell>
          <cell r="D355" t="str">
            <v>04/03/2020</v>
          </cell>
          <cell r="E355">
            <v>4000</v>
          </cell>
        </row>
        <row r="356">
          <cell r="A356" t="str">
            <v>10100190</v>
          </cell>
          <cell r="B356" t="str">
            <v>LIMON MANDARINA (GALON)</v>
          </cell>
          <cell r="C356" t="str">
            <v xml:space="preserve">1 GALON </v>
          </cell>
          <cell r="D356" t="str">
            <v>05/03/2020</v>
          </cell>
          <cell r="E356">
            <v>4000</v>
          </cell>
          <cell r="F356" t="str">
            <v>Mililitro</v>
          </cell>
          <cell r="G356">
            <v>1.0568031704095113</v>
          </cell>
        </row>
        <row r="357">
          <cell r="A357" t="str">
            <v>0312277</v>
          </cell>
          <cell r="B357" t="str">
            <v>QUESO BOCCONCINI (PAQ:500g)</v>
          </cell>
          <cell r="C357" t="str">
            <v>1 PAQUETE</v>
          </cell>
          <cell r="D357" t="str">
            <v>05/03/2020</v>
          </cell>
          <cell r="E357">
            <v>4085</v>
          </cell>
        </row>
        <row r="358">
          <cell r="A358" t="str">
            <v>10100212</v>
          </cell>
          <cell r="B358" t="str">
            <v>CEBOLLA ROSTI (PAQ: 2.5K)</v>
          </cell>
          <cell r="C358" t="str">
            <v>1 PAQUETE</v>
          </cell>
          <cell r="D358" t="str">
            <v>02/03/2020</v>
          </cell>
          <cell r="E358">
            <v>4125</v>
          </cell>
        </row>
        <row r="359">
          <cell r="A359" t="str">
            <v>10900025</v>
          </cell>
          <cell r="B359" t="str">
            <v>CAMOTE EN TROZOS (PAQ: 2K)</v>
          </cell>
          <cell r="C359" t="str">
            <v>1 PAQUETE</v>
          </cell>
          <cell r="D359" t="str">
            <v>17/02/2020</v>
          </cell>
          <cell r="E359">
            <v>4150</v>
          </cell>
        </row>
        <row r="360">
          <cell r="A360" t="str">
            <v>10100033</v>
          </cell>
          <cell r="B360" t="str">
            <v>MOSTAZA DE DIJON (UND:850ML)</v>
          </cell>
          <cell r="C360" t="str">
            <v>1 UND</v>
          </cell>
          <cell r="D360" t="str">
            <v>21/02/2020</v>
          </cell>
          <cell r="E360">
            <v>4151.3999999999996</v>
          </cell>
          <cell r="F360" t="str">
            <v>Gramo</v>
          </cell>
          <cell r="G360">
            <v>4.8839999999999995</v>
          </cell>
        </row>
        <row r="361">
          <cell r="A361" t="str">
            <v>10100242</v>
          </cell>
          <cell r="B361" t="str">
            <v>SALSA INGLESA DEL LLANO (GALON)</v>
          </cell>
          <cell r="C361" t="str">
            <v xml:space="preserve">1 GALON </v>
          </cell>
          <cell r="D361" t="str">
            <v>11/02/2020</v>
          </cell>
          <cell r="E361">
            <v>4189</v>
          </cell>
        </row>
        <row r="362">
          <cell r="A362" t="str">
            <v>1110380</v>
          </cell>
          <cell r="B362" t="str">
            <v>PEPINILLOS REBANADOS (GALON)</v>
          </cell>
          <cell r="C362" t="str">
            <v>1 UND</v>
          </cell>
          <cell r="D362" t="str">
            <v>22/02/2020</v>
          </cell>
          <cell r="E362">
            <v>4200</v>
          </cell>
          <cell r="F362" t="str">
            <v>Gramo</v>
          </cell>
        </row>
        <row r="363">
          <cell r="A363" t="str">
            <v>1110418</v>
          </cell>
          <cell r="B363" t="str">
            <v>MOSTAZA DIJON GRANULADA (UND:820ML)</v>
          </cell>
          <cell r="C363" t="str">
            <v>1 UND</v>
          </cell>
          <cell r="D363" t="str">
            <v>29/02/2020</v>
          </cell>
          <cell r="E363">
            <v>4289.1000000000004</v>
          </cell>
        </row>
        <row r="364">
          <cell r="A364" t="str">
            <v>1010339</v>
          </cell>
          <cell r="B364" t="str">
            <v xml:space="preserve">TRIPLE SEC </v>
          </cell>
          <cell r="C364" t="str">
            <v>1 UND</v>
          </cell>
          <cell r="D364" t="str">
            <v>14/11/2019</v>
          </cell>
          <cell r="E364">
            <v>4371.4285714199996</v>
          </cell>
          <cell r="F364" t="str">
            <v>Mililitro</v>
          </cell>
          <cell r="G364">
            <v>5.8285714285599992</v>
          </cell>
        </row>
        <row r="365">
          <cell r="A365" t="str">
            <v>0210101</v>
          </cell>
          <cell r="B365" t="str">
            <v>BISTEK POPULAR (KILO)</v>
          </cell>
          <cell r="C365" t="str">
            <v>1 KILO</v>
          </cell>
          <cell r="D365" t="str">
            <v>28/02/2020</v>
          </cell>
          <cell r="E365">
            <v>4395</v>
          </cell>
        </row>
        <row r="366">
          <cell r="A366" t="str">
            <v>1210443</v>
          </cell>
          <cell r="B366" t="str">
            <v>YEMA DE HUEVO PASTEURIZADA (CAJA:2 Kg)</v>
          </cell>
          <cell r="C366" t="str">
            <v>1 CAJA</v>
          </cell>
          <cell r="D366" t="str">
            <v>27/02/2020</v>
          </cell>
          <cell r="E366">
            <v>4400</v>
          </cell>
          <cell r="F366" t="str">
            <v>Gramo</v>
          </cell>
          <cell r="G366">
            <v>2.2000000000000002</v>
          </cell>
        </row>
        <row r="367">
          <cell r="A367" t="str">
            <v>0512319</v>
          </cell>
          <cell r="B367" t="str">
            <v>PASTA AJO (PAQ: 1 KILO)</v>
          </cell>
          <cell r="C367" t="str">
            <v xml:space="preserve">1 KILO </v>
          </cell>
          <cell r="D367" t="str">
            <v>28/02/2020</v>
          </cell>
          <cell r="E367">
            <v>4458</v>
          </cell>
          <cell r="F367" t="str">
            <v>Gramo</v>
          </cell>
          <cell r="G367">
            <v>4.4580000000000002</v>
          </cell>
        </row>
        <row r="368">
          <cell r="A368" t="str">
            <v>0810306</v>
          </cell>
          <cell r="B368" t="str">
            <v>MIEL ABEJA BOTELLA (UND)</v>
          </cell>
          <cell r="C368" t="str">
            <v>1 UND</v>
          </cell>
          <cell r="D368" t="str">
            <v>16/01/2020</v>
          </cell>
          <cell r="E368">
            <v>4471</v>
          </cell>
        </row>
        <row r="369">
          <cell r="A369" t="str">
            <v>10100186</v>
          </cell>
          <cell r="B369" t="str">
            <v>PRESERVANTE T (PAQ: KILO)</v>
          </cell>
          <cell r="C369" t="str">
            <v>1 PAQUETE</v>
          </cell>
          <cell r="D369" t="str">
            <v>14/01/2020</v>
          </cell>
          <cell r="E369">
            <v>4558.0529999999999</v>
          </cell>
        </row>
        <row r="370">
          <cell r="A370" t="str">
            <v>10100201</v>
          </cell>
          <cell r="B370" t="str">
            <v>COND FRIJOL MOLIDO GRIFFITH RP (UND:4K)</v>
          </cell>
          <cell r="C370" t="str">
            <v>1 UND</v>
          </cell>
          <cell r="D370" t="str">
            <v>29/02/2020</v>
          </cell>
          <cell r="E370">
            <v>4566.5</v>
          </cell>
        </row>
        <row r="371">
          <cell r="A371" t="str">
            <v>105808</v>
          </cell>
          <cell r="B371" t="str">
            <v>FRUTOS ROJOS DEL BOSQUE BEGRO (PAQ:1 K)</v>
          </cell>
          <cell r="C371" t="str">
            <v>1 PAQUETE</v>
          </cell>
          <cell r="D371" t="str">
            <v>21/12/2019</v>
          </cell>
          <cell r="E371">
            <v>4589</v>
          </cell>
        </row>
        <row r="372">
          <cell r="A372" t="str">
            <v>10200012</v>
          </cell>
          <cell r="B372" t="str">
            <v>TE CHAI ESPECIES (PAQ:800g)</v>
          </cell>
          <cell r="C372" t="str">
            <v>1 PAQUETE</v>
          </cell>
          <cell r="D372" t="str">
            <v>17/02/2020</v>
          </cell>
          <cell r="E372">
            <v>4609.8</v>
          </cell>
        </row>
        <row r="373">
          <cell r="A373" t="str">
            <v>5000001</v>
          </cell>
          <cell r="B373" t="str">
            <v>SAL INDUSTRIA (SACO:25 Kg)</v>
          </cell>
          <cell r="C373" t="str">
            <v>1 SACO</v>
          </cell>
          <cell r="D373" t="str">
            <v>03/03/2020</v>
          </cell>
          <cell r="E373">
            <v>4700</v>
          </cell>
          <cell r="F373" t="str">
            <v>Gramo</v>
          </cell>
          <cell r="G373">
            <v>0.188</v>
          </cell>
        </row>
        <row r="374">
          <cell r="A374" t="str">
            <v>0312278</v>
          </cell>
          <cell r="B374" t="str">
            <v>LECHE ESTANDAR (UND:10 L)</v>
          </cell>
          <cell r="C374" t="str">
            <v>1 UND</v>
          </cell>
          <cell r="D374" t="str">
            <v>29/02/2020</v>
          </cell>
          <cell r="E374">
            <v>4738</v>
          </cell>
          <cell r="F374" t="str">
            <v>Mililitro</v>
          </cell>
          <cell r="G374">
            <v>0.4738</v>
          </cell>
        </row>
        <row r="375">
          <cell r="A375" t="str">
            <v>1212410</v>
          </cell>
          <cell r="B375" t="str">
            <v>PRESERVANTE 1047S (PAQ=5 KILO)</v>
          </cell>
          <cell r="C375" t="str">
            <v>1 KILO</v>
          </cell>
          <cell r="D375" t="str">
            <v>04/03/2020</v>
          </cell>
          <cell r="E375">
            <v>4767.4380000000001</v>
          </cell>
          <cell r="F375" t="str">
            <v>Gramo</v>
          </cell>
          <cell r="G375">
            <v>0.95348759999999999</v>
          </cell>
        </row>
        <row r="376">
          <cell r="A376" t="str">
            <v>10200019</v>
          </cell>
          <cell r="B376" t="str">
            <v>RON PLATA ESPECIAL (UND: LITRO)</v>
          </cell>
          <cell r="C376" t="str">
            <v>1 UND</v>
          </cell>
          <cell r="D376" t="str">
            <v>14/11/2019</v>
          </cell>
          <cell r="E376">
            <v>4941</v>
          </cell>
        </row>
        <row r="377">
          <cell r="A377" t="str">
            <v>10100157</v>
          </cell>
          <cell r="B377" t="str">
            <v>SALSA HOISIN (UND:2.27 K)</v>
          </cell>
          <cell r="C377" t="str">
            <v>1 UND</v>
          </cell>
          <cell r="D377" t="str">
            <v>20/12/2019</v>
          </cell>
          <cell r="E377">
            <v>4950</v>
          </cell>
        </row>
        <row r="378">
          <cell r="A378" t="str">
            <v>101000104</v>
          </cell>
          <cell r="B378" t="str">
            <v>SALSA OSTION PANDA (UND:5LBS)</v>
          </cell>
          <cell r="C378" t="str">
            <v>1 UND</v>
          </cell>
          <cell r="D378" t="str">
            <v>11/02/2020</v>
          </cell>
          <cell r="E378">
            <v>4995</v>
          </cell>
        </row>
        <row r="379">
          <cell r="A379" t="str">
            <v>10100222</v>
          </cell>
          <cell r="B379" t="str">
            <v>MAICENA DURYEA (PAQ: 2.3 K)</v>
          </cell>
          <cell r="C379" t="str">
            <v>1 PAQUETE</v>
          </cell>
          <cell r="D379" t="str">
            <v>27/02/2020</v>
          </cell>
          <cell r="E379">
            <v>4995</v>
          </cell>
        </row>
        <row r="380">
          <cell r="A380" t="str">
            <v>10100217</v>
          </cell>
          <cell r="B380" t="str">
            <v>CONDIMENTO CAJUN (PAQ:1 K)</v>
          </cell>
          <cell r="C380" t="str">
            <v>1 PAQUETE</v>
          </cell>
          <cell r="D380" t="str">
            <v>17/01/2020</v>
          </cell>
          <cell r="E380">
            <v>5039.41</v>
          </cell>
        </row>
        <row r="381">
          <cell r="A381" t="str">
            <v>119000026</v>
          </cell>
          <cell r="B381" t="str">
            <v>SEMILLA DE AMAPOLA (UND: 566 G)</v>
          </cell>
          <cell r="C381" t="str">
            <v>1 Uds.</v>
          </cell>
          <cell r="D381" t="str">
            <v>18/02/2020</v>
          </cell>
          <cell r="E381">
            <v>5060</v>
          </cell>
        </row>
        <row r="382">
          <cell r="A382" t="str">
            <v>10100272</v>
          </cell>
          <cell r="B382" t="str">
            <v>ADEREZO RANCH (UND)</v>
          </cell>
          <cell r="C382" t="str">
            <v>1 UND</v>
          </cell>
          <cell r="D382" t="str">
            <v>29/02/2020</v>
          </cell>
          <cell r="E382">
            <v>5099</v>
          </cell>
        </row>
        <row r="383">
          <cell r="A383" t="str">
            <v>10100274</v>
          </cell>
          <cell r="B383" t="str">
            <v>ADEREZO MIL ISLAS (UND)</v>
          </cell>
          <cell r="C383" t="str">
            <v>1 UND</v>
          </cell>
          <cell r="D383" t="str">
            <v>03/03/2020</v>
          </cell>
          <cell r="E383">
            <v>5099</v>
          </cell>
        </row>
        <row r="384">
          <cell r="A384" t="str">
            <v>10100276</v>
          </cell>
          <cell r="B384" t="str">
            <v>ADEREZO CESAR (UND)</v>
          </cell>
          <cell r="C384" t="str">
            <v>1 UND</v>
          </cell>
          <cell r="D384" t="str">
            <v>03/03/2020</v>
          </cell>
          <cell r="E384">
            <v>5099</v>
          </cell>
        </row>
        <row r="385">
          <cell r="A385" t="str">
            <v>10100177</v>
          </cell>
          <cell r="B385" t="str">
            <v>CHILE MORRON ASADO ENTERO (UND: 2.5K)</v>
          </cell>
          <cell r="C385" t="str">
            <v>1 UND</v>
          </cell>
          <cell r="D385" t="str">
            <v>14/12/2019</v>
          </cell>
          <cell r="E385">
            <v>5140</v>
          </cell>
        </row>
        <row r="386">
          <cell r="A386" t="str">
            <v>101260</v>
          </cell>
          <cell r="B386" t="str">
            <v>ALBAHACA KILO</v>
          </cell>
          <cell r="C386" t="str">
            <v>1 KILO</v>
          </cell>
          <cell r="D386" t="str">
            <v>04/03/2020</v>
          </cell>
          <cell r="E386">
            <v>5148</v>
          </cell>
        </row>
        <row r="387">
          <cell r="A387" t="str">
            <v>10300030</v>
          </cell>
          <cell r="B387" t="str">
            <v>BISTEC BOLITA TENDER Y MARINADO KILO</v>
          </cell>
          <cell r="C387" t="str">
            <v xml:space="preserve">1 KILO  </v>
          </cell>
          <cell r="D387" t="str">
            <v>10/02/2020</v>
          </cell>
          <cell r="E387">
            <v>5195</v>
          </cell>
        </row>
        <row r="388">
          <cell r="A388" t="str">
            <v>1210492</v>
          </cell>
          <cell r="B388" t="str">
            <v>CHANTILLY TOP CREAM CHOCOLATE (UND:2 K)</v>
          </cell>
          <cell r="C388" t="str">
            <v>1 UND</v>
          </cell>
          <cell r="D388" t="str">
            <v>22/02/2020</v>
          </cell>
          <cell r="E388">
            <v>5323.04</v>
          </cell>
        </row>
        <row r="389">
          <cell r="A389" t="str">
            <v>10300034</v>
          </cell>
          <cell r="B389" t="str">
            <v>CESINA TROZOS ( KILO)</v>
          </cell>
          <cell r="C389" t="str">
            <v xml:space="preserve">1 KILO </v>
          </cell>
          <cell r="D389" t="str">
            <v>02/01/2020</v>
          </cell>
          <cell r="E389">
            <v>5395</v>
          </cell>
        </row>
        <row r="390">
          <cell r="A390" t="str">
            <v>10300038</v>
          </cell>
          <cell r="B390" t="str">
            <v>ROAF BEEF REBANADO (PAQ:1 K)</v>
          </cell>
          <cell r="C390" t="str">
            <v>1 PAQUETE</v>
          </cell>
          <cell r="D390" t="str">
            <v>29/02/2020</v>
          </cell>
          <cell r="E390">
            <v>5453</v>
          </cell>
        </row>
        <row r="391">
          <cell r="A391" t="str">
            <v>0510294</v>
          </cell>
          <cell r="B391" t="str">
            <v>ANTIOXIDANTE ESPECIAL (KILO)</v>
          </cell>
          <cell r="C391" t="str">
            <v xml:space="preserve">1 KILO </v>
          </cell>
          <cell r="D391" t="str">
            <v>06/02/2020</v>
          </cell>
          <cell r="E391">
            <v>5456.5752000000002</v>
          </cell>
          <cell r="F391" t="str">
            <v>Gramo</v>
          </cell>
          <cell r="G391">
            <v>5.4565752000000005</v>
          </cell>
        </row>
        <row r="392">
          <cell r="A392" t="str">
            <v>10700036</v>
          </cell>
          <cell r="B392" t="str">
            <v>CHOCOLATE CORAZON MINI COMB (CJ:1500 UD)</v>
          </cell>
          <cell r="C392" t="str">
            <v>1 CAJA</v>
          </cell>
          <cell r="D392" t="str">
            <v>11/02/2020</v>
          </cell>
          <cell r="E392">
            <v>5500</v>
          </cell>
        </row>
        <row r="393">
          <cell r="A393" t="str">
            <v>10200029</v>
          </cell>
          <cell r="B393" t="str">
            <v>LECHE SABORIZADA FRAPPE MIX (PAQ: 1 K)</v>
          </cell>
          <cell r="C393" t="str">
            <v>1 PAQUETE</v>
          </cell>
          <cell r="D393" t="str">
            <v>18/02/2020</v>
          </cell>
          <cell r="E393">
            <v>5500</v>
          </cell>
        </row>
        <row r="394">
          <cell r="A394" t="str">
            <v>0110086</v>
          </cell>
          <cell r="B394" t="str">
            <v>TOMILLO FRESCO ROLLO KILO</v>
          </cell>
          <cell r="C394" t="str">
            <v>1 KILO</v>
          </cell>
          <cell r="D394" t="str">
            <v>29/02/2020</v>
          </cell>
          <cell r="E394">
            <v>5500</v>
          </cell>
          <cell r="F394" t="str">
            <v>Gramo</v>
          </cell>
          <cell r="G394">
            <v>5.5</v>
          </cell>
        </row>
        <row r="395">
          <cell r="A395" t="str">
            <v>10300010</v>
          </cell>
          <cell r="B395" t="str">
            <v>BISTEC ESO. TP MILANESA (KILO)</v>
          </cell>
          <cell r="C395" t="str">
            <v>1 KILO</v>
          </cell>
          <cell r="D395" t="str">
            <v>07/02/2020</v>
          </cell>
          <cell r="E395">
            <v>5530</v>
          </cell>
        </row>
        <row r="396">
          <cell r="A396" t="str">
            <v>1730610</v>
          </cell>
          <cell r="B396" t="str">
            <v>NATILLA GALON (UND:3.785 K)</v>
          </cell>
          <cell r="C396" t="str">
            <v>1 UND</v>
          </cell>
          <cell r="D396" t="str">
            <v>03/03/2020</v>
          </cell>
          <cell r="E396">
            <v>5670</v>
          </cell>
          <cell r="F396" t="str">
            <v>Gramo</v>
          </cell>
          <cell r="G396">
            <v>1.4980184940554822</v>
          </cell>
        </row>
        <row r="397">
          <cell r="A397" t="str">
            <v>1730588</v>
          </cell>
          <cell r="B397" t="str">
            <v>LOMO DE AGUJA KILO</v>
          </cell>
          <cell r="C397" t="str">
            <v>1 KILO</v>
          </cell>
          <cell r="D397" t="str">
            <v>24/02/2020</v>
          </cell>
          <cell r="E397">
            <v>5690</v>
          </cell>
        </row>
        <row r="398">
          <cell r="A398" t="str">
            <v>10100009</v>
          </cell>
          <cell r="B398" t="str">
            <v>SALSA BLANCA MAGGI (UND:1K)</v>
          </cell>
          <cell r="C398" t="str">
            <v>1 UND</v>
          </cell>
          <cell r="D398" t="str">
            <v>27/02/2020</v>
          </cell>
          <cell r="E398">
            <v>5746</v>
          </cell>
        </row>
        <row r="399">
          <cell r="A399" t="str">
            <v>10100250</v>
          </cell>
          <cell r="B399" t="str">
            <v>PAPA TOSTADA KITTY (PAQ: 1 K)</v>
          </cell>
          <cell r="C399" t="str">
            <v>1 PAQUETE</v>
          </cell>
          <cell r="D399" t="str">
            <v>30/12/2019</v>
          </cell>
          <cell r="E399">
            <v>5777.3329999999996</v>
          </cell>
        </row>
        <row r="400">
          <cell r="A400" t="str">
            <v>10700013</v>
          </cell>
          <cell r="B400" t="str">
            <v>STICK DORADO (CAJA:100 UND)</v>
          </cell>
          <cell r="C400" t="str">
            <v>1 CAJA</v>
          </cell>
          <cell r="D400" t="str">
            <v>20/01/2020</v>
          </cell>
          <cell r="E400">
            <v>5838</v>
          </cell>
          <cell r="F400" t="str">
            <v>UND</v>
          </cell>
          <cell r="G400">
            <v>58.38</v>
          </cell>
        </row>
        <row r="401">
          <cell r="A401" t="str">
            <v>10100173</v>
          </cell>
          <cell r="B401" t="str">
            <v>MOSTAZA HELLMANNS (UND: 4 K)</v>
          </cell>
          <cell r="C401" t="str">
            <v>1 UND</v>
          </cell>
          <cell r="D401" t="str">
            <v>28/01/2020</v>
          </cell>
          <cell r="E401">
            <v>5895</v>
          </cell>
        </row>
        <row r="402">
          <cell r="A402" t="str">
            <v>0910351</v>
          </cell>
          <cell r="B402" t="str">
            <v>SALSA CHILE AJI (PAQ:1 KILO)</v>
          </cell>
          <cell r="C402" t="str">
            <v>1 PAQUETE</v>
          </cell>
          <cell r="D402" t="str">
            <v>30/01/2020</v>
          </cell>
          <cell r="E402">
            <v>5898.23</v>
          </cell>
          <cell r="F402" t="str">
            <v>Gramo</v>
          </cell>
          <cell r="G402">
            <v>5.8982299999999999</v>
          </cell>
        </row>
        <row r="403">
          <cell r="A403" t="str">
            <v>210047</v>
          </cell>
          <cell r="B403" t="str">
            <v xml:space="preserve">CHICHARON KILO </v>
          </cell>
          <cell r="C403" t="str">
            <v>1 KILO</v>
          </cell>
          <cell r="D403" t="str">
            <v>05/03/2020</v>
          </cell>
          <cell r="E403">
            <v>5900</v>
          </cell>
        </row>
        <row r="404">
          <cell r="A404" t="str">
            <v>10100275</v>
          </cell>
          <cell r="B404" t="str">
            <v>ADEREZO ITALIANO CREMOSO (UND)</v>
          </cell>
          <cell r="C404" t="str">
            <v>1 UND</v>
          </cell>
          <cell r="D404" t="str">
            <v>04/03/2020</v>
          </cell>
          <cell r="E404">
            <v>5949</v>
          </cell>
        </row>
        <row r="405">
          <cell r="A405" t="str">
            <v>105000029</v>
          </cell>
          <cell r="B405" t="str">
            <v>CONSOME CONCEN. DE RES (UND:2 K)</v>
          </cell>
          <cell r="C405" t="str">
            <v>1 UND</v>
          </cell>
          <cell r="D405" t="str">
            <v>03/03/2020</v>
          </cell>
          <cell r="E405">
            <v>5988</v>
          </cell>
        </row>
        <row r="406">
          <cell r="A406" t="str">
            <v>101000073</v>
          </cell>
          <cell r="B406" t="str">
            <v>AZUCAR GLASS MOLIDA (PAQ: 4 K)</v>
          </cell>
          <cell r="C406" t="str">
            <v>1 PAQUETE</v>
          </cell>
          <cell r="D406" t="str">
            <v>03/03/2020</v>
          </cell>
          <cell r="E406">
            <v>6004</v>
          </cell>
          <cell r="F406" t="str">
            <v>Gramo</v>
          </cell>
          <cell r="G406">
            <v>1.5009999999999999</v>
          </cell>
        </row>
        <row r="407">
          <cell r="A407" t="str">
            <v>105000046</v>
          </cell>
          <cell r="B407" t="str">
            <v>JENGIBRE MOLIDO (UND:354 G)</v>
          </cell>
          <cell r="C407" t="str">
            <v>1 UND</v>
          </cell>
          <cell r="D407" t="str">
            <v>04/03/2020</v>
          </cell>
          <cell r="E407">
            <v>6034</v>
          </cell>
        </row>
        <row r="408">
          <cell r="A408" t="str">
            <v>0710262</v>
          </cell>
          <cell r="B408" t="str">
            <v>PAN MOLIDO (PAQ:5 K)</v>
          </cell>
          <cell r="C408" t="str">
            <v>1 PAQUETE</v>
          </cell>
          <cell r="D408" t="str">
            <v>26/12/2019</v>
          </cell>
          <cell r="E408">
            <v>6050</v>
          </cell>
        </row>
        <row r="409">
          <cell r="A409" t="str">
            <v>10100223</v>
          </cell>
          <cell r="B409" t="str">
            <v>ADEREZO JENGIBRE C/AJONJOLI (UND:3.78 K)</v>
          </cell>
          <cell r="C409" t="str">
            <v>1 UND</v>
          </cell>
          <cell r="D409" t="str">
            <v>16/01/2020</v>
          </cell>
          <cell r="E409">
            <v>6069</v>
          </cell>
        </row>
        <row r="410">
          <cell r="A410" t="str">
            <v>1110378</v>
          </cell>
          <cell r="B410" t="str">
            <v>TOMATE LICUADO LATA (UND: 4.1 K)</v>
          </cell>
          <cell r="C410" t="str">
            <v>1 UND</v>
          </cell>
          <cell r="D410" t="str">
            <v>29/02/2020</v>
          </cell>
          <cell r="E410">
            <v>6190</v>
          </cell>
          <cell r="F410" t="str">
            <v>Gramo</v>
          </cell>
          <cell r="G410">
            <v>1.5097560975609756</v>
          </cell>
        </row>
        <row r="411">
          <cell r="A411" t="str">
            <v>10300039</v>
          </cell>
          <cell r="B411" t="str">
            <v>FILET TRUCHA PORCIONES (KILO)</v>
          </cell>
          <cell r="C411" t="str">
            <v xml:space="preserve">1 KILO  </v>
          </cell>
          <cell r="D411" t="str">
            <v>02/03/2020</v>
          </cell>
          <cell r="E411">
            <v>6190</v>
          </cell>
        </row>
        <row r="412">
          <cell r="A412" t="str">
            <v>610223</v>
          </cell>
          <cell r="B412" t="str">
            <v>CREMA DE HONGOS (CAJA:12 UND)</v>
          </cell>
          <cell r="C412" t="str">
            <v>1 CAJA</v>
          </cell>
          <cell r="D412" t="str">
            <v>03/03/2020</v>
          </cell>
          <cell r="E412">
            <v>6212</v>
          </cell>
          <cell r="F412" t="str">
            <v>Gramo</v>
          </cell>
          <cell r="G412">
            <v>7.9641025641025642</v>
          </cell>
        </row>
        <row r="413">
          <cell r="A413" t="str">
            <v>1212412</v>
          </cell>
          <cell r="B413" t="str">
            <v>PRESERVANTE 1017S (PAQ=5 KILO)</v>
          </cell>
          <cell r="C413" t="str">
            <v xml:space="preserve">1 KILO   </v>
          </cell>
          <cell r="D413" t="str">
            <v>26/02/2020</v>
          </cell>
          <cell r="E413">
            <v>6321.48</v>
          </cell>
          <cell r="F413" t="str">
            <v>Gramo</v>
          </cell>
          <cell r="G413">
            <v>6.3214799999999993</v>
          </cell>
        </row>
        <row r="414">
          <cell r="A414" t="str">
            <v>11400031</v>
          </cell>
          <cell r="B414" t="str">
            <v>CREMA PRESTIGE GRAND (UND:4 K) *</v>
          </cell>
          <cell r="C414" t="str">
            <v>1 UND</v>
          </cell>
          <cell r="D414" t="str">
            <v>03/03/2020</v>
          </cell>
          <cell r="E414">
            <v>6387</v>
          </cell>
          <cell r="F414" t="str">
            <v>Gramo</v>
          </cell>
          <cell r="G414">
            <v>1.5967499999999999</v>
          </cell>
        </row>
        <row r="415">
          <cell r="A415" t="str">
            <v>510115</v>
          </cell>
          <cell r="B415" t="str">
            <v>COLOR CARAMELINA EXTRA (KILO)</v>
          </cell>
          <cell r="C415" t="str">
            <v xml:space="preserve">1 KILO </v>
          </cell>
          <cell r="D415" t="str">
            <v>12/02/2020</v>
          </cell>
          <cell r="E415">
            <v>6433.62</v>
          </cell>
          <cell r="F415" t="str">
            <v>Gramo</v>
          </cell>
          <cell r="G415">
            <v>6.4336199999999995</v>
          </cell>
        </row>
        <row r="416">
          <cell r="A416" t="str">
            <v>10300020</v>
          </cell>
          <cell r="B416" t="str">
            <v>CARNITAS PORK (KILO)</v>
          </cell>
          <cell r="C416" t="str">
            <v>1 KILO</v>
          </cell>
          <cell r="D416" t="str">
            <v>03/12/2019</v>
          </cell>
          <cell r="E416">
            <v>6448.49</v>
          </cell>
        </row>
        <row r="417">
          <cell r="A417" t="str">
            <v>11200065</v>
          </cell>
          <cell r="B417" t="str">
            <v>BAGUETTE FRANCES LAPIZ (CAJA:17 UND)</v>
          </cell>
          <cell r="C417" t="str">
            <v>1 CAJA</v>
          </cell>
          <cell r="D417" t="str">
            <v>29/02/2020</v>
          </cell>
          <cell r="E417">
            <v>6480</v>
          </cell>
        </row>
        <row r="418">
          <cell r="A418" t="str">
            <v>10200030</v>
          </cell>
          <cell r="B418" t="str">
            <v>BASE LECHE  MILK SHAKE (PAQ:1 K)</v>
          </cell>
          <cell r="C418" t="str">
            <v>1 PAQUETE</v>
          </cell>
          <cell r="D418" t="str">
            <v>16/12/2019</v>
          </cell>
          <cell r="E418">
            <v>6500</v>
          </cell>
        </row>
        <row r="419">
          <cell r="A419" t="str">
            <v>1112441</v>
          </cell>
          <cell r="B419" t="str">
            <v>ACEITUNA  C/PIMIENTO (UND:1,7 Kg)</v>
          </cell>
          <cell r="C419" t="str">
            <v>1 UND</v>
          </cell>
          <cell r="D419" t="str">
            <v>14/12/2019</v>
          </cell>
          <cell r="E419">
            <v>6706</v>
          </cell>
        </row>
        <row r="420">
          <cell r="A420" t="str">
            <v>11400045</v>
          </cell>
          <cell r="B420" t="str">
            <v>QUESO RALLADO RICO DOS PINO SP (PAQ:2 K)</v>
          </cell>
          <cell r="C420" t="str">
            <v>1 PAQUETE</v>
          </cell>
          <cell r="D420" t="str">
            <v>03/03/2020</v>
          </cell>
          <cell r="E420">
            <v>6825.41</v>
          </cell>
          <cell r="F420" t="str">
            <v>Gramo</v>
          </cell>
          <cell r="G420">
            <v>3.4127049999999999</v>
          </cell>
        </row>
        <row r="421">
          <cell r="A421" t="str">
            <v>176799</v>
          </cell>
          <cell r="B421" t="str">
            <v>ENELDO SECO (UND:141 G)</v>
          </cell>
          <cell r="C421" t="str">
            <v>1 UND</v>
          </cell>
          <cell r="D421" t="str">
            <v>01/02/2020</v>
          </cell>
          <cell r="E421">
            <v>6829</v>
          </cell>
        </row>
        <row r="422">
          <cell r="A422" t="str">
            <v>11700002</v>
          </cell>
          <cell r="B422" t="str">
            <v>DULCE LECHE LA CIABATA (UND:5 K )</v>
          </cell>
          <cell r="C422" t="str">
            <v>1 UND</v>
          </cell>
          <cell r="D422" t="str">
            <v>29/02/2020</v>
          </cell>
          <cell r="E422">
            <v>6925</v>
          </cell>
          <cell r="F422" t="str">
            <v>Gramo</v>
          </cell>
          <cell r="G422">
            <v>1.385</v>
          </cell>
        </row>
        <row r="423">
          <cell r="A423" t="str">
            <v>105000007</v>
          </cell>
          <cell r="B423" t="str">
            <v>PIMIENTA NEGRA MOLIDA (UND:510 G)</v>
          </cell>
          <cell r="C423" t="str">
            <v>1 UND</v>
          </cell>
          <cell r="D423" t="str">
            <v>29/02/2020</v>
          </cell>
          <cell r="E423">
            <v>6931</v>
          </cell>
          <cell r="F423" t="str">
            <v>Gramo</v>
          </cell>
          <cell r="G423">
            <v>13.590196078431372</v>
          </cell>
        </row>
        <row r="424">
          <cell r="A424" t="str">
            <v>1210496</v>
          </cell>
          <cell r="B424" t="str">
            <v>MONEDAS ONDEADAS COMBIN (CAJA:240 UND)</v>
          </cell>
          <cell r="C424" t="str">
            <v>1 CAJA</v>
          </cell>
          <cell r="D424" t="str">
            <v>03/12/2019</v>
          </cell>
          <cell r="E424">
            <v>6957</v>
          </cell>
        </row>
        <row r="425">
          <cell r="A425" t="str">
            <v>1730670</v>
          </cell>
          <cell r="B425" t="str">
            <v>BOLITA FALAFEL CRUDA (PAQ:100 UND)</v>
          </cell>
          <cell r="C425" t="str">
            <v>1 PAQUETE</v>
          </cell>
          <cell r="D425" t="str">
            <v>02/03/2020</v>
          </cell>
          <cell r="E425">
            <v>7000</v>
          </cell>
        </row>
        <row r="426">
          <cell r="A426" t="str">
            <v>0310112</v>
          </cell>
          <cell r="B426" t="str">
            <v>QUESO PRADO RICO REBANADO KILO</v>
          </cell>
          <cell r="C426" t="str">
            <v>1 KILO</v>
          </cell>
          <cell r="D426" t="str">
            <v>05/03/2020</v>
          </cell>
          <cell r="E426">
            <v>7182</v>
          </cell>
          <cell r="F426" t="str">
            <v>Gramo</v>
          </cell>
          <cell r="G426">
            <v>7.1820000000000004</v>
          </cell>
        </row>
        <row r="427">
          <cell r="A427" t="str">
            <v>310148</v>
          </cell>
          <cell r="B427" t="str">
            <v>BETTERCREME SUPREMO (UND:4 K)</v>
          </cell>
          <cell r="C427" t="str">
            <v>1 UND</v>
          </cell>
          <cell r="D427" t="str">
            <v>03/03/2020</v>
          </cell>
          <cell r="E427">
            <v>7234</v>
          </cell>
          <cell r="F427" t="str">
            <v>Gramo</v>
          </cell>
          <cell r="G427">
            <v>1.8085</v>
          </cell>
        </row>
        <row r="428">
          <cell r="A428" t="str">
            <v>0910341</v>
          </cell>
          <cell r="B428" t="str">
            <v>SALSA INGLESA LIZANO (UND:3.7 L)</v>
          </cell>
          <cell r="C428" t="str">
            <v>1 UND</v>
          </cell>
          <cell r="D428" t="str">
            <v>03/03/2020</v>
          </cell>
          <cell r="E428">
            <v>7303</v>
          </cell>
          <cell r="F428" t="str">
            <v>Mililitro</v>
          </cell>
          <cell r="G428">
            <v>1.929458388375165</v>
          </cell>
        </row>
        <row r="429">
          <cell r="A429" t="str">
            <v>0410137</v>
          </cell>
          <cell r="B429" t="str">
            <v>JALEA FRESA (UND:5 K)</v>
          </cell>
          <cell r="C429" t="str">
            <v>1 UND</v>
          </cell>
          <cell r="D429" t="str">
            <v>27/02/2020</v>
          </cell>
          <cell r="E429">
            <v>7341</v>
          </cell>
          <cell r="F429" t="str">
            <v>Gramo</v>
          </cell>
          <cell r="G429">
            <v>1.4681999999999999</v>
          </cell>
        </row>
        <row r="430">
          <cell r="A430" t="str">
            <v>10100069</v>
          </cell>
          <cell r="B430" t="str">
            <v>MAYONESA SPOON (UND:3.785 L)</v>
          </cell>
          <cell r="C430" t="str">
            <v>1 UND</v>
          </cell>
          <cell r="D430" t="str">
            <v>05/12/2019</v>
          </cell>
          <cell r="E430">
            <v>7430</v>
          </cell>
        </row>
        <row r="431">
          <cell r="A431" t="str">
            <v>10100227</v>
          </cell>
          <cell r="B431" t="str">
            <v>ROSA JAMAICA (PAQ:KILO)</v>
          </cell>
          <cell r="C431" t="str">
            <v>1 PAQUETE</v>
          </cell>
          <cell r="D431" t="str">
            <v>29/02/2020</v>
          </cell>
          <cell r="E431">
            <v>7500</v>
          </cell>
        </row>
        <row r="432">
          <cell r="A432" t="str">
            <v>10700029</v>
          </cell>
          <cell r="B432" t="str">
            <v>CHOCOLATE CORAZON ROJO PASION (CAJA:200)</v>
          </cell>
          <cell r="C432" t="str">
            <v>1 CAJA</v>
          </cell>
          <cell r="D432" t="str">
            <v>11/02/2020</v>
          </cell>
          <cell r="E432">
            <v>7650</v>
          </cell>
          <cell r="F432" t="str">
            <v>UND</v>
          </cell>
          <cell r="G432">
            <v>38.25</v>
          </cell>
        </row>
        <row r="433">
          <cell r="A433" t="str">
            <v>10100273</v>
          </cell>
          <cell r="B433" t="str">
            <v>ADEREZO MOSTAZA MIEL (UND)</v>
          </cell>
          <cell r="C433" t="str">
            <v>1 UND</v>
          </cell>
          <cell r="D433" t="str">
            <v>03/03/2020</v>
          </cell>
          <cell r="E433">
            <v>7669</v>
          </cell>
        </row>
        <row r="434">
          <cell r="A434" t="str">
            <v>109000121</v>
          </cell>
          <cell r="B434" t="str">
            <v>TOMATE DESHIDRATADO SECO (UND: 800 G)</v>
          </cell>
          <cell r="C434" t="str">
            <v>1 UND</v>
          </cell>
          <cell r="D434" t="str">
            <v>14/01/2020</v>
          </cell>
          <cell r="E434">
            <v>7731.6</v>
          </cell>
        </row>
        <row r="435">
          <cell r="A435" t="str">
            <v>118000007</v>
          </cell>
          <cell r="B435" t="str">
            <v>SABORIZANTE MELO (KILO)</v>
          </cell>
          <cell r="C435" t="str">
            <v xml:space="preserve">1 KILO </v>
          </cell>
          <cell r="D435" t="str">
            <v>07/02/2020</v>
          </cell>
          <cell r="E435">
            <v>7795.36</v>
          </cell>
          <cell r="F435" t="str">
            <v>Gramo</v>
          </cell>
          <cell r="G435">
            <v>7.7953599999999996</v>
          </cell>
        </row>
        <row r="436">
          <cell r="A436" t="str">
            <v>114000017</v>
          </cell>
          <cell r="B436" t="str">
            <v>BETTERCREAM CHOCOLATE (UND:4 Kg)</v>
          </cell>
          <cell r="C436" t="str">
            <v>1 UND</v>
          </cell>
          <cell r="D436" t="str">
            <v>22/02/2020</v>
          </cell>
          <cell r="E436">
            <v>7834</v>
          </cell>
          <cell r="F436" t="str">
            <v>Gramo</v>
          </cell>
          <cell r="G436">
            <v>1.9584999999999999</v>
          </cell>
        </row>
        <row r="437">
          <cell r="A437" t="str">
            <v>10100225</v>
          </cell>
          <cell r="B437" t="str">
            <v>ACEITE POMACE 90% CANOLA OLIVA (GALON)</v>
          </cell>
          <cell r="C437" t="str">
            <v xml:space="preserve">1 GALON </v>
          </cell>
          <cell r="D437" t="str">
            <v>03/03/2020</v>
          </cell>
          <cell r="E437">
            <v>7852</v>
          </cell>
        </row>
        <row r="438">
          <cell r="A438" t="str">
            <v>11100006</v>
          </cell>
          <cell r="B438" t="str">
            <v>MANTEQUILLA BLISTER 7g  (CAJA:120 UND)</v>
          </cell>
          <cell r="C438" t="str">
            <v xml:space="preserve">1 CAJA </v>
          </cell>
          <cell r="D438" t="str">
            <v>03/02/2020</v>
          </cell>
          <cell r="E438">
            <v>7963.89</v>
          </cell>
        </row>
        <row r="439">
          <cell r="A439" t="str">
            <v>11400027</v>
          </cell>
          <cell r="B439" t="str">
            <v>CREMA BETTERCREAM DOBLE CHOCO (UND:4 K)</v>
          </cell>
          <cell r="C439" t="str">
            <v>1 UND</v>
          </cell>
          <cell r="D439" t="str">
            <v>03/03/2020</v>
          </cell>
          <cell r="E439">
            <v>8052</v>
          </cell>
          <cell r="F439" t="str">
            <v>Gramo</v>
          </cell>
          <cell r="G439">
            <v>2.0129999999999999</v>
          </cell>
        </row>
        <row r="440">
          <cell r="A440" t="str">
            <v>11400052</v>
          </cell>
          <cell r="B440" t="str">
            <v>MARGARINA CORONA (CAJA:15 K)</v>
          </cell>
          <cell r="C440" t="str">
            <v>1 CAJA</v>
          </cell>
          <cell r="D440" t="str">
            <v>08/01/2020</v>
          </cell>
          <cell r="E440">
            <v>8083</v>
          </cell>
          <cell r="F440" t="str">
            <v>Gramo</v>
          </cell>
          <cell r="G440">
            <v>0.53886666666666672</v>
          </cell>
        </row>
        <row r="441">
          <cell r="A441" t="str">
            <v>0510194</v>
          </cell>
          <cell r="B441" t="str">
            <v>MACADAMIA #8 (PAQ:800g)</v>
          </cell>
          <cell r="C441" t="str">
            <v>1 PAQUETE</v>
          </cell>
          <cell r="D441" t="str">
            <v>28/02/2020</v>
          </cell>
          <cell r="E441">
            <v>8316</v>
          </cell>
          <cell r="F441" t="str">
            <v>Gramo</v>
          </cell>
          <cell r="G441">
            <v>10.395</v>
          </cell>
        </row>
        <row r="442">
          <cell r="A442" t="str">
            <v>10300002</v>
          </cell>
          <cell r="B442" t="str">
            <v>JAMON PAVO PECHUGA (UND:3.1 K)</v>
          </cell>
          <cell r="C442" t="str">
            <v>1 UND</v>
          </cell>
          <cell r="D442" t="str">
            <v>05/03/2020</v>
          </cell>
          <cell r="E442">
            <v>8490.6059999999998</v>
          </cell>
          <cell r="F442" t="str">
            <v>Gramo</v>
          </cell>
          <cell r="G442">
            <v>2.7389051612903224</v>
          </cell>
        </row>
        <row r="443">
          <cell r="A443" t="str">
            <v>11400029</v>
          </cell>
          <cell r="B443" t="str">
            <v>CREMA BETTER DULCE LECHE RICH (UND:4 K)</v>
          </cell>
          <cell r="C443" t="str">
            <v>1 UND</v>
          </cell>
          <cell r="D443" t="str">
            <v>03/03/2020</v>
          </cell>
          <cell r="E443">
            <v>8737</v>
          </cell>
          <cell r="F443" t="str">
            <v>Gramo</v>
          </cell>
          <cell r="G443">
            <v>2.18425</v>
          </cell>
        </row>
        <row r="444">
          <cell r="A444" t="str">
            <v>10100249</v>
          </cell>
          <cell r="B444" t="str">
            <v>SALSA BARBACOA CHIPOTLE MIEL (UND:3.7 K)</v>
          </cell>
          <cell r="C444" t="str">
            <v>1 UND</v>
          </cell>
          <cell r="D444" t="str">
            <v>28/01/2020</v>
          </cell>
          <cell r="E444">
            <v>8740</v>
          </cell>
        </row>
        <row r="445">
          <cell r="A445" t="str">
            <v>1210453</v>
          </cell>
          <cell r="B445" t="str">
            <v>CAPUCCINO VAINILLA LATAM (PAQ:750 g)</v>
          </cell>
          <cell r="C445" t="str">
            <v>1 PAQUETE</v>
          </cell>
          <cell r="D445" t="str">
            <v>20/02/2020</v>
          </cell>
          <cell r="E445">
            <v>8940</v>
          </cell>
        </row>
        <row r="446">
          <cell r="A446" t="str">
            <v>103000001</v>
          </cell>
          <cell r="B446" t="str">
            <v>SALMON EN MEDALLON KILO</v>
          </cell>
          <cell r="C446" t="str">
            <v>1 KILO</v>
          </cell>
          <cell r="D446" t="str">
            <v>03/03/2020</v>
          </cell>
          <cell r="E446">
            <v>8986.9500000000007</v>
          </cell>
        </row>
        <row r="447">
          <cell r="A447" t="str">
            <v>0510186</v>
          </cell>
          <cell r="B447" t="str">
            <v>GELATINA PURA  (PAQ:1 k)</v>
          </cell>
          <cell r="C447" t="str">
            <v>1 PAQUETE</v>
          </cell>
          <cell r="D447" t="str">
            <v>03/03/2020</v>
          </cell>
          <cell r="E447">
            <v>9071</v>
          </cell>
          <cell r="F447" t="str">
            <v>Gramo</v>
          </cell>
          <cell r="G447">
            <v>9.0709999999999997</v>
          </cell>
        </row>
        <row r="448">
          <cell r="A448" t="str">
            <v>11400024</v>
          </cell>
          <cell r="B448" t="str">
            <v>QUESO TURRIALBA (PAQ: 3 K)</v>
          </cell>
          <cell r="C448" t="str">
            <v>1 PAQUETE</v>
          </cell>
          <cell r="D448" t="str">
            <v>03/03/2020</v>
          </cell>
          <cell r="E448">
            <v>9124.1299999999992</v>
          </cell>
          <cell r="F448" t="str">
            <v>Gramo</v>
          </cell>
          <cell r="G448">
            <v>3.0413766666666664</v>
          </cell>
        </row>
        <row r="449">
          <cell r="A449" t="str">
            <v>1110370</v>
          </cell>
          <cell r="B449" t="str">
            <v>LECHE CONDENSADA NESTLE CHILE 4.5 KILOS</v>
          </cell>
          <cell r="C449" t="str">
            <v>1 Uds.</v>
          </cell>
          <cell r="D449" t="str">
            <v>29/11/2019</v>
          </cell>
          <cell r="E449">
            <v>9207</v>
          </cell>
          <cell r="F449" t="str">
            <v>Gramo</v>
          </cell>
          <cell r="G449">
            <v>2.0459999999999998</v>
          </cell>
        </row>
        <row r="450">
          <cell r="A450" t="str">
            <v>10100207</v>
          </cell>
          <cell r="B450" t="str">
            <v>LECHE DESCREMADA TB DOS PINOS(CAJA:12 L)</v>
          </cell>
          <cell r="C450" t="str">
            <v>1 CAJA</v>
          </cell>
          <cell r="D450" t="str">
            <v>23/01/2020</v>
          </cell>
          <cell r="E450">
            <v>9223</v>
          </cell>
          <cell r="F450" t="str">
            <v>Mililitro</v>
          </cell>
          <cell r="G450">
            <v>0.76858333333333329</v>
          </cell>
        </row>
        <row r="451">
          <cell r="A451" t="str">
            <v>11400032</v>
          </cell>
          <cell r="B451" t="str">
            <v>LECHE CONDENSADA NEST CHILE  (PAQ:4.5 K)</v>
          </cell>
          <cell r="C451" t="str">
            <v>1 PAQUETE</v>
          </cell>
          <cell r="D451" t="str">
            <v>11/02/2020</v>
          </cell>
          <cell r="E451">
            <v>9273</v>
          </cell>
          <cell r="F451" t="str">
            <v>Gramo</v>
          </cell>
          <cell r="G451">
            <v>2.0606666666666666</v>
          </cell>
        </row>
        <row r="452">
          <cell r="A452" t="str">
            <v>11100002</v>
          </cell>
          <cell r="B452" t="str">
            <v>MARGARINA LIQUIDA 2/17.5LB (UND)</v>
          </cell>
          <cell r="C452" t="str">
            <v>1 UND</v>
          </cell>
          <cell r="D452" t="str">
            <v>07/01/2020</v>
          </cell>
          <cell r="E452">
            <v>9320.5</v>
          </cell>
        </row>
        <row r="453">
          <cell r="A453" t="str">
            <v>910311</v>
          </cell>
          <cell r="B453" t="str">
            <v>ACEITE DE OLIVA PLAST (UND:5 L)</v>
          </cell>
          <cell r="C453" t="str">
            <v>1 UND</v>
          </cell>
          <cell r="D453" t="str">
            <v>28/02/2020</v>
          </cell>
          <cell r="E453">
            <v>9325</v>
          </cell>
          <cell r="F453" t="str">
            <v>Mililitro</v>
          </cell>
          <cell r="G453">
            <v>1.865</v>
          </cell>
        </row>
        <row r="454">
          <cell r="A454" t="str">
            <v>10100235</v>
          </cell>
          <cell r="B454" t="str">
            <v>QUESO MOZA RALLADO CONGEL PIZZA (PAQ:2K)</v>
          </cell>
          <cell r="C454" t="str">
            <v>1 PAQUETE</v>
          </cell>
          <cell r="D454" t="str">
            <v>03/03/2020</v>
          </cell>
          <cell r="E454">
            <v>9356.44</v>
          </cell>
          <cell r="F454" t="str">
            <v>Gramo</v>
          </cell>
          <cell r="G454">
            <v>4.6782200000000005</v>
          </cell>
        </row>
        <row r="455">
          <cell r="A455" t="str">
            <v>10100048</v>
          </cell>
          <cell r="B455" t="str">
            <v>SIROPE KARO DARK (UND: 3.78 K)</v>
          </cell>
          <cell r="C455" t="str">
            <v>1 UND</v>
          </cell>
          <cell r="D455" t="str">
            <v>03/03/2020</v>
          </cell>
          <cell r="E455">
            <v>9465.5</v>
          </cell>
          <cell r="F455" t="str">
            <v>Mililitro</v>
          </cell>
          <cell r="G455">
            <v>2.5007926023778073</v>
          </cell>
        </row>
        <row r="456">
          <cell r="A456" t="str">
            <v>10700033</v>
          </cell>
          <cell r="B456" t="str">
            <v>CHOCOLATE KIT KAT (CAJA:24 X41.5 G)</v>
          </cell>
          <cell r="C456" t="str">
            <v>1 CAJA</v>
          </cell>
          <cell r="D456" t="str">
            <v>29/02/2020</v>
          </cell>
          <cell r="E456">
            <v>9548</v>
          </cell>
        </row>
        <row r="457">
          <cell r="A457" t="str">
            <v>102000037</v>
          </cell>
          <cell r="B457" t="str">
            <v xml:space="preserve">TE FRIO MELOCOTON (CAJA: 6 PAQ) </v>
          </cell>
          <cell r="C457" t="str">
            <v>1 CAJA</v>
          </cell>
          <cell r="D457" t="str">
            <v>03/03/2020</v>
          </cell>
          <cell r="E457">
            <v>9553</v>
          </cell>
        </row>
        <row r="458">
          <cell r="A458" t="str">
            <v>10100205</v>
          </cell>
          <cell r="B458" t="str">
            <v>CREMA DULCE (GALON) DPR</v>
          </cell>
          <cell r="C458" t="str">
            <v xml:space="preserve">1 GALON </v>
          </cell>
          <cell r="D458" t="str">
            <v>05/03/2020</v>
          </cell>
          <cell r="E458">
            <v>9617</v>
          </cell>
          <cell r="F458" t="str">
            <v>Mililitro</v>
          </cell>
          <cell r="G458">
            <v>2.5408190224570673</v>
          </cell>
        </row>
        <row r="459">
          <cell r="A459" t="str">
            <v>10100260</v>
          </cell>
          <cell r="B459" t="str">
            <v>HIERBA BUENA GRANEL (KILO)</v>
          </cell>
          <cell r="C459" t="str">
            <v>1 KILO</v>
          </cell>
          <cell r="D459" t="str">
            <v>29/02/2020</v>
          </cell>
          <cell r="E459">
            <v>10000</v>
          </cell>
        </row>
        <row r="460">
          <cell r="A460" t="str">
            <v>10100132</v>
          </cell>
          <cell r="B460" t="str">
            <v>CHIPS RAICES EXOTICAS (CAJA:40 UND)</v>
          </cell>
          <cell r="C460" t="str">
            <v>1 CAJA</v>
          </cell>
          <cell r="D460" t="str">
            <v>03/03/2020</v>
          </cell>
          <cell r="E460">
            <v>10000</v>
          </cell>
        </row>
        <row r="461">
          <cell r="A461" t="str">
            <v>10100221</v>
          </cell>
          <cell r="B461" t="str">
            <v>SALSA SOYA KIKOMAN (GALON)</v>
          </cell>
          <cell r="C461" t="str">
            <v xml:space="preserve">1 GALON </v>
          </cell>
          <cell r="D461" t="str">
            <v>23/01/2020</v>
          </cell>
          <cell r="E461">
            <v>10050</v>
          </cell>
        </row>
        <row r="462">
          <cell r="A462" t="str">
            <v>10100122</v>
          </cell>
          <cell r="B462" t="str">
            <v>CANELA EN POLVO BADIA (UND: 1.82 K)</v>
          </cell>
          <cell r="C462" t="str">
            <v>1 UND</v>
          </cell>
          <cell r="D462" t="str">
            <v>27/02/2020</v>
          </cell>
          <cell r="E462">
            <v>10077</v>
          </cell>
          <cell r="F462" t="str">
            <v>Gramo</v>
          </cell>
          <cell r="G462">
            <v>5.5368131868131867</v>
          </cell>
        </row>
        <row r="463">
          <cell r="A463" t="str">
            <v>10100202</v>
          </cell>
          <cell r="B463" t="str">
            <v>HARINA PALATINA CORRIENTE (SACO:25 K)</v>
          </cell>
          <cell r="C463" t="str">
            <v>1 SACO</v>
          </cell>
          <cell r="D463" t="str">
            <v>29/02/2020</v>
          </cell>
          <cell r="E463">
            <v>10138.75</v>
          </cell>
          <cell r="F463" t="str">
            <v>Gramo</v>
          </cell>
          <cell r="G463">
            <v>0.40555000000000002</v>
          </cell>
        </row>
        <row r="464">
          <cell r="A464" t="str">
            <v>11300009</v>
          </cell>
          <cell r="B464" t="str">
            <v xml:space="preserve">CLARA DE HUEVO (CAJA:5 K) </v>
          </cell>
          <cell r="C464" t="str">
            <v>1 CAJA</v>
          </cell>
          <cell r="D464" t="str">
            <v>21/02/2020</v>
          </cell>
          <cell r="E464">
            <v>10175</v>
          </cell>
        </row>
        <row r="465">
          <cell r="A465" t="str">
            <v>109000125</v>
          </cell>
          <cell r="B465" t="str">
            <v>MARACUYA ( PAQ: 3 KILOS)</v>
          </cell>
          <cell r="C465" t="str">
            <v>1 PAQUETE</v>
          </cell>
          <cell r="D465" t="str">
            <v>30/01/2020</v>
          </cell>
          <cell r="E465">
            <v>10180</v>
          </cell>
        </row>
        <row r="466">
          <cell r="A466" t="str">
            <v>10200088</v>
          </cell>
          <cell r="B466" t="str">
            <v>RON ABUELO RESERVA (UND: LITRO)</v>
          </cell>
          <cell r="C466" t="str">
            <v>1 UND</v>
          </cell>
          <cell r="D466" t="str">
            <v>02/03/2020</v>
          </cell>
          <cell r="E466">
            <v>10200</v>
          </cell>
          <cell r="F466" t="str">
            <v>Mililitro</v>
          </cell>
          <cell r="G466">
            <v>10.199999999999999</v>
          </cell>
        </row>
        <row r="467">
          <cell r="A467" t="str">
            <v>10300019</v>
          </cell>
          <cell r="B467" t="str">
            <v>TOCINETA(PAQ:2 KILOS)</v>
          </cell>
          <cell r="C467" t="str">
            <v>1 PAQUETE</v>
          </cell>
          <cell r="D467" t="str">
            <v>04/03/2020</v>
          </cell>
          <cell r="E467">
            <v>10231.549999999999</v>
          </cell>
          <cell r="F467" t="str">
            <v>Gramo</v>
          </cell>
          <cell r="G467">
            <v>5.1157749999999993</v>
          </cell>
        </row>
        <row r="468">
          <cell r="A468" t="str">
            <v>10900060</v>
          </cell>
          <cell r="B468" t="str">
            <v>CEREZA ROJA C/TALLO MARASCH (UND:GALON)</v>
          </cell>
          <cell r="C468" t="str">
            <v>1 UND</v>
          </cell>
          <cell r="D468" t="str">
            <v>03/03/2020</v>
          </cell>
          <cell r="E468">
            <v>10266</v>
          </cell>
        </row>
        <row r="469">
          <cell r="A469" t="str">
            <v>1058121</v>
          </cell>
          <cell r="B469" t="str">
            <v>MORA CONG INPAK (39/80 GRS)</v>
          </cell>
          <cell r="C469" t="str">
            <v>1 PAQUETE</v>
          </cell>
          <cell r="D469" t="str">
            <v>17/12/2019</v>
          </cell>
          <cell r="E469">
            <v>10344</v>
          </cell>
        </row>
        <row r="470">
          <cell r="A470" t="str">
            <v>1210398</v>
          </cell>
          <cell r="B470" t="str">
            <v>TROZOS CHOCOLATE OSCURO (CAJA:1K)</v>
          </cell>
          <cell r="C470" t="str">
            <v xml:space="preserve">1 CAJA </v>
          </cell>
          <cell r="D470" t="str">
            <v>28/11/2019</v>
          </cell>
          <cell r="E470">
            <v>10362</v>
          </cell>
        </row>
        <row r="471">
          <cell r="A471" t="str">
            <v>1110363</v>
          </cell>
          <cell r="B471" t="str">
            <v>CEREZAS ROJAS C/TALLO (UND:1/2 g)</v>
          </cell>
          <cell r="C471" t="str">
            <v>1 UND</v>
          </cell>
          <cell r="D471" t="str">
            <v>17/12/2019</v>
          </cell>
          <cell r="E471">
            <v>10414</v>
          </cell>
          <cell r="F471" t="str">
            <v>Gramo</v>
          </cell>
          <cell r="G471">
            <v>6.5608199999999997</v>
          </cell>
        </row>
        <row r="472">
          <cell r="A472" t="str">
            <v>0910339</v>
          </cell>
          <cell r="B472" t="str">
            <v>VINAGRE VINO DE ARROZ (UND:3.785)</v>
          </cell>
          <cell r="C472" t="str">
            <v>1 UND</v>
          </cell>
          <cell r="D472" t="str">
            <v>22/02/2020</v>
          </cell>
          <cell r="E472">
            <v>10473</v>
          </cell>
        </row>
        <row r="473">
          <cell r="A473" t="str">
            <v>1210473</v>
          </cell>
          <cell r="B473" t="str">
            <v>CHOCOLATE HOJA OTOÑO (CAJA:150 UND)</v>
          </cell>
          <cell r="C473" t="str">
            <v xml:space="preserve">1 CAJA </v>
          </cell>
          <cell r="D473" t="str">
            <v>28/02/2020</v>
          </cell>
          <cell r="E473">
            <v>10500</v>
          </cell>
        </row>
        <row r="474">
          <cell r="A474" t="str">
            <v>510100</v>
          </cell>
          <cell r="B474" t="str">
            <v>ARROZ PRECOCIDO MI SABOR(BULTO:15 K)</v>
          </cell>
          <cell r="C474" t="str">
            <v>1 BULTO</v>
          </cell>
          <cell r="D474" t="str">
            <v>18/02/2020</v>
          </cell>
          <cell r="E474">
            <v>10515</v>
          </cell>
          <cell r="F474" t="str">
            <v>Gramo</v>
          </cell>
          <cell r="G474">
            <v>0.70099999999999996</v>
          </cell>
        </row>
        <row r="475">
          <cell r="A475" t="str">
            <v>0310146</v>
          </cell>
          <cell r="B475" t="str">
            <v>QUESO CREMA (UND:3.6 Kg)</v>
          </cell>
          <cell r="C475" t="str">
            <v>1 UND</v>
          </cell>
          <cell r="D475" t="str">
            <v>09/12/2019</v>
          </cell>
          <cell r="E475">
            <v>10553.66</v>
          </cell>
          <cell r="F475" t="str">
            <v>Gramo</v>
          </cell>
          <cell r="G475">
            <v>2.931572222222222</v>
          </cell>
        </row>
        <row r="476">
          <cell r="A476" t="str">
            <v>0510107</v>
          </cell>
          <cell r="B476" t="str">
            <v>HARINA HARISOL WINTER (25k)</v>
          </cell>
          <cell r="C476" t="str">
            <v>1 SACO</v>
          </cell>
          <cell r="D476" t="str">
            <v>27/02/2020</v>
          </cell>
          <cell r="E476">
            <v>10650</v>
          </cell>
          <cell r="F476" t="str">
            <v>Gramo</v>
          </cell>
          <cell r="G476">
            <v>0.42599999999999999</v>
          </cell>
        </row>
        <row r="477">
          <cell r="A477" t="str">
            <v>112000009</v>
          </cell>
          <cell r="B477" t="str">
            <v>MASECA GRANEL (SACO:20 K)</v>
          </cell>
          <cell r="C477" t="str">
            <v xml:space="preserve">1 SACO </v>
          </cell>
          <cell r="D477" t="str">
            <v>15/01/2020</v>
          </cell>
          <cell r="E477">
            <v>10747</v>
          </cell>
          <cell r="F477" t="str">
            <v>Gramo</v>
          </cell>
          <cell r="G477">
            <v>0.53734999999999999</v>
          </cell>
        </row>
        <row r="478">
          <cell r="A478" t="str">
            <v>0310116</v>
          </cell>
          <cell r="B478" t="str">
            <v>QUESO PARMERSANO (KILO)</v>
          </cell>
          <cell r="C478" t="str">
            <v>1 KILO</v>
          </cell>
          <cell r="D478" t="str">
            <v>21/02/2020</v>
          </cell>
          <cell r="E478">
            <v>10764.67</v>
          </cell>
          <cell r="F478" t="str">
            <v>Gramo</v>
          </cell>
          <cell r="G478">
            <v>10.764670000000001</v>
          </cell>
        </row>
        <row r="479">
          <cell r="A479" t="str">
            <v>1210397</v>
          </cell>
          <cell r="B479" t="str">
            <v>TROZOS CHOCOLATE BLANCO (CAJA:1 K)</v>
          </cell>
          <cell r="C479" t="str">
            <v xml:space="preserve">1 CAJA </v>
          </cell>
          <cell r="D479" t="str">
            <v>21/12/2019</v>
          </cell>
          <cell r="E479">
            <v>10858</v>
          </cell>
          <cell r="F479" t="str">
            <v>Gramo</v>
          </cell>
          <cell r="G479">
            <v>10.858000000000001</v>
          </cell>
        </row>
        <row r="480">
          <cell r="A480" t="str">
            <v>1210399</v>
          </cell>
          <cell r="B480" t="str">
            <v>TROZOS CHOCOLATE ROJO (CAJA:1K)</v>
          </cell>
          <cell r="C480" t="str">
            <v xml:space="preserve">1 CAJA </v>
          </cell>
          <cell r="D480" t="str">
            <v>21/12/2019</v>
          </cell>
          <cell r="E480">
            <v>10858</v>
          </cell>
        </row>
        <row r="481">
          <cell r="A481" t="str">
            <v>1010009</v>
          </cell>
          <cell r="B481" t="str">
            <v>CHILE CHIPOTLE COSTEÑA (UND:2.9 K)</v>
          </cell>
          <cell r="C481" t="str">
            <v>1 UND</v>
          </cell>
          <cell r="D481" t="str">
            <v>29/02/2020</v>
          </cell>
          <cell r="E481">
            <v>10930</v>
          </cell>
        </row>
        <row r="482">
          <cell r="A482" t="str">
            <v>10300017</v>
          </cell>
          <cell r="B482" t="str">
            <v xml:space="preserve">ROAST BEEF (PAQ:2 KILOS) </v>
          </cell>
          <cell r="C482" t="str">
            <v>1 PAQUETE</v>
          </cell>
          <cell r="D482" t="str">
            <v>04/02/2020</v>
          </cell>
          <cell r="E482">
            <v>11000</v>
          </cell>
          <cell r="F482" t="str">
            <v>Gramo</v>
          </cell>
          <cell r="G482">
            <v>5.5</v>
          </cell>
        </row>
        <row r="483">
          <cell r="A483" t="str">
            <v>1112431</v>
          </cell>
          <cell r="B483" t="str">
            <v>MANJAR LECHE CONDENSADA (PAQ: 4.5 K)</v>
          </cell>
          <cell r="C483" t="str">
            <v>1 PAQUETE</v>
          </cell>
          <cell r="D483" t="str">
            <v>03/03/2020</v>
          </cell>
          <cell r="E483">
            <v>11335</v>
          </cell>
          <cell r="F483" t="str">
            <v>Gramo</v>
          </cell>
          <cell r="G483">
            <v>2.5188888888888887</v>
          </cell>
        </row>
        <row r="484">
          <cell r="A484" t="str">
            <v>1210451</v>
          </cell>
          <cell r="B484" t="str">
            <v>CAPUCCINO  LATAM NESCAFE (PAQ:750 g)</v>
          </cell>
          <cell r="C484" t="str">
            <v>1 PAQUETE</v>
          </cell>
          <cell r="D484" t="str">
            <v>25/02/2020</v>
          </cell>
          <cell r="E484">
            <v>11682</v>
          </cell>
        </row>
        <row r="485">
          <cell r="A485" t="str">
            <v>102000038</v>
          </cell>
          <cell r="B485" t="str">
            <v>TE VERDE DE MANZANA (CAJA: 8 PAQ)</v>
          </cell>
          <cell r="C485" t="str">
            <v>1 CAJA</v>
          </cell>
          <cell r="D485" t="str">
            <v>18/02/2020</v>
          </cell>
          <cell r="E485">
            <v>11819</v>
          </cell>
        </row>
        <row r="486">
          <cell r="A486" t="str">
            <v>10100108</v>
          </cell>
          <cell r="B486" t="str">
            <v>EQUAL SUCRALOSA (CAJA=2000/UND)</v>
          </cell>
          <cell r="C486" t="str">
            <v>1 PAQUETE</v>
          </cell>
          <cell r="D486" t="str">
            <v>03/03/2020</v>
          </cell>
          <cell r="E486">
            <v>11945.85</v>
          </cell>
        </row>
        <row r="487">
          <cell r="A487" t="str">
            <v>0510188</v>
          </cell>
          <cell r="B487" t="str">
            <v>HARINA ESTANDAR  ( 25 KG )</v>
          </cell>
          <cell r="C487" t="str">
            <v>1 SACO</v>
          </cell>
          <cell r="D487" t="str">
            <v>27/02/2020</v>
          </cell>
          <cell r="E487">
            <v>12100</v>
          </cell>
          <cell r="F487" t="str">
            <v>Gramo</v>
          </cell>
          <cell r="G487">
            <v>0.48399999999999999</v>
          </cell>
        </row>
        <row r="488">
          <cell r="A488" t="str">
            <v>112000047</v>
          </cell>
          <cell r="B488" t="str">
            <v>EMPANIZADOR PANKO (PAQ: 3 K)</v>
          </cell>
          <cell r="C488" t="str">
            <v>1 PAQUETE</v>
          </cell>
          <cell r="D488" t="str">
            <v>28/02/2020</v>
          </cell>
          <cell r="E488">
            <v>12119</v>
          </cell>
        </row>
        <row r="489">
          <cell r="A489" t="str">
            <v>1200003</v>
          </cell>
          <cell r="B489" t="str">
            <v>CHOCOLATE OSCURO BLOSSOMS (KILO)</v>
          </cell>
          <cell r="C489" t="str">
            <v xml:space="preserve">1 KILO </v>
          </cell>
          <cell r="D489" t="str">
            <v>05/03/2020</v>
          </cell>
          <cell r="E489">
            <v>12324</v>
          </cell>
          <cell r="F489" t="str">
            <v>Gramo</v>
          </cell>
          <cell r="G489">
            <v>12.324</v>
          </cell>
        </row>
        <row r="490">
          <cell r="A490" t="str">
            <v>410118</v>
          </cell>
          <cell r="B490" t="str">
            <v>BRILLO GLIT (UND:5 KILOS)</v>
          </cell>
          <cell r="C490" t="str">
            <v>1 UND</v>
          </cell>
          <cell r="D490" t="str">
            <v>22/02/2020</v>
          </cell>
          <cell r="E490">
            <v>12360</v>
          </cell>
          <cell r="F490" t="str">
            <v>Gramo</v>
          </cell>
          <cell r="G490">
            <v>2.472</v>
          </cell>
        </row>
        <row r="491">
          <cell r="A491" t="str">
            <v>111000002</v>
          </cell>
          <cell r="B491" t="str">
            <v xml:space="preserve">ACEITE DE SESAMO (UND:1656 ml) </v>
          </cell>
          <cell r="C491" t="str">
            <v>1 UND</v>
          </cell>
          <cell r="D491" t="str">
            <v>21/01/2020</v>
          </cell>
          <cell r="E491">
            <v>12852.8</v>
          </cell>
        </row>
        <row r="492">
          <cell r="A492" t="str">
            <v>1210495</v>
          </cell>
          <cell r="B492" t="str">
            <v>CHOCOLATE TRIANGULO CURVO (CAJA:150 UND)</v>
          </cell>
          <cell r="C492" t="str">
            <v>1 CAJA</v>
          </cell>
          <cell r="D492" t="str">
            <v>02/03/2020</v>
          </cell>
          <cell r="E492">
            <v>12946</v>
          </cell>
          <cell r="F492" t="str">
            <v>UND</v>
          </cell>
          <cell r="G492">
            <v>86.306666666666672</v>
          </cell>
        </row>
        <row r="493">
          <cell r="A493" t="str">
            <v>120000012</v>
          </cell>
          <cell r="B493" t="str">
            <v>ARO CHOCOLATE BLANCO (CAJA:150 UND)</v>
          </cell>
          <cell r="C493" t="str">
            <v>1 CAJA</v>
          </cell>
          <cell r="D493" t="str">
            <v>03/12/2019</v>
          </cell>
          <cell r="E493">
            <v>12951</v>
          </cell>
        </row>
        <row r="494">
          <cell r="A494" t="str">
            <v>20300007</v>
          </cell>
          <cell r="B494" t="str">
            <v>CUCHARA CHOCOLATE BELGA (CAJA:20 UND)</v>
          </cell>
          <cell r="C494" t="str">
            <v>1 CAJA</v>
          </cell>
          <cell r="D494" t="str">
            <v>08/02/2020</v>
          </cell>
          <cell r="E494">
            <v>13000</v>
          </cell>
        </row>
        <row r="495">
          <cell r="A495" t="str">
            <v>11200064</v>
          </cell>
          <cell r="B495" t="str">
            <v>HARINA TRIGO NACARINA (SACO: 25 K)</v>
          </cell>
          <cell r="C495" t="str">
            <v>1 SACO</v>
          </cell>
          <cell r="D495" t="str">
            <v>29/02/2020</v>
          </cell>
          <cell r="E495">
            <v>13104</v>
          </cell>
          <cell r="F495" t="str">
            <v>Gramo</v>
          </cell>
          <cell r="G495">
            <v>0.52415999999999996</v>
          </cell>
        </row>
        <row r="496">
          <cell r="A496" t="str">
            <v>1730660</v>
          </cell>
          <cell r="B496" t="str">
            <v>QUESO CREMA PANADERO (CAJA: 5 K)</v>
          </cell>
          <cell r="C496" t="str">
            <v>1 CAJA</v>
          </cell>
          <cell r="D496" t="str">
            <v>03/03/2020</v>
          </cell>
          <cell r="E496">
            <v>13214.31</v>
          </cell>
        </row>
        <row r="497">
          <cell r="A497" t="str">
            <v>105000047</v>
          </cell>
          <cell r="B497" t="str">
            <v>CLAVOS DE OLOR MOLIDO (UND:453G)</v>
          </cell>
          <cell r="C497" t="str">
            <v>1 UND</v>
          </cell>
          <cell r="D497" t="str">
            <v>10/12/2019</v>
          </cell>
          <cell r="E497">
            <v>13229</v>
          </cell>
          <cell r="F497" t="str">
            <v>Gramo</v>
          </cell>
          <cell r="G497">
            <v>29.203090507726269</v>
          </cell>
        </row>
        <row r="498">
          <cell r="A498" t="str">
            <v>1210402</v>
          </cell>
          <cell r="B498" t="str">
            <v>MARGARINA BLOQUE 12.5 KILOS</v>
          </cell>
          <cell r="C498" t="str">
            <v>1 CAJA</v>
          </cell>
          <cell r="D498" t="str">
            <v>16/01/2020</v>
          </cell>
          <cell r="E498">
            <v>13472</v>
          </cell>
        </row>
        <row r="499">
          <cell r="A499" t="str">
            <v>10700023</v>
          </cell>
          <cell r="B499" t="str">
            <v>CHOCOLATE CORAZON GRANDE ORO(CJ:215 UND)</v>
          </cell>
          <cell r="C499" t="str">
            <v>1 CAJA</v>
          </cell>
          <cell r="D499" t="str">
            <v>03/12/2019</v>
          </cell>
          <cell r="E499">
            <v>13772.9</v>
          </cell>
        </row>
        <row r="500">
          <cell r="A500" t="str">
            <v>10100174</v>
          </cell>
          <cell r="B500" t="str">
            <v>FRIJOL NEGRO TIO PELON (BULTO:15/800 G)</v>
          </cell>
          <cell r="C500" t="str">
            <v>1 BULTO</v>
          </cell>
          <cell r="D500" t="str">
            <v>03/03/2020</v>
          </cell>
          <cell r="E500">
            <v>13881</v>
          </cell>
          <cell r="F500" t="str">
            <v>Gramo</v>
          </cell>
          <cell r="G500">
            <v>1.1567499999999999</v>
          </cell>
        </row>
        <row r="501">
          <cell r="A501" t="str">
            <v>10100049</v>
          </cell>
          <cell r="B501" t="str">
            <v>ACEITE LIBRE TRANS INOLAS (UND:15.88 L)</v>
          </cell>
          <cell r="C501" t="str">
            <v>1 UND</v>
          </cell>
          <cell r="D501" t="str">
            <v>03/03/2020</v>
          </cell>
          <cell r="E501">
            <v>14124</v>
          </cell>
        </row>
        <row r="502">
          <cell r="A502" t="str">
            <v>1012341</v>
          </cell>
          <cell r="B502" t="str">
            <v>BAILEYS (BOTELLA=1 LITRO)</v>
          </cell>
          <cell r="C502" t="str">
            <v>1 UND</v>
          </cell>
          <cell r="D502" t="str">
            <v>12/02/2020</v>
          </cell>
          <cell r="E502">
            <v>14188</v>
          </cell>
        </row>
        <row r="503">
          <cell r="A503" t="str">
            <v>10100183</v>
          </cell>
          <cell r="B503" t="str">
            <v>ADEREZO MAYONESA (UND 10 K)</v>
          </cell>
          <cell r="C503" t="str">
            <v>1 UND</v>
          </cell>
          <cell r="D503" t="str">
            <v>18/02/2020</v>
          </cell>
          <cell r="E503">
            <v>14751</v>
          </cell>
        </row>
        <row r="504">
          <cell r="A504" t="str">
            <v>10100206</v>
          </cell>
          <cell r="B504" t="str">
            <v>SUSTITUTO SUCRALOSA (PAQ: 5 KILOS)</v>
          </cell>
          <cell r="C504" t="str">
            <v>1 PAQUETE</v>
          </cell>
          <cell r="D504" t="str">
            <v>17/02/2020</v>
          </cell>
          <cell r="E504">
            <v>14914.13</v>
          </cell>
        </row>
        <row r="505">
          <cell r="A505" t="str">
            <v>1210494</v>
          </cell>
          <cell r="B505" t="str">
            <v>CUCHARA CHOCOLATE (CAJA: 25 UND)</v>
          </cell>
          <cell r="C505" t="str">
            <v>1 CAJA</v>
          </cell>
          <cell r="D505" t="str">
            <v>28/02/2020</v>
          </cell>
          <cell r="E505">
            <v>14975</v>
          </cell>
        </row>
        <row r="506">
          <cell r="A506" t="str">
            <v>1210387</v>
          </cell>
          <cell r="B506" t="str">
            <v>COBERTURA CHOCOLATE BLANCO (PAQ:5 K)</v>
          </cell>
          <cell r="C506" t="str">
            <v>1 PAQUETE</v>
          </cell>
          <cell r="D506" t="str">
            <v>03/03/2020</v>
          </cell>
          <cell r="E506">
            <v>15065</v>
          </cell>
          <cell r="F506" t="str">
            <v>Gramo</v>
          </cell>
          <cell r="G506">
            <v>3.0129999999999999</v>
          </cell>
        </row>
        <row r="507">
          <cell r="A507" t="str">
            <v>01011701</v>
          </cell>
          <cell r="B507" t="str">
            <v>PAPA PREFRITA CORTE RECTO 5/16" NG 6/5 L</v>
          </cell>
          <cell r="C507" t="str">
            <v>1 CAJA</v>
          </cell>
          <cell r="D507" t="str">
            <v>10/12/2019</v>
          </cell>
          <cell r="E507">
            <v>15161</v>
          </cell>
        </row>
        <row r="508">
          <cell r="A508" t="str">
            <v>10700015</v>
          </cell>
          <cell r="B508" t="str">
            <v>CHOCOLATE ESTRELLA DORADA (CAJA:215 UN)</v>
          </cell>
          <cell r="C508" t="str">
            <v>1 CAJA</v>
          </cell>
          <cell r="D508" t="str">
            <v>28/02/2020</v>
          </cell>
          <cell r="E508">
            <v>15265</v>
          </cell>
        </row>
        <row r="509">
          <cell r="A509" t="str">
            <v>10100050</v>
          </cell>
          <cell r="B509" t="str">
            <v>ACEITE CAPULLO RBD (UND:17  L)</v>
          </cell>
          <cell r="C509" t="str">
            <v>1 UND</v>
          </cell>
          <cell r="D509" t="str">
            <v>03/03/2020</v>
          </cell>
          <cell r="E509">
            <v>15310</v>
          </cell>
          <cell r="F509" t="str">
            <v>Mililitro</v>
          </cell>
          <cell r="G509">
            <v>0.90058823529411769</v>
          </cell>
        </row>
        <row r="510">
          <cell r="A510" t="str">
            <v>10100068</v>
          </cell>
          <cell r="B510" t="str">
            <v>PAPITA RAYADA (PAQ:1.5 KILOS)</v>
          </cell>
          <cell r="C510" t="str">
            <v>1 PAQUETE</v>
          </cell>
          <cell r="D510" t="str">
            <v>29/02/2020</v>
          </cell>
          <cell r="E510">
            <v>15600</v>
          </cell>
        </row>
        <row r="511">
          <cell r="A511" t="str">
            <v>710295</v>
          </cell>
          <cell r="B511" t="str">
            <v>BARQUILLO VETEAD CHOCOLAT (CAJA:420 UND)</v>
          </cell>
          <cell r="C511" t="str">
            <v xml:space="preserve">1 CAJA </v>
          </cell>
          <cell r="D511" t="str">
            <v>07/01/2020</v>
          </cell>
          <cell r="E511">
            <v>15740</v>
          </cell>
          <cell r="F511" t="str">
            <v>UND</v>
          </cell>
          <cell r="G511">
            <v>37.476190476190474</v>
          </cell>
        </row>
        <row r="512">
          <cell r="A512" t="str">
            <v>1210441</v>
          </cell>
          <cell r="B512" t="str">
            <v>HUEVO LIQUIDO REFRIG (UND:13.6 K)</v>
          </cell>
          <cell r="C512" t="str">
            <v>1 UND</v>
          </cell>
          <cell r="D512" t="str">
            <v>03/03/2020</v>
          </cell>
          <cell r="E512">
            <v>15814</v>
          </cell>
          <cell r="F512" t="str">
            <v>Gramo</v>
          </cell>
          <cell r="G512">
            <v>1.1627941176470589</v>
          </cell>
        </row>
        <row r="513">
          <cell r="A513" t="str">
            <v>10100171</v>
          </cell>
          <cell r="B513" t="str">
            <v>LECHE CONDENSADA COCINADA ( PAQ:4 K)</v>
          </cell>
          <cell r="C513" t="str">
            <v>1 PAQUETE</v>
          </cell>
          <cell r="D513" t="str">
            <v>15/02/2020</v>
          </cell>
          <cell r="E513">
            <v>16180</v>
          </cell>
        </row>
        <row r="514">
          <cell r="A514" t="str">
            <v>1210396</v>
          </cell>
          <cell r="B514" t="str">
            <v>CHOCOLATE LECHE BELCOLADE (PAQ:2.5 K)</v>
          </cell>
          <cell r="C514" t="str">
            <v>1 PAQUETE</v>
          </cell>
          <cell r="D514" t="str">
            <v>22/02/2020</v>
          </cell>
          <cell r="E514">
            <v>16260</v>
          </cell>
          <cell r="F514" t="str">
            <v>Gramo</v>
          </cell>
          <cell r="G514">
            <v>6.5039999999999996</v>
          </cell>
        </row>
        <row r="515">
          <cell r="A515" t="str">
            <v>10100278</v>
          </cell>
          <cell r="B515" t="str">
            <v>ARROZ LUISINA 95% PRECOCIDO (BULTO:20 K)</v>
          </cell>
          <cell r="C515" t="str">
            <v>1 BULTO</v>
          </cell>
          <cell r="D515" t="str">
            <v>20/02/2020</v>
          </cell>
          <cell r="E515">
            <v>16394</v>
          </cell>
        </row>
        <row r="516">
          <cell r="A516" t="str">
            <v>510151</v>
          </cell>
          <cell r="B516" t="str">
            <v>ARROZ TIO PELON 96% (BULTO:12/1.8 K)</v>
          </cell>
          <cell r="C516" t="str">
            <v>1 BULTO</v>
          </cell>
          <cell r="D516" t="str">
            <v>29/02/2020</v>
          </cell>
          <cell r="E516">
            <v>16771</v>
          </cell>
        </row>
        <row r="517">
          <cell r="A517" t="str">
            <v>102000036</v>
          </cell>
          <cell r="B517" t="str">
            <v>CAFE INSTANTANEO CLASICO (UND:1 K)</v>
          </cell>
          <cell r="C517" t="str">
            <v>1 UND</v>
          </cell>
          <cell r="D517" t="str">
            <v>14/12/2019</v>
          </cell>
          <cell r="E517">
            <v>16976</v>
          </cell>
          <cell r="F517" t="str">
            <v>Gramo</v>
          </cell>
          <cell r="G517">
            <v>16.975999999999999</v>
          </cell>
        </row>
        <row r="518">
          <cell r="A518" t="str">
            <v>1010008</v>
          </cell>
          <cell r="B518" t="str">
            <v>VINAGRE BALSAMICO ROLAND (UND:5 L)</v>
          </cell>
          <cell r="C518" t="str">
            <v>1 UND</v>
          </cell>
          <cell r="D518" t="str">
            <v>28/01/2020</v>
          </cell>
          <cell r="E518">
            <v>17000</v>
          </cell>
        </row>
        <row r="519">
          <cell r="A519" t="str">
            <v>10100197</v>
          </cell>
          <cell r="B519" t="str">
            <v>ARROZ PRECOC 95%TIO PELON (BULT:10/1.8K)</v>
          </cell>
          <cell r="C519" t="str">
            <v>1 BULTO</v>
          </cell>
          <cell r="D519" t="str">
            <v>16/01/2020</v>
          </cell>
          <cell r="E519">
            <v>17137</v>
          </cell>
        </row>
        <row r="520">
          <cell r="A520" t="str">
            <v>0510287</v>
          </cell>
          <cell r="B520" t="str">
            <v>PREMEZCLA TEGRAL CHIFON (SACO:10K)</v>
          </cell>
          <cell r="C520" t="str">
            <v>1 SACO</v>
          </cell>
          <cell r="D520" t="str">
            <v>29/02/2020</v>
          </cell>
          <cell r="E520">
            <v>17300</v>
          </cell>
        </row>
        <row r="521">
          <cell r="A521" t="str">
            <v>1210394</v>
          </cell>
          <cell r="B521" t="str">
            <v>CHOCOLATE BLANCO BELCOLAD (PAQ:2.5 K)</v>
          </cell>
          <cell r="C521" t="str">
            <v>1 PAQ</v>
          </cell>
          <cell r="D521" t="str">
            <v>27/02/2020</v>
          </cell>
          <cell r="E521">
            <v>17400</v>
          </cell>
        </row>
        <row r="522">
          <cell r="A522" t="str">
            <v>0510185</v>
          </cell>
          <cell r="B522" t="str">
            <v>FRUTA CONFITADA (CAJA:10 K)</v>
          </cell>
          <cell r="C522" t="str">
            <v>1 CAJA</v>
          </cell>
          <cell r="D522" t="str">
            <v>27/02/2020</v>
          </cell>
          <cell r="E522">
            <v>17420</v>
          </cell>
        </row>
        <row r="523">
          <cell r="A523" t="str">
            <v>11300011</v>
          </cell>
          <cell r="B523" t="str">
            <v>YEMA DE HUEVO (UND: 8.34 K)</v>
          </cell>
          <cell r="C523" t="str">
            <v>1 UND</v>
          </cell>
          <cell r="D523" t="str">
            <v>05/03/2020</v>
          </cell>
          <cell r="E523">
            <v>17514</v>
          </cell>
        </row>
        <row r="524">
          <cell r="A524" t="str">
            <v>1110419</v>
          </cell>
          <cell r="B524" t="str">
            <v>ANCHOAS FILETAEADAS EN ACEITE (UND:700g)</v>
          </cell>
          <cell r="C524" t="str">
            <v>1 UND</v>
          </cell>
          <cell r="D524" t="str">
            <v>11/02/2020</v>
          </cell>
          <cell r="E524">
            <v>17710</v>
          </cell>
        </row>
        <row r="525">
          <cell r="A525" t="str">
            <v>1012301</v>
          </cell>
          <cell r="B525" t="str">
            <v>VINO TINTO PETER CABERNET SAUV (UND:5L)</v>
          </cell>
          <cell r="C525" t="str">
            <v>1 UND</v>
          </cell>
          <cell r="D525" t="str">
            <v>21/02/2020</v>
          </cell>
          <cell r="E525">
            <v>17839.66</v>
          </cell>
          <cell r="F525" t="str">
            <v>Mililitro</v>
          </cell>
          <cell r="G525">
            <v>3.5679319999999999</v>
          </cell>
        </row>
        <row r="526">
          <cell r="A526" t="str">
            <v>1012431</v>
          </cell>
          <cell r="B526" t="str">
            <v>VINO BLANCO PETER CABERNET SAU (UND:5L)</v>
          </cell>
          <cell r="C526" t="str">
            <v>1 UND</v>
          </cell>
          <cell r="D526" t="str">
            <v>28/02/2020</v>
          </cell>
          <cell r="E526">
            <v>17839.66</v>
          </cell>
          <cell r="F526" t="str">
            <v>Mililitro</v>
          </cell>
          <cell r="G526">
            <v>3.5679319999999999</v>
          </cell>
        </row>
        <row r="527">
          <cell r="A527" t="str">
            <v>107000015</v>
          </cell>
          <cell r="B527" t="str">
            <v>PALITO CHOCOLATE OSCURO (CAJA:110 UND)</v>
          </cell>
          <cell r="C527" t="str">
            <v>1 CAJA</v>
          </cell>
          <cell r="D527" t="str">
            <v>30/11/2019</v>
          </cell>
          <cell r="E527">
            <v>17858</v>
          </cell>
        </row>
        <row r="528">
          <cell r="A528" t="str">
            <v>1020000471</v>
          </cell>
          <cell r="B528" t="str">
            <v>AGUA PERRIER (CAJA:24 UND)</v>
          </cell>
          <cell r="C528" t="str">
            <v>1 CAJA</v>
          </cell>
          <cell r="D528" t="str">
            <v>27/01/2020</v>
          </cell>
          <cell r="E528">
            <v>17899.900000000001</v>
          </cell>
        </row>
        <row r="529">
          <cell r="A529" t="str">
            <v>1210461</v>
          </cell>
          <cell r="B529" t="str">
            <v>CHOCOLATE TULIPAN MARMOL (CAJA:150 UND)</v>
          </cell>
          <cell r="C529" t="str">
            <v xml:space="preserve">1 CAJA </v>
          </cell>
          <cell r="D529" t="str">
            <v>28/02/2020</v>
          </cell>
          <cell r="E529">
            <v>18000</v>
          </cell>
        </row>
        <row r="530">
          <cell r="A530" t="str">
            <v>10700032</v>
          </cell>
          <cell r="B530" t="str">
            <v>MERENGUE  POLVO MERCK BAKE (PAQ:2.27 K)</v>
          </cell>
          <cell r="C530" t="str">
            <v>1 PAQUETE</v>
          </cell>
          <cell r="D530" t="str">
            <v>01/02/2020</v>
          </cell>
          <cell r="E530">
            <v>18350</v>
          </cell>
          <cell r="F530" t="str">
            <v>Gramo</v>
          </cell>
          <cell r="G530">
            <v>8.0837004405286343</v>
          </cell>
        </row>
        <row r="531">
          <cell r="A531" t="str">
            <v>0310115</v>
          </cell>
          <cell r="B531" t="str">
            <v>QUESO CHEDDAR BLOCK (UND:2 kg)</v>
          </cell>
          <cell r="C531" t="str">
            <v>1 UND</v>
          </cell>
          <cell r="D531" t="str">
            <v>27/02/2020</v>
          </cell>
          <cell r="E531">
            <v>18641</v>
          </cell>
        </row>
        <row r="532">
          <cell r="A532" t="str">
            <v>10100162</v>
          </cell>
          <cell r="B532" t="str">
            <v>ARROZ BASMATI (PAQ:11 LB)</v>
          </cell>
          <cell r="C532" t="str">
            <v>1 PAQUETE</v>
          </cell>
          <cell r="D532" t="str">
            <v>09/12/2019</v>
          </cell>
          <cell r="E532">
            <v>19119</v>
          </cell>
        </row>
        <row r="533">
          <cell r="A533" t="str">
            <v>118000014</v>
          </cell>
          <cell r="B533" t="str">
            <v>SABORIZANTE MENTA (KILO)</v>
          </cell>
          <cell r="C533" t="str">
            <v xml:space="preserve">1 KILO </v>
          </cell>
          <cell r="D533" t="str">
            <v>07/02/2020</v>
          </cell>
          <cell r="E533">
            <v>19158.57</v>
          </cell>
          <cell r="F533" t="str">
            <v>Gramo</v>
          </cell>
          <cell r="G533">
            <v>19.158570000000001</v>
          </cell>
        </row>
        <row r="534">
          <cell r="A534" t="str">
            <v>11800012</v>
          </cell>
          <cell r="B534" t="str">
            <v>SABORIZANTE NARANJA A-0191 KILO</v>
          </cell>
          <cell r="C534" t="str">
            <v xml:space="preserve">1 KILO   </v>
          </cell>
          <cell r="D534" t="str">
            <v>17/12/2019</v>
          </cell>
          <cell r="E534">
            <v>19177.54</v>
          </cell>
        </row>
        <row r="535">
          <cell r="A535" t="str">
            <v>109000124</v>
          </cell>
          <cell r="B535" t="str">
            <v>PITAHAYA INPAK (PAQ: 3 KILOS)</v>
          </cell>
          <cell r="C535" t="str">
            <v>1 PAQUETE</v>
          </cell>
          <cell r="D535" t="str">
            <v>30/01/2020</v>
          </cell>
          <cell r="E535">
            <v>19402</v>
          </cell>
        </row>
        <row r="536">
          <cell r="A536" t="str">
            <v>510301</v>
          </cell>
          <cell r="B536" t="str">
            <v>AZUCAR BLANCO INDUSTRIAL (SACO:50 K)</v>
          </cell>
          <cell r="C536" t="str">
            <v>1 SACO</v>
          </cell>
          <cell r="D536" t="str">
            <v>03/03/2020</v>
          </cell>
          <cell r="E536">
            <v>19517</v>
          </cell>
          <cell r="F536" t="str">
            <v>Gramo</v>
          </cell>
          <cell r="G536">
            <v>0.39034000000000002</v>
          </cell>
        </row>
        <row r="537">
          <cell r="A537" t="str">
            <v>10100255</v>
          </cell>
          <cell r="B537" t="str">
            <v>PAPA GAJO CASCARA HIERBA (CAJA:4/2.5k)</v>
          </cell>
          <cell r="C537" t="str">
            <v>1 CAJA</v>
          </cell>
          <cell r="D537" t="str">
            <v>19/12/2019</v>
          </cell>
          <cell r="E537">
            <v>19540</v>
          </cell>
        </row>
        <row r="538">
          <cell r="A538" t="str">
            <v>11400042</v>
          </cell>
          <cell r="B538" t="str">
            <v>BEBIDA ALMENDRA VAINILLA(CAJA=24 UND 236</v>
          </cell>
          <cell r="C538" t="str">
            <v>1 CAJA</v>
          </cell>
          <cell r="D538" t="str">
            <v>29/11/2019</v>
          </cell>
          <cell r="E538">
            <v>19667</v>
          </cell>
        </row>
        <row r="539">
          <cell r="A539" t="str">
            <v>1070002</v>
          </cell>
          <cell r="B539" t="str">
            <v>CHOCOLATE TRIAN OLEA  PEQ (CAJA:250 UND)</v>
          </cell>
          <cell r="C539" t="str">
            <v>1 CAJA</v>
          </cell>
          <cell r="D539" t="str">
            <v>21/02/2020</v>
          </cell>
          <cell r="E539">
            <v>20768</v>
          </cell>
        </row>
        <row r="540">
          <cell r="A540" t="str">
            <v>11400046</v>
          </cell>
          <cell r="B540" t="str">
            <v>LECHE CONDENSADA (PAQ:11 K)</v>
          </cell>
          <cell r="C540" t="str">
            <v>1 PAQUETE</v>
          </cell>
          <cell r="D540" t="str">
            <v>03/03/2020</v>
          </cell>
          <cell r="E540">
            <v>21499</v>
          </cell>
          <cell r="F540" t="str">
            <v>Gramo</v>
          </cell>
          <cell r="G540">
            <v>1.9544545454545454</v>
          </cell>
        </row>
        <row r="541">
          <cell r="A541" t="str">
            <v>510302</v>
          </cell>
          <cell r="B541" t="str">
            <v>AZUCAR REFINO INDUSTRIAL (SACO:50 K)</v>
          </cell>
          <cell r="C541" t="str">
            <v>1 SACO</v>
          </cell>
          <cell r="D541" t="str">
            <v>25/02/2020</v>
          </cell>
          <cell r="E541">
            <v>21982</v>
          </cell>
        </row>
        <row r="542">
          <cell r="A542" t="str">
            <v>11200048</v>
          </cell>
          <cell r="B542" t="str">
            <v>PREMEZCLA TEGRAL QQ CHOCOLATE (SACO:20K)</v>
          </cell>
          <cell r="C542" t="str">
            <v>1 SACO</v>
          </cell>
          <cell r="D542" t="str">
            <v>02/03/2020</v>
          </cell>
          <cell r="E542">
            <v>22000</v>
          </cell>
        </row>
        <row r="543">
          <cell r="A543" t="str">
            <v>10100245</v>
          </cell>
          <cell r="B543" t="str">
            <v>PREMEZCLA VAINILLA RICHS (SACO:30 LBS)</v>
          </cell>
          <cell r="C543" t="str">
            <v>1 SACO</v>
          </cell>
          <cell r="D543" t="str">
            <v>29/02/2020</v>
          </cell>
          <cell r="E543">
            <v>22255</v>
          </cell>
          <cell r="F543" t="str">
            <v>Gramo</v>
          </cell>
          <cell r="G543">
            <v>1.635435038212816</v>
          </cell>
        </row>
        <row r="544">
          <cell r="A544" t="str">
            <v>1210386</v>
          </cell>
          <cell r="B544" t="str">
            <v>COBERTURA CHOCOLATE LECHE (PAQ:5 K)</v>
          </cell>
          <cell r="C544" t="str">
            <v>1 PAQUETE</v>
          </cell>
          <cell r="D544" t="str">
            <v>15/02/2020</v>
          </cell>
          <cell r="E544">
            <v>22340</v>
          </cell>
          <cell r="F544" t="str">
            <v>Gramo</v>
          </cell>
          <cell r="G544">
            <v>4.468</v>
          </cell>
        </row>
        <row r="545">
          <cell r="A545" t="str">
            <v>1210401</v>
          </cell>
          <cell r="B545" t="str">
            <v>MANTECA MAX PAN (CAJA:25 k)</v>
          </cell>
          <cell r="C545" t="str">
            <v>1 CAJA</v>
          </cell>
          <cell r="D545" t="str">
            <v>03/03/2020</v>
          </cell>
          <cell r="E545">
            <v>22352</v>
          </cell>
          <cell r="F545" t="str">
            <v>Gramo</v>
          </cell>
          <cell r="G545">
            <v>0.89407999999999999</v>
          </cell>
        </row>
        <row r="546">
          <cell r="A546" t="str">
            <v>1210464</v>
          </cell>
          <cell r="B546" t="str">
            <v>CHOCOLATE TRIAN OLEAJE GRD (CAJA:200 UN)</v>
          </cell>
          <cell r="C546" t="str">
            <v>1 CAJA</v>
          </cell>
          <cell r="D546" t="str">
            <v>28/02/2020</v>
          </cell>
          <cell r="E546">
            <v>23000</v>
          </cell>
          <cell r="F546" t="str">
            <v>und</v>
          </cell>
          <cell r="G546">
            <v>115</v>
          </cell>
        </row>
        <row r="547">
          <cell r="A547" t="str">
            <v>12300004</v>
          </cell>
          <cell r="B547" t="str">
            <v>PURE PAPA KFC 24/22.05OZ (CAJA)</v>
          </cell>
          <cell r="C547" t="str">
            <v>1 CAJA</v>
          </cell>
          <cell r="D547" t="str">
            <v>06/02/2020</v>
          </cell>
          <cell r="E547">
            <v>23715</v>
          </cell>
        </row>
        <row r="548">
          <cell r="A548" t="str">
            <v>310218</v>
          </cell>
          <cell r="B548" t="str">
            <v>LA LECHERA TRES LECHES (CAJA:12 UND)</v>
          </cell>
          <cell r="C548" t="str">
            <v>1 CAJA</v>
          </cell>
          <cell r="D548" t="str">
            <v>27/02/2020</v>
          </cell>
          <cell r="E548">
            <v>24367</v>
          </cell>
        </row>
        <row r="549">
          <cell r="A549" t="str">
            <v>0510258</v>
          </cell>
          <cell r="B549" t="str">
            <v>PREMEZCLA MOIST PUDIN CAKE (SACO:24.7 K)</v>
          </cell>
          <cell r="C549" t="str">
            <v>1 SACO</v>
          </cell>
          <cell r="D549" t="str">
            <v>15/02/2020</v>
          </cell>
          <cell r="E549">
            <v>24875</v>
          </cell>
          <cell r="F549" t="str">
            <v>Gramo</v>
          </cell>
          <cell r="G549">
            <v>1.0070850202429149</v>
          </cell>
        </row>
        <row r="550">
          <cell r="A550" t="str">
            <v>1700001</v>
          </cell>
          <cell r="B550" t="str">
            <v>SABORIZANTE LIMON ESPAÑA (KILO)</v>
          </cell>
          <cell r="C550" t="str">
            <v>1 KILO</v>
          </cell>
          <cell r="D550" t="str">
            <v>26/02/2020</v>
          </cell>
          <cell r="E550">
            <v>24998.58</v>
          </cell>
        </row>
        <row r="551">
          <cell r="A551" t="str">
            <v>11200067</v>
          </cell>
          <cell r="B551" t="str">
            <v>PREMEZCLA PUDING CAKE PILLSB (SC:22.6 K)</v>
          </cell>
          <cell r="C551" t="str">
            <v>1 SACO</v>
          </cell>
          <cell r="D551" t="str">
            <v>24/02/2020</v>
          </cell>
          <cell r="E551">
            <v>25120</v>
          </cell>
        </row>
        <row r="552">
          <cell r="A552" t="str">
            <v>10100251</v>
          </cell>
          <cell r="B552" t="str">
            <v>PULPA AGUACATE (CAJA:4 PAQ)</v>
          </cell>
          <cell r="C552" t="str">
            <v>1 CAJA</v>
          </cell>
          <cell r="D552" t="str">
            <v>08/11/2019</v>
          </cell>
          <cell r="E552">
            <v>25127</v>
          </cell>
        </row>
        <row r="553">
          <cell r="A553" t="str">
            <v>10700031</v>
          </cell>
          <cell r="B553" t="str">
            <v>WHITE SHINY (UND:10.43 K)</v>
          </cell>
          <cell r="C553" t="str">
            <v>1 UND</v>
          </cell>
          <cell r="D553" t="str">
            <v>23/11/2019</v>
          </cell>
          <cell r="E553">
            <v>25707</v>
          </cell>
        </row>
        <row r="554">
          <cell r="A554" t="str">
            <v>11200043</v>
          </cell>
          <cell r="B554" t="str">
            <v>PREMEZCLA TEGRAL QQ VAINILLA (SACO:25K)</v>
          </cell>
          <cell r="C554" t="str">
            <v>1 SACO</v>
          </cell>
          <cell r="D554" t="str">
            <v>15/02/2020</v>
          </cell>
          <cell r="E554">
            <v>25750</v>
          </cell>
        </row>
        <row r="555">
          <cell r="A555" t="str">
            <v>720761</v>
          </cell>
          <cell r="B555" t="str">
            <v>RELLENO MANZANA CUBITOS (UND:19 LB)</v>
          </cell>
          <cell r="C555" t="str">
            <v>1 UND</v>
          </cell>
          <cell r="D555" t="str">
            <v>08/02/2020</v>
          </cell>
          <cell r="E555">
            <v>26082</v>
          </cell>
        </row>
        <row r="556">
          <cell r="A556" t="str">
            <v>0510229</v>
          </cell>
          <cell r="B556" t="str">
            <v>HARINA NACARINA (SACO: 50 K)</v>
          </cell>
          <cell r="C556" t="str">
            <v>1 SACO</v>
          </cell>
          <cell r="D556" t="str">
            <v>30/11/2019</v>
          </cell>
          <cell r="E556">
            <v>26207</v>
          </cell>
          <cell r="F556" t="str">
            <v>Gramo</v>
          </cell>
          <cell r="G556">
            <v>0.52414000000000005</v>
          </cell>
        </row>
        <row r="557">
          <cell r="A557" t="str">
            <v>10100237</v>
          </cell>
          <cell r="B557" t="str">
            <v>PREMEZCLA CHOCOLATE RICHS (SACO:30 LB)</v>
          </cell>
          <cell r="C557" t="str">
            <v>1 SACO</v>
          </cell>
          <cell r="D557" t="str">
            <v>29/02/2020</v>
          </cell>
          <cell r="E557">
            <v>26288</v>
          </cell>
          <cell r="F557" t="str">
            <v>Gramo</v>
          </cell>
          <cell r="G557">
            <v>1.9318048206937095</v>
          </cell>
        </row>
        <row r="558">
          <cell r="A558" t="str">
            <v>11400057</v>
          </cell>
          <cell r="B558" t="str">
            <v>MARGARINA INDUSTRIAL OLMECA (CAJA:25 K)</v>
          </cell>
          <cell r="C558" t="str">
            <v>1 CAJA</v>
          </cell>
          <cell r="D558" t="str">
            <v>15/02/2020</v>
          </cell>
          <cell r="E558">
            <v>26375</v>
          </cell>
        </row>
        <row r="559">
          <cell r="A559" t="str">
            <v>10100226</v>
          </cell>
          <cell r="B559" t="str">
            <v>PANKO COSTRA DE PAN (PAQ:20 LB)</v>
          </cell>
          <cell r="C559" t="str">
            <v>1 PAQUETE</v>
          </cell>
          <cell r="D559" t="str">
            <v>17/01/2020</v>
          </cell>
          <cell r="E559">
            <v>27173</v>
          </cell>
        </row>
        <row r="560">
          <cell r="A560" t="str">
            <v>0610250</v>
          </cell>
          <cell r="B560" t="str">
            <v>HOJUELA PURE PAPA (SACO:15 K)</v>
          </cell>
          <cell r="C560" t="str">
            <v xml:space="preserve">1 SACO </v>
          </cell>
          <cell r="D560" t="str">
            <v>17/02/2020</v>
          </cell>
          <cell r="E560">
            <v>27418.5</v>
          </cell>
          <cell r="F560" t="str">
            <v>Gramo</v>
          </cell>
          <cell r="G560">
            <v>1.8279000000000001</v>
          </cell>
        </row>
        <row r="561">
          <cell r="A561" t="str">
            <v>10100238</v>
          </cell>
          <cell r="B561" t="str">
            <v>COBERTURA DONA CHOCOLAT RICH (UND:23 LB)</v>
          </cell>
          <cell r="C561" t="str">
            <v>1 UND</v>
          </cell>
          <cell r="D561" t="str">
            <v>20/02/2020</v>
          </cell>
          <cell r="E561">
            <v>27540</v>
          </cell>
        </row>
        <row r="562">
          <cell r="A562" t="str">
            <v>10500001</v>
          </cell>
          <cell r="B562" t="str">
            <v>CLAVO DE OLOR MOLIDO KG</v>
          </cell>
          <cell r="C562" t="str">
            <v>1 KILO</v>
          </cell>
          <cell r="D562" t="str">
            <v>05/02/2020</v>
          </cell>
          <cell r="E562">
            <v>28940.63</v>
          </cell>
        </row>
        <row r="563">
          <cell r="A563" t="str">
            <v>510171</v>
          </cell>
          <cell r="B563" t="str">
            <v>CEREZA CONFITADA (CAJA:10 K)</v>
          </cell>
          <cell r="C563" t="str">
            <v>1 CAJA</v>
          </cell>
          <cell r="D563" t="str">
            <v>11/12/2019</v>
          </cell>
          <cell r="E563">
            <v>28950</v>
          </cell>
        </row>
        <row r="564">
          <cell r="A564" t="str">
            <v>0610236</v>
          </cell>
          <cell r="B564" t="str">
            <v>PIMIENTA NEGRA MOLIDA (PAQ: 5 K)</v>
          </cell>
          <cell r="C564" t="str">
            <v>1 PAQUETE</v>
          </cell>
          <cell r="D564" t="str">
            <v>18/02/2020</v>
          </cell>
          <cell r="E564">
            <v>29612.35</v>
          </cell>
          <cell r="F564" t="str">
            <v>Gramo</v>
          </cell>
          <cell r="G564">
            <v>5.9224699999999997</v>
          </cell>
        </row>
        <row r="565">
          <cell r="A565" t="str">
            <v>10700034</v>
          </cell>
          <cell r="B565" t="str">
            <v>MINI PERLAS COMBINADAS (CAJA: 312 UND)</v>
          </cell>
          <cell r="C565" t="str">
            <v>1 CAJA</v>
          </cell>
          <cell r="D565" t="str">
            <v>31/01/2020</v>
          </cell>
          <cell r="E565">
            <v>29635</v>
          </cell>
        </row>
        <row r="566">
          <cell r="A566" t="str">
            <v>1210393</v>
          </cell>
          <cell r="B566" t="str">
            <v>MARGARINA MULTIUSO (CAJA: 25 k)</v>
          </cell>
          <cell r="C566" t="str">
            <v>1 CAJA</v>
          </cell>
          <cell r="D566" t="str">
            <v>02/03/2020</v>
          </cell>
          <cell r="E566">
            <v>29639</v>
          </cell>
          <cell r="F566" t="str">
            <v>Gramo</v>
          </cell>
          <cell r="G566">
            <v>1.1855599999999999</v>
          </cell>
        </row>
        <row r="567">
          <cell r="A567" t="str">
            <v>10100220</v>
          </cell>
          <cell r="B567" t="str">
            <v>SALSA POLLO ROSTIZ GRIFFITH RP (UND:6K)</v>
          </cell>
          <cell r="C567" t="str">
            <v>1 UND</v>
          </cell>
          <cell r="D567" t="str">
            <v>28/01/2020</v>
          </cell>
          <cell r="E567">
            <v>31051</v>
          </cell>
        </row>
        <row r="568">
          <cell r="A568" t="str">
            <v>0510051</v>
          </cell>
          <cell r="B568" t="str">
            <v>PASTAS DE HARINA AMARILLA (CAJA:9.52 KG)</v>
          </cell>
          <cell r="C568" t="str">
            <v>1 CAJA</v>
          </cell>
          <cell r="D568" t="str">
            <v>03/03/2020</v>
          </cell>
          <cell r="E568">
            <v>33335</v>
          </cell>
        </row>
        <row r="569">
          <cell r="A569" t="str">
            <v>906000010</v>
          </cell>
          <cell r="B569" t="str">
            <v>PREMEZCLA CHOCOMIX (SACO:25k)</v>
          </cell>
          <cell r="C569" t="str">
            <v>1 SACO</v>
          </cell>
          <cell r="D569" t="str">
            <v>29/02/2020</v>
          </cell>
          <cell r="E569">
            <v>33375</v>
          </cell>
          <cell r="F569" t="str">
            <v>Gramo</v>
          </cell>
          <cell r="G569">
            <v>1.335</v>
          </cell>
        </row>
        <row r="570">
          <cell r="A570" t="str">
            <v>10100244</v>
          </cell>
          <cell r="B570" t="str">
            <v>EMPANIZADOR ROSTIPOLLOS (UND: 25 K)</v>
          </cell>
          <cell r="C570" t="str">
            <v>1 UND</v>
          </cell>
          <cell r="D570" t="str">
            <v>11/02/2020</v>
          </cell>
          <cell r="E570">
            <v>36402</v>
          </cell>
        </row>
        <row r="571">
          <cell r="A571" t="str">
            <v>0510240</v>
          </cell>
          <cell r="B571" t="str">
            <v>PREMEZCLA PILS. CHOCOLATE (SACO:22.68 K)</v>
          </cell>
          <cell r="C571" t="str">
            <v>1 SACO</v>
          </cell>
          <cell r="D571" t="str">
            <v>29/02/2020</v>
          </cell>
          <cell r="E571">
            <v>36613</v>
          </cell>
          <cell r="F571" t="str">
            <v>Gramo</v>
          </cell>
          <cell r="G571">
            <v>1.6143298059964726</v>
          </cell>
        </row>
        <row r="572">
          <cell r="A572" t="str">
            <v>0510285</v>
          </cell>
          <cell r="B572" t="str">
            <v>PREMEZCLA P/QUEQUE YOGURT (SACO:22.67 K)</v>
          </cell>
          <cell r="C572" t="str">
            <v>1 SACO</v>
          </cell>
          <cell r="D572" t="str">
            <v>09/12/2019</v>
          </cell>
          <cell r="E572">
            <v>38555.32</v>
          </cell>
        </row>
        <row r="573">
          <cell r="A573" t="str">
            <v>11200066</v>
          </cell>
          <cell r="B573" t="str">
            <v>PREMEZCLA RED VELVET (SACO:25 K)</v>
          </cell>
          <cell r="C573" t="str">
            <v>1 SACO</v>
          </cell>
          <cell r="D573" t="str">
            <v>15/02/2020</v>
          </cell>
          <cell r="E573">
            <v>38750</v>
          </cell>
        </row>
        <row r="574">
          <cell r="A574" t="str">
            <v>14003009</v>
          </cell>
          <cell r="B574" t="str">
            <v>HOJUELA DE PAPA (SACO:20 K)</v>
          </cell>
          <cell r="C574" t="str">
            <v>1 SACO</v>
          </cell>
          <cell r="D574" t="str">
            <v>11/11/2019</v>
          </cell>
          <cell r="E574">
            <v>38812</v>
          </cell>
        </row>
        <row r="575">
          <cell r="A575" t="str">
            <v>0610256</v>
          </cell>
          <cell r="B575" t="str">
            <v>NUEZ MOSCADA MOLIDA (PAQ:3 K)</v>
          </cell>
          <cell r="C575" t="str">
            <v>1 PAQUETE</v>
          </cell>
          <cell r="D575" t="str">
            <v>04/02/2020</v>
          </cell>
          <cell r="E575">
            <v>41471.1</v>
          </cell>
          <cell r="F575" t="str">
            <v>Gramo</v>
          </cell>
          <cell r="G575">
            <v>13.823699999999999</v>
          </cell>
        </row>
        <row r="576">
          <cell r="A576" t="str">
            <v>11400038</v>
          </cell>
          <cell r="B576" t="str">
            <v>LECHE COND COCINADA (CAJA:18.96 K)</v>
          </cell>
          <cell r="C576" t="str">
            <v>1 CAJA</v>
          </cell>
          <cell r="D576" t="str">
            <v>04/03/2020</v>
          </cell>
          <cell r="E576">
            <v>43392</v>
          </cell>
        </row>
        <row r="577">
          <cell r="A577" t="str">
            <v>0610254</v>
          </cell>
          <cell r="B577" t="str">
            <v>PIMIENTA BLANCA  MOLIDA (PAQ:5 K)</v>
          </cell>
          <cell r="C577" t="str">
            <v>1 PAQUETE</v>
          </cell>
          <cell r="D577" t="str">
            <v>11/02/2020</v>
          </cell>
          <cell r="E577">
            <v>47381.85</v>
          </cell>
          <cell r="F577" t="str">
            <v>Gramo</v>
          </cell>
          <cell r="G577">
            <v>9.4763699999999993</v>
          </cell>
        </row>
        <row r="578">
          <cell r="A578" t="str">
            <v>1212437</v>
          </cell>
          <cell r="B578" t="str">
            <v>PRESERVANTE MIXTO (UND:17 K)</v>
          </cell>
          <cell r="C578" t="str">
            <v>1 UND</v>
          </cell>
          <cell r="D578" t="str">
            <v>29/02/2020</v>
          </cell>
          <cell r="E578">
            <v>51510</v>
          </cell>
          <cell r="F578" t="str">
            <v>Gramo</v>
          </cell>
          <cell r="G578">
            <v>3.03</v>
          </cell>
        </row>
        <row r="579">
          <cell r="A579" t="str">
            <v>106000001</v>
          </cell>
          <cell r="B579" t="str">
            <v>HIGOS EN ALMIBAR (UND:23 K)</v>
          </cell>
          <cell r="C579" t="str">
            <v>1 UND</v>
          </cell>
          <cell r="D579" t="str">
            <v>11/12/2019</v>
          </cell>
          <cell r="E579">
            <v>56448</v>
          </cell>
        </row>
        <row r="580">
          <cell r="A580" t="str">
            <v>11200007</v>
          </cell>
          <cell r="B580" t="str">
            <v>PREMEZCLA DAWN BROWNIE (SACO=22.68K)</v>
          </cell>
          <cell r="C580" t="str">
            <v>1 SACO</v>
          </cell>
          <cell r="D580" t="str">
            <v>23/11/2019</v>
          </cell>
          <cell r="E580">
            <v>57839.65</v>
          </cell>
        </row>
        <row r="581">
          <cell r="A581" t="str">
            <v>10100180</v>
          </cell>
          <cell r="B581" t="str">
            <v>BASE ADEREZO ITALIANO (SACO: 25 KG)</v>
          </cell>
          <cell r="C581" t="str">
            <v>1 SACO</v>
          </cell>
          <cell r="D581" t="str">
            <v>21/02/2020</v>
          </cell>
          <cell r="E581">
            <v>59242</v>
          </cell>
        </row>
        <row r="582">
          <cell r="A582" t="str">
            <v>0310145</v>
          </cell>
          <cell r="B582" t="str">
            <v>LECHE POLVO INDUSTRIAL (SACO:25 KG)</v>
          </cell>
          <cell r="C582" t="str">
            <v>1 SACO</v>
          </cell>
          <cell r="D582" t="str">
            <v>03/03/2020</v>
          </cell>
          <cell r="E582">
            <v>65957</v>
          </cell>
        </row>
        <row r="583">
          <cell r="A583" t="str">
            <v>0310107</v>
          </cell>
          <cell r="B583" t="str">
            <v>LACTOCREMA GRANEL (CAJA:25 KG)</v>
          </cell>
          <cell r="C583" t="str">
            <v>1 CAJA</v>
          </cell>
          <cell r="D583" t="str">
            <v>29/02/2020</v>
          </cell>
          <cell r="E583">
            <v>75987</v>
          </cell>
          <cell r="F583" t="str">
            <v>Gramo</v>
          </cell>
          <cell r="G583">
            <v>3.0394800000000002</v>
          </cell>
        </row>
        <row r="584">
          <cell r="A584" t="str">
            <v>0101132</v>
          </cell>
          <cell r="B584" t="str">
            <v>LIMON EN POLVO (SACO:25 KG)</v>
          </cell>
          <cell r="C584" t="str">
            <v xml:space="preserve">1 SACO </v>
          </cell>
          <cell r="D584" t="str">
            <v>10/02/2020</v>
          </cell>
          <cell r="E584">
            <v>85349.5</v>
          </cell>
          <cell r="F584" t="str">
            <v>Gramo</v>
          </cell>
          <cell r="G584">
            <v>3.41398</v>
          </cell>
        </row>
        <row r="585">
          <cell r="A585" t="str">
            <v>510280</v>
          </cell>
          <cell r="B585" t="str">
            <v>EMULCON TM (SACO:20 K)</v>
          </cell>
          <cell r="C585" t="str">
            <v>1 SACO</v>
          </cell>
          <cell r="D585" t="str">
            <v>13/02/2020</v>
          </cell>
          <cell r="E585">
            <v>92980</v>
          </cell>
          <cell r="F585" t="str">
            <v>Gramo</v>
          </cell>
          <cell r="G585">
            <v>4.649</v>
          </cell>
        </row>
        <row r="586">
          <cell r="A586" t="str">
            <v>2000002</v>
          </cell>
          <cell r="B586" t="str">
            <v>CARNE ANALOGA POLLO (CAJA:13.6 Kg)</v>
          </cell>
          <cell r="C586" t="str">
            <v>1 CAJA</v>
          </cell>
          <cell r="D586" t="str">
            <v>17/02/2020</v>
          </cell>
          <cell r="E586">
            <v>103365.9</v>
          </cell>
        </row>
        <row r="587">
          <cell r="A587" t="str">
            <v>10300006</v>
          </cell>
          <cell r="B587" t="str">
            <v>CARNE ANALOGA RES (CAJA:13.6 Kg)</v>
          </cell>
          <cell r="C587" t="str">
            <v>1 CAJA</v>
          </cell>
          <cell r="D587" t="str">
            <v>03/03/2020</v>
          </cell>
          <cell r="E587">
            <v>105560.58</v>
          </cell>
        </row>
        <row r="588">
          <cell r="A588" t="str">
            <v>10100182</v>
          </cell>
          <cell r="B588" t="str">
            <v>MEZCLA ADEREZO AJO (PAQ:25 K)</v>
          </cell>
          <cell r="C588" t="str">
            <v>1 PAQUETE</v>
          </cell>
          <cell r="D588" t="str">
            <v>05/02/2020</v>
          </cell>
          <cell r="E588">
            <v>108166.53</v>
          </cell>
        </row>
        <row r="589">
          <cell r="A589" t="str">
            <v>1210445</v>
          </cell>
          <cell r="B589" t="str">
            <v>CLARAS HUEVO DESHIDRATADA (CAJA:22.68 K)</v>
          </cell>
          <cell r="C589" t="str">
            <v>1 CAJA</v>
          </cell>
          <cell r="D589" t="str">
            <v>20/01/2020</v>
          </cell>
          <cell r="E589">
            <v>414220.26240000001</v>
          </cell>
          <cell r="F589" t="str">
            <v>Gramo</v>
          </cell>
          <cell r="G589">
            <v>18.263680000000001</v>
          </cell>
        </row>
      </sheetData>
      <sheetData sheetId="1">
        <row r="2">
          <cell r="A2" t="str">
            <v>1950715</v>
          </cell>
          <cell r="B2" t="str">
            <v>CAPSULA # 2 BLANCA (UND)</v>
          </cell>
          <cell r="C2" t="str">
            <v>1950715</v>
          </cell>
          <cell r="D2" t="str">
            <v>1 UND</v>
          </cell>
          <cell r="E2" t="str">
            <v>30/11/2019</v>
          </cell>
          <cell r="F2">
            <v>2.7397999999999998</v>
          </cell>
        </row>
        <row r="3">
          <cell r="A3" t="str">
            <v>1950725</v>
          </cell>
          <cell r="B3" t="str">
            <v>CAJA TROQUELADA # 25 (UND)</v>
          </cell>
          <cell r="C3" t="str">
            <v>1950725</v>
          </cell>
          <cell r="D3" t="str">
            <v>1 UND</v>
          </cell>
          <cell r="E3" t="str">
            <v>26/12/2019</v>
          </cell>
          <cell r="F3">
            <v>3.1474000000000002</v>
          </cell>
        </row>
        <row r="4">
          <cell r="A4" t="str">
            <v>1950732</v>
          </cell>
          <cell r="B4" t="str">
            <v>CAPSULA # 3 BLANCA (UND)</v>
          </cell>
          <cell r="C4" t="str">
            <v>1950732</v>
          </cell>
          <cell r="D4" t="str">
            <v>1 UND</v>
          </cell>
          <cell r="E4" t="str">
            <v>16/12/2019</v>
          </cell>
          <cell r="F4">
            <v>3.3578000000000001</v>
          </cell>
        </row>
        <row r="5">
          <cell r="A5" t="str">
            <v>1950387</v>
          </cell>
          <cell r="B5" t="str">
            <v>CONO P/AGUA (CAJA:5000 UND)</v>
          </cell>
          <cell r="C5" t="str">
            <v>1950387</v>
          </cell>
          <cell r="D5" t="str">
            <v>1 UND</v>
          </cell>
          <cell r="E5" t="str">
            <v>14/02/2020</v>
          </cell>
          <cell r="F5">
            <v>5.68</v>
          </cell>
        </row>
        <row r="6">
          <cell r="A6" t="str">
            <v>1950733</v>
          </cell>
          <cell r="B6" t="str">
            <v>CAPSULA # 10 BLANCA (UND)</v>
          </cell>
          <cell r="C6" t="str">
            <v>1950733</v>
          </cell>
          <cell r="D6" t="str">
            <v>1 UND</v>
          </cell>
          <cell r="E6" t="str">
            <v>15/02/2020</v>
          </cell>
          <cell r="F6">
            <v>5.9534000000000002</v>
          </cell>
        </row>
        <row r="7">
          <cell r="A7" t="str">
            <v>1950731</v>
          </cell>
          <cell r="B7" t="str">
            <v>CAPSULA # 3 LOGO UND</v>
          </cell>
          <cell r="C7" t="str">
            <v>1950731</v>
          </cell>
          <cell r="D7" t="str">
            <v>1 UND</v>
          </cell>
          <cell r="E7" t="str">
            <v>25/02/2020</v>
          </cell>
          <cell r="F7">
            <v>7.52</v>
          </cell>
          <cell r="G7" t="str">
            <v>UND</v>
          </cell>
          <cell r="H7">
            <v>7.52</v>
          </cell>
        </row>
        <row r="8">
          <cell r="A8" t="str">
            <v>51500032</v>
          </cell>
          <cell r="B8" t="str">
            <v>TAPA SUFLE 1,5-2-2,5 (PAQ:100 UND)</v>
          </cell>
          <cell r="C8" t="str">
            <v>51500032</v>
          </cell>
          <cell r="D8" t="str">
            <v>1 PAQUETE</v>
          </cell>
          <cell r="E8" t="str">
            <v>05/03/2020</v>
          </cell>
          <cell r="F8">
            <v>8.32</v>
          </cell>
        </row>
        <row r="9">
          <cell r="A9" t="str">
            <v>12050040</v>
          </cell>
          <cell r="B9" t="str">
            <v>MUG SPOON UND</v>
          </cell>
          <cell r="C9" t="str">
            <v>12050040</v>
          </cell>
          <cell r="D9" t="str">
            <v>1 Uds.</v>
          </cell>
          <cell r="E9" t="str">
            <v>07/02/2020</v>
          </cell>
          <cell r="F9">
            <v>8.9700000000000006</v>
          </cell>
        </row>
        <row r="10">
          <cell r="A10" t="str">
            <v>1950735</v>
          </cell>
          <cell r="B10" t="str">
            <v>CAPSULA # 5 LOGO UND</v>
          </cell>
          <cell r="C10" t="str">
            <v>1950735</v>
          </cell>
          <cell r="D10" t="str">
            <v>1 UND</v>
          </cell>
          <cell r="E10" t="str">
            <v>02/03/2020</v>
          </cell>
          <cell r="F10">
            <v>9.35</v>
          </cell>
          <cell r="G10" t="str">
            <v>UND</v>
          </cell>
          <cell r="H10">
            <v>9.35</v>
          </cell>
        </row>
        <row r="11">
          <cell r="A11" t="str">
            <v>109254</v>
          </cell>
          <cell r="B11" t="str">
            <v>VASO 3.25 ONZ (PAQ*200)</v>
          </cell>
          <cell r="C11" t="str">
            <v>109254</v>
          </cell>
          <cell r="D11" t="str">
            <v>1 PAQUETE</v>
          </cell>
          <cell r="E11" t="str">
            <v>04/03/2020</v>
          </cell>
          <cell r="F11">
            <v>12.797000000000001</v>
          </cell>
        </row>
        <row r="12">
          <cell r="A12" t="str">
            <v>109254</v>
          </cell>
          <cell r="B12" t="str">
            <v>VASO 3.25 ONZ (PAQ*200)</v>
          </cell>
          <cell r="C12" t="str">
            <v>0162101</v>
          </cell>
          <cell r="D12" t="str">
            <v>1 PAQUETE</v>
          </cell>
          <cell r="E12" t="str">
            <v>05/03/2020</v>
          </cell>
          <cell r="F12">
            <v>12.797000000000001</v>
          </cell>
        </row>
        <row r="13">
          <cell r="A13" t="str">
            <v>0702169</v>
          </cell>
          <cell r="B13" t="str">
            <v>CARTULINA KRAFT 2.5 X 31 -8 (UND)</v>
          </cell>
          <cell r="C13" t="str">
            <v>0702169</v>
          </cell>
          <cell r="D13" t="str">
            <v>1 UND</v>
          </cell>
          <cell r="E13" t="str">
            <v>21/02/2020</v>
          </cell>
          <cell r="F13">
            <v>15</v>
          </cell>
        </row>
        <row r="14">
          <cell r="A14" t="str">
            <v>51500026</v>
          </cell>
          <cell r="B14" t="str">
            <v>VASO SOUFLE 3.25 OZ ASB325 1/2500</v>
          </cell>
          <cell r="C14" t="str">
            <v>51500026</v>
          </cell>
          <cell r="D14" t="str">
            <v>1 PAQUETE</v>
          </cell>
          <cell r="E14" t="str">
            <v>25/11/2019</v>
          </cell>
          <cell r="F14">
            <v>15.029</v>
          </cell>
        </row>
        <row r="15">
          <cell r="A15" t="str">
            <v>1950752</v>
          </cell>
          <cell r="B15" t="str">
            <v>CAJA MINI BLANCA (100xPaq)</v>
          </cell>
          <cell r="C15" t="str">
            <v>1950752</v>
          </cell>
          <cell r="D15" t="str">
            <v>1 UND</v>
          </cell>
          <cell r="E15" t="str">
            <v>29/11/2019</v>
          </cell>
          <cell r="F15">
            <v>19.606999999999999</v>
          </cell>
        </row>
        <row r="16">
          <cell r="A16" t="str">
            <v>51600004</v>
          </cell>
          <cell r="B16" t="str">
            <v>LAZOS ROJOS (UND)</v>
          </cell>
          <cell r="C16" t="str">
            <v>51600004</v>
          </cell>
          <cell r="D16" t="str">
            <v>1 UND</v>
          </cell>
          <cell r="E16" t="str">
            <v>19/02/2020</v>
          </cell>
          <cell r="F16">
            <v>20</v>
          </cell>
        </row>
        <row r="17">
          <cell r="A17" t="str">
            <v>1950752</v>
          </cell>
          <cell r="B17" t="str">
            <v>CAJA BLANCA MINI UND</v>
          </cell>
          <cell r="C17" t="str">
            <v>1959752</v>
          </cell>
          <cell r="D17" t="str">
            <v>1 UND</v>
          </cell>
          <cell r="E17" t="str">
            <v>21/02/2020</v>
          </cell>
          <cell r="F17">
            <v>21</v>
          </cell>
        </row>
        <row r="18">
          <cell r="A18" t="str">
            <v>1950414</v>
          </cell>
          <cell r="B18" t="str">
            <v>BANDA PVC 228x50 (UND)</v>
          </cell>
          <cell r="C18" t="str">
            <v>1950414</v>
          </cell>
          <cell r="D18" t="str">
            <v>1 UND</v>
          </cell>
          <cell r="E18" t="str">
            <v>27/11/2019</v>
          </cell>
          <cell r="F18">
            <v>23.62</v>
          </cell>
        </row>
        <row r="19">
          <cell r="A19" t="str">
            <v>1950730</v>
          </cell>
          <cell r="B19" t="str">
            <v>CAJA BLANCA PEQUEÑA UND</v>
          </cell>
          <cell r="C19" t="str">
            <v>1950730</v>
          </cell>
          <cell r="D19" t="str">
            <v>1 UND</v>
          </cell>
          <cell r="E19" t="str">
            <v>03/03/2020</v>
          </cell>
          <cell r="F19">
            <v>24.5</v>
          </cell>
          <cell r="G19" t="str">
            <v>UND</v>
          </cell>
          <cell r="H19">
            <v>24.5</v>
          </cell>
        </row>
        <row r="20">
          <cell r="A20" t="str">
            <v>51500028</v>
          </cell>
          <cell r="B20" t="str">
            <v>TAPA DOMO A-9/12/20 SOUFFLE (UND)</v>
          </cell>
          <cell r="C20" t="str">
            <v>51500028</v>
          </cell>
          <cell r="D20" t="str">
            <v>1 UND</v>
          </cell>
          <cell r="E20" t="str">
            <v>29/11/2019</v>
          </cell>
          <cell r="F20">
            <v>24.56</v>
          </cell>
        </row>
        <row r="21">
          <cell r="A21" t="str">
            <v>1950888</v>
          </cell>
          <cell r="B21" t="str">
            <v>PLATO  6 COMPOSTABLE (CAJA:1000 UND)</v>
          </cell>
          <cell r="C21" t="str">
            <v>1950888</v>
          </cell>
          <cell r="D21" t="str">
            <v>1 UND</v>
          </cell>
          <cell r="E21" t="str">
            <v>25/02/2020</v>
          </cell>
          <cell r="F21">
            <v>29.945</v>
          </cell>
        </row>
        <row r="22">
          <cell r="A22" t="str">
            <v>1952393</v>
          </cell>
          <cell r="B22" t="str">
            <v>BOLSA AL VACIO 8*10 ( 100 * PAQ )</v>
          </cell>
          <cell r="C22" t="str">
            <v>1952393</v>
          </cell>
          <cell r="D22" t="str">
            <v>1 UND</v>
          </cell>
          <cell r="E22" t="str">
            <v>08/11/2019</v>
          </cell>
          <cell r="F22">
            <v>30</v>
          </cell>
        </row>
        <row r="23">
          <cell r="A23" t="str">
            <v>1950413</v>
          </cell>
          <cell r="B23" t="str">
            <v>BANDA PVC 300x50 (UND)</v>
          </cell>
          <cell r="C23" t="str">
            <v>1950413</v>
          </cell>
          <cell r="D23" t="str">
            <v>1 UND</v>
          </cell>
          <cell r="E23" t="str">
            <v>27/11/2019</v>
          </cell>
          <cell r="F23">
            <v>32.85</v>
          </cell>
        </row>
        <row r="24">
          <cell r="A24" t="str">
            <v>1950942</v>
          </cell>
          <cell r="B24" t="str">
            <v>ORLA #4 AZUL REDONDA (UND)</v>
          </cell>
          <cell r="C24" t="str">
            <v>1950942</v>
          </cell>
          <cell r="D24" t="str">
            <v>1 UND</v>
          </cell>
          <cell r="E24" t="str">
            <v>02/03/2020</v>
          </cell>
          <cell r="F24">
            <v>33</v>
          </cell>
        </row>
        <row r="25">
          <cell r="A25" t="str">
            <v>507000013</v>
          </cell>
          <cell r="B25" t="str">
            <v>CONTENEDOR PAPEL 12 ONZAS (PAQ=50 UND) C</v>
          </cell>
          <cell r="C25" t="str">
            <v>507000013</v>
          </cell>
          <cell r="D25" t="str">
            <v>1 PAQUETE</v>
          </cell>
          <cell r="E25" t="str">
            <v>02/11/2019</v>
          </cell>
          <cell r="F25">
            <v>34.72</v>
          </cell>
        </row>
        <row r="26">
          <cell r="A26" t="str">
            <v>507000012</v>
          </cell>
          <cell r="B26" t="str">
            <v>TAPA PLAST P/CONT. PAPEL 12 ONZ (PAQ=50)</v>
          </cell>
          <cell r="C26" t="str">
            <v>507000012</v>
          </cell>
          <cell r="D26" t="str">
            <v>1 PAQUETE</v>
          </cell>
          <cell r="E26" t="str">
            <v>11/11/2019</v>
          </cell>
          <cell r="F26">
            <v>34.72</v>
          </cell>
        </row>
        <row r="27">
          <cell r="A27" t="str">
            <v>109401</v>
          </cell>
          <cell r="B27" t="str">
            <v>CONTENED PAPEL BLANCO 8 ONZ (PAQ:50 UND)</v>
          </cell>
          <cell r="C27" t="str">
            <v>109401</v>
          </cell>
          <cell r="D27" t="str">
            <v>1 PAQUETE</v>
          </cell>
          <cell r="E27" t="str">
            <v>11/11/2019</v>
          </cell>
          <cell r="F27">
            <v>35.72</v>
          </cell>
        </row>
        <row r="28">
          <cell r="A28" t="str">
            <v>1950729</v>
          </cell>
          <cell r="B28" t="str">
            <v>CAJA BLANCA MEDIANA UND</v>
          </cell>
          <cell r="C28" t="str">
            <v>1950729</v>
          </cell>
          <cell r="D28" t="str">
            <v>1 UND</v>
          </cell>
          <cell r="E28" t="str">
            <v>03/03/2020</v>
          </cell>
          <cell r="F28">
            <v>40</v>
          </cell>
          <cell r="G28" t="str">
            <v>UND</v>
          </cell>
          <cell r="H28">
            <v>40</v>
          </cell>
        </row>
        <row r="29">
          <cell r="A29" t="str">
            <v>703205</v>
          </cell>
          <cell r="B29" t="str">
            <v>BROCHURE P/TARJETAS SPOONERS</v>
          </cell>
          <cell r="C29" t="str">
            <v>703205</v>
          </cell>
          <cell r="D29" t="str">
            <v>1 UND</v>
          </cell>
          <cell r="E29" t="str">
            <v>21/01/2020</v>
          </cell>
          <cell r="F29">
            <v>44.05057</v>
          </cell>
        </row>
        <row r="30">
          <cell r="A30" t="str">
            <v>1952915</v>
          </cell>
          <cell r="B30" t="str">
            <v>BANDEJA CONCHA TRANSPAR 4X4 (CJ=500 UND)</v>
          </cell>
          <cell r="C30" t="str">
            <v>1952915</v>
          </cell>
          <cell r="D30" t="str">
            <v>1 UND</v>
          </cell>
          <cell r="E30" t="str">
            <v>04/03/2020</v>
          </cell>
          <cell r="F30">
            <v>51</v>
          </cell>
          <cell r="G30" t="str">
            <v>UND</v>
          </cell>
          <cell r="H30">
            <v>51</v>
          </cell>
        </row>
        <row r="31">
          <cell r="A31" t="str">
            <v>1950837</v>
          </cell>
          <cell r="B31" t="str">
            <v>FONDO P/CAJA BLANCA ( UND)</v>
          </cell>
          <cell r="C31" t="str">
            <v>1950837</v>
          </cell>
          <cell r="D31" t="str">
            <v>1 UND</v>
          </cell>
          <cell r="E31" t="str">
            <v>21/02/2020</v>
          </cell>
          <cell r="F31">
            <v>53</v>
          </cell>
        </row>
        <row r="32">
          <cell r="A32" t="str">
            <v>1950409</v>
          </cell>
          <cell r="B32" t="str">
            <v>TAPA P/FONDO CAJA BLANCA UND</v>
          </cell>
          <cell r="C32" t="str">
            <v>1950409</v>
          </cell>
          <cell r="D32" t="str">
            <v>1 UND</v>
          </cell>
          <cell r="E32" t="str">
            <v>21/02/2020</v>
          </cell>
          <cell r="F32">
            <v>53</v>
          </cell>
        </row>
        <row r="33">
          <cell r="A33" t="str">
            <v>51400027</v>
          </cell>
          <cell r="B33" t="str">
            <v>TAPA BOWL SOPA 8 ONZ (PAQ:50 UND)</v>
          </cell>
          <cell r="C33" t="str">
            <v>51400027</v>
          </cell>
          <cell r="D33" t="str">
            <v>1 PAQUETE</v>
          </cell>
          <cell r="E33" t="str">
            <v>04/03/2020</v>
          </cell>
          <cell r="F33">
            <v>57.5</v>
          </cell>
        </row>
        <row r="34">
          <cell r="A34" t="str">
            <v>51400034</v>
          </cell>
          <cell r="B34" t="str">
            <v>BOWL FIBRA SOPA 8 ONZ (PAQ:50 UND)</v>
          </cell>
          <cell r="C34" t="str">
            <v>51400034</v>
          </cell>
          <cell r="D34" t="str">
            <v>1 PAQUETE</v>
          </cell>
          <cell r="E34" t="str">
            <v>04/03/2020</v>
          </cell>
          <cell r="F34">
            <v>57.5</v>
          </cell>
        </row>
        <row r="35">
          <cell r="A35" t="str">
            <v>1952410</v>
          </cell>
          <cell r="B35" t="str">
            <v>TAPA CONTE.ALUMI A-42 (4 POR) (CAJA:500)</v>
          </cell>
          <cell r="C35" t="str">
            <v>1952410</v>
          </cell>
          <cell r="D35" t="str">
            <v>1 UND</v>
          </cell>
          <cell r="E35" t="str">
            <v>03/02/2020</v>
          </cell>
          <cell r="F35">
            <v>59.6</v>
          </cell>
          <cell r="G35" t="str">
            <v>UND</v>
          </cell>
          <cell r="H35">
            <v>59.6</v>
          </cell>
        </row>
        <row r="36">
          <cell r="A36" t="str">
            <v>1950887</v>
          </cell>
          <cell r="B36" t="str">
            <v>PLATO 9 COMPOSTABLE CAJA:500 (UND)</v>
          </cell>
          <cell r="C36" t="str">
            <v>1950887</v>
          </cell>
          <cell r="D36" t="str">
            <v>1 UND</v>
          </cell>
          <cell r="E36" t="str">
            <v>25/02/2020</v>
          </cell>
          <cell r="F36">
            <v>61</v>
          </cell>
        </row>
        <row r="37">
          <cell r="A37" t="str">
            <v>1950914</v>
          </cell>
          <cell r="B37" t="str">
            <v>PORTA VASO 4 CAVIDADES (UND)</v>
          </cell>
          <cell r="C37" t="str">
            <v>1950914</v>
          </cell>
          <cell r="D37" t="str">
            <v>1 UND</v>
          </cell>
          <cell r="E37" t="str">
            <v>03/03/2020</v>
          </cell>
          <cell r="F37">
            <v>61.946666666666701</v>
          </cell>
        </row>
        <row r="38">
          <cell r="A38" t="str">
            <v>11000006</v>
          </cell>
          <cell r="B38" t="str">
            <v>ORLA 6.5'' (UND)</v>
          </cell>
          <cell r="C38" t="str">
            <v>11000006</v>
          </cell>
          <cell r="D38" t="str">
            <v>1 UND</v>
          </cell>
          <cell r="E38" t="str">
            <v>17/01/2020</v>
          </cell>
          <cell r="F38">
            <v>69</v>
          </cell>
        </row>
        <row r="39">
          <cell r="A39" t="str">
            <v>0703204</v>
          </cell>
          <cell r="B39" t="str">
            <v>TARJETA SPOONER PVC</v>
          </cell>
          <cell r="C39" t="str">
            <v>0703204</v>
          </cell>
          <cell r="D39" t="str">
            <v>1 UND</v>
          </cell>
          <cell r="E39" t="str">
            <v>24/01/2020</v>
          </cell>
          <cell r="F39">
            <v>72.249600000000001</v>
          </cell>
        </row>
        <row r="40">
          <cell r="A40" t="str">
            <v>50700017</v>
          </cell>
          <cell r="B40" t="str">
            <v>CAJA MEDIANA OFFICE BREAK UND</v>
          </cell>
          <cell r="C40" t="str">
            <v>50700017</v>
          </cell>
          <cell r="D40" t="str">
            <v>1 UND</v>
          </cell>
          <cell r="E40" t="str">
            <v>25/11/2019</v>
          </cell>
          <cell r="F40">
            <v>75.44</v>
          </cell>
        </row>
        <row r="41">
          <cell r="A41" t="str">
            <v>1952874</v>
          </cell>
          <cell r="B41" t="str">
            <v>ORLA #8 BUCCA UND</v>
          </cell>
          <cell r="C41" t="str">
            <v>1952874</v>
          </cell>
          <cell r="D41" t="str">
            <v>1 UND</v>
          </cell>
          <cell r="E41" t="str">
            <v>02/03/2020</v>
          </cell>
          <cell r="F41">
            <v>77</v>
          </cell>
        </row>
        <row r="42">
          <cell r="A42" t="str">
            <v>1950808</v>
          </cell>
          <cell r="B42" t="str">
            <v>ORLA CARTON  8" DORADA (UND )</v>
          </cell>
          <cell r="C42" t="str">
            <v>1950808</v>
          </cell>
          <cell r="D42" t="str">
            <v>1 UND</v>
          </cell>
          <cell r="E42" t="str">
            <v>02/03/2020</v>
          </cell>
          <cell r="F42">
            <v>77</v>
          </cell>
          <cell r="G42" t="str">
            <v>UND</v>
          </cell>
          <cell r="H42">
            <v>77</v>
          </cell>
        </row>
        <row r="43">
          <cell r="A43" t="str">
            <v>503000006</v>
          </cell>
          <cell r="B43" t="str">
            <v>BOLSA AL VACIO 10X15 UND</v>
          </cell>
          <cell r="C43" t="str">
            <v>503000006</v>
          </cell>
          <cell r="D43" t="str">
            <v>1 UND</v>
          </cell>
          <cell r="E43" t="str">
            <v>20/11/2019</v>
          </cell>
          <cell r="F43">
            <v>78</v>
          </cell>
        </row>
        <row r="44">
          <cell r="A44" t="str">
            <v>1952432</v>
          </cell>
          <cell r="B44" t="str">
            <v>TAPA BAND ALUM. DESE 4040 (UND)</v>
          </cell>
          <cell r="C44" t="str">
            <v>1952432</v>
          </cell>
          <cell r="D44" t="str">
            <v>1 UND</v>
          </cell>
          <cell r="E44" t="str">
            <v>05/03/2020</v>
          </cell>
          <cell r="F44">
            <v>81.391999999999996</v>
          </cell>
          <cell r="G44" t="str">
            <v>UND</v>
          </cell>
          <cell r="H44">
            <v>81.391999999999996</v>
          </cell>
        </row>
        <row r="45">
          <cell r="A45" t="str">
            <v>1950886</v>
          </cell>
          <cell r="B45" t="str">
            <v>PLATO 10 COMPOSTABLE CAJA:500 (UND)</v>
          </cell>
          <cell r="C45" t="str">
            <v>1950886</v>
          </cell>
          <cell r="D45" t="str">
            <v>1 UND</v>
          </cell>
          <cell r="E45" t="str">
            <v>12/11/2019</v>
          </cell>
          <cell r="F45">
            <v>82.49</v>
          </cell>
        </row>
        <row r="46">
          <cell r="A46" t="str">
            <v>1952409</v>
          </cell>
          <cell r="B46" t="str">
            <v>BANDEJA ALUMINIO A-42 (4POR)(CAJA:500 U)</v>
          </cell>
          <cell r="C46" t="str">
            <v>1952409</v>
          </cell>
          <cell r="D46" t="str">
            <v>1 UND</v>
          </cell>
          <cell r="E46" t="str">
            <v>03/02/2020</v>
          </cell>
          <cell r="F46">
            <v>83</v>
          </cell>
          <cell r="G46" t="str">
            <v>UND</v>
          </cell>
          <cell r="H46">
            <v>83</v>
          </cell>
        </row>
        <row r="47">
          <cell r="A47" t="str">
            <v>51400029</v>
          </cell>
          <cell r="B47" t="str">
            <v>BOWL FIBRA 16 ONZ COMPOST (PAQ:125 UND)</v>
          </cell>
          <cell r="C47" t="str">
            <v>51400029</v>
          </cell>
          <cell r="D47" t="str">
            <v>1 PAQUETE</v>
          </cell>
          <cell r="E47" t="str">
            <v>04/03/2020</v>
          </cell>
          <cell r="F47">
            <v>83.055999999999997</v>
          </cell>
        </row>
        <row r="48">
          <cell r="A48" t="str">
            <v>1950880</v>
          </cell>
          <cell r="B48" t="str">
            <v>TAPA BANDEJA PLAST 3 DIV (CAJA:250 UND)</v>
          </cell>
          <cell r="C48" t="str">
            <v>1950880</v>
          </cell>
          <cell r="D48" t="str">
            <v>1 UND</v>
          </cell>
          <cell r="E48" t="str">
            <v>15/02/2020</v>
          </cell>
          <cell r="F48">
            <v>87.215999999999994</v>
          </cell>
        </row>
        <row r="49">
          <cell r="A49" t="str">
            <v>51400032</v>
          </cell>
          <cell r="B49" t="str">
            <v>BOWL FIBRA SOPA 12 ONZ (PAQ:25 UND)</v>
          </cell>
          <cell r="C49" t="str">
            <v>51400032</v>
          </cell>
          <cell r="D49" t="str">
            <v>1 PAQUETE</v>
          </cell>
          <cell r="E49" t="str">
            <v>04/03/2020</v>
          </cell>
          <cell r="F49">
            <v>89.44</v>
          </cell>
        </row>
        <row r="50">
          <cell r="A50" t="str">
            <v>51400033</v>
          </cell>
          <cell r="B50" t="str">
            <v>TAPA BOWL SOPA 12/16/32 ONZ (PAQ:50 UND)</v>
          </cell>
          <cell r="C50" t="str">
            <v>51400033</v>
          </cell>
          <cell r="D50" t="str">
            <v>1 PAQUETE</v>
          </cell>
          <cell r="E50" t="str">
            <v>05/03/2020</v>
          </cell>
          <cell r="F50">
            <v>89.44</v>
          </cell>
        </row>
        <row r="51">
          <cell r="A51" t="str">
            <v>51400024</v>
          </cell>
          <cell r="B51" t="str">
            <v>TAPA  BOWL 16/24/32 ONZ (PAQ:125 UND)</v>
          </cell>
          <cell r="C51" t="str">
            <v>51400024</v>
          </cell>
          <cell r="D51" t="str">
            <v>1 PAQUETE</v>
          </cell>
          <cell r="E51" t="str">
            <v>05/03/2020</v>
          </cell>
          <cell r="F51">
            <v>89.447999999999993</v>
          </cell>
        </row>
        <row r="52">
          <cell r="A52" t="str">
            <v>51400028</v>
          </cell>
          <cell r="B52" t="str">
            <v>BOWL FIBRA SOPA 16 ONZ (PAQ:50 UND)</v>
          </cell>
          <cell r="C52" t="str">
            <v>51400028</v>
          </cell>
          <cell r="D52" t="str">
            <v>1 PAQUETE</v>
          </cell>
          <cell r="E52" t="str">
            <v>05/03/2020</v>
          </cell>
          <cell r="F52">
            <v>95.82</v>
          </cell>
        </row>
        <row r="53">
          <cell r="A53" t="str">
            <v>51400030</v>
          </cell>
          <cell r="B53" t="str">
            <v>TAPA FIBRA BANDEJA 2 DIV (PAQ:50 UND)</v>
          </cell>
          <cell r="C53" t="str">
            <v>51400030</v>
          </cell>
          <cell r="D53" t="str">
            <v>1 PAQUETE</v>
          </cell>
          <cell r="E53" t="str">
            <v>04/02/2020</v>
          </cell>
          <cell r="F53">
            <v>102.22</v>
          </cell>
        </row>
        <row r="54">
          <cell r="A54" t="str">
            <v>1950693</v>
          </cell>
          <cell r="B54" t="str">
            <v>ORLA #9  DORADA UND</v>
          </cell>
          <cell r="C54" t="str">
            <v>1950693</v>
          </cell>
          <cell r="D54" t="str">
            <v>1 UND</v>
          </cell>
          <cell r="E54" t="str">
            <v>21/02/2020</v>
          </cell>
          <cell r="F54">
            <v>105</v>
          </cell>
          <cell r="G54" t="str">
            <v>UND</v>
          </cell>
          <cell r="H54">
            <v>105</v>
          </cell>
        </row>
        <row r="55">
          <cell r="A55" t="str">
            <v>1952875</v>
          </cell>
          <cell r="B55" t="str">
            <v>ORLA # 10 BUCCA UND</v>
          </cell>
          <cell r="C55" t="str">
            <v>1952875</v>
          </cell>
          <cell r="D55" t="str">
            <v>1 UND</v>
          </cell>
          <cell r="E55" t="str">
            <v>02/03/2020</v>
          </cell>
          <cell r="F55">
            <v>111</v>
          </cell>
        </row>
        <row r="56">
          <cell r="A56" t="str">
            <v>1950692</v>
          </cell>
          <cell r="B56" t="str">
            <v>ORLA CARTON 10" DORADA UND</v>
          </cell>
          <cell r="C56" t="str">
            <v>1950692</v>
          </cell>
          <cell r="D56" t="str">
            <v>1 UND</v>
          </cell>
          <cell r="E56" t="str">
            <v>02/03/2020</v>
          </cell>
          <cell r="F56">
            <v>111</v>
          </cell>
          <cell r="G56" t="str">
            <v>UND</v>
          </cell>
          <cell r="H56">
            <v>111</v>
          </cell>
        </row>
        <row r="57">
          <cell r="A57" t="str">
            <v>1950879</v>
          </cell>
          <cell r="B57" t="str">
            <v>BANDEJA PLAST 3 DIV (CAJA:250 UND)</v>
          </cell>
          <cell r="C57" t="str">
            <v>1950879</v>
          </cell>
          <cell r="D57" t="str">
            <v>1 UND</v>
          </cell>
          <cell r="E57" t="str">
            <v>15/02/2020</v>
          </cell>
          <cell r="F57">
            <v>114.648</v>
          </cell>
        </row>
        <row r="58">
          <cell r="A58" t="str">
            <v>1950958</v>
          </cell>
          <cell r="B58" t="str">
            <v>ORLA #2 P/LATA NAVIDEÑA (UND)</v>
          </cell>
          <cell r="C58" t="str">
            <v>1950958</v>
          </cell>
          <cell r="D58" t="str">
            <v>1 UND</v>
          </cell>
          <cell r="E58" t="str">
            <v>09/01/2020</v>
          </cell>
          <cell r="F58">
            <v>115</v>
          </cell>
        </row>
        <row r="59">
          <cell r="A59" t="str">
            <v>1950699</v>
          </cell>
          <cell r="B59" t="str">
            <v>BASE PARA ROSQUETE UND</v>
          </cell>
          <cell r="C59" t="str">
            <v>1950699</v>
          </cell>
          <cell r="D59" t="str">
            <v>1 UND</v>
          </cell>
          <cell r="E59" t="str">
            <v>05/03/2020</v>
          </cell>
          <cell r="F59">
            <v>125</v>
          </cell>
          <cell r="G59" t="str">
            <v>UND</v>
          </cell>
          <cell r="H59">
            <v>125</v>
          </cell>
        </row>
        <row r="60">
          <cell r="A60" t="str">
            <v>51400025</v>
          </cell>
          <cell r="B60" t="str">
            <v>BANDEJA FIBRA 2 DIVISIONES (PAQ:50 UND)</v>
          </cell>
          <cell r="C60" t="str">
            <v>51400025</v>
          </cell>
          <cell r="D60" t="str">
            <v>1 PAQUETE</v>
          </cell>
          <cell r="E60" t="str">
            <v>21/01/2020</v>
          </cell>
          <cell r="F60">
            <v>127.78</v>
          </cell>
        </row>
        <row r="61">
          <cell r="A61" t="str">
            <v>51400031</v>
          </cell>
          <cell r="B61" t="str">
            <v>TAPA FIBRA BANDEJA 3 DIV  (PAQ:50 UND)</v>
          </cell>
          <cell r="C61" t="str">
            <v>51400031</v>
          </cell>
          <cell r="D61" t="str">
            <v>1 PAQUETE</v>
          </cell>
          <cell r="E61" t="str">
            <v>04/03/2020</v>
          </cell>
          <cell r="F61">
            <v>127.78</v>
          </cell>
        </row>
        <row r="62">
          <cell r="A62" t="str">
            <v>51400022</v>
          </cell>
          <cell r="B62" t="str">
            <v>BOWL FIBRA 24 ONZ COMPOST (PAQ:125 UND)</v>
          </cell>
          <cell r="C62" t="str">
            <v>51400022</v>
          </cell>
          <cell r="D62" t="str">
            <v>1 PAQUETE</v>
          </cell>
          <cell r="E62" t="str">
            <v>05/03/2020</v>
          </cell>
          <cell r="F62">
            <v>127.8</v>
          </cell>
        </row>
        <row r="63">
          <cell r="A63" t="str">
            <v>51400026</v>
          </cell>
          <cell r="B63" t="str">
            <v>BANDEJA FIBRA 3 DIVISIONES (PAQ:50 UND)</v>
          </cell>
          <cell r="C63" t="str">
            <v>51400026</v>
          </cell>
          <cell r="D63" t="str">
            <v>1 PAQUETE</v>
          </cell>
          <cell r="E63" t="str">
            <v>04/03/2020</v>
          </cell>
          <cell r="F63">
            <v>146.94</v>
          </cell>
        </row>
        <row r="64">
          <cell r="A64" t="str">
            <v>516000002</v>
          </cell>
          <cell r="B64" t="str">
            <v>LAMINA ACETATO (UND)</v>
          </cell>
          <cell r="C64" t="str">
            <v>516000002</v>
          </cell>
          <cell r="D64" t="str">
            <v>1 UND</v>
          </cell>
          <cell r="E64" t="str">
            <v>26/12/2019</v>
          </cell>
          <cell r="F64">
            <v>155</v>
          </cell>
        </row>
        <row r="65">
          <cell r="A65" t="str">
            <v>1950811</v>
          </cell>
          <cell r="B65" t="str">
            <v>BASE CARTON 15 PORCIONES UND</v>
          </cell>
          <cell r="C65" t="str">
            <v>1950811</v>
          </cell>
          <cell r="D65" t="str">
            <v>1 UND</v>
          </cell>
          <cell r="E65" t="str">
            <v>02/03/2020</v>
          </cell>
          <cell r="F65">
            <v>165</v>
          </cell>
        </row>
        <row r="66">
          <cell r="A66" t="str">
            <v>51400023</v>
          </cell>
          <cell r="B66" t="str">
            <v>BOWL FIBRA 32 ONZ COMPOST (PAQ:125 UND)</v>
          </cell>
          <cell r="C66" t="str">
            <v>51400023</v>
          </cell>
          <cell r="D66" t="str">
            <v>1 PAQUETE</v>
          </cell>
          <cell r="E66" t="str">
            <v>05/03/2020</v>
          </cell>
          <cell r="F66">
            <v>178.88</v>
          </cell>
        </row>
        <row r="67">
          <cell r="A67" t="str">
            <v>510000016</v>
          </cell>
          <cell r="B67" t="str">
            <v>CARTON RECTA PEQ 1/2 QUEQUE CRISTAL(UND)</v>
          </cell>
          <cell r="C67" t="str">
            <v>510000016</v>
          </cell>
          <cell r="D67" t="str">
            <v>1 UND</v>
          </cell>
          <cell r="E67" t="str">
            <v>28/01/2020</v>
          </cell>
          <cell r="F67">
            <v>180</v>
          </cell>
        </row>
        <row r="68">
          <cell r="A68" t="str">
            <v>1952445</v>
          </cell>
          <cell r="B68" t="str">
            <v>CAJA SIX PACK MUSMANNI (UND)</v>
          </cell>
          <cell r="C68" t="str">
            <v>1952445</v>
          </cell>
          <cell r="D68" t="str">
            <v>1 UND</v>
          </cell>
          <cell r="E68" t="str">
            <v>02/03/2020</v>
          </cell>
          <cell r="F68">
            <v>185</v>
          </cell>
        </row>
        <row r="69">
          <cell r="A69" t="str">
            <v>51600015</v>
          </cell>
          <cell r="B69" t="str">
            <v>CINTA TRANS 1X40 (DELGADA)</v>
          </cell>
          <cell r="C69" t="str">
            <v>51600015</v>
          </cell>
          <cell r="D69" t="str">
            <v>1 UND</v>
          </cell>
          <cell r="E69" t="str">
            <v>07/02/2020</v>
          </cell>
          <cell r="F69">
            <v>190</v>
          </cell>
        </row>
        <row r="70">
          <cell r="A70" t="str">
            <v>50400003</v>
          </cell>
          <cell r="B70" t="str">
            <v>CAJA MUSMANNI #2 (UND)</v>
          </cell>
          <cell r="C70" t="str">
            <v>50400003</v>
          </cell>
          <cell r="D70" t="str">
            <v>1 UND</v>
          </cell>
          <cell r="E70" t="str">
            <v>13/02/2020</v>
          </cell>
          <cell r="F70">
            <v>195</v>
          </cell>
          <cell r="G70" t="str">
            <v>UND</v>
          </cell>
          <cell r="H70">
            <v>195</v>
          </cell>
        </row>
        <row r="71">
          <cell r="A71" t="str">
            <v>1950756</v>
          </cell>
          <cell r="B71" t="str">
            <v>BANDEJA ALUM DESE #4040 6 POR (UND)</v>
          </cell>
          <cell r="C71" t="str">
            <v>1950756</v>
          </cell>
          <cell r="D71" t="str">
            <v>1 UND</v>
          </cell>
          <cell r="E71" t="str">
            <v>05/03/2020</v>
          </cell>
          <cell r="F71">
            <v>199.696</v>
          </cell>
          <cell r="G71" t="str">
            <v>UND</v>
          </cell>
          <cell r="H71">
            <v>199.696</v>
          </cell>
        </row>
        <row r="72">
          <cell r="A72" t="str">
            <v>1950829</v>
          </cell>
          <cell r="B72" t="str">
            <v>BASE CARTON 30 PORCIONES UND</v>
          </cell>
          <cell r="C72" t="str">
            <v>1950829</v>
          </cell>
          <cell r="D72" t="str">
            <v>1 UND</v>
          </cell>
          <cell r="E72" t="str">
            <v>02/03/2020</v>
          </cell>
          <cell r="F72">
            <v>212</v>
          </cell>
        </row>
        <row r="73">
          <cell r="A73" t="str">
            <v>510000015</v>
          </cell>
          <cell r="B73" t="str">
            <v>BASE RECTAGULAR GRANDE (UND)</v>
          </cell>
          <cell r="C73" t="str">
            <v>510000015</v>
          </cell>
          <cell r="D73" t="str">
            <v xml:space="preserve">1 UND </v>
          </cell>
          <cell r="E73" t="str">
            <v>28/01/2020</v>
          </cell>
          <cell r="F73">
            <v>220</v>
          </cell>
        </row>
        <row r="74">
          <cell r="A74" t="str">
            <v>51500035</v>
          </cell>
          <cell r="B74" t="str">
            <v>TAPA DOMO PLAST BAND ALUM 394 (CJ:100)</v>
          </cell>
          <cell r="C74" t="str">
            <v>51500035</v>
          </cell>
          <cell r="D74" t="str">
            <v>1 UND</v>
          </cell>
          <cell r="E74" t="str">
            <v>13/02/2020</v>
          </cell>
          <cell r="F74">
            <v>233.22</v>
          </cell>
        </row>
        <row r="75">
          <cell r="A75" t="str">
            <v>510000013</v>
          </cell>
          <cell r="B75" t="str">
            <v>ORLA 13" C163 (UND)</v>
          </cell>
          <cell r="C75" t="str">
            <v>510000013</v>
          </cell>
          <cell r="D75" t="str">
            <v>1 UND</v>
          </cell>
          <cell r="E75" t="str">
            <v>06/01/2020</v>
          </cell>
          <cell r="F75">
            <v>235</v>
          </cell>
        </row>
        <row r="76">
          <cell r="A76" t="str">
            <v>510000014</v>
          </cell>
          <cell r="B76" t="str">
            <v>BASE CARTON ALUMINIO REDONDA # 12 (UND)</v>
          </cell>
          <cell r="C76" t="str">
            <v>510000014</v>
          </cell>
          <cell r="D76" t="str">
            <v>1 UND</v>
          </cell>
          <cell r="E76" t="str">
            <v>28/01/2020</v>
          </cell>
          <cell r="F76">
            <v>275</v>
          </cell>
        </row>
        <row r="77">
          <cell r="A77" t="str">
            <v>51000003</v>
          </cell>
          <cell r="B77" t="str">
            <v>ORLA 14.5" UND</v>
          </cell>
          <cell r="C77" t="str">
            <v>51000003</v>
          </cell>
          <cell r="D77" t="str">
            <v>1 UND</v>
          </cell>
          <cell r="E77" t="str">
            <v>20/12/2019</v>
          </cell>
          <cell r="F77">
            <v>305</v>
          </cell>
        </row>
        <row r="78">
          <cell r="A78" t="str">
            <v>1952919</v>
          </cell>
          <cell r="B78" t="str">
            <v>CAJA PRALINE 2 (UND)</v>
          </cell>
          <cell r="C78" t="str">
            <v>1952919</v>
          </cell>
          <cell r="D78" t="str">
            <v>1 UND</v>
          </cell>
          <cell r="E78" t="str">
            <v>03/03/2020</v>
          </cell>
          <cell r="F78">
            <v>325</v>
          </cell>
          <cell r="G78" t="str">
            <v>UND</v>
          </cell>
          <cell r="H78">
            <v>325</v>
          </cell>
        </row>
        <row r="79">
          <cell r="A79" t="str">
            <v>50100028</v>
          </cell>
          <cell r="B79" t="str">
            <v>BANDEJA ALUM 34*25 108 ONZ 394 (CJ:100)</v>
          </cell>
          <cell r="C79" t="str">
            <v>50100028</v>
          </cell>
          <cell r="D79" t="str">
            <v>1 UND</v>
          </cell>
          <cell r="E79" t="str">
            <v>13/02/2020</v>
          </cell>
          <cell r="F79">
            <v>348.46</v>
          </cell>
          <cell r="G79" t="str">
            <v>UND</v>
          </cell>
          <cell r="H79">
            <v>348.46</v>
          </cell>
        </row>
        <row r="80">
          <cell r="A80" t="str">
            <v>1952434</v>
          </cell>
          <cell r="B80" t="str">
            <v>CAJA SPOON #1 (20 UND) (INDUSTRIA)</v>
          </cell>
          <cell r="C80" t="str">
            <v>1952434</v>
          </cell>
          <cell r="D80" t="str">
            <v>1 UND</v>
          </cell>
          <cell r="E80" t="str">
            <v>05/03/2020</v>
          </cell>
          <cell r="F80">
            <v>460</v>
          </cell>
        </row>
        <row r="81">
          <cell r="A81" t="str">
            <v>1950921</v>
          </cell>
          <cell r="B81" t="str">
            <v>TAPA SUFLE PLAS 5/.75/1 OZ (PAQ:100 UND)</v>
          </cell>
          <cell r="C81" t="str">
            <v>1950921</v>
          </cell>
          <cell r="D81" t="str">
            <v>1 PAQUETE</v>
          </cell>
          <cell r="E81" t="str">
            <v>04/03/2020</v>
          </cell>
          <cell r="F81">
            <v>537.08000000000004</v>
          </cell>
          <cell r="G81" t="str">
            <v>UND</v>
          </cell>
          <cell r="H81">
            <v>5.3708</v>
          </cell>
        </row>
        <row r="82">
          <cell r="A82" t="str">
            <v>50500004</v>
          </cell>
          <cell r="B82" t="str">
            <v>CANDELA GLOBOS SURTIDO COLORES (UND)</v>
          </cell>
          <cell r="C82" t="str">
            <v>50500004</v>
          </cell>
          <cell r="D82" t="str">
            <v>1 UND</v>
          </cell>
          <cell r="E82" t="str">
            <v>04/03/2020</v>
          </cell>
          <cell r="F82">
            <v>550</v>
          </cell>
        </row>
        <row r="83">
          <cell r="A83" t="str">
            <v>1952910</v>
          </cell>
          <cell r="B83" t="str">
            <v>CAJA CARTON GRANDE</v>
          </cell>
          <cell r="C83" t="str">
            <v>1952910</v>
          </cell>
          <cell r="D83" t="str">
            <v>1 UND</v>
          </cell>
          <cell r="E83" t="str">
            <v>05/03/2020</v>
          </cell>
          <cell r="F83">
            <v>550</v>
          </cell>
        </row>
        <row r="84">
          <cell r="A84" t="str">
            <v>51600025</v>
          </cell>
          <cell r="B84" t="str">
            <v>ROLLOS PUNTO DE VENTA 3X3X2 (ROLLO)</v>
          </cell>
          <cell r="C84" t="str">
            <v>51600025</v>
          </cell>
          <cell r="D84" t="str">
            <v>1 ROLLO</v>
          </cell>
          <cell r="E84" t="str">
            <v>05/03/2020</v>
          </cell>
          <cell r="F84">
            <v>594</v>
          </cell>
        </row>
        <row r="85">
          <cell r="A85" t="str">
            <v>50500001</v>
          </cell>
          <cell r="B85" t="str">
            <v>CANDELA  FIGURA SURTIDAS MINION (UND)</v>
          </cell>
          <cell r="C85" t="str">
            <v>50500001</v>
          </cell>
          <cell r="D85" t="str">
            <v>1 UND</v>
          </cell>
          <cell r="E85" t="str">
            <v>29/11/2019</v>
          </cell>
          <cell r="F85">
            <v>745</v>
          </cell>
        </row>
        <row r="86">
          <cell r="A86" t="str">
            <v>50500005</v>
          </cell>
          <cell r="B86" t="str">
            <v>CANDELA FELIZ ESCARCHA SURTIDA (UND)</v>
          </cell>
          <cell r="C86" t="str">
            <v>50500005</v>
          </cell>
          <cell r="D86" t="str">
            <v>1 UND</v>
          </cell>
          <cell r="E86" t="str">
            <v>04/03/2020</v>
          </cell>
          <cell r="F86">
            <v>745</v>
          </cell>
        </row>
        <row r="87">
          <cell r="A87" t="str">
            <v>56009</v>
          </cell>
          <cell r="B87" t="str">
            <v>CANDELAS MAGICAS (PAQ:24 UND)</v>
          </cell>
          <cell r="C87" t="str">
            <v>56009</v>
          </cell>
          <cell r="D87" t="str">
            <v>1 PAQUETE</v>
          </cell>
          <cell r="E87" t="str">
            <v>14/12/2019</v>
          </cell>
          <cell r="F87">
            <v>750</v>
          </cell>
        </row>
        <row r="88">
          <cell r="A88" t="str">
            <v>50500003</v>
          </cell>
          <cell r="B88" t="str">
            <v>CANDELA CARITAS COLORES (UND)</v>
          </cell>
          <cell r="C88" t="str">
            <v>50500003</v>
          </cell>
          <cell r="D88" t="str">
            <v>1 UND</v>
          </cell>
          <cell r="E88" t="str">
            <v>02/03/2020</v>
          </cell>
          <cell r="F88">
            <v>765</v>
          </cell>
        </row>
        <row r="89">
          <cell r="A89" t="str">
            <v>51500015</v>
          </cell>
          <cell r="B89" t="str">
            <v>TAPA VASO BIO 8 ONZ (PAQ:50 UND)</v>
          </cell>
          <cell r="C89" t="str">
            <v>51500015</v>
          </cell>
          <cell r="D89" t="str">
            <v>1 PAQUETE</v>
          </cell>
          <cell r="E89" t="str">
            <v>27/02/2020</v>
          </cell>
          <cell r="F89">
            <v>788.25</v>
          </cell>
        </row>
        <row r="90">
          <cell r="A90" t="str">
            <v>51500013</v>
          </cell>
          <cell r="B90" t="str">
            <v>TAPA VASO BIODEGR 12,16 onz (PAQ:50 UND)</v>
          </cell>
          <cell r="C90" t="str">
            <v>51500013</v>
          </cell>
          <cell r="D90" t="str">
            <v>1 PAQ</v>
          </cell>
          <cell r="E90" t="str">
            <v>05/03/2020</v>
          </cell>
          <cell r="F90">
            <v>894.9</v>
          </cell>
        </row>
        <row r="91">
          <cell r="A91" t="str">
            <v>1950959</v>
          </cell>
          <cell r="B91" t="str">
            <v>TAPA PLASTI SUFLE 3.25 onz (PAQ:120 UND)</v>
          </cell>
          <cell r="C91" t="str">
            <v>1950959</v>
          </cell>
          <cell r="D91" t="str">
            <v>1 PAQUETE</v>
          </cell>
          <cell r="E91" t="str">
            <v>13/02/2020</v>
          </cell>
          <cell r="F91">
            <v>1126.8</v>
          </cell>
        </row>
        <row r="92">
          <cell r="A92" t="str">
            <v>50700026</v>
          </cell>
          <cell r="B92" t="str">
            <v>TAPA CONTE PAPEL BLANCO 8 ONZ (PAQ:50)</v>
          </cell>
          <cell r="C92" t="str">
            <v>50700026</v>
          </cell>
          <cell r="D92" t="str">
            <v>1 PAQUETE</v>
          </cell>
          <cell r="E92" t="str">
            <v>29/11/2019</v>
          </cell>
          <cell r="F92">
            <v>1143.55</v>
          </cell>
        </row>
        <row r="93">
          <cell r="A93" t="str">
            <v>50700028</v>
          </cell>
          <cell r="B93" t="str">
            <v>CONTENEDOR PLAS SUFLE 1 OZ (PAQ:200 UND)</v>
          </cell>
          <cell r="C93" t="str">
            <v>50700028</v>
          </cell>
          <cell r="D93" t="str">
            <v>1 PAQUETE</v>
          </cell>
          <cell r="E93" t="str">
            <v>05/03/2020</v>
          </cell>
          <cell r="F93">
            <v>1199.2</v>
          </cell>
          <cell r="G93" t="str">
            <v>UND</v>
          </cell>
          <cell r="H93">
            <v>5.9960000000000004</v>
          </cell>
        </row>
        <row r="94">
          <cell r="A94" t="str">
            <v>1840640</v>
          </cell>
          <cell r="B94" t="str">
            <v>BOLSAS TRANSP EXTRAGRANDE 37x55 KILO</v>
          </cell>
          <cell r="C94" t="str">
            <v>1840640</v>
          </cell>
          <cell r="D94" t="str">
            <v>1 KILO</v>
          </cell>
          <cell r="E94" t="str">
            <v>02/03/2020</v>
          </cell>
          <cell r="F94">
            <v>1350</v>
          </cell>
          <cell r="G94" t="str">
            <v>UND</v>
          </cell>
          <cell r="H94">
            <v>90</v>
          </cell>
        </row>
        <row r="95">
          <cell r="A95" t="str">
            <v>401000004</v>
          </cell>
          <cell r="B95" t="str">
            <v>BOLSA TRANSPARENTE 7X9X4 KILO</v>
          </cell>
          <cell r="C95" t="str">
            <v>401000004</v>
          </cell>
          <cell r="D95" t="str">
            <v>1 KILO</v>
          </cell>
          <cell r="E95" t="str">
            <v>27/01/2020</v>
          </cell>
          <cell r="F95">
            <v>1400</v>
          </cell>
        </row>
        <row r="96">
          <cell r="A96" t="str">
            <v>401000006</v>
          </cell>
          <cell r="B96" t="str">
            <v>BOLSA TRANSPARENTE 10X12X4 KILO</v>
          </cell>
          <cell r="C96" t="str">
            <v>401000006</v>
          </cell>
          <cell r="D96" t="str">
            <v>1 KILO</v>
          </cell>
          <cell r="E96" t="str">
            <v>27/01/2020</v>
          </cell>
          <cell r="F96">
            <v>1400</v>
          </cell>
        </row>
        <row r="97">
          <cell r="A97" t="str">
            <v>401000002</v>
          </cell>
          <cell r="B97" t="str">
            <v>BOLSA TRANSPARENTE 6X6X4 KILO</v>
          </cell>
          <cell r="C97" t="str">
            <v>401000002</v>
          </cell>
          <cell r="D97" t="str">
            <v>1 KILO</v>
          </cell>
          <cell r="E97" t="str">
            <v>29/01/2020</v>
          </cell>
          <cell r="F97">
            <v>1400</v>
          </cell>
          <cell r="G97" t="str">
            <v>UND</v>
          </cell>
          <cell r="H97">
            <v>3.2558139534883721</v>
          </cell>
        </row>
        <row r="98">
          <cell r="A98" t="str">
            <v>401000005</v>
          </cell>
          <cell r="B98" t="str">
            <v>BOLSA TRANSPARENTE 8X10X4 KILO</v>
          </cell>
          <cell r="C98" t="str">
            <v>401000005</v>
          </cell>
          <cell r="D98" t="str">
            <v>1 KILO</v>
          </cell>
          <cell r="E98" t="str">
            <v>07/02/2020</v>
          </cell>
          <cell r="F98">
            <v>1400</v>
          </cell>
        </row>
        <row r="99">
          <cell r="A99" t="str">
            <v>401000003</v>
          </cell>
          <cell r="B99" t="str">
            <v>BOLSA TRANSPARENTE 6X8X4 KILO</v>
          </cell>
          <cell r="C99" t="str">
            <v>401000003</v>
          </cell>
          <cell r="D99" t="str">
            <v>1 KILO</v>
          </cell>
          <cell r="E99" t="str">
            <v>14/02/2020</v>
          </cell>
          <cell r="F99">
            <v>1400</v>
          </cell>
        </row>
        <row r="100">
          <cell r="A100" t="str">
            <v>1950703</v>
          </cell>
          <cell r="B100" t="str">
            <v>BOLSA IMP. SPOON CAMI 8*16 KILO</v>
          </cell>
          <cell r="C100" t="str">
            <v>1950703</v>
          </cell>
          <cell r="D100" t="str">
            <v>1 KILO</v>
          </cell>
          <cell r="E100" t="str">
            <v>14/02/2020</v>
          </cell>
          <cell r="F100">
            <v>1400</v>
          </cell>
        </row>
        <row r="101">
          <cell r="A101" t="str">
            <v>1950708</v>
          </cell>
          <cell r="B101" t="str">
            <v>BOLSA 17x25 TRANSP KILO</v>
          </cell>
          <cell r="C101" t="str">
            <v>1950708</v>
          </cell>
          <cell r="D101" t="str">
            <v>1 KILO</v>
          </cell>
          <cell r="E101" t="str">
            <v>21/02/2020</v>
          </cell>
          <cell r="F101">
            <v>1400</v>
          </cell>
          <cell r="G101" t="str">
            <v>UND</v>
          </cell>
          <cell r="H101">
            <v>33.333333333333336</v>
          </cell>
        </row>
        <row r="102">
          <cell r="A102" t="str">
            <v>1950928</v>
          </cell>
          <cell r="B102" t="str">
            <v>BOLSA TRANSPARENTE 56X96X1.80 KILO</v>
          </cell>
          <cell r="C102" t="str">
            <v>1950928</v>
          </cell>
          <cell r="D102" t="str">
            <v>1 KILO</v>
          </cell>
          <cell r="E102" t="str">
            <v>21/02/2020</v>
          </cell>
          <cell r="F102">
            <v>1400</v>
          </cell>
          <cell r="G102" t="str">
            <v>UND</v>
          </cell>
          <cell r="H102">
            <v>50</v>
          </cell>
        </row>
        <row r="103">
          <cell r="A103" t="str">
            <v>1950904</v>
          </cell>
          <cell r="B103" t="str">
            <v>BOLSA TRANSPARENTE  6 X 10 KILO</v>
          </cell>
          <cell r="C103" t="str">
            <v>1950904</v>
          </cell>
          <cell r="D103" t="str">
            <v>1 KILO</v>
          </cell>
          <cell r="E103" t="str">
            <v>02/03/2020</v>
          </cell>
          <cell r="F103">
            <v>1400</v>
          </cell>
          <cell r="G103" t="str">
            <v>UND</v>
          </cell>
          <cell r="H103">
            <v>4.1916167664670656</v>
          </cell>
        </row>
        <row r="104">
          <cell r="A104" t="str">
            <v>1950705</v>
          </cell>
          <cell r="B104" t="str">
            <v>BOLSA 8x12 TRANSPARENTE KILO</v>
          </cell>
          <cell r="C104" t="str">
            <v>1950705</v>
          </cell>
          <cell r="D104" t="str">
            <v xml:space="preserve">1 KILO  </v>
          </cell>
          <cell r="E104" t="str">
            <v>02/03/2020</v>
          </cell>
          <cell r="F104">
            <v>1400</v>
          </cell>
          <cell r="G104" t="str">
            <v>UND</v>
          </cell>
          <cell r="H104">
            <v>7</v>
          </cell>
        </row>
        <row r="105">
          <cell r="A105" t="str">
            <v>1950702</v>
          </cell>
          <cell r="B105" t="str">
            <v>BOLSA 12x18 TRANSP KILO</v>
          </cell>
          <cell r="C105" t="str">
            <v>1950702</v>
          </cell>
          <cell r="D105" t="str">
            <v xml:space="preserve">1 KILO </v>
          </cell>
          <cell r="E105" t="str">
            <v>02/03/2020</v>
          </cell>
          <cell r="F105">
            <v>1400</v>
          </cell>
          <cell r="G105" t="str">
            <v>UND</v>
          </cell>
          <cell r="H105">
            <v>11.2</v>
          </cell>
        </row>
        <row r="106">
          <cell r="A106" t="str">
            <v>1950704</v>
          </cell>
          <cell r="B106" t="str">
            <v>BOLSA 5x8 TRANSPARENTE KILO</v>
          </cell>
          <cell r="C106" t="str">
            <v>1950704</v>
          </cell>
          <cell r="D106" t="str">
            <v xml:space="preserve">1 KILO </v>
          </cell>
          <cell r="E106" t="str">
            <v>04/03/2020</v>
          </cell>
          <cell r="F106">
            <v>1400</v>
          </cell>
          <cell r="G106" t="str">
            <v>UND</v>
          </cell>
          <cell r="H106">
            <v>2.8</v>
          </cell>
        </row>
        <row r="107">
          <cell r="A107" t="str">
            <v>51500036</v>
          </cell>
          <cell r="B107" t="str">
            <v xml:space="preserve">TAPA PLAS PLANA S/HOYO 9/12/20 (10/100) </v>
          </cell>
          <cell r="C107" t="str">
            <v>51500036</v>
          </cell>
          <cell r="D107" t="str">
            <v>1 PAQUETE</v>
          </cell>
          <cell r="E107" t="str">
            <v>05/03/2020</v>
          </cell>
          <cell r="F107">
            <v>1449.7</v>
          </cell>
        </row>
        <row r="108">
          <cell r="A108" t="str">
            <v>703020</v>
          </cell>
          <cell r="B108" t="str">
            <v>CINTA ADHESIVA TRANSPARENTE 2*100 MTS</v>
          </cell>
          <cell r="C108" t="str">
            <v>0703020</v>
          </cell>
          <cell r="D108" t="str">
            <v>1 UND</v>
          </cell>
          <cell r="E108" t="str">
            <v>14/02/2020</v>
          </cell>
          <cell r="F108">
            <v>1450</v>
          </cell>
          <cell r="G108" t="str">
            <v>Centimetros</v>
          </cell>
          <cell r="H108">
            <v>0.14499999999999999</v>
          </cell>
        </row>
        <row r="109">
          <cell r="A109" t="str">
            <v>50700029</v>
          </cell>
          <cell r="B109" t="str">
            <v>CONTENEDOR SUFLE 2 ONZ (PAQ:200 UND)</v>
          </cell>
          <cell r="C109" t="str">
            <v>50700029</v>
          </cell>
          <cell r="D109" t="str">
            <v>1 PAQUETE</v>
          </cell>
          <cell r="E109" t="str">
            <v>05/03/2020</v>
          </cell>
          <cell r="F109">
            <v>1480.5833333333301</v>
          </cell>
        </row>
        <row r="110">
          <cell r="A110" t="str">
            <v>51500014</v>
          </cell>
          <cell r="B110" t="str">
            <v>VASO BIODEGRADABLE 8 onz (PAQ:25 UND)</v>
          </cell>
          <cell r="C110" t="str">
            <v>51500014</v>
          </cell>
          <cell r="D110" t="str">
            <v>1 PAQUETE</v>
          </cell>
          <cell r="E110" t="str">
            <v>05/03/2020</v>
          </cell>
          <cell r="F110">
            <v>1484.75</v>
          </cell>
        </row>
        <row r="111">
          <cell r="A111" t="str">
            <v>51500012</v>
          </cell>
          <cell r="B111" t="str">
            <v>VASO BIODEGRADABLE 12 ONZ (PAQ:25 UND)</v>
          </cell>
          <cell r="C111" t="str">
            <v>51500012</v>
          </cell>
          <cell r="D111" t="str">
            <v>1 PAQUETE</v>
          </cell>
          <cell r="E111" t="str">
            <v>05/03/2020</v>
          </cell>
          <cell r="F111">
            <v>1496.7</v>
          </cell>
        </row>
        <row r="112">
          <cell r="A112" t="str">
            <v>51500033</v>
          </cell>
          <cell r="B112" t="str">
            <v>VASO PLASTICO FABRIKAL 9 ONZ (20/50 UND)</v>
          </cell>
          <cell r="C112" t="str">
            <v>51500033</v>
          </cell>
          <cell r="D112" t="str">
            <v>1 PAQUETE</v>
          </cell>
          <cell r="E112" t="str">
            <v>16/01/2020</v>
          </cell>
          <cell r="F112">
            <v>1647.9</v>
          </cell>
        </row>
        <row r="113">
          <cell r="A113" t="str">
            <v>50700027</v>
          </cell>
          <cell r="B113" t="str">
            <v>TAPA PLAST P/CONT PAPEL 12 ONZ(PAQ:50)</v>
          </cell>
          <cell r="C113" t="str">
            <v>50700027</v>
          </cell>
          <cell r="D113" t="str">
            <v>1 PAQ</v>
          </cell>
          <cell r="E113" t="str">
            <v>29/11/2019</v>
          </cell>
          <cell r="F113">
            <v>1657.1880000000001</v>
          </cell>
        </row>
        <row r="114">
          <cell r="A114" t="str">
            <v>515000012</v>
          </cell>
          <cell r="B114" t="str">
            <v>VASO CARTON NESCAFE 8OZ (PAQ:50 UND)</v>
          </cell>
          <cell r="C114" t="str">
            <v>515000012</v>
          </cell>
          <cell r="D114" t="str">
            <v>1 PAQUETE</v>
          </cell>
          <cell r="E114" t="str">
            <v>22/02/2020</v>
          </cell>
          <cell r="F114">
            <v>1666</v>
          </cell>
        </row>
        <row r="115">
          <cell r="A115" t="str">
            <v>51500027</v>
          </cell>
          <cell r="B115" t="str">
            <v>VASO A-9 OZ APC9 (CAJA:1000/PAQ:50 UND)</v>
          </cell>
          <cell r="C115" t="str">
            <v>51500027</v>
          </cell>
          <cell r="D115" t="str">
            <v>1 PAQ</v>
          </cell>
          <cell r="E115" t="str">
            <v>29/11/2019</v>
          </cell>
          <cell r="F115">
            <v>1710.5</v>
          </cell>
        </row>
        <row r="116">
          <cell r="A116" t="str">
            <v>50700024</v>
          </cell>
          <cell r="B116" t="str">
            <v>CONTENEDOR PAPEL 12 ONZAS (PAQ:50 UND)</v>
          </cell>
          <cell r="C116" t="str">
            <v>50700024</v>
          </cell>
          <cell r="D116" t="str">
            <v>1 PAQUETE</v>
          </cell>
          <cell r="E116" t="str">
            <v>29/11/2019</v>
          </cell>
          <cell r="F116">
            <v>1784.3</v>
          </cell>
        </row>
        <row r="117">
          <cell r="A117" t="str">
            <v>1950786</v>
          </cell>
          <cell r="B117" t="str">
            <v>BOLSA IMP. SPOON CAMI 12*25 KILO</v>
          </cell>
          <cell r="C117" t="str">
            <v>1950786</v>
          </cell>
          <cell r="D117" t="str">
            <v>1 KILO</v>
          </cell>
          <cell r="E117" t="str">
            <v>02/03/2020</v>
          </cell>
          <cell r="F117">
            <v>1850</v>
          </cell>
        </row>
        <row r="118">
          <cell r="A118" t="str">
            <v>1950741</v>
          </cell>
          <cell r="B118" t="str">
            <v>VASO 3.25 OZ (PAQ*200 UND)</v>
          </cell>
          <cell r="C118" t="str">
            <v>1950741</v>
          </cell>
          <cell r="D118" t="str">
            <v>1 PAQUETE</v>
          </cell>
          <cell r="E118" t="str">
            <v>25/11/2019</v>
          </cell>
          <cell r="F118">
            <v>2053</v>
          </cell>
        </row>
        <row r="119">
          <cell r="A119" t="str">
            <v>51500034</v>
          </cell>
          <cell r="B119" t="str">
            <v>TAPA PLAST DOMO SUNDAE POLAR 9 (10/100)</v>
          </cell>
          <cell r="C119" t="str">
            <v>51500034</v>
          </cell>
          <cell r="D119" t="str">
            <v>1 PAQUETE</v>
          </cell>
          <cell r="E119" t="str">
            <v>20/01/2020</v>
          </cell>
          <cell r="F119">
            <v>2472.3000000000002</v>
          </cell>
        </row>
        <row r="120">
          <cell r="A120" t="str">
            <v>1952831</v>
          </cell>
          <cell r="B120" t="str">
            <v>TAPA NESCAFE 12/14/16  ONZ (PAQ:100 UND)</v>
          </cell>
          <cell r="C120" t="str">
            <v>1952831</v>
          </cell>
          <cell r="D120" t="str">
            <v>1 PAQUETE</v>
          </cell>
          <cell r="E120" t="str">
            <v>27/12/2019</v>
          </cell>
          <cell r="F120">
            <v>2490</v>
          </cell>
        </row>
        <row r="121">
          <cell r="A121" t="str">
            <v>1950771</v>
          </cell>
          <cell r="B121" t="str">
            <v>PAPEL ENCERADO 10X10 (CAJA)</v>
          </cell>
          <cell r="C121" t="str">
            <v>1950771</v>
          </cell>
          <cell r="D121" t="str">
            <v>1 CAJA</v>
          </cell>
          <cell r="E121" t="str">
            <v>27/02/2020</v>
          </cell>
          <cell r="F121">
            <v>2774</v>
          </cell>
          <cell r="G121" t="str">
            <v>Und</v>
          </cell>
          <cell r="H121">
            <v>5.0436363636363639</v>
          </cell>
        </row>
        <row r="122">
          <cell r="A122" t="str">
            <v>50700040</v>
          </cell>
          <cell r="B122" t="str">
            <v>CONTENEDOR PLAST  4 OZ  (15/200 UND)</v>
          </cell>
          <cell r="C122" t="str">
            <v>50700040</v>
          </cell>
          <cell r="D122" t="str">
            <v>1 PAQUETE</v>
          </cell>
          <cell r="E122" t="str">
            <v>16/01/2020</v>
          </cell>
          <cell r="F122">
            <v>3255.4666666666699</v>
          </cell>
        </row>
        <row r="123">
          <cell r="A123" t="str">
            <v>1950772</v>
          </cell>
          <cell r="B123" t="str">
            <v>PAPEL ENCERADO 12 X 10 (CAJA:500 UND)</v>
          </cell>
          <cell r="C123" t="str">
            <v>1950772</v>
          </cell>
          <cell r="D123" t="str">
            <v>1 CAJA</v>
          </cell>
          <cell r="E123" t="str">
            <v>22/02/2020</v>
          </cell>
          <cell r="F123">
            <v>3497</v>
          </cell>
          <cell r="G123" t="str">
            <v>UND</v>
          </cell>
          <cell r="H123">
            <v>6.9939999999999998</v>
          </cell>
        </row>
        <row r="124">
          <cell r="A124" t="str">
            <v>1952400</v>
          </cell>
          <cell r="B124" t="str">
            <v>BOLSA BUCCA PALMERITAS (10*20CM)( KILO )</v>
          </cell>
          <cell r="C124" t="str">
            <v>1952400</v>
          </cell>
          <cell r="D124" t="str">
            <v>1 KILO</v>
          </cell>
          <cell r="E124" t="str">
            <v>01/02/2020</v>
          </cell>
          <cell r="F124">
            <v>3916.8</v>
          </cell>
        </row>
        <row r="125">
          <cell r="A125" t="str">
            <v>1952856</v>
          </cell>
          <cell r="B125" t="str">
            <v>BOLSA TRANSPARENTE 76X24X210 (KILO)</v>
          </cell>
          <cell r="C125" t="str">
            <v>1952856</v>
          </cell>
          <cell r="D125" t="str">
            <v>1 KILO</v>
          </cell>
          <cell r="E125" t="str">
            <v>21/02/2020</v>
          </cell>
          <cell r="F125">
            <v>3930.4</v>
          </cell>
        </row>
        <row r="126">
          <cell r="A126" t="str">
            <v>1950797</v>
          </cell>
          <cell r="B126" t="str">
            <v>VASO PLAST. TRASL 16OZ (PAQ:50 UND)</v>
          </cell>
          <cell r="C126" t="str">
            <v>1950797</v>
          </cell>
          <cell r="D126" t="str">
            <v>1 PAQUETE</v>
          </cell>
          <cell r="E126" t="str">
            <v>22/02/2020</v>
          </cell>
          <cell r="F126">
            <v>4024</v>
          </cell>
        </row>
        <row r="127">
          <cell r="A127" t="str">
            <v>1950895</v>
          </cell>
          <cell r="B127" t="str">
            <v>BOLSA CELOFAN 6 X 9 (KILO)</v>
          </cell>
          <cell r="C127" t="str">
            <v>1950895</v>
          </cell>
          <cell r="D127" t="str">
            <v>1 KILO</v>
          </cell>
          <cell r="E127" t="str">
            <v>27/02/2020</v>
          </cell>
          <cell r="F127">
            <v>4227.38</v>
          </cell>
        </row>
        <row r="128">
          <cell r="A128" t="str">
            <v>1950873</v>
          </cell>
          <cell r="B128" t="str">
            <v>BOLSA CELOFAN 30X45 (KILO)</v>
          </cell>
          <cell r="C128" t="str">
            <v>1950873</v>
          </cell>
          <cell r="D128" t="str">
            <v>1 KILO</v>
          </cell>
          <cell r="E128" t="str">
            <v>15/01/2020</v>
          </cell>
          <cell r="F128">
            <v>4254.79</v>
          </cell>
        </row>
        <row r="129">
          <cell r="A129" t="str">
            <v>1952826</v>
          </cell>
          <cell r="B129" t="str">
            <v>TAPA DOMO P/VASO TRASL 16onz ( PAQ*100)</v>
          </cell>
          <cell r="C129" t="str">
            <v>1952826</v>
          </cell>
          <cell r="D129" t="str">
            <v>1 PAQUETE</v>
          </cell>
          <cell r="E129" t="str">
            <v>22/02/2020</v>
          </cell>
          <cell r="F129">
            <v>4361</v>
          </cell>
        </row>
        <row r="130">
          <cell r="A130" t="str">
            <v>512000001</v>
          </cell>
          <cell r="B130" t="str">
            <v>PLASTICO P PALETIZAR 18X1500</v>
          </cell>
          <cell r="C130" t="str">
            <v>512000001</v>
          </cell>
          <cell r="D130" t="str">
            <v>1 UND</v>
          </cell>
          <cell r="E130" t="str">
            <v>07/02/2020</v>
          </cell>
          <cell r="F130">
            <v>4800</v>
          </cell>
        </row>
        <row r="131">
          <cell r="A131" t="str">
            <v>51600006</v>
          </cell>
          <cell r="B131" t="str">
            <v>ROLLO CINTA RASO 45 MTS COLOR ORO (UND)</v>
          </cell>
          <cell r="C131" t="str">
            <v>51600006</v>
          </cell>
          <cell r="D131" t="str">
            <v>1 UND</v>
          </cell>
          <cell r="E131" t="str">
            <v>06/01/2020</v>
          </cell>
          <cell r="F131">
            <v>5950</v>
          </cell>
        </row>
        <row r="132">
          <cell r="A132" t="str">
            <v>51400020</v>
          </cell>
          <cell r="B132" t="str">
            <v>BURBUJA I-3 ALTA (CAJA:250 UND)</v>
          </cell>
          <cell r="C132" t="str">
            <v>51400020</v>
          </cell>
          <cell r="D132" t="str">
            <v>1 CAJA</v>
          </cell>
          <cell r="E132" t="str">
            <v>11/02/2020</v>
          </cell>
          <cell r="F132">
            <v>7035.81</v>
          </cell>
          <cell r="G132" t="str">
            <v>UND</v>
          </cell>
          <cell r="H132">
            <v>28.143240000000002</v>
          </cell>
        </row>
        <row r="133">
          <cell r="A133" t="str">
            <v>50600003</v>
          </cell>
          <cell r="B133" t="str">
            <v>CAPSULA # 5 BLANCA (PAQ:1000 UND)</v>
          </cell>
          <cell r="C133" t="str">
            <v>50600003</v>
          </cell>
          <cell r="D133" t="str">
            <v>1 PAQUETE</v>
          </cell>
          <cell r="E133" t="str">
            <v>27/12/2019</v>
          </cell>
          <cell r="F133">
            <v>8600</v>
          </cell>
        </row>
        <row r="134">
          <cell r="A134" t="str">
            <v>1210415</v>
          </cell>
          <cell r="B134" t="str">
            <v>PABILO ROLLO</v>
          </cell>
          <cell r="C134" t="str">
            <v>1210415</v>
          </cell>
          <cell r="D134" t="str">
            <v>1 UND</v>
          </cell>
          <cell r="E134" t="str">
            <v>01/11/2019</v>
          </cell>
          <cell r="F134">
            <v>8990</v>
          </cell>
        </row>
        <row r="135">
          <cell r="A135" t="str">
            <v>1950765</v>
          </cell>
          <cell r="B135" t="str">
            <v>PLASTICO  AUTOAD (UND: 18 * 2000 M)</v>
          </cell>
          <cell r="C135" t="str">
            <v>1950765</v>
          </cell>
          <cell r="D135" t="str">
            <v>1 UND</v>
          </cell>
          <cell r="E135" t="str">
            <v>03/03/2020</v>
          </cell>
          <cell r="F135">
            <v>9813</v>
          </cell>
          <cell r="G135" t="str">
            <v>Cm</v>
          </cell>
          <cell r="H135">
            <v>4.9065000000000003</v>
          </cell>
        </row>
        <row r="136">
          <cell r="A136" t="str">
            <v>50700039</v>
          </cell>
          <cell r="B136" t="str">
            <v>TAPA UNIVERL POLI BOTE 16PP (CJ:500 UND)</v>
          </cell>
          <cell r="C136" t="str">
            <v>50700039</v>
          </cell>
          <cell r="D136" t="str">
            <v>1 CAJA</v>
          </cell>
          <cell r="E136" t="str">
            <v>28/01/2020</v>
          </cell>
          <cell r="F136">
            <v>10825.22</v>
          </cell>
        </row>
        <row r="137">
          <cell r="A137" t="str">
            <v>51400015</v>
          </cell>
          <cell r="B137" t="str">
            <v>QUEQUERA CHILENA (CAJA:50 UND)</v>
          </cell>
          <cell r="C137" t="str">
            <v>51400015</v>
          </cell>
          <cell r="D137" t="str">
            <v>1 CAJA</v>
          </cell>
          <cell r="E137" t="str">
            <v>05/03/2020</v>
          </cell>
          <cell r="F137">
            <v>12896</v>
          </cell>
          <cell r="G137" t="str">
            <v>UND</v>
          </cell>
          <cell r="H137">
            <v>257.92</v>
          </cell>
        </row>
        <row r="138">
          <cell r="A138" t="str">
            <v>50700007</v>
          </cell>
          <cell r="B138" t="str">
            <v>TAPA PLAST CONT KFC 4-8-16OZ (CAJA:1000)</v>
          </cell>
          <cell r="C138" t="str">
            <v>50700007</v>
          </cell>
          <cell r="D138" t="str">
            <v>1 CAJA</v>
          </cell>
          <cell r="E138" t="str">
            <v>05/03/2020</v>
          </cell>
          <cell r="F138">
            <v>13351</v>
          </cell>
        </row>
        <row r="139">
          <cell r="A139" t="str">
            <v>1952912</v>
          </cell>
          <cell r="B139" t="str">
            <v>CONTENEDOR TRIANGU ALTO (CAJA:200 UND)</v>
          </cell>
          <cell r="C139" t="str">
            <v>1952912</v>
          </cell>
          <cell r="D139" t="str">
            <v>1 CAJA</v>
          </cell>
          <cell r="E139" t="str">
            <v>22/02/2020</v>
          </cell>
          <cell r="F139">
            <v>14270</v>
          </cell>
        </row>
        <row r="140">
          <cell r="A140" t="str">
            <v>1950767</v>
          </cell>
          <cell r="B140" t="str">
            <v>PAPEL ALUMINIO 12 * 1000 (CAJA)</v>
          </cell>
          <cell r="C140" t="str">
            <v>1950767</v>
          </cell>
          <cell r="D140" t="str">
            <v>1 CAJA</v>
          </cell>
          <cell r="E140" t="str">
            <v>16/01/2020</v>
          </cell>
          <cell r="F140">
            <v>14758</v>
          </cell>
        </row>
        <row r="141">
          <cell r="A141" t="str">
            <v>1950896</v>
          </cell>
          <cell r="B141" t="str">
            <v>BANDEJA 17-1 NEGRA (PAQ:500 UND)</v>
          </cell>
          <cell r="C141" t="str">
            <v>1950896</v>
          </cell>
          <cell r="D141" t="str">
            <v>1 PAQUETE</v>
          </cell>
          <cell r="E141" t="str">
            <v>27/01/2020</v>
          </cell>
          <cell r="F141">
            <v>15040</v>
          </cell>
        </row>
        <row r="142">
          <cell r="A142" t="str">
            <v>51400016</v>
          </cell>
          <cell r="B142" t="str">
            <v>DOMO QUEQUERA 8" ALTA (CAJA:100 UND)</v>
          </cell>
          <cell r="C142" t="str">
            <v>51400016</v>
          </cell>
          <cell r="D142" t="str">
            <v>1 CAJA</v>
          </cell>
          <cell r="E142" t="str">
            <v>03/03/2020</v>
          </cell>
          <cell r="F142">
            <v>15551</v>
          </cell>
          <cell r="G142" t="str">
            <v>UND</v>
          </cell>
          <cell r="H142">
            <v>155.51</v>
          </cell>
        </row>
        <row r="143">
          <cell r="A143" t="str">
            <v>121208</v>
          </cell>
          <cell r="B143" t="str">
            <v>QUEQUERA PLAST 12 CENT (CAJA:250UND)</v>
          </cell>
          <cell r="C143" t="str">
            <v>121208</v>
          </cell>
          <cell r="D143" t="str">
            <v>1 CAJA</v>
          </cell>
          <cell r="E143" t="str">
            <v>05/03/2020</v>
          </cell>
          <cell r="F143">
            <v>16021</v>
          </cell>
        </row>
        <row r="144">
          <cell r="A144" t="str">
            <v>121603</v>
          </cell>
          <cell r="B144" t="str">
            <v>QUEQUERA RED  BASE/DOMO 10 (CAJA:50)</v>
          </cell>
          <cell r="C144" t="str">
            <v>121603</v>
          </cell>
          <cell r="D144" t="str">
            <v>1 CAJA</v>
          </cell>
          <cell r="E144" t="str">
            <v>05/03/2020</v>
          </cell>
          <cell r="F144">
            <v>16386</v>
          </cell>
          <cell r="G144" t="str">
            <v>UND</v>
          </cell>
          <cell r="H144">
            <v>327.72</v>
          </cell>
        </row>
        <row r="145">
          <cell r="A145" t="str">
            <v>50700044</v>
          </cell>
          <cell r="B145" t="str">
            <v>CONTENEDOR POLIPROP 8 ONZ (CJ:500 UND)</v>
          </cell>
          <cell r="C145" t="str">
            <v>50700044</v>
          </cell>
          <cell r="D145" t="str">
            <v>1 CAJA</v>
          </cell>
          <cell r="E145" t="str">
            <v>28/01/2020</v>
          </cell>
          <cell r="F145">
            <v>16576.87</v>
          </cell>
        </row>
        <row r="146">
          <cell r="A146" t="str">
            <v>1950865</v>
          </cell>
          <cell r="B146" t="str">
            <v>QUEQUERA 8 ALTA (CAJA:70 UND)</v>
          </cell>
          <cell r="C146" t="str">
            <v>1950865</v>
          </cell>
          <cell r="D146" t="str">
            <v>1 CAJA</v>
          </cell>
          <cell r="E146" t="str">
            <v>05/03/2020</v>
          </cell>
          <cell r="F146">
            <v>16752.04</v>
          </cell>
          <cell r="G146" t="str">
            <v>UND</v>
          </cell>
          <cell r="H146">
            <v>239.31485714285716</v>
          </cell>
        </row>
        <row r="147">
          <cell r="A147" t="str">
            <v>50100035</v>
          </cell>
          <cell r="B147" t="str">
            <v>TAPA CONT ALUMINIO 16 ONZ (CAJA:500 UND)</v>
          </cell>
          <cell r="C147" t="str">
            <v>50100035</v>
          </cell>
          <cell r="D147" t="str">
            <v>1 CAJA</v>
          </cell>
          <cell r="E147" t="str">
            <v>22/01/2020</v>
          </cell>
          <cell r="F147">
            <v>17230</v>
          </cell>
        </row>
        <row r="148">
          <cell r="A148" t="str">
            <v>5062011</v>
          </cell>
          <cell r="B148" t="str">
            <v>BURBUJA # 5 (CAJA:3/125UND)</v>
          </cell>
          <cell r="C148" t="str">
            <v>5062011</v>
          </cell>
          <cell r="D148" t="str">
            <v>1 CAJA</v>
          </cell>
          <cell r="E148" t="str">
            <v>05/03/2020</v>
          </cell>
          <cell r="F148">
            <v>18190</v>
          </cell>
          <cell r="G148" t="str">
            <v>UND</v>
          </cell>
          <cell r="H148">
            <v>66.145454545454541</v>
          </cell>
        </row>
        <row r="149">
          <cell r="A149" t="str">
            <v>51400017</v>
          </cell>
          <cell r="B149" t="str">
            <v>BASE QUEQUERA 8" ALTA (CAJA:200 UND)</v>
          </cell>
          <cell r="C149" t="str">
            <v>51400017</v>
          </cell>
          <cell r="D149" t="str">
            <v>1 CAJA</v>
          </cell>
          <cell r="E149" t="str">
            <v>03/03/2020</v>
          </cell>
          <cell r="F149">
            <v>18316</v>
          </cell>
          <cell r="G149" t="str">
            <v>UND</v>
          </cell>
        </row>
        <row r="150">
          <cell r="A150" t="str">
            <v>51100018</v>
          </cell>
          <cell r="B150" t="str">
            <v>PAPEL ENCERADO 12X12 (PAQ:1000 UND)</v>
          </cell>
          <cell r="C150" t="str">
            <v>51100018</v>
          </cell>
          <cell r="D150" t="str">
            <v>1 PAQUETE</v>
          </cell>
          <cell r="E150" t="str">
            <v>04/03/2020</v>
          </cell>
          <cell r="F150">
            <v>20570</v>
          </cell>
        </row>
        <row r="151">
          <cell r="A151" t="str">
            <v>1942315</v>
          </cell>
          <cell r="B151" t="str">
            <v>QUEQUERA 10" MEDIA (CAJA:66 UND)</v>
          </cell>
          <cell r="C151" t="str">
            <v>1942315</v>
          </cell>
          <cell r="D151" t="str">
            <v>1 CAJA</v>
          </cell>
          <cell r="E151" t="str">
            <v>05/03/2020</v>
          </cell>
          <cell r="F151">
            <v>20685.060000000001</v>
          </cell>
          <cell r="G151" t="str">
            <v>UND</v>
          </cell>
          <cell r="H151">
            <v>313.41000000000003</v>
          </cell>
        </row>
        <row r="152">
          <cell r="A152" t="str">
            <v>1950716</v>
          </cell>
          <cell r="B152" t="str">
            <v>BANDEJA  94121 24 OZ (CAJA:200 UND)</v>
          </cell>
          <cell r="C152" t="str">
            <v>1950716</v>
          </cell>
          <cell r="D152" t="str">
            <v>1 CAJA</v>
          </cell>
          <cell r="E152" t="str">
            <v>04/03/2020</v>
          </cell>
          <cell r="F152">
            <v>21981</v>
          </cell>
        </row>
        <row r="153">
          <cell r="A153" t="str">
            <v>51400019</v>
          </cell>
          <cell r="B153" t="str">
            <v>QUEQUERA 10 BAJA LOGO (CAJA:66 UND)</v>
          </cell>
          <cell r="C153" t="str">
            <v>51400019</v>
          </cell>
          <cell r="D153" t="str">
            <v>1 CAJA</v>
          </cell>
          <cell r="E153" t="str">
            <v>28/11/2019</v>
          </cell>
          <cell r="F153">
            <v>23500</v>
          </cell>
        </row>
        <row r="154">
          <cell r="A154" t="str">
            <v>50700006</v>
          </cell>
          <cell r="B154" t="str">
            <v xml:space="preserve">CONTENEDOR FOAM KFC 8OZ (CAJA:1000 UND) </v>
          </cell>
          <cell r="C154" t="str">
            <v>50700006</v>
          </cell>
          <cell r="D154" t="str">
            <v>1 CAJA</v>
          </cell>
          <cell r="E154" t="str">
            <v>05/03/2020</v>
          </cell>
          <cell r="F154">
            <v>23587</v>
          </cell>
        </row>
        <row r="155">
          <cell r="A155" t="str">
            <v>50700042</v>
          </cell>
          <cell r="B155" t="str">
            <v>CONT COSTILLA BASE DOMO OP3 (CJ:250 UND)</v>
          </cell>
          <cell r="C155" t="str">
            <v>50700042</v>
          </cell>
          <cell r="D155" t="str">
            <v>1 CAJA</v>
          </cell>
          <cell r="E155" t="str">
            <v>27/02/2020</v>
          </cell>
          <cell r="F155">
            <v>23825.1</v>
          </cell>
          <cell r="G155" t="str">
            <v>UND</v>
          </cell>
          <cell r="H155">
            <v>95.300399999999996</v>
          </cell>
        </row>
        <row r="156">
          <cell r="A156" t="str">
            <v>51400021</v>
          </cell>
          <cell r="B156" t="str">
            <v>QUEQUERA RED C/BASE ALTA 9" (CAJA:100 U)</v>
          </cell>
          <cell r="C156" t="str">
            <v>51400021</v>
          </cell>
          <cell r="D156" t="str">
            <v>1 CAJA</v>
          </cell>
          <cell r="E156" t="str">
            <v>03/03/2020</v>
          </cell>
          <cell r="F156">
            <v>24065</v>
          </cell>
        </row>
        <row r="157">
          <cell r="A157" t="str">
            <v>50100036</v>
          </cell>
          <cell r="B157" t="str">
            <v>MOLDE ALUMINIO 16 ONZ (CAJA:500 UND)</v>
          </cell>
          <cell r="C157" t="str">
            <v>50100036</v>
          </cell>
          <cell r="D157" t="str">
            <v>1 CAJA</v>
          </cell>
          <cell r="E157" t="str">
            <v>22/01/2020</v>
          </cell>
          <cell r="F157">
            <v>27100</v>
          </cell>
          <cell r="G157" t="str">
            <v>UND</v>
          </cell>
          <cell r="H157">
            <v>54.2</v>
          </cell>
        </row>
        <row r="158">
          <cell r="A158" t="str">
            <v>50700045</v>
          </cell>
          <cell r="B158" t="str">
            <v>BISAGRA 6 MANTECADA 24*16*8 (CJ:250 UND)</v>
          </cell>
          <cell r="C158" t="str">
            <v>50700045</v>
          </cell>
          <cell r="D158" t="str">
            <v>1 CAJA</v>
          </cell>
          <cell r="E158" t="str">
            <v>20/02/2020</v>
          </cell>
          <cell r="F158">
            <v>28769.96</v>
          </cell>
        </row>
        <row r="159">
          <cell r="A159" t="str">
            <v>1952851</v>
          </cell>
          <cell r="B159" t="str">
            <v>CONTENEDOR CUADRADO 9X9X5 (CAJA:600 UND)</v>
          </cell>
          <cell r="C159" t="str">
            <v>1952851</v>
          </cell>
          <cell r="D159" t="str">
            <v>1 CAJA</v>
          </cell>
          <cell r="E159" t="str">
            <v>09/12/2019</v>
          </cell>
          <cell r="F159">
            <v>30816</v>
          </cell>
        </row>
        <row r="160">
          <cell r="A160" t="str">
            <v>50400015</v>
          </cell>
          <cell r="B160" t="str">
            <v>CAJA MEDIANA OFFICE BREAK (CAJA:400 UND)</v>
          </cell>
          <cell r="C160" t="str">
            <v>50400015</v>
          </cell>
          <cell r="D160" t="str">
            <v>1 CAJA</v>
          </cell>
          <cell r="E160" t="str">
            <v>21/02/2020</v>
          </cell>
          <cell r="F160">
            <v>31600</v>
          </cell>
        </row>
        <row r="161">
          <cell r="A161" t="str">
            <v>0906036</v>
          </cell>
          <cell r="B161" t="str">
            <v>PAPEL MANTEQUILLA (CAJA= 1000 UND)</v>
          </cell>
          <cell r="C161" t="str">
            <v>0906036</v>
          </cell>
          <cell r="D161" t="str">
            <v>1 CAJA</v>
          </cell>
          <cell r="E161" t="str">
            <v>03/03/2020</v>
          </cell>
          <cell r="F161">
            <v>32000</v>
          </cell>
          <cell r="G161" t="str">
            <v>UND</v>
          </cell>
          <cell r="H161">
            <v>32</v>
          </cell>
        </row>
        <row r="162">
          <cell r="A162" t="str">
            <v>50400016</v>
          </cell>
          <cell r="B162" t="str">
            <v>CAJA GRANDE OFFICE BREAK (CAJA:280 UND)</v>
          </cell>
          <cell r="C162" t="str">
            <v>50400016</v>
          </cell>
          <cell r="D162" t="str">
            <v>1 CAJA</v>
          </cell>
          <cell r="E162" t="str">
            <v>02/03/2020</v>
          </cell>
          <cell r="F162">
            <v>32760</v>
          </cell>
        </row>
        <row r="163">
          <cell r="A163" t="str">
            <v>51400036</v>
          </cell>
          <cell r="B163" t="str">
            <v>QUEQUERA PLAST RECT 48*13*11 (CJ:25 UND)</v>
          </cell>
          <cell r="C163" t="str">
            <v>51400036</v>
          </cell>
          <cell r="D163" t="str">
            <v>1 CAJA</v>
          </cell>
          <cell r="E163" t="str">
            <v>15/02/2020</v>
          </cell>
          <cell r="F163">
            <v>33564</v>
          </cell>
        </row>
        <row r="164">
          <cell r="A164" t="str">
            <v>1950818</v>
          </cell>
          <cell r="B164" t="str">
            <v>QUEQUERA RECT. T41 (CAJA:50 UND)</v>
          </cell>
          <cell r="C164" t="str">
            <v>1950818</v>
          </cell>
          <cell r="D164" t="str">
            <v>1 CAJA</v>
          </cell>
          <cell r="E164" t="str">
            <v>03/03/2020</v>
          </cell>
          <cell r="F164">
            <v>39213</v>
          </cell>
        </row>
        <row r="165">
          <cell r="A165" t="str">
            <v>50700043</v>
          </cell>
          <cell r="B165" t="str">
            <v>BISAGRA P/PASTEL ROSCA (CAJA: 180 UND)</v>
          </cell>
          <cell r="C165" t="str">
            <v>50700043</v>
          </cell>
          <cell r="D165" t="str">
            <v>1 CAJA</v>
          </cell>
          <cell r="E165" t="str">
            <v>20/02/2020</v>
          </cell>
          <cell r="F165">
            <v>39375.800000000003</v>
          </cell>
        </row>
        <row r="166">
          <cell r="A166" t="str">
            <v>1950854</v>
          </cell>
          <cell r="B166" t="str">
            <v>TAPA VASO 9oz P/SUN PAQ:50 (CAJA:2000UN)</v>
          </cell>
          <cell r="C166" t="str">
            <v>1950854</v>
          </cell>
          <cell r="D166" t="str">
            <v>1 CAJA</v>
          </cell>
          <cell r="E166" t="str">
            <v>26/02/2020</v>
          </cell>
          <cell r="F166">
            <v>39500</v>
          </cell>
        </row>
        <row r="167">
          <cell r="A167" t="str">
            <v>50400014</v>
          </cell>
          <cell r="B167" t="str">
            <v>CAJA PEQUEÑA OFFICE BREAK (CAJA:625 UND)</v>
          </cell>
          <cell r="C167" t="str">
            <v>50400014</v>
          </cell>
          <cell r="D167" t="str">
            <v>1 CAJA</v>
          </cell>
          <cell r="E167" t="str">
            <v>02/03/2020</v>
          </cell>
          <cell r="F167">
            <v>40312.5</v>
          </cell>
        </row>
        <row r="168">
          <cell r="A168" t="str">
            <v>1950909</v>
          </cell>
          <cell r="B168" t="str">
            <v>CONT.24 ONZ.TAPA PLANA (PAQ:100 UND)</v>
          </cell>
          <cell r="C168" t="str">
            <v>1950909</v>
          </cell>
          <cell r="D168" t="str">
            <v>1 CAJA</v>
          </cell>
          <cell r="E168" t="str">
            <v>31/01/2020</v>
          </cell>
          <cell r="F168">
            <v>40470</v>
          </cell>
        </row>
        <row r="169">
          <cell r="A169" t="str">
            <v>50700016</v>
          </cell>
          <cell r="B169" t="str">
            <v>CONT.24 ONZ.TAPA PLANA (CAJA:200 UND)</v>
          </cell>
          <cell r="C169" t="str">
            <v>50700016</v>
          </cell>
          <cell r="D169" t="str">
            <v>1 CAJA</v>
          </cell>
          <cell r="E169" t="str">
            <v>14/02/2020</v>
          </cell>
          <cell r="F169">
            <v>40470</v>
          </cell>
          <cell r="G169" t="str">
            <v>UND</v>
          </cell>
          <cell r="H169">
            <v>202.35</v>
          </cell>
        </row>
        <row r="170">
          <cell r="A170" t="str">
            <v>51400001</v>
          </cell>
          <cell r="B170" t="str">
            <v>QUEQUERA RECTANGULAR 1/2 (CAJA:35 UND)</v>
          </cell>
          <cell r="C170" t="str">
            <v>51400001</v>
          </cell>
          <cell r="D170" t="str">
            <v>1 CAJA</v>
          </cell>
          <cell r="E170" t="str">
            <v>29/02/2020</v>
          </cell>
          <cell r="F170">
            <v>40766</v>
          </cell>
        </row>
        <row r="171">
          <cell r="A171" t="str">
            <v>1950682</v>
          </cell>
          <cell r="B171" t="str">
            <v>CONTEN LBH 692 PRALINE (CAJA:200 UND)</v>
          </cell>
          <cell r="C171" t="str">
            <v>1950682</v>
          </cell>
          <cell r="D171" t="str">
            <v xml:space="preserve">1 CAJA </v>
          </cell>
          <cell r="E171" t="str">
            <v>05/03/2020</v>
          </cell>
          <cell r="F171">
            <v>40795</v>
          </cell>
          <cell r="G171" t="str">
            <v>UND</v>
          </cell>
          <cell r="H171">
            <v>203.97499999999999</v>
          </cell>
        </row>
        <row r="172">
          <cell r="A172" t="str">
            <v>1950853</v>
          </cell>
          <cell r="B172" t="str">
            <v>VASO 9oz SUNDA TS9 PAQ:50(CAJA:1000 UND)</v>
          </cell>
          <cell r="C172" t="str">
            <v>1950853</v>
          </cell>
          <cell r="D172" t="str">
            <v>1 CAJA</v>
          </cell>
          <cell r="E172" t="str">
            <v>26/02/2020</v>
          </cell>
          <cell r="F172">
            <v>41500</v>
          </cell>
        </row>
        <row r="173">
          <cell r="A173" t="str">
            <v>1950672</v>
          </cell>
          <cell r="B173" t="str">
            <v>CONT.48 ON TRAN.TAPA PLANA (CAJA:200UND)</v>
          </cell>
          <cell r="C173" t="str">
            <v>1950672</v>
          </cell>
          <cell r="D173" t="str">
            <v>1 CAJA</v>
          </cell>
          <cell r="E173" t="str">
            <v>22/02/2020</v>
          </cell>
          <cell r="F173">
            <v>47140</v>
          </cell>
          <cell r="G173" t="str">
            <v>UND</v>
          </cell>
          <cell r="H173">
            <v>235.7</v>
          </cell>
        </row>
        <row r="174">
          <cell r="A174" t="str">
            <v>51400035</v>
          </cell>
          <cell r="B174" t="str">
            <v>QUEQUERA PLAST RED 12" ALTA (CJ:50 UND)</v>
          </cell>
          <cell r="C174" t="str">
            <v>51400035</v>
          </cell>
          <cell r="D174" t="str">
            <v>1 CAJA</v>
          </cell>
          <cell r="E174" t="str">
            <v>29/02/2020</v>
          </cell>
          <cell r="F174">
            <v>47456</v>
          </cell>
        </row>
        <row r="175">
          <cell r="A175" t="str">
            <v>50400017</v>
          </cell>
          <cell r="B175" t="str">
            <v>CAJA PORCION OFFICE BREAK (CAJA:950 UND)</v>
          </cell>
          <cell r="C175" t="str">
            <v>50400017</v>
          </cell>
          <cell r="D175" t="str">
            <v>1 CAJA</v>
          </cell>
          <cell r="E175" t="str">
            <v>24/01/2020</v>
          </cell>
          <cell r="F175">
            <v>51870</v>
          </cell>
        </row>
        <row r="176">
          <cell r="A176" t="str">
            <v>51600021</v>
          </cell>
          <cell r="B176" t="str">
            <v>ROLLO POS 16" 1067MTS  (UND)</v>
          </cell>
          <cell r="C176" t="str">
            <v>51600021</v>
          </cell>
          <cell r="D176" t="str">
            <v>1 UND</v>
          </cell>
          <cell r="E176" t="str">
            <v>27/11/2019</v>
          </cell>
          <cell r="F176">
            <v>72459.820000000007</v>
          </cell>
        </row>
      </sheetData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 FAS"/>
      <sheetName val="COSTEO EMP"/>
    </sheetNames>
    <sheetDataSet>
      <sheetData sheetId="0"/>
      <sheetData sheetId="1">
        <row r="62">
          <cell r="E62">
            <v>0.39</v>
          </cell>
        </row>
        <row r="67">
          <cell r="E67">
            <v>3.6666666666666667E-2</v>
          </cell>
        </row>
        <row r="69">
          <cell r="E69">
            <v>2.2945904761904765E-2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5692 REC JUGO"/>
      <sheetName val="COSTEO JUGO"/>
    </sheetNames>
    <sheetDataSet>
      <sheetData sheetId="0"/>
      <sheetData sheetId="1">
        <row r="34">
          <cell r="E34">
            <v>0.40127090909090907</v>
          </cell>
        </row>
        <row r="39">
          <cell r="E39">
            <v>1.4999999999999999E-2</v>
          </cell>
        </row>
        <row r="41">
          <cell r="E41">
            <v>2.2753401010101007E-3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D ARTIC"/>
      <sheetName val="MP PLANTA"/>
      <sheetName val="EMP PLANTA"/>
      <sheetName val="SEMIELABORADOS"/>
      <sheetName val="PROD PLANTA LOCALES"/>
      <sheetName val="MP LOCALES"/>
      <sheetName val="EMP LOCALES"/>
    </sheetNames>
    <sheetDataSet>
      <sheetData sheetId="0"/>
      <sheetData sheetId="1">
        <row r="2">
          <cell r="A2" t="str">
            <v>99999</v>
          </cell>
          <cell r="B2" t="str">
            <v>AGUA</v>
          </cell>
          <cell r="C2" t="str">
            <v>LITRO</v>
          </cell>
          <cell r="D2" t="e">
            <v>#N/A</v>
          </cell>
          <cell r="E2" t="str">
            <v>Mililitro</v>
          </cell>
          <cell r="F2" t="e">
            <v>#N/A</v>
          </cell>
        </row>
        <row r="3">
          <cell r="A3" t="str">
            <v>0101005</v>
          </cell>
          <cell r="B3" t="str">
            <v>AJO PELADO (PAQ=1 KILO )</v>
          </cell>
          <cell r="C3" t="str">
            <v>KILO</v>
          </cell>
          <cell r="D3">
            <v>3743.7820000000002</v>
          </cell>
          <cell r="E3" t="str">
            <v>Gramo</v>
          </cell>
          <cell r="F3">
            <v>3.7437819999999999</v>
          </cell>
        </row>
        <row r="4">
          <cell r="A4" t="str">
            <v>0101019</v>
          </cell>
          <cell r="B4" t="str">
            <v>ZANAHORIA TIRAS (PAQ=500g)</v>
          </cell>
          <cell r="C4" t="str">
            <v>KILO</v>
          </cell>
          <cell r="D4">
            <v>856</v>
          </cell>
          <cell r="E4" t="str">
            <v>Gramo</v>
          </cell>
          <cell r="F4">
            <v>0.85599999999999998</v>
          </cell>
        </row>
        <row r="5">
          <cell r="A5" t="str">
            <v>0101020</v>
          </cell>
          <cell r="B5" t="str">
            <v>BERENJENAS.</v>
          </cell>
          <cell r="C5" t="str">
            <v>KILO</v>
          </cell>
          <cell r="D5">
            <v>1300.001</v>
          </cell>
          <cell r="E5" t="str">
            <v>Gramo</v>
          </cell>
          <cell r="F5">
            <v>1.300001</v>
          </cell>
        </row>
        <row r="6">
          <cell r="A6" t="str">
            <v>0101022</v>
          </cell>
          <cell r="B6" t="str">
            <v>PAPA MINI (KILO)</v>
          </cell>
          <cell r="C6" t="str">
            <v>KILO</v>
          </cell>
          <cell r="D6">
            <v>799.96799999999996</v>
          </cell>
          <cell r="E6" t="str">
            <v>Gramo</v>
          </cell>
          <cell r="F6">
            <v>0.79996800000000001</v>
          </cell>
        </row>
        <row r="7">
          <cell r="A7" t="str">
            <v>0101025</v>
          </cell>
          <cell r="B7" t="str">
            <v>BROCOLI</v>
          </cell>
          <cell r="C7" t="str">
            <v>KILO</v>
          </cell>
          <cell r="D7">
            <v>1171.385</v>
          </cell>
          <cell r="E7" t="str">
            <v>Gramo</v>
          </cell>
          <cell r="F7">
            <v>1.1713849999999999</v>
          </cell>
        </row>
        <row r="8">
          <cell r="A8" t="str">
            <v>0101035</v>
          </cell>
          <cell r="B8" t="str">
            <v>CEBOLLA PICADA ( 1 KILO )</v>
          </cell>
          <cell r="C8" t="str">
            <v>KILO</v>
          </cell>
          <cell r="D8">
            <v>1680.0150000000001</v>
          </cell>
          <cell r="E8" t="str">
            <v>Gramo</v>
          </cell>
          <cell r="F8">
            <v>1.680015</v>
          </cell>
        </row>
        <row r="9">
          <cell r="A9" t="str">
            <v>0101040</v>
          </cell>
          <cell r="B9" t="str">
            <v>CEBOLLA EN TRENZA</v>
          </cell>
          <cell r="C9" t="str">
            <v>KILO</v>
          </cell>
          <cell r="D9">
            <v>1657</v>
          </cell>
          <cell r="E9" t="str">
            <v>Gramo</v>
          </cell>
          <cell r="F9">
            <v>1.657</v>
          </cell>
        </row>
        <row r="10">
          <cell r="A10" t="str">
            <v>0101042</v>
          </cell>
          <cell r="B10" t="str">
            <v>CEBOLLA MORADA JULIANA ( KILO )</v>
          </cell>
          <cell r="C10" t="str">
            <v>KILO</v>
          </cell>
          <cell r="D10">
            <v>2200</v>
          </cell>
          <cell r="E10" t="str">
            <v>Gramo</v>
          </cell>
          <cell r="F10">
            <v>2.2000000000000002</v>
          </cell>
        </row>
        <row r="11">
          <cell r="A11" t="str">
            <v>0101043</v>
          </cell>
          <cell r="B11" t="str">
            <v>CEBOLLA BLANCA JULIANA (PAQ=1 KILO )</v>
          </cell>
          <cell r="C11" t="str">
            <v>KILO</v>
          </cell>
          <cell r="D11">
            <v>1880</v>
          </cell>
          <cell r="E11" t="str">
            <v>Gramo</v>
          </cell>
          <cell r="F11">
            <v>1.88</v>
          </cell>
        </row>
        <row r="12">
          <cell r="A12" t="str">
            <v>0101045</v>
          </cell>
          <cell r="B12" t="str">
            <v>CEBOLLINO</v>
          </cell>
          <cell r="C12" t="str">
            <v>KILO</v>
          </cell>
          <cell r="D12">
            <v>1749.98</v>
          </cell>
          <cell r="E12" t="str">
            <v>Gramo</v>
          </cell>
          <cell r="F12">
            <v>1.7499800000000001</v>
          </cell>
        </row>
        <row r="13">
          <cell r="A13" t="str">
            <v>0101047</v>
          </cell>
          <cell r="B13" t="str">
            <v>ZACATE LIMON (KILO)</v>
          </cell>
          <cell r="C13" t="str">
            <v>KILO</v>
          </cell>
          <cell r="D13">
            <v>20596.762999999999</v>
          </cell>
          <cell r="E13" t="str">
            <v>Gramo</v>
          </cell>
          <cell r="F13">
            <v>20.596762999999999</v>
          </cell>
        </row>
        <row r="14">
          <cell r="A14" t="str">
            <v>0101051</v>
          </cell>
          <cell r="B14" t="str">
            <v>CHAYOTE PICADO (PAQ=1 KILO)</v>
          </cell>
          <cell r="C14" t="str">
            <v>KILO</v>
          </cell>
          <cell r="D14">
            <v>995</v>
          </cell>
          <cell r="E14" t="str">
            <v>Gramo</v>
          </cell>
          <cell r="F14">
            <v>0.995</v>
          </cell>
        </row>
        <row r="15">
          <cell r="A15" t="str">
            <v>0101052</v>
          </cell>
          <cell r="B15" t="str">
            <v>AYOTE PICADO ( KILO )</v>
          </cell>
          <cell r="C15" t="str">
            <v>KILO</v>
          </cell>
          <cell r="D15">
            <v>1800</v>
          </cell>
          <cell r="E15" t="str">
            <v>Gramo</v>
          </cell>
          <cell r="F15">
            <v>1.8</v>
          </cell>
        </row>
        <row r="16">
          <cell r="A16" t="str">
            <v>0101073</v>
          </cell>
          <cell r="B16" t="str">
            <v>CULANTRO DESINFECTADO (250g)</v>
          </cell>
          <cell r="C16" t="str">
            <v>KILO</v>
          </cell>
          <cell r="D16">
            <v>2600.09</v>
          </cell>
          <cell r="E16" t="str">
            <v>Gramo</v>
          </cell>
          <cell r="F16">
            <v>2.6000900000000002</v>
          </cell>
        </row>
        <row r="17">
          <cell r="A17" t="str">
            <v>0101074</v>
          </cell>
          <cell r="B17" t="str">
            <v>PEREJIL DESINFECTADO (250g)</v>
          </cell>
          <cell r="C17" t="str">
            <v>KILO</v>
          </cell>
          <cell r="D17">
            <v>8000.0010000000002</v>
          </cell>
          <cell r="E17" t="str">
            <v>Gramo</v>
          </cell>
          <cell r="F17">
            <v>8.000001000000001</v>
          </cell>
        </row>
        <row r="18">
          <cell r="A18" t="str">
            <v>0101075</v>
          </cell>
          <cell r="B18" t="str">
            <v>ESPINACA EN HOJA</v>
          </cell>
          <cell r="C18" t="str">
            <v>KILO</v>
          </cell>
          <cell r="D18">
            <v>2700</v>
          </cell>
          <cell r="E18" t="str">
            <v>Gramo</v>
          </cell>
          <cell r="F18">
            <v>2.7</v>
          </cell>
        </row>
        <row r="19">
          <cell r="A19" t="str">
            <v>0101081</v>
          </cell>
          <cell r="B19" t="str">
            <v>FRESA PICADA Kg</v>
          </cell>
          <cell r="C19" t="str">
            <v>KILO</v>
          </cell>
          <cell r="D19">
            <v>2425</v>
          </cell>
          <cell r="E19" t="str">
            <v>Gramo</v>
          </cell>
          <cell r="F19">
            <v>2.4249999999999998</v>
          </cell>
        </row>
        <row r="20">
          <cell r="A20" t="str">
            <v>0101105</v>
          </cell>
          <cell r="B20" t="str">
            <v>HONGO FRESCO ( BANDEJA=1 KILO )</v>
          </cell>
          <cell r="C20" t="str">
            <v>KILO</v>
          </cell>
          <cell r="D20">
            <v>3334.8389999999999</v>
          </cell>
          <cell r="E20" t="str">
            <v>Gramo</v>
          </cell>
          <cell r="F20">
            <v>3.3348390000000001</v>
          </cell>
        </row>
        <row r="21">
          <cell r="A21" t="str">
            <v>0101106</v>
          </cell>
          <cell r="B21" t="str">
            <v>HONGO PORCINI (454G)</v>
          </cell>
          <cell r="C21" t="str">
            <v>KILO</v>
          </cell>
          <cell r="D21">
            <v>54200.34</v>
          </cell>
          <cell r="E21" t="str">
            <v>Gramo</v>
          </cell>
          <cell r="F21">
            <v>54.200339999999997</v>
          </cell>
        </row>
        <row r="22">
          <cell r="A22" t="str">
            <v>0101110</v>
          </cell>
          <cell r="B22" t="str">
            <v>HONGO PORTOBELLO (BANDEJA=500g)</v>
          </cell>
          <cell r="C22" t="str">
            <v>KILO</v>
          </cell>
          <cell r="D22">
            <v>5002.8710000000001</v>
          </cell>
          <cell r="E22" t="str">
            <v>Gramo</v>
          </cell>
          <cell r="F22">
            <v>5.0028709999999998</v>
          </cell>
        </row>
        <row r="23">
          <cell r="A23" t="str">
            <v>0101115</v>
          </cell>
          <cell r="B23" t="str">
            <v>CHILE DULCE PICADO (PAQ=500g)</v>
          </cell>
          <cell r="C23" t="str">
            <v>KILO</v>
          </cell>
          <cell r="D23">
            <v>2050.002</v>
          </cell>
          <cell r="E23" t="str">
            <v>Gramo</v>
          </cell>
          <cell r="F23">
            <v>2.0500020000000001</v>
          </cell>
        </row>
        <row r="24">
          <cell r="A24" t="str">
            <v>0101125</v>
          </cell>
          <cell r="B24" t="str">
            <v>LECHUGA AMERICANA ENTERA ( PAQ 500g)</v>
          </cell>
          <cell r="C24" t="str">
            <v>KILO</v>
          </cell>
          <cell r="D24">
            <v>1950</v>
          </cell>
          <cell r="E24" t="str">
            <v>Gramo</v>
          </cell>
          <cell r="F24">
            <v>1.95</v>
          </cell>
        </row>
        <row r="25">
          <cell r="A25" t="str">
            <v>0101130</v>
          </cell>
          <cell r="B25" t="str">
            <v>LIMONES MAYA 10 UNID</v>
          </cell>
          <cell r="C25" t="str">
            <v>UND</v>
          </cell>
          <cell r="D25">
            <v>179.67599999999999</v>
          </cell>
          <cell r="E25" t="str">
            <v>UND</v>
          </cell>
          <cell r="F25">
            <v>179.67599999999999</v>
          </cell>
        </row>
        <row r="26">
          <cell r="A26" t="str">
            <v>0101132</v>
          </cell>
          <cell r="B26" t="str">
            <v>LIMON EN POLVO ( BULTO 25 KG )</v>
          </cell>
          <cell r="C26" t="str">
            <v>KILO</v>
          </cell>
          <cell r="D26">
            <v>3437.4409999999998</v>
          </cell>
          <cell r="E26" t="str">
            <v>Gramo</v>
          </cell>
          <cell r="F26">
            <v>3.4374409999999997</v>
          </cell>
        </row>
        <row r="27">
          <cell r="A27" t="str">
            <v>0101150</v>
          </cell>
          <cell r="B27" t="str">
            <v>APIO PICADO PAQ.500gr</v>
          </cell>
          <cell r="C27" t="str">
            <v>KILO</v>
          </cell>
          <cell r="D27">
            <v>1652.002</v>
          </cell>
          <cell r="E27" t="str">
            <v>Gramo</v>
          </cell>
          <cell r="F27">
            <v>1.652002</v>
          </cell>
        </row>
        <row r="28">
          <cell r="A28" t="str">
            <v>0101155</v>
          </cell>
          <cell r="B28" t="str">
            <v>PALMITO CRUDO  KG</v>
          </cell>
          <cell r="C28" t="str">
            <v>KILO</v>
          </cell>
          <cell r="D28">
            <v>2000</v>
          </cell>
          <cell r="E28" t="str">
            <v>Gramo</v>
          </cell>
          <cell r="F28">
            <v>2</v>
          </cell>
        </row>
        <row r="29">
          <cell r="A29" t="str">
            <v>0101166</v>
          </cell>
          <cell r="B29" t="str">
            <v>PAPA PICADA (PAQ=1 KILO)</v>
          </cell>
          <cell r="C29" t="str">
            <v>KILO</v>
          </cell>
          <cell r="D29">
            <v>1894.971</v>
          </cell>
          <cell r="E29" t="str">
            <v>Gramo</v>
          </cell>
          <cell r="F29">
            <v>1.894971</v>
          </cell>
        </row>
        <row r="30">
          <cell r="A30" t="str">
            <v>0101190</v>
          </cell>
          <cell r="B30" t="str">
            <v>PUERRO KILO</v>
          </cell>
          <cell r="C30" t="str">
            <v>KILO</v>
          </cell>
          <cell r="D30">
            <v>5000</v>
          </cell>
          <cell r="E30" t="str">
            <v>Gramo</v>
          </cell>
          <cell r="F30">
            <v>5</v>
          </cell>
        </row>
        <row r="31">
          <cell r="A31" t="str">
            <v>0101205</v>
          </cell>
          <cell r="B31" t="str">
            <v>PEJIBALLE PELADO KILO</v>
          </cell>
          <cell r="C31" t="str">
            <v>KILO</v>
          </cell>
          <cell r="D31">
            <v>2585</v>
          </cell>
          <cell r="E31" t="str">
            <v>Gramo</v>
          </cell>
          <cell r="F31">
            <v>2.585</v>
          </cell>
        </row>
        <row r="32">
          <cell r="A32" t="str">
            <v>0101210</v>
          </cell>
          <cell r="B32" t="str">
            <v>TOMATE (KILO)</v>
          </cell>
          <cell r="C32" t="str">
            <v>KILO</v>
          </cell>
          <cell r="D32">
            <v>680</v>
          </cell>
          <cell r="E32" t="str">
            <v>Gramo</v>
          </cell>
          <cell r="F32">
            <v>0.68</v>
          </cell>
        </row>
        <row r="33">
          <cell r="A33" t="str">
            <v>0101236</v>
          </cell>
          <cell r="B33" t="str">
            <v>ZANAHORIA JULIANA ( PAQ=1K )</v>
          </cell>
          <cell r="C33" t="str">
            <v>KILO</v>
          </cell>
          <cell r="D33">
            <v>1795</v>
          </cell>
          <cell r="E33" t="str">
            <v>Gramo</v>
          </cell>
          <cell r="F33">
            <v>1.7949999999999999</v>
          </cell>
        </row>
        <row r="34">
          <cell r="A34" t="str">
            <v>0101240</v>
          </cell>
          <cell r="B34" t="str">
            <v>ZANAHORIA ENTERA</v>
          </cell>
          <cell r="C34" t="str">
            <v>KILO</v>
          </cell>
          <cell r="D34">
            <v>600</v>
          </cell>
          <cell r="E34" t="str">
            <v>Gramo</v>
          </cell>
          <cell r="F34">
            <v>0.6</v>
          </cell>
        </row>
        <row r="35">
          <cell r="A35" t="str">
            <v>0101241</v>
          </cell>
          <cell r="B35" t="str">
            <v>ZANAHORIA PICADA (PAQ=1 KILO)</v>
          </cell>
          <cell r="C35" t="str">
            <v>KILO</v>
          </cell>
          <cell r="D35">
            <v>995</v>
          </cell>
          <cell r="E35" t="str">
            <v>Gramo</v>
          </cell>
          <cell r="F35">
            <v>0.995</v>
          </cell>
        </row>
        <row r="36">
          <cell r="A36" t="str">
            <v>0101242</v>
          </cell>
          <cell r="B36" t="str">
            <v>PAPA PARA TAMAL (KILO)</v>
          </cell>
          <cell r="C36" t="str">
            <v>KILO</v>
          </cell>
          <cell r="D36">
            <v>2630.7</v>
          </cell>
          <cell r="E36" t="str">
            <v>Gramo</v>
          </cell>
          <cell r="F36">
            <v>2.6307</v>
          </cell>
        </row>
        <row r="37">
          <cell r="A37" t="str">
            <v>0101248</v>
          </cell>
          <cell r="B37" t="str">
            <v>ZUQUINI GRANEL (KILO)</v>
          </cell>
          <cell r="C37" t="str">
            <v>KILO</v>
          </cell>
          <cell r="D37">
            <v>1150</v>
          </cell>
          <cell r="E37" t="str">
            <v>Gramo</v>
          </cell>
          <cell r="F37">
            <v>1.1499999999999999</v>
          </cell>
        </row>
        <row r="38">
          <cell r="A38" t="str">
            <v>0101255</v>
          </cell>
          <cell r="B38" t="str">
            <v>HIGOS EN ALMIBAR KILO</v>
          </cell>
          <cell r="C38" t="str">
            <v>KILO</v>
          </cell>
          <cell r="D38">
            <v>2500</v>
          </cell>
          <cell r="E38" t="str">
            <v>Gramo</v>
          </cell>
          <cell r="F38">
            <v>2.5</v>
          </cell>
        </row>
        <row r="39">
          <cell r="A39" t="str">
            <v>0101260</v>
          </cell>
          <cell r="B39" t="str">
            <v>ALBAHACA KILO</v>
          </cell>
          <cell r="C39" t="str">
            <v>KILO</v>
          </cell>
          <cell r="D39">
            <v>5059.2879999999996</v>
          </cell>
          <cell r="E39" t="str">
            <v>Gramo</v>
          </cell>
          <cell r="F39">
            <v>5.0592879999999996</v>
          </cell>
        </row>
        <row r="40">
          <cell r="A40" t="str">
            <v>0110060</v>
          </cell>
          <cell r="B40" t="str">
            <v>PULPA DE TAMARINDO (250g)</v>
          </cell>
          <cell r="C40" t="str">
            <v>KILO</v>
          </cell>
          <cell r="D40">
            <v>1499.9760000000001</v>
          </cell>
          <cell r="E40" t="str">
            <v>Gramo</v>
          </cell>
          <cell r="F40">
            <v>1.4999760000000002</v>
          </cell>
        </row>
        <row r="41">
          <cell r="A41" t="str">
            <v>0110070</v>
          </cell>
          <cell r="B41" t="str">
            <v>MORA KG</v>
          </cell>
          <cell r="C41" t="str">
            <v>KILO</v>
          </cell>
          <cell r="D41">
            <v>2139.4499999999998</v>
          </cell>
          <cell r="E41" t="str">
            <v>Gramo</v>
          </cell>
          <cell r="F41">
            <v>2.1394499999999996</v>
          </cell>
        </row>
        <row r="42">
          <cell r="A42" t="str">
            <v>0110071</v>
          </cell>
          <cell r="B42" t="str">
            <v>ARANDANOS CONGELADOS (PAQ=2.26 Kg)</v>
          </cell>
          <cell r="C42" t="str">
            <v>KILO</v>
          </cell>
          <cell r="D42">
            <v>3891.91</v>
          </cell>
          <cell r="E42" t="str">
            <v>Gramo</v>
          </cell>
          <cell r="F42">
            <v>3.8919099999999998</v>
          </cell>
        </row>
        <row r="43">
          <cell r="A43" t="str">
            <v>0110086</v>
          </cell>
          <cell r="B43" t="str">
            <v>TOMILLO FRESCO KILO</v>
          </cell>
          <cell r="C43" t="str">
            <v>KILO</v>
          </cell>
          <cell r="D43">
            <v>5499.9840000000004</v>
          </cell>
          <cell r="E43" t="str">
            <v>Gramo</v>
          </cell>
          <cell r="F43">
            <v>5.4999840000000004</v>
          </cell>
        </row>
        <row r="44">
          <cell r="A44" t="str">
            <v>0110090</v>
          </cell>
          <cell r="B44" t="str">
            <v>MARACUYA SEMILLAS (KILO)</v>
          </cell>
          <cell r="C44" t="str">
            <v>KILO</v>
          </cell>
          <cell r="D44">
            <v>3194.4029999999998</v>
          </cell>
          <cell r="E44" t="str">
            <v>Gramo</v>
          </cell>
          <cell r="F44">
            <v>3.1944029999999999</v>
          </cell>
        </row>
        <row r="45">
          <cell r="A45" t="str">
            <v>0210049</v>
          </cell>
          <cell r="B45" t="str">
            <v>PEPERONI (KILO)</v>
          </cell>
          <cell r="C45" t="str">
            <v>KILO</v>
          </cell>
          <cell r="D45">
            <v>8459.143</v>
          </cell>
          <cell r="E45" t="str">
            <v>Gramo</v>
          </cell>
          <cell r="F45">
            <v>8.4591429999999992</v>
          </cell>
        </row>
        <row r="46">
          <cell r="A46" t="str">
            <v>0210058</v>
          </cell>
          <cell r="B46" t="str">
            <v>CARNE OSOBUCO PICADO (KILO)</v>
          </cell>
          <cell r="C46" t="str">
            <v>KILO</v>
          </cell>
          <cell r="D46">
            <v>2195</v>
          </cell>
          <cell r="E46" t="str">
            <v>Gramo</v>
          </cell>
          <cell r="F46">
            <v>2.1949999999999998</v>
          </cell>
        </row>
        <row r="47">
          <cell r="A47" t="str">
            <v>0210060</v>
          </cell>
          <cell r="B47" t="str">
            <v>CHORIZO ( KILO )</v>
          </cell>
          <cell r="C47" t="str">
            <v>KILO</v>
          </cell>
          <cell r="D47">
            <v>2195</v>
          </cell>
          <cell r="E47" t="str">
            <v>Gramo</v>
          </cell>
          <cell r="F47">
            <v>2.1949999999999998</v>
          </cell>
        </row>
        <row r="48">
          <cell r="A48" t="str">
            <v>0210069</v>
          </cell>
          <cell r="B48" t="str">
            <v>CARNE MOLIDA RES ESPECIAL (PAQ=5 KILOS)</v>
          </cell>
          <cell r="C48" t="str">
            <v>KILO</v>
          </cell>
          <cell r="D48">
            <v>3150</v>
          </cell>
          <cell r="E48" t="str">
            <v>Gramo</v>
          </cell>
          <cell r="F48">
            <v>3.15</v>
          </cell>
        </row>
        <row r="49">
          <cell r="A49" t="str">
            <v>0210070</v>
          </cell>
          <cell r="B49" t="str">
            <v>PECHUGA FILET S/ PIEL Y S/ GRASA</v>
          </cell>
          <cell r="C49" t="str">
            <v>KILO</v>
          </cell>
          <cell r="D49">
            <v>2650.0169999999998</v>
          </cell>
          <cell r="E49" t="str">
            <v>Gramo</v>
          </cell>
          <cell r="F49">
            <v>2.6500169999999996</v>
          </cell>
        </row>
        <row r="50">
          <cell r="A50" t="str">
            <v>0210073</v>
          </cell>
          <cell r="B50" t="str">
            <v>JAMON DE COCIDO  (500G)</v>
          </cell>
          <cell r="C50" t="str">
            <v>KILO</v>
          </cell>
          <cell r="D50">
            <v>4107.0479999999998</v>
          </cell>
          <cell r="E50" t="str">
            <v>Gramo</v>
          </cell>
          <cell r="F50">
            <v>4.1070479999999998</v>
          </cell>
        </row>
        <row r="51">
          <cell r="A51" t="str">
            <v>0210091</v>
          </cell>
          <cell r="B51" t="str">
            <v>TOCINETA(PAQ=1 KILO)</v>
          </cell>
          <cell r="C51" t="str">
            <v>KILO</v>
          </cell>
          <cell r="D51">
            <v>4991</v>
          </cell>
          <cell r="E51" t="str">
            <v>Gramo</v>
          </cell>
          <cell r="F51">
            <v>4.9909999999999997</v>
          </cell>
        </row>
        <row r="52">
          <cell r="A52" t="str">
            <v>0210096</v>
          </cell>
          <cell r="B52" t="str">
            <v>POSTA DE CERDO KILO</v>
          </cell>
          <cell r="C52" t="str">
            <v>KILO</v>
          </cell>
          <cell r="D52">
            <v>2993.1</v>
          </cell>
          <cell r="E52" t="str">
            <v>Gramo</v>
          </cell>
          <cell r="F52">
            <v>2.9931000000000001</v>
          </cell>
        </row>
        <row r="53">
          <cell r="A53" t="str">
            <v>0210117</v>
          </cell>
          <cell r="B53" t="str">
            <v>RECORTE FILET Nº1358</v>
          </cell>
          <cell r="C53" t="str">
            <v>KILO</v>
          </cell>
          <cell r="D53">
            <v>1980.002</v>
          </cell>
          <cell r="E53" t="str">
            <v>Gramo</v>
          </cell>
          <cell r="F53">
            <v>1.980002</v>
          </cell>
        </row>
        <row r="54">
          <cell r="A54" t="str">
            <v>210892</v>
          </cell>
          <cell r="B54" t="str">
            <v>MANO DE PIEDRA (KILO)</v>
          </cell>
          <cell r="C54" t="str">
            <v>KILO</v>
          </cell>
          <cell r="D54">
            <v>3950</v>
          </cell>
          <cell r="E54" t="str">
            <v>Gramo</v>
          </cell>
          <cell r="F54">
            <v>3.95</v>
          </cell>
        </row>
        <row r="55">
          <cell r="A55" t="str">
            <v>210893</v>
          </cell>
          <cell r="B55" t="str">
            <v>ROAST BEEF CASTILLO (PAQ. 3 KILOS)</v>
          </cell>
          <cell r="C55" t="str">
            <v>KILO</v>
          </cell>
          <cell r="D55">
            <v>8595</v>
          </cell>
          <cell r="E55" t="str">
            <v>Gramo</v>
          </cell>
          <cell r="F55">
            <v>8.5950000000000006</v>
          </cell>
        </row>
        <row r="56">
          <cell r="A56" t="str">
            <v>210894</v>
          </cell>
          <cell r="B56" t="str">
            <v>TORTA DESAYUNO CERDO</v>
          </cell>
          <cell r="C56" t="str">
            <v>KILO</v>
          </cell>
          <cell r="D56">
            <v>5874.86</v>
          </cell>
          <cell r="E56" t="str">
            <v>Gramo</v>
          </cell>
          <cell r="F56">
            <v>5.87486</v>
          </cell>
        </row>
        <row r="57">
          <cell r="A57" t="str">
            <v>0212254</v>
          </cell>
          <cell r="B57" t="str">
            <v>MANTECA DE CERDO(PAQ=1 KILO)</v>
          </cell>
          <cell r="C57" t="str">
            <v>KILO</v>
          </cell>
          <cell r="D57">
            <v>1545.001</v>
          </cell>
          <cell r="E57" t="str">
            <v>Gramo</v>
          </cell>
          <cell r="F57">
            <v>1.5450010000000001</v>
          </cell>
        </row>
        <row r="58">
          <cell r="A58" t="str">
            <v>0212274</v>
          </cell>
          <cell r="B58" t="str">
            <v>PECHUGA DE PAVO 250 GR</v>
          </cell>
          <cell r="C58" t="str">
            <v>KILO</v>
          </cell>
          <cell r="D58">
            <v>674.5</v>
          </cell>
          <cell r="E58" t="str">
            <v>Gramo</v>
          </cell>
          <cell r="F58">
            <v>0.67449999999999999</v>
          </cell>
        </row>
        <row r="59">
          <cell r="A59" t="str">
            <v>0310087</v>
          </cell>
          <cell r="B59" t="str">
            <v>LECHE CONDENSADA MI SABOR (PAQ=20KG)</v>
          </cell>
          <cell r="C59" t="str">
            <v>PAQ</v>
          </cell>
          <cell r="D59">
            <v>27167.185000000001</v>
          </cell>
          <cell r="E59" t="str">
            <v>Gramo</v>
          </cell>
          <cell r="F59">
            <v>1.3583592500000001</v>
          </cell>
        </row>
        <row r="60">
          <cell r="A60" t="str">
            <v>0310092</v>
          </cell>
          <cell r="B60" t="str">
            <v>RIZOS FLOREADOS CHOC. BLANCO (CAJA=4 KILOS)</v>
          </cell>
          <cell r="C60" t="str">
            <v>KILO</v>
          </cell>
          <cell r="D60">
            <v>9725</v>
          </cell>
          <cell r="E60" t="str">
            <v>Gramo</v>
          </cell>
          <cell r="F60">
            <v>9.7249999999999996</v>
          </cell>
        </row>
        <row r="61">
          <cell r="A61" t="str">
            <v>0310093</v>
          </cell>
          <cell r="B61" t="str">
            <v>RIZOS FLOREADOS CHOC. OSCURO (CAJA=4 KILOS)</v>
          </cell>
          <cell r="C61" t="str">
            <v>KILO</v>
          </cell>
          <cell r="D61">
            <v>8683.65</v>
          </cell>
          <cell r="E61" t="str">
            <v>Gramo</v>
          </cell>
          <cell r="F61">
            <v>8.6836500000000001</v>
          </cell>
        </row>
        <row r="62">
          <cell r="A62" t="str">
            <v>0310094</v>
          </cell>
          <cell r="B62" t="str">
            <v>BARRA CHOCOLATE COOKIES AND CREAM (BARRA=184g)</v>
          </cell>
          <cell r="C62" t="str">
            <v>KILO</v>
          </cell>
          <cell r="D62">
            <v>6728.2439999999997</v>
          </cell>
          <cell r="E62" t="str">
            <v>Gramo</v>
          </cell>
          <cell r="F62">
            <v>6.7282440000000001</v>
          </cell>
        </row>
        <row r="63">
          <cell r="A63" t="str">
            <v>0310096</v>
          </cell>
          <cell r="B63" t="str">
            <v>CREMA LUSTRE NATA (4KILO)</v>
          </cell>
          <cell r="C63" t="str">
            <v>KILO</v>
          </cell>
          <cell r="D63">
            <v>1818.5</v>
          </cell>
          <cell r="E63" t="str">
            <v>Gramo</v>
          </cell>
          <cell r="F63">
            <v>1.8185</v>
          </cell>
        </row>
        <row r="64">
          <cell r="A64" t="str">
            <v>0310099</v>
          </cell>
          <cell r="B64" t="str">
            <v>CREMA DULCE (3.6 KILOS)</v>
          </cell>
          <cell r="C64" t="str">
            <v>LITRO</v>
          </cell>
          <cell r="D64">
            <v>1723.807</v>
          </cell>
          <cell r="E64" t="str">
            <v>Mililitro</v>
          </cell>
          <cell r="F64">
            <v>1.7238070000000001</v>
          </cell>
        </row>
        <row r="65">
          <cell r="A65" t="str">
            <v>0310107</v>
          </cell>
          <cell r="B65" t="str">
            <v>LACTOCREMA GRANEL ( 25KG )</v>
          </cell>
          <cell r="C65" t="str">
            <v>KILO</v>
          </cell>
          <cell r="D65">
            <v>3043.268</v>
          </cell>
          <cell r="E65" t="str">
            <v>Gramo</v>
          </cell>
          <cell r="F65">
            <v>3.0432679999999999</v>
          </cell>
        </row>
        <row r="66">
          <cell r="A66" t="str">
            <v>0310108</v>
          </cell>
          <cell r="B66" t="str">
            <v>LECHE HOMOGENIZADA TB 3.5%  (1  Litro)</v>
          </cell>
          <cell r="C66" t="str">
            <v>LITRO</v>
          </cell>
          <cell r="D66">
            <v>647.96699999999998</v>
          </cell>
          <cell r="E66" t="str">
            <v>Mililitro</v>
          </cell>
          <cell r="F66">
            <v>0.64796699999999996</v>
          </cell>
        </row>
        <row r="67">
          <cell r="A67" t="str">
            <v>0310112</v>
          </cell>
          <cell r="B67" t="str">
            <v>QUESO PRADO RICO REBANADO ( 2.3 KG )</v>
          </cell>
          <cell r="C67" t="str">
            <v>KILO</v>
          </cell>
          <cell r="D67">
            <v>5162.3999999999996</v>
          </cell>
          <cell r="E67" t="str">
            <v>Gramo</v>
          </cell>
          <cell r="F67">
            <v>5.1623999999999999</v>
          </cell>
        </row>
        <row r="68">
          <cell r="A68" t="str">
            <v>0310115</v>
          </cell>
          <cell r="B68" t="str">
            <v>QUESO CHEDDAR BLOCK (2 kg)</v>
          </cell>
          <cell r="C68" t="str">
            <v>KILO</v>
          </cell>
          <cell r="D68">
            <v>8854.5010000000002</v>
          </cell>
          <cell r="E68" t="str">
            <v>Gramo</v>
          </cell>
          <cell r="F68">
            <v>8.8545010000000008</v>
          </cell>
        </row>
        <row r="69">
          <cell r="A69" t="str">
            <v>0310116</v>
          </cell>
          <cell r="B69" t="str">
            <v>QUESO PARMERSANO (KILO)</v>
          </cell>
          <cell r="C69" t="str">
            <v>KILO</v>
          </cell>
          <cell r="D69">
            <v>9871.2819999999992</v>
          </cell>
          <cell r="E69" t="str">
            <v>Gramo</v>
          </cell>
          <cell r="F69">
            <v>9.871281999999999</v>
          </cell>
        </row>
        <row r="70">
          <cell r="A70" t="str">
            <v>0310120</v>
          </cell>
          <cell r="B70" t="str">
            <v>QUESO RICOTTA (500 g)</v>
          </cell>
          <cell r="C70" t="str">
            <v>KILO</v>
          </cell>
          <cell r="D70">
            <v>4848.4369999999999</v>
          </cell>
          <cell r="E70" t="str">
            <v>Gramo</v>
          </cell>
          <cell r="F70">
            <v>4.8484369999999997</v>
          </cell>
        </row>
        <row r="71">
          <cell r="A71" t="str">
            <v>0310122</v>
          </cell>
          <cell r="B71" t="str">
            <v>YOGURTH IN LINE NAT ( 500 GR )</v>
          </cell>
          <cell r="C71" t="str">
            <v>KILO</v>
          </cell>
          <cell r="D71">
            <v>1866.454</v>
          </cell>
          <cell r="E71" t="str">
            <v>Gramo</v>
          </cell>
          <cell r="F71">
            <v>1.8664540000000001</v>
          </cell>
        </row>
        <row r="72">
          <cell r="A72" t="str">
            <v>0310143</v>
          </cell>
          <cell r="B72" t="str">
            <v>DULCE DE LECHE SUAVE F2 ( 5 KG )</v>
          </cell>
          <cell r="C72" t="str">
            <v>KILO</v>
          </cell>
          <cell r="D72">
            <v>1359.981</v>
          </cell>
          <cell r="E72" t="str">
            <v>Gramo</v>
          </cell>
          <cell r="F72">
            <v>1.3599809999999999</v>
          </cell>
        </row>
        <row r="73">
          <cell r="A73" t="str">
            <v>0310145</v>
          </cell>
          <cell r="B73" t="str">
            <v>LECHE POLVO INDUSTRIAL ( 25 KG )</v>
          </cell>
          <cell r="C73" t="str">
            <v>KILO</v>
          </cell>
          <cell r="D73">
            <v>2636.6610000000001</v>
          </cell>
          <cell r="E73" t="str">
            <v>Gramo</v>
          </cell>
          <cell r="F73">
            <v>2.6366610000000001</v>
          </cell>
        </row>
        <row r="74">
          <cell r="A74" t="str">
            <v>0310146</v>
          </cell>
          <cell r="B74" t="str">
            <v>QUESO CREMA ( 3.6 Kg )</v>
          </cell>
          <cell r="C74" t="str">
            <v>KILO</v>
          </cell>
          <cell r="D74">
            <v>2900.4119999999998</v>
          </cell>
          <cell r="E74" t="str">
            <v>Gramo</v>
          </cell>
          <cell r="F74">
            <v>2.9004119999999998</v>
          </cell>
        </row>
        <row r="75">
          <cell r="A75" t="str">
            <v>0310147</v>
          </cell>
          <cell r="B75" t="str">
            <v>CREMA BETTERCREAM DOBLE CHOCO 4K</v>
          </cell>
          <cell r="C75" t="str">
            <v>KILO</v>
          </cell>
          <cell r="D75">
            <v>2066.261</v>
          </cell>
          <cell r="E75" t="str">
            <v>Gramo</v>
          </cell>
          <cell r="F75">
            <v>2.0662609999999999</v>
          </cell>
        </row>
        <row r="76">
          <cell r="A76" t="str">
            <v>0310148</v>
          </cell>
          <cell r="B76" t="str">
            <v>BETTERCREME SUPREMO 4K</v>
          </cell>
          <cell r="C76" t="str">
            <v>KILO</v>
          </cell>
          <cell r="D76">
            <v>1768.75</v>
          </cell>
          <cell r="E76" t="str">
            <v>Gramo</v>
          </cell>
          <cell r="F76">
            <v>1.76875</v>
          </cell>
        </row>
        <row r="77">
          <cell r="A77" t="str">
            <v>0310151</v>
          </cell>
          <cell r="B77" t="str">
            <v>CREMA BETTER DULCE LECHE RICHS  ( 4 KILO )</v>
          </cell>
          <cell r="C77" t="str">
            <v>KILO</v>
          </cell>
          <cell r="D77">
            <v>2135.5</v>
          </cell>
          <cell r="E77" t="str">
            <v>Gramo</v>
          </cell>
          <cell r="F77">
            <v>2.1355</v>
          </cell>
        </row>
        <row r="78">
          <cell r="A78" t="str">
            <v>0310156</v>
          </cell>
          <cell r="B78" t="str">
            <v>BETTERCREAM CHOCOLATE (CAJA=4 Kg)</v>
          </cell>
          <cell r="C78" t="str">
            <v>KILO</v>
          </cell>
          <cell r="D78">
            <v>1918.0050000000001</v>
          </cell>
          <cell r="E78" t="str">
            <v>Gramo</v>
          </cell>
          <cell r="F78">
            <v>1.9180050000000002</v>
          </cell>
        </row>
        <row r="79">
          <cell r="A79" t="str">
            <v>0310194</v>
          </cell>
          <cell r="B79" t="str">
            <v>MERENGUE HY VOL ( 2.05 KG )</v>
          </cell>
          <cell r="C79" t="str">
            <v>KILO</v>
          </cell>
          <cell r="D79">
            <v>9031.2199999999993</v>
          </cell>
          <cell r="E79" t="str">
            <v>Gramo</v>
          </cell>
          <cell r="F79">
            <v>9.0312199999999994</v>
          </cell>
        </row>
        <row r="80">
          <cell r="A80" t="str">
            <v>310202</v>
          </cell>
          <cell r="B80" t="str">
            <v>QUESO MONTERREY JACK (KILO)</v>
          </cell>
          <cell r="C80" t="str">
            <v>KILO</v>
          </cell>
          <cell r="D80">
            <v>6479.5680000000002</v>
          </cell>
          <cell r="E80" t="str">
            <v>Gramo</v>
          </cell>
          <cell r="F80">
            <v>6.4795680000000004</v>
          </cell>
        </row>
        <row r="81">
          <cell r="A81" t="str">
            <v>310203</v>
          </cell>
          <cell r="B81" t="str">
            <v>QUESO CHEDDAR BLANCO (KILO)</v>
          </cell>
          <cell r="C81" t="str">
            <v>KILO</v>
          </cell>
          <cell r="D81">
            <v>8864.7129999999997</v>
          </cell>
          <cell r="E81" t="str">
            <v>Gramo</v>
          </cell>
          <cell r="F81">
            <v>8.8647130000000001</v>
          </cell>
        </row>
        <row r="82">
          <cell r="A82" t="str">
            <v>310204</v>
          </cell>
          <cell r="B82" t="str">
            <v>QUESO GOUDA BARRA</v>
          </cell>
          <cell r="C82" t="str">
            <v>KILO</v>
          </cell>
          <cell r="D82">
            <v>6639.44</v>
          </cell>
          <cell r="E82" t="str">
            <v>Gramo</v>
          </cell>
          <cell r="F82">
            <v>6.6394399999999996</v>
          </cell>
        </row>
        <row r="83">
          <cell r="A83" t="str">
            <v>310205</v>
          </cell>
          <cell r="B83" t="str">
            <v>QUESO FETA (200 GRMS)</v>
          </cell>
          <cell r="C83" t="str">
            <v>KILO</v>
          </cell>
          <cell r="D83">
            <v>13482.45</v>
          </cell>
          <cell r="E83" t="str">
            <v>Gramo</v>
          </cell>
          <cell r="F83">
            <v>13.48245</v>
          </cell>
        </row>
        <row r="84">
          <cell r="A84" t="str">
            <v>310207</v>
          </cell>
          <cell r="B84" t="str">
            <v>LECHE EN POLVO DESCREMADA ( 1.5 k)</v>
          </cell>
          <cell r="C84" t="str">
            <v>KILO</v>
          </cell>
          <cell r="D84">
            <v>6405.616</v>
          </cell>
          <cell r="E84" t="str">
            <v>Gramo</v>
          </cell>
          <cell r="F84">
            <v>6.4056160000000002</v>
          </cell>
        </row>
        <row r="85">
          <cell r="A85" t="str">
            <v>310216</v>
          </cell>
          <cell r="B85" t="str">
            <v>QUESO CABRA BIA MONTE KILO</v>
          </cell>
          <cell r="C85" t="str">
            <v>KILO</v>
          </cell>
          <cell r="D85">
            <v>3560</v>
          </cell>
          <cell r="E85" t="str">
            <v>Gramo</v>
          </cell>
          <cell r="F85">
            <v>3.56</v>
          </cell>
        </row>
        <row r="86">
          <cell r="A86" t="str">
            <v>310217</v>
          </cell>
          <cell r="B86" t="str">
            <v>QUESO AZUL EN TROZOS</v>
          </cell>
          <cell r="C86" t="str">
            <v>KILO</v>
          </cell>
          <cell r="D86">
            <v>4132.9560000000001</v>
          </cell>
          <cell r="E86" t="str">
            <v>Gramo</v>
          </cell>
          <cell r="F86">
            <v>4.1329560000000001</v>
          </cell>
        </row>
        <row r="87">
          <cell r="A87" t="str">
            <v>310218</v>
          </cell>
          <cell r="B87" t="str">
            <v>LA LECHERA TRES LECHES (1 LITRO)</v>
          </cell>
          <cell r="C87" t="str">
            <v>LITRO</v>
          </cell>
          <cell r="D87">
            <v>2233.25</v>
          </cell>
          <cell r="E87" t="str">
            <v>Mililitro</v>
          </cell>
          <cell r="F87">
            <v>2.23325</v>
          </cell>
        </row>
        <row r="88">
          <cell r="A88" t="str">
            <v>310219</v>
          </cell>
          <cell r="B88" t="str">
            <v>DOCELLO MOUSSE CHOCOLATE</v>
          </cell>
          <cell r="C88" t="str">
            <v>KILO</v>
          </cell>
          <cell r="D88">
            <v>10522.987999999999</v>
          </cell>
          <cell r="E88" t="str">
            <v>Gramo</v>
          </cell>
          <cell r="F88">
            <v>10.522988</v>
          </cell>
        </row>
        <row r="89">
          <cell r="A89" t="str">
            <v>310220</v>
          </cell>
          <cell r="B89" t="str">
            <v>DOCELLO TIRAMISU 400G</v>
          </cell>
          <cell r="C89" t="str">
            <v>KILO</v>
          </cell>
          <cell r="D89">
            <v>10252.477999999999</v>
          </cell>
          <cell r="E89" t="str">
            <v>Gramo</v>
          </cell>
          <cell r="F89">
            <v>10.252478</v>
          </cell>
        </row>
        <row r="90">
          <cell r="A90" t="str">
            <v>0312250</v>
          </cell>
          <cell r="B90" t="str">
            <v>MEZCLA BEBIDA MARACUYA (946ML)</v>
          </cell>
          <cell r="C90" t="str">
            <v>LITRO</v>
          </cell>
          <cell r="D90">
            <v>3229.4760000000001</v>
          </cell>
          <cell r="E90" t="str">
            <v>Mililitro</v>
          </cell>
          <cell r="F90">
            <v>3.229476</v>
          </cell>
        </row>
        <row r="91">
          <cell r="A91" t="str">
            <v>0312278</v>
          </cell>
          <cell r="B91" t="str">
            <v>LECHE ESTANDAR DE 10 LITROS</v>
          </cell>
          <cell r="C91" t="str">
            <v>LITRO</v>
          </cell>
          <cell r="D91">
            <v>473.80099999999999</v>
          </cell>
          <cell r="E91" t="str">
            <v>Mililitro</v>
          </cell>
          <cell r="F91">
            <v>0.47380099999999997</v>
          </cell>
        </row>
        <row r="92">
          <cell r="A92" t="str">
            <v>0312302</v>
          </cell>
          <cell r="B92" t="str">
            <v>HOJA DE LAUREL TONES (57g)</v>
          </cell>
          <cell r="C92" t="str">
            <v>KILO</v>
          </cell>
          <cell r="D92">
            <v>82003.491999999998</v>
          </cell>
          <cell r="E92" t="str">
            <v>Gramo</v>
          </cell>
          <cell r="F92">
            <v>82.003491999999994</v>
          </cell>
        </row>
        <row r="93">
          <cell r="A93" t="str">
            <v>0312303</v>
          </cell>
          <cell r="B93" t="str">
            <v>QUESO AZUL DANES ( 2.74 KG )</v>
          </cell>
          <cell r="C93" t="str">
            <v>KILO</v>
          </cell>
          <cell r="D93">
            <v>21214.100999999999</v>
          </cell>
          <cell r="E93" t="str">
            <v>Gramo</v>
          </cell>
          <cell r="F93">
            <v>21.214100999999999</v>
          </cell>
        </row>
        <row r="94">
          <cell r="A94" t="str">
            <v>0410110</v>
          </cell>
          <cell r="B94" t="str">
            <v>RELLENO  MELOC. BUCCA ( KILO )</v>
          </cell>
          <cell r="C94" t="str">
            <v>KILO</v>
          </cell>
          <cell r="D94">
            <v>2033</v>
          </cell>
          <cell r="E94" t="str">
            <v>Gramo</v>
          </cell>
          <cell r="F94">
            <v>2.0329999999999999</v>
          </cell>
        </row>
        <row r="95">
          <cell r="A95" t="str">
            <v>0410118</v>
          </cell>
          <cell r="B95" t="str">
            <v>BRILLO GLIT (CUBETA=5 KILOS)</v>
          </cell>
          <cell r="C95" t="str">
            <v>KILO</v>
          </cell>
          <cell r="D95">
            <v>1763.056</v>
          </cell>
          <cell r="E95" t="str">
            <v>Gramo</v>
          </cell>
          <cell r="F95">
            <v>1.763056</v>
          </cell>
        </row>
        <row r="96">
          <cell r="A96" t="str">
            <v>0410125</v>
          </cell>
          <cell r="B96" t="str">
            <v>RELLENO DE FRUTAS EXOTICAS ( KILO )</v>
          </cell>
          <cell r="C96" t="str">
            <v>KILO</v>
          </cell>
          <cell r="D96">
            <v>2271.9989999999998</v>
          </cell>
          <cell r="E96" t="str">
            <v>Gramo</v>
          </cell>
          <cell r="F96">
            <v>2.2719989999999997</v>
          </cell>
        </row>
        <row r="97">
          <cell r="A97" t="str">
            <v>0410127</v>
          </cell>
          <cell r="B97" t="str">
            <v>CREMA PASTELERA ( KILO )</v>
          </cell>
          <cell r="C97" t="str">
            <v>KILO</v>
          </cell>
          <cell r="D97">
            <v>1946.8520000000001</v>
          </cell>
          <cell r="E97" t="str">
            <v>Gramo</v>
          </cell>
          <cell r="F97">
            <v>1.946852</v>
          </cell>
        </row>
        <row r="98">
          <cell r="A98" t="str">
            <v>0410133</v>
          </cell>
          <cell r="B98" t="str">
            <v>RELLENO ORANGE FRUIT -O (12 L)</v>
          </cell>
          <cell r="C98" t="str">
            <v>KILO</v>
          </cell>
          <cell r="D98">
            <v>3771.3969999999999</v>
          </cell>
          <cell r="E98" t="str">
            <v>Gramo</v>
          </cell>
          <cell r="F98">
            <v>3.7713969999999999</v>
          </cell>
        </row>
        <row r="99">
          <cell r="A99" t="str">
            <v>0410137</v>
          </cell>
          <cell r="B99" t="str">
            <v>JALEA FRESA ( 5 KG )</v>
          </cell>
          <cell r="C99" t="str">
            <v>KILO</v>
          </cell>
          <cell r="D99">
            <v>1468.2</v>
          </cell>
          <cell r="E99" t="str">
            <v>Gramo</v>
          </cell>
          <cell r="F99">
            <v>1.4681999999999999</v>
          </cell>
        </row>
        <row r="100">
          <cell r="A100" t="str">
            <v>0410139</v>
          </cell>
          <cell r="B100" t="str">
            <v>MIRROIR PASTRY GLAZE BRILLO</v>
          </cell>
          <cell r="C100" t="str">
            <v>KILO</v>
          </cell>
          <cell r="D100">
            <v>3715.7139999999999</v>
          </cell>
          <cell r="E100" t="str">
            <v>Gramo</v>
          </cell>
          <cell r="F100">
            <v>3.7157139999999997</v>
          </cell>
        </row>
        <row r="101">
          <cell r="A101" t="str">
            <v>0410144</v>
          </cell>
          <cell r="B101" t="str">
            <v>RELLENO LIMON (KILO)</v>
          </cell>
          <cell r="C101" t="str">
            <v>KILO</v>
          </cell>
          <cell r="D101">
            <v>2336.91</v>
          </cell>
          <cell r="E101" t="str">
            <v>Gramo</v>
          </cell>
          <cell r="F101">
            <v>2.33691</v>
          </cell>
        </row>
        <row r="102">
          <cell r="A102" t="str">
            <v>0410151</v>
          </cell>
          <cell r="B102" t="str">
            <v>RELLENO FUDGE  (KILO)</v>
          </cell>
          <cell r="C102" t="str">
            <v>KILO</v>
          </cell>
          <cell r="D102">
            <v>3401.4740000000002</v>
          </cell>
          <cell r="E102" t="str">
            <v>Gramo</v>
          </cell>
          <cell r="F102">
            <v>3.4014740000000003</v>
          </cell>
        </row>
        <row r="103">
          <cell r="A103" t="str">
            <v>0410152</v>
          </cell>
          <cell r="B103" t="str">
            <v>RELLENO MELOCOTON (KILO)</v>
          </cell>
          <cell r="C103" t="str">
            <v>KILO</v>
          </cell>
          <cell r="D103">
            <v>2391.4319999999998</v>
          </cell>
          <cell r="E103" t="str">
            <v>Gramo</v>
          </cell>
          <cell r="F103">
            <v>2.391432</v>
          </cell>
        </row>
        <row r="104">
          <cell r="A104" t="str">
            <v>0410153</v>
          </cell>
          <cell r="B104" t="str">
            <v>TOOPING DE MELOCOTON KILO</v>
          </cell>
          <cell r="C104" t="str">
            <v>KILO</v>
          </cell>
          <cell r="D104">
            <v>1970.001</v>
          </cell>
          <cell r="E104" t="str">
            <v>Gramo</v>
          </cell>
          <cell r="F104">
            <v>1.9700009999999999</v>
          </cell>
        </row>
        <row r="105">
          <cell r="A105" t="str">
            <v>0410154</v>
          </cell>
          <cell r="B105" t="str">
            <v>RELLENO CARAMELO KILO</v>
          </cell>
          <cell r="C105" t="str">
            <v>KILO</v>
          </cell>
          <cell r="D105">
            <v>3165.7829999999999</v>
          </cell>
          <cell r="E105" t="str">
            <v>Gramo</v>
          </cell>
          <cell r="F105">
            <v>3.1657829999999998</v>
          </cell>
        </row>
        <row r="106">
          <cell r="A106" t="str">
            <v>0410172</v>
          </cell>
          <cell r="B106" t="str">
            <v>RELLENO DE FRESA (KILO)</v>
          </cell>
          <cell r="C106" t="str">
            <v>KILO</v>
          </cell>
          <cell r="D106">
            <v>2397</v>
          </cell>
          <cell r="E106" t="str">
            <v>Gramo</v>
          </cell>
          <cell r="F106">
            <v>2.3969999999999998</v>
          </cell>
        </row>
        <row r="107">
          <cell r="A107" t="str">
            <v>0410173</v>
          </cell>
          <cell r="B107" t="str">
            <v>TOPPING FRESA (KILO)</v>
          </cell>
          <cell r="C107" t="str">
            <v>KILO</v>
          </cell>
          <cell r="D107">
            <v>1860</v>
          </cell>
          <cell r="E107" t="str">
            <v>Gramo</v>
          </cell>
          <cell r="F107">
            <v>1.86</v>
          </cell>
        </row>
        <row r="108">
          <cell r="A108" t="str">
            <v>0410174</v>
          </cell>
          <cell r="B108" t="str">
            <v>RELLENO PIÑA COLADA</v>
          </cell>
          <cell r="C108" t="str">
            <v>KILO</v>
          </cell>
          <cell r="D108">
            <v>1912</v>
          </cell>
          <cell r="E108" t="str">
            <v>Gramo</v>
          </cell>
          <cell r="F108">
            <v>1.9119999999999999</v>
          </cell>
        </row>
        <row r="109">
          <cell r="A109" t="str">
            <v>0410179</v>
          </cell>
          <cell r="B109" t="str">
            <v>RELLENO MARACUYA (KILO)</v>
          </cell>
          <cell r="C109" t="str">
            <v>KILO</v>
          </cell>
          <cell r="D109">
            <v>2862</v>
          </cell>
          <cell r="E109" t="str">
            <v>Gramo</v>
          </cell>
          <cell r="F109">
            <v>2.8620000000000001</v>
          </cell>
        </row>
        <row r="110">
          <cell r="A110" t="str">
            <v>410187</v>
          </cell>
          <cell r="B110" t="str">
            <v>RELLENO  MANGO</v>
          </cell>
          <cell r="C110" t="str">
            <v>KILO</v>
          </cell>
          <cell r="D110">
            <v>2295</v>
          </cell>
          <cell r="E110" t="str">
            <v>Gramo</v>
          </cell>
          <cell r="F110">
            <v>2.2949999999999999</v>
          </cell>
        </row>
        <row r="111">
          <cell r="A111" t="str">
            <v>0410187</v>
          </cell>
          <cell r="B111" t="str">
            <v>RELLENO SALTY CARAMEL</v>
          </cell>
          <cell r="C111" t="str">
            <v>KILO</v>
          </cell>
          <cell r="D111">
            <v>3149.5189999999998</v>
          </cell>
          <cell r="E111" t="str">
            <v>Gramo</v>
          </cell>
          <cell r="F111">
            <v>3.1495189999999997</v>
          </cell>
        </row>
        <row r="112">
          <cell r="A112" t="str">
            <v>0410188</v>
          </cell>
          <cell r="B112" t="str">
            <v>RELLENO DE MANZANA KILO</v>
          </cell>
          <cell r="C112" t="str">
            <v>KILO</v>
          </cell>
          <cell r="D112">
            <v>4114</v>
          </cell>
          <cell r="E112" t="str">
            <v>Gramo</v>
          </cell>
          <cell r="F112">
            <v>4.1139999999999999</v>
          </cell>
        </row>
        <row r="113">
          <cell r="A113" t="str">
            <v>410189</v>
          </cell>
          <cell r="B113" t="str">
            <v>SMUCKERS MERMELADA DE NARANJA (340 gr)</v>
          </cell>
          <cell r="C113" t="str">
            <v>KILO</v>
          </cell>
          <cell r="D113">
            <v>5414.7060000000001</v>
          </cell>
          <cell r="E113" t="str">
            <v>Gramo</v>
          </cell>
          <cell r="F113">
            <v>5.4147059999999998</v>
          </cell>
        </row>
        <row r="114">
          <cell r="A114" t="str">
            <v>410190</v>
          </cell>
          <cell r="B114" t="str">
            <v>MERMELADA NARANJA (4.75 KG)</v>
          </cell>
          <cell r="C114" t="str">
            <v>KILO</v>
          </cell>
          <cell r="D114">
            <v>2470.7139999999999</v>
          </cell>
          <cell r="E114" t="str">
            <v>Gramo</v>
          </cell>
          <cell r="F114">
            <v>2.4707140000000001</v>
          </cell>
        </row>
        <row r="115">
          <cell r="A115" t="str">
            <v>0412304</v>
          </cell>
          <cell r="B115" t="str">
            <v>CHERRY FILLING ( 9 KG )</v>
          </cell>
          <cell r="C115" t="str">
            <v>KILO</v>
          </cell>
          <cell r="D115">
            <v>2714.0839999999998</v>
          </cell>
          <cell r="E115" t="str">
            <v>Gramo</v>
          </cell>
          <cell r="F115">
            <v>2.7140839999999997</v>
          </cell>
        </row>
        <row r="116">
          <cell r="A116" t="str">
            <v>0412306</v>
          </cell>
          <cell r="B116" t="str">
            <v>CREMA PRESTIGE GRAND (4 LITROS)</v>
          </cell>
          <cell r="C116" t="str">
            <v>LITRO</v>
          </cell>
          <cell r="D116">
            <v>1611.0050000000001</v>
          </cell>
          <cell r="E116" t="str">
            <v>Mililitro</v>
          </cell>
          <cell r="F116">
            <v>1.611005</v>
          </cell>
        </row>
        <row r="117">
          <cell r="A117" t="str">
            <v>0510103</v>
          </cell>
          <cell r="B117" t="str">
            <v>PREMEZCLA CHOCOMIX (BULTO=10 KILO)</v>
          </cell>
          <cell r="C117" t="str">
            <v>KILO</v>
          </cell>
          <cell r="D117">
            <v>1270</v>
          </cell>
          <cell r="E117" t="str">
            <v>Gramo</v>
          </cell>
          <cell r="F117">
            <v>1.27</v>
          </cell>
        </row>
        <row r="118">
          <cell r="A118" t="str">
            <v>0510107</v>
          </cell>
          <cell r="B118" t="str">
            <v>HARINA HARISOL WINTER (25k)</v>
          </cell>
          <cell r="C118" t="str">
            <v>KILO</v>
          </cell>
          <cell r="D118">
            <v>394.38799999999998</v>
          </cell>
          <cell r="E118" t="str">
            <v>Gramo</v>
          </cell>
          <cell r="F118">
            <v>0.39438799999999996</v>
          </cell>
        </row>
        <row r="119">
          <cell r="A119" t="str">
            <v>0510110</v>
          </cell>
          <cell r="B119" t="str">
            <v>AJONJOLI NEGRO ( 1 kilo )</v>
          </cell>
          <cell r="C119" t="str">
            <v>KILO</v>
          </cell>
          <cell r="D119">
            <v>6232.3969999999999</v>
          </cell>
          <cell r="E119" t="str">
            <v>Gramo</v>
          </cell>
          <cell r="F119">
            <v>6.2323969999999997</v>
          </cell>
        </row>
        <row r="120">
          <cell r="A120" t="str">
            <v>0510143</v>
          </cell>
          <cell r="B120" t="str">
            <v>GLUCOSA (5 KILO)</v>
          </cell>
          <cell r="C120" t="str">
            <v>LITRO</v>
          </cell>
          <cell r="D120">
            <v>4439.45</v>
          </cell>
          <cell r="E120" t="str">
            <v>Mililitro</v>
          </cell>
          <cell r="F120">
            <v>4.4394499999999999</v>
          </cell>
        </row>
        <row r="121">
          <cell r="A121" t="str">
            <v>0510146</v>
          </cell>
          <cell r="B121" t="str">
            <v>AJONJOLI (1 KILO)</v>
          </cell>
          <cell r="C121" t="str">
            <v>KILO</v>
          </cell>
          <cell r="D121">
            <v>1790.7149999999999</v>
          </cell>
          <cell r="E121" t="str">
            <v>Gramo</v>
          </cell>
          <cell r="F121">
            <v>1.7907149999999998</v>
          </cell>
        </row>
        <row r="122">
          <cell r="A122" t="str">
            <v>0510148</v>
          </cell>
          <cell r="B122" t="str">
            <v>ALMENDRA FILETEADA (11,34KG * CAJA)</v>
          </cell>
          <cell r="C122" t="str">
            <v>KILO</v>
          </cell>
          <cell r="D122">
            <v>5781.6049999999996</v>
          </cell>
          <cell r="E122" t="str">
            <v>Gramo</v>
          </cell>
          <cell r="F122">
            <v>5.7816049999999999</v>
          </cell>
        </row>
        <row r="123">
          <cell r="A123" t="str">
            <v>0510149</v>
          </cell>
          <cell r="B123" t="str">
            <v>ALMENDRA ENTERA (CAJAS DE 11.34 KG)</v>
          </cell>
          <cell r="C123" t="str">
            <v>KILO</v>
          </cell>
          <cell r="D123">
            <v>5671.585</v>
          </cell>
          <cell r="E123" t="str">
            <v>Gramo</v>
          </cell>
          <cell r="F123">
            <v>5.6715850000000003</v>
          </cell>
        </row>
        <row r="124">
          <cell r="A124" t="str">
            <v>0510155</v>
          </cell>
          <cell r="B124" t="str">
            <v>AZUCAR GLASS MOLIDA ( 4 KG )</v>
          </cell>
          <cell r="C124" t="str">
            <v>KILO</v>
          </cell>
          <cell r="D124">
            <v>1429.17</v>
          </cell>
          <cell r="E124" t="str">
            <v>Gramo</v>
          </cell>
          <cell r="F124">
            <v>1.4291700000000001</v>
          </cell>
        </row>
        <row r="125">
          <cell r="A125" t="str">
            <v>0510156</v>
          </cell>
          <cell r="B125" t="str">
            <v>AZUCAR MOLIDA ( 1 KG )</v>
          </cell>
          <cell r="C125" t="str">
            <v>KILO</v>
          </cell>
          <cell r="D125">
            <v>1300</v>
          </cell>
          <cell r="E125" t="str">
            <v>Gramo</v>
          </cell>
          <cell r="F125">
            <v>1.3</v>
          </cell>
        </row>
        <row r="126">
          <cell r="A126" t="str">
            <v>0510157</v>
          </cell>
          <cell r="B126" t="str">
            <v>AZUCAR MORENO ( 1 KG )</v>
          </cell>
          <cell r="C126" t="str">
            <v>KILO</v>
          </cell>
          <cell r="D126">
            <v>894.00300000000004</v>
          </cell>
          <cell r="E126" t="str">
            <v>Gramo</v>
          </cell>
          <cell r="F126">
            <v>0.89400299999999999</v>
          </cell>
        </row>
        <row r="127">
          <cell r="A127" t="str">
            <v>0510160</v>
          </cell>
          <cell r="B127" t="str">
            <v>BICARBONATO (454g)</v>
          </cell>
          <cell r="C127" t="str">
            <v>KILO</v>
          </cell>
          <cell r="D127">
            <v>1995.597</v>
          </cell>
          <cell r="E127" t="str">
            <v>Gramo</v>
          </cell>
          <cell r="F127">
            <v>1.9955970000000001</v>
          </cell>
        </row>
        <row r="128">
          <cell r="A128" t="str">
            <v>0510161</v>
          </cell>
          <cell r="B128" t="str">
            <v>BROWNIE MIX MOIST (22.73 KG)</v>
          </cell>
          <cell r="C128" t="str">
            <v>KILO</v>
          </cell>
          <cell r="D128">
            <v>2243.7269999999999</v>
          </cell>
          <cell r="E128" t="str">
            <v>Gramo</v>
          </cell>
          <cell r="F128">
            <v>2.2437269999999998</v>
          </cell>
        </row>
        <row r="129">
          <cell r="A129" t="str">
            <v>0510171</v>
          </cell>
          <cell r="B129" t="str">
            <v>CEREZAS CONFITADAS</v>
          </cell>
          <cell r="C129" t="str">
            <v>KILO</v>
          </cell>
          <cell r="D129">
            <v>2730</v>
          </cell>
          <cell r="E129" t="str">
            <v>Gramo</v>
          </cell>
          <cell r="F129">
            <v>2.73</v>
          </cell>
        </row>
        <row r="130">
          <cell r="A130" t="str">
            <v>0510174</v>
          </cell>
          <cell r="B130" t="str">
            <v>COCO RALLADO KILO</v>
          </cell>
          <cell r="C130" t="str">
            <v>KILO</v>
          </cell>
          <cell r="D130">
            <v>2770.261</v>
          </cell>
          <cell r="E130" t="str">
            <v>Gramo</v>
          </cell>
          <cell r="F130">
            <v>2.7702610000000001</v>
          </cell>
        </row>
        <row r="131">
          <cell r="A131" t="str">
            <v>0510184</v>
          </cell>
          <cell r="B131" t="str">
            <v>FRIJOL NEGRO ( 900 GR )</v>
          </cell>
          <cell r="C131" t="str">
            <v>KILO</v>
          </cell>
          <cell r="D131">
            <v>1171.1990000000001</v>
          </cell>
          <cell r="E131" t="str">
            <v>Gramo</v>
          </cell>
          <cell r="F131">
            <v>1.1711990000000001</v>
          </cell>
        </row>
        <row r="132">
          <cell r="A132" t="str">
            <v>0510185</v>
          </cell>
          <cell r="B132" t="str">
            <v>FRUTA CONFITADA ( 15 KG )</v>
          </cell>
          <cell r="C132" t="str">
            <v>KILO</v>
          </cell>
          <cell r="D132">
            <v>1645</v>
          </cell>
          <cell r="E132" t="str">
            <v>Gramo</v>
          </cell>
          <cell r="F132">
            <v>1.645</v>
          </cell>
        </row>
        <row r="133">
          <cell r="A133" t="str">
            <v>0510186</v>
          </cell>
          <cell r="B133" t="str">
            <v>GELATINA PURA  1 kg</v>
          </cell>
          <cell r="C133" t="str">
            <v>KILO</v>
          </cell>
          <cell r="D133">
            <v>9071</v>
          </cell>
          <cell r="E133" t="str">
            <v>Gramo</v>
          </cell>
          <cell r="F133">
            <v>9.0709999999999997</v>
          </cell>
        </row>
        <row r="134">
          <cell r="A134" t="str">
            <v>0510188</v>
          </cell>
          <cell r="B134" t="str">
            <v>HARINA ESTANDAR  ( 25 KG )</v>
          </cell>
          <cell r="C134" t="str">
            <v>KILO</v>
          </cell>
          <cell r="D134">
            <v>447.99900000000002</v>
          </cell>
          <cell r="E134" t="str">
            <v>Gramo</v>
          </cell>
          <cell r="F134">
            <v>0.44799900000000004</v>
          </cell>
        </row>
        <row r="135">
          <cell r="A135" t="str">
            <v>0510189</v>
          </cell>
          <cell r="B135" t="str">
            <v>HARINA GOLD MEDAL 2.268 KILOS</v>
          </cell>
          <cell r="C135" t="str">
            <v>KILO</v>
          </cell>
          <cell r="D135">
            <v>558.13499999999999</v>
          </cell>
          <cell r="E135" t="str">
            <v>Gramo</v>
          </cell>
          <cell r="F135">
            <v>0.55813499999999994</v>
          </cell>
        </row>
        <row r="136">
          <cell r="A136" t="str">
            <v>0510192</v>
          </cell>
          <cell r="B136" t="str">
            <v>LEVADURA (500GRM)</v>
          </cell>
          <cell r="C136" t="str">
            <v>KILO</v>
          </cell>
          <cell r="D136">
            <v>3931.6959999999999</v>
          </cell>
          <cell r="E136" t="str">
            <v>Gramo</v>
          </cell>
          <cell r="F136">
            <v>3.9316960000000001</v>
          </cell>
        </row>
        <row r="137">
          <cell r="A137" t="str">
            <v>0510194</v>
          </cell>
          <cell r="B137" t="str">
            <v>MACADAMIA #8 (PAQ=800g)</v>
          </cell>
          <cell r="C137" t="str">
            <v>PAQ</v>
          </cell>
          <cell r="D137">
            <v>7560</v>
          </cell>
          <cell r="E137" t="str">
            <v>Gramo</v>
          </cell>
          <cell r="F137">
            <v>9.4499999999999993</v>
          </cell>
        </row>
        <row r="138">
          <cell r="A138" t="str">
            <v>0510197</v>
          </cell>
          <cell r="B138" t="str">
            <v>MASECA GRANEL 20 KILOS</v>
          </cell>
          <cell r="C138" t="str">
            <v>KILO</v>
          </cell>
          <cell r="D138">
            <v>537.41099999999994</v>
          </cell>
          <cell r="E138" t="str">
            <v>Gramo</v>
          </cell>
          <cell r="F138">
            <v>0.53741099999999997</v>
          </cell>
        </row>
        <row r="139">
          <cell r="A139" t="str">
            <v>0510198</v>
          </cell>
          <cell r="B139" t="str">
            <v>MANI SIMPLE KG</v>
          </cell>
          <cell r="C139" t="str">
            <v>KILO</v>
          </cell>
          <cell r="D139">
            <v>2280.3969999999999</v>
          </cell>
          <cell r="E139" t="str">
            <v>Gramo</v>
          </cell>
          <cell r="F139">
            <v>2.2803969999999998</v>
          </cell>
        </row>
        <row r="140">
          <cell r="A140" t="str">
            <v>0510200</v>
          </cell>
          <cell r="B140" t="str">
            <v>PASAS ( CAJAS 13.6KG)</v>
          </cell>
          <cell r="C140" t="str">
            <v>KILO</v>
          </cell>
          <cell r="D140">
            <v>2884.88</v>
          </cell>
          <cell r="E140" t="str">
            <v>Gramo</v>
          </cell>
          <cell r="F140">
            <v>2.8848799999999999</v>
          </cell>
        </row>
        <row r="141">
          <cell r="A141" t="str">
            <v>0510202</v>
          </cell>
          <cell r="B141" t="str">
            <v>POLVO HORNEAR FLEISHMAN (2.5 KG)</v>
          </cell>
          <cell r="C141" t="str">
            <v>KILO</v>
          </cell>
          <cell r="D141">
            <v>895.2</v>
          </cell>
          <cell r="E141" t="str">
            <v>Gramo</v>
          </cell>
          <cell r="F141">
            <v>0.8952</v>
          </cell>
        </row>
        <row r="142">
          <cell r="A142" t="str">
            <v>0510204</v>
          </cell>
          <cell r="B142" t="str">
            <v>SAL REFINADA ( 500 GRS )</v>
          </cell>
          <cell r="C142" t="str">
            <v>KILO</v>
          </cell>
          <cell r="D142">
            <v>335.43</v>
          </cell>
          <cell r="E142" t="str">
            <v>Gramo</v>
          </cell>
          <cell r="F142">
            <v>0.33543000000000001</v>
          </cell>
        </row>
        <row r="143">
          <cell r="A143" t="str">
            <v>0510210</v>
          </cell>
          <cell r="B143" t="str">
            <v>AZUCAR EDULCURANTE ( KG )</v>
          </cell>
          <cell r="C143" t="str">
            <v>KILO</v>
          </cell>
          <cell r="D143">
            <v>5968.05</v>
          </cell>
          <cell r="E143" t="str">
            <v>Gramo</v>
          </cell>
          <cell r="F143">
            <v>5.9680499999999999</v>
          </cell>
        </row>
        <row r="144">
          <cell r="A144" t="str">
            <v>0510215</v>
          </cell>
          <cell r="B144" t="str">
            <v>ALMIDON MODIFICADO ( 25 KG )</v>
          </cell>
          <cell r="C144" t="str">
            <v>KILO</v>
          </cell>
          <cell r="D144">
            <v>1683.318</v>
          </cell>
          <cell r="E144" t="str">
            <v>Gramo</v>
          </cell>
          <cell r="F144">
            <v>1.6833180000000001</v>
          </cell>
        </row>
        <row r="145">
          <cell r="A145" t="str">
            <v>0510229</v>
          </cell>
          <cell r="B145" t="str">
            <v>HARINA NACARINA SACOS (50 KILOS)</v>
          </cell>
          <cell r="C145" t="str">
            <v>UND</v>
          </cell>
          <cell r="D145">
            <v>24266</v>
          </cell>
          <cell r="E145" t="str">
            <v>Gramo</v>
          </cell>
          <cell r="F145">
            <v>0.48531999999999997</v>
          </cell>
        </row>
        <row r="146">
          <cell r="A146" t="str">
            <v>0510240</v>
          </cell>
          <cell r="B146" t="str">
            <v>PREMEZCLA PILLS. CHOCOLATE (22.68 KG)</v>
          </cell>
          <cell r="C146" t="str">
            <v>KILO</v>
          </cell>
          <cell r="D146">
            <v>1566.27</v>
          </cell>
          <cell r="E146" t="str">
            <v>Gramo</v>
          </cell>
          <cell r="F146">
            <v>1.5662700000000001</v>
          </cell>
        </row>
        <row r="147">
          <cell r="A147" t="str">
            <v>0510249</v>
          </cell>
          <cell r="B147" t="str">
            <v>SEMILLA DE MARAÑON ( KILO )</v>
          </cell>
          <cell r="C147" t="str">
            <v>KILO</v>
          </cell>
          <cell r="D147">
            <v>8467.0660000000007</v>
          </cell>
          <cell r="E147" t="str">
            <v>Gramo</v>
          </cell>
          <cell r="F147">
            <v>8.4670660000000009</v>
          </cell>
        </row>
        <row r="148">
          <cell r="A148" t="str">
            <v>0510257</v>
          </cell>
          <cell r="B148" t="str">
            <v>SABORIZANTE DE COCO (KILO)</v>
          </cell>
          <cell r="C148" t="str">
            <v>KILO</v>
          </cell>
          <cell r="D148">
            <v>5455.9430000000002</v>
          </cell>
          <cell r="E148" t="str">
            <v>Gramo</v>
          </cell>
          <cell r="F148">
            <v>5.4559430000000004</v>
          </cell>
        </row>
        <row r="149">
          <cell r="A149" t="str">
            <v>0510258</v>
          </cell>
          <cell r="B149" t="str">
            <v>PREMEZCLA MOIST R PUDIN CAKE (24.71)NAC</v>
          </cell>
          <cell r="C149" t="str">
            <v>KILO</v>
          </cell>
          <cell r="D149">
            <v>1006.6660000000001</v>
          </cell>
          <cell r="E149" t="str">
            <v>Gramo</v>
          </cell>
          <cell r="F149">
            <v>1.0066660000000001</v>
          </cell>
        </row>
        <row r="150">
          <cell r="A150" t="str">
            <v>0510259</v>
          </cell>
          <cell r="B150" t="str">
            <v>SABORIZANTE FRESA BOSQUE (LITRO)</v>
          </cell>
          <cell r="C150" t="str">
            <v>LITRO</v>
          </cell>
          <cell r="D150">
            <v>8780.1260000000002</v>
          </cell>
          <cell r="E150" t="str">
            <v>Mililitro</v>
          </cell>
          <cell r="F150">
            <v>8.780126000000001</v>
          </cell>
        </row>
        <row r="151">
          <cell r="A151" t="str">
            <v>0510261</v>
          </cell>
          <cell r="B151" t="str">
            <v>SABORIZANTE MELO (KILO)</v>
          </cell>
          <cell r="C151" t="str">
            <v>KILO</v>
          </cell>
          <cell r="D151">
            <v>8294.9339999999993</v>
          </cell>
          <cell r="E151" t="str">
            <v>Gramo</v>
          </cell>
          <cell r="F151">
            <v>8.2949339999999996</v>
          </cell>
        </row>
        <row r="152">
          <cell r="A152" t="str">
            <v>0510262</v>
          </cell>
          <cell r="B152" t="str">
            <v>PECANA ENTERA (CAJA 13.6 K)</v>
          </cell>
          <cell r="C152" t="str">
            <v>KILO</v>
          </cell>
          <cell r="D152">
            <v>11935.353999999999</v>
          </cell>
          <cell r="E152" t="str">
            <v>Gramo</v>
          </cell>
          <cell r="F152">
            <v>11.935354</v>
          </cell>
        </row>
        <row r="153">
          <cell r="A153" t="str">
            <v>0510268</v>
          </cell>
          <cell r="B153" t="str">
            <v>FRIJOL TIERNO (PAQ=1KILO)</v>
          </cell>
          <cell r="C153" t="str">
            <v>KILO</v>
          </cell>
          <cell r="D153">
            <v>1700</v>
          </cell>
          <cell r="E153" t="str">
            <v>Gramo</v>
          </cell>
          <cell r="F153">
            <v>1.7</v>
          </cell>
        </row>
        <row r="154">
          <cell r="A154" t="str">
            <v>0510274</v>
          </cell>
          <cell r="B154" t="str">
            <v>MACADAMIA ENTERA (PAQ=1 KILO)</v>
          </cell>
          <cell r="C154" t="str">
            <v>KILO</v>
          </cell>
          <cell r="D154">
            <v>15094.946</v>
          </cell>
          <cell r="E154" t="str">
            <v>Gramo</v>
          </cell>
          <cell r="F154">
            <v>15.094946</v>
          </cell>
        </row>
        <row r="155">
          <cell r="A155" t="str">
            <v>0510275</v>
          </cell>
          <cell r="B155" t="str">
            <v>AVELLANA BLANQUEADA (CAJA =25K )</v>
          </cell>
          <cell r="C155" t="str">
            <v>KILO</v>
          </cell>
          <cell r="D155">
            <v>11728.659</v>
          </cell>
          <cell r="E155" t="str">
            <v>Gramo</v>
          </cell>
          <cell r="F155">
            <v>11.728659</v>
          </cell>
        </row>
        <row r="156">
          <cell r="A156" t="str">
            <v>0510276</v>
          </cell>
          <cell r="B156" t="str">
            <v>NUEZ DE BRASIL ( CAJA=20K)</v>
          </cell>
          <cell r="C156" t="str">
            <v>KILO</v>
          </cell>
          <cell r="D156">
            <v>10071.687</v>
          </cell>
          <cell r="E156" t="str">
            <v>Gramo</v>
          </cell>
          <cell r="F156">
            <v>10.071687000000001</v>
          </cell>
        </row>
        <row r="157">
          <cell r="A157" t="str">
            <v>0510277</v>
          </cell>
          <cell r="B157" t="str">
            <v>AJONJOLI NEGRO (PAQ=300g)</v>
          </cell>
          <cell r="C157" t="str">
            <v>KILO</v>
          </cell>
          <cell r="D157">
            <v>4518.6670000000004</v>
          </cell>
          <cell r="E157" t="str">
            <v>Gramo</v>
          </cell>
          <cell r="F157">
            <v>4.5186670000000007</v>
          </cell>
        </row>
        <row r="158">
          <cell r="A158" t="str">
            <v>0510278</v>
          </cell>
          <cell r="B158" t="str">
            <v>POPPY COOK PALOMITAS (TARRO = 850g )</v>
          </cell>
          <cell r="C158" t="str">
            <v>UND</v>
          </cell>
          <cell r="D158">
            <v>5794.4210000000003</v>
          </cell>
          <cell r="E158" t="str">
            <v>Gramo</v>
          </cell>
          <cell r="F158">
            <v>6.8169658823529415</v>
          </cell>
        </row>
        <row r="159">
          <cell r="A159" t="str">
            <v>0510280</v>
          </cell>
          <cell r="B159" t="str">
            <v>EMULCON TM</v>
          </cell>
          <cell r="C159" t="str">
            <v>KILO</v>
          </cell>
          <cell r="D159">
            <v>3687.1379999999999</v>
          </cell>
          <cell r="E159" t="str">
            <v>Gramo</v>
          </cell>
          <cell r="F159">
            <v>3.687138</v>
          </cell>
        </row>
        <row r="160">
          <cell r="A160" t="str">
            <v>0510285</v>
          </cell>
          <cell r="B160" t="str">
            <v>PREMEZCLA P/QUEQUE YOGURT (PAQ=22.67 KG)</v>
          </cell>
          <cell r="C160" t="str">
            <v>KILO</v>
          </cell>
          <cell r="D160">
            <v>1699.97</v>
          </cell>
          <cell r="E160" t="str">
            <v>Gramo</v>
          </cell>
          <cell r="F160">
            <v>1.69997</v>
          </cell>
        </row>
        <row r="161">
          <cell r="A161" t="str">
            <v>0510287</v>
          </cell>
          <cell r="B161" t="str">
            <v>PREMEZCLA TEGRAL CHIFFON (PAQ=10 Kg )</v>
          </cell>
          <cell r="C161" t="str">
            <v>KILO</v>
          </cell>
          <cell r="D161">
            <v>1730</v>
          </cell>
          <cell r="E161" t="str">
            <v>Gramo</v>
          </cell>
          <cell r="F161">
            <v>1.73</v>
          </cell>
        </row>
        <row r="162">
          <cell r="A162" t="str">
            <v>0510294</v>
          </cell>
          <cell r="B162" t="str">
            <v>ANTIOXIDANTE ESPECIAL (KILO)</v>
          </cell>
          <cell r="C162" t="str">
            <v>KILO</v>
          </cell>
          <cell r="D162">
            <v>5545.7430000000004</v>
          </cell>
          <cell r="E162" t="str">
            <v>Gramo</v>
          </cell>
          <cell r="F162">
            <v>5.5457430000000008</v>
          </cell>
        </row>
        <row r="163">
          <cell r="A163" t="str">
            <v>0510295</v>
          </cell>
          <cell r="B163" t="str">
            <v>PREMEZCLA TEGRAL BIZCOCHUELO CARAMELO (KILO)</v>
          </cell>
          <cell r="C163" t="str">
            <v>KILO</v>
          </cell>
          <cell r="D163">
            <v>1010</v>
          </cell>
          <cell r="E163" t="str">
            <v>Gramo</v>
          </cell>
          <cell r="F163">
            <v>1.01</v>
          </cell>
        </row>
        <row r="164">
          <cell r="A164" t="str">
            <v>510296</v>
          </cell>
          <cell r="B164" t="str">
            <v>AZUCAR C/CARAMELO DM 1/500 GRMS.</v>
          </cell>
          <cell r="C164" t="str">
            <v>KILO</v>
          </cell>
          <cell r="D164">
            <v>1372</v>
          </cell>
          <cell r="E164" t="str">
            <v>Gramo</v>
          </cell>
          <cell r="F164">
            <v>1.3720000000000001</v>
          </cell>
        </row>
        <row r="165">
          <cell r="A165" t="str">
            <v>0510298</v>
          </cell>
          <cell r="B165" t="str">
            <v>PREMEZCLA TEGRAL BIZCOCHUELO MELOCOTON (KILO)</v>
          </cell>
          <cell r="C165" t="str">
            <v>KILO</v>
          </cell>
          <cell r="D165">
            <v>1010</v>
          </cell>
          <cell r="E165" t="str">
            <v>Gramo</v>
          </cell>
          <cell r="F165">
            <v>1.01</v>
          </cell>
        </row>
        <row r="166">
          <cell r="A166" t="str">
            <v>510301</v>
          </cell>
          <cell r="B166" t="str">
            <v>AZUCAR BLANCO (INDUSTRIAL)</v>
          </cell>
          <cell r="C166" t="str">
            <v>KILO</v>
          </cell>
          <cell r="D166">
            <v>378.959</v>
          </cell>
          <cell r="E166" t="str">
            <v>Gramo</v>
          </cell>
          <cell r="F166">
            <v>0.37895899999999999</v>
          </cell>
        </row>
        <row r="167">
          <cell r="A167" t="str">
            <v>510302</v>
          </cell>
          <cell r="B167" t="str">
            <v>AZUCAR REFINO INDUSTRIAL</v>
          </cell>
          <cell r="C167" t="str">
            <v>KILO</v>
          </cell>
          <cell r="D167">
            <v>428.25900000000001</v>
          </cell>
          <cell r="E167" t="str">
            <v>Gramo</v>
          </cell>
          <cell r="F167">
            <v>0.428259</v>
          </cell>
        </row>
        <row r="168">
          <cell r="A168" t="str">
            <v>510303</v>
          </cell>
          <cell r="B168" t="str">
            <v>AJONJOLI BLANCO (PAQ=200GRM)</v>
          </cell>
          <cell r="C168" t="str">
            <v>KILO</v>
          </cell>
          <cell r="D168">
            <v>3370.4450000000002</v>
          </cell>
          <cell r="E168" t="str">
            <v>Gramo</v>
          </cell>
          <cell r="F168">
            <v>3.3704450000000001</v>
          </cell>
        </row>
        <row r="169">
          <cell r="A169" t="str">
            <v>0510304</v>
          </cell>
          <cell r="B169" t="str">
            <v>PREMEZCLA PASTEL SUPER ESPONJA</v>
          </cell>
          <cell r="C169" t="str">
            <v>KILO</v>
          </cell>
          <cell r="D169">
            <v>1682.2619999999999</v>
          </cell>
          <cell r="E169" t="str">
            <v>Gramo</v>
          </cell>
          <cell r="F169">
            <v>1.6822619999999999</v>
          </cell>
        </row>
        <row r="170">
          <cell r="A170" t="str">
            <v>510404</v>
          </cell>
          <cell r="B170" t="str">
            <v>ARROZ 96% EL ARMENIO ( BULTO =12 PAQ=1.8K)</v>
          </cell>
          <cell r="C170" t="str">
            <v>KILO</v>
          </cell>
          <cell r="D170">
            <v>797.79600000000005</v>
          </cell>
          <cell r="E170" t="str">
            <v>Gramo</v>
          </cell>
          <cell r="F170">
            <v>0.79779600000000006</v>
          </cell>
        </row>
        <row r="171">
          <cell r="A171" t="str">
            <v>510405</v>
          </cell>
          <cell r="B171" t="str">
            <v>ARROZ PRECOCIDO EL ARMENIO (BULTO= 30K)</v>
          </cell>
          <cell r="C171" t="str">
            <v>KILO</v>
          </cell>
          <cell r="D171">
            <v>709.5</v>
          </cell>
          <cell r="E171" t="str">
            <v>Gramo</v>
          </cell>
          <cell r="F171">
            <v>0.70950000000000002</v>
          </cell>
        </row>
        <row r="172">
          <cell r="A172" t="str">
            <v>510406</v>
          </cell>
          <cell r="B172" t="str">
            <v>QUINOA BLANCA ROLAND (PAQ=2.27 K)</v>
          </cell>
          <cell r="C172" t="str">
            <v>KILO</v>
          </cell>
          <cell r="D172">
            <v>5749.1610000000001</v>
          </cell>
          <cell r="E172" t="str">
            <v>Gramo</v>
          </cell>
          <cell r="F172">
            <v>5.749161</v>
          </cell>
        </row>
        <row r="173">
          <cell r="A173" t="str">
            <v>510410</v>
          </cell>
          <cell r="B173" t="str">
            <v>SABORIZANTE AMARETO</v>
          </cell>
          <cell r="C173" t="str">
            <v>KILO</v>
          </cell>
          <cell r="D173">
            <v>8185.35</v>
          </cell>
          <cell r="E173" t="str">
            <v>Gramo</v>
          </cell>
          <cell r="F173">
            <v>8.1853499999999997</v>
          </cell>
        </row>
        <row r="174">
          <cell r="A174" t="str">
            <v>510413</v>
          </cell>
          <cell r="B174" t="str">
            <v>PRESERVANTE ESTERLAC EFF20 (CAJA= 25K)</v>
          </cell>
          <cell r="C174" t="str">
            <v>KILO</v>
          </cell>
          <cell r="D174">
            <v>2364.4</v>
          </cell>
          <cell r="E174" t="str">
            <v>Gramo</v>
          </cell>
          <cell r="F174">
            <v>2.3644000000000003</v>
          </cell>
        </row>
        <row r="175">
          <cell r="A175" t="str">
            <v>510415</v>
          </cell>
          <cell r="B175" t="str">
            <v>PREMEZCLA VAINILLA PASTELERO REAL 20K</v>
          </cell>
          <cell r="C175" t="str">
            <v>KILO</v>
          </cell>
          <cell r="D175">
            <v>923.17899999999997</v>
          </cell>
          <cell r="E175" t="str">
            <v>Gramo</v>
          </cell>
          <cell r="F175">
            <v>0.92317899999999997</v>
          </cell>
        </row>
        <row r="176">
          <cell r="A176" t="str">
            <v>510416</v>
          </cell>
          <cell r="B176" t="str">
            <v>PREMEZCLA CHOCOLATE PASTELERO REAL 20K</v>
          </cell>
          <cell r="C176" t="str">
            <v>KILO</v>
          </cell>
          <cell r="D176">
            <v>1238.8610000000001</v>
          </cell>
          <cell r="E176" t="str">
            <v>Gramo</v>
          </cell>
          <cell r="F176">
            <v>1.2388610000000002</v>
          </cell>
        </row>
        <row r="177">
          <cell r="A177" t="str">
            <v>0512255</v>
          </cell>
          <cell r="B177" t="str">
            <v>COCOA DUTCH PROCESS (25 KG)</v>
          </cell>
          <cell r="C177" t="str">
            <v>KILO</v>
          </cell>
          <cell r="D177">
            <v>4856.0249999999996</v>
          </cell>
          <cell r="E177" t="str">
            <v>Gramo</v>
          </cell>
          <cell r="F177">
            <v>4.8560249999999998</v>
          </cell>
        </row>
        <row r="178">
          <cell r="A178" t="str">
            <v>0512256</v>
          </cell>
          <cell r="B178" t="str">
            <v>PREMEZCLA OTENTIC ORIGIN (PAQ=1 KILO)</v>
          </cell>
          <cell r="C178" t="str">
            <v>KILO</v>
          </cell>
          <cell r="D178">
            <v>6870</v>
          </cell>
          <cell r="E178" t="str">
            <v>Gramo</v>
          </cell>
          <cell r="F178">
            <v>6.87</v>
          </cell>
        </row>
        <row r="179">
          <cell r="A179" t="str">
            <v>0512261</v>
          </cell>
          <cell r="B179" t="str">
            <v>ACIDO SORBICO (KG)</v>
          </cell>
          <cell r="C179" t="str">
            <v>KILO</v>
          </cell>
          <cell r="D179">
            <v>8428.7659999999996</v>
          </cell>
          <cell r="E179" t="str">
            <v>Gramo</v>
          </cell>
          <cell r="F179">
            <v>8.4287659999999995</v>
          </cell>
        </row>
        <row r="180">
          <cell r="A180" t="str">
            <v>0512262</v>
          </cell>
          <cell r="B180" t="str">
            <v>PROPIONATO DE CALCIO</v>
          </cell>
          <cell r="C180" t="str">
            <v>KILO</v>
          </cell>
          <cell r="D180">
            <v>2042.42</v>
          </cell>
          <cell r="E180" t="str">
            <v>Gramo</v>
          </cell>
          <cell r="F180">
            <v>2.0424199999999999</v>
          </cell>
        </row>
        <row r="181">
          <cell r="A181" t="str">
            <v>0512299</v>
          </cell>
          <cell r="B181" t="str">
            <v>AVENA HOJUELAS (360 GR)</v>
          </cell>
          <cell r="C181" t="str">
            <v>UND</v>
          </cell>
          <cell r="D181">
            <v>648.99599999999998</v>
          </cell>
          <cell r="E181" t="str">
            <v>Gramo</v>
          </cell>
          <cell r="F181">
            <v>1.8027666666666666</v>
          </cell>
        </row>
        <row r="182">
          <cell r="A182" t="str">
            <v>0512310</v>
          </cell>
          <cell r="B182" t="str">
            <v>OREGANO TONES  ( 141 GRS )</v>
          </cell>
          <cell r="C182" t="str">
            <v>KILO</v>
          </cell>
          <cell r="D182">
            <v>37022.451999999997</v>
          </cell>
          <cell r="E182" t="str">
            <v>Gramo</v>
          </cell>
          <cell r="F182">
            <v>37.022451999999994</v>
          </cell>
        </row>
        <row r="183">
          <cell r="A183" t="str">
            <v>0512316</v>
          </cell>
          <cell r="B183" t="str">
            <v>CAFÉ INSTANTANEO ( 500 GRS )</v>
          </cell>
          <cell r="C183" t="str">
            <v>KILO</v>
          </cell>
          <cell r="D183">
            <v>16485.353999999999</v>
          </cell>
          <cell r="E183" t="str">
            <v>Gramo</v>
          </cell>
          <cell r="F183">
            <v>16.485354000000001</v>
          </cell>
        </row>
        <row r="184">
          <cell r="A184" t="str">
            <v>0512319</v>
          </cell>
          <cell r="B184" t="str">
            <v>PASTA AJO (KILO)</v>
          </cell>
          <cell r="C184" t="str">
            <v>KILO</v>
          </cell>
          <cell r="D184">
            <v>4294</v>
          </cell>
          <cell r="E184" t="str">
            <v>Gramo</v>
          </cell>
          <cell r="F184">
            <v>4.2939999999999996</v>
          </cell>
        </row>
        <row r="185">
          <cell r="A185" t="str">
            <v>0610205</v>
          </cell>
          <cell r="B185" t="str">
            <v>TOMILLO (199 GRAMOS)</v>
          </cell>
          <cell r="C185" t="str">
            <v>KILO</v>
          </cell>
          <cell r="D185">
            <v>46830.985999999997</v>
          </cell>
          <cell r="E185" t="str">
            <v>Gramo</v>
          </cell>
          <cell r="F185">
            <v>46.830985999999996</v>
          </cell>
        </row>
        <row r="186">
          <cell r="A186" t="str">
            <v>0610208</v>
          </cell>
          <cell r="B186" t="str">
            <v>ACHIOTE KG</v>
          </cell>
          <cell r="C186" t="str">
            <v>KILO</v>
          </cell>
          <cell r="D186">
            <v>3705.0920000000001</v>
          </cell>
          <cell r="E186" t="str">
            <v>Gramo</v>
          </cell>
          <cell r="F186">
            <v>3.7050920000000001</v>
          </cell>
        </row>
        <row r="187">
          <cell r="A187" t="str">
            <v>0610212</v>
          </cell>
          <cell r="B187" t="str">
            <v>JENGIBRE ENTERO</v>
          </cell>
          <cell r="C187" t="str">
            <v>KILO</v>
          </cell>
          <cell r="D187">
            <v>1675.48</v>
          </cell>
          <cell r="E187" t="str">
            <v>Gramo</v>
          </cell>
          <cell r="F187">
            <v>1.6754800000000001</v>
          </cell>
        </row>
        <row r="188">
          <cell r="A188" t="str">
            <v>0610213</v>
          </cell>
          <cell r="B188" t="str">
            <v>CANELA ASTILLA ( .500 KG )</v>
          </cell>
          <cell r="C188" t="str">
            <v>KILO</v>
          </cell>
          <cell r="D188">
            <v>6524.1319999999996</v>
          </cell>
          <cell r="E188" t="str">
            <v>Gramo</v>
          </cell>
          <cell r="F188">
            <v>6.5241319999999998</v>
          </cell>
        </row>
        <row r="189">
          <cell r="A189" t="str">
            <v>0610215</v>
          </cell>
          <cell r="B189" t="str">
            <v>PIMIENTO ROJO QUEBRADO TONES 341g</v>
          </cell>
          <cell r="C189" t="str">
            <v>KILO</v>
          </cell>
          <cell r="D189">
            <v>15896.911</v>
          </cell>
          <cell r="E189" t="str">
            <v>Gramo</v>
          </cell>
          <cell r="F189">
            <v>15.896910999999999</v>
          </cell>
        </row>
        <row r="190">
          <cell r="A190" t="str">
            <v>0610216</v>
          </cell>
          <cell r="B190" t="str">
            <v>CLAVO DE OLOR MOLIDO</v>
          </cell>
          <cell r="C190" t="str">
            <v>KILO</v>
          </cell>
          <cell r="D190">
            <v>27745.042000000001</v>
          </cell>
          <cell r="E190" t="str">
            <v>Gramo</v>
          </cell>
          <cell r="F190">
            <v>27.745042000000002</v>
          </cell>
        </row>
        <row r="191">
          <cell r="A191" t="str">
            <v>0610217</v>
          </cell>
          <cell r="B191" t="str">
            <v>ENELDO TONES 155g</v>
          </cell>
          <cell r="C191" t="str">
            <v>KILO</v>
          </cell>
          <cell r="D191">
            <v>48581.56</v>
          </cell>
          <cell r="E191" t="str">
            <v>Gramo</v>
          </cell>
          <cell r="F191">
            <v>48.581559999999996</v>
          </cell>
        </row>
        <row r="192">
          <cell r="A192" t="str">
            <v>0610218</v>
          </cell>
          <cell r="B192" t="str">
            <v>COMINO TONES ( 454G)</v>
          </cell>
          <cell r="C192" t="str">
            <v>KILO</v>
          </cell>
          <cell r="D192">
            <v>12784.166999999999</v>
          </cell>
          <cell r="E192" t="str">
            <v>Gramo</v>
          </cell>
          <cell r="F192">
            <v>12.784167</v>
          </cell>
        </row>
        <row r="193">
          <cell r="A193" t="str">
            <v>0610220</v>
          </cell>
          <cell r="B193" t="str">
            <v>CONSOME CONCEN. DE POLLO (1000g)</v>
          </cell>
          <cell r="C193" t="str">
            <v>GRAMO</v>
          </cell>
          <cell r="D193">
            <v>1.6040000000000001</v>
          </cell>
          <cell r="E193" t="str">
            <v>Gramo</v>
          </cell>
          <cell r="F193">
            <v>1.6040000000000001</v>
          </cell>
        </row>
        <row r="194">
          <cell r="A194" t="str">
            <v>0610221</v>
          </cell>
          <cell r="B194" t="str">
            <v>CONSOME CONCEN. DE RES (2000g)</v>
          </cell>
          <cell r="C194" t="str">
            <v>GRAMO</v>
          </cell>
          <cell r="D194">
            <v>2.758</v>
          </cell>
          <cell r="E194" t="str">
            <v>Gramo</v>
          </cell>
          <cell r="F194">
            <v>2.758</v>
          </cell>
        </row>
        <row r="195">
          <cell r="A195" t="str">
            <v>0610223</v>
          </cell>
          <cell r="B195" t="str">
            <v>CREMA DE HONGOS (CAJA=12 paq)</v>
          </cell>
          <cell r="C195" t="str">
            <v>UND</v>
          </cell>
          <cell r="D195">
            <v>476.83199999999999</v>
          </cell>
          <cell r="E195" t="str">
            <v>Gramo</v>
          </cell>
          <cell r="F195">
            <v>7.3358769230769232</v>
          </cell>
        </row>
        <row r="196">
          <cell r="A196" t="str">
            <v>0610233</v>
          </cell>
          <cell r="B196" t="str">
            <v>PEREJIL SECO ( 57 gr )</v>
          </cell>
          <cell r="C196" t="str">
            <v>GRAMO</v>
          </cell>
          <cell r="D196">
            <v>64.42</v>
          </cell>
          <cell r="E196" t="str">
            <v>Gramo</v>
          </cell>
          <cell r="F196">
            <v>64.42</v>
          </cell>
        </row>
        <row r="197">
          <cell r="A197" t="str">
            <v>0610236</v>
          </cell>
          <cell r="B197" t="str">
            <v>PIMIENTA NEGRA MOLIDA ( 1000 g )</v>
          </cell>
          <cell r="C197" t="str">
            <v>GRAMO</v>
          </cell>
          <cell r="D197">
            <v>10.519</v>
          </cell>
          <cell r="E197" t="str">
            <v>Gramo</v>
          </cell>
          <cell r="F197">
            <v>10.519</v>
          </cell>
        </row>
        <row r="198">
          <cell r="A198" t="str">
            <v>0610239</v>
          </cell>
          <cell r="B198" t="str">
            <v>TARRAGON ( 114 gr )</v>
          </cell>
          <cell r="C198" t="str">
            <v>GRAMO</v>
          </cell>
          <cell r="D198">
            <v>72.998999999999995</v>
          </cell>
          <cell r="E198" t="str">
            <v>Gramo</v>
          </cell>
          <cell r="F198">
            <v>72.998999999999995</v>
          </cell>
        </row>
        <row r="199">
          <cell r="A199" t="str">
            <v>0610241</v>
          </cell>
          <cell r="B199" t="str">
            <v>ROMERO TONES ( 170 GR )</v>
          </cell>
          <cell r="C199" t="str">
            <v>GRAMO</v>
          </cell>
          <cell r="D199">
            <v>29.093</v>
          </cell>
          <cell r="E199" t="str">
            <v>Gramo</v>
          </cell>
          <cell r="F199">
            <v>29.093</v>
          </cell>
        </row>
        <row r="200">
          <cell r="A200" t="str">
            <v>0610244</v>
          </cell>
          <cell r="B200" t="str">
            <v>JENGIBRE MOLIDO (453G)</v>
          </cell>
          <cell r="C200" t="str">
            <v>KILO</v>
          </cell>
          <cell r="D200">
            <v>8193.1470000000008</v>
          </cell>
          <cell r="E200" t="str">
            <v>Gramo</v>
          </cell>
          <cell r="F200">
            <v>8.1931470000000015</v>
          </cell>
        </row>
        <row r="201">
          <cell r="A201" t="str">
            <v>0610250</v>
          </cell>
          <cell r="B201" t="str">
            <v>HOJUELA PURE PAPA (15 KILOS)</v>
          </cell>
          <cell r="C201" t="str">
            <v>KILO</v>
          </cell>
          <cell r="D201">
            <v>1620.5989999999999</v>
          </cell>
          <cell r="E201" t="str">
            <v>Gramo</v>
          </cell>
          <cell r="F201">
            <v>1.6205989999999999</v>
          </cell>
        </row>
        <row r="202">
          <cell r="A202" t="str">
            <v>0610252</v>
          </cell>
          <cell r="B202" t="str">
            <v>SOPA FRIJOL (CAJA=12 UND)</v>
          </cell>
          <cell r="C202" t="str">
            <v>UND</v>
          </cell>
          <cell r="D202">
            <v>337.5</v>
          </cell>
          <cell r="E202" t="str">
            <v>Gramo</v>
          </cell>
          <cell r="F202">
            <v>5.625</v>
          </cell>
        </row>
        <row r="203">
          <cell r="A203" t="str">
            <v>0610253</v>
          </cell>
          <cell r="B203" t="str">
            <v>SOPA OLLA CARNE MAGGI (CAJA=12 PAQ)</v>
          </cell>
          <cell r="C203" t="str">
            <v>PAQ</v>
          </cell>
          <cell r="D203">
            <v>282.66699999999997</v>
          </cell>
          <cell r="E203" t="str">
            <v>Gramo</v>
          </cell>
          <cell r="F203">
            <v>7.0666749999999992</v>
          </cell>
        </row>
        <row r="204">
          <cell r="A204" t="str">
            <v>0610254</v>
          </cell>
          <cell r="B204" t="str">
            <v>PIMIENTA BLANCA MOLIDA (1 KILO)</v>
          </cell>
          <cell r="C204" t="str">
            <v>KILO</v>
          </cell>
          <cell r="D204">
            <v>12350.736999999999</v>
          </cell>
          <cell r="E204" t="str">
            <v>Gramo</v>
          </cell>
          <cell r="F204">
            <v>12.350736999999999</v>
          </cell>
        </row>
        <row r="205">
          <cell r="A205" t="str">
            <v>0610255</v>
          </cell>
          <cell r="B205" t="str">
            <v>CURRY POLVO TONE'S (454g)</v>
          </cell>
          <cell r="C205" t="str">
            <v>KILO</v>
          </cell>
          <cell r="D205">
            <v>12008.927</v>
          </cell>
          <cell r="E205" t="str">
            <v>Gramo</v>
          </cell>
          <cell r="F205">
            <v>12.008927</v>
          </cell>
        </row>
        <row r="206">
          <cell r="A206" t="str">
            <v>0610256</v>
          </cell>
          <cell r="B206" t="str">
            <v>NUEZ MOSCADA MOLIDA (3KILOS)</v>
          </cell>
          <cell r="C206" t="str">
            <v>KILO</v>
          </cell>
          <cell r="D206">
            <v>15851.794</v>
          </cell>
          <cell r="E206" t="str">
            <v>Gramo</v>
          </cell>
          <cell r="F206">
            <v>15.851794</v>
          </cell>
        </row>
        <row r="207">
          <cell r="A207" t="str">
            <v>0610258</v>
          </cell>
          <cell r="B207" t="str">
            <v>ADEREZO MAYONESA LIMON SIN GRASA (400g)</v>
          </cell>
          <cell r="C207" t="str">
            <v>KILO</v>
          </cell>
          <cell r="D207">
            <v>2452.482</v>
          </cell>
          <cell r="E207" t="str">
            <v>Gramo</v>
          </cell>
          <cell r="F207">
            <v>2.4524819999999998</v>
          </cell>
        </row>
        <row r="208">
          <cell r="A208" t="str">
            <v>0610261</v>
          </cell>
          <cell r="B208" t="str">
            <v>SEMILLA AMAPOLA (567 G)</v>
          </cell>
          <cell r="C208" t="str">
            <v>KILO</v>
          </cell>
          <cell r="D208">
            <v>6319.06</v>
          </cell>
          <cell r="E208" t="str">
            <v>Gramo</v>
          </cell>
          <cell r="F208">
            <v>6.3190600000000003</v>
          </cell>
        </row>
        <row r="209">
          <cell r="A209" t="str">
            <v>0610265</v>
          </cell>
          <cell r="B209" t="str">
            <v>CANELA MOLIDA TONE´S CHEF (511g)</v>
          </cell>
          <cell r="C209" t="str">
            <v>KILO</v>
          </cell>
          <cell r="D209">
            <v>9443.8510000000006</v>
          </cell>
          <cell r="E209" t="str">
            <v>Gramo</v>
          </cell>
          <cell r="F209">
            <v>9.4438510000000004</v>
          </cell>
        </row>
        <row r="210">
          <cell r="A210" t="str">
            <v>0610266</v>
          </cell>
          <cell r="B210" t="str">
            <v>PAPRIKA TONES (511 GRAMOS)</v>
          </cell>
          <cell r="C210" t="str">
            <v>KILO</v>
          </cell>
          <cell r="D210">
            <v>9558.4130000000005</v>
          </cell>
          <cell r="E210" t="str">
            <v>Gramo</v>
          </cell>
          <cell r="F210">
            <v>9.5584129999999998</v>
          </cell>
        </row>
        <row r="211">
          <cell r="A211" t="str">
            <v>0710247</v>
          </cell>
          <cell r="B211" t="str">
            <v>GALLETA OREO (PAQ=1.13 k)</v>
          </cell>
          <cell r="C211" t="str">
            <v>KILO</v>
          </cell>
          <cell r="D211">
            <v>5211.5050000000001</v>
          </cell>
          <cell r="E211" t="str">
            <v>Gramo</v>
          </cell>
          <cell r="F211">
            <v>5.2115049999999998</v>
          </cell>
        </row>
        <row r="212">
          <cell r="A212" t="str">
            <v>0710261</v>
          </cell>
          <cell r="B212" t="str">
            <v>PAN CUADRADO BLANCO (PAQ=22 REBANADAS )</v>
          </cell>
          <cell r="C212" t="str">
            <v>PAQ</v>
          </cell>
          <cell r="D212">
            <v>1000.001</v>
          </cell>
          <cell r="E212" t="str">
            <v>UND</v>
          </cell>
          <cell r="F212">
            <v>45.454590909090911</v>
          </cell>
        </row>
        <row r="213">
          <cell r="A213" t="str">
            <v>0710262</v>
          </cell>
          <cell r="B213" t="str">
            <v>PAN MOLIDO KILO (5 kilos)</v>
          </cell>
          <cell r="C213" t="str">
            <v>KILO</v>
          </cell>
          <cell r="D213">
            <v>1141.144</v>
          </cell>
          <cell r="E213" t="str">
            <v>Gramo</v>
          </cell>
          <cell r="F213">
            <v>1.1411439999999999</v>
          </cell>
        </row>
        <row r="214">
          <cell r="A214" t="str">
            <v>0710266</v>
          </cell>
          <cell r="B214" t="str">
            <v>TORTILLAS  (PAQ=20 UND)</v>
          </cell>
          <cell r="C214" t="str">
            <v>UND</v>
          </cell>
          <cell r="D214">
            <v>30.4</v>
          </cell>
          <cell r="E214" t="str">
            <v>UND</v>
          </cell>
          <cell r="F214">
            <v>30.4</v>
          </cell>
        </row>
        <row r="215">
          <cell r="A215" t="str">
            <v>0710282</v>
          </cell>
          <cell r="B215" t="str">
            <v>GALLETA POZUELO ENTERA (1/2KILO)</v>
          </cell>
          <cell r="C215" t="str">
            <v>KILO</v>
          </cell>
          <cell r="D215">
            <v>1684.232</v>
          </cell>
          <cell r="E215" t="str">
            <v>Gramo</v>
          </cell>
          <cell r="F215">
            <v>1.684232</v>
          </cell>
        </row>
        <row r="216">
          <cell r="A216" t="str">
            <v>0710285</v>
          </cell>
          <cell r="B216" t="str">
            <v>TORTILLA HARINA 10.25</v>
          </cell>
          <cell r="C216" t="str">
            <v>UND</v>
          </cell>
          <cell r="D216" t="e">
            <v>#N/A</v>
          </cell>
          <cell r="E216" t="str">
            <v>UND</v>
          </cell>
          <cell r="F216" t="e">
            <v>#N/A</v>
          </cell>
        </row>
        <row r="217">
          <cell r="A217" t="str">
            <v>0710295</v>
          </cell>
          <cell r="B217" t="str">
            <v>BARQUILLO VETEADO CHOCOLATE (CAJA=420 UND)</v>
          </cell>
          <cell r="C217" t="str">
            <v>UND</v>
          </cell>
          <cell r="D217">
            <v>37.472000000000001</v>
          </cell>
          <cell r="E217" t="str">
            <v>UND</v>
          </cell>
          <cell r="F217">
            <v>37.472000000000001</v>
          </cell>
        </row>
        <row r="218">
          <cell r="A218" t="str">
            <v>710301</v>
          </cell>
          <cell r="B218" t="str">
            <v>PAN SEMOLA RECTANGULAR (PAQ= 12 UND.)</v>
          </cell>
          <cell r="C218" t="str">
            <v>UND</v>
          </cell>
          <cell r="D218">
            <v>215.899</v>
          </cell>
          <cell r="E218" t="str">
            <v>UND</v>
          </cell>
          <cell r="F218">
            <v>215.899</v>
          </cell>
        </row>
        <row r="219">
          <cell r="A219" t="str">
            <v>710302</v>
          </cell>
          <cell r="B219" t="str">
            <v>PAN SEMOLA CUADRADO BLANCO (PAQ.= 12 UND)</v>
          </cell>
          <cell r="C219" t="str">
            <v>UND</v>
          </cell>
          <cell r="D219">
            <v>230</v>
          </cell>
          <cell r="E219" t="str">
            <v>UND</v>
          </cell>
          <cell r="F219">
            <v>230</v>
          </cell>
        </row>
        <row r="220">
          <cell r="A220" t="str">
            <v>710304</v>
          </cell>
          <cell r="B220" t="str">
            <v>TORTILLA MISION INTEGRAL (PAQ. 6 UND)</v>
          </cell>
          <cell r="C220" t="str">
            <v>UND</v>
          </cell>
          <cell r="D220">
            <v>156.261</v>
          </cell>
          <cell r="E220" t="str">
            <v>UND</v>
          </cell>
          <cell r="F220">
            <v>156.261</v>
          </cell>
        </row>
        <row r="221">
          <cell r="A221" t="str">
            <v>710305</v>
          </cell>
          <cell r="B221" t="str">
            <v>GALLETA DE CHOCOLATE (KILO)</v>
          </cell>
          <cell r="C221" t="str">
            <v>KILO</v>
          </cell>
          <cell r="D221">
            <v>1727.7370000000001</v>
          </cell>
          <cell r="E221" t="str">
            <v>Gramo</v>
          </cell>
          <cell r="F221">
            <v>1.7277370000000001</v>
          </cell>
        </row>
        <row r="222">
          <cell r="A222" t="str">
            <v>0712395</v>
          </cell>
          <cell r="B222" t="str">
            <v>GALLETAS DEDOS DE SEÑORA (PAQ)</v>
          </cell>
          <cell r="C222" t="str">
            <v>PAQ</v>
          </cell>
          <cell r="D222">
            <v>1246.556</v>
          </cell>
          <cell r="E222" t="str">
            <v>UND</v>
          </cell>
          <cell r="F222">
            <v>51.939833333333333</v>
          </cell>
        </row>
        <row r="223">
          <cell r="A223" t="str">
            <v>0712433</v>
          </cell>
          <cell r="B223" t="str">
            <v>EMPANIZADOR PANKO (3 Kg)</v>
          </cell>
          <cell r="C223" t="str">
            <v>KILO</v>
          </cell>
          <cell r="D223">
            <v>3260.6</v>
          </cell>
          <cell r="E223" t="str">
            <v>Gramo</v>
          </cell>
          <cell r="F223">
            <v>3.2605999999999997</v>
          </cell>
        </row>
        <row r="224">
          <cell r="A224" t="str">
            <v>0806049</v>
          </cell>
          <cell r="B224" t="str">
            <v>QUINS-MINI HEARTS 17402 (CAJA=9.08 Kg)</v>
          </cell>
          <cell r="C224" t="str">
            <v>KILO</v>
          </cell>
          <cell r="D224">
            <v>6536.68</v>
          </cell>
          <cell r="E224" t="str">
            <v>Gramo</v>
          </cell>
          <cell r="F224">
            <v>6.5366800000000005</v>
          </cell>
        </row>
        <row r="225">
          <cell r="A225" t="str">
            <v>0807003</v>
          </cell>
          <cell r="B225" t="str">
            <v>COLORANTE/PASTA 4 ONZ</v>
          </cell>
          <cell r="C225" t="str">
            <v>UND</v>
          </cell>
          <cell r="D225">
            <v>2418.181</v>
          </cell>
          <cell r="E225" t="str">
            <v>Gramo</v>
          </cell>
          <cell r="F225">
            <v>20.151508333333332</v>
          </cell>
        </row>
        <row r="226">
          <cell r="A226" t="str">
            <v>0807007</v>
          </cell>
          <cell r="B226" t="str">
            <v>LAMINA DE AZUCAR DE FONDANT (CAJA=24 UND)</v>
          </cell>
          <cell r="C226" t="str">
            <v>UND</v>
          </cell>
          <cell r="D226">
            <v>1124.3009999999999</v>
          </cell>
          <cell r="E226" t="str">
            <v>UND</v>
          </cell>
          <cell r="F226">
            <v>1124.3009999999999</v>
          </cell>
        </row>
        <row r="227">
          <cell r="A227" t="str">
            <v>0810268</v>
          </cell>
          <cell r="B227" t="str">
            <v>CONCENTRADO DE PIÑA COLADA</v>
          </cell>
          <cell r="C227" t="str">
            <v>GALON</v>
          </cell>
          <cell r="D227">
            <v>2975.9879999999998</v>
          </cell>
          <cell r="E227" t="str">
            <v>Mililitro</v>
          </cell>
          <cell r="F227">
            <v>0.78625838837516504</v>
          </cell>
        </row>
        <row r="228">
          <cell r="A228" t="str">
            <v>0810269</v>
          </cell>
          <cell r="B228" t="str">
            <v>JUGO DE PIÑA (LITRO)</v>
          </cell>
          <cell r="C228" t="str">
            <v>LITRO</v>
          </cell>
          <cell r="D228">
            <v>671.50900000000001</v>
          </cell>
          <cell r="E228" t="str">
            <v>Mililitro</v>
          </cell>
          <cell r="F228">
            <v>0.67150900000000002</v>
          </cell>
        </row>
        <row r="229">
          <cell r="A229" t="str">
            <v>0810288</v>
          </cell>
          <cell r="B229" t="str">
            <v>JUGO DE NARANJA TB LITRO</v>
          </cell>
          <cell r="C229" t="str">
            <v>LITRO</v>
          </cell>
          <cell r="D229">
            <v>638.57000000000005</v>
          </cell>
          <cell r="E229" t="str">
            <v>Mililitro</v>
          </cell>
          <cell r="F229">
            <v>0.63857000000000008</v>
          </cell>
        </row>
        <row r="230">
          <cell r="A230" t="str">
            <v>0810299</v>
          </cell>
          <cell r="B230" t="str">
            <v>SIROPE KARO DARK (3.785)</v>
          </cell>
          <cell r="C230" t="str">
            <v>LITRO</v>
          </cell>
          <cell r="D230">
            <v>2377.6840000000002</v>
          </cell>
          <cell r="E230" t="str">
            <v>Mililitro</v>
          </cell>
          <cell r="F230">
            <v>2.3776840000000004</v>
          </cell>
        </row>
        <row r="231">
          <cell r="A231" t="str">
            <v>0810306</v>
          </cell>
          <cell r="B231" t="str">
            <v>MIEL ABEJA BOTELLA</v>
          </cell>
          <cell r="C231" t="str">
            <v>UND</v>
          </cell>
          <cell r="D231">
            <v>4299</v>
          </cell>
          <cell r="E231" t="str">
            <v>Mililitro</v>
          </cell>
          <cell r="F231">
            <v>4.4781250000000004</v>
          </cell>
        </row>
        <row r="232">
          <cell r="A232" t="str">
            <v>0810308</v>
          </cell>
          <cell r="B232" t="str">
            <v>SIROPE CHOCO. LIQUIDO ( 680 gr )</v>
          </cell>
          <cell r="C232" t="str">
            <v>LITRO</v>
          </cell>
          <cell r="D232">
            <v>2186.2199999999998</v>
          </cell>
          <cell r="E232" t="str">
            <v>Mililitro</v>
          </cell>
          <cell r="F232">
            <v>2.1862199999999996</v>
          </cell>
        </row>
        <row r="233">
          <cell r="A233" t="str">
            <v>812390</v>
          </cell>
          <cell r="B233" t="str">
            <v>SIROPE DE MAIZ (LIGHT)</v>
          </cell>
          <cell r="C233" t="str">
            <v>GALON</v>
          </cell>
          <cell r="D233">
            <v>11559.638999999999</v>
          </cell>
          <cell r="E233" t="str">
            <v>Mililitro</v>
          </cell>
          <cell r="F233">
            <v>3.0540657859973579</v>
          </cell>
        </row>
        <row r="234">
          <cell r="A234" t="str">
            <v>0910307</v>
          </cell>
          <cell r="B234" t="str">
            <v>ACEITE  LIBRE DE TRANS INOLASA(17 LITROS)</v>
          </cell>
          <cell r="C234" t="str">
            <v>LITRO</v>
          </cell>
          <cell r="D234">
            <v>913.97699999999998</v>
          </cell>
          <cell r="E234" t="str">
            <v>Mililitro</v>
          </cell>
          <cell r="F234">
            <v>0.91397699999999993</v>
          </cell>
        </row>
        <row r="235">
          <cell r="A235" t="str">
            <v>0910310</v>
          </cell>
          <cell r="B235" t="str">
            <v>ACEITE DE SESAMO ( 1750 ml )</v>
          </cell>
          <cell r="C235" t="str">
            <v>LITRO</v>
          </cell>
          <cell r="D235">
            <v>5715.5780000000004</v>
          </cell>
          <cell r="E235" t="str">
            <v>Mililitro</v>
          </cell>
          <cell r="F235">
            <v>5.7155780000000007</v>
          </cell>
        </row>
        <row r="236">
          <cell r="A236" t="str">
            <v>0910311</v>
          </cell>
          <cell r="B236" t="str">
            <v>ACEITE DE OLIVA PLAST .5 LIT</v>
          </cell>
          <cell r="C236" t="str">
            <v>LITRO</v>
          </cell>
          <cell r="D236">
            <v>2374.8290000000002</v>
          </cell>
          <cell r="E236" t="str">
            <v>Mililitro</v>
          </cell>
          <cell r="F236">
            <v>2.3748290000000001</v>
          </cell>
        </row>
        <row r="237">
          <cell r="A237" t="str">
            <v>0910313</v>
          </cell>
          <cell r="B237" t="str">
            <v>ACEITE CAPULLO RBD ( 17  LTS )</v>
          </cell>
          <cell r="C237" t="str">
            <v>LITRO</v>
          </cell>
          <cell r="D237">
            <v>804.62199999999996</v>
          </cell>
          <cell r="E237" t="str">
            <v>Mililitro</v>
          </cell>
          <cell r="F237">
            <v>0.80462199999999995</v>
          </cell>
        </row>
        <row r="238">
          <cell r="A238" t="str">
            <v>0910316</v>
          </cell>
          <cell r="B238" t="str">
            <v>SALSA CHINA GALON</v>
          </cell>
          <cell r="C238" t="str">
            <v>KILO</v>
          </cell>
          <cell r="D238">
            <v>698.36</v>
          </cell>
          <cell r="E238" t="str">
            <v>Gramo</v>
          </cell>
          <cell r="F238">
            <v>0.69835999999999998</v>
          </cell>
        </row>
        <row r="239">
          <cell r="A239" t="str">
            <v>0910318</v>
          </cell>
          <cell r="B239" t="str">
            <v>SALSA INGLESA CRIOLLA (3.785 L)</v>
          </cell>
          <cell r="C239" t="str">
            <v>LITRO</v>
          </cell>
          <cell r="D239">
            <v>1714.433</v>
          </cell>
          <cell r="E239" t="str">
            <v>Mililitro</v>
          </cell>
          <cell r="F239">
            <v>1.7144330000000001</v>
          </cell>
        </row>
        <row r="240">
          <cell r="A240" t="str">
            <v>0910322</v>
          </cell>
          <cell r="B240" t="str">
            <v>VINAGRE BLANCO (3.785 L)</v>
          </cell>
          <cell r="C240" t="str">
            <v>LITRO</v>
          </cell>
          <cell r="D240">
            <v>853.24099999999999</v>
          </cell>
          <cell r="E240" t="str">
            <v>Mililitro</v>
          </cell>
          <cell r="F240">
            <v>0.85324100000000003</v>
          </cell>
        </row>
        <row r="241">
          <cell r="A241" t="str">
            <v>0910324</v>
          </cell>
          <cell r="B241" t="str">
            <v>VINAGRE DE MANZANA 16 onz</v>
          </cell>
          <cell r="C241" t="str">
            <v>UND</v>
          </cell>
          <cell r="D241">
            <v>1305</v>
          </cell>
          <cell r="E241" t="str">
            <v>Mililitro</v>
          </cell>
          <cell r="F241">
            <v>0</v>
          </cell>
        </row>
        <row r="242">
          <cell r="A242" t="str">
            <v>0910327</v>
          </cell>
          <cell r="B242" t="str">
            <v>SALSA LEA &amp; PERRINS GALON</v>
          </cell>
          <cell r="C242" t="str">
            <v>LITRO</v>
          </cell>
          <cell r="D242">
            <v>1975.8389999999999</v>
          </cell>
          <cell r="E242" t="str">
            <v>Mililitro</v>
          </cell>
          <cell r="F242">
            <v>1.9758389999999999</v>
          </cell>
        </row>
        <row r="243">
          <cell r="A243" t="str">
            <v>0910329</v>
          </cell>
          <cell r="B243" t="str">
            <v>VINAGRE BALSAMICO TINTO ( 250 ML )</v>
          </cell>
          <cell r="C243" t="str">
            <v>LITRO</v>
          </cell>
          <cell r="D243">
            <v>6568.2529999999997</v>
          </cell>
          <cell r="E243" t="str">
            <v>Mililitro</v>
          </cell>
          <cell r="F243">
            <v>6.5682529999999995</v>
          </cell>
        </row>
        <row r="244">
          <cell r="A244" t="str">
            <v>0910332</v>
          </cell>
          <cell r="B244" t="str">
            <v>VAINILLA CLARA ( 3.785 L )</v>
          </cell>
          <cell r="C244" t="str">
            <v>LITRO</v>
          </cell>
          <cell r="D244">
            <v>932.59799999999996</v>
          </cell>
          <cell r="E244" t="str">
            <v>Mililitro</v>
          </cell>
          <cell r="F244">
            <v>0.93259799999999993</v>
          </cell>
        </row>
        <row r="245">
          <cell r="A245" t="str">
            <v>0910339</v>
          </cell>
          <cell r="B245" t="str">
            <v>VINAGRE VINO DE ARROZ (1GALON)</v>
          </cell>
          <cell r="C245" t="str">
            <v>GALON</v>
          </cell>
          <cell r="D245">
            <v>7343.4440000000004</v>
          </cell>
          <cell r="E245" t="str">
            <v>Mililitro</v>
          </cell>
          <cell r="F245">
            <v>1.9401437252311757</v>
          </cell>
        </row>
        <row r="246">
          <cell r="A246" t="str">
            <v>0910341</v>
          </cell>
          <cell r="B246" t="str">
            <v>SALSA INGLESA LIZANO (GALON)</v>
          </cell>
          <cell r="C246" t="str">
            <v>GALON</v>
          </cell>
          <cell r="D246">
            <v>6842.826</v>
          </cell>
          <cell r="E246" t="str">
            <v>Mililitro</v>
          </cell>
          <cell r="F246">
            <v>1.8078800528401586</v>
          </cell>
        </row>
        <row r="247">
          <cell r="A247" t="str">
            <v>0910343</v>
          </cell>
          <cell r="B247" t="str">
            <v>SALSA TOMATE BANQUETE (PAQ=2 Kg)</v>
          </cell>
          <cell r="C247" t="str">
            <v>KILO</v>
          </cell>
          <cell r="D247">
            <v>683.00099999999998</v>
          </cell>
          <cell r="E247" t="str">
            <v>Gramo</v>
          </cell>
          <cell r="F247">
            <v>0.68300099999999997</v>
          </cell>
        </row>
        <row r="248">
          <cell r="A248" t="str">
            <v>0910351</v>
          </cell>
          <cell r="B248" t="str">
            <v>SALSA CHILE AJI (BOLSA=1 KILO)</v>
          </cell>
          <cell r="C248" t="str">
            <v>KILO</v>
          </cell>
          <cell r="D248">
            <v>5901.7420000000002</v>
          </cell>
          <cell r="E248" t="str">
            <v>Gramo</v>
          </cell>
          <cell r="F248">
            <v>5.9017420000000005</v>
          </cell>
        </row>
        <row r="249">
          <cell r="A249" t="str">
            <v>910355</v>
          </cell>
          <cell r="B249" t="str">
            <v>ACEITE CLOVER GIRASOL 1/3 L</v>
          </cell>
          <cell r="C249" t="str">
            <v>LITRO</v>
          </cell>
          <cell r="D249" t="e">
            <v>#N/A</v>
          </cell>
          <cell r="E249" t="str">
            <v>Mililitro</v>
          </cell>
          <cell r="F249" t="e">
            <v>#N/A</v>
          </cell>
        </row>
        <row r="250">
          <cell r="A250" t="str">
            <v>0912262</v>
          </cell>
          <cell r="B250" t="str">
            <v>SALSA OSTION (2.268g)</v>
          </cell>
          <cell r="C250" t="str">
            <v>KILO</v>
          </cell>
          <cell r="D250">
            <v>2094.1060000000002</v>
          </cell>
          <cell r="E250" t="str">
            <v>Gramo</v>
          </cell>
          <cell r="F250">
            <v>2.094106</v>
          </cell>
        </row>
        <row r="251">
          <cell r="A251" t="str">
            <v>1010009</v>
          </cell>
          <cell r="B251" t="str">
            <v>CHILE CHIPOTLE COSTEÑA (2.9 Kg)</v>
          </cell>
          <cell r="C251" t="str">
            <v>KILO</v>
          </cell>
          <cell r="D251">
            <v>10089</v>
          </cell>
          <cell r="E251" t="str">
            <v>Gramo</v>
          </cell>
          <cell r="F251">
            <v>3.4789655172413791</v>
          </cell>
        </row>
        <row r="252">
          <cell r="A252" t="str">
            <v>1010331</v>
          </cell>
          <cell r="B252" t="str">
            <v>BRANDY NAPOLEON 700ML</v>
          </cell>
          <cell r="C252" t="str">
            <v>LITRO</v>
          </cell>
          <cell r="D252">
            <v>8402.2800000000007</v>
          </cell>
          <cell r="E252" t="str">
            <v>Mililitro</v>
          </cell>
          <cell r="F252">
            <v>8.4022800000000011</v>
          </cell>
        </row>
        <row r="253">
          <cell r="A253" t="str">
            <v>1010337</v>
          </cell>
          <cell r="B253" t="str">
            <v>RON CORTEZ LITRO</v>
          </cell>
          <cell r="C253" t="str">
            <v>BOTE</v>
          </cell>
          <cell r="D253">
            <v>5661.384</v>
          </cell>
          <cell r="E253" t="str">
            <v>Mililitro</v>
          </cell>
          <cell r="F253">
            <v>5.661384</v>
          </cell>
        </row>
        <row r="254">
          <cell r="A254" t="str">
            <v>1010339</v>
          </cell>
          <cell r="B254" t="str">
            <v>TRIPLE SEC ( LITRO)</v>
          </cell>
          <cell r="C254" t="str">
            <v>LITRO</v>
          </cell>
          <cell r="D254">
            <v>4370.88</v>
          </cell>
          <cell r="E254" t="str">
            <v>Mililitro</v>
          </cell>
          <cell r="F254">
            <v>4.3708800000000005</v>
          </cell>
        </row>
        <row r="255">
          <cell r="A255" t="str">
            <v>1010340</v>
          </cell>
          <cell r="B255" t="str">
            <v>VINO BLANCO UNDURRAGA 750 ml</v>
          </cell>
          <cell r="C255" t="str">
            <v>LITRO</v>
          </cell>
          <cell r="D255">
            <v>6113.0969999999998</v>
          </cell>
          <cell r="E255" t="str">
            <v>Mililitro</v>
          </cell>
          <cell r="F255">
            <v>6.1130969999999998</v>
          </cell>
        </row>
        <row r="256">
          <cell r="A256" t="str">
            <v>1010341</v>
          </cell>
          <cell r="B256" t="str">
            <v>LICOR DE CAFÉ DON PANCHO (LITRO)</v>
          </cell>
          <cell r="C256" t="str">
            <v>LITRO</v>
          </cell>
          <cell r="D256">
            <v>6872.6859999999997</v>
          </cell>
          <cell r="E256" t="str">
            <v>Mililitro</v>
          </cell>
          <cell r="F256">
            <v>6.8726859999999999</v>
          </cell>
        </row>
        <row r="257">
          <cell r="A257" t="str">
            <v>1012301</v>
          </cell>
          <cell r="B257" t="str">
            <v>VINO TINTO PETER VELA CABERNET SAUV. (BOTELLA=5 LTS)</v>
          </cell>
          <cell r="C257" t="str">
            <v>LITRO</v>
          </cell>
          <cell r="D257">
            <v>3060.8290000000002</v>
          </cell>
          <cell r="E257" t="str">
            <v>Mililitro</v>
          </cell>
          <cell r="F257">
            <v>3.060829</v>
          </cell>
        </row>
        <row r="258">
          <cell r="A258" t="str">
            <v>1012341</v>
          </cell>
          <cell r="B258" t="str">
            <v>BAILEYS (BOTELLA=1 LITRO)</v>
          </cell>
          <cell r="C258" t="str">
            <v>BOTE</v>
          </cell>
          <cell r="D258">
            <v>11416.06</v>
          </cell>
          <cell r="E258" t="str">
            <v>Mililitro</v>
          </cell>
          <cell r="F258">
            <v>11.41606</v>
          </cell>
        </row>
        <row r="259">
          <cell r="A259" t="str">
            <v>1012387</v>
          </cell>
          <cell r="B259" t="str">
            <v>RON ABUELO RESERVA LITRO</v>
          </cell>
          <cell r="C259" t="str">
            <v>LITRO</v>
          </cell>
          <cell r="D259">
            <v>5899.7049999999999</v>
          </cell>
          <cell r="E259" t="str">
            <v>Mililitro</v>
          </cell>
          <cell r="F259">
            <v>5.899705</v>
          </cell>
        </row>
        <row r="260">
          <cell r="A260" t="str">
            <v>1012431</v>
          </cell>
          <cell r="B260" t="str">
            <v>VINO BLANCO PETER VELA CABERNET SAUV. (BOTELLA=5 LTS)</v>
          </cell>
          <cell r="C260" t="str">
            <v>LITRO</v>
          </cell>
          <cell r="D260">
            <v>3060.69</v>
          </cell>
          <cell r="E260" t="str">
            <v>Mililitro</v>
          </cell>
          <cell r="F260">
            <v>3.0606900000000001</v>
          </cell>
        </row>
        <row r="261">
          <cell r="A261" t="str">
            <v>1110340</v>
          </cell>
          <cell r="B261" t="str">
            <v>LENTEJAS ( KILO )</v>
          </cell>
          <cell r="C261" t="str">
            <v>KILO</v>
          </cell>
          <cell r="D261">
            <v>1251.6010000000001</v>
          </cell>
          <cell r="E261" t="str">
            <v>Gramo</v>
          </cell>
          <cell r="F261">
            <v>1.2516010000000002</v>
          </cell>
        </row>
        <row r="262">
          <cell r="A262" t="str">
            <v>1110341</v>
          </cell>
          <cell r="B262" t="str">
            <v>MAÍZ DULCE GALON (1.850K= DRENADO )</v>
          </cell>
          <cell r="C262" t="str">
            <v>KILO</v>
          </cell>
          <cell r="D262">
            <v>1292.2809999999999</v>
          </cell>
          <cell r="E262" t="str">
            <v>Gramo</v>
          </cell>
          <cell r="F262">
            <v>1.292281</v>
          </cell>
        </row>
        <row r="263">
          <cell r="A263" t="str">
            <v>1110346</v>
          </cell>
          <cell r="B263" t="str">
            <v>ANCHOAS FILET (396g)</v>
          </cell>
          <cell r="C263" t="str">
            <v>KILO</v>
          </cell>
          <cell r="D263">
            <v>16645.379000000001</v>
          </cell>
          <cell r="E263" t="str">
            <v>Gramo</v>
          </cell>
          <cell r="F263">
            <v>16.645379000000002</v>
          </cell>
        </row>
        <row r="264">
          <cell r="A264" t="str">
            <v>1110347</v>
          </cell>
          <cell r="B264" t="str">
            <v>MANTEQUILLA MANI (2.27 Kg)</v>
          </cell>
          <cell r="C264" t="str">
            <v>KILO</v>
          </cell>
          <cell r="D264">
            <v>5853.9380000000001</v>
          </cell>
          <cell r="E264" t="str">
            <v>Gramo</v>
          </cell>
          <cell r="F264">
            <v>5.8539380000000003</v>
          </cell>
        </row>
        <row r="265">
          <cell r="A265" t="str">
            <v>1110354</v>
          </cell>
          <cell r="B265" t="str">
            <v>ALCAPARRAS 907 GRS (32onzas)</v>
          </cell>
          <cell r="C265" t="str">
            <v>KILO</v>
          </cell>
          <cell r="D265">
            <v>3991.723</v>
          </cell>
          <cell r="E265" t="str">
            <v>Gramo</v>
          </cell>
          <cell r="F265">
            <v>6.1411123076923078</v>
          </cell>
        </row>
        <row r="266">
          <cell r="A266" t="str">
            <v>1110361</v>
          </cell>
          <cell r="B266" t="str">
            <v>ESPARRAGOS ENTEROS (425 g)</v>
          </cell>
          <cell r="C266" t="str">
            <v>KILO</v>
          </cell>
          <cell r="D266">
            <v>3438.2710000000002</v>
          </cell>
          <cell r="E266" t="str">
            <v>Gramo</v>
          </cell>
          <cell r="F266">
            <v>3.4382710000000003</v>
          </cell>
        </row>
        <row r="267">
          <cell r="A267" t="str">
            <v>1110363</v>
          </cell>
          <cell r="B267" t="str">
            <v>CEREZAS CON TALLO (1/2 GALON) **</v>
          </cell>
          <cell r="C267" t="str">
            <v>TOPPER</v>
          </cell>
          <cell r="D267">
            <v>4640.5020000000004</v>
          </cell>
          <cell r="E267" t="str">
            <v>Gramo</v>
          </cell>
          <cell r="F267">
            <v>2.9235162600000004</v>
          </cell>
        </row>
        <row r="268">
          <cell r="A268" t="str">
            <v>1110370</v>
          </cell>
          <cell r="B268" t="str">
            <v>LECHE CONDENSADA NESTLE CHILE 4.5 KILOS</v>
          </cell>
          <cell r="C268" t="str">
            <v>KILO</v>
          </cell>
          <cell r="D268">
            <v>1688.486204</v>
          </cell>
          <cell r="E268" t="str">
            <v>Gramo</v>
          </cell>
          <cell r="F268">
            <v>1.6884862039999999</v>
          </cell>
        </row>
        <row r="269">
          <cell r="A269" t="str">
            <v>1110377</v>
          </cell>
          <cell r="B269" t="str">
            <v>MOSTAZA FRENCH (2.98 KILOS)</v>
          </cell>
          <cell r="C269" t="str">
            <v>KILO</v>
          </cell>
          <cell r="D269">
            <v>1403.02</v>
          </cell>
          <cell r="E269" t="str">
            <v>Gramo</v>
          </cell>
          <cell r="F269">
            <v>1.4030199999999999</v>
          </cell>
        </row>
        <row r="270">
          <cell r="A270" t="str">
            <v>1110378</v>
          </cell>
          <cell r="B270" t="str">
            <v>TOMATE LICUADO LATA ( 4.1 KILOS )</v>
          </cell>
          <cell r="C270" t="str">
            <v>KILO</v>
          </cell>
          <cell r="D270">
            <v>1369.61</v>
          </cell>
          <cell r="E270" t="str">
            <v>Gramo</v>
          </cell>
          <cell r="F270">
            <v>1.36961</v>
          </cell>
        </row>
        <row r="271">
          <cell r="A271" t="str">
            <v>1110379</v>
          </cell>
          <cell r="B271" t="str">
            <v>PASTA DE TOMATE (3.15 KILO)</v>
          </cell>
          <cell r="C271" t="str">
            <v>KILO</v>
          </cell>
          <cell r="D271">
            <v>1485.704</v>
          </cell>
          <cell r="E271" t="str">
            <v>Gramo</v>
          </cell>
          <cell r="F271">
            <v>1.4857039999999999</v>
          </cell>
        </row>
        <row r="272">
          <cell r="A272" t="str">
            <v>1110380</v>
          </cell>
          <cell r="B272" t="str">
            <v>PEPINILLOS REBANADOS (GALON)</v>
          </cell>
          <cell r="C272" t="str">
            <v>KILO</v>
          </cell>
          <cell r="D272">
            <v>1022.98</v>
          </cell>
          <cell r="E272" t="str">
            <v>Gramo</v>
          </cell>
          <cell r="F272">
            <v>1.02298</v>
          </cell>
        </row>
        <row r="273">
          <cell r="A273" t="str">
            <v>1110386</v>
          </cell>
          <cell r="B273" t="str">
            <v>TABASCO (BOTELLA=62 g )</v>
          </cell>
          <cell r="C273" t="str">
            <v>KILO</v>
          </cell>
          <cell r="D273">
            <v>6616.0219999999999</v>
          </cell>
          <cell r="E273" t="str">
            <v>Gramo</v>
          </cell>
          <cell r="F273">
            <v>6.6160220000000001</v>
          </cell>
        </row>
        <row r="274">
          <cell r="A274" t="str">
            <v>1110388</v>
          </cell>
          <cell r="B274" t="str">
            <v>MOSTAZA DIJON EXTRA FUERTE ( 370 gr )</v>
          </cell>
          <cell r="C274" t="str">
            <v>KILO</v>
          </cell>
          <cell r="D274">
            <v>5257.3990000000003</v>
          </cell>
          <cell r="E274" t="str">
            <v>Gramo</v>
          </cell>
          <cell r="F274">
            <v>5.2573990000000004</v>
          </cell>
        </row>
        <row r="275">
          <cell r="A275" t="str">
            <v>1110389</v>
          </cell>
          <cell r="B275" t="str">
            <v>MOSTAZA DIJON GRANULADA ( 350 g )</v>
          </cell>
          <cell r="C275" t="str">
            <v>KILO</v>
          </cell>
          <cell r="D275">
            <v>5572.6509999999998</v>
          </cell>
          <cell r="E275" t="str">
            <v>Gramo</v>
          </cell>
          <cell r="F275">
            <v>5.5726509999999996</v>
          </cell>
        </row>
        <row r="276">
          <cell r="A276" t="str">
            <v>1110391</v>
          </cell>
          <cell r="B276" t="str">
            <v>CHILE MORRON ( 3 KG )</v>
          </cell>
          <cell r="C276" t="str">
            <v>KILO</v>
          </cell>
          <cell r="D276">
            <v>2118.393</v>
          </cell>
          <cell r="E276" t="str">
            <v>Gramo</v>
          </cell>
          <cell r="F276">
            <v>3.8516236363636365</v>
          </cell>
        </row>
        <row r="277">
          <cell r="A277" t="str">
            <v>1110393</v>
          </cell>
          <cell r="B277" t="str">
            <v>PIÑA EN RODAJAS (TARRO=3 KILOS)</v>
          </cell>
          <cell r="C277" t="str">
            <v>KILO</v>
          </cell>
          <cell r="D277">
            <v>1913.2570785674106</v>
          </cell>
          <cell r="E277" t="str">
            <v>Gramo</v>
          </cell>
          <cell r="F277">
            <v>1.9132570785674106</v>
          </cell>
        </row>
        <row r="278">
          <cell r="A278" t="str">
            <v>1110408</v>
          </cell>
          <cell r="B278" t="str">
            <v>GUISANTES LAMB WESTON (KILO)</v>
          </cell>
          <cell r="C278" t="str">
            <v>KILO</v>
          </cell>
          <cell r="D278">
            <v>1339.001</v>
          </cell>
          <cell r="E278" t="str">
            <v>Gramo</v>
          </cell>
          <cell r="F278">
            <v>1.3390009999999999</v>
          </cell>
        </row>
        <row r="279">
          <cell r="A279" t="str">
            <v>1110414</v>
          </cell>
          <cell r="B279" t="str">
            <v>LECHE EVAPORADA (LITRO)</v>
          </cell>
          <cell r="C279" t="str">
            <v>LITRO</v>
          </cell>
          <cell r="D279">
            <v>1374.4969039999999</v>
          </cell>
          <cell r="E279" t="str">
            <v>Mililitro</v>
          </cell>
          <cell r="F279">
            <v>1.3744969039999999</v>
          </cell>
        </row>
        <row r="280">
          <cell r="A280" t="str">
            <v>1110415</v>
          </cell>
          <cell r="B280" t="str">
            <v>PETI PIOS CON ZANAHORIA (1KILO)</v>
          </cell>
          <cell r="C280" t="str">
            <v>KILO</v>
          </cell>
          <cell r="D280">
            <v>1215.028</v>
          </cell>
          <cell r="E280" t="str">
            <v>Gramo</v>
          </cell>
          <cell r="F280">
            <v>1.215028</v>
          </cell>
        </row>
        <row r="281">
          <cell r="A281" t="str">
            <v>1110419</v>
          </cell>
          <cell r="B281" t="str">
            <v>ANCHOAS FILETAEADAS EN ACEITE (720g)</v>
          </cell>
          <cell r="C281" t="str">
            <v>KILO</v>
          </cell>
          <cell r="D281">
            <v>16914.723000000002</v>
          </cell>
          <cell r="E281" t="str">
            <v>Gramo</v>
          </cell>
          <cell r="F281">
            <v>16.914723000000002</v>
          </cell>
        </row>
        <row r="282">
          <cell r="A282" t="str">
            <v>1110420</v>
          </cell>
          <cell r="B282" t="str">
            <v>LECHE CONDENSADA COCINADA HAPPY DAY (1 KILO)</v>
          </cell>
          <cell r="C282" t="str">
            <v>KILO</v>
          </cell>
          <cell r="D282">
            <v>1770.83</v>
          </cell>
          <cell r="E282" t="str">
            <v>Gramo</v>
          </cell>
          <cell r="F282">
            <v>1.7708299999999999</v>
          </cell>
        </row>
        <row r="283">
          <cell r="A283" t="str">
            <v>1112431</v>
          </cell>
          <cell r="B283" t="str">
            <v>MANJAR DE LECHE CONDENSADA ( 4.5 KG )</v>
          </cell>
          <cell r="C283" t="str">
            <v>KILO</v>
          </cell>
          <cell r="D283">
            <v>1978.960853</v>
          </cell>
          <cell r="E283" t="str">
            <v>Gramo</v>
          </cell>
          <cell r="F283">
            <v>1.978960853</v>
          </cell>
        </row>
        <row r="284">
          <cell r="A284" t="str">
            <v>1112441</v>
          </cell>
          <cell r="B284" t="str">
            <v>ACEITUNA C/PIMENTO (1.7 K)</v>
          </cell>
          <cell r="C284" t="str">
            <v>KILO</v>
          </cell>
          <cell r="D284">
            <v>2924.69</v>
          </cell>
          <cell r="E284" t="str">
            <v>Gramo</v>
          </cell>
          <cell r="F284">
            <v>2.92469</v>
          </cell>
        </row>
        <row r="285">
          <cell r="A285" t="str">
            <v>1112442</v>
          </cell>
          <cell r="B285" t="str">
            <v>ANCHOAS FILET ACEITA OLIVA ROLAND 56 GR</v>
          </cell>
          <cell r="C285" t="str">
            <v>KILO</v>
          </cell>
          <cell r="D285">
            <v>20487.172999999999</v>
          </cell>
          <cell r="E285" t="str">
            <v>Gramo</v>
          </cell>
          <cell r="F285">
            <v>20.487172999999999</v>
          </cell>
        </row>
        <row r="286">
          <cell r="A286" t="str">
            <v>1112445</v>
          </cell>
          <cell r="B286" t="str">
            <v>CEREZAS ROJAS C/TALLO (GALON)**</v>
          </cell>
          <cell r="C286" t="str">
            <v>GALON</v>
          </cell>
          <cell r="D286">
            <v>7253</v>
          </cell>
          <cell r="E286" t="str">
            <v>Gramo</v>
          </cell>
          <cell r="F286">
            <v>3.0220833333333332</v>
          </cell>
        </row>
        <row r="287">
          <cell r="A287" t="str">
            <v>1200001</v>
          </cell>
          <cell r="B287" t="str">
            <v>CHOCOLATE CUADRITO ANGEL (CAJA=200 UND)</v>
          </cell>
          <cell r="C287" t="str">
            <v>CAJA</v>
          </cell>
          <cell r="D287">
            <v>11000</v>
          </cell>
          <cell r="E287" t="str">
            <v>UND</v>
          </cell>
          <cell r="F287">
            <v>55</v>
          </cell>
        </row>
        <row r="288">
          <cell r="A288" t="str">
            <v>1210386</v>
          </cell>
          <cell r="B288" t="str">
            <v>COBERTURA CHOCOLATE LECHE ( 5KG )</v>
          </cell>
          <cell r="C288" t="str">
            <v>KILO</v>
          </cell>
          <cell r="D288">
            <v>4468</v>
          </cell>
          <cell r="E288" t="str">
            <v>Gramo</v>
          </cell>
          <cell r="F288">
            <v>4.468</v>
          </cell>
        </row>
        <row r="289">
          <cell r="A289" t="str">
            <v>1210387</v>
          </cell>
          <cell r="B289" t="str">
            <v>COBERTURA DE CHOCOLATE BLANCO ( PAQ=5 K )</v>
          </cell>
          <cell r="C289" t="str">
            <v>KILO</v>
          </cell>
          <cell r="D289">
            <v>2869.8009999999999</v>
          </cell>
          <cell r="E289" t="str">
            <v>Gramo</v>
          </cell>
          <cell r="F289">
            <v>2.8698009999999998</v>
          </cell>
        </row>
        <row r="290">
          <cell r="A290" t="str">
            <v>1210392</v>
          </cell>
          <cell r="B290" t="str">
            <v>CHOCOLATE OSCURO (BELCOLADE 2.5 KILO)</v>
          </cell>
          <cell r="C290" t="str">
            <v>KILO</v>
          </cell>
          <cell r="D290">
            <v>6408</v>
          </cell>
          <cell r="E290" t="str">
            <v>Gramo</v>
          </cell>
          <cell r="F290">
            <v>6.4080000000000004</v>
          </cell>
        </row>
        <row r="291">
          <cell r="A291" t="str">
            <v>1210393</v>
          </cell>
          <cell r="B291" t="str">
            <v>MARGARINA MULTIUSO ( 25 kg )</v>
          </cell>
          <cell r="C291" t="str">
            <v>KILO</v>
          </cell>
          <cell r="D291">
            <v>1077.76</v>
          </cell>
          <cell r="E291" t="str">
            <v>Gramo</v>
          </cell>
          <cell r="F291">
            <v>1.0777600000000001</v>
          </cell>
        </row>
        <row r="292">
          <cell r="A292" t="str">
            <v>1210394</v>
          </cell>
          <cell r="B292" t="str">
            <v>CHOCOLATE BLANCO (BELCOLADE=2.5KILO)</v>
          </cell>
          <cell r="C292" t="str">
            <v>KILO</v>
          </cell>
          <cell r="D292">
            <v>7467.0169999999998</v>
          </cell>
          <cell r="E292" t="str">
            <v>Gramo</v>
          </cell>
          <cell r="F292">
            <v>7.4670170000000002</v>
          </cell>
        </row>
        <row r="293">
          <cell r="A293" t="str">
            <v>1210396</v>
          </cell>
          <cell r="B293" t="str">
            <v>CHOCOLATE DE LECHE ( BELCOLADE=2.5 KILO )</v>
          </cell>
          <cell r="C293" t="str">
            <v>KILO</v>
          </cell>
          <cell r="D293">
            <v>6822.4809999999998</v>
          </cell>
          <cell r="E293" t="str">
            <v>Gramo</v>
          </cell>
          <cell r="F293">
            <v>6.8224809999999998</v>
          </cell>
        </row>
        <row r="294">
          <cell r="A294" t="str">
            <v>1210397</v>
          </cell>
          <cell r="B294" t="str">
            <v>COBERTURA  DE CHOCOLATE 118  5kg</v>
          </cell>
          <cell r="C294" t="str">
            <v>KILO</v>
          </cell>
          <cell r="D294">
            <v>4019.03</v>
          </cell>
          <cell r="E294" t="str">
            <v>Gramo</v>
          </cell>
          <cell r="F294">
            <v>4.0190299999999999</v>
          </cell>
        </row>
        <row r="295">
          <cell r="A295" t="str">
            <v>1210400</v>
          </cell>
          <cell r="B295" t="str">
            <v>HUEVOS EN CARTON (30UNID)</v>
          </cell>
          <cell r="C295" t="str">
            <v>UND</v>
          </cell>
          <cell r="D295">
            <v>75.978999999999999</v>
          </cell>
          <cell r="E295" t="str">
            <v>UND</v>
          </cell>
          <cell r="F295">
            <v>75.978999999999999</v>
          </cell>
        </row>
        <row r="296">
          <cell r="A296" t="str">
            <v>1210401</v>
          </cell>
          <cell r="B296" t="str">
            <v>MANTECA MAX PAN (25 kg)</v>
          </cell>
          <cell r="C296" t="str">
            <v>KILO</v>
          </cell>
          <cell r="D296">
            <v>812.80200000000002</v>
          </cell>
          <cell r="E296" t="str">
            <v>Gramo</v>
          </cell>
          <cell r="F296">
            <v>0.81280200000000002</v>
          </cell>
        </row>
        <row r="297">
          <cell r="A297" t="str">
            <v>1210405</v>
          </cell>
          <cell r="B297" t="str">
            <v>PASTA P/LASAG/(PAQ 5 de 1/2KG)</v>
          </cell>
          <cell r="C297" t="str">
            <v>KILO</v>
          </cell>
          <cell r="D297">
            <v>2305.0010000000002</v>
          </cell>
          <cell r="E297" t="str">
            <v>Gramo</v>
          </cell>
          <cell r="F297">
            <v>2.3050010000000003</v>
          </cell>
        </row>
        <row r="298">
          <cell r="A298" t="str">
            <v>1210408</v>
          </cell>
          <cell r="B298" t="str">
            <v>TAPA  DE DULCE(ATADO=2 UND)</v>
          </cell>
          <cell r="C298" t="str">
            <v>UND</v>
          </cell>
          <cell r="D298">
            <v>900</v>
          </cell>
          <cell r="E298" t="str">
            <v>UND</v>
          </cell>
          <cell r="F298">
            <v>900</v>
          </cell>
        </row>
        <row r="299">
          <cell r="A299" t="str">
            <v>1210412</v>
          </cell>
          <cell r="B299" t="str">
            <v>HIELO EN CUBITOS (PAQ=10 KILOS)</v>
          </cell>
          <cell r="C299" t="str">
            <v>PAQ</v>
          </cell>
          <cell r="D299">
            <v>1530.001</v>
          </cell>
          <cell r="E299" t="str">
            <v>Gramo</v>
          </cell>
          <cell r="F299">
            <v>0.1530001</v>
          </cell>
        </row>
        <row r="300">
          <cell r="A300" t="str">
            <v>1210413</v>
          </cell>
          <cell r="B300" t="str">
            <v>PASTA WANTAN (PAQ=465g)</v>
          </cell>
          <cell r="C300" t="str">
            <v>KILO</v>
          </cell>
          <cell r="D300">
            <v>2902.279</v>
          </cell>
          <cell r="E300" t="str">
            <v>Gramo</v>
          </cell>
          <cell r="F300">
            <v>2.9022790000000001</v>
          </cell>
        </row>
        <row r="301">
          <cell r="A301" t="str">
            <v>1210415</v>
          </cell>
          <cell r="B301" t="str">
            <v>PABILO ROLLO</v>
          </cell>
          <cell r="C301" t="str">
            <v>UND</v>
          </cell>
          <cell r="D301">
            <v>5454.4219999999996</v>
          </cell>
          <cell r="E301" t="str">
            <v>Centimetro</v>
          </cell>
          <cell r="F301">
            <v>0.38960157142857138</v>
          </cell>
        </row>
        <row r="302">
          <cell r="A302" t="str">
            <v>1210421</v>
          </cell>
          <cell r="B302" t="str">
            <v>CHOCOLATE HERSHEYS SEMISWEET (2,5k)</v>
          </cell>
          <cell r="C302" t="str">
            <v>GRAMO</v>
          </cell>
          <cell r="D302">
            <v>4.7779999999999996</v>
          </cell>
          <cell r="E302" t="str">
            <v>Gramo</v>
          </cell>
          <cell r="F302">
            <v>4.7779999999999996</v>
          </cell>
        </row>
        <row r="303">
          <cell r="A303" t="str">
            <v>1210425</v>
          </cell>
          <cell r="B303" t="str">
            <v>FRIJOLES MOLIDOS (BOLSA=2.95 Kg)</v>
          </cell>
          <cell r="C303" t="str">
            <v>KILO</v>
          </cell>
          <cell r="D303">
            <v>1060.3309999999999</v>
          </cell>
          <cell r="E303" t="str">
            <v>Gramo</v>
          </cell>
          <cell r="F303">
            <v>1.0603309999999999</v>
          </cell>
        </row>
        <row r="304">
          <cell r="A304" t="str">
            <v>1210430</v>
          </cell>
          <cell r="B304" t="str">
            <v>FIDEOS ARROZ (400 G)</v>
          </cell>
          <cell r="C304" t="str">
            <v>KILO</v>
          </cell>
          <cell r="D304">
            <v>3181.8780000000002</v>
          </cell>
          <cell r="E304" t="str">
            <v>Gramo</v>
          </cell>
          <cell r="F304">
            <v>3.1818780000000002</v>
          </cell>
        </row>
        <row r="305">
          <cell r="A305" t="str">
            <v>1210439</v>
          </cell>
          <cell r="B305" t="str">
            <v>PASTA LASAÑA PRECOCIDA ESPINACA ( 1k )</v>
          </cell>
          <cell r="C305" t="str">
            <v>KILO</v>
          </cell>
          <cell r="D305">
            <v>3400</v>
          </cell>
          <cell r="E305" t="str">
            <v>Gramo</v>
          </cell>
          <cell r="F305">
            <v>3.4</v>
          </cell>
        </row>
        <row r="306">
          <cell r="A306" t="str">
            <v>1210443</v>
          </cell>
          <cell r="B306" t="str">
            <v>YEMA DE HUEVO PASTEURIZADA (CAJA=2 Kg)</v>
          </cell>
          <cell r="C306" t="str">
            <v>KILO</v>
          </cell>
          <cell r="D306">
            <v>2200</v>
          </cell>
          <cell r="E306" t="str">
            <v>Gramo</v>
          </cell>
          <cell r="F306">
            <v>2.2000000000000002</v>
          </cell>
        </row>
        <row r="307">
          <cell r="A307" t="str">
            <v>1210445</v>
          </cell>
          <cell r="B307" t="str">
            <v>CLARAS HUEVO DESHIDRATADAS (22.730 Kg )</v>
          </cell>
          <cell r="C307" t="str">
            <v>KILO</v>
          </cell>
          <cell r="D307">
            <v>14515.096</v>
          </cell>
          <cell r="E307" t="str">
            <v>Gramo</v>
          </cell>
          <cell r="F307">
            <v>14.515096</v>
          </cell>
        </row>
        <row r="308">
          <cell r="A308" t="str">
            <v>1210448</v>
          </cell>
          <cell r="B308" t="str">
            <v>CLARAS HUEVO PASTEURIZADO INNOVO (2 KG)</v>
          </cell>
          <cell r="C308" t="str">
            <v>KILO</v>
          </cell>
          <cell r="D308">
            <v>3766.6669999999999</v>
          </cell>
          <cell r="E308" t="str">
            <v>Gramo</v>
          </cell>
          <cell r="F308">
            <v>3.766667</v>
          </cell>
        </row>
        <row r="309">
          <cell r="A309" t="str">
            <v>1210450</v>
          </cell>
          <cell r="B309" t="str">
            <v>PASTA WAN TAN 340G</v>
          </cell>
          <cell r="C309" t="str">
            <v>KILO</v>
          </cell>
          <cell r="D309">
            <v>4932.1180000000004</v>
          </cell>
          <cell r="E309" t="str">
            <v>Gramo</v>
          </cell>
          <cell r="F309">
            <v>4.932118</v>
          </cell>
        </row>
        <row r="310">
          <cell r="A310" t="str">
            <v>1210458</v>
          </cell>
          <cell r="B310" t="str">
            <v>CHOCOLATE OLAS OSCURAS (CAJA=200g)</v>
          </cell>
          <cell r="C310" t="str">
            <v>KILO</v>
          </cell>
          <cell r="D310">
            <v>16409.091</v>
          </cell>
          <cell r="E310" t="str">
            <v>Gramo</v>
          </cell>
          <cell r="F310">
            <v>16.409091</v>
          </cell>
        </row>
        <row r="311">
          <cell r="A311" t="str">
            <v>1210459</v>
          </cell>
          <cell r="B311" t="str">
            <v>CHOCOLATE OLAS BLANCAS (CAJA=200g)</v>
          </cell>
          <cell r="C311" t="str">
            <v>KILO</v>
          </cell>
          <cell r="D311">
            <v>19281.043000000001</v>
          </cell>
          <cell r="E311" t="str">
            <v>Gramo</v>
          </cell>
          <cell r="F311">
            <v>19.281043</v>
          </cell>
        </row>
        <row r="312">
          <cell r="A312" t="str">
            <v>1210461</v>
          </cell>
          <cell r="B312" t="str">
            <v>CHOCOLATE TULIPAN MARMOL (CAJA=150 UND)</v>
          </cell>
          <cell r="C312" t="str">
            <v>UND</v>
          </cell>
          <cell r="D312">
            <v>120</v>
          </cell>
          <cell r="E312" t="str">
            <v>UND</v>
          </cell>
          <cell r="F312">
            <v>120</v>
          </cell>
        </row>
        <row r="313">
          <cell r="A313" t="str">
            <v>1210462</v>
          </cell>
          <cell r="B313" t="str">
            <v>MONEDAS MARMOLEADAS (240UND)</v>
          </cell>
          <cell r="C313" t="str">
            <v>UND</v>
          </cell>
          <cell r="D313">
            <v>42.000999999999998</v>
          </cell>
          <cell r="E313" t="str">
            <v>UND</v>
          </cell>
          <cell r="F313">
            <v>42.000999999999998</v>
          </cell>
        </row>
        <row r="314">
          <cell r="A314" t="str">
            <v>1210464</v>
          </cell>
          <cell r="B314" t="str">
            <v>CHOCOLATE TRIANGULO OLEAJE ESPECIAL (CAJA=200 UND)</v>
          </cell>
          <cell r="C314" t="str">
            <v>UND</v>
          </cell>
          <cell r="D314">
            <v>115</v>
          </cell>
          <cell r="E314" t="str">
            <v>UND</v>
          </cell>
          <cell r="F314">
            <v>115</v>
          </cell>
        </row>
        <row r="315">
          <cell r="A315" t="str">
            <v>1210466</v>
          </cell>
          <cell r="B315" t="str">
            <v>CHOCOLATE TULIPAN MARMOL ESPECIAL (CAJA=150 UND)</v>
          </cell>
          <cell r="C315" t="str">
            <v>UND</v>
          </cell>
          <cell r="D315">
            <v>75</v>
          </cell>
          <cell r="E315" t="str">
            <v>UND</v>
          </cell>
          <cell r="F315">
            <v>75</v>
          </cell>
        </row>
        <row r="316">
          <cell r="A316" t="str">
            <v>1210467</v>
          </cell>
          <cell r="B316" t="str">
            <v>HUEVO DESHIDRATADO DANTEX 7 (CAJA=22.67 Kg)</v>
          </cell>
          <cell r="C316" t="str">
            <v>KILO</v>
          </cell>
          <cell r="D316">
            <v>5202.7669999999998</v>
          </cell>
          <cell r="E316" t="str">
            <v>Gramo</v>
          </cell>
          <cell r="F316">
            <v>5.2027669999999997</v>
          </cell>
        </row>
        <row r="317">
          <cell r="A317" t="str">
            <v>1210472</v>
          </cell>
          <cell r="B317" t="str">
            <v>TABLETA CHOCOLATE CRUNCH (44g)</v>
          </cell>
          <cell r="C317" t="str">
            <v>KILO</v>
          </cell>
          <cell r="D317">
            <v>13110</v>
          </cell>
          <cell r="E317" t="str">
            <v>Gramo</v>
          </cell>
          <cell r="F317">
            <v>13.11</v>
          </cell>
        </row>
        <row r="318">
          <cell r="A318" t="str">
            <v>1210473</v>
          </cell>
          <cell r="B318" t="str">
            <v>CHOCOLATE HOJAS OTOÑO (CAJA=150 UND)</v>
          </cell>
          <cell r="C318" t="str">
            <v>UND</v>
          </cell>
          <cell r="D318">
            <v>70</v>
          </cell>
          <cell r="E318" t="str">
            <v>UND</v>
          </cell>
          <cell r="F318">
            <v>70</v>
          </cell>
        </row>
        <row r="319">
          <cell r="A319" t="str">
            <v>1210476</v>
          </cell>
          <cell r="B319" t="str">
            <v>PRETZEL MINI SNYDERS ( BOLSA 252G)</v>
          </cell>
          <cell r="C319" t="str">
            <v>KILO</v>
          </cell>
          <cell r="D319">
            <v>9000.1450000000004</v>
          </cell>
          <cell r="E319" t="str">
            <v>Gramo</v>
          </cell>
          <cell r="F319">
            <v>9.0001449999999998</v>
          </cell>
        </row>
        <row r="320">
          <cell r="A320" t="str">
            <v>1210481</v>
          </cell>
          <cell r="B320" t="str">
            <v>MANTECA REFINADA IMP. (SHORTENING)</v>
          </cell>
          <cell r="C320" t="str">
            <v>KILO</v>
          </cell>
          <cell r="D320">
            <v>3441.1759999999999</v>
          </cell>
          <cell r="E320" t="str">
            <v>Gramo</v>
          </cell>
          <cell r="F320">
            <v>3.441176</v>
          </cell>
        </row>
        <row r="321">
          <cell r="A321" t="str">
            <v>1210482</v>
          </cell>
          <cell r="B321" t="str">
            <v>HUEVO PASTEURIZADO INNOVO 1/10K</v>
          </cell>
          <cell r="C321" t="str">
            <v>KILO</v>
          </cell>
          <cell r="D321">
            <v>1360.0160000000001</v>
          </cell>
          <cell r="E321" t="str">
            <v>Gramo</v>
          </cell>
          <cell r="F321">
            <v>1.3600160000000001</v>
          </cell>
        </row>
        <row r="322">
          <cell r="A322" t="str">
            <v>1210487</v>
          </cell>
          <cell r="B322" t="str">
            <v>FRIJOLES NEGROS ARMENIO (PAQ= .900GR= BULTO 15 PAQ)</v>
          </cell>
          <cell r="C322" t="str">
            <v>KILO</v>
          </cell>
          <cell r="D322">
            <v>1047.797</v>
          </cell>
          <cell r="E322" t="str">
            <v>Gramo</v>
          </cell>
          <cell r="F322">
            <v>1.0477970000000001</v>
          </cell>
        </row>
        <row r="323">
          <cell r="A323" t="str">
            <v>1210492</v>
          </cell>
          <cell r="B323" t="str">
            <v>CHANTILLY TOP CREAM CHOCOLATE 2K</v>
          </cell>
          <cell r="C323" t="str">
            <v>KILO</v>
          </cell>
          <cell r="D323">
            <v>1788.75</v>
          </cell>
          <cell r="E323" t="str">
            <v>Gramo</v>
          </cell>
          <cell r="F323">
            <v>1.7887500000000001</v>
          </cell>
        </row>
        <row r="324">
          <cell r="A324" t="str">
            <v>1210493</v>
          </cell>
          <cell r="B324" t="str">
            <v>CHANTILLY TOP CREAM BASE 1K</v>
          </cell>
          <cell r="C324" t="str">
            <v>KILO</v>
          </cell>
          <cell r="D324">
            <v>2008.5</v>
          </cell>
          <cell r="E324" t="str">
            <v>Gramo</v>
          </cell>
          <cell r="F324">
            <v>2.0085000000000002</v>
          </cell>
        </row>
        <row r="325">
          <cell r="A325" t="str">
            <v>1212310</v>
          </cell>
          <cell r="B325" t="str">
            <v>FIBRA CITRICA F1 200 FG</v>
          </cell>
          <cell r="C325" t="str">
            <v>KILO</v>
          </cell>
          <cell r="D325">
            <v>7339.9279999999999</v>
          </cell>
          <cell r="E325" t="str">
            <v>Gramo</v>
          </cell>
          <cell r="F325">
            <v>7.3399279999999996</v>
          </cell>
        </row>
        <row r="326">
          <cell r="A326" t="str">
            <v>1212383</v>
          </cell>
          <cell r="B326" t="str">
            <v>COLORANTE ROJO ( 50 ml )</v>
          </cell>
          <cell r="C326" t="str">
            <v>LITRO</v>
          </cell>
          <cell r="D326">
            <v>26101.288</v>
          </cell>
          <cell r="E326" t="str">
            <v>Mililitro</v>
          </cell>
          <cell r="F326">
            <v>26.101288</v>
          </cell>
        </row>
        <row r="327">
          <cell r="A327" t="str">
            <v>1212410</v>
          </cell>
          <cell r="B327" t="str">
            <v>PRESERVANTE 1047S(PAQ=5 KILO)</v>
          </cell>
          <cell r="C327" t="str">
            <v>KILO</v>
          </cell>
          <cell r="D327">
            <v>4791.7780000000002</v>
          </cell>
          <cell r="E327" t="str">
            <v>Gramo</v>
          </cell>
          <cell r="F327">
            <v>4.7917779999999999</v>
          </cell>
        </row>
        <row r="328">
          <cell r="A328" t="str">
            <v>1212412</v>
          </cell>
          <cell r="B328" t="str">
            <v>PRESERVANTE 1017 (PAQ=5 KILO)</v>
          </cell>
          <cell r="C328" t="str">
            <v>KILO</v>
          </cell>
          <cell r="D328">
            <v>6276.5140000000001</v>
          </cell>
          <cell r="E328" t="str">
            <v>Gramo</v>
          </cell>
          <cell r="F328">
            <v>6.2765139999999997</v>
          </cell>
        </row>
        <row r="329">
          <cell r="A329" t="str">
            <v>1212437</v>
          </cell>
          <cell r="B329" t="str">
            <v>PRESERVANTE MIXTO (BALDE = 17k)</v>
          </cell>
          <cell r="C329" t="str">
            <v>KILO</v>
          </cell>
          <cell r="D329">
            <v>2889.9960000000001</v>
          </cell>
          <cell r="E329" t="str">
            <v>Gramo</v>
          </cell>
          <cell r="F329">
            <v>2.889996</v>
          </cell>
        </row>
        <row r="330">
          <cell r="A330" t="str">
            <v>1212439</v>
          </cell>
          <cell r="B330" t="str">
            <v>PRESERVANTE OPTIFORM PD4-25K</v>
          </cell>
          <cell r="C330" t="str">
            <v>KILO</v>
          </cell>
          <cell r="D330">
            <v>2533.424</v>
          </cell>
          <cell r="E330" t="str">
            <v>Gramo</v>
          </cell>
          <cell r="F330">
            <v>2.5334240000000001</v>
          </cell>
        </row>
        <row r="331">
          <cell r="A331" t="str">
            <v>1310444</v>
          </cell>
          <cell r="B331" t="str">
            <v>VAINILLA LIGHT AND FLUFFY ( 15.88 KG )( 35 LBS )</v>
          </cell>
          <cell r="C331" t="str">
            <v>KILO</v>
          </cell>
          <cell r="D331">
            <v>40508.512000000002</v>
          </cell>
          <cell r="E331" t="str">
            <v>Gramo</v>
          </cell>
          <cell r="F331">
            <v>40.508512000000003</v>
          </cell>
        </row>
        <row r="332">
          <cell r="A332" t="str">
            <v>1522523</v>
          </cell>
          <cell r="B332" t="str">
            <v>CONSERVA CHIVERRE ( CUBETA=25K)</v>
          </cell>
          <cell r="C332" t="str">
            <v>KILO</v>
          </cell>
          <cell r="D332">
            <v>2200</v>
          </cell>
          <cell r="E332" t="str">
            <v>Gramo</v>
          </cell>
          <cell r="F332">
            <v>2.2000000000000002</v>
          </cell>
        </row>
        <row r="333">
          <cell r="A333" t="str">
            <v>1590921</v>
          </cell>
          <cell r="B333" t="str">
            <v>SIROPE MAPLE AUNT JEMINA (340 GRAMOS)</v>
          </cell>
          <cell r="C333" t="str">
            <v>UND</v>
          </cell>
          <cell r="D333">
            <v>2444</v>
          </cell>
          <cell r="E333" t="str">
            <v>Gramo</v>
          </cell>
          <cell r="F333">
            <v>7.1882352941176473</v>
          </cell>
        </row>
        <row r="334">
          <cell r="A334" t="str">
            <v>1730473</v>
          </cell>
          <cell r="B334" t="str">
            <v>ACEITE EXTRA VIRGEN FILIPPO (250ml)</v>
          </cell>
          <cell r="C334" t="str">
            <v>LITRO</v>
          </cell>
          <cell r="D334">
            <v>6369.0950000000003</v>
          </cell>
          <cell r="E334" t="str">
            <v>Mililitro</v>
          </cell>
          <cell r="F334">
            <v>6.3690950000000006</v>
          </cell>
        </row>
        <row r="335">
          <cell r="A335" t="str">
            <v>1730478</v>
          </cell>
          <cell r="B335" t="str">
            <v>ALCACHOFAS EN CORAZON (1.55k)</v>
          </cell>
          <cell r="C335" t="str">
            <v>KILO</v>
          </cell>
          <cell r="D335">
            <v>5045.6170000000002</v>
          </cell>
          <cell r="E335" t="str">
            <v>Gramo</v>
          </cell>
          <cell r="F335">
            <v>5.045617</v>
          </cell>
        </row>
        <row r="336">
          <cell r="A336" t="str">
            <v>1730482</v>
          </cell>
          <cell r="B336" t="str">
            <v>HARINA NACARINA ( 2.5 kg )</v>
          </cell>
          <cell r="C336" t="str">
            <v>KILO</v>
          </cell>
          <cell r="D336">
            <v>611.6</v>
          </cell>
          <cell r="E336" t="str">
            <v>Gramo</v>
          </cell>
          <cell r="F336">
            <v>0.61160000000000003</v>
          </cell>
        </row>
        <row r="337">
          <cell r="A337" t="str">
            <v>1730576</v>
          </cell>
          <cell r="B337" t="str">
            <v>CARNE QUITITEÑA</v>
          </cell>
          <cell r="C337" t="str">
            <v>KILO</v>
          </cell>
          <cell r="D337">
            <v>3500</v>
          </cell>
          <cell r="E337" t="str">
            <v>Gramo</v>
          </cell>
          <cell r="F337">
            <v>3.5</v>
          </cell>
        </row>
        <row r="338">
          <cell r="A338" t="str">
            <v>1730580</v>
          </cell>
          <cell r="B338" t="str">
            <v>COSTILLA DE CERDO (PAQ=1 KILO)</v>
          </cell>
          <cell r="C338" t="str">
            <v>KILO</v>
          </cell>
          <cell r="D338">
            <v>3895</v>
          </cell>
          <cell r="E338" t="str">
            <v>Gramo</v>
          </cell>
          <cell r="F338">
            <v>3.895</v>
          </cell>
        </row>
        <row r="339">
          <cell r="A339" t="str">
            <v>1730607</v>
          </cell>
          <cell r="B339" t="str">
            <v>QUESO PROCESADO REBANADO</v>
          </cell>
          <cell r="C339" t="str">
            <v>KILO</v>
          </cell>
          <cell r="D339">
            <v>8780</v>
          </cell>
          <cell r="E339" t="str">
            <v>Gramo</v>
          </cell>
          <cell r="F339">
            <v>8.7799999999999994</v>
          </cell>
        </row>
        <row r="340">
          <cell r="A340" t="str">
            <v>1730610</v>
          </cell>
          <cell r="B340" t="str">
            <v>NATILLA (GALON=3.785 Lts)</v>
          </cell>
          <cell r="C340" t="str">
            <v>LITRO</v>
          </cell>
          <cell r="D340">
            <v>1497.1869999999999</v>
          </cell>
          <cell r="E340" t="str">
            <v>Mililitro</v>
          </cell>
          <cell r="F340">
            <v>1.4971869999999998</v>
          </cell>
        </row>
        <row r="341">
          <cell r="A341" t="str">
            <v>1730619</v>
          </cell>
          <cell r="B341" t="str">
            <v>PLATANO MADURO UNIDAD</v>
          </cell>
          <cell r="C341" t="str">
            <v>UND</v>
          </cell>
          <cell r="D341">
            <v>250</v>
          </cell>
          <cell r="E341" t="str">
            <v>UND</v>
          </cell>
          <cell r="F341">
            <v>250</v>
          </cell>
        </row>
        <row r="342">
          <cell r="A342" t="str">
            <v>1730643</v>
          </cell>
          <cell r="B342" t="str">
            <v>QUESO TURRIALBA (3KILO)</v>
          </cell>
          <cell r="C342" t="str">
            <v>KILO</v>
          </cell>
          <cell r="D342">
            <v>2979.5920000000001</v>
          </cell>
          <cell r="E342" t="str">
            <v>Gramo</v>
          </cell>
          <cell r="F342">
            <v>2.9795920000000002</v>
          </cell>
        </row>
        <row r="343">
          <cell r="A343" t="str">
            <v>1730645</v>
          </cell>
          <cell r="B343" t="str">
            <v>QUESO MOZARELLA RAYADO (1KILO)</v>
          </cell>
          <cell r="C343" t="str">
            <v>KILO</v>
          </cell>
          <cell r="D343">
            <v>4621.2539999999999</v>
          </cell>
          <cell r="E343" t="str">
            <v>Gramo</v>
          </cell>
          <cell r="F343">
            <v>4.6212539999999995</v>
          </cell>
        </row>
        <row r="344">
          <cell r="A344" t="str">
            <v>1730647</v>
          </cell>
          <cell r="B344" t="str">
            <v>PECHUGA DESHUESADA FILET CON LOMITO (KILO)</v>
          </cell>
          <cell r="C344" t="str">
            <v>KILO</v>
          </cell>
          <cell r="D344">
            <v>2380</v>
          </cell>
          <cell r="E344" t="str">
            <v>Gramo</v>
          </cell>
          <cell r="F344">
            <v>2.38</v>
          </cell>
        </row>
        <row r="345">
          <cell r="A345" t="str">
            <v>1730660</v>
          </cell>
          <cell r="B345" t="str">
            <v>QUESO CREMA PANADERO (CAJA =5 KILOS )</v>
          </cell>
          <cell r="C345" t="str">
            <v>KILO</v>
          </cell>
          <cell r="D345">
            <v>2589.5740000000001</v>
          </cell>
          <cell r="E345" t="str">
            <v>Gramo</v>
          </cell>
          <cell r="F345">
            <v>2.5895740000000003</v>
          </cell>
        </row>
        <row r="346">
          <cell r="A346" t="str">
            <v>5105009</v>
          </cell>
          <cell r="B346" t="str">
            <v>PASA GOLDEN (CAJA=13.6 K)</v>
          </cell>
          <cell r="C346" t="str">
            <v>KILO</v>
          </cell>
          <cell r="D346">
            <v>3277.788</v>
          </cell>
          <cell r="E346" t="str">
            <v>Gramo</v>
          </cell>
          <cell r="F346">
            <v>3.2777880000000001</v>
          </cell>
        </row>
        <row r="347">
          <cell r="A347" t="str">
            <v>10300001</v>
          </cell>
          <cell r="B347" t="str">
            <v>JARRETE PICADO KILO</v>
          </cell>
          <cell r="C347" t="str">
            <v>KILO</v>
          </cell>
          <cell r="D347">
            <v>859</v>
          </cell>
          <cell r="E347" t="str">
            <v>Gramo</v>
          </cell>
          <cell r="F347">
            <v>0.85899999999999999</v>
          </cell>
        </row>
        <row r="348">
          <cell r="A348" t="str">
            <v>10300003</v>
          </cell>
          <cell r="B348" t="str">
            <v>JAMON COCIDO EN TROZOS (PAQ=500G)</v>
          </cell>
          <cell r="C348" t="str">
            <v>PAQ</v>
          </cell>
          <cell r="D348">
            <v>2050</v>
          </cell>
          <cell r="E348" t="str">
            <v>Gramo</v>
          </cell>
          <cell r="F348">
            <v>4.0999999999999996</v>
          </cell>
        </row>
        <row r="349">
          <cell r="A349" t="str">
            <v>1110406</v>
          </cell>
          <cell r="B349" t="str">
            <v>ATUN LOMO TROZOS ACEITE (LATA=1 KILO)</v>
          </cell>
          <cell r="C349" t="str">
            <v>KILO</v>
          </cell>
          <cell r="D349">
            <v>3475.6759999999999</v>
          </cell>
          <cell r="E349" t="str">
            <v>Gramo</v>
          </cell>
          <cell r="F349">
            <v>3.475676</v>
          </cell>
        </row>
      </sheetData>
      <sheetData sheetId="2">
        <row r="2">
          <cell r="A2" t="str">
            <v>0702006</v>
          </cell>
          <cell r="B2" t="str">
            <v>ETIQ.FECHA VENCIMIENTO AMARILLO</v>
          </cell>
          <cell r="C2" t="str">
            <v>ROLLO</v>
          </cell>
          <cell r="D2">
            <v>202.95699999999999</v>
          </cell>
          <cell r="E2" t="str">
            <v>UND</v>
          </cell>
          <cell r="F2">
            <v>0.22550777777777778</v>
          </cell>
        </row>
        <row r="3">
          <cell r="A3" t="str">
            <v>0702007</v>
          </cell>
          <cell r="B3" t="str">
            <v>ETIQ.FECHA VENCIMIENTO BLANCO</v>
          </cell>
          <cell r="C3" t="str">
            <v>ROLLO</v>
          </cell>
          <cell r="D3">
            <v>205.90199999999999</v>
          </cell>
          <cell r="E3" t="str">
            <v>UND</v>
          </cell>
          <cell r="F3">
            <v>0.22877999999999998</v>
          </cell>
        </row>
        <row r="4">
          <cell r="A4" t="str">
            <v>0702008</v>
          </cell>
          <cell r="B4" t="str">
            <v>ETIQ.FECHA VENCIMIENTO CELESTE</v>
          </cell>
          <cell r="C4" t="str">
            <v>ROLLO</v>
          </cell>
          <cell r="D4">
            <v>196.625</v>
          </cell>
          <cell r="E4" t="str">
            <v>UND</v>
          </cell>
          <cell r="F4">
            <v>0.21847222222222223</v>
          </cell>
        </row>
        <row r="5">
          <cell r="A5" t="str">
            <v>0702009</v>
          </cell>
          <cell r="B5" t="str">
            <v>ETIQ.FECHA VENCIMIENTO NARANJA</v>
          </cell>
          <cell r="C5" t="str">
            <v>ROLLO</v>
          </cell>
          <cell r="D5">
            <v>259.42899999999997</v>
          </cell>
          <cell r="E5" t="str">
            <v>UND</v>
          </cell>
          <cell r="F5">
            <v>0.28825444444444442</v>
          </cell>
        </row>
        <row r="6">
          <cell r="A6" t="str">
            <v>0702010</v>
          </cell>
          <cell r="B6" t="str">
            <v>ETIQ.FECHA VENCIMIENTO ROJO***CAFE</v>
          </cell>
          <cell r="C6" t="str">
            <v>ROLLO</v>
          </cell>
          <cell r="D6">
            <v>193.44300000000001</v>
          </cell>
          <cell r="E6" t="str">
            <v>UND</v>
          </cell>
          <cell r="F6">
            <v>0.21493666666666669</v>
          </cell>
        </row>
        <row r="7">
          <cell r="A7" t="str">
            <v>0702011</v>
          </cell>
          <cell r="B7" t="str">
            <v>ETIQ.FECHA VENCIMIENTO ROSADO</v>
          </cell>
          <cell r="C7" t="str">
            <v>ROLLO</v>
          </cell>
          <cell r="D7">
            <v>193.173</v>
          </cell>
          <cell r="E7" t="str">
            <v>UND</v>
          </cell>
          <cell r="F7">
            <v>0.21463666666666667</v>
          </cell>
        </row>
        <row r="8">
          <cell r="A8" t="str">
            <v>0702012</v>
          </cell>
          <cell r="B8" t="str">
            <v>ETIQ.FECHA VENCIMIENTO VERDE</v>
          </cell>
          <cell r="C8" t="str">
            <v>ROLLO</v>
          </cell>
          <cell r="D8">
            <v>190.66900000000001</v>
          </cell>
          <cell r="E8" t="str">
            <v>UND</v>
          </cell>
          <cell r="F8">
            <v>0.21185444444444446</v>
          </cell>
        </row>
        <row r="9">
          <cell r="A9" t="str">
            <v>0702030</v>
          </cell>
          <cell r="B9" t="str">
            <v>ETIQ.PRODUCCION BLANCO</v>
          </cell>
          <cell r="C9" t="str">
            <v>ROLLO</v>
          </cell>
          <cell r="D9">
            <v>165</v>
          </cell>
          <cell r="E9" t="str">
            <v>UND</v>
          </cell>
          <cell r="F9">
            <v>0.18333333333333332</v>
          </cell>
        </row>
        <row r="10">
          <cell r="A10" t="str">
            <v>0702036</v>
          </cell>
          <cell r="B10" t="str">
            <v>ETIQUETA NEGRA ( CINTILLO ) OVALADA LOCALES</v>
          </cell>
          <cell r="C10" t="str">
            <v>UND</v>
          </cell>
          <cell r="D10">
            <v>4.306</v>
          </cell>
          <cell r="E10" t="str">
            <v>UND</v>
          </cell>
          <cell r="F10">
            <v>4.306</v>
          </cell>
        </row>
        <row r="11">
          <cell r="A11" t="str">
            <v>0702053</v>
          </cell>
          <cell r="B11" t="str">
            <v>STICKER REDONDO AMARILLO</v>
          </cell>
          <cell r="C11" t="str">
            <v>ROLLO</v>
          </cell>
          <cell r="D11">
            <v>210.43799999999999</v>
          </cell>
          <cell r="E11" t="str">
            <v>UND</v>
          </cell>
          <cell r="F11">
            <v>0.23382</v>
          </cell>
        </row>
        <row r="12">
          <cell r="A12" t="str">
            <v>0702056</v>
          </cell>
          <cell r="B12" t="str">
            <v>STICKER REDONDO CELESTE</v>
          </cell>
          <cell r="C12" t="str">
            <v>ROLLO</v>
          </cell>
          <cell r="D12">
            <v>275</v>
          </cell>
          <cell r="E12" t="str">
            <v>UND</v>
          </cell>
          <cell r="F12">
            <v>0.30555555555555558</v>
          </cell>
        </row>
        <row r="13">
          <cell r="A13" t="str">
            <v>0702057</v>
          </cell>
          <cell r="B13" t="str">
            <v>STICKER REDONDO NARANJA</v>
          </cell>
          <cell r="C13" t="str">
            <v>ROLLO</v>
          </cell>
          <cell r="D13">
            <v>210.196</v>
          </cell>
          <cell r="E13" t="str">
            <v>UND</v>
          </cell>
          <cell r="F13">
            <v>0.2335511111111111</v>
          </cell>
        </row>
        <row r="14">
          <cell r="A14" t="str">
            <v>0702058</v>
          </cell>
          <cell r="B14" t="str">
            <v>STICKER REDONDO ROJO</v>
          </cell>
          <cell r="C14" t="str">
            <v>ROLLO</v>
          </cell>
          <cell r="D14">
            <v>651.91899999999998</v>
          </cell>
          <cell r="E14" t="str">
            <v>UND</v>
          </cell>
          <cell r="F14">
            <v>0.72435444444444441</v>
          </cell>
        </row>
        <row r="15">
          <cell r="A15" t="str">
            <v>0702060</v>
          </cell>
          <cell r="B15" t="str">
            <v>STICKER REDONDO VERDE</v>
          </cell>
          <cell r="C15" t="str">
            <v>ROLLO</v>
          </cell>
          <cell r="D15">
            <v>321.64</v>
          </cell>
          <cell r="E15" t="str">
            <v>UND</v>
          </cell>
          <cell r="F15">
            <v>0.35737777777777774</v>
          </cell>
        </row>
        <row r="16">
          <cell r="A16" t="str">
            <v>0702061</v>
          </cell>
          <cell r="B16" t="str">
            <v>CINTILLO PEQUEÑO SPOON CHOCOLATE ( ROLLO=1000UND)</v>
          </cell>
          <cell r="C16" t="str">
            <v>UND</v>
          </cell>
          <cell r="D16">
            <v>1.0449999999999999</v>
          </cell>
          <cell r="E16" t="str">
            <v>UND</v>
          </cell>
          <cell r="F16">
            <v>1.0449999999999999</v>
          </cell>
        </row>
        <row r="17">
          <cell r="A17" t="str">
            <v>0702067</v>
          </cell>
          <cell r="B17" t="str">
            <v>ETIQ.BLANCA 1 13/16 * 1 7/8</v>
          </cell>
          <cell r="C17" t="str">
            <v>UND</v>
          </cell>
          <cell r="D17">
            <v>2.0470000000000002</v>
          </cell>
          <cell r="E17" t="str">
            <v>UND</v>
          </cell>
          <cell r="F17">
            <v>2.0470000000000002</v>
          </cell>
        </row>
        <row r="18">
          <cell r="A18" t="str">
            <v>0702069</v>
          </cell>
          <cell r="B18" t="str">
            <v>ETIQ.BLANCA 1 1/4 * 3/4</v>
          </cell>
          <cell r="C18" t="str">
            <v>UND</v>
          </cell>
          <cell r="D18">
            <v>0.61599999999999999</v>
          </cell>
          <cell r="E18" t="str">
            <v>UND</v>
          </cell>
          <cell r="F18">
            <v>0.61599999999999999</v>
          </cell>
        </row>
        <row r="19">
          <cell r="A19" t="str">
            <v>0702072</v>
          </cell>
          <cell r="B19" t="str">
            <v>ETIQ.BLANCA 3X3</v>
          </cell>
          <cell r="C19" t="str">
            <v>UND</v>
          </cell>
          <cell r="D19">
            <v>6.7149999999999999</v>
          </cell>
          <cell r="E19" t="str">
            <v>UND</v>
          </cell>
          <cell r="F19">
            <v>6.7149999999999999</v>
          </cell>
        </row>
        <row r="20">
          <cell r="A20" t="str">
            <v>0702073</v>
          </cell>
          <cell r="B20" t="str">
            <v>CINTA BORDADA LOGO SPOON T-75/02</v>
          </cell>
          <cell r="C20" t="str">
            <v>UND</v>
          </cell>
          <cell r="D20">
            <v>170</v>
          </cell>
          <cell r="E20" t="str">
            <v>UND</v>
          </cell>
          <cell r="F20">
            <v>170</v>
          </cell>
        </row>
        <row r="21">
          <cell r="A21" t="str">
            <v>0702077</v>
          </cell>
          <cell r="B21" t="str">
            <v>ETIQ. GENERICA PEQUEÑA V-274</v>
          </cell>
          <cell r="C21" t="str">
            <v>UND</v>
          </cell>
          <cell r="D21">
            <v>12.87</v>
          </cell>
          <cell r="E21" t="str">
            <v>UND</v>
          </cell>
          <cell r="F21">
            <v>12.87</v>
          </cell>
        </row>
        <row r="22">
          <cell r="A22" t="str">
            <v>0702087</v>
          </cell>
          <cell r="B22" t="str">
            <v>ET. ROJA BUCCA.</v>
          </cell>
          <cell r="C22" t="str">
            <v>UND</v>
          </cell>
          <cell r="D22">
            <v>5</v>
          </cell>
          <cell r="E22" t="str">
            <v>UND</v>
          </cell>
          <cell r="F22">
            <v>5</v>
          </cell>
        </row>
        <row r="23">
          <cell r="A23" t="str">
            <v>0702099</v>
          </cell>
          <cell r="B23" t="str">
            <v>ET. CINTA GENERICA P/ TORTA SPOON.</v>
          </cell>
          <cell r="C23" t="str">
            <v>UND</v>
          </cell>
          <cell r="D23">
            <v>25.504000000000001</v>
          </cell>
          <cell r="E23" t="str">
            <v>UND</v>
          </cell>
          <cell r="F23">
            <v>25.504000000000001</v>
          </cell>
        </row>
        <row r="24">
          <cell r="A24" t="str">
            <v>0702119</v>
          </cell>
          <cell r="B24" t="str">
            <v>STICKER REDONDO CAFE</v>
          </cell>
          <cell r="C24" t="str">
            <v>UND</v>
          </cell>
          <cell r="D24">
            <v>600.49</v>
          </cell>
          <cell r="E24" t="str">
            <v>UND</v>
          </cell>
          <cell r="F24">
            <v>0</v>
          </cell>
        </row>
        <row r="25">
          <cell r="A25" t="str">
            <v>0702123</v>
          </cell>
          <cell r="B25" t="str">
            <v>ETIQUETA BLANCA 2 5/8X1 15/16 PRE BLANCA</v>
          </cell>
          <cell r="C25" t="str">
            <v>UND</v>
          </cell>
          <cell r="D25">
            <v>2.2759999999999998</v>
          </cell>
          <cell r="E25" t="str">
            <v>UND</v>
          </cell>
          <cell r="F25">
            <v>2.2759999999999998</v>
          </cell>
        </row>
        <row r="26">
          <cell r="A26" t="str">
            <v>0702136</v>
          </cell>
          <cell r="B26" t="str">
            <v>ET. STARBUCKS ALFAJOR</v>
          </cell>
          <cell r="C26" t="str">
            <v>UND</v>
          </cell>
          <cell r="D26">
            <v>25.007999999999999</v>
          </cell>
          <cell r="E26" t="str">
            <v>UND</v>
          </cell>
          <cell r="F26">
            <v>25.007999999999999</v>
          </cell>
        </row>
        <row r="27">
          <cell r="A27" t="str">
            <v>0702137</v>
          </cell>
          <cell r="B27" t="str">
            <v>ET. STARBUCKS TROCITOS CHEDDAR</v>
          </cell>
          <cell r="C27" t="str">
            <v>UND</v>
          </cell>
          <cell r="D27">
            <v>25.001000000000001</v>
          </cell>
          <cell r="E27" t="str">
            <v>UND</v>
          </cell>
          <cell r="F27">
            <v>25.001000000000001</v>
          </cell>
        </row>
        <row r="28">
          <cell r="A28" t="str">
            <v>0702138</v>
          </cell>
          <cell r="B28" t="str">
            <v>ET STARBUCKS CROCANTINI TOMATE</v>
          </cell>
          <cell r="C28" t="str">
            <v>UND</v>
          </cell>
          <cell r="D28">
            <v>29.545999999999999</v>
          </cell>
          <cell r="E28" t="str">
            <v>UND</v>
          </cell>
          <cell r="F28">
            <v>29.545999999999999</v>
          </cell>
        </row>
        <row r="29">
          <cell r="A29" t="str">
            <v>0702139</v>
          </cell>
          <cell r="B29" t="str">
            <v>ET STARBUCKS CROCANTINI PARMESANO</v>
          </cell>
          <cell r="C29" t="str">
            <v>UND</v>
          </cell>
          <cell r="D29">
            <v>20.943999999999999</v>
          </cell>
          <cell r="E29" t="str">
            <v>UND</v>
          </cell>
          <cell r="F29">
            <v>20.943999999999999</v>
          </cell>
        </row>
        <row r="30">
          <cell r="A30" t="str">
            <v>0702141</v>
          </cell>
          <cell r="B30" t="str">
            <v>ET STARBUCKS NUECES</v>
          </cell>
          <cell r="C30" t="str">
            <v>UND</v>
          </cell>
          <cell r="D30">
            <v>45.820999999999998</v>
          </cell>
          <cell r="E30" t="str">
            <v>UND</v>
          </cell>
          <cell r="F30">
            <v>45.820999999999998</v>
          </cell>
        </row>
        <row r="31">
          <cell r="A31" t="str">
            <v>0702142</v>
          </cell>
          <cell r="B31" t="str">
            <v>ET STARBUCKS POP CORN</v>
          </cell>
          <cell r="C31" t="str">
            <v>UND</v>
          </cell>
          <cell r="D31">
            <v>21.530999999999999</v>
          </cell>
          <cell r="E31" t="str">
            <v>UND</v>
          </cell>
          <cell r="F31">
            <v>21.530999999999999</v>
          </cell>
        </row>
        <row r="32">
          <cell r="A32" t="str">
            <v>0702143</v>
          </cell>
          <cell r="B32" t="str">
            <v>ET STARBUCKS CHOCOLATE</v>
          </cell>
          <cell r="C32" t="str">
            <v>UND</v>
          </cell>
          <cell r="D32">
            <v>45.701000000000001</v>
          </cell>
          <cell r="E32" t="str">
            <v>UND</v>
          </cell>
          <cell r="F32">
            <v>45.701000000000001</v>
          </cell>
        </row>
        <row r="33">
          <cell r="A33" t="str">
            <v>0702144</v>
          </cell>
          <cell r="B33" t="str">
            <v>ET STARBUCKS BARRA MACADAMIA</v>
          </cell>
          <cell r="C33" t="str">
            <v>UND</v>
          </cell>
          <cell r="D33">
            <v>47</v>
          </cell>
          <cell r="E33" t="str">
            <v>UND</v>
          </cell>
          <cell r="F33">
            <v>47</v>
          </cell>
        </row>
        <row r="34">
          <cell r="A34" t="str">
            <v>702167</v>
          </cell>
          <cell r="B34" t="str">
            <v>ETIQUETAS STARBUCKS ( BACON &amp; GOUDA)</v>
          </cell>
          <cell r="C34" t="str">
            <v>UND</v>
          </cell>
          <cell r="D34">
            <v>38.865000000000002</v>
          </cell>
          <cell r="E34" t="str">
            <v>UND</v>
          </cell>
          <cell r="F34">
            <v>38.865000000000002</v>
          </cell>
        </row>
        <row r="35">
          <cell r="A35" t="str">
            <v>702168</v>
          </cell>
          <cell r="B35" t="str">
            <v>ETIQUETA STARBUCK SAUSAGE &amp; CHEDDAR</v>
          </cell>
          <cell r="C35" t="str">
            <v>UND</v>
          </cell>
          <cell r="D35">
            <v>19.774000000000001</v>
          </cell>
          <cell r="E35" t="str">
            <v>UND</v>
          </cell>
          <cell r="F35">
            <v>19.774000000000001</v>
          </cell>
        </row>
        <row r="36">
          <cell r="A36" t="str">
            <v>702169</v>
          </cell>
          <cell r="B36" t="str">
            <v>ETIQUETA STARBUCKS VEGGIE &amp; MONTERREY JACK</v>
          </cell>
          <cell r="C36" t="str">
            <v>UND</v>
          </cell>
          <cell r="D36">
            <v>19.815000000000001</v>
          </cell>
          <cell r="E36" t="str">
            <v>UND</v>
          </cell>
          <cell r="F36">
            <v>19.815000000000001</v>
          </cell>
        </row>
        <row r="37">
          <cell r="A37" t="str">
            <v>702170</v>
          </cell>
          <cell r="B37" t="str">
            <v>ETIQUETAS STARBUCKS PREMIUM CLUB SANDWICH</v>
          </cell>
          <cell r="C37" t="str">
            <v>UND</v>
          </cell>
          <cell r="D37">
            <v>19.760000000000002</v>
          </cell>
          <cell r="E37" t="str">
            <v>UND</v>
          </cell>
          <cell r="F37">
            <v>19.760000000000002</v>
          </cell>
        </row>
        <row r="38">
          <cell r="A38" t="str">
            <v>702171</v>
          </cell>
          <cell r="B38" t="str">
            <v xml:space="preserve"> ETIQUETA STARBUCKS CAPRESSE</v>
          </cell>
          <cell r="C38" t="str">
            <v>UND</v>
          </cell>
          <cell r="D38">
            <v>19.925999999999998</v>
          </cell>
          <cell r="E38" t="str">
            <v>UND</v>
          </cell>
          <cell r="F38">
            <v>19.925999999999998</v>
          </cell>
        </row>
        <row r="39">
          <cell r="A39" t="str">
            <v>702172</v>
          </cell>
          <cell r="B39" t="str">
            <v>ETIQUETAS STARBUCKS PHILLY STEAK</v>
          </cell>
          <cell r="C39" t="str">
            <v>UND</v>
          </cell>
          <cell r="D39">
            <v>19.702999999999999</v>
          </cell>
          <cell r="E39" t="str">
            <v>UND</v>
          </cell>
          <cell r="F39">
            <v>19.702999999999999</v>
          </cell>
        </row>
        <row r="40">
          <cell r="A40" t="str">
            <v>702173</v>
          </cell>
          <cell r="B40" t="str">
            <v>ETIQUETAS DE PAPEL MUFFINS SCATOLA ROSSA</v>
          </cell>
          <cell r="C40" t="str">
            <v>UND</v>
          </cell>
          <cell r="D40">
            <v>1</v>
          </cell>
          <cell r="E40" t="str">
            <v>UND</v>
          </cell>
          <cell r="F40">
            <v>1</v>
          </cell>
        </row>
        <row r="41">
          <cell r="A41" t="str">
            <v>702174</v>
          </cell>
          <cell r="B41" t="str">
            <v>ETIQUETA SELLO DE SEGURIDAD (ROLLO=1000 UND)</v>
          </cell>
          <cell r="C41" t="str">
            <v>ROLLO</v>
          </cell>
          <cell r="D41">
            <v>5866.5159999999996</v>
          </cell>
          <cell r="E41" t="str">
            <v>UND</v>
          </cell>
          <cell r="F41">
            <v>5.8665159999999998</v>
          </cell>
        </row>
        <row r="42">
          <cell r="A42" t="str">
            <v>702175</v>
          </cell>
          <cell r="B42" t="str">
            <v>ETIQUETA IMP. SPOON GRANDE V-272</v>
          </cell>
          <cell r="C42" t="str">
            <v>UND</v>
          </cell>
          <cell r="D42">
            <v>49.741999999999997</v>
          </cell>
          <cell r="E42" t="str">
            <v>UND</v>
          </cell>
          <cell r="F42">
            <v>49.741999999999997</v>
          </cell>
        </row>
        <row r="43">
          <cell r="A43" t="str">
            <v>702178</v>
          </cell>
          <cell r="B43" t="str">
            <v>ETIQUETA MOUSSE CARMEL CAKE PECANAS (PEQUEÑA)</v>
          </cell>
          <cell r="C43" t="str">
            <v>UND</v>
          </cell>
          <cell r="D43">
            <v>1</v>
          </cell>
          <cell r="E43" t="str">
            <v>UND</v>
          </cell>
          <cell r="F43">
            <v>1</v>
          </cell>
        </row>
        <row r="44">
          <cell r="A44" t="str">
            <v>702179</v>
          </cell>
          <cell r="B44" t="str">
            <v>ETIQUETA TRUFA CHOCOLATE (GRANDE)</v>
          </cell>
          <cell r="C44" t="str">
            <v>UND</v>
          </cell>
          <cell r="D44">
            <v>1</v>
          </cell>
          <cell r="E44" t="str">
            <v>UND</v>
          </cell>
          <cell r="F44">
            <v>1</v>
          </cell>
        </row>
        <row r="45">
          <cell r="A45" t="str">
            <v>702181</v>
          </cell>
          <cell r="B45" t="str">
            <v>ETIQUETA MOUSSE CARAMEL CAKE PECANAS (GRANDE)</v>
          </cell>
          <cell r="C45" t="str">
            <v>UND</v>
          </cell>
          <cell r="D45">
            <v>1</v>
          </cell>
          <cell r="E45" t="str">
            <v>UND</v>
          </cell>
          <cell r="F45">
            <v>1</v>
          </cell>
        </row>
        <row r="46">
          <cell r="A46" t="str">
            <v>702182</v>
          </cell>
          <cell r="B46" t="str">
            <v>ETIQUETA IMP. SPOON MEDIANA V-273</v>
          </cell>
          <cell r="C46" t="str">
            <v>UND</v>
          </cell>
          <cell r="D46">
            <v>34.210999999999999</v>
          </cell>
          <cell r="E46" t="str">
            <v>UND</v>
          </cell>
          <cell r="F46">
            <v>34.210999999999999</v>
          </cell>
        </row>
        <row r="47">
          <cell r="A47" t="str">
            <v>0703207</v>
          </cell>
          <cell r="B47" t="str">
            <v>ROLLO PLASTICO PVC 14X500MTS</v>
          </cell>
          <cell r="C47" t="str">
            <v>UND</v>
          </cell>
          <cell r="D47">
            <v>43890</v>
          </cell>
          <cell r="E47" t="str">
            <v>Centimetros</v>
          </cell>
          <cell r="F47">
            <v>0.87780000000000002</v>
          </cell>
        </row>
        <row r="48">
          <cell r="A48" t="str">
            <v>0906036</v>
          </cell>
          <cell r="B48" t="str">
            <v>PAPEL MANTEQUILLA</v>
          </cell>
          <cell r="C48" t="str">
            <v>ROLLO</v>
          </cell>
          <cell r="D48">
            <v>30494.162</v>
          </cell>
          <cell r="E48" t="str">
            <v>UND</v>
          </cell>
          <cell r="F48">
            <v>30.494161999999999</v>
          </cell>
        </row>
        <row r="49">
          <cell r="A49" t="str">
            <v>1840639</v>
          </cell>
          <cell r="B49" t="str">
            <v>BOLSAS TRANSP GRANDE (KILO)</v>
          </cell>
          <cell r="C49" t="str">
            <v>KILO</v>
          </cell>
          <cell r="D49">
            <v>1250</v>
          </cell>
          <cell r="E49" t="str">
            <v>UND</v>
          </cell>
          <cell r="F49">
            <v>83.333333333333329</v>
          </cell>
        </row>
        <row r="50">
          <cell r="A50" t="str">
            <v>1942315</v>
          </cell>
          <cell r="B50" t="str">
            <v>QUEQUERA 10" MEDIA  (25.5 * 12cm CAJA 70)</v>
          </cell>
          <cell r="C50" t="str">
            <v>UND</v>
          </cell>
          <cell r="D50">
            <v>311.99400000000003</v>
          </cell>
          <cell r="E50" t="str">
            <v>UND</v>
          </cell>
          <cell r="F50">
            <v>311.99400000000003</v>
          </cell>
        </row>
        <row r="51">
          <cell r="A51" t="str">
            <v>1942318</v>
          </cell>
          <cell r="B51" t="str">
            <v>QUEQUERA 10" BAJA (25.5 * 10 CAJA 70)</v>
          </cell>
          <cell r="C51" t="str">
            <v>UND</v>
          </cell>
          <cell r="D51">
            <v>395.62299999999999</v>
          </cell>
          <cell r="E51" t="str">
            <v>UND</v>
          </cell>
          <cell r="F51">
            <v>395.62299999999999</v>
          </cell>
        </row>
        <row r="52">
          <cell r="A52" t="str">
            <v>1950375</v>
          </cell>
          <cell r="B52" t="str">
            <v>TAPA P/CONTENEDOR DOBLE USO 8/12 onz</v>
          </cell>
          <cell r="C52" t="str">
            <v>UND</v>
          </cell>
          <cell r="D52">
            <v>25.631</v>
          </cell>
          <cell r="E52" t="str">
            <v>UND</v>
          </cell>
          <cell r="F52">
            <v>25.631</v>
          </cell>
        </row>
        <row r="53">
          <cell r="A53" t="str">
            <v>1950377</v>
          </cell>
          <cell r="B53" t="str">
            <v>COMBO PACK DOBLE USO 8 onz (CAJA=200 UND)</v>
          </cell>
          <cell r="C53" t="str">
            <v>UND</v>
          </cell>
          <cell r="D53">
            <v>55.243000000000002</v>
          </cell>
          <cell r="E53" t="str">
            <v>UND</v>
          </cell>
          <cell r="F53">
            <v>55.243000000000002</v>
          </cell>
        </row>
        <row r="54">
          <cell r="A54" t="str">
            <v>1950379</v>
          </cell>
          <cell r="B54" t="str">
            <v>BASE CARTON #2 LAVAZZA (PAQ=100 UND)</v>
          </cell>
          <cell r="C54" t="str">
            <v>UND</v>
          </cell>
          <cell r="D54">
            <v>28.384</v>
          </cell>
          <cell r="E54" t="str">
            <v>UND</v>
          </cell>
          <cell r="F54">
            <v>28.384</v>
          </cell>
        </row>
        <row r="55">
          <cell r="A55" t="str">
            <v>1950386</v>
          </cell>
          <cell r="B55" t="str">
            <v>BOLSA TRANS. 125X140 (KILO)</v>
          </cell>
          <cell r="C55" t="str">
            <v>KILO</v>
          </cell>
          <cell r="D55">
            <v>3683.56</v>
          </cell>
          <cell r="E55" t="str">
            <v>UND</v>
          </cell>
          <cell r="F55">
            <v>0</v>
          </cell>
        </row>
        <row r="56">
          <cell r="A56" t="str">
            <v>1950387</v>
          </cell>
          <cell r="B56" t="str">
            <v>CONO P/AGUA (CAJA=5000 UND)</v>
          </cell>
          <cell r="C56" t="str">
            <v>UND</v>
          </cell>
          <cell r="D56">
            <v>6.7779999999999996</v>
          </cell>
          <cell r="E56" t="str">
            <v>UND</v>
          </cell>
          <cell r="F56">
            <v>6.7779999999999996</v>
          </cell>
        </row>
        <row r="57">
          <cell r="A57" t="str">
            <v>1950388</v>
          </cell>
          <cell r="B57" t="str">
            <v>BANDEJA EMPANADA X 3 (UND)</v>
          </cell>
          <cell r="C57" t="str">
            <v>UND</v>
          </cell>
          <cell r="D57">
            <v>52</v>
          </cell>
          <cell r="E57" t="str">
            <v>UND</v>
          </cell>
          <cell r="F57">
            <v>52</v>
          </cell>
        </row>
        <row r="58">
          <cell r="A58" t="str">
            <v>1950401</v>
          </cell>
          <cell r="B58" t="str">
            <v>CONTENEDOR CUADRADO 9X9X5(840UND)</v>
          </cell>
          <cell r="C58" t="str">
            <v>CAJA</v>
          </cell>
          <cell r="D58">
            <v>41199.995999999999</v>
          </cell>
          <cell r="E58" t="str">
            <v>UND</v>
          </cell>
          <cell r="F58">
            <v>49.047614285714282</v>
          </cell>
        </row>
        <row r="59">
          <cell r="A59" t="str">
            <v>1950406</v>
          </cell>
          <cell r="B59" t="str">
            <v>TAPA SUFFLE PLAST. 1.5/2.5 oz (PAQ=100 UND)</v>
          </cell>
          <cell r="C59" t="str">
            <v>UND</v>
          </cell>
          <cell r="D59">
            <v>7.7370000000000001</v>
          </cell>
          <cell r="E59" t="str">
            <v>UND</v>
          </cell>
          <cell r="F59">
            <v>7.7370000000000001</v>
          </cell>
        </row>
        <row r="60">
          <cell r="A60" t="str">
            <v>1950409</v>
          </cell>
          <cell r="B60" t="str">
            <v>TAPA P/FONDO CAJA BLANCA (PAQ=500 UND)</v>
          </cell>
          <cell r="C60" t="str">
            <v>UND</v>
          </cell>
          <cell r="D60">
            <v>49.914000000000001</v>
          </cell>
          <cell r="E60" t="str">
            <v>UND</v>
          </cell>
          <cell r="F60">
            <v>49.914000000000001</v>
          </cell>
        </row>
        <row r="61">
          <cell r="A61" t="str">
            <v>1950413</v>
          </cell>
          <cell r="B61" t="str">
            <v>BANDA PVC 450x50 (UND)</v>
          </cell>
          <cell r="C61" t="str">
            <v>UND</v>
          </cell>
          <cell r="D61">
            <v>14.465999999999999</v>
          </cell>
          <cell r="E61" t="str">
            <v>UND</v>
          </cell>
          <cell r="F61">
            <v>14.465999999999999</v>
          </cell>
        </row>
        <row r="62">
          <cell r="A62" t="str">
            <v>1950414</v>
          </cell>
          <cell r="B62" t="str">
            <v>BANDA 240x40 (UND)</v>
          </cell>
          <cell r="C62" t="str">
            <v>UND</v>
          </cell>
          <cell r="D62">
            <v>10.645</v>
          </cell>
          <cell r="E62" t="str">
            <v>UND</v>
          </cell>
          <cell r="F62">
            <v>10.645</v>
          </cell>
        </row>
        <row r="63">
          <cell r="A63" t="str">
            <v>1950427</v>
          </cell>
          <cell r="B63" t="str">
            <v>CONCHA POLO80 C/TAPA (UND)</v>
          </cell>
          <cell r="C63" t="str">
            <v>UND</v>
          </cell>
          <cell r="D63">
            <v>80</v>
          </cell>
          <cell r="E63" t="str">
            <v>UND</v>
          </cell>
          <cell r="F63">
            <v>80</v>
          </cell>
        </row>
        <row r="64">
          <cell r="A64" t="str">
            <v>1950671</v>
          </cell>
          <cell r="B64" t="str">
            <v>BANDEJA MUFFIN LBH 6166 (350UND)</v>
          </cell>
          <cell r="C64" t="str">
            <v>UND</v>
          </cell>
          <cell r="D64">
            <v>102.857</v>
          </cell>
          <cell r="E64" t="str">
            <v>UND</v>
          </cell>
          <cell r="F64">
            <v>102.857</v>
          </cell>
        </row>
        <row r="65">
          <cell r="A65" t="str">
            <v>1950672</v>
          </cell>
          <cell r="B65" t="str">
            <v>CONT. 48 ON TRANSPA. TAPA PLANA (PAQ=100 UND)</v>
          </cell>
          <cell r="C65" t="str">
            <v>UND</v>
          </cell>
          <cell r="D65">
            <v>201.988</v>
          </cell>
          <cell r="E65" t="str">
            <v>UND</v>
          </cell>
          <cell r="F65">
            <v>201.988</v>
          </cell>
        </row>
        <row r="66">
          <cell r="A66" t="str">
            <v>1950674</v>
          </cell>
          <cell r="B66" t="str">
            <v>CONTENEDOR INLINE SL65 (300 UND)</v>
          </cell>
          <cell r="C66" t="str">
            <v>UND</v>
          </cell>
          <cell r="D66">
            <v>127.584</v>
          </cell>
          <cell r="E66" t="str">
            <v>UND</v>
          </cell>
          <cell r="F66">
            <v>127.584</v>
          </cell>
        </row>
        <row r="67">
          <cell r="A67" t="str">
            <v>1950682</v>
          </cell>
          <cell r="B67" t="str">
            <v>CONTEN. LBH 692 PRALINE (200 unds)</v>
          </cell>
          <cell r="C67" t="str">
            <v>UND</v>
          </cell>
          <cell r="D67">
            <v>206.16</v>
          </cell>
          <cell r="E67" t="str">
            <v>UND</v>
          </cell>
          <cell r="F67">
            <v>206.16</v>
          </cell>
        </row>
        <row r="68">
          <cell r="A68" t="str">
            <v>1950685</v>
          </cell>
          <cell r="B68" t="str">
            <v>BANDEJA PLAST HORNABLE (240 UNI)</v>
          </cell>
          <cell r="C68" t="str">
            <v>UND</v>
          </cell>
          <cell r="D68">
            <v>172.529</v>
          </cell>
          <cell r="E68" t="str">
            <v>UND</v>
          </cell>
          <cell r="F68">
            <v>172.529</v>
          </cell>
        </row>
        <row r="69">
          <cell r="A69" t="str">
            <v>1950692</v>
          </cell>
          <cell r="B69" t="str">
            <v>ORLA CARTON 10" DORADA  (100 * PAQ)</v>
          </cell>
          <cell r="C69" t="str">
            <v>UND</v>
          </cell>
          <cell r="D69">
            <v>99.497</v>
          </cell>
          <cell r="E69" t="str">
            <v>UND</v>
          </cell>
          <cell r="F69">
            <v>99.497</v>
          </cell>
        </row>
        <row r="70">
          <cell r="A70" t="str">
            <v>1950693</v>
          </cell>
          <cell r="B70" t="str">
            <v>ORLA CARTON 9" DORADA (100 * PAQ )</v>
          </cell>
          <cell r="C70" t="str">
            <v>UND</v>
          </cell>
          <cell r="D70">
            <v>92.992999999999995</v>
          </cell>
          <cell r="E70" t="str">
            <v>UND</v>
          </cell>
          <cell r="F70">
            <v>92.992999999999995</v>
          </cell>
        </row>
        <row r="71">
          <cell r="A71" t="str">
            <v>1950699</v>
          </cell>
          <cell r="B71" t="str">
            <v>BASE PARA ROSQUETE (100*PAQ)</v>
          </cell>
          <cell r="C71" t="str">
            <v>UND</v>
          </cell>
          <cell r="D71">
            <v>116.337</v>
          </cell>
          <cell r="E71" t="str">
            <v>UND</v>
          </cell>
          <cell r="F71">
            <v>116.337</v>
          </cell>
        </row>
        <row r="72">
          <cell r="A72" t="str">
            <v>1950702</v>
          </cell>
          <cell r="B72" t="str">
            <v>BOLSA 12x18 TRANSP (KILO)</v>
          </cell>
          <cell r="C72" t="str">
            <v>KILO</v>
          </cell>
          <cell r="D72">
            <v>1350</v>
          </cell>
          <cell r="E72" t="str">
            <v>UND</v>
          </cell>
          <cell r="F72">
            <v>10.8</v>
          </cell>
        </row>
        <row r="73">
          <cell r="A73" t="str">
            <v>1950704</v>
          </cell>
          <cell r="B73" t="str">
            <v>BOLSA 5x8 TRANSP (KILO)</v>
          </cell>
          <cell r="C73" t="str">
            <v>KILO</v>
          </cell>
          <cell r="D73">
            <v>1350</v>
          </cell>
          <cell r="E73" t="str">
            <v>UND</v>
          </cell>
          <cell r="F73">
            <v>2.7</v>
          </cell>
        </row>
        <row r="74">
          <cell r="A74" t="str">
            <v>1950705</v>
          </cell>
          <cell r="B74" t="str">
            <v>BOLSA 8x12 TRANSP (KILO)</v>
          </cell>
          <cell r="C74" t="str">
            <v>KILO</v>
          </cell>
          <cell r="D74">
            <v>1350</v>
          </cell>
          <cell r="E74" t="str">
            <v>UND</v>
          </cell>
          <cell r="F74">
            <v>6.75</v>
          </cell>
        </row>
        <row r="75">
          <cell r="A75" t="str">
            <v>1950708</v>
          </cell>
          <cell r="B75" t="str">
            <v>BOLSA 17x25 TRANSP (KILO)</v>
          </cell>
          <cell r="C75" t="str">
            <v>KILO</v>
          </cell>
          <cell r="D75">
            <v>1350</v>
          </cell>
          <cell r="E75" t="str">
            <v>UND</v>
          </cell>
          <cell r="F75">
            <v>32.142857142857146</v>
          </cell>
        </row>
        <row r="76">
          <cell r="A76" t="str">
            <v>1950711</v>
          </cell>
          <cell r="B76" t="str">
            <v>BURBUJA # 5 (125XPAQ)</v>
          </cell>
          <cell r="C76" t="str">
            <v>UND</v>
          </cell>
          <cell r="D76">
            <v>54.371000000000002</v>
          </cell>
          <cell r="E76" t="str">
            <v>UND</v>
          </cell>
          <cell r="F76">
            <v>54.371000000000002</v>
          </cell>
        </row>
        <row r="77">
          <cell r="A77" t="str">
            <v>1950715</v>
          </cell>
          <cell r="B77" t="str">
            <v>CAPSULA # 2 BLANCA (100 * PAQ)</v>
          </cell>
          <cell r="C77" t="str">
            <v>UND</v>
          </cell>
          <cell r="D77">
            <v>2.66</v>
          </cell>
          <cell r="E77" t="str">
            <v>UND</v>
          </cell>
          <cell r="F77">
            <v>2.66</v>
          </cell>
        </row>
        <row r="78">
          <cell r="A78" t="str">
            <v>1950716</v>
          </cell>
          <cell r="B78" t="str">
            <v>BANDEJA  94121 24 OZ (CAJA 200 UND)</v>
          </cell>
          <cell r="C78" t="str">
            <v>UND</v>
          </cell>
          <cell r="D78">
            <v>109.575</v>
          </cell>
          <cell r="E78" t="str">
            <v>UND</v>
          </cell>
          <cell r="F78">
            <v>109.575</v>
          </cell>
        </row>
        <row r="79">
          <cell r="A79" t="str">
            <v>1950717</v>
          </cell>
          <cell r="B79" t="str">
            <v>CAJA BLANCA GRANDE ( 100 X PAQ)</v>
          </cell>
          <cell r="C79" t="str">
            <v>UND</v>
          </cell>
          <cell r="D79">
            <v>81.06</v>
          </cell>
          <cell r="E79" t="str">
            <v>UND</v>
          </cell>
          <cell r="F79">
            <v>81.06</v>
          </cell>
        </row>
        <row r="80">
          <cell r="A80" t="str">
            <v>1950725</v>
          </cell>
          <cell r="B80" t="str">
            <v>CAJA TROQUELADA # 25 ( 25*PAQ )</v>
          </cell>
          <cell r="C80" t="str">
            <v>UND</v>
          </cell>
          <cell r="D80">
            <v>1841.68</v>
          </cell>
          <cell r="E80" t="str">
            <v>UND</v>
          </cell>
          <cell r="F80">
            <v>1841.68</v>
          </cell>
        </row>
        <row r="81">
          <cell r="A81" t="str">
            <v>1950728</v>
          </cell>
          <cell r="B81" t="str">
            <v>CAJA TROQUELADA # 50 ( 20*PAQ )</v>
          </cell>
          <cell r="C81" t="str">
            <v>UND</v>
          </cell>
          <cell r="D81">
            <v>783</v>
          </cell>
          <cell r="E81" t="str">
            <v>UND</v>
          </cell>
          <cell r="F81">
            <v>783</v>
          </cell>
        </row>
        <row r="82">
          <cell r="A82" t="str">
            <v>1950729</v>
          </cell>
          <cell r="B82" t="str">
            <v>CAJA BLANCA  MEDIANAS (100 X PAQ)</v>
          </cell>
          <cell r="C82" t="str">
            <v>UND</v>
          </cell>
          <cell r="D82">
            <v>36</v>
          </cell>
          <cell r="E82" t="str">
            <v>UND</v>
          </cell>
          <cell r="F82">
            <v>36</v>
          </cell>
        </row>
        <row r="83">
          <cell r="A83" t="str">
            <v>1950730</v>
          </cell>
          <cell r="B83" t="str">
            <v>CAJA BLANCA  PEQUEÑAS (100 X PAQ)</v>
          </cell>
          <cell r="C83" t="str">
            <v>UND</v>
          </cell>
          <cell r="D83">
            <v>22.919</v>
          </cell>
          <cell r="E83" t="str">
            <v>UND</v>
          </cell>
          <cell r="F83">
            <v>22.919</v>
          </cell>
        </row>
        <row r="84">
          <cell r="A84" t="str">
            <v>1950733</v>
          </cell>
          <cell r="B84" t="str">
            <v>CAPSULA # 10 BLANCA (100 * PAQ)</v>
          </cell>
          <cell r="C84" t="str">
            <v>UND</v>
          </cell>
          <cell r="D84">
            <v>5.78</v>
          </cell>
          <cell r="E84" t="str">
            <v>UND</v>
          </cell>
          <cell r="F84">
            <v>5.78</v>
          </cell>
        </row>
        <row r="85">
          <cell r="A85" t="str">
            <v>1950735</v>
          </cell>
          <cell r="B85" t="str">
            <v>CAPSULA # 5 LOGO (100 * PAQ)</v>
          </cell>
          <cell r="C85" t="str">
            <v>UND</v>
          </cell>
          <cell r="D85">
            <v>8.4</v>
          </cell>
          <cell r="E85" t="str">
            <v>UND</v>
          </cell>
          <cell r="F85">
            <v>8.4</v>
          </cell>
        </row>
        <row r="86">
          <cell r="A86" t="str">
            <v>1950736</v>
          </cell>
          <cell r="B86" t="str">
            <v>CAPSULA # 5 BLANCA (100 * PAQ)</v>
          </cell>
          <cell r="C86" t="str">
            <v>UND</v>
          </cell>
          <cell r="D86">
            <v>7.75</v>
          </cell>
          <cell r="E86" t="str">
            <v>UND</v>
          </cell>
          <cell r="F86">
            <v>7.75</v>
          </cell>
        </row>
        <row r="87">
          <cell r="A87" t="str">
            <v>1950742</v>
          </cell>
          <cell r="B87" t="str">
            <v>VASO SOUFLE 5.5 OZ (PAQ * 250)</v>
          </cell>
          <cell r="C87" t="str">
            <v>UND</v>
          </cell>
          <cell r="D87">
            <v>10.826000000000001</v>
          </cell>
          <cell r="E87" t="str">
            <v>UND</v>
          </cell>
          <cell r="F87">
            <v>10.826000000000001</v>
          </cell>
        </row>
        <row r="88">
          <cell r="A88" t="str">
            <v>1950743</v>
          </cell>
          <cell r="B88" t="str">
            <v>CONTEN. 8B20 CAMPERO (PAQ=50 UND)</v>
          </cell>
          <cell r="C88" t="str">
            <v>UND</v>
          </cell>
          <cell r="D88">
            <v>24</v>
          </cell>
          <cell r="E88" t="str">
            <v>UND</v>
          </cell>
          <cell r="F88">
            <v>24</v>
          </cell>
        </row>
        <row r="89">
          <cell r="A89" t="str">
            <v>1950746</v>
          </cell>
          <cell r="B89" t="str">
            <v>CONTEN. PLAST RED.TRANSP. 16 OZ  (PAQ=500)</v>
          </cell>
          <cell r="C89" t="str">
            <v>UND</v>
          </cell>
          <cell r="D89">
            <v>41.201999999999998</v>
          </cell>
          <cell r="E89" t="str">
            <v>UND</v>
          </cell>
          <cell r="F89">
            <v>41.201999999999998</v>
          </cell>
        </row>
        <row r="90">
          <cell r="A90" t="str">
            <v>1950752</v>
          </cell>
          <cell r="B90" t="str">
            <v>CAJA BLANCA MINI (PAQ=100 UND)</v>
          </cell>
          <cell r="C90" t="str">
            <v>UND</v>
          </cell>
          <cell r="D90">
            <v>22.161999999999999</v>
          </cell>
          <cell r="E90" t="str">
            <v>UND</v>
          </cell>
          <cell r="F90">
            <v>22.161999999999999</v>
          </cell>
        </row>
        <row r="91">
          <cell r="A91" t="str">
            <v>1950756</v>
          </cell>
          <cell r="B91" t="str">
            <v>BANDEJA ALUM DESE #4040 (6 PORC)</v>
          </cell>
          <cell r="C91" t="str">
            <v>UND</v>
          </cell>
          <cell r="D91">
            <v>178.08</v>
          </cell>
          <cell r="E91" t="str">
            <v>UND</v>
          </cell>
          <cell r="F91">
            <v>178.08</v>
          </cell>
        </row>
        <row r="92">
          <cell r="A92" t="str">
            <v>1950765</v>
          </cell>
          <cell r="B92" t="str">
            <v>PLAST. AUTOAD 18 * 2000</v>
          </cell>
          <cell r="C92" t="str">
            <v>CAJA</v>
          </cell>
          <cell r="D92">
            <v>9524.0349999999999</v>
          </cell>
          <cell r="E92" t="str">
            <v>Centimetros</v>
          </cell>
          <cell r="F92">
            <v>0.47620174999999998</v>
          </cell>
        </row>
        <row r="93">
          <cell r="A93" t="str">
            <v>1950767</v>
          </cell>
          <cell r="B93" t="str">
            <v>PAPEL ALUMINIO 12 * 1000</v>
          </cell>
          <cell r="C93" t="str">
            <v>CAJA</v>
          </cell>
          <cell r="D93">
            <v>13787.079</v>
          </cell>
          <cell r="E93" t="str">
            <v>Centimetros</v>
          </cell>
          <cell r="F93">
            <v>1.3787079</v>
          </cell>
        </row>
        <row r="94">
          <cell r="A94" t="str">
            <v>1950769</v>
          </cell>
          <cell r="B94" t="str">
            <v>ORLA N°3 PLATEADA (100 UND)</v>
          </cell>
          <cell r="C94" t="str">
            <v>UND</v>
          </cell>
          <cell r="D94">
            <v>25.997</v>
          </cell>
          <cell r="E94" t="str">
            <v>UND</v>
          </cell>
          <cell r="F94">
            <v>25.997</v>
          </cell>
        </row>
        <row r="95">
          <cell r="A95" t="str">
            <v>1950771</v>
          </cell>
          <cell r="B95" t="str">
            <v>PAPEL ENCERADO 10X10 (CAJA)</v>
          </cell>
          <cell r="C95" t="str">
            <v>PAQ</v>
          </cell>
          <cell r="D95">
            <v>2783</v>
          </cell>
          <cell r="E95" t="str">
            <v>UND</v>
          </cell>
          <cell r="F95">
            <v>5.5659999999999998</v>
          </cell>
        </row>
        <row r="96">
          <cell r="A96" t="str">
            <v>1950772</v>
          </cell>
          <cell r="B96" t="str">
            <v>PAPEL ENCERADO 12 X 10 (CAJA)</v>
          </cell>
          <cell r="C96" t="str">
            <v>PAQ</v>
          </cell>
          <cell r="D96">
            <v>3535.223</v>
          </cell>
          <cell r="E96" t="str">
            <v>UND</v>
          </cell>
          <cell r="F96">
            <v>7.0704459999999996</v>
          </cell>
        </row>
        <row r="97">
          <cell r="A97" t="str">
            <v>1950779</v>
          </cell>
          <cell r="B97" t="str">
            <v>QUEQUERA  9" BAJA. (70 * CAJA)</v>
          </cell>
          <cell r="C97" t="str">
            <v>UND</v>
          </cell>
          <cell r="D97">
            <v>270.87900000000002</v>
          </cell>
          <cell r="E97" t="str">
            <v>UND</v>
          </cell>
          <cell r="F97">
            <v>270.87900000000002</v>
          </cell>
        </row>
        <row r="98">
          <cell r="A98" t="str">
            <v>1950780</v>
          </cell>
          <cell r="B98" t="str">
            <v>QUEQUERA 9"ALTA. (23 * 12cm 70 CAJA)</v>
          </cell>
          <cell r="C98" t="str">
            <v>UND</v>
          </cell>
          <cell r="D98">
            <v>385.01299999999998</v>
          </cell>
          <cell r="E98" t="str">
            <v>UND</v>
          </cell>
          <cell r="F98">
            <v>385.01299999999998</v>
          </cell>
        </row>
        <row r="99">
          <cell r="A99" t="str">
            <v>1950782</v>
          </cell>
          <cell r="B99" t="str">
            <v>QUEQUERAS 10"  BAJA (25.5*7cm 100 CAJA.)</v>
          </cell>
          <cell r="C99" t="str">
            <v>UND</v>
          </cell>
          <cell r="D99">
            <v>541.38</v>
          </cell>
          <cell r="E99" t="str">
            <v>UND</v>
          </cell>
          <cell r="F99">
            <v>541.38</v>
          </cell>
        </row>
        <row r="100">
          <cell r="A100" t="str">
            <v>1950788</v>
          </cell>
          <cell r="B100" t="str">
            <v>TAPA 20DLCR P/CONTE.8B20 CAMPERO (PAQ=100UND )</v>
          </cell>
          <cell r="C100" t="str">
            <v>UND</v>
          </cell>
          <cell r="D100">
            <v>35.450000000000003</v>
          </cell>
          <cell r="E100" t="str">
            <v>UND</v>
          </cell>
          <cell r="F100">
            <v>35.450000000000003</v>
          </cell>
        </row>
        <row r="101">
          <cell r="A101" t="str">
            <v>1950791</v>
          </cell>
          <cell r="B101" t="str">
            <v>TAPA PLAST. SUFLE 5.5 oz (PAQ=250 UND)</v>
          </cell>
          <cell r="C101" t="str">
            <v>UND</v>
          </cell>
          <cell r="D101">
            <v>7.7149999999999999</v>
          </cell>
          <cell r="E101" t="str">
            <v>UND</v>
          </cell>
          <cell r="F101">
            <v>7.7149999999999999</v>
          </cell>
        </row>
        <row r="102">
          <cell r="A102" t="str">
            <v>1950795</v>
          </cell>
          <cell r="B102" t="str">
            <v>BOLSA AL VACIO 6X8 100 PAQ</v>
          </cell>
          <cell r="C102" t="str">
            <v>UND</v>
          </cell>
          <cell r="D102">
            <v>17.401</v>
          </cell>
          <cell r="E102" t="str">
            <v>UND</v>
          </cell>
          <cell r="F102">
            <v>17.401</v>
          </cell>
        </row>
        <row r="103">
          <cell r="A103" t="str">
            <v>1950807</v>
          </cell>
          <cell r="B103" t="str">
            <v>ORLA 5" DORADA (PAQ= 100 UND)</v>
          </cell>
          <cell r="C103" t="str">
            <v>UND</v>
          </cell>
          <cell r="D103">
            <v>95.801000000000002</v>
          </cell>
          <cell r="E103" t="str">
            <v>UND</v>
          </cell>
          <cell r="F103">
            <v>95.801000000000002</v>
          </cell>
        </row>
        <row r="104">
          <cell r="A104" t="str">
            <v>1950808</v>
          </cell>
          <cell r="B104" t="str">
            <v>ORLA CARTON  8" DORADA (100 * PAQ )</v>
          </cell>
          <cell r="C104" t="str">
            <v>UND</v>
          </cell>
          <cell r="D104">
            <v>69</v>
          </cell>
          <cell r="E104" t="str">
            <v>UND</v>
          </cell>
          <cell r="F104">
            <v>69</v>
          </cell>
        </row>
        <row r="105">
          <cell r="A105" t="str">
            <v>1950810</v>
          </cell>
          <cell r="B105" t="str">
            <v>CAJA TROQUELADA # 15 ( 25 * PAQ )</v>
          </cell>
          <cell r="C105" t="str">
            <v>UND</v>
          </cell>
          <cell r="D105">
            <v>1302.367</v>
          </cell>
          <cell r="E105" t="str">
            <v>UND</v>
          </cell>
          <cell r="F105">
            <v>1302.367</v>
          </cell>
        </row>
        <row r="106">
          <cell r="A106" t="str">
            <v>1950811</v>
          </cell>
          <cell r="B106" t="str">
            <v>BASE CARTON 15 PORCIONES ( 25 * PAQ.)</v>
          </cell>
          <cell r="C106" t="str">
            <v>UND</v>
          </cell>
          <cell r="D106">
            <v>145</v>
          </cell>
          <cell r="E106" t="str">
            <v>UND</v>
          </cell>
          <cell r="F106">
            <v>145</v>
          </cell>
        </row>
        <row r="107">
          <cell r="A107" t="str">
            <v>1950812</v>
          </cell>
          <cell r="B107" t="str">
            <v>BASE CARTON 30 PORCIONES ( 25 * PAQ )</v>
          </cell>
          <cell r="C107" t="str">
            <v>UND</v>
          </cell>
          <cell r="D107">
            <v>176</v>
          </cell>
          <cell r="E107" t="str">
            <v>UND</v>
          </cell>
          <cell r="F107">
            <v>176</v>
          </cell>
        </row>
        <row r="108">
          <cell r="A108" t="str">
            <v>1950818</v>
          </cell>
          <cell r="B108" t="str">
            <v>QUEQUERA RECT. T41 ( 50 UNI )</v>
          </cell>
          <cell r="C108" t="str">
            <v>UND</v>
          </cell>
          <cell r="D108">
            <v>767.19899999999996</v>
          </cell>
          <cell r="E108" t="str">
            <v>UND</v>
          </cell>
          <cell r="F108">
            <v>767.19899999999996</v>
          </cell>
        </row>
        <row r="109">
          <cell r="A109" t="str">
            <v>1950829</v>
          </cell>
          <cell r="B109" t="str">
            <v xml:space="preserve">BASE CARTON 30 PORC DELGADA </v>
          </cell>
          <cell r="C109" t="str">
            <v>UND</v>
          </cell>
          <cell r="D109">
            <v>188.82499999999999</v>
          </cell>
          <cell r="E109" t="str">
            <v>UND</v>
          </cell>
          <cell r="F109">
            <v>18.8825</v>
          </cell>
        </row>
        <row r="110">
          <cell r="A110" t="str">
            <v>1950837</v>
          </cell>
          <cell r="B110" t="str">
            <v>FONDO P/CAJA BLANCA ( UND)</v>
          </cell>
          <cell r="C110" t="str">
            <v>UND</v>
          </cell>
          <cell r="D110">
            <v>48.207999999999998</v>
          </cell>
          <cell r="E110" t="str">
            <v>UND</v>
          </cell>
          <cell r="F110">
            <v>48.207999999999998</v>
          </cell>
        </row>
        <row r="111">
          <cell r="A111" t="str">
            <v>1950853</v>
          </cell>
          <cell r="B111" t="str">
            <v>VASO 9oz P/SUNDAE TS9(PAQ=50 UND)</v>
          </cell>
          <cell r="C111" t="str">
            <v>UND</v>
          </cell>
          <cell r="D111">
            <v>41.5</v>
          </cell>
          <cell r="E111" t="str">
            <v>UND</v>
          </cell>
          <cell r="F111">
            <v>41.5</v>
          </cell>
        </row>
        <row r="112">
          <cell r="A112" t="str">
            <v>1950854</v>
          </cell>
          <cell r="B112" t="str">
            <v>TAPA VASO 9oz P/SUNDAE (PAQ=50 UND)</v>
          </cell>
          <cell r="C112" t="str">
            <v>UND</v>
          </cell>
          <cell r="D112">
            <v>19.748999999999999</v>
          </cell>
          <cell r="E112" t="str">
            <v>UND</v>
          </cell>
          <cell r="F112">
            <v>19.748999999999999</v>
          </cell>
        </row>
        <row r="113">
          <cell r="A113" t="str">
            <v>1950865</v>
          </cell>
          <cell r="B113" t="str">
            <v>QUEQUERA 8 ALTA (100U)</v>
          </cell>
          <cell r="C113" t="str">
            <v>UND</v>
          </cell>
          <cell r="D113">
            <v>242</v>
          </cell>
          <cell r="E113" t="str">
            <v>UND</v>
          </cell>
          <cell r="F113">
            <v>242</v>
          </cell>
        </row>
        <row r="114">
          <cell r="A114" t="str">
            <v>1950873</v>
          </cell>
          <cell r="B114" t="str">
            <v>BOLSA CELOFAN TRANSP. (30X45 cm)</v>
          </cell>
          <cell r="C114" t="str">
            <v>KILO</v>
          </cell>
          <cell r="D114">
            <v>4135</v>
          </cell>
          <cell r="E114" t="str">
            <v>UND</v>
          </cell>
          <cell r="F114">
            <v>41.35</v>
          </cell>
        </row>
        <row r="115">
          <cell r="A115" t="str">
            <v>1950879</v>
          </cell>
          <cell r="B115" t="str">
            <v>BANDEJA PLASTICA 3 DIV. (250 UND)</v>
          </cell>
          <cell r="C115" t="str">
            <v>UND</v>
          </cell>
          <cell r="D115">
            <v>106.91800000000001</v>
          </cell>
          <cell r="E115" t="str">
            <v>UND</v>
          </cell>
          <cell r="F115">
            <v>106.91800000000001</v>
          </cell>
        </row>
        <row r="116">
          <cell r="A116" t="str">
            <v>1950880</v>
          </cell>
          <cell r="B116" t="str">
            <v>TAPA BANDEJA PLASTICA 3 DIV. (250 UND)</v>
          </cell>
          <cell r="C116" t="str">
            <v>UND</v>
          </cell>
          <cell r="D116">
            <v>87.055000000000007</v>
          </cell>
          <cell r="E116" t="str">
            <v>UND</v>
          </cell>
          <cell r="F116">
            <v>87.055000000000007</v>
          </cell>
        </row>
        <row r="117">
          <cell r="A117" t="str">
            <v>1950895</v>
          </cell>
          <cell r="B117" t="str">
            <v>BOLSA CELOFAN 6 X 9 (KILO)</v>
          </cell>
          <cell r="C117" t="str">
            <v>KILO</v>
          </cell>
          <cell r="D117">
            <v>4134.9430000000002</v>
          </cell>
          <cell r="E117" t="str">
            <v>UND</v>
          </cell>
          <cell r="F117">
            <v>12.380068862275449</v>
          </cell>
        </row>
        <row r="118">
          <cell r="A118" t="str">
            <v>1950896</v>
          </cell>
          <cell r="B118" t="str">
            <v>BANDEJA 17-1 NEGRA EST.(500U)</v>
          </cell>
          <cell r="C118" t="str">
            <v>UND</v>
          </cell>
          <cell r="D118">
            <v>25.364999999999998</v>
          </cell>
          <cell r="E118" t="str">
            <v>UND</v>
          </cell>
          <cell r="F118">
            <v>25.364999999999998</v>
          </cell>
        </row>
        <row r="119">
          <cell r="A119" t="str">
            <v>1950904</v>
          </cell>
          <cell r="B119" t="str">
            <v>BOLSA TRANSPARENTE  6 X 10 (KILO)</v>
          </cell>
          <cell r="C119" t="str">
            <v>KILO</v>
          </cell>
          <cell r="D119">
            <v>1350.1179999999999</v>
          </cell>
          <cell r="E119" t="str">
            <v>UND</v>
          </cell>
          <cell r="F119">
            <v>4.0422694610778445</v>
          </cell>
        </row>
        <row r="120">
          <cell r="A120" t="str">
            <v>1950907</v>
          </cell>
          <cell r="B120" t="str">
            <v>CAJA QQ SECO (750UND)</v>
          </cell>
          <cell r="C120" t="str">
            <v>UND</v>
          </cell>
          <cell r="D120">
            <v>68.084000000000003</v>
          </cell>
          <cell r="E120" t="str">
            <v>UND</v>
          </cell>
          <cell r="F120">
            <v>68.084000000000003</v>
          </cell>
        </row>
        <row r="121">
          <cell r="A121" t="str">
            <v>1950909</v>
          </cell>
          <cell r="B121" t="str">
            <v>CONT.24 ONZ.TAPA PLANA (PAQ=100)</v>
          </cell>
          <cell r="C121" t="str">
            <v>UND</v>
          </cell>
          <cell r="D121">
            <v>168.37100000000001</v>
          </cell>
          <cell r="E121" t="str">
            <v>UND</v>
          </cell>
          <cell r="F121">
            <v>168.37100000000001</v>
          </cell>
        </row>
        <row r="122">
          <cell r="A122" t="str">
            <v>1950912</v>
          </cell>
          <cell r="B122" t="str">
            <v>BANDEJA TRANSPARENTE DELI 12ON (252 und)</v>
          </cell>
          <cell r="C122" t="str">
            <v>UND</v>
          </cell>
          <cell r="D122">
            <v>22.966999999999999</v>
          </cell>
          <cell r="E122" t="str">
            <v>UND</v>
          </cell>
          <cell r="F122">
            <v>22.966999999999999</v>
          </cell>
        </row>
        <row r="123">
          <cell r="A123" t="str">
            <v>1950920</v>
          </cell>
          <cell r="B123" t="str">
            <v>SUFLE PLASTICO TRASLUCIDO 1 ONZ (PAQ=100 UND)</v>
          </cell>
          <cell r="C123" t="str">
            <v>UND</v>
          </cell>
          <cell r="D123">
            <v>6.8479999999999999</v>
          </cell>
          <cell r="E123" t="str">
            <v>UND</v>
          </cell>
          <cell r="F123">
            <v>6.8479999999999999</v>
          </cell>
        </row>
        <row r="124">
          <cell r="A124" t="str">
            <v>1950921</v>
          </cell>
          <cell r="B124" t="str">
            <v>TAPA SUFLE PLAST .5/.75/1 OZ (PAQ=100 UND)</v>
          </cell>
          <cell r="C124" t="str">
            <v>UND</v>
          </cell>
          <cell r="D124">
            <v>5.0579999999999998</v>
          </cell>
          <cell r="E124" t="str">
            <v>UND</v>
          </cell>
          <cell r="F124">
            <v>5.0579999999999998</v>
          </cell>
        </row>
        <row r="125">
          <cell r="A125" t="str">
            <v>1950922</v>
          </cell>
          <cell r="B125" t="str">
            <v>CAJA TORTA CHILENA GRANDE</v>
          </cell>
          <cell r="C125" t="str">
            <v>UND</v>
          </cell>
          <cell r="D125">
            <v>262.95499999999998</v>
          </cell>
          <cell r="E125" t="str">
            <v>UND</v>
          </cell>
          <cell r="F125">
            <v>262.95499999999998</v>
          </cell>
        </row>
        <row r="126">
          <cell r="A126" t="str">
            <v>1950923</v>
          </cell>
          <cell r="B126" t="str">
            <v>CAJA P/ALFAJORES (CAJA=375 UND)</v>
          </cell>
          <cell r="C126" t="str">
            <v>UND</v>
          </cell>
          <cell r="D126">
            <v>339.47899999999998</v>
          </cell>
          <cell r="E126" t="str">
            <v>UND</v>
          </cell>
          <cell r="F126">
            <v>339.47899999999998</v>
          </cell>
        </row>
        <row r="127">
          <cell r="A127" t="str">
            <v>1950924</v>
          </cell>
          <cell r="B127" t="str">
            <v>BANDEJA P/CAJA DE CHILENA/ALFAJOR(UND)</v>
          </cell>
          <cell r="C127" t="str">
            <v>UND</v>
          </cell>
          <cell r="D127">
            <v>54.728999999999999</v>
          </cell>
          <cell r="E127" t="str">
            <v>UND</v>
          </cell>
          <cell r="F127">
            <v>54.728999999999999</v>
          </cell>
        </row>
        <row r="128">
          <cell r="A128" t="str">
            <v>1950928</v>
          </cell>
          <cell r="B128" t="str">
            <v>BOLSA TRANSPARENTE 56X96X1.80</v>
          </cell>
          <cell r="C128" t="str">
            <v>KILO</v>
          </cell>
          <cell r="D128">
            <v>1400</v>
          </cell>
          <cell r="E128" t="str">
            <v>UND</v>
          </cell>
          <cell r="F128">
            <v>50</v>
          </cell>
        </row>
        <row r="129">
          <cell r="A129" t="str">
            <v>1950929</v>
          </cell>
          <cell r="B129" t="str">
            <v>BOLSA CELOFAN 10X20 (KILO)</v>
          </cell>
          <cell r="C129" t="str">
            <v>KILO</v>
          </cell>
          <cell r="D129">
            <v>3872.431</v>
          </cell>
          <cell r="E129" t="str">
            <v>UND</v>
          </cell>
          <cell r="F129">
            <v>0</v>
          </cell>
        </row>
        <row r="130">
          <cell r="A130" t="str">
            <v>1950934</v>
          </cell>
          <cell r="B130" t="str">
            <v>CINTA BORDADA LOGO (ROLLO=20M)</v>
          </cell>
          <cell r="C130" t="str">
            <v>ROLLO</v>
          </cell>
          <cell r="D130">
            <v>6310.201</v>
          </cell>
          <cell r="E130" t="str">
            <v>Centimetros</v>
          </cell>
          <cell r="F130">
            <v>3.1551005000000001</v>
          </cell>
        </row>
        <row r="131">
          <cell r="A131" t="str">
            <v>1950942</v>
          </cell>
          <cell r="B131" t="str">
            <v>ORLA #4 DORADA REDONDA(UND)</v>
          </cell>
          <cell r="C131" t="str">
            <v>UND</v>
          </cell>
          <cell r="D131">
            <v>29.498999999999999</v>
          </cell>
          <cell r="E131" t="str">
            <v>UND</v>
          </cell>
          <cell r="F131">
            <v>29.498999999999999</v>
          </cell>
        </row>
        <row r="132">
          <cell r="A132" t="str">
            <v>1950945</v>
          </cell>
          <cell r="B132" t="str">
            <v>TAPA PLASTICA P/CONT DELI. 8/12/16 ONZ (CAJA=1008 UND)</v>
          </cell>
          <cell r="C132" t="str">
            <v>UND</v>
          </cell>
          <cell r="D132">
            <v>30.794</v>
          </cell>
          <cell r="E132" t="str">
            <v>UND</v>
          </cell>
          <cell r="F132">
            <v>30.794</v>
          </cell>
        </row>
        <row r="133">
          <cell r="A133" t="str">
            <v>1950952</v>
          </cell>
          <cell r="B133" t="str">
            <v>QUEQUERA 9 ALTA PREMIUM (CAJA=150 UND)</v>
          </cell>
          <cell r="C133" t="str">
            <v>UND</v>
          </cell>
          <cell r="D133">
            <v>413.55200000000002</v>
          </cell>
          <cell r="E133" t="str">
            <v>UND</v>
          </cell>
          <cell r="F133">
            <v>413.55200000000002</v>
          </cell>
        </row>
        <row r="134">
          <cell r="A134" t="str">
            <v>1950953</v>
          </cell>
          <cell r="B134" t="str">
            <v>QUEQUERA 10 ALTA PREMIUM (CAJA=90 UND)</v>
          </cell>
          <cell r="C134" t="str">
            <v>UND</v>
          </cell>
          <cell r="D134">
            <v>430.745</v>
          </cell>
          <cell r="E134" t="str">
            <v>UND</v>
          </cell>
          <cell r="F134">
            <v>430.745</v>
          </cell>
        </row>
        <row r="135">
          <cell r="A135" t="str">
            <v>1950957</v>
          </cell>
          <cell r="B135" t="str">
            <v>ORLA #1 P/LATA NAVIDEÑA (UND)</v>
          </cell>
          <cell r="C135" t="str">
            <v>UND</v>
          </cell>
          <cell r="D135">
            <v>48.494999999999997</v>
          </cell>
          <cell r="E135" t="str">
            <v>UND</v>
          </cell>
          <cell r="F135">
            <v>48.494999999999997</v>
          </cell>
        </row>
        <row r="136">
          <cell r="A136" t="str">
            <v>1950958</v>
          </cell>
          <cell r="B136" t="str">
            <v>ORLA #2 P/LATA NAVIDEÑA (UND)</v>
          </cell>
          <cell r="C136" t="str">
            <v>UND</v>
          </cell>
          <cell r="D136">
            <v>71.403999999999996</v>
          </cell>
          <cell r="E136" t="str">
            <v>UND</v>
          </cell>
          <cell r="F136">
            <v>71.403999999999996</v>
          </cell>
        </row>
        <row r="137">
          <cell r="A137" t="str">
            <v>1950965</v>
          </cell>
          <cell r="B137" t="str">
            <v>BURBUJA TRIANGULAR G630 (CAJA=300 UND)</v>
          </cell>
          <cell r="C137" t="str">
            <v>UND</v>
          </cell>
          <cell r="D137">
            <v>61.478000000000002</v>
          </cell>
          <cell r="E137" t="str">
            <v>UND</v>
          </cell>
          <cell r="F137">
            <v>61.478000000000002</v>
          </cell>
        </row>
        <row r="138">
          <cell r="A138" t="str">
            <v>1952320</v>
          </cell>
          <cell r="B138" t="str">
            <v>QUEQUERA PLASTICA 12 CENT. (CAJA=250UND)</v>
          </cell>
          <cell r="C138" t="str">
            <v>UND</v>
          </cell>
          <cell r="D138">
            <v>56.188000000000002</v>
          </cell>
          <cell r="E138" t="str">
            <v>UND</v>
          </cell>
          <cell r="F138">
            <v>56.188000000000002</v>
          </cell>
        </row>
        <row r="139">
          <cell r="A139" t="str">
            <v>1952378</v>
          </cell>
          <cell r="B139" t="str">
            <v>CONTEN. TAPA PLANA ( 480 UND )</v>
          </cell>
          <cell r="C139" t="str">
            <v>UND</v>
          </cell>
          <cell r="D139">
            <v>56</v>
          </cell>
          <cell r="E139" t="str">
            <v>UND</v>
          </cell>
          <cell r="F139">
            <v>56</v>
          </cell>
        </row>
        <row r="140">
          <cell r="A140" t="str">
            <v>1952388</v>
          </cell>
          <cell r="B140" t="str">
            <v>BOLSA AL VACIO 7X9  ( PAQ=100 UND )</v>
          </cell>
          <cell r="C140" t="str">
            <v>UND</v>
          </cell>
          <cell r="D140">
            <v>23.4</v>
          </cell>
          <cell r="E140" t="str">
            <v>UND</v>
          </cell>
          <cell r="F140">
            <v>23.4</v>
          </cell>
        </row>
        <row r="141">
          <cell r="A141" t="str">
            <v>1952389</v>
          </cell>
          <cell r="B141" t="str">
            <v>BOLSA AL VACIO 6X6 100 PAQ</v>
          </cell>
          <cell r="C141" t="str">
            <v>UND</v>
          </cell>
          <cell r="D141">
            <v>16</v>
          </cell>
          <cell r="E141" t="str">
            <v>UND</v>
          </cell>
          <cell r="F141">
            <v>16</v>
          </cell>
        </row>
        <row r="142">
          <cell r="A142" t="str">
            <v>1952392</v>
          </cell>
          <cell r="B142" t="str">
            <v>BOLSA AL VACIO 10X15 100 UND</v>
          </cell>
          <cell r="C142" t="str">
            <v>UND</v>
          </cell>
          <cell r="D142">
            <v>78</v>
          </cell>
          <cell r="E142" t="str">
            <v>UND</v>
          </cell>
          <cell r="F142">
            <v>78</v>
          </cell>
        </row>
        <row r="143">
          <cell r="A143" t="str">
            <v>1952393</v>
          </cell>
          <cell r="B143" t="str">
            <v>BOLSA AL VACIO 8*10 ( 100 * PAQ )</v>
          </cell>
          <cell r="C143" t="str">
            <v>UND</v>
          </cell>
          <cell r="D143">
            <v>30.834</v>
          </cell>
          <cell r="E143" t="str">
            <v>UND</v>
          </cell>
          <cell r="F143">
            <v>30.834</v>
          </cell>
        </row>
        <row r="144">
          <cell r="A144" t="str">
            <v>1952398</v>
          </cell>
          <cell r="B144" t="str">
            <v>BASE 75 PORCIONES ( PAQ )</v>
          </cell>
          <cell r="C144" t="str">
            <v>PAQ</v>
          </cell>
          <cell r="D144">
            <v>6400</v>
          </cell>
          <cell r="E144" t="str">
            <v>UND</v>
          </cell>
          <cell r="F144">
            <v>640</v>
          </cell>
        </row>
        <row r="145">
          <cell r="A145" t="str">
            <v>1952400</v>
          </cell>
          <cell r="B145" t="str">
            <v>BOLSA BUCCA PALMERITAS (10*20CM)( KILO )</v>
          </cell>
          <cell r="C145" t="str">
            <v>KILO</v>
          </cell>
          <cell r="D145">
            <v>3899.605</v>
          </cell>
          <cell r="E145" t="str">
            <v>UND</v>
          </cell>
          <cell r="F145">
            <v>3.8996050000000002</v>
          </cell>
        </row>
        <row r="146">
          <cell r="A146" t="str">
            <v>1952402</v>
          </cell>
          <cell r="B146" t="str">
            <v>BOLSA BUCCA CLASSICA (10*13.5cm) ( KILO )</v>
          </cell>
          <cell r="C146" t="str">
            <v>KILO</v>
          </cell>
          <cell r="D146">
            <v>3845.4989999999998</v>
          </cell>
          <cell r="E146" t="str">
            <v>UND</v>
          </cell>
          <cell r="F146">
            <v>10.119734210526316</v>
          </cell>
        </row>
        <row r="147">
          <cell r="A147" t="str">
            <v>1952409</v>
          </cell>
          <cell r="B147" t="str">
            <v>BANDEJA  ALUMINIO A-42 (4PORC) ( 500 UND )</v>
          </cell>
          <cell r="C147" t="str">
            <v>UND</v>
          </cell>
          <cell r="D147">
            <v>80.251999999999995</v>
          </cell>
          <cell r="E147" t="str">
            <v>UND</v>
          </cell>
          <cell r="F147">
            <v>80.251999999999995</v>
          </cell>
        </row>
        <row r="148">
          <cell r="A148" t="str">
            <v>1952410</v>
          </cell>
          <cell r="B148" t="str">
            <v>TAPA CONTEN. ALUMINIO A-42 (4 PORC) ( 250 UND )</v>
          </cell>
          <cell r="C148" t="str">
            <v>UND</v>
          </cell>
          <cell r="D148">
            <v>62.628</v>
          </cell>
          <cell r="E148" t="str">
            <v>UND</v>
          </cell>
          <cell r="F148">
            <v>62.628</v>
          </cell>
        </row>
        <row r="149">
          <cell r="A149" t="str">
            <v>1952420</v>
          </cell>
          <cell r="B149" t="str">
            <v>TAPA CONTE PLAST RED. 8-16 ONZ  (CAJA=500 UND)</v>
          </cell>
          <cell r="C149" t="str">
            <v>UND</v>
          </cell>
          <cell r="D149">
            <v>27.731999999999999</v>
          </cell>
          <cell r="E149" t="str">
            <v>UND</v>
          </cell>
          <cell r="F149">
            <v>27.731999999999999</v>
          </cell>
        </row>
        <row r="150">
          <cell r="A150" t="str">
            <v>1952425</v>
          </cell>
          <cell r="B150" t="str">
            <v>CAJA # 1 CARTULINA C/TAPA PEQ. ( PAQ 100 )</v>
          </cell>
          <cell r="C150" t="str">
            <v>UND</v>
          </cell>
          <cell r="D150">
            <v>212.67500000000001</v>
          </cell>
          <cell r="E150" t="str">
            <v>UND</v>
          </cell>
          <cell r="F150">
            <v>212.67500000000001</v>
          </cell>
        </row>
        <row r="151">
          <cell r="A151" t="str">
            <v>1952432</v>
          </cell>
          <cell r="B151" t="str">
            <v>TAPA BAND ALUM. DESE 4040 (6 PORC) (CAJA=250 UND)</v>
          </cell>
          <cell r="C151" t="str">
            <v>UND</v>
          </cell>
          <cell r="D151">
            <v>71.456000000000003</v>
          </cell>
          <cell r="E151" t="str">
            <v>UND</v>
          </cell>
          <cell r="F151">
            <v>71.456000000000003</v>
          </cell>
        </row>
        <row r="152">
          <cell r="A152" t="str">
            <v>1952436</v>
          </cell>
          <cell r="B152" t="str">
            <v>CAJA P/CHOCO ALFAJOR ( 22.7x16.7x2.8 ) ( UND )</v>
          </cell>
          <cell r="C152" t="str">
            <v>UND</v>
          </cell>
          <cell r="D152">
            <v>191.886</v>
          </cell>
          <cell r="E152" t="str">
            <v>UND</v>
          </cell>
          <cell r="F152">
            <v>191.886</v>
          </cell>
        </row>
        <row r="153">
          <cell r="A153" t="str">
            <v>1952441</v>
          </cell>
          <cell r="B153" t="str">
            <v>BOLSA AL VACIO 3 X 8 (UND)</v>
          </cell>
          <cell r="C153" t="str">
            <v>UND</v>
          </cell>
          <cell r="D153">
            <v>19</v>
          </cell>
          <cell r="E153" t="str">
            <v>UND</v>
          </cell>
          <cell r="F153">
            <v>19</v>
          </cell>
        </row>
        <row r="154">
          <cell r="A154" t="str">
            <v>1952804</v>
          </cell>
          <cell r="B154" t="str">
            <v>BANDEJA BLANCA POSTRES SCATOLA ROSA</v>
          </cell>
          <cell r="C154" t="str">
            <v>UND</v>
          </cell>
          <cell r="D154">
            <v>1</v>
          </cell>
          <cell r="E154" t="str">
            <v>UND</v>
          </cell>
          <cell r="F154">
            <v>1</v>
          </cell>
        </row>
        <row r="155">
          <cell r="A155" t="str">
            <v>1952834</v>
          </cell>
          <cell r="B155" t="str">
            <v>COMBO PACK DOBLE USO C/TAPA 16 onz (PAQ=100)</v>
          </cell>
          <cell r="C155" t="str">
            <v>UND</v>
          </cell>
          <cell r="D155">
            <v>62.920999999999999</v>
          </cell>
          <cell r="E155" t="str">
            <v>UND</v>
          </cell>
          <cell r="F155">
            <v>62.920999999999999</v>
          </cell>
        </row>
        <row r="156">
          <cell r="A156" t="str">
            <v>1952839</v>
          </cell>
          <cell r="B156" t="str">
            <v>LAMINAS ACETATO</v>
          </cell>
          <cell r="C156" t="str">
            <v>UND</v>
          </cell>
          <cell r="D156">
            <v>81.039000000000001</v>
          </cell>
          <cell r="E156" t="str">
            <v>UND</v>
          </cell>
          <cell r="F156">
            <v>81.039000000000001</v>
          </cell>
        </row>
        <row r="157">
          <cell r="A157" t="str">
            <v>1952846</v>
          </cell>
          <cell r="B157" t="str">
            <v>BANDEJA DELI MW1000 (700 UND)</v>
          </cell>
          <cell r="C157" t="str">
            <v>UND</v>
          </cell>
          <cell r="D157">
            <v>50</v>
          </cell>
          <cell r="E157" t="str">
            <v>UND</v>
          </cell>
          <cell r="F157">
            <v>50</v>
          </cell>
        </row>
        <row r="158">
          <cell r="A158" t="str">
            <v>1952847</v>
          </cell>
          <cell r="B158" t="str">
            <v>BANDEJA DELI MW1500 (CAJA =700 UND)</v>
          </cell>
          <cell r="C158" t="str">
            <v>UND</v>
          </cell>
          <cell r="D158">
            <v>43.762</v>
          </cell>
          <cell r="E158" t="str">
            <v>UND</v>
          </cell>
          <cell r="F158">
            <v>43.762</v>
          </cell>
        </row>
        <row r="159">
          <cell r="A159" t="str">
            <v>1952851</v>
          </cell>
          <cell r="B159" t="str">
            <v>CONTENEDOR CUADRADO 9X9X5(600 UND)</v>
          </cell>
          <cell r="C159" t="str">
            <v>CAJA</v>
          </cell>
          <cell r="D159">
            <v>28828.284</v>
          </cell>
          <cell r="E159" t="str">
            <v>UND</v>
          </cell>
          <cell r="F159">
            <v>48.047139999999999</v>
          </cell>
        </row>
        <row r="160">
          <cell r="A160" t="str">
            <v>1952855</v>
          </cell>
          <cell r="B160" t="str">
            <v>BOLSA TRANSPARENTE BOOP 35 MICRAS 115X24X190MM</v>
          </cell>
          <cell r="C160" t="str">
            <v>KILO</v>
          </cell>
          <cell r="D160">
            <v>3723.92</v>
          </cell>
          <cell r="E160" t="str">
            <v>UND</v>
          </cell>
          <cell r="F160">
            <v>8.6768255743510885</v>
          </cell>
        </row>
        <row r="161">
          <cell r="A161" t="str">
            <v>1952856</v>
          </cell>
          <cell r="B161" t="str">
            <v>BOLSA TRANSPARENTE BOPP 35 MICRAS 76X24X298MM</v>
          </cell>
          <cell r="C161" t="str">
            <v>KILO</v>
          </cell>
          <cell r="D161">
            <v>3856.58</v>
          </cell>
          <cell r="E161" t="str">
            <v>UND</v>
          </cell>
          <cell r="F161">
            <v>10.220166953756459</v>
          </cell>
        </row>
        <row r="162">
          <cell r="A162" t="str">
            <v>1952857</v>
          </cell>
          <cell r="B162" t="str">
            <v>BOLSA TRANSPARENTE BOPP 35 MICRAS 100X200MM</v>
          </cell>
          <cell r="C162" t="str">
            <v>KILO</v>
          </cell>
          <cell r="D162">
            <v>3724.9929999999999</v>
          </cell>
          <cell r="E162" t="str">
            <v>UND</v>
          </cell>
          <cell r="F162">
            <v>0</v>
          </cell>
        </row>
        <row r="163">
          <cell r="A163" t="str">
            <v>1952858</v>
          </cell>
          <cell r="B163" t="str">
            <v>CAJA WRAP</v>
          </cell>
          <cell r="C163" t="str">
            <v>UND</v>
          </cell>
          <cell r="D163">
            <v>60</v>
          </cell>
          <cell r="E163" t="str">
            <v>UND</v>
          </cell>
          <cell r="F163">
            <v>60</v>
          </cell>
        </row>
        <row r="164">
          <cell r="A164" t="str">
            <v>1952859</v>
          </cell>
          <cell r="B164" t="str">
            <v>BOLSAS CELOFAN SCATOLA ROSSA</v>
          </cell>
          <cell r="C164" t="str">
            <v>KILO</v>
          </cell>
          <cell r="D164">
            <v>196.54499999999999</v>
          </cell>
          <cell r="E164" t="str">
            <v>UND</v>
          </cell>
          <cell r="F164">
            <v>196.54499999999999</v>
          </cell>
        </row>
        <row r="165">
          <cell r="A165" t="str">
            <v>1952862</v>
          </cell>
          <cell r="B165" t="str">
            <v>CAJAS MASTER MUFFINS  SCATOLA ROSSA</v>
          </cell>
          <cell r="C165" t="str">
            <v>UND</v>
          </cell>
          <cell r="D165">
            <v>1</v>
          </cell>
          <cell r="E165" t="str">
            <v>UND</v>
          </cell>
          <cell r="F165">
            <v>1</v>
          </cell>
        </row>
        <row r="166">
          <cell r="A166" t="str">
            <v>1952863</v>
          </cell>
          <cell r="B166" t="str">
            <v>MOLDE REDONDO ALUMINIO SCATOLA ROSSA</v>
          </cell>
          <cell r="C166" t="str">
            <v>UND</v>
          </cell>
          <cell r="D166">
            <v>1</v>
          </cell>
          <cell r="E166" t="str">
            <v>UND</v>
          </cell>
          <cell r="F166">
            <v>1</v>
          </cell>
        </row>
        <row r="167">
          <cell r="A167" t="str">
            <v>1952864</v>
          </cell>
          <cell r="B167" t="str">
            <v>CAJA MASTER QUEQUES SCATOLA ROSSA</v>
          </cell>
          <cell r="C167" t="str">
            <v>UND</v>
          </cell>
          <cell r="D167">
            <v>1</v>
          </cell>
          <cell r="E167" t="str">
            <v>UND</v>
          </cell>
          <cell r="F167">
            <v>1</v>
          </cell>
        </row>
        <row r="168">
          <cell r="A168" t="str">
            <v>1952865</v>
          </cell>
          <cell r="B168" t="str">
            <v>CAJA IMPRESA QUEQUE ZANAHORIA SCATOLO ROSSA</v>
          </cell>
          <cell r="C168" t="str">
            <v>UND</v>
          </cell>
          <cell r="D168">
            <v>1</v>
          </cell>
          <cell r="E168" t="str">
            <v>UND</v>
          </cell>
          <cell r="F168">
            <v>1</v>
          </cell>
        </row>
        <row r="169">
          <cell r="A169" t="str">
            <v>1952867</v>
          </cell>
          <cell r="B169" t="str">
            <v>CAJA IMPRESA TORTA ESPINACA SCATOLA ROSSA</v>
          </cell>
          <cell r="C169" t="str">
            <v>UND</v>
          </cell>
          <cell r="D169">
            <v>1</v>
          </cell>
          <cell r="E169" t="str">
            <v>UND</v>
          </cell>
          <cell r="F169">
            <v>1</v>
          </cell>
        </row>
        <row r="170">
          <cell r="A170" t="str">
            <v>1952873</v>
          </cell>
          <cell r="B170" t="str">
            <v>CONTENEDOR CUADRADO POTE (CAJA=600UND)</v>
          </cell>
          <cell r="C170" t="str">
            <v>UND</v>
          </cell>
          <cell r="D170">
            <v>52.966999999999999</v>
          </cell>
          <cell r="E170" t="str">
            <v>UND</v>
          </cell>
          <cell r="F170">
            <v>52.966999999999999</v>
          </cell>
        </row>
        <row r="171">
          <cell r="A171" t="str">
            <v>1952874</v>
          </cell>
          <cell r="B171" t="str">
            <v>ORLA #8 BUCCA (PAQ= 100 UND)</v>
          </cell>
          <cell r="C171" t="str">
            <v>UND</v>
          </cell>
          <cell r="D171">
            <v>67.994</v>
          </cell>
          <cell r="E171" t="str">
            <v>UND</v>
          </cell>
          <cell r="F171">
            <v>67.994</v>
          </cell>
        </row>
        <row r="172">
          <cell r="A172" t="str">
            <v>1952875</v>
          </cell>
          <cell r="B172" t="str">
            <v>ORLA # 10 BUCCA (PAQ= 100 UND)</v>
          </cell>
          <cell r="C172" t="str">
            <v>UND</v>
          </cell>
          <cell r="D172">
            <v>77.037999999999997</v>
          </cell>
          <cell r="E172" t="str">
            <v>UND</v>
          </cell>
          <cell r="F172">
            <v>77.037999999999997</v>
          </cell>
        </row>
        <row r="173">
          <cell r="A173" t="str">
            <v>1952881</v>
          </cell>
          <cell r="B173" t="str">
            <v>MOLDE Y TAPA ALUMINIO #7</v>
          </cell>
          <cell r="C173" t="str">
            <v>UND</v>
          </cell>
          <cell r="D173">
            <v>40.273000000000003</v>
          </cell>
          <cell r="E173" t="str">
            <v>UND</v>
          </cell>
          <cell r="F173">
            <v>40.273000000000003</v>
          </cell>
        </row>
        <row r="174">
          <cell r="A174" t="str">
            <v>1952891</v>
          </cell>
          <cell r="B174" t="str">
            <v>SELLO SEGURIDAD SCATOLA ROSSA</v>
          </cell>
          <cell r="C174" t="str">
            <v>UND</v>
          </cell>
          <cell r="D174">
            <v>1</v>
          </cell>
          <cell r="E174" t="str">
            <v>UND</v>
          </cell>
          <cell r="F174">
            <v>1</v>
          </cell>
        </row>
        <row r="175">
          <cell r="A175" t="str">
            <v>1952897</v>
          </cell>
          <cell r="B175" t="str">
            <v>QUEQUERA 10" MEDIA LOGO  (25 * 12= CAJA 56)</v>
          </cell>
          <cell r="C175" t="str">
            <v>UND</v>
          </cell>
          <cell r="D175">
            <v>463.87599999999998</v>
          </cell>
          <cell r="E175" t="str">
            <v>UND</v>
          </cell>
          <cell r="F175">
            <v>463.87599999999998</v>
          </cell>
        </row>
        <row r="176">
          <cell r="A176" t="str">
            <v>1952898</v>
          </cell>
          <cell r="B176" t="str">
            <v>QUEQUERA CHILENA 29 x 10 (CAJA 70 UND)</v>
          </cell>
          <cell r="C176" t="str">
            <v>UND</v>
          </cell>
          <cell r="D176">
            <v>475</v>
          </cell>
          <cell r="E176" t="str">
            <v>UND</v>
          </cell>
          <cell r="F176">
            <v>475</v>
          </cell>
        </row>
        <row r="177">
          <cell r="A177" t="str">
            <v>1952902</v>
          </cell>
          <cell r="B177" t="str">
            <v xml:space="preserve"> FONDA PECANA SCATOLA ROSSA</v>
          </cell>
          <cell r="C177" t="str">
            <v>UND</v>
          </cell>
          <cell r="D177">
            <v>1</v>
          </cell>
          <cell r="E177" t="str">
            <v>UND</v>
          </cell>
          <cell r="F177">
            <v>1</v>
          </cell>
        </row>
        <row r="178">
          <cell r="A178" t="str">
            <v>1952903</v>
          </cell>
          <cell r="B178" t="str">
            <v>FONDA CHESSE CAKE SCATOLA ROSSA</v>
          </cell>
          <cell r="C178" t="str">
            <v>UND</v>
          </cell>
          <cell r="D178">
            <v>1</v>
          </cell>
          <cell r="E178" t="str">
            <v>UND</v>
          </cell>
          <cell r="F178">
            <v>1</v>
          </cell>
        </row>
        <row r="179">
          <cell r="A179" t="str">
            <v>1952904</v>
          </cell>
          <cell r="B179" t="str">
            <v>CAJA BLANCA SOUFFLE 5.5</v>
          </cell>
          <cell r="C179" t="str">
            <v>UND</v>
          </cell>
          <cell r="D179">
            <v>629</v>
          </cell>
          <cell r="E179" t="str">
            <v>UND</v>
          </cell>
          <cell r="F179">
            <v>629</v>
          </cell>
        </row>
        <row r="180">
          <cell r="A180" t="str">
            <v>1952911</v>
          </cell>
          <cell r="B180" t="str">
            <v>QUEQUERA RECTANGULAR P4533 ( CAJA = 25 UND)</v>
          </cell>
          <cell r="C180" t="str">
            <v>CAJA</v>
          </cell>
          <cell r="D180">
            <v>36270</v>
          </cell>
          <cell r="E180" t="str">
            <v>UND</v>
          </cell>
          <cell r="F180">
            <v>1450.8</v>
          </cell>
        </row>
        <row r="181">
          <cell r="A181" t="str">
            <v>2172411</v>
          </cell>
          <cell r="B181" t="str">
            <v>ET. TORTA BUCCA GENERICA</v>
          </cell>
          <cell r="C181" t="str">
            <v>UND</v>
          </cell>
          <cell r="D181">
            <v>25.797999999999998</v>
          </cell>
          <cell r="E181" t="str">
            <v>UND</v>
          </cell>
          <cell r="F181">
            <v>25.797999999999998</v>
          </cell>
        </row>
        <row r="182">
          <cell r="A182" t="str">
            <v>51500001</v>
          </cell>
          <cell r="B182" t="str">
            <v>VASO SUNDAE E-5 (CAJA= 1200 UND)</v>
          </cell>
          <cell r="C182" t="str">
            <v>UND</v>
          </cell>
          <cell r="D182">
            <v>33.75</v>
          </cell>
          <cell r="E182" t="str">
            <v>UND</v>
          </cell>
          <cell r="F182">
            <v>33.75</v>
          </cell>
        </row>
        <row r="183">
          <cell r="A183" t="str">
            <v>51500002</v>
          </cell>
          <cell r="B183" t="str">
            <v>TAPA VASO SUNDAE E-90 (CAJA=1000 UND)</v>
          </cell>
          <cell r="C183" t="str">
            <v>UND</v>
          </cell>
          <cell r="D183">
            <v>19.605</v>
          </cell>
          <cell r="E183" t="str">
            <v>UND</v>
          </cell>
          <cell r="F183">
            <v>19.605</v>
          </cell>
        </row>
      </sheetData>
      <sheetData sheetId="3">
        <row r="1">
          <cell r="A1" t="str">
            <v>Codigo</v>
          </cell>
          <cell r="B1" t="str">
            <v>Descripcion</v>
          </cell>
          <cell r="C1" t="str">
            <v>Und Medida
Sistema</v>
          </cell>
          <cell r="D1" t="str">
            <v>Und
Minima</v>
          </cell>
          <cell r="E1" t="str">
            <v xml:space="preserve">Costo MP
 </v>
          </cell>
          <cell r="F1" t="str">
            <v>Costo MP
Unidad Minima</v>
          </cell>
          <cell r="G1" t="str">
            <v xml:space="preserve">Costo Empaque
 </v>
          </cell>
          <cell r="H1" t="str">
            <v xml:space="preserve">Costo Empaque
Und Minima
 </v>
          </cell>
          <cell r="I1" t="str">
            <v>Costo
MO</v>
          </cell>
          <cell r="J1" t="str">
            <v xml:space="preserve">Costo MO
Und Minima
 </v>
          </cell>
        </row>
        <row r="2">
          <cell r="A2" t="str">
            <v>906000032</v>
          </cell>
          <cell r="B2" t="str">
            <v>PASTA DE HOJALDRE (40800g)</v>
          </cell>
          <cell r="C2" t="str">
            <v>TANDA</v>
          </cell>
          <cell r="D2" t="str">
            <v>GRAMO</v>
          </cell>
          <cell r="E2">
            <v>28282.019153681333</v>
          </cell>
          <cell r="F2">
            <v>0.6931867439627778</v>
          </cell>
          <cell r="G2">
            <v>120.16275192390387</v>
          </cell>
          <cell r="H2">
            <v>2.9451654883309772E-3</v>
          </cell>
          <cell r="I2">
            <v>3300.5130004127113</v>
          </cell>
          <cell r="J2">
            <v>8.0894926480703705E-2</v>
          </cell>
        </row>
        <row r="3">
          <cell r="A3" t="str">
            <v>95012</v>
          </cell>
          <cell r="B3" t="str">
            <v>SUSPIRO SPOON GDE (60g)</v>
          </cell>
          <cell r="C3" t="str">
            <v>UND</v>
          </cell>
          <cell r="D3" t="str">
            <v>UND</v>
          </cell>
          <cell r="E3">
            <v>125.40374695736389</v>
          </cell>
          <cell r="F3">
            <v>125.40374695736389</v>
          </cell>
          <cell r="G3">
            <v>3.7092284052239948</v>
          </cell>
          <cell r="H3">
            <v>3.7092284052239948</v>
          </cell>
          <cell r="I3">
            <v>22.87877714318601</v>
          </cell>
          <cell r="J3">
            <v>22.87877714318601</v>
          </cell>
        </row>
        <row r="4">
          <cell r="A4" t="str">
            <v>95013</v>
          </cell>
          <cell r="B4" t="str">
            <v>PASTA DE ALFAJOR (23.123 Kg)</v>
          </cell>
          <cell r="C4" t="str">
            <v>TANDA</v>
          </cell>
          <cell r="D4" t="str">
            <v>GRAMO</v>
          </cell>
          <cell r="E4">
            <v>20323.830214799997</v>
          </cell>
          <cell r="F4">
            <v>0.87894435042165797</v>
          </cell>
          <cell r="G4">
            <v>66.878521111111112</v>
          </cell>
          <cell r="H4">
            <v>2.8922943005280938E-3</v>
          </cell>
          <cell r="I4">
            <v>550</v>
          </cell>
          <cell r="J4">
            <v>2.3785840937594602E-2</v>
          </cell>
        </row>
        <row r="5">
          <cell r="A5" t="str">
            <v>95017</v>
          </cell>
          <cell r="B5" t="str">
            <v>PLATANOS MADUROS FRITOS (23.950g)</v>
          </cell>
          <cell r="C5" t="str">
            <v>KILO</v>
          </cell>
          <cell r="D5" t="str">
            <v>GRAMO</v>
          </cell>
          <cell r="E5">
            <v>1277.9170454545454</v>
          </cell>
          <cell r="F5">
            <v>1.2779170454545454</v>
          </cell>
          <cell r="G5">
            <v>0</v>
          </cell>
          <cell r="H5">
            <v>0</v>
          </cell>
          <cell r="I5">
            <v>53.030303030303031</v>
          </cell>
          <cell r="J5">
            <v>5.3030303030303032E-2</v>
          </cell>
        </row>
        <row r="6">
          <cell r="A6" t="str">
            <v>95018</v>
          </cell>
          <cell r="B6" t="str">
            <v>ALMIBAR P/PLATANOS MADUROS (15000g)</v>
          </cell>
          <cell r="C6" t="str">
            <v>KILO</v>
          </cell>
          <cell r="D6" t="str">
            <v>GRAMO</v>
          </cell>
          <cell r="E6">
            <v>299.02126133333331</v>
          </cell>
          <cell r="F6">
            <v>0.29902126133333329</v>
          </cell>
          <cell r="G6">
            <v>0</v>
          </cell>
          <cell r="H6">
            <v>0</v>
          </cell>
          <cell r="I6">
            <v>11.2</v>
          </cell>
          <cell r="J6">
            <v>1.12E-2</v>
          </cell>
        </row>
        <row r="7">
          <cell r="A7" t="str">
            <v>95020</v>
          </cell>
          <cell r="B7" t="str">
            <v>PECANA TRITURADA TOSTADA (970g)</v>
          </cell>
          <cell r="C7" t="str">
            <v>KILO</v>
          </cell>
          <cell r="D7" t="str">
            <v>GRAMO</v>
          </cell>
          <cell r="E7">
            <v>10555.97319587629</v>
          </cell>
          <cell r="F7">
            <v>10.555973195876289</v>
          </cell>
          <cell r="G7">
            <v>0</v>
          </cell>
          <cell r="H7">
            <v>0</v>
          </cell>
          <cell r="I7">
            <v>144.32989690721649</v>
          </cell>
          <cell r="J7">
            <v>0.14432989690721648</v>
          </cell>
        </row>
        <row r="8">
          <cell r="A8" t="str">
            <v>95036</v>
          </cell>
          <cell r="B8" t="str">
            <v>ALMENDRAS TOSTADAS (5.730 Kg)</v>
          </cell>
          <cell r="C8" t="str">
            <v>KILO</v>
          </cell>
          <cell r="D8" t="str">
            <v>GRAMO</v>
          </cell>
          <cell r="E8">
            <v>6903.6744677137876</v>
          </cell>
          <cell r="F8">
            <v>6.9036744677137873</v>
          </cell>
          <cell r="G8">
            <v>2.2603369206903237</v>
          </cell>
          <cell r="H8">
            <v>2.2603369206903238E-3</v>
          </cell>
          <cell r="I8">
            <v>143.97905759162305</v>
          </cell>
          <cell r="J8">
            <v>0.14397905759162305</v>
          </cell>
        </row>
        <row r="9">
          <cell r="A9" t="str">
            <v>95038</v>
          </cell>
          <cell r="B9" t="str">
            <v>SIROPE DULCE LECHE P/MARMOLEAR (5350g)</v>
          </cell>
          <cell r="C9" t="str">
            <v>KILO</v>
          </cell>
          <cell r="D9" t="str">
            <v>GRAMO</v>
          </cell>
          <cell r="E9">
            <v>2109.7364485981311</v>
          </cell>
          <cell r="F9">
            <v>2.1097364485981309</v>
          </cell>
          <cell r="G9">
            <v>2.8935507995846312</v>
          </cell>
          <cell r="H9">
            <v>2.8935507995846311E-3</v>
          </cell>
          <cell r="I9">
            <v>31.401869158878508</v>
          </cell>
          <cell r="J9">
            <v>3.1401869158878506E-2</v>
          </cell>
        </row>
        <row r="10">
          <cell r="A10" t="str">
            <v>95080</v>
          </cell>
          <cell r="B10" t="str">
            <v>ROSQUETE VAINILLA BUCCA PLANCHA 750G</v>
          </cell>
          <cell r="C10" t="str">
            <v>UND</v>
          </cell>
          <cell r="D10" t="str">
            <v>UND</v>
          </cell>
          <cell r="E10">
            <v>748.49367471667972</v>
          </cell>
          <cell r="F10">
            <v>748.49367471667972</v>
          </cell>
          <cell r="G10">
            <v>7.9980445916362211</v>
          </cell>
          <cell r="H10">
            <v>7.9980445916362211</v>
          </cell>
          <cell r="I10">
            <v>16.190125433462303</v>
          </cell>
          <cell r="J10">
            <v>16.190125433462303</v>
          </cell>
        </row>
        <row r="11">
          <cell r="A11" t="str">
            <v>95088</v>
          </cell>
          <cell r="B11" t="str">
            <v>BATIDO CHOCOLATE PILLSBURY (43860g)</v>
          </cell>
          <cell r="C11" t="str">
            <v>KILO</v>
          </cell>
          <cell r="D11" t="str">
            <v>GRAMO</v>
          </cell>
          <cell r="E11">
            <v>54480.682748715342</v>
          </cell>
          <cell r="F11">
            <v>1.2634666685694653</v>
          </cell>
          <cell r="G11">
            <v>129.47633523809526</v>
          </cell>
          <cell r="H11">
            <v>3.0026979415142684E-3</v>
          </cell>
          <cell r="I11">
            <v>880</v>
          </cell>
          <cell r="J11">
            <v>2.0408163265306121E-2</v>
          </cell>
        </row>
        <row r="12">
          <cell r="A12" t="str">
            <v>95091</v>
          </cell>
          <cell r="B12" t="str">
            <v>BATIDO VAINILLA PURATOS BUCCA (49650g)</v>
          </cell>
          <cell r="C12" t="str">
            <v>KILO</v>
          </cell>
          <cell r="D12" t="str">
            <v>GRAMO</v>
          </cell>
          <cell r="E12">
            <v>40280.095809602288</v>
          </cell>
          <cell r="F12">
            <v>0.81128088236862617</v>
          </cell>
          <cell r="G12">
            <v>45.869093809523811</v>
          </cell>
          <cell r="H12">
            <v>9.2384881791588748E-4</v>
          </cell>
          <cell r="I12">
            <v>550</v>
          </cell>
          <cell r="J12">
            <v>1.1077542799597181E-2</v>
          </cell>
        </row>
        <row r="13">
          <cell r="A13" t="str">
            <v>95092</v>
          </cell>
          <cell r="B13" t="str">
            <v>ALFAJOR GDE CUBIERTO CHOCOLATE BLANCO (UND)</v>
          </cell>
          <cell r="C13" t="str">
            <v>UND</v>
          </cell>
          <cell r="D13" t="str">
            <v>UND</v>
          </cell>
          <cell r="E13">
            <v>138.68354001378788</v>
          </cell>
          <cell r="F13">
            <v>138.68354001378788</v>
          </cell>
          <cell r="G13">
            <v>0.15639258412698412</v>
          </cell>
          <cell r="H13">
            <v>0.15639258412698412</v>
          </cell>
          <cell r="I13">
            <v>41.408333333333331</v>
          </cell>
          <cell r="J13">
            <v>41.408333333333331</v>
          </cell>
        </row>
        <row r="14">
          <cell r="A14" t="str">
            <v>95096</v>
          </cell>
          <cell r="B14" t="str">
            <v>PASTA GALLETAS JENGIBRE (10900g)</v>
          </cell>
          <cell r="C14" t="str">
            <v>KILO</v>
          </cell>
          <cell r="D14" t="str">
            <v>GRAMO</v>
          </cell>
          <cell r="E14">
            <v>998.83764201834867</v>
          </cell>
          <cell r="F14">
            <v>0.99883764201834868</v>
          </cell>
          <cell r="G14">
            <v>5.9416335226445307</v>
          </cell>
          <cell r="H14">
            <v>5.9416335226445309E-3</v>
          </cell>
          <cell r="I14">
            <v>77.064220183486242</v>
          </cell>
          <cell r="J14">
            <v>7.7064220183486243E-2</v>
          </cell>
        </row>
        <row r="15">
          <cell r="A15" t="str">
            <v>95097</v>
          </cell>
          <cell r="B15" t="str">
            <v>GALLETA JENGIBRE (UND)</v>
          </cell>
          <cell r="C15" t="str">
            <v>UND</v>
          </cell>
          <cell r="D15" t="str">
            <v>UND</v>
          </cell>
          <cell r="E15">
            <v>18.916968418067277</v>
          </cell>
          <cell r="F15">
            <v>18.916968418067277</v>
          </cell>
          <cell r="G15">
            <v>0.10813773011213046</v>
          </cell>
          <cell r="H15">
            <v>0.10813773011213046</v>
          </cell>
          <cell r="I15">
            <v>8.8692354740061159</v>
          </cell>
          <cell r="J15">
            <v>8.8692354740061159</v>
          </cell>
        </row>
        <row r="16">
          <cell r="A16" t="str">
            <v>95099</v>
          </cell>
          <cell r="B16" t="str">
            <v>ROSQUETE YOGURT CAKE (440g)</v>
          </cell>
          <cell r="C16" t="str">
            <v>UND</v>
          </cell>
          <cell r="D16" t="str">
            <v>UND</v>
          </cell>
          <cell r="E16">
            <v>624.04126441192318</v>
          </cell>
          <cell r="F16">
            <v>624.04126441192318</v>
          </cell>
          <cell r="G16">
            <v>8.519507902226259</v>
          </cell>
          <cell r="H16">
            <v>8.519507902226259</v>
          </cell>
          <cell r="I16">
            <v>60.922495231367009</v>
          </cell>
          <cell r="J16">
            <v>60.922495231367009</v>
          </cell>
        </row>
        <row r="17">
          <cell r="A17" t="str">
            <v>95102</v>
          </cell>
          <cell r="B17" t="str">
            <v>RELLENO LECHE CONDENSADA Y PECANAS (8400g)</v>
          </cell>
          <cell r="C17" t="str">
            <v>Kilo</v>
          </cell>
          <cell r="D17" t="str">
            <v>Gramo</v>
          </cell>
          <cell r="E17">
            <v>5705.5955833264607</v>
          </cell>
          <cell r="F17">
            <v>5.7055955833264607</v>
          </cell>
          <cell r="G17">
            <v>12.253708147321428</v>
          </cell>
          <cell r="H17">
            <v>1.2253708147321428E-2</v>
          </cell>
          <cell r="I17">
            <v>84.126984126984127</v>
          </cell>
          <cell r="J17">
            <v>8.4126984126984133E-2</v>
          </cell>
        </row>
        <row r="18">
          <cell r="A18" t="str">
            <v>95104</v>
          </cell>
          <cell r="B18" t="str">
            <v>GALLETA ESCANEADA (UND)</v>
          </cell>
          <cell r="C18" t="str">
            <v>UND</v>
          </cell>
          <cell r="D18" t="str">
            <v>UND</v>
          </cell>
          <cell r="E18">
            <v>74.196802467691271</v>
          </cell>
          <cell r="F18">
            <v>74.196802467691271</v>
          </cell>
          <cell r="G18">
            <v>9.6055885256837899E-3</v>
          </cell>
          <cell r="H18">
            <v>9.6055885256837899E-3</v>
          </cell>
          <cell r="I18">
            <v>30.465559362428621</v>
          </cell>
          <cell r="J18">
            <v>30.465559362428621</v>
          </cell>
        </row>
        <row r="19">
          <cell r="A19" t="str">
            <v>95105</v>
          </cell>
          <cell r="B19" t="str">
            <v>EMPAQUE RELLENO JAMON C/PETIT POIS (2000g)</v>
          </cell>
          <cell r="C19" t="str">
            <v>KILO</v>
          </cell>
          <cell r="D19" t="str">
            <v>GRAMO</v>
          </cell>
          <cell r="E19">
            <v>2345.896137785714</v>
          </cell>
          <cell r="F19">
            <v>2.3458961377857142</v>
          </cell>
          <cell r="G19">
            <v>40.402178888888884</v>
          </cell>
          <cell r="H19">
            <v>4.0402178888888883E-2</v>
          </cell>
          <cell r="I19">
            <v>560</v>
          </cell>
          <cell r="J19">
            <v>0.56000000000000005</v>
          </cell>
        </row>
        <row r="20">
          <cell r="A20" t="str">
            <v>95106</v>
          </cell>
          <cell r="B20" t="str">
            <v>RELLENO PEJIBAYE EMPACADO (2000g)</v>
          </cell>
          <cell r="C20" t="str">
            <v>KILO</v>
          </cell>
          <cell r="D20" t="str">
            <v>GRAMO</v>
          </cell>
          <cell r="E20">
            <v>3470.3377217307698</v>
          </cell>
          <cell r="F20">
            <v>3.4703377217307696</v>
          </cell>
          <cell r="G20">
            <v>6.3159331681681685</v>
          </cell>
          <cell r="H20">
            <v>6.3159331681681688E-3</v>
          </cell>
          <cell r="I20">
            <v>173.29729729729729</v>
          </cell>
          <cell r="J20">
            <v>0.17329729729729729</v>
          </cell>
        </row>
        <row r="21">
          <cell r="A21" t="str">
            <v>95107</v>
          </cell>
          <cell r="B21" t="str">
            <v>SOMBRERO PEJIBAYE PEQ (UND)</v>
          </cell>
          <cell r="C21" t="str">
            <v>UND</v>
          </cell>
          <cell r="D21" t="str">
            <v>UND</v>
          </cell>
          <cell r="E21">
            <v>119.45119486074059</v>
          </cell>
          <cell r="F21">
            <v>119.45119486074059</v>
          </cell>
          <cell r="G21">
            <v>0.66688817480409712</v>
          </cell>
          <cell r="H21">
            <v>0.66688817480409712</v>
          </cell>
          <cell r="I21">
            <v>35.30201818587868</v>
          </cell>
          <cell r="J21">
            <v>35.30201818587868</v>
          </cell>
        </row>
        <row r="22">
          <cell r="A22" t="str">
            <v>95108</v>
          </cell>
          <cell r="B22" t="str">
            <v>LENTEJAS COCIDAS (600g)</v>
          </cell>
          <cell r="C22" t="str">
            <v>KILO</v>
          </cell>
          <cell r="D22" t="str">
            <v>GRAMO</v>
          </cell>
          <cell r="E22">
            <v>666.50514499999986</v>
          </cell>
          <cell r="F22">
            <v>0.66650514499999991</v>
          </cell>
          <cell r="G22">
            <v>0</v>
          </cell>
          <cell r="H22">
            <v>0</v>
          </cell>
          <cell r="I22">
            <v>560</v>
          </cell>
          <cell r="J22">
            <v>0.56000000000000005</v>
          </cell>
        </row>
        <row r="23">
          <cell r="A23" t="str">
            <v>95110</v>
          </cell>
          <cell r="B23" t="str">
            <v>ADEREZO PESTO-ALBAHACA SPOON (10000g)</v>
          </cell>
          <cell r="C23" t="str">
            <v>KILO</v>
          </cell>
          <cell r="D23" t="str">
            <v>GRAMO</v>
          </cell>
          <cell r="E23">
            <v>2467.9194567499999</v>
          </cell>
          <cell r="F23">
            <v>2.4679194567499998</v>
          </cell>
          <cell r="G23">
            <v>1.5184587222651222</v>
          </cell>
          <cell r="H23">
            <v>1.5184587222651222E-3</v>
          </cell>
          <cell r="I23">
            <v>88.351351351351354</v>
          </cell>
          <cell r="J23">
            <v>8.8351351351351359E-2</v>
          </cell>
        </row>
        <row r="24">
          <cell r="A24" t="str">
            <v>95113</v>
          </cell>
          <cell r="B24" t="str">
            <v>ROSQUETE CHOCOLATE SPOON (530g)</v>
          </cell>
          <cell r="C24" t="str">
            <v>UND</v>
          </cell>
          <cell r="D24" t="str">
            <v>UND</v>
          </cell>
          <cell r="E24">
            <v>678.51380087546431</v>
          </cell>
          <cell r="F24">
            <v>678.51380087546431</v>
          </cell>
          <cell r="G24">
            <v>10.458115476693255</v>
          </cell>
          <cell r="H24">
            <v>10.458115476693255</v>
          </cell>
          <cell r="I24">
            <v>25.731889744833179</v>
          </cell>
          <cell r="J24">
            <v>25.731889744833179</v>
          </cell>
        </row>
        <row r="25">
          <cell r="A25" t="str">
            <v>95116</v>
          </cell>
          <cell r="B25" t="str">
            <v>MEZCLA P/CUATRO LECHES (2000g)</v>
          </cell>
          <cell r="C25" t="str">
            <v>KILO</v>
          </cell>
          <cell r="D25" t="str">
            <v>GRAMO</v>
          </cell>
          <cell r="E25">
            <v>2190.120338282577</v>
          </cell>
          <cell r="F25">
            <v>1.0950601691412885</v>
          </cell>
          <cell r="G25">
            <v>7.7086684015865012</v>
          </cell>
          <cell r="H25">
            <v>3.8543342007932506E-3</v>
          </cell>
          <cell r="I25">
            <v>132.60711547611805</v>
          </cell>
          <cell r="J25">
            <v>6.630355773805903E-2</v>
          </cell>
        </row>
        <row r="26">
          <cell r="A26" t="str">
            <v>95149</v>
          </cell>
          <cell r="B26" t="str">
            <v>COCCION FRIJOLES MOLIDOS (14.450g)</v>
          </cell>
          <cell r="C26" t="str">
            <v>KILO</v>
          </cell>
          <cell r="D26" t="str">
            <v>GRAMO</v>
          </cell>
          <cell r="E26">
            <v>1225.7643839241489</v>
          </cell>
          <cell r="F26">
            <v>1.225764383924149</v>
          </cell>
          <cell r="G26">
            <v>2.686637232010189</v>
          </cell>
          <cell r="H26">
            <v>2.6866372320101888E-3</v>
          </cell>
          <cell r="I26">
            <v>97.290030425245874</v>
          </cell>
          <cell r="J26">
            <v>9.729003042524588E-2</v>
          </cell>
        </row>
        <row r="27">
          <cell r="A27" t="str">
            <v>95156</v>
          </cell>
          <cell r="B27" t="str">
            <v>CROUTONS (880g)</v>
          </cell>
          <cell r="C27" t="str">
            <v>KILO</v>
          </cell>
          <cell r="D27" t="str">
            <v>GRAMO</v>
          </cell>
          <cell r="E27">
            <v>4731.0572499999998</v>
          </cell>
          <cell r="F27">
            <v>4.7310572500000001</v>
          </cell>
          <cell r="G27">
            <v>0</v>
          </cell>
          <cell r="H27">
            <v>0</v>
          </cell>
          <cell r="I27">
            <v>550</v>
          </cell>
          <cell r="J27">
            <v>0.55000000000000004</v>
          </cell>
        </row>
        <row r="28">
          <cell r="A28" t="str">
            <v>95157</v>
          </cell>
          <cell r="B28" t="str">
            <v>COCCION CHAOMING (8750g)</v>
          </cell>
          <cell r="C28" t="str">
            <v>KILO</v>
          </cell>
          <cell r="D28" t="str">
            <v>GRAMO</v>
          </cell>
          <cell r="E28">
            <v>3544.4919657142859</v>
          </cell>
          <cell r="F28">
            <v>3.5444919657142857</v>
          </cell>
          <cell r="G28">
            <v>0</v>
          </cell>
          <cell r="H28">
            <v>0</v>
          </cell>
          <cell r="I28">
            <v>282.85714285714289</v>
          </cell>
          <cell r="J28">
            <v>0.28285714285714286</v>
          </cell>
        </row>
        <row r="29">
          <cell r="A29" t="str">
            <v>908000046</v>
          </cell>
          <cell r="B29" t="str">
            <v>COCCION POLLO RECORTE (31600g)</v>
          </cell>
          <cell r="C29" t="str">
            <v>TANDA</v>
          </cell>
          <cell r="D29" t="str">
            <v>GRAMO</v>
          </cell>
          <cell r="E29">
            <v>117811.73133333333</v>
          </cell>
          <cell r="F29">
            <v>3.7282193459915609</v>
          </cell>
          <cell r="G29">
            <v>0</v>
          </cell>
          <cell r="H29">
            <v>0</v>
          </cell>
          <cell r="I29">
            <v>2255</v>
          </cell>
          <cell r="J29">
            <v>7.1360759493670892E-2</v>
          </cell>
        </row>
        <row r="30">
          <cell r="A30" t="str">
            <v>95176</v>
          </cell>
          <cell r="B30" t="str">
            <v>ROSQUETE CHOCOLATE SPOON RECT (1200g)</v>
          </cell>
          <cell r="C30" t="str">
            <v>UND</v>
          </cell>
          <cell r="D30" t="str">
            <v>UND</v>
          </cell>
          <cell r="E30">
            <v>1496.6373347037395</v>
          </cell>
          <cell r="F30">
            <v>1496.6373347037395</v>
          </cell>
          <cell r="G30">
            <v>25.691514518346043</v>
          </cell>
          <cell r="H30">
            <v>25.691514518346043</v>
          </cell>
          <cell r="I30">
            <v>51.291275167785237</v>
          </cell>
          <cell r="J30">
            <v>51.291275167785237</v>
          </cell>
        </row>
        <row r="31">
          <cell r="A31" t="str">
            <v>95183</v>
          </cell>
          <cell r="B31" t="str">
            <v>ROSQUETE CHOCOLATE SPOON RECT (1500g)</v>
          </cell>
          <cell r="C31" t="str">
            <v>UND</v>
          </cell>
          <cell r="D31" t="str">
            <v>UND</v>
          </cell>
          <cell r="E31">
            <v>1943.6565082377754</v>
          </cell>
          <cell r="F31">
            <v>1943.6565082377754</v>
          </cell>
          <cell r="G31">
            <v>21.370011419239368</v>
          </cell>
          <cell r="H31">
            <v>21.370011419239368</v>
          </cell>
          <cell r="I31">
            <v>53.007094918504308</v>
          </cell>
          <cell r="J31">
            <v>53.007094918504308</v>
          </cell>
        </row>
        <row r="32">
          <cell r="A32" t="str">
            <v>95187</v>
          </cell>
          <cell r="B32" t="str">
            <v>ROSQUETE MELOCOTON RECT.PURATOS (1300g)</v>
          </cell>
          <cell r="C32" t="str">
            <v>UND</v>
          </cell>
          <cell r="D32" t="str">
            <v>UND</v>
          </cell>
          <cell r="E32">
            <v>1590.1842931379088</v>
          </cell>
          <cell r="F32">
            <v>1590.1842931379088</v>
          </cell>
          <cell r="G32">
            <v>24.830699493135057</v>
          </cell>
          <cell r="H32">
            <v>24.830699493135057</v>
          </cell>
          <cell r="I32">
            <v>60.604335884602811</v>
          </cell>
          <cell r="J32">
            <v>60.604335884602811</v>
          </cell>
        </row>
        <row r="33">
          <cell r="A33" t="str">
            <v>95189</v>
          </cell>
          <cell r="B33" t="str">
            <v>ROSQUETE CHOCOLATE SPOON RECT (2500g)</v>
          </cell>
          <cell r="C33" t="str">
            <v>UND</v>
          </cell>
          <cell r="D33" t="str">
            <v>UND</v>
          </cell>
          <cell r="E33">
            <v>3092.0935811590193</v>
          </cell>
          <cell r="F33">
            <v>3092.0935811590193</v>
          </cell>
          <cell r="G33">
            <v>31.741932866544996</v>
          </cell>
          <cell r="H33">
            <v>31.741932866544996</v>
          </cell>
          <cell r="I33">
            <v>78.296009667028514</v>
          </cell>
          <cell r="J33">
            <v>78.296009667028514</v>
          </cell>
        </row>
        <row r="34">
          <cell r="A34" t="str">
            <v>95202</v>
          </cell>
          <cell r="B34" t="str">
            <v>ROSQUETE YOGURT MINI 250g</v>
          </cell>
          <cell r="C34" t="str">
            <v>UND</v>
          </cell>
          <cell r="D34" t="str">
            <v>UND</v>
          </cell>
          <cell r="E34">
            <v>358.74181159635668</v>
          </cell>
          <cell r="F34">
            <v>358.74181159635668</v>
          </cell>
          <cell r="G34">
            <v>0.84393350665814415</v>
          </cell>
          <cell r="H34">
            <v>0.84393350665814415</v>
          </cell>
          <cell r="I34">
            <v>30.948545861297539</v>
          </cell>
          <cell r="J34">
            <v>30.948545861297539</v>
          </cell>
        </row>
        <row r="35">
          <cell r="A35" t="str">
            <v>95211</v>
          </cell>
          <cell r="B35" t="str">
            <v>PASTA GALLETA DE LUNA (20 Kg)</v>
          </cell>
          <cell r="C35" t="str">
            <v>Kilo</v>
          </cell>
          <cell r="D35" t="str">
            <v>Gramo</v>
          </cell>
          <cell r="E35">
            <v>1113.9966444499998</v>
          </cell>
          <cell r="F35">
            <v>1.1139966444499998</v>
          </cell>
          <cell r="G35">
            <v>13.720065523809527</v>
          </cell>
          <cell r="H35">
            <v>1.3720065523809527E-2</v>
          </cell>
          <cell r="I35">
            <v>50.875</v>
          </cell>
          <cell r="J35">
            <v>5.0874999999999997E-2</v>
          </cell>
        </row>
        <row r="36">
          <cell r="A36" t="str">
            <v>95212</v>
          </cell>
          <cell r="B36" t="str">
            <v>PASTA VAINILLA P/GALLETA FIGURA (9100g)</v>
          </cell>
          <cell r="C36" t="str">
            <v>TANDA</v>
          </cell>
          <cell r="D36" t="str">
            <v>GRAMO</v>
          </cell>
          <cell r="E36">
            <v>19251.595537874768</v>
          </cell>
          <cell r="F36">
            <v>2.1155599492170074</v>
          </cell>
          <cell r="G36">
            <v>96.428571428571445</v>
          </cell>
          <cell r="H36">
            <v>1.0596546310832027E-2</v>
          </cell>
          <cell r="I36">
            <v>1211.1448992852502</v>
          </cell>
          <cell r="J36">
            <v>0.13309284607530222</v>
          </cell>
        </row>
        <row r="37">
          <cell r="A37" t="str">
            <v>905000001</v>
          </cell>
          <cell r="B37" t="str">
            <v>RELLENO P/TORTA CHOCOFRESA (23500g)</v>
          </cell>
          <cell r="C37" t="str">
            <v>TANDA</v>
          </cell>
          <cell r="D37" t="str">
            <v>GRAMO</v>
          </cell>
          <cell r="E37">
            <v>54041.682214799999</v>
          </cell>
          <cell r="F37">
            <v>2.299646051693617</v>
          </cell>
          <cell r="G37">
            <v>125.29527666666667</v>
          </cell>
          <cell r="H37">
            <v>5.33171390070922E-3</v>
          </cell>
          <cell r="I37">
            <v>990</v>
          </cell>
          <cell r="J37">
            <v>4.2127659574468082E-2</v>
          </cell>
        </row>
        <row r="38">
          <cell r="A38" t="str">
            <v>95218</v>
          </cell>
          <cell r="B38" t="str">
            <v>GALLETA P/ ALFAJOR PEQUEÑO (UND)</v>
          </cell>
          <cell r="C38" t="str">
            <v>UND</v>
          </cell>
          <cell r="D38" t="str">
            <v>UND</v>
          </cell>
          <cell r="E38">
            <v>9.3388131113481965</v>
          </cell>
          <cell r="F38">
            <v>9.3388131113481965</v>
          </cell>
          <cell r="G38">
            <v>0</v>
          </cell>
          <cell r="H38">
            <v>0</v>
          </cell>
          <cell r="I38">
            <v>4.1694385216773275</v>
          </cell>
          <cell r="J38">
            <v>4.1694385216773275</v>
          </cell>
        </row>
        <row r="39">
          <cell r="A39" t="str">
            <v>95219</v>
          </cell>
          <cell r="B39" t="str">
            <v>PASTA CROISSANT (9460g)</v>
          </cell>
          <cell r="C39" t="str">
            <v>KILO</v>
          </cell>
          <cell r="D39" t="str">
            <v>GRAMO</v>
          </cell>
          <cell r="E39">
            <v>1010.9775121975808</v>
          </cell>
          <cell r="F39">
            <v>1.0109775121975808</v>
          </cell>
          <cell r="G39">
            <v>3.2625391385048648</v>
          </cell>
          <cell r="H39">
            <v>3.2625391385048648E-3</v>
          </cell>
          <cell r="I39">
            <v>94.254032258064512</v>
          </cell>
          <cell r="J39">
            <v>9.4254032258064516E-2</v>
          </cell>
        </row>
        <row r="40">
          <cell r="A40" t="str">
            <v>95227</v>
          </cell>
          <cell r="B40" t="str">
            <v>EMPANADA DE POLLO GRANDE (UND)</v>
          </cell>
          <cell r="C40" t="str">
            <v>UND</v>
          </cell>
          <cell r="D40" t="str">
            <v>UND</v>
          </cell>
          <cell r="E40">
            <v>151.65326877623079</v>
          </cell>
          <cell r="F40">
            <v>151.65326877623079</v>
          </cell>
          <cell r="G40">
            <v>0.54627869180329502</v>
          </cell>
          <cell r="H40">
            <v>0.54627869180329502</v>
          </cell>
          <cell r="I40">
            <v>33.70166083016521</v>
          </cell>
          <cell r="J40">
            <v>33.70166083016521</v>
          </cell>
        </row>
        <row r="41">
          <cell r="A41" t="str">
            <v>95241</v>
          </cell>
          <cell r="B41" t="str">
            <v>COSTILLAS SIN RELLENO (UND)</v>
          </cell>
          <cell r="C41" t="str">
            <v>UND</v>
          </cell>
          <cell r="D41" t="str">
            <v>UND</v>
          </cell>
          <cell r="E41">
            <v>19.567969144266296</v>
          </cell>
          <cell r="F41">
            <v>19.567969144266296</v>
          </cell>
          <cell r="G41">
            <v>0.1047391636438969</v>
          </cell>
          <cell r="H41">
            <v>0.1047391636438969</v>
          </cell>
          <cell r="I41">
            <v>8.4185917284465823</v>
          </cell>
          <cell r="J41">
            <v>8.4185917284465823</v>
          </cell>
        </row>
        <row r="42">
          <cell r="A42" t="str">
            <v>907000050</v>
          </cell>
          <cell r="B42" t="str">
            <v>ROSQUETE P/ARROLLADO (1200g)</v>
          </cell>
          <cell r="C42" t="str">
            <v>UND</v>
          </cell>
          <cell r="D42" t="str">
            <v>UND</v>
          </cell>
          <cell r="E42">
            <v>1323.8519660973845</v>
          </cell>
          <cell r="F42">
            <v>1323.8519660973845</v>
          </cell>
          <cell r="G42">
            <v>65.37484979292195</v>
          </cell>
          <cell r="H42">
            <v>65.37484979292195</v>
          </cell>
          <cell r="I42">
            <v>153.48429446331514</v>
          </cell>
          <cell r="J42">
            <v>153.48429446331514</v>
          </cell>
        </row>
        <row r="43">
          <cell r="A43">
            <v>903000002</v>
          </cell>
          <cell r="B43" t="str">
            <v>PLANCHA COCADAS (4300g)</v>
          </cell>
          <cell r="C43" t="str">
            <v>UND</v>
          </cell>
          <cell r="D43" t="str">
            <v>UND</v>
          </cell>
          <cell r="E43">
            <v>9923.7223624379676</v>
          </cell>
          <cell r="F43">
            <v>9923.7223624379676</v>
          </cell>
          <cell r="G43">
            <v>32</v>
          </cell>
          <cell r="H43">
            <v>32</v>
          </cell>
          <cell r="I43">
            <v>165</v>
          </cell>
          <cell r="J43">
            <v>165</v>
          </cell>
        </row>
        <row r="44">
          <cell r="A44" t="str">
            <v>95267</v>
          </cell>
          <cell r="B44" t="str">
            <v>COCCION FIDEO THAI (660g)</v>
          </cell>
          <cell r="C44" t="str">
            <v>KILO</v>
          </cell>
          <cell r="D44" t="str">
            <v>GRAMO</v>
          </cell>
          <cell r="E44">
            <v>2022.7958909090908</v>
          </cell>
          <cell r="F44">
            <v>2.0227958909090908</v>
          </cell>
          <cell r="G44">
            <v>0</v>
          </cell>
          <cell r="H44">
            <v>0</v>
          </cell>
          <cell r="I44">
            <v>250</v>
          </cell>
          <cell r="J44">
            <v>0.25</v>
          </cell>
        </row>
        <row r="45">
          <cell r="A45" t="str">
            <v>95289</v>
          </cell>
          <cell r="B45" t="str">
            <v>COCCION ARROZ BLANCO (12680g)</v>
          </cell>
          <cell r="C45" t="str">
            <v>KILO</v>
          </cell>
          <cell r="D45" t="str">
            <v>GRAMO</v>
          </cell>
          <cell r="E45">
            <v>509.90339415287065</v>
          </cell>
          <cell r="F45">
            <v>0.50990339415287067</v>
          </cell>
          <cell r="G45">
            <v>19.238843783022187</v>
          </cell>
          <cell r="H45">
            <v>1.9238843783022187E-2</v>
          </cell>
          <cell r="I45">
            <v>38.746037337090527</v>
          </cell>
          <cell r="J45">
            <v>3.8746037337090526E-2</v>
          </cell>
        </row>
        <row r="46">
          <cell r="A46" t="str">
            <v>95290</v>
          </cell>
          <cell r="B46" t="str">
            <v>COCCION ARROZ CON POLLO (20800g)</v>
          </cell>
          <cell r="C46" t="str">
            <v>KILO</v>
          </cell>
          <cell r="D46" t="str">
            <v>GRAMO</v>
          </cell>
          <cell r="E46">
            <v>1758.5064069460227</v>
          </cell>
          <cell r="F46">
            <v>1.7585064069460228</v>
          </cell>
          <cell r="G46">
            <v>15.528757064935064</v>
          </cell>
          <cell r="H46">
            <v>1.5528757064935065E-2</v>
          </cell>
          <cell r="I46">
            <v>83.890625</v>
          </cell>
          <cell r="J46">
            <v>8.3890624999999996E-2</v>
          </cell>
        </row>
        <row r="47">
          <cell r="A47" t="str">
            <v>95291</v>
          </cell>
          <cell r="B47" t="str">
            <v>COCCION ARROZ PRECOCIDO P/GALLO PINTO (13830g)</v>
          </cell>
          <cell r="C47" t="str">
            <v>TANDA</v>
          </cell>
          <cell r="D47" t="str">
            <v>GRAMO</v>
          </cell>
          <cell r="E47">
            <v>10045.103719999999</v>
          </cell>
          <cell r="F47">
            <v>0.7263270947216196</v>
          </cell>
          <cell r="G47">
            <v>110.87506800000001</v>
          </cell>
          <cell r="H47">
            <v>8.0169969631236453E-3</v>
          </cell>
          <cell r="I47">
            <v>825</v>
          </cell>
          <cell r="J47">
            <v>5.9652928416485902E-2</v>
          </cell>
        </row>
        <row r="48">
          <cell r="A48" t="str">
            <v>95292</v>
          </cell>
          <cell r="B48" t="str">
            <v>ADEREZO CESAR (1850g)</v>
          </cell>
          <cell r="C48" t="str">
            <v>KILO</v>
          </cell>
          <cell r="D48" t="str">
            <v>GRAMO</v>
          </cell>
          <cell r="E48">
            <v>2949.6608915924162</v>
          </cell>
          <cell r="F48">
            <v>2.9496608915924161</v>
          </cell>
          <cell r="G48">
            <v>0.1303708382200382</v>
          </cell>
          <cell r="H48">
            <v>1.3037083822003821E-4</v>
          </cell>
          <cell r="I48">
            <v>178.08059338927262</v>
          </cell>
          <cell r="J48">
            <v>0.17808059338927262</v>
          </cell>
        </row>
        <row r="49">
          <cell r="A49" t="str">
            <v>95296</v>
          </cell>
          <cell r="B49" t="str">
            <v>ADEREZO THAI (4332g)</v>
          </cell>
          <cell r="C49" t="str">
            <v>KILO</v>
          </cell>
          <cell r="D49" t="str">
            <v>GRAMO</v>
          </cell>
          <cell r="E49">
            <v>2694.1769570637116</v>
          </cell>
          <cell r="F49">
            <v>2.6941769570637115</v>
          </cell>
          <cell r="G49">
            <v>0</v>
          </cell>
          <cell r="H49">
            <v>0</v>
          </cell>
          <cell r="I49">
            <v>103.41643582640812</v>
          </cell>
          <cell r="J49">
            <v>0.10341643582640812</v>
          </cell>
        </row>
        <row r="50">
          <cell r="A50" t="str">
            <v>95298</v>
          </cell>
          <cell r="B50" t="str">
            <v>COCCION FRIJOLES ARREGLADOS C/CALDO (3100g)</v>
          </cell>
          <cell r="C50" t="str">
            <v>KILO</v>
          </cell>
          <cell r="D50" t="str">
            <v>GRAMO</v>
          </cell>
          <cell r="E50">
            <v>783.77464894866955</v>
          </cell>
          <cell r="F50">
            <v>0.78377464894866955</v>
          </cell>
          <cell r="G50">
            <v>142.44677419354841</v>
          </cell>
          <cell r="H50">
            <v>0.1424467741935484</v>
          </cell>
          <cell r="I50">
            <v>88.709677419354847</v>
          </cell>
          <cell r="J50">
            <v>8.8709677419354843E-2</v>
          </cell>
        </row>
        <row r="51">
          <cell r="A51" t="str">
            <v>95299</v>
          </cell>
          <cell r="B51" t="str">
            <v>COCCION FRIJOLES P/GALLO PINTO (19820g)</v>
          </cell>
          <cell r="C51" t="str">
            <v>TANDA</v>
          </cell>
          <cell r="D51" t="str">
            <v>GRAMO</v>
          </cell>
          <cell r="E51">
            <v>13690.75</v>
          </cell>
          <cell r="F51">
            <v>0.69075428859737642</v>
          </cell>
          <cell r="G51">
            <v>76.121990999999994</v>
          </cell>
          <cell r="H51">
            <v>3.8406655398587281E-3</v>
          </cell>
          <cell r="I51">
            <v>550</v>
          </cell>
          <cell r="J51">
            <v>2.7749747729566093E-2</v>
          </cell>
        </row>
        <row r="52">
          <cell r="A52" t="str">
            <v>95301</v>
          </cell>
          <cell r="B52" t="str">
            <v>MEZCLA GALLO PINTO SPOON (28900g)</v>
          </cell>
          <cell r="C52" t="str">
            <v>TANDA</v>
          </cell>
          <cell r="D52" t="str">
            <v>GRAMO</v>
          </cell>
          <cell r="E52">
            <v>39127.173464515727</v>
          </cell>
          <cell r="F52">
            <v>1.3538814347583297</v>
          </cell>
          <cell r="G52">
            <v>538.82476734492559</v>
          </cell>
          <cell r="H52">
            <v>1.8644455617471474E-2</v>
          </cell>
          <cell r="I52">
            <v>3807.2710020827362</v>
          </cell>
          <cell r="J52">
            <v>0.13173948104092512</v>
          </cell>
        </row>
        <row r="53">
          <cell r="A53" t="str">
            <v>95307</v>
          </cell>
          <cell r="B53" t="str">
            <v>COCCION POLLO DESMENUZADO MARMITA (32000g)</v>
          </cell>
          <cell r="C53" t="str">
            <v>TANDA</v>
          </cell>
          <cell r="D53" t="str">
            <v>GRAMO</v>
          </cell>
          <cell r="E53">
            <v>140311.73133333333</v>
          </cell>
          <cell r="F53">
            <v>4.3847416041666669</v>
          </cell>
          <cell r="G53">
            <v>0</v>
          </cell>
          <cell r="H53">
            <v>0</v>
          </cell>
          <cell r="I53">
            <v>4950</v>
          </cell>
          <cell r="J53">
            <v>0.15468750000000001</v>
          </cell>
        </row>
        <row r="54">
          <cell r="A54" t="str">
            <v>95308</v>
          </cell>
          <cell r="B54" t="str">
            <v>COCCION PALMITO PICADO (9100g)</v>
          </cell>
          <cell r="C54" t="str">
            <v>TANDA</v>
          </cell>
          <cell r="D54" t="str">
            <v>GRAMO</v>
          </cell>
          <cell r="E54">
            <v>21845.003638823528</v>
          </cell>
          <cell r="F54">
            <v>2.2755212123774506</v>
          </cell>
          <cell r="G54">
            <v>420.14674999999994</v>
          </cell>
          <cell r="H54">
            <v>4.376528645833333E-2</v>
          </cell>
          <cell r="I54">
            <v>550</v>
          </cell>
          <cell r="J54">
            <v>5.7291666666666664E-2</v>
          </cell>
        </row>
        <row r="55">
          <cell r="A55" t="str">
            <v>95318</v>
          </cell>
          <cell r="B55" t="str">
            <v>SALSA ESPINACA Y ALBAHACA (10 Kg)</v>
          </cell>
          <cell r="C55" t="str">
            <v>KILO</v>
          </cell>
          <cell r="D55" t="str">
            <v>GRAMO</v>
          </cell>
          <cell r="E55">
            <v>2783.2200599999996</v>
          </cell>
          <cell r="F55">
            <v>2.7832200599999997</v>
          </cell>
          <cell r="G55">
            <v>0.50049999999999983</v>
          </cell>
          <cell r="H55">
            <v>5.0049999999999986E-4</v>
          </cell>
          <cell r="I55">
            <v>140</v>
          </cell>
          <cell r="J55">
            <v>0.14000000000000001</v>
          </cell>
        </row>
        <row r="56">
          <cell r="A56" t="str">
            <v>95320</v>
          </cell>
          <cell r="B56" t="str">
            <v>SALSA ARREGLADO (3780g)</v>
          </cell>
          <cell r="C56" t="str">
            <v>KILO</v>
          </cell>
          <cell r="D56" t="str">
            <v>GRAMO</v>
          </cell>
          <cell r="E56">
            <v>906.01051455026459</v>
          </cell>
          <cell r="F56">
            <v>0.9060105145502646</v>
          </cell>
          <cell r="G56">
            <v>12.618432539682539</v>
          </cell>
          <cell r="H56">
            <v>1.2618432539682539E-2</v>
          </cell>
          <cell r="I56">
            <v>72.751322751322746</v>
          </cell>
          <cell r="J56">
            <v>7.2751322751322747E-2</v>
          </cell>
        </row>
        <row r="57">
          <cell r="A57" t="str">
            <v>95328</v>
          </cell>
          <cell r="B57" t="str">
            <v>CORTE GALLETAS MEDIA LUNA (UND)</v>
          </cell>
          <cell r="C57" t="str">
            <v>UND</v>
          </cell>
          <cell r="D57" t="str">
            <v>UND</v>
          </cell>
          <cell r="E57">
            <v>4.8172827868108099</v>
          </cell>
          <cell r="F57">
            <v>4.8172827868108099</v>
          </cell>
          <cell r="G57">
            <v>5.9330013075933087E-2</v>
          </cell>
          <cell r="H57">
            <v>5.9330013075933087E-2</v>
          </cell>
          <cell r="I57">
            <v>1.2902702702702702</v>
          </cell>
          <cell r="J57">
            <v>1.2902702702702702</v>
          </cell>
        </row>
        <row r="58">
          <cell r="A58" t="str">
            <v>95330</v>
          </cell>
          <cell r="B58" t="str">
            <v>SUSPIRO PEQUEÑO 45g (UND)</v>
          </cell>
          <cell r="C58" t="str">
            <v>UND</v>
          </cell>
          <cell r="D58" t="str">
            <v>UND</v>
          </cell>
          <cell r="E58">
            <v>100.81477696572391</v>
          </cell>
          <cell r="F58">
            <v>100.81477696572391</v>
          </cell>
          <cell r="G58">
            <v>2.9908003519121009</v>
          </cell>
          <cell r="H58">
            <v>2.9908003519121009</v>
          </cell>
          <cell r="I58">
            <v>18.392742409227967</v>
          </cell>
          <cell r="J58">
            <v>18.392742409227967</v>
          </cell>
        </row>
        <row r="59">
          <cell r="A59" t="str">
            <v>95355</v>
          </cell>
          <cell r="B59" t="str">
            <v>ROSQUETE TRES LECHES CAMPERO (750g)</v>
          </cell>
          <cell r="C59" t="str">
            <v>Und</v>
          </cell>
          <cell r="D59" t="str">
            <v>Und</v>
          </cell>
          <cell r="E59">
            <v>642.94439443132001</v>
          </cell>
          <cell r="F59">
            <v>642.94439443132001</v>
          </cell>
          <cell r="G59">
            <v>7.3079337336067605</v>
          </cell>
          <cell r="H59">
            <v>7.3079337336067605</v>
          </cell>
          <cell r="I59">
            <v>47.383668903803134</v>
          </cell>
          <cell r="J59">
            <v>47.383668903803134</v>
          </cell>
        </row>
        <row r="60">
          <cell r="A60" t="str">
            <v>95357</v>
          </cell>
          <cell r="B60" t="str">
            <v>ROSQUETE P/TRES LECHES (230g)</v>
          </cell>
          <cell r="C60" t="str">
            <v>UND</v>
          </cell>
          <cell r="D60" t="str">
            <v>UND</v>
          </cell>
          <cell r="E60">
            <v>232.32987603822951</v>
          </cell>
          <cell r="F60">
            <v>232.32987603822951</v>
          </cell>
          <cell r="G60">
            <v>0.89962719305584204</v>
          </cell>
          <cell r="H60">
            <v>0.89962719305584204</v>
          </cell>
          <cell r="I60">
            <v>21.708266077648457</v>
          </cell>
          <cell r="J60">
            <v>21.708266077648457</v>
          </cell>
        </row>
        <row r="61">
          <cell r="A61" t="str">
            <v>95361</v>
          </cell>
          <cell r="B61" t="str">
            <v>BASE PREMEZCLA P/BROWNIE (4.9 Kg)</v>
          </cell>
          <cell r="C61" t="str">
            <v>TANDA</v>
          </cell>
          <cell r="D61" t="str">
            <v>GRAMO</v>
          </cell>
          <cell r="E61">
            <v>4824.2799000000005</v>
          </cell>
          <cell r="F61">
            <v>1.012865819861432</v>
          </cell>
          <cell r="G61">
            <v>64.754711587301585</v>
          </cell>
          <cell r="H61">
            <v>1.3595362499958342E-2</v>
          </cell>
          <cell r="I61">
            <v>137.5</v>
          </cell>
          <cell r="J61">
            <v>2.8868360277136258E-2</v>
          </cell>
        </row>
        <row r="62">
          <cell r="A62" t="str">
            <v>95362</v>
          </cell>
          <cell r="B62" t="str">
            <v>BASE PREMEZCLA ARROLLADO SPOON (1227 g)</v>
          </cell>
          <cell r="C62" t="str">
            <v>TANDA</v>
          </cell>
          <cell r="D62" t="str">
            <v>GRAMO</v>
          </cell>
          <cell r="E62">
            <v>520.91361319999999</v>
          </cell>
          <cell r="F62">
            <v>0.42454247204563977</v>
          </cell>
          <cell r="G62">
            <v>19.822725555555557</v>
          </cell>
          <cell r="H62">
            <v>1.6155440550575027E-2</v>
          </cell>
          <cell r="I62">
            <v>55</v>
          </cell>
          <cell r="J62">
            <v>4.4824775876120618E-2</v>
          </cell>
        </row>
        <row r="63">
          <cell r="A63" t="str">
            <v>95364</v>
          </cell>
          <cell r="B63" t="str">
            <v>BASE PREMEZCLA P/ROSQUETE TRES LECHES (9636g)</v>
          </cell>
          <cell r="C63" t="str">
            <v>TANDA</v>
          </cell>
          <cell r="D63" t="str">
            <v>GRAMO</v>
          </cell>
          <cell r="E63">
            <v>5042.3485535999998</v>
          </cell>
          <cell r="F63">
            <v>0.5232823322540473</v>
          </cell>
          <cell r="G63">
            <v>67.090375555555553</v>
          </cell>
          <cell r="H63">
            <v>6.9624715188413818E-3</v>
          </cell>
          <cell r="I63">
            <v>110</v>
          </cell>
          <cell r="J63">
            <v>1.1415525114155251E-2</v>
          </cell>
        </row>
        <row r="64">
          <cell r="A64" t="str">
            <v>95368</v>
          </cell>
          <cell r="B64" t="str">
            <v>BASE PREMEZCLA ROSQUETE KALUA (4488g)</v>
          </cell>
          <cell r="C64" t="str">
            <v>TANDA</v>
          </cell>
          <cell r="D64" t="str">
            <v>GRAMO</v>
          </cell>
          <cell r="E64">
            <v>13725.715515</v>
          </cell>
          <cell r="F64">
            <v>3.0583145086898393</v>
          </cell>
          <cell r="G64">
            <v>51.520357777777782</v>
          </cell>
          <cell r="H64">
            <v>1.1479580610021788E-2</v>
          </cell>
          <cell r="I64">
            <v>224</v>
          </cell>
          <cell r="J64">
            <v>4.9910873440285206E-2</v>
          </cell>
        </row>
        <row r="65">
          <cell r="A65" t="str">
            <v>95373</v>
          </cell>
          <cell r="B65" t="str">
            <v>BASE PREMEZCLA PASTA FIGURA VAINILLA (9234g)</v>
          </cell>
          <cell r="C65" t="str">
            <v>TANDA</v>
          </cell>
          <cell r="D65" t="str">
            <v>GRAMO</v>
          </cell>
          <cell r="E65">
            <v>14742.3863884</v>
          </cell>
          <cell r="F65">
            <v>1.5965330721680746</v>
          </cell>
          <cell r="G65">
            <v>43.385354920634924</v>
          </cell>
          <cell r="H65">
            <v>4.6984356639197446E-3</v>
          </cell>
          <cell r="I65">
            <v>168</v>
          </cell>
          <cell r="J65">
            <v>1.8193632228719947E-2</v>
          </cell>
        </row>
        <row r="66">
          <cell r="A66" t="str">
            <v>95374</v>
          </cell>
          <cell r="B66" t="str">
            <v>BASE PREMEZCLA PALITOS QUESO SPOON (4780g)</v>
          </cell>
          <cell r="C66" t="str">
            <v>TANDA</v>
          </cell>
          <cell r="D66" t="str">
            <v>GRAMO</v>
          </cell>
          <cell r="E66">
            <v>4768.5162400000008</v>
          </cell>
          <cell r="F66">
            <v>0.99759753974895415</v>
          </cell>
          <cell r="G66">
            <v>43.385354920634924</v>
          </cell>
          <cell r="H66">
            <v>9.0764340838148383E-3</v>
          </cell>
          <cell r="I66">
            <v>165</v>
          </cell>
          <cell r="J66">
            <v>3.4518828451882845E-2</v>
          </cell>
        </row>
        <row r="67">
          <cell r="A67" t="str">
            <v>95376</v>
          </cell>
          <cell r="B67" t="str">
            <v>BASE PREMEZCLA CANASTA/TARTALETA (6307g)</v>
          </cell>
          <cell r="C67" t="str">
            <v>TANDA</v>
          </cell>
          <cell r="D67" t="str">
            <v>GRAMO</v>
          </cell>
          <cell r="E67">
            <v>3405.0744131999995</v>
          </cell>
          <cell r="F67">
            <v>0.7555079683159529</v>
          </cell>
          <cell r="G67">
            <v>43.165582698412706</v>
          </cell>
          <cell r="H67">
            <v>9.5774534498364108E-3</v>
          </cell>
          <cell r="I67">
            <v>82.5</v>
          </cell>
          <cell r="J67">
            <v>1.8304859108054138E-2</v>
          </cell>
        </row>
        <row r="68">
          <cell r="A68" t="str">
            <v>95381</v>
          </cell>
          <cell r="B68" t="str">
            <v>BASE PREMEZCLA P/GALLETAS CHOCO BLANCO (7839g)</v>
          </cell>
          <cell r="C68" t="str">
            <v>TANDA</v>
          </cell>
          <cell r="D68" t="str">
            <v>GRAMO</v>
          </cell>
          <cell r="E68">
            <v>7288.0499508051289</v>
          </cell>
          <cell r="F68">
            <v>0.92971679433666654</v>
          </cell>
          <cell r="G68">
            <v>21.822757777777777</v>
          </cell>
          <cell r="H68">
            <v>2.7838701081487152E-3</v>
          </cell>
          <cell r="I68">
            <v>280</v>
          </cell>
          <cell r="J68">
            <v>3.5718841688990942E-2</v>
          </cell>
        </row>
        <row r="69">
          <cell r="A69" t="str">
            <v>95386</v>
          </cell>
          <cell r="B69" t="str">
            <v>BASE PREMEZCLA GALLETAS MEDIA LUNA (18320g)</v>
          </cell>
          <cell r="C69" t="str">
            <v>TANDA</v>
          </cell>
          <cell r="D69" t="str">
            <v>Gramo</v>
          </cell>
          <cell r="E69">
            <v>18807.167751999998</v>
          </cell>
          <cell r="F69">
            <v>1.0265921262008733</v>
          </cell>
          <cell r="G69">
            <v>75.538167619047627</v>
          </cell>
          <cell r="H69">
            <v>4.1232624246205036E-3</v>
          </cell>
          <cell r="I69">
            <v>192.5</v>
          </cell>
          <cell r="J69">
            <v>1.050764192139738E-2</v>
          </cell>
        </row>
        <row r="70">
          <cell r="A70" t="str">
            <v>95387</v>
          </cell>
          <cell r="B70" t="str">
            <v>BASE PREMEZCLA PASTA CROISSANTS (7368g)</v>
          </cell>
          <cell r="C70" t="str">
            <v>TANDA</v>
          </cell>
          <cell r="D70" t="str">
            <v>GRAMO</v>
          </cell>
          <cell r="E70">
            <v>8617.5619360000019</v>
          </cell>
          <cell r="F70">
            <v>1.1695930966340937</v>
          </cell>
          <cell r="G70">
            <v>32.364388253968258</v>
          </cell>
          <cell r="H70">
            <v>4.392560837943575E-3</v>
          </cell>
          <cell r="I70">
            <v>110</v>
          </cell>
          <cell r="J70">
            <v>1.4929424538545059E-2</v>
          </cell>
        </row>
        <row r="71">
          <cell r="A71" t="str">
            <v>95389</v>
          </cell>
          <cell r="B71" t="str">
            <v>PASTA PALITOS QUESO BUCCA (7900g)</v>
          </cell>
          <cell r="C71" t="str">
            <v>KILO</v>
          </cell>
          <cell r="D71" t="str">
            <v>GRAMO</v>
          </cell>
          <cell r="E71">
            <v>3149.363518734177</v>
          </cell>
          <cell r="F71">
            <v>3.1493635187341771</v>
          </cell>
          <cell r="G71">
            <v>3.1325364275668068</v>
          </cell>
          <cell r="H71">
            <v>3.132536427566807E-3</v>
          </cell>
          <cell r="I71">
            <v>106.32911392405063</v>
          </cell>
          <cell r="J71">
            <v>0.10632911392405063</v>
          </cell>
        </row>
        <row r="72">
          <cell r="A72" t="str">
            <v>95453</v>
          </cell>
          <cell r="B72" t="str">
            <v>COCCION SALSA BLANCA SPOON (59450g)</v>
          </cell>
          <cell r="C72" t="str">
            <v>TANDA</v>
          </cell>
          <cell r="D72" t="str">
            <v>GRAMO</v>
          </cell>
          <cell r="E72">
            <v>86679.037859999997</v>
          </cell>
          <cell r="F72">
            <v>1.5698458364574843</v>
          </cell>
          <cell r="G72">
            <v>0</v>
          </cell>
          <cell r="H72">
            <v>0</v>
          </cell>
          <cell r="I72">
            <v>990</v>
          </cell>
          <cell r="J72">
            <v>1.7929910350448247E-2</v>
          </cell>
        </row>
        <row r="73">
          <cell r="A73" t="str">
            <v>95456</v>
          </cell>
          <cell r="B73" t="str">
            <v>RELLENO QUESO P/CHESSE CAKE LIMON IND (9040g)</v>
          </cell>
          <cell r="C73" t="str">
            <v>KILO</v>
          </cell>
          <cell r="D73" t="str">
            <v>GRAMO</v>
          </cell>
          <cell r="E73">
            <v>1906.379476806102</v>
          </cell>
          <cell r="F73">
            <v>1.906379476806102</v>
          </cell>
          <cell r="G73">
            <v>4.8684593023255807E-3</v>
          </cell>
          <cell r="H73">
            <v>4.8684593023255809E-6</v>
          </cell>
          <cell r="I73">
            <v>103.36444046909165</v>
          </cell>
          <cell r="J73">
            <v>0.10336444046909164</v>
          </cell>
        </row>
        <row r="74">
          <cell r="A74" t="str">
            <v>95460</v>
          </cell>
          <cell r="B74" t="str">
            <v>EMPAQUE CARNE MECHADA (1000g)</v>
          </cell>
          <cell r="C74" t="str">
            <v>KILO</v>
          </cell>
          <cell r="D74" t="str">
            <v>GRAMO</v>
          </cell>
          <cell r="E74">
            <v>6309.2999666666665</v>
          </cell>
          <cell r="F74">
            <v>6.309299966666666</v>
          </cell>
          <cell r="G74">
            <v>44.379882456140351</v>
          </cell>
          <cell r="H74">
            <v>4.437988245614035E-2</v>
          </cell>
          <cell r="I74">
            <v>221.36695906432749</v>
          </cell>
          <cell r="J74">
            <v>0.22136695906432749</v>
          </cell>
        </row>
        <row r="75">
          <cell r="A75" t="str">
            <v>95464</v>
          </cell>
          <cell r="B75" t="str">
            <v>FRIJOLES TIERNOS P/CHIFRIJO (12.900g)</v>
          </cell>
          <cell r="C75" t="str">
            <v>KILO</v>
          </cell>
          <cell r="D75" t="str">
            <v>GRAMO</v>
          </cell>
          <cell r="E75">
            <v>2800.6299308377893</v>
          </cell>
          <cell r="F75">
            <v>2.8006299308377893</v>
          </cell>
          <cell r="G75">
            <v>229.3948051948052</v>
          </cell>
          <cell r="H75">
            <v>0.22939480519480521</v>
          </cell>
          <cell r="I75">
            <v>190.47619047619045</v>
          </cell>
          <cell r="J75">
            <v>0.19047619047619047</v>
          </cell>
        </row>
        <row r="76">
          <cell r="A76" t="str">
            <v>95469</v>
          </cell>
          <cell r="B76" t="str">
            <v>PALITOS QUESO SPOON (7280g)</v>
          </cell>
          <cell r="C76" t="str">
            <v>KILO</v>
          </cell>
          <cell r="D76" t="str">
            <v>GRAMO</v>
          </cell>
          <cell r="E76">
            <v>3535.1172097809231</v>
          </cell>
          <cell r="F76">
            <v>3.5351172097809229</v>
          </cell>
          <cell r="G76">
            <v>3.0228780616802218</v>
          </cell>
          <cell r="H76">
            <v>3.0228780616802218E-3</v>
          </cell>
          <cell r="I76">
            <v>258.76075407832263</v>
          </cell>
          <cell r="J76">
            <v>0.25876075407832261</v>
          </cell>
        </row>
        <row r="77">
          <cell r="A77" t="str">
            <v>95471</v>
          </cell>
          <cell r="B77" t="str">
            <v>CORTE GALLETA GDE P/TORTA CHILENA (UND)</v>
          </cell>
          <cell r="C77" t="str">
            <v>UND</v>
          </cell>
          <cell r="D77" t="str">
            <v>UND</v>
          </cell>
          <cell r="E77">
            <v>124.95451935071979</v>
          </cell>
          <cell r="F77">
            <v>124.95451935071979</v>
          </cell>
          <cell r="G77">
            <v>0.39725898390898567</v>
          </cell>
          <cell r="H77">
            <v>0.39725898390898567</v>
          </cell>
          <cell r="I77">
            <v>19.596152667075415</v>
          </cell>
          <cell r="J77">
            <v>19.596152667075415</v>
          </cell>
        </row>
        <row r="78">
          <cell r="A78" t="str">
            <v>95478</v>
          </cell>
          <cell r="B78" t="str">
            <v>TRIANGULO PALMITO (UND)</v>
          </cell>
          <cell r="C78" t="str">
            <v>UND</v>
          </cell>
          <cell r="D78" t="str">
            <v>UND</v>
          </cell>
          <cell r="E78">
            <v>62.391946592877211</v>
          </cell>
          <cell r="F78">
            <v>62.391946592877211</v>
          </cell>
          <cell r="G78">
            <v>1.8165973221979714</v>
          </cell>
          <cell r="H78">
            <v>1.8165973221979714</v>
          </cell>
          <cell r="I78">
            <v>28.884304007653984</v>
          </cell>
          <cell r="J78">
            <v>28.884304007653984</v>
          </cell>
        </row>
        <row r="79">
          <cell r="A79" t="str">
            <v>95485</v>
          </cell>
          <cell r="B79" t="str">
            <v>ALMIBAR (31.300g)</v>
          </cell>
          <cell r="C79" t="str">
            <v>KILO</v>
          </cell>
          <cell r="D79" t="str">
            <v>GRAMO</v>
          </cell>
          <cell r="E79">
            <v>278.67987800638974</v>
          </cell>
          <cell r="F79">
            <v>0.27867987800638977</v>
          </cell>
          <cell r="G79">
            <v>5.4044722044728424</v>
          </cell>
          <cell r="H79">
            <v>5.4044722044728427E-3</v>
          </cell>
          <cell r="I79">
            <v>26.357827476038338</v>
          </cell>
          <cell r="J79">
            <v>2.6357827476038338E-2</v>
          </cell>
        </row>
        <row r="80">
          <cell r="A80" t="str">
            <v>95508</v>
          </cell>
          <cell r="B80" t="str">
            <v>COCCION SALSA HONGOS (16565g)</v>
          </cell>
          <cell r="C80" t="str">
            <v>KILO</v>
          </cell>
          <cell r="D80" t="str">
            <v>GRAMO</v>
          </cell>
          <cell r="E80">
            <v>2085.8923648665045</v>
          </cell>
          <cell r="F80">
            <v>2.0858923648665044</v>
          </cell>
          <cell r="G80">
            <v>0</v>
          </cell>
          <cell r="H80">
            <v>0</v>
          </cell>
          <cell r="I80">
            <v>83.434466019417485</v>
          </cell>
          <cell r="J80">
            <v>8.343446601941748E-2</v>
          </cell>
        </row>
        <row r="81">
          <cell r="A81" t="str">
            <v>95515</v>
          </cell>
          <cell r="B81" t="str">
            <v>PASTA CHILENA (23300g)</v>
          </cell>
          <cell r="C81" t="str">
            <v>TANDA</v>
          </cell>
          <cell r="D81" t="str">
            <v>GRAMO</v>
          </cell>
          <cell r="E81">
            <v>20134.403702399999</v>
          </cell>
          <cell r="F81">
            <v>0.8641374979570815</v>
          </cell>
          <cell r="G81">
            <v>64.728212063492066</v>
          </cell>
          <cell r="H81">
            <v>2.7780348525103891E-3</v>
          </cell>
          <cell r="I81">
            <v>632.5</v>
          </cell>
          <cell r="J81">
            <v>2.7145922746781116E-2</v>
          </cell>
        </row>
        <row r="82">
          <cell r="A82" t="str">
            <v>95518</v>
          </cell>
          <cell r="B82" t="str">
            <v>ROSQUETE CHOCOLATE BUCCA (1200g)</v>
          </cell>
          <cell r="C82" t="str">
            <v>UND</v>
          </cell>
          <cell r="D82" t="str">
            <v>UND</v>
          </cell>
          <cell r="E82">
            <v>1371.4088438210294</v>
          </cell>
          <cell r="F82">
            <v>1371.4088438210294</v>
          </cell>
          <cell r="G82">
            <v>22.694913484807593</v>
          </cell>
          <cell r="H82">
            <v>22.694913484807593</v>
          </cell>
          <cell r="I82">
            <v>85.973154362416096</v>
          </cell>
          <cell r="J82">
            <v>85.973154362416096</v>
          </cell>
        </row>
        <row r="83">
          <cell r="A83" t="str">
            <v>95525</v>
          </cell>
          <cell r="B83" t="str">
            <v>ROSQUETE ZANAHORIA PLANCHA (600g)</v>
          </cell>
          <cell r="C83" t="str">
            <v>UND</v>
          </cell>
          <cell r="D83" t="str">
            <v>UND</v>
          </cell>
          <cell r="E83">
            <v>1093.4703973114886</v>
          </cell>
          <cell r="F83">
            <v>1093.4703973114886</v>
          </cell>
          <cell r="G83">
            <v>26.890359737753734</v>
          </cell>
          <cell r="H83">
            <v>26.890359737753734</v>
          </cell>
          <cell r="I83">
            <v>119.92408474799313</v>
          </cell>
          <cell r="J83">
            <v>119.92408474799313</v>
          </cell>
        </row>
        <row r="84">
          <cell r="A84" t="str">
            <v>95536</v>
          </cell>
          <cell r="B84" t="str">
            <v>ROSQUETE PLANCHA RECT. KALUA (1400g)</v>
          </cell>
          <cell r="C84" t="str">
            <v>UND</v>
          </cell>
          <cell r="D84" t="str">
            <v>UND</v>
          </cell>
          <cell r="E84">
            <v>3652.8303693632033</v>
          </cell>
          <cell r="F84">
            <v>3652.8303693632033</v>
          </cell>
          <cell r="G84">
            <v>39.588047787151226</v>
          </cell>
          <cell r="H84">
            <v>39.588047787151226</v>
          </cell>
          <cell r="I84">
            <v>206.49054558740966</v>
          </cell>
          <cell r="J84">
            <v>206.49054558740966</v>
          </cell>
        </row>
        <row r="85">
          <cell r="A85" t="str">
            <v>903000001</v>
          </cell>
          <cell r="B85" t="str">
            <v>ROSQUETE ZANAHORIA C/PIÑA (450g)</v>
          </cell>
          <cell r="C85" t="str">
            <v>UND</v>
          </cell>
          <cell r="D85" t="str">
            <v>UND</v>
          </cell>
          <cell r="E85">
            <v>869.35986014250375</v>
          </cell>
          <cell r="F85">
            <v>869.35986014250375</v>
          </cell>
          <cell r="G85">
            <v>11.256012693707518</v>
          </cell>
          <cell r="H85">
            <v>11.256012693707518</v>
          </cell>
          <cell r="I85">
            <v>93.482197464990548</v>
          </cell>
          <cell r="J85">
            <v>93.482197464990548</v>
          </cell>
        </row>
        <row r="86">
          <cell r="A86" t="str">
            <v>95555</v>
          </cell>
          <cell r="B86" t="str">
            <v>BASE PREMEZCLA CHILENA (23524g)</v>
          </cell>
          <cell r="C86" t="str">
            <v>TANDA</v>
          </cell>
          <cell r="D86" t="str">
            <v>GRAMO</v>
          </cell>
          <cell r="E86">
            <v>20134.403702399999</v>
          </cell>
          <cell r="F86">
            <v>0.85590901642577788</v>
          </cell>
          <cell r="G86">
            <v>64.728212063492066</v>
          </cell>
          <cell r="H86">
            <v>2.7515818765300147E-3</v>
          </cell>
          <cell r="I86">
            <v>192.5</v>
          </cell>
          <cell r="J86">
            <v>8.1831321203876886E-3</v>
          </cell>
        </row>
        <row r="87">
          <cell r="A87" t="str">
            <v>906000034</v>
          </cell>
          <cell r="B87" t="str">
            <v>PASTA FROLA (13287g)</v>
          </cell>
          <cell r="C87" t="str">
            <v>TANDA</v>
          </cell>
          <cell r="D87" t="str">
            <v>GRAMO</v>
          </cell>
          <cell r="E87">
            <v>10312.653875999998</v>
          </cell>
          <cell r="F87">
            <v>0.77614614856626762</v>
          </cell>
          <cell r="G87">
            <v>43.169083809523819</v>
          </cell>
          <cell r="H87">
            <v>3.248971461543149E-3</v>
          </cell>
          <cell r="I87">
            <v>1155</v>
          </cell>
          <cell r="J87">
            <v>8.6927071573718678E-2</v>
          </cell>
        </row>
        <row r="88">
          <cell r="A88" t="str">
            <v>95574</v>
          </cell>
          <cell r="B88" t="str">
            <v>BASE PREMEZCLA CHOCOLATE CIABATTA (6006g)</v>
          </cell>
          <cell r="C88" t="str">
            <v>TANDA</v>
          </cell>
          <cell r="D88" t="str">
            <v>GRAMO</v>
          </cell>
          <cell r="E88">
            <v>23.83719</v>
          </cell>
          <cell r="F88">
            <v>0.95348759999999999</v>
          </cell>
          <cell r="G88">
            <v>2.9325322222222225</v>
          </cell>
          <cell r="H88">
            <v>0.1173012888888889</v>
          </cell>
          <cell r="I88">
            <v>110</v>
          </cell>
          <cell r="J88">
            <v>4.4000000000000004</v>
          </cell>
        </row>
        <row r="89">
          <cell r="A89" t="str">
            <v>95575</v>
          </cell>
          <cell r="B89" t="str">
            <v>COCO TOSTADO (5 Kg)</v>
          </cell>
          <cell r="C89" t="str">
            <v>KILO</v>
          </cell>
          <cell r="D89" t="str">
            <v>GRAMO</v>
          </cell>
          <cell r="E89">
            <v>2865.7082474226804</v>
          </cell>
          <cell r="F89">
            <v>2.8657082474226803</v>
          </cell>
          <cell r="G89">
            <v>0</v>
          </cell>
          <cell r="H89">
            <v>0</v>
          </cell>
          <cell r="I89">
            <v>57.731958762886599</v>
          </cell>
          <cell r="J89">
            <v>5.7731958762886601E-2</v>
          </cell>
        </row>
        <row r="90">
          <cell r="A90" t="str">
            <v>95591</v>
          </cell>
          <cell r="B90" t="str">
            <v>PECANA ENTERA TOSTADA (480g)</v>
          </cell>
          <cell r="C90" t="str">
            <v>KILO</v>
          </cell>
          <cell r="D90" t="str">
            <v>GRAMO</v>
          </cell>
          <cell r="E90">
            <v>10754.737500000001</v>
          </cell>
          <cell r="F90">
            <v>10.754737500000001</v>
          </cell>
          <cell r="G90">
            <v>26.431246874999999</v>
          </cell>
          <cell r="H90">
            <v>2.6431246874999998E-2</v>
          </cell>
          <cell r="I90">
            <v>116.66666666666667</v>
          </cell>
          <cell r="J90">
            <v>0.11666666666666667</v>
          </cell>
        </row>
        <row r="91">
          <cell r="A91" t="str">
            <v>95610</v>
          </cell>
          <cell r="B91" t="str">
            <v>BASE PREMEZCLA ZANAHORIA/PIÑA (5218g)</v>
          </cell>
          <cell r="C91" t="str">
            <v>TANDA</v>
          </cell>
          <cell r="D91" t="str">
            <v>GRAMO</v>
          </cell>
          <cell r="E91">
            <v>5181.0308002319098</v>
          </cell>
          <cell r="F91">
            <v>0.99291506328706591</v>
          </cell>
          <cell r="G91">
            <v>11.021531111111111</v>
          </cell>
          <cell r="H91">
            <v>2.1122137046974149E-3</v>
          </cell>
          <cell r="I91">
            <v>165</v>
          </cell>
          <cell r="J91">
            <v>3.1621310847067839E-2</v>
          </cell>
        </row>
        <row r="92">
          <cell r="A92" t="str">
            <v>95613</v>
          </cell>
          <cell r="B92" t="str">
            <v>BASE PREMEZCLA P/PASTA ALFAJOR  (23.360g)</v>
          </cell>
          <cell r="C92" t="str">
            <v>TANDA</v>
          </cell>
          <cell r="D92" t="str">
            <v>GRAMO</v>
          </cell>
          <cell r="E92">
            <v>20299.330214799997</v>
          </cell>
          <cell r="F92">
            <v>0.88169787667984179</v>
          </cell>
          <cell r="G92">
            <v>66.878521111111112</v>
          </cell>
          <cell r="H92">
            <v>2.9048569305091046E-3</v>
          </cell>
          <cell r="I92">
            <v>220</v>
          </cell>
          <cell r="J92">
            <v>9.5556617295747739E-3</v>
          </cell>
        </row>
        <row r="93">
          <cell r="A93" t="str">
            <v>95614</v>
          </cell>
          <cell r="B93" t="str">
            <v>BASE PREMEZCLA PASTA HOJALDRE (24.230 Kg)</v>
          </cell>
          <cell r="C93" t="str">
            <v>TANDA</v>
          </cell>
          <cell r="D93" t="str">
            <v>GRAMO</v>
          </cell>
          <cell r="E93">
            <v>20132.857961333335</v>
          </cell>
          <cell r="F93">
            <v>0.83090623034805344</v>
          </cell>
          <cell r="G93">
            <v>86.369083809523815</v>
          </cell>
          <cell r="H93">
            <v>3.5645515398070086E-3</v>
          </cell>
          <cell r="I93">
            <v>220</v>
          </cell>
          <cell r="J93">
            <v>9.0796533223276923E-3</v>
          </cell>
        </row>
        <row r="94">
          <cell r="A94" t="str">
            <v>95615</v>
          </cell>
          <cell r="B94" t="str">
            <v>BASE PREMEZCLA PASTA FROLA (10780g)</v>
          </cell>
          <cell r="C94" t="str">
            <v>TANDA</v>
          </cell>
          <cell r="D94" t="str">
            <v>GRAMO</v>
          </cell>
          <cell r="E94">
            <v>9105.8788759999989</v>
          </cell>
          <cell r="F94">
            <v>0.84470119443413716</v>
          </cell>
          <cell r="G94">
            <v>43.169083809523819</v>
          </cell>
          <cell r="H94">
            <v>4.0045532290838423E-3</v>
          </cell>
          <cell r="I94">
            <v>165</v>
          </cell>
          <cell r="J94">
            <v>1.5306122448979591E-2</v>
          </cell>
        </row>
        <row r="95">
          <cell r="A95" t="str">
            <v>95617</v>
          </cell>
          <cell r="B95" t="str">
            <v>ROSQUETE CHOCOLATE SPOON (480g)</v>
          </cell>
          <cell r="C95" t="str">
            <v>UND</v>
          </cell>
          <cell r="D95" t="str">
            <v>UND</v>
          </cell>
          <cell r="E95">
            <v>594.55641314299407</v>
          </cell>
          <cell r="F95">
            <v>594.55641314299407</v>
          </cell>
          <cell r="G95">
            <v>8.8747244644544399</v>
          </cell>
          <cell r="H95">
            <v>8.8747244644544399</v>
          </cell>
          <cell r="I95">
            <v>10.186722525631257</v>
          </cell>
          <cell r="J95">
            <v>8.8747244644544399</v>
          </cell>
        </row>
        <row r="96">
          <cell r="A96" t="str">
            <v>95621</v>
          </cell>
          <cell r="B96" t="str">
            <v>COCCION ARROZ P/ARROZ CON PALMITO (12900g)</v>
          </cell>
          <cell r="C96" t="str">
            <v>KILO</v>
          </cell>
          <cell r="D96" t="str">
            <v>GRAMO</v>
          </cell>
          <cell r="E96">
            <v>555.27255142460046</v>
          </cell>
          <cell r="F96">
            <v>0.55527255142460041</v>
          </cell>
          <cell r="G96">
            <v>9.0680071230020829</v>
          </cell>
          <cell r="H96">
            <v>9.0680071230020837E-3</v>
          </cell>
          <cell r="I96">
            <v>30.576789437109102</v>
          </cell>
          <cell r="J96">
            <v>3.0576789437109102E-2</v>
          </cell>
        </row>
        <row r="97">
          <cell r="A97" t="str">
            <v>95627</v>
          </cell>
          <cell r="B97" t="str">
            <v>MAYONESA CHIPOTLE (1630g)</v>
          </cell>
          <cell r="C97" t="str">
            <v>KILO</v>
          </cell>
          <cell r="D97" t="str">
            <v>GRAMO</v>
          </cell>
          <cell r="E97">
            <v>1295.8859589591082</v>
          </cell>
          <cell r="F97">
            <v>1.2958859589591081</v>
          </cell>
          <cell r="G97">
            <v>0</v>
          </cell>
          <cell r="H97">
            <v>0</v>
          </cell>
          <cell r="I97">
            <v>63.937562058905606</v>
          </cell>
          <cell r="J97">
            <v>6.3937562058905606E-2</v>
          </cell>
        </row>
        <row r="98">
          <cell r="A98" t="str">
            <v>95630</v>
          </cell>
          <cell r="B98" t="str">
            <v>ENSAMBLE PECHUGA RELLENAS (4220g)</v>
          </cell>
          <cell r="C98" t="str">
            <v>KILO</v>
          </cell>
          <cell r="D98" t="str">
            <v>GRAMO</v>
          </cell>
          <cell r="E98">
            <v>5854.0162985454544</v>
          </cell>
          <cell r="F98">
            <v>5.8540162985454547</v>
          </cell>
          <cell r="G98">
            <v>3.8195159090909088</v>
          </cell>
          <cell r="H98">
            <v>3.8195159090909088E-3</v>
          </cell>
          <cell r="I98">
            <v>200</v>
          </cell>
          <cell r="J98">
            <v>0.2</v>
          </cell>
        </row>
        <row r="99">
          <cell r="A99" t="str">
            <v>95634</v>
          </cell>
          <cell r="B99" t="str">
            <v>ADOBO PECHUGA PARRILLA  (41085g)</v>
          </cell>
          <cell r="C99" t="str">
            <v>TANDA</v>
          </cell>
          <cell r="D99" t="str">
            <v>GRAMO</v>
          </cell>
          <cell r="E99">
            <v>118986.07140922942</v>
          </cell>
          <cell r="F99">
            <v>2.8960952028533389</v>
          </cell>
          <cell r="G99">
            <v>145.32452499999999</v>
          </cell>
          <cell r="H99">
            <v>3.5371674577096262E-3</v>
          </cell>
          <cell r="I99">
            <v>825</v>
          </cell>
          <cell r="J99">
            <v>2.0080321285140562E-2</v>
          </cell>
        </row>
        <row r="100">
          <cell r="A100" t="str">
            <v>908000012</v>
          </cell>
          <cell r="B100" t="str">
            <v>QUESO PARMESANO RALLADO (4390g)</v>
          </cell>
          <cell r="C100" t="str">
            <v>TANDA</v>
          </cell>
          <cell r="D100" t="str">
            <v>GRAMO</v>
          </cell>
          <cell r="E100">
            <v>47256.901300000005</v>
          </cell>
          <cell r="F100">
            <v>10.764670000000001</v>
          </cell>
          <cell r="G100">
            <v>33.333333333333336</v>
          </cell>
          <cell r="H100">
            <v>7.5930144267274116E-3</v>
          </cell>
          <cell r="I100">
            <v>550</v>
          </cell>
          <cell r="J100">
            <v>0.12528473804100229</v>
          </cell>
        </row>
        <row r="101">
          <cell r="A101" t="str">
            <v>95645</v>
          </cell>
          <cell r="B101" t="str">
            <v>ADEREZO VINAGRETA ALBAHACA (8425g)</v>
          </cell>
          <cell r="C101" t="str">
            <v>KILO</v>
          </cell>
          <cell r="D101" t="str">
            <v>GRAMO</v>
          </cell>
          <cell r="E101">
            <v>2618.0027715133533</v>
          </cell>
          <cell r="F101">
            <v>2.6180027715133534</v>
          </cell>
          <cell r="G101">
            <v>1.6148845697329375</v>
          </cell>
          <cell r="H101">
            <v>1.6148845697329375E-3</v>
          </cell>
          <cell r="I101">
            <v>104.45103857566767</v>
          </cell>
          <cell r="J101">
            <v>0.10445103857566766</v>
          </cell>
        </row>
        <row r="102">
          <cell r="A102" t="str">
            <v>95647</v>
          </cell>
          <cell r="B102" t="str">
            <v>ADEREZO ALBAHACA ECONOMICO (3200g)</v>
          </cell>
          <cell r="C102" t="str">
            <v>KILO</v>
          </cell>
          <cell r="D102" t="str">
            <v>GRAMO</v>
          </cell>
          <cell r="E102">
            <v>1409.4139578205657</v>
          </cell>
          <cell r="F102">
            <v>1.4094139578205656</v>
          </cell>
          <cell r="G102">
            <v>17.647261779348639</v>
          </cell>
          <cell r="H102">
            <v>1.7647261779348639E-2</v>
          </cell>
          <cell r="I102">
            <v>160.61555153707053</v>
          </cell>
          <cell r="J102">
            <v>0.16061555153707052</v>
          </cell>
        </row>
        <row r="103">
          <cell r="A103" t="str">
            <v>95648</v>
          </cell>
          <cell r="B103" t="str">
            <v>ADEREZO GRILL (11.880g)</v>
          </cell>
          <cell r="C103" t="str">
            <v>KILO</v>
          </cell>
          <cell r="D103" t="str">
            <v>GRAMO</v>
          </cell>
          <cell r="E103">
            <v>1695.2357207995622</v>
          </cell>
          <cell r="F103">
            <v>1.6952357207995621</v>
          </cell>
          <cell r="G103">
            <v>0</v>
          </cell>
          <cell r="H103">
            <v>0</v>
          </cell>
          <cell r="I103">
            <v>76.76410146400913</v>
          </cell>
          <cell r="J103">
            <v>7.6764101464009124E-2</v>
          </cell>
        </row>
        <row r="104">
          <cell r="A104" t="str">
            <v>905000013</v>
          </cell>
          <cell r="B104" t="str">
            <v>RELLENO CARNE P/ LASAGÑA (23200g)</v>
          </cell>
          <cell r="C104" t="str">
            <v>TANDA</v>
          </cell>
          <cell r="D104" t="str">
            <v>GRAMO</v>
          </cell>
          <cell r="E104">
            <v>31898.076823666299</v>
          </cell>
          <cell r="F104">
            <v>1.374917104468375</v>
          </cell>
          <cell r="G104">
            <v>5.9263668296050645E-5</v>
          </cell>
          <cell r="H104">
            <v>2.5544684610366657E-9</v>
          </cell>
          <cell r="I104">
            <v>1925</v>
          </cell>
          <cell r="J104">
            <v>8.2974137931034489E-2</v>
          </cell>
        </row>
        <row r="105">
          <cell r="A105" t="str">
            <v>95658</v>
          </cell>
          <cell r="B105" t="str">
            <v>RELLENO POLLO CREPA (22110g)</v>
          </cell>
          <cell r="C105" t="str">
            <v>KILO</v>
          </cell>
          <cell r="D105" t="str">
            <v>GRAMO</v>
          </cell>
          <cell r="E105">
            <v>2660.688358043979</v>
          </cell>
          <cell r="F105">
            <v>2.6606883580439789</v>
          </cell>
          <cell r="G105">
            <v>0</v>
          </cell>
          <cell r="H105">
            <v>0</v>
          </cell>
          <cell r="I105">
            <v>145.58224975687065</v>
          </cell>
          <cell r="J105">
            <v>0.14558224975687065</v>
          </cell>
        </row>
        <row r="106">
          <cell r="A106" t="str">
            <v>95661</v>
          </cell>
          <cell r="B106" t="str">
            <v>ESPINACA SALTEADA (770g)</v>
          </cell>
          <cell r="C106" t="str">
            <v>KILO</v>
          </cell>
          <cell r="D106" t="str">
            <v>GRAMO</v>
          </cell>
          <cell r="E106">
            <v>4063.1987740259738</v>
          </cell>
          <cell r="F106">
            <v>4.0631987740259738</v>
          </cell>
          <cell r="G106">
            <v>0</v>
          </cell>
          <cell r="H106">
            <v>0</v>
          </cell>
          <cell r="I106">
            <v>428.57142857142856</v>
          </cell>
          <cell r="J106">
            <v>0.42857142857142855</v>
          </cell>
        </row>
        <row r="107">
          <cell r="A107" t="str">
            <v>95662</v>
          </cell>
          <cell r="B107" t="str">
            <v>HONGOS SALTEADOS P/LASAGÑA (2050g)</v>
          </cell>
          <cell r="C107" t="str">
            <v>KILO</v>
          </cell>
          <cell r="D107" t="str">
            <v>GRAMO</v>
          </cell>
          <cell r="E107">
            <v>4049.814453658536</v>
          </cell>
          <cell r="F107">
            <v>4.0498144536585361</v>
          </cell>
          <cell r="G107">
            <v>23.942232493224932</v>
          </cell>
          <cell r="H107">
            <v>2.394223249322493E-2</v>
          </cell>
          <cell r="I107">
            <v>214.63414634146341</v>
          </cell>
          <cell r="J107">
            <v>0.21463414634146341</v>
          </cell>
        </row>
        <row r="108">
          <cell r="A108" t="str">
            <v>95663</v>
          </cell>
          <cell r="B108" t="str">
            <v>COCCION RELLENO JAMON C/PETIT POIS (900g)</v>
          </cell>
          <cell r="C108" t="str">
            <v>KILO</v>
          </cell>
          <cell r="D108" t="str">
            <v>GRAMO</v>
          </cell>
          <cell r="E108">
            <v>2345.896137785714</v>
          </cell>
          <cell r="F108">
            <v>2.3458961377857142</v>
          </cell>
          <cell r="G108">
            <v>0</v>
          </cell>
          <cell r="H108">
            <v>0</v>
          </cell>
          <cell r="I108">
            <v>504</v>
          </cell>
          <cell r="J108">
            <v>0.504</v>
          </cell>
        </row>
        <row r="109">
          <cell r="A109" t="str">
            <v>95664</v>
          </cell>
          <cell r="B109" t="str">
            <v>RELLENO P/ PIE LIMON (8320g)</v>
          </cell>
          <cell r="C109" t="str">
            <v>TANDA</v>
          </cell>
          <cell r="D109" t="str">
            <v>GRAMO</v>
          </cell>
          <cell r="E109">
            <v>43395.107599999996</v>
          </cell>
          <cell r="F109">
            <v>2.0664336952380951</v>
          </cell>
          <cell r="G109">
            <v>9.8401604535147387E-5</v>
          </cell>
          <cell r="H109">
            <v>4.6857906921498757E-9</v>
          </cell>
          <cell r="I109">
            <v>440</v>
          </cell>
          <cell r="J109">
            <v>2.0952380952380951E-2</v>
          </cell>
        </row>
        <row r="110">
          <cell r="A110" t="str">
            <v>905000007</v>
          </cell>
          <cell r="B110" t="str">
            <v>RELLENO PALMITO PASTEL EMPACADO (28 Kg)</v>
          </cell>
          <cell r="C110" t="str">
            <v>KILO</v>
          </cell>
          <cell r="D110" t="str">
            <v>GRAMO</v>
          </cell>
          <cell r="E110">
            <v>5131.8064808497065</v>
          </cell>
          <cell r="F110">
            <v>1.7106021602832355</v>
          </cell>
          <cell r="G110">
            <v>115.4889219687858</v>
          </cell>
          <cell r="H110">
            <v>3.8496307322928601E-2</v>
          </cell>
          <cell r="I110">
            <v>323.14862542955325</v>
          </cell>
          <cell r="J110">
            <v>0.10771620847651775</v>
          </cell>
        </row>
        <row r="111">
          <cell r="A111" t="str">
            <v>95667</v>
          </cell>
          <cell r="B111" t="str">
            <v>RELLENO PALMITO P/TRIANGULO EMPACADO (9200g)</v>
          </cell>
          <cell r="C111" t="str">
            <v>KILO</v>
          </cell>
          <cell r="D111" t="str">
            <v>GRAMO</v>
          </cell>
          <cell r="E111">
            <v>2038.0660999328061</v>
          </cell>
          <cell r="F111">
            <v>2.0380660999328062</v>
          </cell>
          <cell r="G111">
            <v>4.5172418518518525</v>
          </cell>
          <cell r="H111">
            <v>4.517241851851852E-3</v>
          </cell>
          <cell r="I111">
            <v>146.00579710144928</v>
          </cell>
          <cell r="J111">
            <v>0.14600579710144929</v>
          </cell>
        </row>
        <row r="112">
          <cell r="A112" t="str">
            <v>95668</v>
          </cell>
          <cell r="B112" t="str">
            <v>RELLENO POLLO EMPANADA EMPACADO (3000g)</v>
          </cell>
          <cell r="C112" t="str">
            <v>BOLSA</v>
          </cell>
          <cell r="D112" t="str">
            <v>GRAMO</v>
          </cell>
          <cell r="E112">
            <v>7395.5237540378503</v>
          </cell>
          <cell r="F112">
            <v>2.4651745846792834</v>
          </cell>
          <cell r="G112">
            <v>20.237424173441738</v>
          </cell>
          <cell r="H112">
            <v>6.7458080578139124E-3</v>
          </cell>
          <cell r="I112">
            <v>364.13353658536585</v>
          </cell>
          <cell r="J112">
            <v>0.12137784552845528</v>
          </cell>
        </row>
        <row r="113">
          <cell r="A113" t="str">
            <v>95669</v>
          </cell>
          <cell r="B113" t="str">
            <v>RELLENO POLLO LAPIZ (KILO)</v>
          </cell>
          <cell r="C113" t="str">
            <v>KILO</v>
          </cell>
          <cell r="D113" t="str">
            <v>GRAMO</v>
          </cell>
          <cell r="E113">
            <v>2513.4827373616895</v>
          </cell>
          <cell r="F113">
            <v>2.5134827373616897</v>
          </cell>
          <cell r="G113">
            <v>6.0606404585955271</v>
          </cell>
          <cell r="H113">
            <v>6.060640458595527E-3</v>
          </cell>
          <cell r="I113">
            <v>183.62216169213232</v>
          </cell>
          <cell r="J113">
            <v>0.18362216169213233</v>
          </cell>
        </row>
        <row r="114">
          <cell r="A114" t="str">
            <v>909000003</v>
          </cell>
          <cell r="B114" t="str">
            <v>RELLENO POLLO PASTEL (20730 )</v>
          </cell>
          <cell r="C114" t="str">
            <v>TANDA</v>
          </cell>
          <cell r="D114" t="str">
            <v>GRAMO</v>
          </cell>
          <cell r="E114">
            <v>67505.462348400877</v>
          </cell>
          <cell r="F114">
            <v>3.2564140061939644</v>
          </cell>
          <cell r="G114">
            <v>0</v>
          </cell>
          <cell r="H114">
            <v>0</v>
          </cell>
          <cell r="I114">
            <v>8443.875</v>
          </cell>
          <cell r="J114">
            <v>0.40732633863965267</v>
          </cell>
        </row>
        <row r="115">
          <cell r="A115" t="str">
            <v>95673</v>
          </cell>
          <cell r="B115" t="str">
            <v>RELLENO ESPINACA- RICOTTA-TURRIALBA (4000g)</v>
          </cell>
          <cell r="C115" t="str">
            <v>KILO</v>
          </cell>
          <cell r="D115" t="str">
            <v>GRAMO</v>
          </cell>
          <cell r="E115">
            <v>3841.6118822489179</v>
          </cell>
          <cell r="F115">
            <v>3.8416118822489178</v>
          </cell>
          <cell r="G115">
            <v>5.5763980555555559</v>
          </cell>
          <cell r="H115">
            <v>5.5763980555555556E-3</v>
          </cell>
          <cell r="I115">
            <v>495.47619047619048</v>
          </cell>
          <cell r="J115">
            <v>0.49547619047619046</v>
          </cell>
        </row>
        <row r="116">
          <cell r="A116" t="str">
            <v>95674</v>
          </cell>
          <cell r="B116" t="str">
            <v>RELLENO TOPPING FRESA P/CHESSE CAKE (6200g)</v>
          </cell>
          <cell r="C116" t="str">
            <v>TANDA</v>
          </cell>
          <cell r="D116" t="str">
            <v>GRAMO</v>
          </cell>
          <cell r="E116">
            <v>13022.099999999999</v>
          </cell>
          <cell r="F116">
            <v>2.1003387096774193</v>
          </cell>
          <cell r="G116">
            <v>0</v>
          </cell>
          <cell r="H116">
            <v>0</v>
          </cell>
          <cell r="I116">
            <v>220</v>
          </cell>
          <cell r="J116">
            <v>3.5483870967741936E-2</v>
          </cell>
        </row>
        <row r="117">
          <cell r="A117" t="str">
            <v>95684</v>
          </cell>
          <cell r="B117" t="str">
            <v>COCCION SALSA P/ PECHUGA RELLENAS (11310g)</v>
          </cell>
          <cell r="C117" t="str">
            <v>TANDA</v>
          </cell>
          <cell r="D117" t="str">
            <v>GRAMO</v>
          </cell>
          <cell r="E117">
            <v>23723.05696794872</v>
          </cell>
          <cell r="F117">
            <v>2.2810631699950692</v>
          </cell>
          <cell r="G117">
            <v>0</v>
          </cell>
          <cell r="H117">
            <v>0</v>
          </cell>
          <cell r="I117">
            <v>1100</v>
          </cell>
          <cell r="J117">
            <v>0.10576923076923077</v>
          </cell>
        </row>
        <row r="118">
          <cell r="A118" t="str">
            <v>95686</v>
          </cell>
          <cell r="B118" t="str">
            <v>BORONA P/DECORAR (1.2 Kg)</v>
          </cell>
          <cell r="C118" t="str">
            <v>KILO</v>
          </cell>
          <cell r="D118" t="str">
            <v>GRAMO</v>
          </cell>
          <cell r="E118">
            <v>772.08662258648451</v>
          </cell>
          <cell r="F118">
            <v>0.77208662258648453</v>
          </cell>
          <cell r="G118">
            <v>14.38705991552634</v>
          </cell>
          <cell r="H118">
            <v>1.4387059915526339E-2</v>
          </cell>
          <cell r="I118">
            <v>351.50525510854789</v>
          </cell>
          <cell r="J118">
            <v>0.35150525510854791</v>
          </cell>
        </row>
        <row r="119">
          <cell r="A119" t="str">
            <v>95688</v>
          </cell>
          <cell r="B119" t="str">
            <v>BASE GALLETA P/CHESSE CAKE (6600 Kg)</v>
          </cell>
          <cell r="C119" t="str">
            <v>TANDA</v>
          </cell>
          <cell r="D119" t="str">
            <v>GRAMO</v>
          </cell>
          <cell r="E119">
            <v>13484.954282537949</v>
          </cell>
          <cell r="F119">
            <v>2.0431748912936287</v>
          </cell>
          <cell r="G119">
            <v>5.7817285407608283</v>
          </cell>
          <cell r="H119">
            <v>8.7601947587285275E-4</v>
          </cell>
          <cell r="I119">
            <v>1235.1789384001049</v>
          </cell>
          <cell r="J119">
            <v>0.18714832400001591</v>
          </cell>
        </row>
        <row r="120">
          <cell r="A120" t="str">
            <v>95689</v>
          </cell>
          <cell r="B120" t="str">
            <v>GANACHE CHOCOLATE BLANCO (39295g)</v>
          </cell>
          <cell r="C120" t="str">
            <v>KILO</v>
          </cell>
          <cell r="D120" t="str">
            <v>GRAMO</v>
          </cell>
          <cell r="E120">
            <v>2295.4103798822898</v>
          </cell>
          <cell r="F120">
            <v>2.29541037988229</v>
          </cell>
          <cell r="G120">
            <v>0</v>
          </cell>
          <cell r="H120">
            <v>0</v>
          </cell>
          <cell r="I120">
            <v>36.784376672017125</v>
          </cell>
          <cell r="J120">
            <v>3.6784376672017123E-2</v>
          </cell>
        </row>
        <row r="121">
          <cell r="A121" t="str">
            <v>95690</v>
          </cell>
          <cell r="B121" t="str">
            <v>GANACHE C/COBERTURA CHOCOC.OSCURO (38.800g)</v>
          </cell>
          <cell r="C121" t="str">
            <v>KILO</v>
          </cell>
          <cell r="D121" t="str">
            <v>GRAMO</v>
          </cell>
          <cell r="E121">
            <v>3339.2113022113017</v>
          </cell>
          <cell r="F121">
            <v>3.3392113022113019</v>
          </cell>
          <cell r="G121">
            <v>0</v>
          </cell>
          <cell r="H121">
            <v>0</v>
          </cell>
          <cell r="I121">
            <v>41.277641277641273</v>
          </cell>
          <cell r="J121">
            <v>4.1277641277641275E-2</v>
          </cell>
        </row>
        <row r="122">
          <cell r="A122" t="str">
            <v>95691</v>
          </cell>
          <cell r="B122" t="str">
            <v>GLACE COLORES (4200g)</v>
          </cell>
          <cell r="C122" t="str">
            <v>KILO</v>
          </cell>
          <cell r="D122" t="str">
            <v>GRAMO</v>
          </cell>
          <cell r="E122">
            <v>2087.7863897360139</v>
          </cell>
          <cell r="F122">
            <v>2.087786389736014</v>
          </cell>
          <cell r="G122">
            <v>4.8027942628418954</v>
          </cell>
          <cell r="H122">
            <v>4.8027942628418949E-3</v>
          </cell>
          <cell r="I122">
            <v>489.65977318212146</v>
          </cell>
          <cell r="J122">
            <v>0.48965977318212145</v>
          </cell>
        </row>
        <row r="123">
          <cell r="A123" t="str">
            <v>95692</v>
          </cell>
          <cell r="B123" t="str">
            <v>JUGO DE LIMON (11 LIT)</v>
          </cell>
          <cell r="C123" t="str">
            <v>TANDA</v>
          </cell>
          <cell r="D123" t="str">
            <v>Mililitro</v>
          </cell>
          <cell r="E123">
            <v>4413.9799999999996</v>
          </cell>
          <cell r="F123">
            <v>0.40127090909090907</v>
          </cell>
          <cell r="G123">
            <v>25.02874111111111</v>
          </cell>
          <cell r="H123">
            <v>2.2753401010101007E-3</v>
          </cell>
          <cell r="I123">
            <v>165</v>
          </cell>
          <cell r="J123">
            <v>1.4999999999999999E-2</v>
          </cell>
        </row>
        <row r="124">
          <cell r="A124" t="str">
            <v>95695</v>
          </cell>
          <cell r="B124" t="str">
            <v>MERENGUE DESHIDRATADO RICH (4450g)</v>
          </cell>
          <cell r="C124" t="str">
            <v>TANDA</v>
          </cell>
          <cell r="D124" t="str">
            <v>GRAMO</v>
          </cell>
          <cell r="E124">
            <v>8079.450220264318</v>
          </cell>
          <cell r="F124">
            <v>1.8156067910706333</v>
          </cell>
          <cell r="G124">
            <v>0</v>
          </cell>
          <cell r="H124">
            <v>0</v>
          </cell>
          <cell r="I124">
            <v>440</v>
          </cell>
          <cell r="J124">
            <v>9.8876404494382023E-2</v>
          </cell>
        </row>
        <row r="125">
          <cell r="A125" t="str">
            <v>95700</v>
          </cell>
          <cell r="B125" t="str">
            <v>MOUSSE CHOCOLATE P/TORTA TRICOLOR (4.020g)</v>
          </cell>
          <cell r="C125" t="str">
            <v>KILO</v>
          </cell>
          <cell r="D125" t="str">
            <v>GRAMO</v>
          </cell>
          <cell r="E125">
            <v>1523.5163862821087</v>
          </cell>
          <cell r="F125">
            <v>1.5235163862821086</v>
          </cell>
          <cell r="G125">
            <v>0</v>
          </cell>
          <cell r="H125">
            <v>0</v>
          </cell>
          <cell r="I125">
            <v>119.93252621015097</v>
          </cell>
          <cell r="J125">
            <v>0.11993252621015096</v>
          </cell>
        </row>
        <row r="126">
          <cell r="A126" t="str">
            <v>905000028</v>
          </cell>
          <cell r="B126" t="str">
            <v>RELLENO QUESO P/TORTA ZANAHORIA (11100g)</v>
          </cell>
          <cell r="C126" t="str">
            <v>TANDA</v>
          </cell>
          <cell r="D126" t="str">
            <v>GRAMO</v>
          </cell>
          <cell r="E126">
            <v>31183.261017866665</v>
          </cell>
          <cell r="F126">
            <v>2.8348419107151512</v>
          </cell>
          <cell r="G126">
            <v>0</v>
          </cell>
          <cell r="H126">
            <v>0</v>
          </cell>
          <cell r="I126">
            <v>330</v>
          </cell>
          <cell r="J126">
            <v>0.03</v>
          </cell>
        </row>
        <row r="127">
          <cell r="A127" t="str">
            <v>95709</v>
          </cell>
          <cell r="B127" t="str">
            <v>PASTA TARTALETA/CANASTA (6700GR)</v>
          </cell>
          <cell r="C127" t="str">
            <v>KILO</v>
          </cell>
          <cell r="D127" t="str">
            <v>GRAMO</v>
          </cell>
          <cell r="E127">
            <v>1321.0764681203009</v>
          </cell>
          <cell r="F127">
            <v>1.3210764681203009</v>
          </cell>
          <cell r="G127">
            <v>9.8510435851533611</v>
          </cell>
          <cell r="H127">
            <v>9.8510435851533618E-3</v>
          </cell>
          <cell r="I127">
            <v>78.571428571428569</v>
          </cell>
          <cell r="J127">
            <v>7.857142857142857E-2</v>
          </cell>
        </row>
        <row r="128">
          <cell r="A128" t="str">
            <v>95716</v>
          </cell>
          <cell r="B128" t="str">
            <v>CREMA CHANTILLY FIGURITAS (6000g)</v>
          </cell>
          <cell r="C128" t="str">
            <v>KILO</v>
          </cell>
          <cell r="D128" t="str">
            <v>GRAMO</v>
          </cell>
          <cell r="E128">
            <v>1668.6120000000001</v>
          </cell>
          <cell r="F128">
            <v>1.668612</v>
          </cell>
          <cell r="G128">
            <v>0</v>
          </cell>
          <cell r="H128">
            <v>0</v>
          </cell>
          <cell r="I128">
            <v>46.666666666666671</v>
          </cell>
          <cell r="J128">
            <v>4.6666666666666669E-2</v>
          </cell>
        </row>
        <row r="129">
          <cell r="A129" t="str">
            <v>95717</v>
          </cell>
          <cell r="B129" t="str">
            <v>CREMA CHANTILLY BLANCA SPOON-IND (20800g)</v>
          </cell>
          <cell r="C129" t="str">
            <v>KILO</v>
          </cell>
          <cell r="D129" t="str">
            <v>GRAMO</v>
          </cell>
          <cell r="E129">
            <v>35437.302314</v>
          </cell>
          <cell r="F129">
            <v>1.7037164574038461</v>
          </cell>
          <cell r="G129">
            <v>1.1990000000000001</v>
          </cell>
          <cell r="H129">
            <v>5.764423076923077E-5</v>
          </cell>
          <cell r="I129">
            <v>550</v>
          </cell>
          <cell r="J129">
            <v>2.6442307692307692E-2</v>
          </cell>
        </row>
        <row r="130">
          <cell r="A130" t="str">
            <v>910000014</v>
          </cell>
          <cell r="B130" t="str">
            <v>CREMA CHANTILLY CHOCO (SPOON-IND)(24875g)</v>
          </cell>
          <cell r="C130" t="str">
            <v>KILO</v>
          </cell>
          <cell r="D130" t="str">
            <v>GRAMO</v>
          </cell>
          <cell r="E130">
            <v>44224.302314</v>
          </cell>
          <cell r="F130">
            <v>1.777861399557789</v>
          </cell>
          <cell r="G130">
            <v>0</v>
          </cell>
          <cell r="H130">
            <v>0</v>
          </cell>
          <cell r="I130">
            <v>330</v>
          </cell>
          <cell r="J130">
            <v>1.3266331658291457E-2</v>
          </cell>
        </row>
        <row r="131">
          <cell r="A131" t="str">
            <v>95719</v>
          </cell>
          <cell r="B131" t="str">
            <v>CREMA CHANTILLY CAFE (21 Kg)</v>
          </cell>
          <cell r="C131" t="str">
            <v>KILO</v>
          </cell>
          <cell r="D131" t="str">
            <v>GRAMO</v>
          </cell>
          <cell r="E131">
            <v>37164.17</v>
          </cell>
          <cell r="F131">
            <v>1.7820268520738431</v>
          </cell>
          <cell r="G131">
            <v>0</v>
          </cell>
          <cell r="H131">
            <v>0</v>
          </cell>
          <cell r="I131">
            <v>560</v>
          </cell>
          <cell r="J131">
            <v>2.685207384320307E-2</v>
          </cell>
        </row>
        <row r="132">
          <cell r="A132" t="str">
            <v>95720</v>
          </cell>
          <cell r="B132" t="str">
            <v>MEZCLA ENGRASE MOLDES (29800g)</v>
          </cell>
          <cell r="C132" t="str">
            <v>KILO</v>
          </cell>
          <cell r="D132" t="str">
            <v>GRAMO</v>
          </cell>
          <cell r="E132">
            <v>24772</v>
          </cell>
          <cell r="F132">
            <v>0.83127516778523491</v>
          </cell>
          <cell r="G132">
            <v>337.97076000000004</v>
          </cell>
          <cell r="H132">
            <v>1.1341300671140942E-2</v>
          </cell>
          <cell r="I132">
            <v>1650</v>
          </cell>
          <cell r="J132">
            <v>5.5369127516778527E-2</v>
          </cell>
        </row>
        <row r="133">
          <cell r="A133" t="str">
            <v>95721</v>
          </cell>
          <cell r="B133" t="str">
            <v>BASE PREMEZCLA P/SUSPIRO (4055g)</v>
          </cell>
          <cell r="C133" t="str">
            <v>TANDA</v>
          </cell>
          <cell r="D133" t="str">
            <v>GRAMO</v>
          </cell>
          <cell r="E133">
            <v>11950.755438000002</v>
          </cell>
          <cell r="F133">
            <v>2.9471653361282373</v>
          </cell>
          <cell r="G133">
            <v>11.020357777777779</v>
          </cell>
          <cell r="H133">
            <v>2.7177207836689959E-3</v>
          </cell>
          <cell r="I133">
            <v>110</v>
          </cell>
          <cell r="J133">
            <v>2.7127003699136867E-2</v>
          </cell>
        </row>
        <row r="134">
          <cell r="A134" t="str">
            <v>95722</v>
          </cell>
          <cell r="B134" t="str">
            <v>ROSQUETE VAINILLA PURATOS (350g)</v>
          </cell>
          <cell r="C134" t="str">
            <v>UND</v>
          </cell>
          <cell r="D134" t="str">
            <v>UND</v>
          </cell>
          <cell r="E134">
            <v>292.26357191221223</v>
          </cell>
          <cell r="F134">
            <v>292.26357191221223</v>
          </cell>
          <cell r="G134">
            <v>6.3708003318896704</v>
          </cell>
          <cell r="H134">
            <v>6.3708003318896704</v>
          </cell>
          <cell r="I134">
            <v>9.0835665091884792</v>
          </cell>
          <cell r="J134">
            <v>9.0835665091884792</v>
          </cell>
        </row>
        <row r="135">
          <cell r="A135" t="str">
            <v>95723</v>
          </cell>
          <cell r="B135" t="str">
            <v>ROSQUETE CHOCOLATE BUCCA  (425g)</v>
          </cell>
          <cell r="C135" t="str">
            <v>UND</v>
          </cell>
          <cell r="D135" t="str">
            <v>UND</v>
          </cell>
          <cell r="E135">
            <v>474.88237784340049</v>
          </cell>
          <cell r="F135">
            <v>474.88237784340049</v>
          </cell>
          <cell r="G135">
            <v>9.1301279333483265</v>
          </cell>
          <cell r="H135">
            <v>9.1301279333483265</v>
          </cell>
          <cell r="I135">
            <v>46.30613969674372</v>
          </cell>
          <cell r="J135">
            <v>46.30613969674372</v>
          </cell>
        </row>
        <row r="136">
          <cell r="A136" t="str">
            <v>95732</v>
          </cell>
          <cell r="B136" t="str">
            <v>PLANCHA ROSQUETE ZANAHORIA (900g)</v>
          </cell>
          <cell r="C136" t="str">
            <v>UND</v>
          </cell>
          <cell r="D136" t="str">
            <v>UND</v>
          </cell>
          <cell r="E136">
            <v>1631.6073961350182</v>
          </cell>
          <cell r="F136">
            <v>1631.6073961350182</v>
          </cell>
          <cell r="G136">
            <v>33.643738712590341</v>
          </cell>
          <cell r="H136">
            <v>33.643738712590341</v>
          </cell>
          <cell r="I136">
            <v>179.32800631662062</v>
          </cell>
          <cell r="J136">
            <v>179.32800631662062</v>
          </cell>
        </row>
        <row r="137">
          <cell r="A137" t="str">
            <v>95736</v>
          </cell>
          <cell r="B137" t="str">
            <v>SALSA FRESA (1980g)</v>
          </cell>
          <cell r="C137" t="str">
            <v>TANDA</v>
          </cell>
          <cell r="D137" t="str">
            <v>GRAMO</v>
          </cell>
          <cell r="E137">
            <v>9718.1740000000009</v>
          </cell>
          <cell r="F137">
            <v>2.557414210526316</v>
          </cell>
          <cell r="G137">
            <v>10.8</v>
          </cell>
          <cell r="H137">
            <v>2.8421052631578949E-3</v>
          </cell>
          <cell r="I137">
            <v>220</v>
          </cell>
          <cell r="J137">
            <v>5.7894736842105263E-2</v>
          </cell>
        </row>
        <row r="138">
          <cell r="A138" t="str">
            <v>95739</v>
          </cell>
          <cell r="B138" t="str">
            <v>COCCION PAPA P/PURE (1000g)</v>
          </cell>
          <cell r="C138" t="str">
            <v>KILO</v>
          </cell>
          <cell r="D138" t="str">
            <v>GRAMO</v>
          </cell>
          <cell r="E138">
            <v>1505.085</v>
          </cell>
          <cell r="F138">
            <v>1.505085</v>
          </cell>
          <cell r="G138">
            <v>10.958269000000001</v>
          </cell>
          <cell r="H138">
            <v>1.0958269000000001E-2</v>
          </cell>
          <cell r="I138">
            <v>110</v>
          </cell>
          <cell r="J138">
            <v>0.11</v>
          </cell>
        </row>
        <row r="139">
          <cell r="A139" t="str">
            <v>95742</v>
          </cell>
          <cell r="B139" t="str">
            <v>ADEREZO ALCAPARRAS Y ANCHOAS (1280g)</v>
          </cell>
          <cell r="C139" t="str">
            <v>KILO</v>
          </cell>
          <cell r="D139" t="str">
            <v>GRAMO</v>
          </cell>
          <cell r="E139">
            <v>3186.3497932995865</v>
          </cell>
          <cell r="F139">
            <v>3.1863497932995863</v>
          </cell>
          <cell r="G139">
            <v>10.480755004741077</v>
          </cell>
          <cell r="H139">
            <v>1.0480755004741077E-2</v>
          </cell>
          <cell r="I139">
            <v>220.34519033879377</v>
          </cell>
          <cell r="J139">
            <v>0.22034519033879377</v>
          </cell>
        </row>
        <row r="140">
          <cell r="A140" t="str">
            <v>95743</v>
          </cell>
          <cell r="B140" t="str">
            <v>ADEREZO TEJANO (700g)</v>
          </cell>
          <cell r="C140" t="str">
            <v>KILO</v>
          </cell>
          <cell r="D140" t="str">
            <v>GRAMO</v>
          </cell>
          <cell r="E140">
            <v>1519.4840372487097</v>
          </cell>
          <cell r="F140">
            <v>1.5194840372487097</v>
          </cell>
          <cell r="G140">
            <v>0</v>
          </cell>
          <cell r="H140">
            <v>0</v>
          </cell>
          <cell r="I140">
            <v>380.61649851794556</v>
          </cell>
          <cell r="J140">
            <v>0.38061649851794555</v>
          </cell>
        </row>
        <row r="141">
          <cell r="A141" t="str">
            <v>95745</v>
          </cell>
          <cell r="B141" t="str">
            <v>CARNE MECHADA ARREGLADA (3170g)</v>
          </cell>
          <cell r="C141" t="str">
            <v>KILO</v>
          </cell>
          <cell r="D141" t="str">
            <v>GRAMO</v>
          </cell>
          <cell r="E141">
            <v>4022.521239392076</v>
          </cell>
          <cell r="F141">
            <v>4.0225212393920762</v>
          </cell>
          <cell r="G141">
            <v>42.743247032468886</v>
          </cell>
          <cell r="H141">
            <v>4.2743247032468887E-2</v>
          </cell>
          <cell r="I141">
            <v>256.04155281028466</v>
          </cell>
          <cell r="J141">
            <v>0.25604155281028468</v>
          </cell>
        </row>
        <row r="142">
          <cell r="A142" t="str">
            <v>95776</v>
          </cell>
          <cell r="B142" t="str">
            <v>BASE PREMEZCLA VAINILLA PURATOS (12522g)</v>
          </cell>
          <cell r="C142" t="str">
            <v>KILO</v>
          </cell>
          <cell r="D142" t="str">
            <v>GRAMO</v>
          </cell>
          <cell r="E142">
            <v>1909.9114799999998</v>
          </cell>
          <cell r="F142">
            <v>0.4813284979838709</v>
          </cell>
          <cell r="G142">
            <v>45.869093809523811</v>
          </cell>
          <cell r="H142">
            <v>1.1559751464093703E-2</v>
          </cell>
          <cell r="I142">
            <v>110</v>
          </cell>
          <cell r="J142">
            <v>2.7721774193548387E-2</v>
          </cell>
        </row>
        <row r="143">
          <cell r="A143" t="str">
            <v>95781</v>
          </cell>
          <cell r="B143" t="str">
            <v>BASE PREMEZCLA GALLETA JENGIBRE (10081g)</v>
          </cell>
          <cell r="C143" t="str">
            <v>TANDA</v>
          </cell>
          <cell r="D143" t="str">
            <v>GRAMO</v>
          </cell>
          <cell r="E143">
            <v>8815.3442730000006</v>
          </cell>
          <cell r="F143">
            <v>0.87445137119333405</v>
          </cell>
          <cell r="G143">
            <v>53.963805396825393</v>
          </cell>
          <cell r="H143">
            <v>5.3530210690234496E-3</v>
          </cell>
          <cell r="I143">
            <v>280</v>
          </cell>
          <cell r="J143">
            <v>2.7775022319214363E-2</v>
          </cell>
        </row>
        <row r="144">
          <cell r="A144" t="str">
            <v>95784</v>
          </cell>
          <cell r="B144" t="str">
            <v>EMPAQUE SALSA ROJA SPOON (2000g)</v>
          </cell>
          <cell r="C144" t="str">
            <v>BOLSA</v>
          </cell>
          <cell r="D144" t="str">
            <v>GRAMO</v>
          </cell>
          <cell r="E144">
            <v>3540.6923279097305</v>
          </cell>
          <cell r="F144">
            <v>1.1802307759699102</v>
          </cell>
          <cell r="G144">
            <v>28.15436968503937</v>
          </cell>
          <cell r="H144">
            <v>9.3847898950131237E-3</v>
          </cell>
          <cell r="I144">
            <v>177.08700787401574</v>
          </cell>
          <cell r="J144">
            <v>5.9029002624671915E-2</v>
          </cell>
        </row>
        <row r="145">
          <cell r="A145" t="str">
            <v>95785</v>
          </cell>
          <cell r="B145" t="str">
            <v>COCCION BERENJENA EMPARRILLADA (2880g)</v>
          </cell>
          <cell r="C145" t="str">
            <v>KILO</v>
          </cell>
          <cell r="D145" t="str">
            <v>GRAMO</v>
          </cell>
          <cell r="E145">
            <v>2635.993496521739</v>
          </cell>
          <cell r="F145">
            <v>2.6359934965217389</v>
          </cell>
          <cell r="G145">
            <v>0</v>
          </cell>
          <cell r="H145">
            <v>0</v>
          </cell>
          <cell r="I145">
            <v>486.95652173913044</v>
          </cell>
          <cell r="J145">
            <v>0.48695652173913045</v>
          </cell>
        </row>
        <row r="146">
          <cell r="A146" t="str">
            <v>95786</v>
          </cell>
          <cell r="B146" t="str">
            <v>COCCION ZUCCINI EMPARRILLADO (1600g)</v>
          </cell>
          <cell r="C146" t="str">
            <v>KILO</v>
          </cell>
          <cell r="D146" t="str">
            <v>GRAMO</v>
          </cell>
          <cell r="E146">
            <v>5064.2918999999993</v>
          </cell>
          <cell r="F146">
            <v>5.0642918999999988</v>
          </cell>
          <cell r="G146">
            <v>0</v>
          </cell>
          <cell r="H146">
            <v>0</v>
          </cell>
          <cell r="I146">
            <v>687.5</v>
          </cell>
          <cell r="J146">
            <v>0.6875</v>
          </cell>
        </row>
        <row r="147">
          <cell r="A147" t="str">
            <v>95789</v>
          </cell>
          <cell r="B147" t="str">
            <v>CREMA CON MANJAR (21000g)</v>
          </cell>
          <cell r="C147" t="str">
            <v>KILO</v>
          </cell>
          <cell r="D147" t="str">
            <v>GRAMO</v>
          </cell>
          <cell r="E147">
            <v>1874.0260666666668</v>
          </cell>
          <cell r="F147">
            <v>1.8740260666666668</v>
          </cell>
          <cell r="G147">
            <v>4.7666666666666663E-2</v>
          </cell>
          <cell r="H147">
            <v>4.7666666666666662E-5</v>
          </cell>
          <cell r="I147">
            <v>26.666666666666668</v>
          </cell>
          <cell r="J147">
            <v>2.6666666666666668E-2</v>
          </cell>
        </row>
        <row r="148">
          <cell r="A148" t="str">
            <v>95790</v>
          </cell>
          <cell r="B148" t="str">
            <v>CALDO P/SOPA NEGRA (1.780g)</v>
          </cell>
          <cell r="C148" t="str">
            <v>KILO</v>
          </cell>
          <cell r="D148" t="str">
            <v>GRAMO</v>
          </cell>
          <cell r="E148">
            <v>752.71955666666668</v>
          </cell>
          <cell r="F148">
            <v>0.75271955666666668</v>
          </cell>
          <cell r="G148">
            <v>0</v>
          </cell>
          <cell r="H148">
            <v>0</v>
          </cell>
          <cell r="I148">
            <v>137.5</v>
          </cell>
          <cell r="J148">
            <v>0.13750000000000001</v>
          </cell>
        </row>
        <row r="149">
          <cell r="A149" t="str">
            <v>95793</v>
          </cell>
          <cell r="B149" t="str">
            <v>ALMIBAR DE CAFE (12.1 Kg)</v>
          </cell>
          <cell r="C149" t="str">
            <v>KILO</v>
          </cell>
          <cell r="D149" t="str">
            <v>GRAMO</v>
          </cell>
          <cell r="E149">
            <v>408.48461283764158</v>
          </cell>
          <cell r="F149">
            <v>0.40848461283764159</v>
          </cell>
          <cell r="G149">
            <v>7.6222862358408356</v>
          </cell>
          <cell r="H149">
            <v>7.6222862358408354E-3</v>
          </cell>
          <cell r="I149">
            <v>49.755762680537586</v>
          </cell>
          <cell r="J149">
            <v>4.9755762680537587E-2</v>
          </cell>
        </row>
        <row r="150">
          <cell r="A150" t="str">
            <v>95795</v>
          </cell>
          <cell r="B150" t="str">
            <v>BASE PREMEZCLA P/ PAN BLANCO (8156g)</v>
          </cell>
          <cell r="C150" t="str">
            <v>TANDA</v>
          </cell>
          <cell r="D150" t="str">
            <v>GRAMO</v>
          </cell>
          <cell r="E150">
            <v>10933.471006</v>
          </cell>
          <cell r="F150">
            <v>0.67926633983598406</v>
          </cell>
          <cell r="G150">
            <v>45.865592698412698</v>
          </cell>
          <cell r="H150">
            <v>2.8495025284799142E-3</v>
          </cell>
          <cell r="I150">
            <v>110</v>
          </cell>
          <cell r="J150">
            <v>6.8339960238568585E-3</v>
          </cell>
        </row>
        <row r="151">
          <cell r="A151" t="str">
            <v>95797</v>
          </cell>
          <cell r="B151" t="str">
            <v>BOLLETA PAN BLANCO 140G (UND)</v>
          </cell>
          <cell r="C151" t="str">
            <v>UND</v>
          </cell>
          <cell r="D151" t="str">
            <v>UND</v>
          </cell>
          <cell r="E151">
            <v>71.121492454165036</v>
          </cell>
          <cell r="F151">
            <v>71.121492454165036</v>
          </cell>
          <cell r="G151">
            <v>0.27852989712318466</v>
          </cell>
          <cell r="H151">
            <v>0.27852989712318466</v>
          </cell>
          <cell r="I151">
            <v>18.51807179710579</v>
          </cell>
          <cell r="J151">
            <v>18.51807179710579</v>
          </cell>
        </row>
        <row r="152">
          <cell r="A152" t="str">
            <v>95803</v>
          </cell>
          <cell r="B152" t="str">
            <v>GALLETA P/ALFAJOR MEDIANO (UND)</v>
          </cell>
          <cell r="C152" t="str">
            <v>UND</v>
          </cell>
          <cell r="D152" t="str">
            <v>UND</v>
          </cell>
          <cell r="E152">
            <v>14.066912117670235</v>
          </cell>
          <cell r="F152">
            <v>14.066912117670235</v>
          </cell>
          <cell r="G152">
            <v>4.4991244674881463E-2</v>
          </cell>
          <cell r="H152">
            <v>4.4991244674881463E-2</v>
          </cell>
          <cell r="I152">
            <v>5.4696969696969697</v>
          </cell>
          <cell r="J152">
            <v>5.4696969696969697</v>
          </cell>
        </row>
        <row r="153">
          <cell r="A153" t="str">
            <v>95805</v>
          </cell>
          <cell r="B153" t="str">
            <v>ROSQUETE CHOCOLATE SPOON RED  (400g)</v>
          </cell>
          <cell r="C153" t="str">
            <v>UND</v>
          </cell>
          <cell r="D153" t="str">
            <v>UND</v>
          </cell>
          <cell r="E153">
            <v>515.15772492823965</v>
          </cell>
          <cell r="F153">
            <v>515.15772492823965</v>
          </cell>
          <cell r="G153">
            <v>7.9348272087369232</v>
          </cell>
          <cell r="H153">
            <v>7.9348272087369232</v>
          </cell>
          <cell r="I153">
            <v>19.624901438899521</v>
          </cell>
          <cell r="J153">
            <v>19.624901438899521</v>
          </cell>
        </row>
        <row r="154">
          <cell r="A154" t="str">
            <v>95812</v>
          </cell>
          <cell r="B154" t="str">
            <v>TOCINETA FRITA (265g)</v>
          </cell>
          <cell r="C154" t="str">
            <v>KILO</v>
          </cell>
          <cell r="D154" t="str">
            <v>GRAMO</v>
          </cell>
          <cell r="E154">
            <v>10598.679245283018</v>
          </cell>
          <cell r="F154">
            <v>10.598679245283018</v>
          </cell>
          <cell r="G154">
            <v>0</v>
          </cell>
          <cell r="H154">
            <v>0</v>
          </cell>
          <cell r="I154">
            <v>1056.6037735849056</v>
          </cell>
          <cell r="J154">
            <v>1.0566037735849056</v>
          </cell>
        </row>
        <row r="155">
          <cell r="A155" t="str">
            <v>95817</v>
          </cell>
          <cell r="B155" t="str">
            <v>MEZCLA TRES LECHES PASTEURIZADA (62500 ml)</v>
          </cell>
          <cell r="C155" t="str">
            <v>LITRO</v>
          </cell>
          <cell r="D155" t="str">
            <v>Mililitro</v>
          </cell>
          <cell r="E155">
            <v>95650.073764000001</v>
          </cell>
          <cell r="F155">
            <v>1.5304011802240001</v>
          </cell>
          <cell r="G155">
            <v>0</v>
          </cell>
          <cell r="H155">
            <v>0</v>
          </cell>
          <cell r="I155">
            <v>605</v>
          </cell>
          <cell r="J155">
            <v>9.6799999999999994E-3</v>
          </cell>
        </row>
        <row r="156">
          <cell r="A156" t="str">
            <v>95820</v>
          </cell>
          <cell r="B156" t="str">
            <v>CALDO P/SOPA POLLO (1150g)</v>
          </cell>
          <cell r="C156" t="str">
            <v>KILO</v>
          </cell>
          <cell r="D156" t="str">
            <v>GRAMO</v>
          </cell>
          <cell r="E156">
            <v>545.74586700000009</v>
          </cell>
          <cell r="F156">
            <v>0.54574586700000005</v>
          </cell>
          <cell r="G156">
            <v>12.604402499999999</v>
          </cell>
          <cell r="H156">
            <v>1.2604402499999999E-2</v>
          </cell>
          <cell r="I156">
            <v>275</v>
          </cell>
          <cell r="J156">
            <v>0.27500000000000002</v>
          </cell>
        </row>
        <row r="157">
          <cell r="A157" t="str">
            <v>95821</v>
          </cell>
          <cell r="B157" t="str">
            <v>COCCION CREMA BROCOLI (4000g)</v>
          </cell>
          <cell r="C157" t="str">
            <v>KILO</v>
          </cell>
          <cell r="D157" t="str">
            <v>GRAMO</v>
          </cell>
          <cell r="E157">
            <v>1126.8274617431762</v>
          </cell>
          <cell r="F157">
            <v>1.1268274617431762</v>
          </cell>
          <cell r="G157">
            <v>0</v>
          </cell>
          <cell r="H157">
            <v>0</v>
          </cell>
          <cell r="I157">
            <v>66.532258064516128</v>
          </cell>
          <cell r="J157">
            <v>6.6532258064516125E-2</v>
          </cell>
        </row>
        <row r="158">
          <cell r="A158" t="str">
            <v>95822</v>
          </cell>
          <cell r="B158" t="str">
            <v>CALDO P/SOPA AZTECA (34580g)</v>
          </cell>
          <cell r="C158" t="str">
            <v>TANDA</v>
          </cell>
          <cell r="D158" t="str">
            <v>GRAMO</v>
          </cell>
          <cell r="E158">
            <v>33517.644825641022</v>
          </cell>
          <cell r="F158">
            <v>0.96927833503878025</v>
          </cell>
          <cell r="G158">
            <v>2.8030027039872187E-5</v>
          </cell>
          <cell r="H158">
            <v>8.1058493464060695E-10</v>
          </cell>
          <cell r="I158">
            <v>1650</v>
          </cell>
          <cell r="J158">
            <v>4.7715442452284561E-2</v>
          </cell>
        </row>
        <row r="159">
          <cell r="A159" t="str">
            <v>95827</v>
          </cell>
          <cell r="B159" t="str">
            <v>TEMPERADO CHOCOLATE LECHE BELCOLADE (4900g)</v>
          </cell>
          <cell r="C159" t="str">
            <v>KILO</v>
          </cell>
          <cell r="D159" t="str">
            <v>GRAMO</v>
          </cell>
          <cell r="E159">
            <v>6636.7346938775509</v>
          </cell>
          <cell r="F159">
            <v>6.6367346938775507</v>
          </cell>
          <cell r="G159">
            <v>1.8918510204081629</v>
          </cell>
          <cell r="H159">
            <v>1.891851020408163E-3</v>
          </cell>
          <cell r="I159">
            <v>57.142857142857139</v>
          </cell>
          <cell r="J159">
            <v>5.7142857142857141E-2</v>
          </cell>
        </row>
        <row r="160">
          <cell r="A160" t="str">
            <v>95828</v>
          </cell>
          <cell r="B160" t="str">
            <v>TEMPERADO CHOCOLATE BLANCO (3200g)</v>
          </cell>
          <cell r="C160" t="str">
            <v>KILO</v>
          </cell>
          <cell r="D160" t="str">
            <v>GRAMO</v>
          </cell>
          <cell r="E160">
            <v>4534.6199374999997</v>
          </cell>
          <cell r="F160">
            <v>4.5346199374999996</v>
          </cell>
          <cell r="G160">
            <v>2.9559371874999996</v>
          </cell>
          <cell r="H160">
            <v>2.9559371874999995E-3</v>
          </cell>
          <cell r="I160">
            <v>87.5</v>
          </cell>
          <cell r="J160">
            <v>8.7499999999999994E-2</v>
          </cell>
        </row>
        <row r="161">
          <cell r="A161" t="str">
            <v>95829</v>
          </cell>
          <cell r="B161" t="str">
            <v>GLACE BLANCO PURO (7495g)</v>
          </cell>
          <cell r="C161" t="str">
            <v>KILO</v>
          </cell>
          <cell r="D161" t="str">
            <v>GRAMO</v>
          </cell>
          <cell r="E161">
            <v>1609.9631754503</v>
          </cell>
          <cell r="F161">
            <v>1.6099631754503001</v>
          </cell>
          <cell r="G161">
            <v>4.8027942628418954</v>
          </cell>
          <cell r="H161">
            <v>4.8027942628418949E-3</v>
          </cell>
          <cell r="I161">
            <v>89.659773182121413</v>
          </cell>
          <cell r="J161">
            <v>8.9659773182121413E-2</v>
          </cell>
        </row>
        <row r="162">
          <cell r="A162" t="str">
            <v>95831</v>
          </cell>
          <cell r="B162" t="str">
            <v>BASE PREMEZCLA RELLENO CHOCOFRESA (5400g)</v>
          </cell>
          <cell r="C162" t="str">
            <v>TANDA</v>
          </cell>
          <cell r="D162" t="str">
            <v>GRAMO</v>
          </cell>
          <cell r="E162">
            <v>16413.192000000003</v>
          </cell>
          <cell r="F162">
            <v>3.0394800000000006</v>
          </cell>
          <cell r="G162">
            <v>73.876666666666665</v>
          </cell>
          <cell r="H162">
            <v>1.3680864197530864E-2</v>
          </cell>
          <cell r="I162">
            <v>55</v>
          </cell>
          <cell r="J162">
            <v>1.0185185185185186E-2</v>
          </cell>
        </row>
        <row r="163">
          <cell r="A163" t="str">
            <v>95832</v>
          </cell>
          <cell r="B163" t="str">
            <v>GALLETAS P/CAFE (UND)</v>
          </cell>
          <cell r="C163" t="str">
            <v>UND</v>
          </cell>
          <cell r="D163" t="str">
            <v>UND</v>
          </cell>
          <cell r="E163">
            <v>15.120441866741274</v>
          </cell>
          <cell r="F163">
            <v>15.120441866741274</v>
          </cell>
          <cell r="G163">
            <v>7.417582417582419E-2</v>
          </cell>
          <cell r="H163">
            <v>7.417582417582419E-2</v>
          </cell>
          <cell r="I163">
            <v>4.5983165891937823</v>
          </cell>
          <cell r="J163">
            <v>4.5983165891937823</v>
          </cell>
        </row>
        <row r="164">
          <cell r="A164" t="str">
            <v>95834</v>
          </cell>
          <cell r="B164" t="str">
            <v>FLAN CARAMELO MINI P/FLAN TRES LECHES (UND=500g)</v>
          </cell>
          <cell r="C164" t="str">
            <v>UND</v>
          </cell>
          <cell r="D164" t="str">
            <v>UND</v>
          </cell>
          <cell r="E164">
            <v>871.41789396866682</v>
          </cell>
          <cell r="F164">
            <v>871.41789396866682</v>
          </cell>
          <cell r="G164">
            <v>24.008873999999999</v>
          </cell>
          <cell r="H164">
            <v>24.008873999999999</v>
          </cell>
          <cell r="I164">
            <v>77.400000000000006</v>
          </cell>
          <cell r="J164">
            <v>77.400000000000006</v>
          </cell>
        </row>
        <row r="165">
          <cell r="A165" t="str">
            <v>95846</v>
          </cell>
          <cell r="B165" t="str">
            <v>COCCION SALSA ROJA SPOON (31750g)</v>
          </cell>
          <cell r="C165" t="str">
            <v>TANDA</v>
          </cell>
          <cell r="D165" t="str">
            <v>GRAMO</v>
          </cell>
          <cell r="E165">
            <v>37472.327137044653</v>
          </cell>
          <cell r="F165">
            <v>1.1802307759699102</v>
          </cell>
          <cell r="G165">
            <v>42.858157499999997</v>
          </cell>
          <cell r="H165">
            <v>1.3498632283464565E-3</v>
          </cell>
          <cell r="I165">
            <v>1100</v>
          </cell>
          <cell r="J165">
            <v>3.4645669291338582E-2</v>
          </cell>
        </row>
        <row r="166">
          <cell r="A166" t="str">
            <v>95854</v>
          </cell>
          <cell r="B166" t="str">
            <v>COCCION CREMA DE AYOTE (30800g)</v>
          </cell>
          <cell r="C166" t="str">
            <v>TANDA</v>
          </cell>
          <cell r="D166" t="str">
            <v>GRAMO</v>
          </cell>
          <cell r="E166">
            <v>42689.357034230779</v>
          </cell>
          <cell r="F166">
            <v>1.3860180855269733</v>
          </cell>
          <cell r="G166">
            <v>3.814676212170518</v>
          </cell>
          <cell r="H166">
            <v>1.2385312377177006E-4</v>
          </cell>
          <cell r="I166">
            <v>1715.2733485193621</v>
          </cell>
          <cell r="J166">
            <v>5.5690693133745521E-2</v>
          </cell>
        </row>
        <row r="167">
          <cell r="A167" t="str">
            <v>908000042</v>
          </cell>
          <cell r="B167" t="str">
            <v>COCCION PECHUGA PARRILLA (UND)</v>
          </cell>
          <cell r="C167" t="str">
            <v>UND</v>
          </cell>
          <cell r="D167" t="str">
            <v>UND</v>
          </cell>
          <cell r="E167">
            <v>452.11328695249421</v>
          </cell>
          <cell r="F167">
            <v>452.11328695249421</v>
          </cell>
          <cell r="G167">
            <v>4.0254080435939166</v>
          </cell>
          <cell r="H167">
            <v>4.0254080435939166</v>
          </cell>
          <cell r="I167">
            <v>9.8290511360080117</v>
          </cell>
          <cell r="J167">
            <v>9.8290511360080117</v>
          </cell>
        </row>
        <row r="168">
          <cell r="A168" t="str">
            <v>95863</v>
          </cell>
          <cell r="B168" t="str">
            <v>BASE PREMEZCLA PURE DE PAPA (4000g)</v>
          </cell>
          <cell r="C168" t="str">
            <v>TANDA</v>
          </cell>
          <cell r="D168" t="str">
            <v>GRAMO</v>
          </cell>
          <cell r="E168">
            <v>7311.6</v>
          </cell>
          <cell r="F168">
            <v>1.8279000000000001</v>
          </cell>
          <cell r="G168">
            <v>33.333333333333336</v>
          </cell>
          <cell r="H168">
            <v>8.3333333333333332E-3</v>
          </cell>
          <cell r="I168">
            <v>55</v>
          </cell>
          <cell r="J168">
            <v>1.375E-2</v>
          </cell>
        </row>
        <row r="169">
          <cell r="A169" t="str">
            <v>95874</v>
          </cell>
          <cell r="B169" t="str">
            <v>SALSA TAMARINDO (2905g)</v>
          </cell>
          <cell r="C169" t="str">
            <v>KILO</v>
          </cell>
          <cell r="D169" t="str">
            <v>GRAMO</v>
          </cell>
          <cell r="E169">
            <v>673.94177435714289</v>
          </cell>
          <cell r="F169">
            <v>0.67394177435714286</v>
          </cell>
          <cell r="G169">
            <v>2.6672902380952381</v>
          </cell>
          <cell r="H169">
            <v>2.6672902380952381E-3</v>
          </cell>
          <cell r="I169">
            <v>65.476190476190482</v>
          </cell>
          <cell r="J169">
            <v>6.5476190476190479E-2</v>
          </cell>
        </row>
        <row r="170">
          <cell r="A170" t="str">
            <v>95878</v>
          </cell>
          <cell r="B170" t="str">
            <v>SALSA LIMON Y ALCAPARRAS (1200g)</v>
          </cell>
          <cell r="C170" t="str">
            <v>KILO</v>
          </cell>
          <cell r="D170" t="str">
            <v>GRAMO</v>
          </cell>
          <cell r="E170">
            <v>1960.6105894221296</v>
          </cell>
          <cell r="F170">
            <v>1.9606105894221295</v>
          </cell>
          <cell r="G170">
            <v>9.8570690296466451E-2</v>
          </cell>
          <cell r="H170">
            <v>9.8570690296466445E-5</v>
          </cell>
          <cell r="I170">
            <v>119.79520840170659</v>
          </cell>
          <cell r="J170">
            <v>0.11979520840170658</v>
          </cell>
        </row>
        <row r="171">
          <cell r="A171" t="str">
            <v>95879</v>
          </cell>
          <cell r="B171" t="str">
            <v>RELLENO CARNE SOMBRERO PERUANO (2057g)</v>
          </cell>
          <cell r="C171" t="str">
            <v>KILO</v>
          </cell>
          <cell r="D171" t="str">
            <v>GRAMO</v>
          </cell>
          <cell r="E171">
            <v>2820.5823037963492</v>
          </cell>
          <cell r="F171">
            <v>2.8205823037963493</v>
          </cell>
          <cell r="G171">
            <v>0</v>
          </cell>
          <cell r="H171">
            <v>0</v>
          </cell>
          <cell r="I171">
            <v>401.06951871657753</v>
          </cell>
          <cell r="J171">
            <v>0.40106951871657753</v>
          </cell>
        </row>
        <row r="172">
          <cell r="A172" t="str">
            <v>95882</v>
          </cell>
          <cell r="B172" t="str">
            <v>BATIDO GENOVESA (21600g)</v>
          </cell>
          <cell r="C172" t="str">
            <v>TANDA</v>
          </cell>
          <cell r="D172" t="str">
            <v>GRAMO</v>
          </cell>
          <cell r="E172">
            <v>23324.529458823534</v>
          </cell>
          <cell r="F172">
            <v>1.0798393267973858</v>
          </cell>
          <cell r="G172">
            <v>0</v>
          </cell>
          <cell r="H172">
            <v>0</v>
          </cell>
          <cell r="I172">
            <v>440</v>
          </cell>
          <cell r="J172">
            <v>2.0370370370370372E-2</v>
          </cell>
        </row>
        <row r="173">
          <cell r="A173" t="str">
            <v>95883</v>
          </cell>
          <cell r="B173" t="str">
            <v>BASE GALLETA P/BARRA PECANAS (400g)</v>
          </cell>
          <cell r="C173" t="str">
            <v>UND</v>
          </cell>
          <cell r="D173" t="str">
            <v>UND</v>
          </cell>
          <cell r="E173">
            <v>829.59735667114091</v>
          </cell>
          <cell r="F173">
            <v>829.59735667114091</v>
          </cell>
          <cell r="G173">
            <v>14.519826875838925</v>
          </cell>
          <cell r="H173">
            <v>14.519826875838925</v>
          </cell>
          <cell r="I173">
            <v>113.1275167785235</v>
          </cell>
          <cell r="J173">
            <v>113.1275167785235</v>
          </cell>
        </row>
        <row r="174">
          <cell r="A174" t="str">
            <v>95884</v>
          </cell>
          <cell r="B174" t="str">
            <v>RELLENO PECANAS P/BARRAS (3975g)</v>
          </cell>
          <cell r="C174" t="str">
            <v>KILO</v>
          </cell>
          <cell r="D174" t="str">
            <v>GRAMO</v>
          </cell>
          <cell r="E174">
            <v>1745.5228490566042</v>
          </cell>
          <cell r="F174">
            <v>1.7455228490566042</v>
          </cell>
          <cell r="G174">
            <v>0</v>
          </cell>
          <cell r="H174">
            <v>0</v>
          </cell>
          <cell r="I174">
            <v>140.88050314465409</v>
          </cell>
          <cell r="J174">
            <v>0.14088050314465408</v>
          </cell>
        </row>
        <row r="175">
          <cell r="A175" t="str">
            <v>95885</v>
          </cell>
          <cell r="B175" t="str">
            <v>PLANCHA BARRA DE PECANAS (1425g)</v>
          </cell>
          <cell r="C175" t="str">
            <v>UND</v>
          </cell>
          <cell r="D175" t="str">
            <v>UND</v>
          </cell>
          <cell r="E175">
            <v>4546.1427989352915</v>
          </cell>
          <cell r="F175">
            <v>4546.1427989352915</v>
          </cell>
          <cell r="G175">
            <v>14.519826875838925</v>
          </cell>
          <cell r="H175">
            <v>14.519826875838925</v>
          </cell>
          <cell r="I175">
            <v>335.01430923135365</v>
          </cell>
          <cell r="J175">
            <v>335.01430923135365</v>
          </cell>
        </row>
        <row r="176">
          <cell r="A176" t="str">
            <v>95890</v>
          </cell>
          <cell r="B176" t="str">
            <v>REBANADA CROSTINIS PARMESANO (UND)</v>
          </cell>
          <cell r="C176" t="str">
            <v>UND</v>
          </cell>
          <cell r="D176" t="str">
            <v>UND</v>
          </cell>
          <cell r="E176">
            <v>46.419747183579176</v>
          </cell>
          <cell r="F176">
            <v>46.419747183579176</v>
          </cell>
          <cell r="G176">
            <v>0.12270622458169364</v>
          </cell>
          <cell r="H176">
            <v>0.12270622458169364</v>
          </cell>
          <cell r="I176">
            <v>26.868729026942543</v>
          </cell>
          <cell r="J176">
            <v>26.868729026942543</v>
          </cell>
        </row>
        <row r="177">
          <cell r="A177" t="str">
            <v>95892</v>
          </cell>
          <cell r="B177" t="str">
            <v>REBANADA CROSTINIS TOMATE (UND)</v>
          </cell>
          <cell r="C177" t="str">
            <v>UND</v>
          </cell>
          <cell r="D177" t="str">
            <v>UND</v>
          </cell>
          <cell r="E177">
            <v>46.975118392240581</v>
          </cell>
          <cell r="F177">
            <v>46.975118392240581</v>
          </cell>
          <cell r="G177">
            <v>0.11339934089754986</v>
          </cell>
          <cell r="H177">
            <v>0.11339934089754986</v>
          </cell>
          <cell r="I177">
            <v>27.088700707050897</v>
          </cell>
          <cell r="J177">
            <v>27.088700707050897</v>
          </cell>
        </row>
        <row r="178">
          <cell r="A178" t="str">
            <v>95893</v>
          </cell>
          <cell r="B178" t="str">
            <v>GALLETA CHOCOLATE BLANCO/MACADAMIA (UND)</v>
          </cell>
          <cell r="C178" t="str">
            <v>UND</v>
          </cell>
          <cell r="D178" t="str">
            <v>UND</v>
          </cell>
          <cell r="E178">
            <v>243.35316090966765</v>
          </cell>
          <cell r="F178">
            <v>243.35316090966765</v>
          </cell>
          <cell r="G178">
            <v>0.34567573662551443</v>
          </cell>
          <cell r="H178">
            <v>0.34567573662551443</v>
          </cell>
          <cell r="I178">
            <v>20.657777777777778</v>
          </cell>
          <cell r="J178">
            <v>20.657777777777778</v>
          </cell>
        </row>
        <row r="179">
          <cell r="A179" t="str">
            <v>95894</v>
          </cell>
          <cell r="B179" t="str">
            <v>BASE PREMEZCLA GALLETA CHOCOLATE CHIPS (663g)</v>
          </cell>
          <cell r="C179" t="str">
            <v>TANDA</v>
          </cell>
          <cell r="D179" t="str">
            <v>GRAMO</v>
          </cell>
          <cell r="E179">
            <v>4845.6445659999999</v>
          </cell>
          <cell r="F179">
            <v>0.70206383164300201</v>
          </cell>
          <cell r="G179">
            <v>17.771546111111114</v>
          </cell>
          <cell r="H179">
            <v>2.5748400624617668E-3</v>
          </cell>
          <cell r="I179">
            <v>112</v>
          </cell>
          <cell r="J179">
            <v>1.6227180527383367E-2</v>
          </cell>
        </row>
        <row r="180">
          <cell r="A180" t="str">
            <v>95920</v>
          </cell>
          <cell r="B180" t="str">
            <v>CREMA CHOCOLATE CON AGUA (900g)</v>
          </cell>
          <cell r="C180" t="str">
            <v>Kilo</v>
          </cell>
          <cell r="D180" t="str">
            <v>Gramo</v>
          </cell>
          <cell r="E180">
            <v>1350.8181999999999</v>
          </cell>
          <cell r="F180">
            <v>1.3508182</v>
          </cell>
          <cell r="G180">
            <v>7.6890899999999993</v>
          </cell>
          <cell r="H180">
            <v>7.6890899999999991E-3</v>
          </cell>
          <cell r="I180">
            <v>50.909090909090914</v>
          </cell>
          <cell r="J180">
            <v>5.0909090909090911E-2</v>
          </cell>
        </row>
        <row r="181">
          <cell r="A181" t="str">
            <v>95930</v>
          </cell>
          <cell r="B181" t="str">
            <v>TIQUEÑOS DE QUESO (UND)</v>
          </cell>
          <cell r="C181" t="str">
            <v>UND</v>
          </cell>
          <cell r="D181" t="str">
            <v>UND</v>
          </cell>
          <cell r="E181">
            <v>69.895097488372087</v>
          </cell>
          <cell r="F181">
            <v>69.895097488372087</v>
          </cell>
          <cell r="G181">
            <v>1.0934808139534881E-2</v>
          </cell>
          <cell r="H181">
            <v>1.0934808139534881E-2</v>
          </cell>
          <cell r="I181">
            <v>7.7703488372093021</v>
          </cell>
          <cell r="J181">
            <v>7.7703488372093021</v>
          </cell>
        </row>
        <row r="182">
          <cell r="A182" t="str">
            <v>95966</v>
          </cell>
          <cell r="B182" t="str">
            <v>COCCION HONGOS SALTEADOS  (2790g)</v>
          </cell>
          <cell r="C182" t="str">
            <v>KILO</v>
          </cell>
          <cell r="D182" t="str">
            <v>GRAMO</v>
          </cell>
          <cell r="E182">
            <v>3629.3204697024025</v>
          </cell>
          <cell r="F182">
            <v>3.6293204697024026</v>
          </cell>
          <cell r="G182">
            <v>0</v>
          </cell>
          <cell r="H182">
            <v>0</v>
          </cell>
          <cell r="I182">
            <v>197.20329867335963</v>
          </cell>
          <cell r="J182">
            <v>0.19720329867335962</v>
          </cell>
        </row>
        <row r="183">
          <cell r="A183" t="str">
            <v>95968</v>
          </cell>
          <cell r="B183" t="str">
            <v>ADEREZO MOSTAZA MIEL (4450g)</v>
          </cell>
          <cell r="C183" t="str">
            <v>KILO</v>
          </cell>
          <cell r="D183" t="str">
            <v>GRAMO</v>
          </cell>
          <cell r="E183">
            <v>2339.5513111855466</v>
          </cell>
          <cell r="F183">
            <v>2.3395513111855468</v>
          </cell>
          <cell r="G183">
            <v>11.950525782111065</v>
          </cell>
          <cell r="H183">
            <v>1.1950525782111065E-2</v>
          </cell>
          <cell r="I183">
            <v>89.434579176999804</v>
          </cell>
          <cell r="J183">
            <v>8.9434579176999804E-2</v>
          </cell>
        </row>
        <row r="184">
          <cell r="A184" t="str">
            <v>95990</v>
          </cell>
          <cell r="B184" t="str">
            <v>TARTALETA OVALADA DULCE (UND)</v>
          </cell>
          <cell r="C184" t="str">
            <v>UND</v>
          </cell>
          <cell r="D184" t="str">
            <v>UND</v>
          </cell>
          <cell r="E184">
            <v>52.843058724812039</v>
          </cell>
          <cell r="F184">
            <v>52.843058724812039</v>
          </cell>
          <cell r="G184">
            <v>0.39404174340613446</v>
          </cell>
          <cell r="H184">
            <v>0.39404174340613446</v>
          </cell>
          <cell r="I184">
            <v>17.809523809523807</v>
          </cell>
          <cell r="J184">
            <v>17.809523809523807</v>
          </cell>
        </row>
        <row r="185">
          <cell r="A185" t="str">
            <v>96022</v>
          </cell>
          <cell r="B185" t="str">
            <v>RELLENO JAMON-QUESO CREMA P/EMPANADA (420g)</v>
          </cell>
          <cell r="C185" t="str">
            <v>Kilo</v>
          </cell>
          <cell r="D185" t="str">
            <v>Gramo</v>
          </cell>
          <cell r="E185">
            <v>3527.5846928571427</v>
          </cell>
          <cell r="F185">
            <v>3.5275846928571428</v>
          </cell>
          <cell r="G185">
            <v>20.062483333333333</v>
          </cell>
          <cell r="H185">
            <v>2.0062483333333332E-2</v>
          </cell>
          <cell r="I185">
            <v>261.90476190476193</v>
          </cell>
          <cell r="J185">
            <v>0.26190476190476192</v>
          </cell>
        </row>
        <row r="186">
          <cell r="A186" t="str">
            <v>96032</v>
          </cell>
          <cell r="B186" t="str">
            <v>CARAMELO AZUCAR P/FLAN (900g)</v>
          </cell>
          <cell r="C186" t="str">
            <v>KILO</v>
          </cell>
          <cell r="D186" t="str">
            <v>GRAMO</v>
          </cell>
          <cell r="E186">
            <v>401.04444444444442</v>
          </cell>
          <cell r="F186">
            <v>0.40104444444444443</v>
          </cell>
          <cell r="G186">
            <v>0</v>
          </cell>
          <cell r="H186">
            <v>0</v>
          </cell>
          <cell r="I186">
            <v>373.33333333333337</v>
          </cell>
          <cell r="J186">
            <v>0.37333333333333335</v>
          </cell>
        </row>
        <row r="187">
          <cell r="A187" t="str">
            <v>96037</v>
          </cell>
          <cell r="B187" t="str">
            <v>RELLENO CEBOLLA Y QUESO P/EMPANADA (1000g)</v>
          </cell>
          <cell r="C187" t="str">
            <v>KILO</v>
          </cell>
          <cell r="D187" t="str">
            <v>GRAMO</v>
          </cell>
          <cell r="E187">
            <v>3182.9953504999999</v>
          </cell>
          <cell r="F187">
            <v>3.1829953504999997</v>
          </cell>
          <cell r="G187">
            <v>23.595589314028313</v>
          </cell>
          <cell r="H187">
            <v>2.3595589314028314E-2</v>
          </cell>
          <cell r="I187">
            <v>337.89189189189187</v>
          </cell>
          <cell r="J187">
            <v>0.33789189189189189</v>
          </cell>
        </row>
        <row r="188">
          <cell r="A188" t="str">
            <v>96038</v>
          </cell>
          <cell r="B188" t="str">
            <v>EMPANADA CEBOLLA Y QUESO LAVAZZA (UND)</v>
          </cell>
          <cell r="C188" t="str">
            <v>UND</v>
          </cell>
          <cell r="D188" t="str">
            <v>UND</v>
          </cell>
          <cell r="E188">
            <v>154.8772280327008</v>
          </cell>
          <cell r="F188">
            <v>154.8772280327008</v>
          </cell>
          <cell r="G188">
            <v>2.1859325422494185</v>
          </cell>
          <cell r="H188">
            <v>2.1859325422494185</v>
          </cell>
          <cell r="I188">
            <v>62.028973598034135</v>
          </cell>
          <cell r="J188">
            <v>62.028973598034135</v>
          </cell>
        </row>
        <row r="189">
          <cell r="A189" t="str">
            <v>96039</v>
          </cell>
          <cell r="B189" t="str">
            <v>EMPANADA JAMON Y PETTI POIS FAS (UND)</v>
          </cell>
          <cell r="C189" t="str">
            <v>UND</v>
          </cell>
          <cell r="D189" t="str">
            <v>UND</v>
          </cell>
          <cell r="E189">
            <v>127.0016258582545</v>
          </cell>
          <cell r="F189">
            <v>127.0016258582545</v>
          </cell>
          <cell r="G189">
            <v>0.73652764234903134</v>
          </cell>
          <cell r="H189">
            <v>0.73652764234903134</v>
          </cell>
          <cell r="I189">
            <v>67.901510178238496</v>
          </cell>
          <cell r="J189">
            <v>67.901510178238496</v>
          </cell>
        </row>
        <row r="190">
          <cell r="A190" t="str">
            <v>96055</v>
          </cell>
          <cell r="B190" t="str">
            <v>EMPANADA CARNE MECHADA IND (UND)</v>
          </cell>
          <cell r="C190" t="str">
            <v>UND</v>
          </cell>
          <cell r="D190" t="str">
            <v>UND</v>
          </cell>
          <cell r="E190">
            <v>244.93062478975185</v>
          </cell>
          <cell r="F190">
            <v>244.93062478975185</v>
          </cell>
          <cell r="G190">
            <v>2.8525404214828645</v>
          </cell>
          <cell r="H190">
            <v>2.8525404214828645</v>
          </cell>
          <cell r="I190">
            <v>44.052602441043518</v>
          </cell>
          <cell r="J190">
            <v>44.052602441043518</v>
          </cell>
        </row>
        <row r="191">
          <cell r="A191" t="str">
            <v>96058</v>
          </cell>
          <cell r="B191" t="str">
            <v>BASE PREMEZCLA YOGURT CAKE  (1804g)</v>
          </cell>
          <cell r="C191" t="str">
            <v>TANDA</v>
          </cell>
          <cell r="D191" t="str">
            <v>GRAMO</v>
          </cell>
          <cell r="E191">
            <v>3078.0217600000001</v>
          </cell>
          <cell r="F191">
            <v>1.7062204878048781</v>
          </cell>
          <cell r="G191">
            <v>11.020357777777779</v>
          </cell>
          <cell r="H191">
            <v>6.1088457748213849E-3</v>
          </cell>
          <cell r="I191">
            <v>112</v>
          </cell>
          <cell r="J191">
            <v>6.2084257206208429E-2</v>
          </cell>
        </row>
        <row r="192">
          <cell r="A192" t="str">
            <v>96059</v>
          </cell>
          <cell r="B192" t="str">
            <v>ROSQUETE YOGURT CAKE (400g)</v>
          </cell>
          <cell r="C192" t="str">
            <v>UND</v>
          </cell>
          <cell r="D192" t="str">
            <v>UND</v>
          </cell>
          <cell r="E192">
            <v>566.44048035760045</v>
          </cell>
          <cell r="F192">
            <v>566.44048035760045</v>
          </cell>
          <cell r="G192">
            <v>7.6925275956760082</v>
          </cell>
          <cell r="H192">
            <v>7.6925275956760082</v>
          </cell>
          <cell r="I192">
            <v>45.229776115579696</v>
          </cell>
          <cell r="J192">
            <v>45.229776115579696</v>
          </cell>
        </row>
        <row r="193">
          <cell r="A193" t="str">
            <v>96076</v>
          </cell>
          <cell r="B193" t="str">
            <v>RELLENO CARNE MECHA-COMINO-ROMERO (1000g)</v>
          </cell>
          <cell r="C193" t="str">
            <v>Kilo</v>
          </cell>
          <cell r="D193" t="str">
            <v>Gramo</v>
          </cell>
          <cell r="E193">
            <v>3486.6073803027475</v>
          </cell>
          <cell r="F193">
            <v>3.4866073803027473</v>
          </cell>
          <cell r="G193">
            <v>33.528991908140348</v>
          </cell>
          <cell r="H193">
            <v>3.3528991908140349E-2</v>
          </cell>
          <cell r="I193">
            <v>230.83623001068085</v>
          </cell>
          <cell r="J193">
            <v>0.23083623001068085</v>
          </cell>
        </row>
        <row r="194">
          <cell r="A194" t="str">
            <v>96098</v>
          </cell>
          <cell r="B194" t="str">
            <v>ADEREZO PEPINILLOS Y ANCHOAS (390g)</v>
          </cell>
          <cell r="C194" t="str">
            <v>KILO</v>
          </cell>
          <cell r="D194" t="str">
            <v>GRAMO</v>
          </cell>
          <cell r="E194">
            <v>2774.9748658519438</v>
          </cell>
          <cell r="F194">
            <v>2.7749748658519438</v>
          </cell>
          <cell r="G194">
            <v>22.677630516055928</v>
          </cell>
          <cell r="H194">
            <v>2.2677630516055928E-2</v>
          </cell>
          <cell r="I194">
            <v>727.77511757705349</v>
          </cell>
          <cell r="J194">
            <v>0.72777511757705349</v>
          </cell>
        </row>
        <row r="195">
          <cell r="A195" t="str">
            <v>96100</v>
          </cell>
          <cell r="B195" t="str">
            <v>COCCION QUINUA BLANCA (600g)</v>
          </cell>
          <cell r="C195" t="str">
            <v>KILO</v>
          </cell>
          <cell r="D195" t="str">
            <v>GRAMO</v>
          </cell>
          <cell r="E195">
            <v>2098.3056844444445</v>
          </cell>
          <cell r="F195">
            <v>2.0983056844444445</v>
          </cell>
          <cell r="G195">
            <v>0</v>
          </cell>
          <cell r="H195">
            <v>0</v>
          </cell>
          <cell r="I195">
            <v>183.33333333333331</v>
          </cell>
          <cell r="J195">
            <v>0.18333333333333332</v>
          </cell>
        </row>
        <row r="196">
          <cell r="A196" t="str">
            <v>96108</v>
          </cell>
          <cell r="B196" t="str">
            <v>CEBOLLA CARAMELIZADA (1516g)</v>
          </cell>
          <cell r="C196" t="str">
            <v>KILO</v>
          </cell>
          <cell r="D196" t="str">
            <v>GRAMO</v>
          </cell>
          <cell r="E196">
            <v>3038.1794284166672</v>
          </cell>
          <cell r="F196">
            <v>3.038179428416667</v>
          </cell>
          <cell r="G196">
            <v>0</v>
          </cell>
          <cell r="H196">
            <v>0</v>
          </cell>
          <cell r="I196">
            <v>160.41666666666669</v>
          </cell>
          <cell r="J196">
            <v>0.16041666666666668</v>
          </cell>
        </row>
        <row r="197">
          <cell r="A197" t="str">
            <v>96136</v>
          </cell>
          <cell r="B197" t="str">
            <v>MERENGUE P/SUSPIROS (5250g)</v>
          </cell>
          <cell r="C197" t="str">
            <v>TANDA</v>
          </cell>
          <cell r="D197" t="str">
            <v>GRAMO</v>
          </cell>
          <cell r="E197">
            <v>12100.755438000002</v>
          </cell>
          <cell r="F197">
            <v>2.3248329371757928</v>
          </cell>
          <cell r="G197">
            <v>11.020357777777779</v>
          </cell>
          <cell r="H197">
            <v>2.0991157671957673E-3</v>
          </cell>
          <cell r="I197">
            <v>770</v>
          </cell>
          <cell r="J197">
            <v>0.14666666666666667</v>
          </cell>
        </row>
        <row r="198">
          <cell r="A198" t="str">
            <v>96170</v>
          </cell>
          <cell r="B198" t="str">
            <v>EMPANADA CARNE PERUANA GRANDE (UND)</v>
          </cell>
          <cell r="C198" t="str">
            <v>UND</v>
          </cell>
          <cell r="D198" t="str">
            <v>UND</v>
          </cell>
          <cell r="E198">
            <v>184.75896482753404</v>
          </cell>
          <cell r="F198">
            <v>184.75896482753404</v>
          </cell>
          <cell r="G198">
            <v>1.8487279947561979</v>
          </cell>
          <cell r="H198">
            <v>1.8487279947561979</v>
          </cell>
          <cell r="I198">
            <v>58.297288149715087</v>
          </cell>
          <cell r="J198">
            <v>58.297288149715087</v>
          </cell>
        </row>
        <row r="199">
          <cell r="A199" t="str">
            <v>96170</v>
          </cell>
          <cell r="B199" t="str">
            <v>EMPANADA CARNE PERUANA GRANDE (UND)</v>
          </cell>
          <cell r="C199" t="str">
            <v>UND</v>
          </cell>
          <cell r="D199" t="str">
            <v>UND</v>
          </cell>
          <cell r="E199">
            <v>184.75896482753404</v>
          </cell>
          <cell r="F199">
            <v>184.75896482753404</v>
          </cell>
          <cell r="G199">
            <v>1.8487279947561979</v>
          </cell>
          <cell r="H199">
            <v>1.8487279947561979</v>
          </cell>
          <cell r="I199">
            <v>58.297288149715087</v>
          </cell>
          <cell r="J199">
            <v>58.297288149715087</v>
          </cell>
        </row>
        <row r="200">
          <cell r="A200" t="str">
            <v>96180</v>
          </cell>
          <cell r="B200" t="str">
            <v>RELLENO DELIZZIA (7.150 Kg)</v>
          </cell>
          <cell r="C200" t="str">
            <v>KILO</v>
          </cell>
          <cell r="D200" t="str">
            <v>GRAMO</v>
          </cell>
          <cell r="E200">
            <v>1901.6339954888927</v>
          </cell>
          <cell r="F200">
            <v>1.9016339954888926</v>
          </cell>
          <cell r="G200">
            <v>1.5039062499999999E-2</v>
          </cell>
          <cell r="H200">
            <v>1.5039062499999999E-5</v>
          </cell>
          <cell r="I200">
            <v>77.01322115384616</v>
          </cell>
          <cell r="J200">
            <v>7.7013221153846165E-2</v>
          </cell>
        </row>
        <row r="201">
          <cell r="A201" t="str">
            <v>96192</v>
          </cell>
          <cell r="B201" t="str">
            <v>ACEITE DE AJO Y PEREJIL (1000g)</v>
          </cell>
          <cell r="C201" t="str">
            <v>TANDA</v>
          </cell>
          <cell r="D201" t="str">
            <v>GRAMO</v>
          </cell>
          <cell r="E201">
            <v>2790.6051721925132</v>
          </cell>
          <cell r="F201">
            <v>2.7906051721925134</v>
          </cell>
          <cell r="G201">
            <v>14.672860317171718</v>
          </cell>
          <cell r="H201">
            <v>1.4672860317171719E-2</v>
          </cell>
          <cell r="I201">
            <v>222.55</v>
          </cell>
          <cell r="J201">
            <v>0.22255</v>
          </cell>
        </row>
        <row r="202">
          <cell r="A202" t="str">
            <v>96197</v>
          </cell>
          <cell r="B202" t="str">
            <v>MEZCLA DE YEMA PARA PINTAR (1430g)</v>
          </cell>
          <cell r="C202" t="str">
            <v>TANDA</v>
          </cell>
          <cell r="D202" t="str">
            <v>GRAMO</v>
          </cell>
          <cell r="E202">
            <v>2413.21</v>
          </cell>
          <cell r="F202">
            <v>1.6875594405594405</v>
          </cell>
          <cell r="G202">
            <v>0</v>
          </cell>
          <cell r="H202">
            <v>0</v>
          </cell>
          <cell r="I202">
            <v>55</v>
          </cell>
          <cell r="J202">
            <v>3.8461538461538464E-2</v>
          </cell>
        </row>
        <row r="203">
          <cell r="A203" t="str">
            <v>96199</v>
          </cell>
          <cell r="B203" t="str">
            <v>COBERTURA CHOCOLATE LECHE RALLADO (4700g)</v>
          </cell>
          <cell r="C203" t="str">
            <v>KILO</v>
          </cell>
          <cell r="D203" t="str">
            <v>GRAMO</v>
          </cell>
          <cell r="E203">
            <v>22340</v>
          </cell>
          <cell r="F203">
            <v>4.7531914893617024</v>
          </cell>
          <cell r="G203">
            <v>1.1990000000000001</v>
          </cell>
          <cell r="H203">
            <v>2.5510638297872339E-4</v>
          </cell>
          <cell r="I203">
            <v>385</v>
          </cell>
          <cell r="J203">
            <v>8.191489361702127E-2</v>
          </cell>
        </row>
        <row r="204">
          <cell r="A204" t="str">
            <v>96223</v>
          </cell>
          <cell r="B204" t="str">
            <v>GANACHE DE DULCE LECHE (4800g)</v>
          </cell>
          <cell r="C204" t="str">
            <v>KILO</v>
          </cell>
          <cell r="D204" t="str">
            <v>GRAMO</v>
          </cell>
          <cell r="E204">
            <v>2483.106770833333</v>
          </cell>
          <cell r="F204">
            <v>2.483106770833333</v>
          </cell>
          <cell r="G204">
            <v>0</v>
          </cell>
          <cell r="H204">
            <v>0</v>
          </cell>
          <cell r="I204">
            <v>116.66666666666667</v>
          </cell>
          <cell r="J204">
            <v>0.11666666666666667</v>
          </cell>
        </row>
        <row r="205">
          <cell r="A205" t="str">
            <v>96242</v>
          </cell>
          <cell r="B205" t="str">
            <v>PURE PAPA (2000g)</v>
          </cell>
          <cell r="C205" t="str">
            <v>KILO</v>
          </cell>
          <cell r="D205" t="str">
            <v>GRAMO</v>
          </cell>
          <cell r="E205">
            <v>1997.5468639999997</v>
          </cell>
          <cell r="F205">
            <v>1.9975468639999996</v>
          </cell>
          <cell r="G205">
            <v>11.666437714285715</v>
          </cell>
          <cell r="H205">
            <v>1.1666437714285716E-2</v>
          </cell>
          <cell r="I205">
            <v>165.7</v>
          </cell>
          <cell r="J205">
            <v>0.16569999999999999</v>
          </cell>
        </row>
        <row r="206">
          <cell r="A206" t="str">
            <v>96251</v>
          </cell>
          <cell r="B206" t="str">
            <v>GALLETA P/TORTA CHILENA FAS (210g)</v>
          </cell>
          <cell r="C206" t="str">
            <v>UND</v>
          </cell>
          <cell r="D206" t="str">
            <v>UND</v>
          </cell>
          <cell r="E206">
            <v>226.41733244134201</v>
          </cell>
          <cell r="F206">
            <v>226.41733244134201</v>
          </cell>
          <cell r="G206">
            <v>0.65629030839002267</v>
          </cell>
          <cell r="H206">
            <v>0.65629030839002267</v>
          </cell>
          <cell r="I206">
            <v>27.595238095238095</v>
          </cell>
          <cell r="J206">
            <v>27.595238095238095</v>
          </cell>
        </row>
        <row r="207">
          <cell r="A207" t="str">
            <v>96252</v>
          </cell>
          <cell r="B207" t="str">
            <v>RELLENO CHEESE CAKE INDUSTRIA (9000g)</v>
          </cell>
          <cell r="C207" t="str">
            <v>TANDA</v>
          </cell>
          <cell r="D207" t="str">
            <v>GRAMO</v>
          </cell>
          <cell r="E207">
            <v>18145.277160472564</v>
          </cell>
          <cell r="F207">
            <v>2.0161419067191737</v>
          </cell>
          <cell r="G207">
            <v>0.13834615384615384</v>
          </cell>
          <cell r="H207">
            <v>1.5371794871794872E-5</v>
          </cell>
          <cell r="I207">
            <v>888.46153846153845</v>
          </cell>
          <cell r="J207">
            <v>9.8717948717948714E-2</v>
          </cell>
        </row>
        <row r="208">
          <cell r="A208" t="str">
            <v>96263</v>
          </cell>
          <cell r="B208" t="str">
            <v>QUESO PARMESANO LAMINADO (8580g)</v>
          </cell>
          <cell r="C208" t="str">
            <v>KILO</v>
          </cell>
          <cell r="D208" t="str">
            <v>GRAMO</v>
          </cell>
          <cell r="E208">
            <v>9408.3355186480203</v>
          </cell>
          <cell r="F208">
            <v>9.4083355186480198</v>
          </cell>
          <cell r="G208">
            <v>3.0547558275058275</v>
          </cell>
          <cell r="H208">
            <v>3.0547558275058275E-3</v>
          </cell>
          <cell r="I208">
            <v>32.051282051282051</v>
          </cell>
          <cell r="J208">
            <v>3.2051282051282048E-2</v>
          </cell>
        </row>
        <row r="209">
          <cell r="A209" t="str">
            <v>96266</v>
          </cell>
          <cell r="B209" t="str">
            <v>LAMINA AZUCAR ESCANEADA (UND)</v>
          </cell>
          <cell r="C209" t="str">
            <v>UND</v>
          </cell>
          <cell r="D209" t="str">
            <v>UND</v>
          </cell>
          <cell r="E209">
            <v>1387.384</v>
          </cell>
          <cell r="F209">
            <v>1387.384</v>
          </cell>
          <cell r="G209">
            <v>0</v>
          </cell>
          <cell r="H209">
            <v>0</v>
          </cell>
          <cell r="I209">
            <v>275</v>
          </cell>
          <cell r="J209">
            <v>275</v>
          </cell>
        </row>
        <row r="210">
          <cell r="A210" t="str">
            <v>96267</v>
          </cell>
          <cell r="B210" t="str">
            <v>ROSQUETE CHOCOLATE BUCCA (320g)</v>
          </cell>
          <cell r="C210" t="str">
            <v>UND</v>
          </cell>
          <cell r="D210" t="str">
            <v>UND</v>
          </cell>
          <cell r="E210">
            <v>355.25335753863862</v>
          </cell>
          <cell r="F210">
            <v>355.25335753863862</v>
          </cell>
          <cell r="G210">
            <v>8.2092643814880741</v>
          </cell>
          <cell r="H210">
            <v>8.2092643814880741</v>
          </cell>
          <cell r="I210">
            <v>35.876510067114097</v>
          </cell>
          <cell r="J210">
            <v>35.876510067114097</v>
          </cell>
        </row>
        <row r="211">
          <cell r="A211" t="str">
            <v>96270</v>
          </cell>
          <cell r="B211" t="str">
            <v>ROSQUETE MELOCOTON PURATOS (360g)</v>
          </cell>
          <cell r="C211" t="str">
            <v>UND</v>
          </cell>
          <cell r="D211" t="str">
            <v>UND</v>
          </cell>
          <cell r="E211">
            <v>422.05372617403651</v>
          </cell>
          <cell r="F211">
            <v>422.05372617403651</v>
          </cell>
          <cell r="G211">
            <v>8.7370147215647176</v>
          </cell>
          <cell r="H211">
            <v>8.7370147215647176</v>
          </cell>
          <cell r="I211">
            <v>19.774041546820072</v>
          </cell>
          <cell r="J211">
            <v>19.774041546820072</v>
          </cell>
        </row>
        <row r="212">
          <cell r="A212" t="str">
            <v>96271</v>
          </cell>
          <cell r="B212" t="str">
            <v>CORTE  P/GALLETA ESC (UND)</v>
          </cell>
          <cell r="C212" t="str">
            <v>UND</v>
          </cell>
          <cell r="D212" t="str">
            <v>UND</v>
          </cell>
          <cell r="E212">
            <v>21.349894497743044</v>
          </cell>
          <cell r="F212">
            <v>21.349894497743044</v>
          </cell>
          <cell r="G212">
            <v>0</v>
          </cell>
          <cell r="H212">
            <v>0</v>
          </cell>
          <cell r="I212">
            <v>10.686239816064377</v>
          </cell>
          <cell r="J212">
            <v>10.686239816064377</v>
          </cell>
        </row>
        <row r="213">
          <cell r="A213" t="str">
            <v>96272</v>
          </cell>
          <cell r="B213" t="str">
            <v>EMPANADA POLLO C/AJONJOLI (UND)</v>
          </cell>
          <cell r="C213" t="str">
            <v>UND</v>
          </cell>
          <cell r="D213" t="str">
            <v>UND</v>
          </cell>
          <cell r="E213">
            <v>185.40642008823716</v>
          </cell>
          <cell r="F213">
            <v>185.40642008823716</v>
          </cell>
          <cell r="G213">
            <v>1.7940720010640245</v>
          </cell>
          <cell r="H213">
            <v>1.7940720010640245</v>
          </cell>
          <cell r="I213">
            <v>45.17753744451764</v>
          </cell>
          <cell r="J213">
            <v>45.17753744451764</v>
          </cell>
        </row>
        <row r="214">
          <cell r="A214" t="str">
            <v>96275</v>
          </cell>
          <cell r="B214" t="str">
            <v>GALLETA CHOCOLATE CHIPS STARBUCKS (UND)</v>
          </cell>
          <cell r="C214" t="str">
            <v>UND</v>
          </cell>
          <cell r="D214" t="str">
            <v>UND</v>
          </cell>
          <cell r="E214">
            <v>142.47345146308726</v>
          </cell>
          <cell r="F214">
            <v>142.47345146308726</v>
          </cell>
          <cell r="G214">
            <v>0.13315657482254814</v>
          </cell>
          <cell r="H214">
            <v>0.13315657482254814</v>
          </cell>
          <cell r="I214">
            <v>9.8643519761372112</v>
          </cell>
          <cell r="J214">
            <v>9.8643519761372112</v>
          </cell>
        </row>
        <row r="215">
          <cell r="A215" t="str">
            <v>96276</v>
          </cell>
          <cell r="B215" t="str">
            <v>ROSQUETE CARAMELO PURATOS (335g)</v>
          </cell>
          <cell r="C215" t="str">
            <v>UND</v>
          </cell>
          <cell r="D215" t="str">
            <v>UND</v>
          </cell>
          <cell r="E215">
            <v>446.846888464561</v>
          </cell>
          <cell r="F215">
            <v>446.846888464561</v>
          </cell>
          <cell r="G215">
            <v>7.6483473744357671</v>
          </cell>
          <cell r="H215">
            <v>7.6483473744357671</v>
          </cell>
          <cell r="I215">
            <v>5.5005424229143616</v>
          </cell>
          <cell r="J215">
            <v>5.5005424229143616</v>
          </cell>
        </row>
        <row r="216">
          <cell r="A216" t="str">
            <v>96277</v>
          </cell>
          <cell r="B216" t="str">
            <v>ARREGLADOS GRANDE (UND)</v>
          </cell>
          <cell r="C216" t="str">
            <v>UND</v>
          </cell>
          <cell r="D216" t="str">
            <v>UND</v>
          </cell>
          <cell r="E216">
            <v>61.2487247127549</v>
          </cell>
          <cell r="F216">
            <v>61.2487247127549</v>
          </cell>
          <cell r="G216">
            <v>0.33516442918327466</v>
          </cell>
          <cell r="H216">
            <v>0.33516442918327466</v>
          </cell>
          <cell r="I216">
            <v>14.436503612785934</v>
          </cell>
          <cell r="J216">
            <v>14.436503612785934</v>
          </cell>
        </row>
        <row r="217">
          <cell r="A217" t="str">
            <v>96280</v>
          </cell>
          <cell r="B217" t="str">
            <v>OREJITAS DULCES (5409g)</v>
          </cell>
          <cell r="C217" t="str">
            <v>KILO</v>
          </cell>
          <cell r="D217" t="str">
            <v>GRAMO</v>
          </cell>
          <cell r="E217">
            <v>935.32970759169018</v>
          </cell>
          <cell r="F217">
            <v>0.93532970759169021</v>
          </cell>
          <cell r="G217">
            <v>4.3075589700960348</v>
          </cell>
          <cell r="H217">
            <v>4.3075589700960351E-3</v>
          </cell>
          <cell r="I217">
            <v>625.67426218810954</v>
          </cell>
          <cell r="J217">
            <v>0.62567426218810951</v>
          </cell>
        </row>
        <row r="218">
          <cell r="A218" t="str">
            <v>96284</v>
          </cell>
          <cell r="B218" t="str">
            <v>CROISSANT SPOON 110g (UND)</v>
          </cell>
          <cell r="C218" t="str">
            <v>UND</v>
          </cell>
          <cell r="D218" t="str">
            <v>UND</v>
          </cell>
          <cell r="E218">
            <v>123.89697454065589</v>
          </cell>
          <cell r="F218">
            <v>123.89697454065589</v>
          </cell>
          <cell r="G218">
            <v>0.39982959433249193</v>
          </cell>
          <cell r="H218">
            <v>0.39982959433249193</v>
          </cell>
          <cell r="I218">
            <v>46.883423180592985</v>
          </cell>
          <cell r="J218">
            <v>46.883423180592985</v>
          </cell>
        </row>
        <row r="219">
          <cell r="A219" t="str">
            <v>96292</v>
          </cell>
          <cell r="B219" t="str">
            <v>ROSQUETE TRES LECHES RED. (150g)</v>
          </cell>
          <cell r="C219" t="str">
            <v>UND</v>
          </cell>
          <cell r="D219" t="str">
            <v>UND</v>
          </cell>
          <cell r="E219">
            <v>161.62757625425056</v>
          </cell>
          <cell r="F219">
            <v>161.62757625425056</v>
          </cell>
          <cell r="G219">
            <v>1.7718978079258554</v>
          </cell>
          <cell r="H219">
            <v>1.7718978079258554</v>
          </cell>
          <cell r="I219">
            <v>29.720637583892618</v>
          </cell>
          <cell r="J219">
            <v>29.720637583892618</v>
          </cell>
        </row>
        <row r="220">
          <cell r="A220" t="str">
            <v>96293</v>
          </cell>
          <cell r="B220" t="str">
            <v>BATIDO P/ROSQUETE TRES LECHES (16700g)</v>
          </cell>
          <cell r="C220" t="str">
            <v>KILO</v>
          </cell>
          <cell r="D220" t="str">
            <v>GRAMO</v>
          </cell>
          <cell r="E220">
            <v>812.68024883060116</v>
          </cell>
          <cell r="F220">
            <v>0.81268024883060119</v>
          </cell>
          <cell r="G220">
            <v>3.6661407407407403</v>
          </cell>
          <cell r="H220">
            <v>3.6661407407407405E-3</v>
          </cell>
          <cell r="I220">
            <v>24.043715846994537</v>
          </cell>
          <cell r="J220">
            <v>2.4043715846994537E-2</v>
          </cell>
        </row>
        <row r="221">
          <cell r="A221" t="str">
            <v>96296</v>
          </cell>
          <cell r="B221" t="str">
            <v>BATIDO P/ROSQUETE CHOCOLATE BUCCA (48100g)</v>
          </cell>
          <cell r="C221" t="str">
            <v>TANDA</v>
          </cell>
          <cell r="D221" t="str">
            <v>GRAMO</v>
          </cell>
          <cell r="E221">
            <v>39777.513660588236</v>
          </cell>
          <cell r="F221">
            <v>0.82697533597896544</v>
          </cell>
          <cell r="G221">
            <v>2.9325322222222225</v>
          </cell>
          <cell r="H221">
            <v>6.0967405867405874E-5</v>
          </cell>
          <cell r="I221">
            <v>550</v>
          </cell>
          <cell r="J221">
            <v>1.1434511434511435E-2</v>
          </cell>
        </row>
        <row r="222">
          <cell r="A222" t="str">
            <v>96299</v>
          </cell>
          <cell r="B222" t="str">
            <v>CROISSANT C/JAMON STB (UND)</v>
          </cell>
          <cell r="C222" t="str">
            <v>UND</v>
          </cell>
          <cell r="D222" t="str">
            <v>UND</v>
          </cell>
          <cell r="E222">
            <v>307.09518973819553</v>
          </cell>
          <cell r="F222">
            <v>307.09518973819553</v>
          </cell>
          <cell r="G222">
            <v>0.73358858788922221</v>
          </cell>
          <cell r="H222">
            <v>0.73358858788922221</v>
          </cell>
          <cell r="I222">
            <v>50.787974886339036</v>
          </cell>
          <cell r="J222">
            <v>50.787974886339036</v>
          </cell>
        </row>
        <row r="223">
          <cell r="A223" t="str">
            <v>902000014</v>
          </cell>
          <cell r="B223" t="str">
            <v>BATIDO P/BROWNIE SPOON (8000g)</v>
          </cell>
          <cell r="C223" t="str">
            <v>KILO</v>
          </cell>
          <cell r="D223" t="str">
            <v>GRAMO</v>
          </cell>
          <cell r="E223">
            <v>8947.9594560000005</v>
          </cell>
          <cell r="F223">
            <v>1.1184949320000002</v>
          </cell>
          <cell r="G223">
            <v>117.03071158730158</v>
          </cell>
          <cell r="H223">
            <v>1.4628838948412697E-2</v>
          </cell>
          <cell r="I223">
            <v>412.5</v>
          </cell>
          <cell r="J223">
            <v>5.1562499999999997E-2</v>
          </cell>
        </row>
        <row r="224">
          <cell r="A224" t="str">
            <v>96306</v>
          </cell>
          <cell r="B224" t="str">
            <v>BATIDO P/COCADA SPOON (21500g)</v>
          </cell>
          <cell r="C224" t="str">
            <v>TANDA</v>
          </cell>
          <cell r="D224" t="str">
            <v>GRAMO</v>
          </cell>
          <cell r="E224">
            <v>49322.221812189833</v>
          </cell>
          <cell r="F224">
            <v>2.2940568284739458</v>
          </cell>
          <cell r="G224">
            <v>0</v>
          </cell>
          <cell r="H224">
            <v>0</v>
          </cell>
          <cell r="I224">
            <v>550</v>
          </cell>
          <cell r="J224">
            <v>2.5581395348837209E-2</v>
          </cell>
        </row>
        <row r="225">
          <cell r="A225" t="str">
            <v>96311</v>
          </cell>
          <cell r="B225" t="str">
            <v>ROSQUETE CHOCOLATE RED. (700g)</v>
          </cell>
          <cell r="C225" t="str">
            <v>UND</v>
          </cell>
          <cell r="D225" t="str">
            <v>UND</v>
          </cell>
          <cell r="E225">
            <v>852.46206408625835</v>
          </cell>
          <cell r="F225">
            <v>852.46206408625835</v>
          </cell>
          <cell r="G225">
            <v>15.921994095213645</v>
          </cell>
          <cell r="H225">
            <v>15.921994095213645</v>
          </cell>
          <cell r="I225">
            <v>29.022774782704367</v>
          </cell>
          <cell r="J225">
            <v>29.022774782704367</v>
          </cell>
        </row>
        <row r="226">
          <cell r="A226" t="str">
            <v>96322</v>
          </cell>
          <cell r="B226" t="str">
            <v>BATIDO P/ROSQUETE CARAMELO (18150g)</v>
          </cell>
          <cell r="C226" t="str">
            <v>KILO</v>
          </cell>
          <cell r="D226" t="str">
            <v>GRAMO</v>
          </cell>
          <cell r="E226">
            <v>1190.2698842975205</v>
          </cell>
          <cell r="F226">
            <v>1.1902698842975206</v>
          </cell>
          <cell r="G226">
            <v>0</v>
          </cell>
          <cell r="H226">
            <v>0</v>
          </cell>
          <cell r="I226">
            <v>15.426997245179065</v>
          </cell>
          <cell r="J226">
            <v>1.5426997245179064E-2</v>
          </cell>
        </row>
        <row r="227">
          <cell r="A227" t="str">
            <v>96324</v>
          </cell>
          <cell r="B227" t="str">
            <v>ROSQUETE CARAMELO PURATOS (1060g)</v>
          </cell>
          <cell r="C227" t="str">
            <v>UND</v>
          </cell>
          <cell r="D227" t="str">
            <v>UND</v>
          </cell>
          <cell r="E227">
            <v>1440.5810135573906</v>
          </cell>
          <cell r="F227">
            <v>1440.5810135573906</v>
          </cell>
          <cell r="G227">
            <v>19.769060411482837</v>
          </cell>
          <cell r="H227">
            <v>19.769060411482837</v>
          </cell>
          <cell r="I227">
            <v>43.943276172306241</v>
          </cell>
          <cell r="J227">
            <v>43.943276172306241</v>
          </cell>
        </row>
        <row r="228">
          <cell r="A228" t="str">
            <v>96328</v>
          </cell>
          <cell r="B228" t="str">
            <v>ROSQUETE MELOCOTON RECT.PURATOS (3400g)</v>
          </cell>
          <cell r="C228" t="str">
            <v>UND</v>
          </cell>
          <cell r="D228" t="str">
            <v>UND</v>
          </cell>
          <cell r="E228">
            <v>4595.986369707296</v>
          </cell>
          <cell r="F228">
            <v>4595.986369707296</v>
          </cell>
          <cell r="G228">
            <v>29.641797018394229</v>
          </cell>
          <cell r="H228">
            <v>29.641797018394229</v>
          </cell>
          <cell r="I228">
            <v>140.25143489451781</v>
          </cell>
          <cell r="J228">
            <v>140.25143489451781</v>
          </cell>
        </row>
        <row r="229">
          <cell r="A229" t="str">
            <v>96329</v>
          </cell>
          <cell r="B229" t="str">
            <v>PRALINE (1380g)</v>
          </cell>
          <cell r="C229" t="str">
            <v>KILO</v>
          </cell>
          <cell r="D229" t="str">
            <v>GRAMO</v>
          </cell>
          <cell r="E229">
            <v>5776.4652173913037</v>
          </cell>
          <cell r="F229">
            <v>5.776465217391304</v>
          </cell>
          <cell r="G229">
            <v>7.8260869565217401</v>
          </cell>
          <cell r="H229">
            <v>7.8260869565217397E-3</v>
          </cell>
          <cell r="I229">
            <v>405.79710144927537</v>
          </cell>
          <cell r="J229">
            <v>0.40579710144927539</v>
          </cell>
        </row>
        <row r="230">
          <cell r="A230" t="str">
            <v>96331</v>
          </cell>
          <cell r="B230" t="str">
            <v>BOLLETA BLANCA P/CROCANTINI (80g)</v>
          </cell>
          <cell r="C230" t="str">
            <v>UND</v>
          </cell>
          <cell r="D230" t="str">
            <v>UND</v>
          </cell>
          <cell r="E230">
            <v>45.417622234316674</v>
          </cell>
          <cell r="F230">
            <v>45.417622234316674</v>
          </cell>
          <cell r="G230">
            <v>0.39930195657604239</v>
          </cell>
          <cell r="H230">
            <v>0.39930195657604239</v>
          </cell>
          <cell r="I230">
            <v>23.408856882257645</v>
          </cell>
          <cell r="J230">
            <v>23.408856882257645</v>
          </cell>
        </row>
        <row r="231">
          <cell r="A231" t="str">
            <v>96340</v>
          </cell>
          <cell r="B231" t="str">
            <v>CREMA MOKA C/BAILEYS (1200g)</v>
          </cell>
          <cell r="C231" t="str">
            <v>KILO</v>
          </cell>
          <cell r="D231" t="str">
            <v>GRAMO</v>
          </cell>
          <cell r="E231">
            <v>4033.7853397038107</v>
          </cell>
          <cell r="F231">
            <v>4.0337853397038108</v>
          </cell>
          <cell r="G231">
            <v>0.93512481943999726</v>
          </cell>
          <cell r="H231">
            <v>9.3512481943999726E-4</v>
          </cell>
          <cell r="I231">
            <v>249.85910983029137</v>
          </cell>
          <cell r="J231">
            <v>0.24985910983029139</v>
          </cell>
        </row>
        <row r="232">
          <cell r="A232" t="str">
            <v>96341</v>
          </cell>
          <cell r="B232" t="str">
            <v>PECANA CUBIERTA C/COCOLATE BLANCO (500g)</v>
          </cell>
          <cell r="C232" t="str">
            <v>KILO</v>
          </cell>
          <cell r="D232" t="str">
            <v>GRAMO</v>
          </cell>
          <cell r="E232">
            <v>6432.4953750000004</v>
          </cell>
          <cell r="F232">
            <v>6.4324953750000002</v>
          </cell>
          <cell r="G232">
            <v>32.96543615625</v>
          </cell>
          <cell r="H232">
            <v>3.296543615625E-2</v>
          </cell>
          <cell r="I232">
            <v>600.16666666666663</v>
          </cell>
          <cell r="J232">
            <v>0.60016666666666663</v>
          </cell>
        </row>
        <row r="233">
          <cell r="A233" t="str">
            <v>96342</v>
          </cell>
          <cell r="B233" t="str">
            <v>MEZCLA DE TRES LECHES C/BAILEYS (3600g)</v>
          </cell>
          <cell r="C233" t="str">
            <v>LITRO</v>
          </cell>
          <cell r="D233" t="str">
            <v>GRAMO</v>
          </cell>
          <cell r="E233">
            <v>6479.2919439704865</v>
          </cell>
          <cell r="F233">
            <v>6.4792919439704866</v>
          </cell>
          <cell r="G233">
            <v>2.6780055555555555</v>
          </cell>
          <cell r="H233">
            <v>2.6780055555555553E-3</v>
          </cell>
          <cell r="I233">
            <v>35.223765432098766</v>
          </cell>
          <cell r="J233">
            <v>3.5223765432098764E-2</v>
          </cell>
        </row>
        <row r="234">
          <cell r="A234" t="str">
            <v>96343</v>
          </cell>
          <cell r="B234" t="str">
            <v>GANACHE BAILEYS (700g)</v>
          </cell>
          <cell r="C234" t="str">
            <v>KILO</v>
          </cell>
          <cell r="D234" t="str">
            <v>GRAMO</v>
          </cell>
          <cell r="E234">
            <v>4033.9998857142855</v>
          </cell>
          <cell r="F234">
            <v>4.0339998857142856</v>
          </cell>
          <cell r="G234">
            <v>13.772599999999999</v>
          </cell>
          <cell r="H234">
            <v>1.3772599999999999E-2</v>
          </cell>
          <cell r="I234">
            <v>392.85714285714283</v>
          </cell>
          <cell r="J234">
            <v>0.39285714285714285</v>
          </cell>
        </row>
        <row r="235">
          <cell r="A235" t="str">
            <v>96344</v>
          </cell>
          <cell r="B235" t="str">
            <v>CREMA DULCE LECHE (24500g)</v>
          </cell>
          <cell r="C235" t="str">
            <v>TANDA</v>
          </cell>
          <cell r="D235" t="str">
            <v>GRAMO</v>
          </cell>
          <cell r="E235">
            <v>47842.976727200003</v>
          </cell>
          <cell r="F235">
            <v>1.9527745602938777</v>
          </cell>
          <cell r="G235">
            <v>0</v>
          </cell>
          <cell r="H235">
            <v>0</v>
          </cell>
          <cell r="I235">
            <v>275</v>
          </cell>
          <cell r="J235">
            <v>1.1224489795918367E-2</v>
          </cell>
        </row>
        <row r="236">
          <cell r="A236" t="str">
            <v>96349</v>
          </cell>
          <cell r="B236" t="str">
            <v>BATIDO P/ROSQUETE ZANAHORIA (10200g)</v>
          </cell>
          <cell r="C236" t="str">
            <v>KILO</v>
          </cell>
          <cell r="D236" t="str">
            <v>GRAMO</v>
          </cell>
          <cell r="E236">
            <v>19770.832487975571</v>
          </cell>
          <cell r="F236">
            <v>1.8306326377755158</v>
          </cell>
          <cell r="G236">
            <v>11.122917368936587</v>
          </cell>
          <cell r="H236">
            <v>1.0298997563830173E-3</v>
          </cell>
          <cell r="I236">
            <v>991.51782292065923</v>
          </cell>
          <cell r="J236">
            <v>9.1807205825986962E-2</v>
          </cell>
        </row>
        <row r="237">
          <cell r="A237" t="str">
            <v>96352</v>
          </cell>
          <cell r="B237" t="str">
            <v>GALLETA P/TORTA CHILENA BUCCA</v>
          </cell>
          <cell r="C237" t="str">
            <v>UND</v>
          </cell>
          <cell r="D237" t="str">
            <v>UND</v>
          </cell>
          <cell r="E237">
            <v>59.974259271360751</v>
          </cell>
          <cell r="F237">
            <v>59.974259271360751</v>
          </cell>
          <cell r="G237">
            <v>0.46606528812537668</v>
          </cell>
          <cell r="H237">
            <v>0.46606528812537668</v>
          </cell>
          <cell r="I237">
            <v>15.320253164556961</v>
          </cell>
          <cell r="J237">
            <v>15.320253164556961</v>
          </cell>
        </row>
        <row r="238">
          <cell r="A238" t="str">
            <v>90100143</v>
          </cell>
          <cell r="B238" t="str">
            <v>ROSQUETE VAINILLA PURATOS  (1000g)</v>
          </cell>
          <cell r="C238" t="str">
            <v>UND</v>
          </cell>
          <cell r="D238" t="str">
            <v>UND</v>
          </cell>
          <cell r="E238">
            <v>1023.982802590923</v>
          </cell>
          <cell r="F238">
            <v>1023.982802590923</v>
          </cell>
          <cell r="G238">
            <v>24.187790337380832</v>
          </cell>
          <cell r="H238">
            <v>24.187790337380832</v>
          </cell>
          <cell r="I238">
            <v>34.421435367327526</v>
          </cell>
          <cell r="J238">
            <v>34.421435367327526</v>
          </cell>
        </row>
        <row r="239">
          <cell r="A239" t="str">
            <v>96357</v>
          </cell>
          <cell r="B239" t="str">
            <v>ROSQUETE CHOCOLATE SPOON  (280g)</v>
          </cell>
          <cell r="C239" t="str">
            <v>UND</v>
          </cell>
          <cell r="D239" t="str">
            <v>UND</v>
          </cell>
          <cell r="E239">
            <v>361.52154215254848</v>
          </cell>
          <cell r="F239">
            <v>361.52154215254848</v>
          </cell>
          <cell r="G239">
            <v>4.9894117266091946</v>
          </cell>
          <cell r="H239">
            <v>4.9894117266091946</v>
          </cell>
          <cell r="I239">
            <v>15.669346192538576</v>
          </cell>
          <cell r="J239">
            <v>15.669346192538576</v>
          </cell>
        </row>
        <row r="240">
          <cell r="A240" t="str">
            <v>96360</v>
          </cell>
          <cell r="B240" t="str">
            <v>COCCION PALMITO P/ENSALADA (1900g)</v>
          </cell>
          <cell r="C240" t="str">
            <v>KILO</v>
          </cell>
          <cell r="D240" t="str">
            <v>GRAMO</v>
          </cell>
          <cell r="E240">
            <v>2347.4006557894736</v>
          </cell>
          <cell r="F240">
            <v>2.3474006557894738</v>
          </cell>
          <cell r="G240">
            <v>44.225973684210523</v>
          </cell>
          <cell r="H240">
            <v>4.4225973684210523E-2</v>
          </cell>
          <cell r="I240">
            <v>86.842105263157904</v>
          </cell>
          <cell r="J240">
            <v>8.6842105263157901E-2</v>
          </cell>
        </row>
        <row r="241">
          <cell r="A241" t="str">
            <v>96361</v>
          </cell>
          <cell r="B241" t="str">
            <v>BATIDO YOGURT CAKE (10500g)</v>
          </cell>
          <cell r="C241" t="str">
            <v>KILO</v>
          </cell>
          <cell r="D241" t="str">
            <v>GRAMO</v>
          </cell>
          <cell r="E241">
            <v>1356.717147051859</v>
          </cell>
          <cell r="F241">
            <v>1.3567171470518591</v>
          </cell>
          <cell r="G241">
            <v>3.1315248243744573</v>
          </cell>
          <cell r="H241">
            <v>3.1315248243744573E-3</v>
          </cell>
          <cell r="I241">
            <v>47.738574473123371</v>
          </cell>
          <cell r="J241">
            <v>4.7738574473123373E-2</v>
          </cell>
        </row>
        <row r="242">
          <cell r="A242" t="str">
            <v>96362</v>
          </cell>
          <cell r="B242" t="str">
            <v>ADEREZO CULANTRO RANCH (500g)</v>
          </cell>
          <cell r="C242" t="str">
            <v>KILO</v>
          </cell>
          <cell r="D242" t="str">
            <v>GRAMO</v>
          </cell>
          <cell r="E242">
            <v>1313.3792668857036</v>
          </cell>
          <cell r="F242">
            <v>1.3133792668857036</v>
          </cell>
          <cell r="G242">
            <v>64.31460317543943</v>
          </cell>
          <cell r="H242">
            <v>6.4314603175439425E-2</v>
          </cell>
          <cell r="I242">
            <v>604.54374873079269</v>
          </cell>
          <cell r="J242">
            <v>0.60454374873079264</v>
          </cell>
        </row>
        <row r="243">
          <cell r="A243" t="str">
            <v>96367</v>
          </cell>
          <cell r="B243" t="str">
            <v>ADEREZO PESTO ALBAHACA (300g)</v>
          </cell>
          <cell r="C243" t="str">
            <v>KILO</v>
          </cell>
          <cell r="D243" t="str">
            <v>GRAMO</v>
          </cell>
          <cell r="E243">
            <v>3256.399145833333</v>
          </cell>
          <cell r="F243">
            <v>3.256399145833333</v>
          </cell>
          <cell r="G243">
            <v>54.084525925925938</v>
          </cell>
          <cell r="H243">
            <v>5.4084525925925934E-2</v>
          </cell>
          <cell r="I243">
            <v>566.93693693693706</v>
          </cell>
          <cell r="J243">
            <v>0.56693693693693703</v>
          </cell>
        </row>
        <row r="244">
          <cell r="A244" t="str">
            <v>96368</v>
          </cell>
          <cell r="B244" t="str">
            <v>COCCION CARNE PHILLY (500g)</v>
          </cell>
          <cell r="C244" t="str">
            <v>KILO</v>
          </cell>
          <cell r="D244" t="str">
            <v>GRAMO</v>
          </cell>
          <cell r="E244">
            <v>11091.887170000002</v>
          </cell>
          <cell r="F244">
            <v>11.091887170000001</v>
          </cell>
          <cell r="G244">
            <v>49.338826999999995</v>
          </cell>
          <cell r="H244">
            <v>4.9338826999999995E-2</v>
          </cell>
          <cell r="I244">
            <v>560</v>
          </cell>
          <cell r="J244">
            <v>0.56000000000000005</v>
          </cell>
        </row>
        <row r="245">
          <cell r="A245" t="str">
            <v>96369</v>
          </cell>
          <cell r="B245" t="str">
            <v>COCCION CEBOLLA PHILLY (200g)</v>
          </cell>
          <cell r="C245" t="str">
            <v>KILO</v>
          </cell>
          <cell r="D245" t="str">
            <v>GRAMO</v>
          </cell>
          <cell r="E245">
            <v>7895.8827233333341</v>
          </cell>
          <cell r="F245">
            <v>7.895882723333334</v>
          </cell>
          <cell r="G245">
            <v>123.34706749999999</v>
          </cell>
          <cell r="H245">
            <v>0.12334706749999999</v>
          </cell>
          <cell r="I245">
            <v>1400</v>
          </cell>
          <cell r="J245">
            <v>1.4</v>
          </cell>
        </row>
        <row r="246">
          <cell r="A246" t="str">
            <v>96370</v>
          </cell>
          <cell r="B246" t="str">
            <v>MEZCLA CLARAS P/TORTA (1700g)</v>
          </cell>
          <cell r="C246" t="str">
            <v>KILO</v>
          </cell>
          <cell r="D246" t="str">
            <v>GRAMO</v>
          </cell>
          <cell r="E246">
            <v>2967.8659223529412</v>
          </cell>
          <cell r="F246">
            <v>2.9678659223529413</v>
          </cell>
          <cell r="G246">
            <v>0</v>
          </cell>
          <cell r="H246">
            <v>0</v>
          </cell>
          <cell r="I246">
            <v>98.823529411764696</v>
          </cell>
          <cell r="J246">
            <v>9.8823529411764699E-2</v>
          </cell>
        </row>
        <row r="247">
          <cell r="A247" t="str">
            <v>96371</v>
          </cell>
          <cell r="B247" t="str">
            <v>MEZCLA DE HUEVOS ENTEROS P/TORTA (750g)</v>
          </cell>
          <cell r="C247" t="str">
            <v>KILO</v>
          </cell>
          <cell r="D247" t="str">
            <v>GRAMO</v>
          </cell>
          <cell r="E247">
            <v>1409.0171506666668</v>
          </cell>
          <cell r="F247">
            <v>1.4090171506666669</v>
          </cell>
          <cell r="G247">
            <v>0</v>
          </cell>
          <cell r="H247">
            <v>0</v>
          </cell>
          <cell r="I247">
            <v>224</v>
          </cell>
          <cell r="J247">
            <v>0.224</v>
          </cell>
        </row>
        <row r="248">
          <cell r="A248" t="str">
            <v>96372</v>
          </cell>
          <cell r="B248" t="str">
            <v>QUESO CHEDDAR BLANCO LAMINADO Y EMPACADO (1000g)</v>
          </cell>
          <cell r="C248" t="str">
            <v>KILO</v>
          </cell>
          <cell r="D248" t="str">
            <v>GRAMO</v>
          </cell>
          <cell r="E248">
            <v>9278.7842700000001</v>
          </cell>
          <cell r="F248">
            <v>9.2787842700000009</v>
          </cell>
          <cell r="G248">
            <v>52.097924444444445</v>
          </cell>
          <cell r="H248">
            <v>5.2097924444444443E-2</v>
          </cell>
          <cell r="I248">
            <v>224</v>
          </cell>
          <cell r="J248">
            <v>0.224</v>
          </cell>
        </row>
        <row r="249">
          <cell r="A249" t="str">
            <v>96373</v>
          </cell>
          <cell r="B249" t="str">
            <v>QUESO CHEDDAR LAMINADO Y EMPACADO (1000g)</v>
          </cell>
          <cell r="C249" t="str">
            <v>KILO</v>
          </cell>
          <cell r="D249" t="str">
            <v>GRAMO</v>
          </cell>
          <cell r="E249">
            <v>9065.4797699999999</v>
          </cell>
          <cell r="F249">
            <v>9.0654797699999996</v>
          </cell>
          <cell r="G249">
            <v>52.097924444444445</v>
          </cell>
          <cell r="H249">
            <v>5.2097924444444443E-2</v>
          </cell>
          <cell r="I249">
            <v>224</v>
          </cell>
          <cell r="J249">
            <v>0.224</v>
          </cell>
        </row>
        <row r="250">
          <cell r="A250" t="str">
            <v>96374</v>
          </cell>
          <cell r="B250" t="str">
            <v>QUESO GOUDA BLANCO LAMINADO Y EMPACADO (1000g)</v>
          </cell>
          <cell r="C250" t="str">
            <v>KILO</v>
          </cell>
          <cell r="D250" t="str">
            <v>GRAMO</v>
          </cell>
          <cell r="E250">
            <v>6766.1310899999999</v>
          </cell>
          <cell r="F250">
            <v>6.76613109</v>
          </cell>
          <cell r="G250">
            <v>52.103924444444445</v>
          </cell>
          <cell r="H250">
            <v>5.2103924444444442E-2</v>
          </cell>
          <cell r="I250">
            <v>224</v>
          </cell>
          <cell r="J250">
            <v>0.224</v>
          </cell>
        </row>
        <row r="251">
          <cell r="A251" t="str">
            <v>96375</v>
          </cell>
          <cell r="B251" t="str">
            <v>QUESO MONTERREY JACK LAMINADO Y EMPACADO (1000g)</v>
          </cell>
          <cell r="C251" t="str">
            <v>KILO</v>
          </cell>
          <cell r="D251" t="str">
            <v>GRAMO</v>
          </cell>
          <cell r="E251">
            <v>6933.1377600000005</v>
          </cell>
          <cell r="F251">
            <v>6.9331377600000001</v>
          </cell>
          <cell r="G251">
            <v>52.223357777777778</v>
          </cell>
          <cell r="H251">
            <v>5.2223357777777778E-2</v>
          </cell>
          <cell r="I251">
            <v>224</v>
          </cell>
          <cell r="J251">
            <v>0.224</v>
          </cell>
        </row>
        <row r="252">
          <cell r="A252" t="str">
            <v>96376</v>
          </cell>
          <cell r="B252" t="str">
            <v>SALCHICHA AMERICANA HORNEADA (300g)</v>
          </cell>
          <cell r="C252" t="str">
            <v>UND</v>
          </cell>
          <cell r="D252" t="str">
            <v>UND</v>
          </cell>
          <cell r="E252">
            <v>263.25</v>
          </cell>
          <cell r="F252">
            <v>263.25</v>
          </cell>
          <cell r="G252">
            <v>0</v>
          </cell>
          <cell r="H252">
            <v>0</v>
          </cell>
          <cell r="I252">
            <v>16.8</v>
          </cell>
          <cell r="J252">
            <v>16.8</v>
          </cell>
        </row>
        <row r="253">
          <cell r="A253" t="str">
            <v>96376</v>
          </cell>
          <cell r="B253" t="str">
            <v>SALCHICHA AMERICANA HORNEADA (300g)</v>
          </cell>
          <cell r="C253" t="str">
            <v>KILO</v>
          </cell>
          <cell r="D253" t="str">
            <v>GRAMO</v>
          </cell>
          <cell r="E253">
            <v>263.25</v>
          </cell>
          <cell r="F253">
            <v>0.26324999999999998</v>
          </cell>
          <cell r="G253">
            <v>0</v>
          </cell>
          <cell r="H253">
            <v>0</v>
          </cell>
          <cell r="I253">
            <v>16.8</v>
          </cell>
          <cell r="J253">
            <v>1.6800000000000002E-2</v>
          </cell>
        </row>
        <row r="254">
          <cell r="A254" t="str">
            <v>96377</v>
          </cell>
          <cell r="B254" t="str">
            <v>SALSA CEBOLLA PHILLY (500g)</v>
          </cell>
          <cell r="C254" t="str">
            <v>KILO</v>
          </cell>
          <cell r="D254" t="str">
            <v>GRAMO</v>
          </cell>
          <cell r="E254">
            <v>2593.4490490000003</v>
          </cell>
          <cell r="F254">
            <v>2.5934490490000002</v>
          </cell>
          <cell r="G254">
            <v>0</v>
          </cell>
          <cell r="H254">
            <v>0</v>
          </cell>
          <cell r="I254">
            <v>560</v>
          </cell>
          <cell r="J254">
            <v>0.56000000000000005</v>
          </cell>
        </row>
        <row r="255">
          <cell r="A255" t="str">
            <v>96378</v>
          </cell>
          <cell r="B255" t="str">
            <v>TOCINETA TOSTADA (150g)</v>
          </cell>
          <cell r="C255" t="str">
            <v>KILO</v>
          </cell>
          <cell r="D255" t="str">
            <v>GRAMO</v>
          </cell>
          <cell r="E255">
            <v>12643.866666666667</v>
          </cell>
          <cell r="F255">
            <v>12.643866666666666</v>
          </cell>
          <cell r="G255">
            <v>0</v>
          </cell>
          <cell r="H255">
            <v>0</v>
          </cell>
          <cell r="I255">
            <v>1120</v>
          </cell>
          <cell r="J255">
            <v>1.1200000000000001</v>
          </cell>
        </row>
        <row r="256">
          <cell r="A256" t="str">
            <v>96379</v>
          </cell>
          <cell r="B256" t="str">
            <v>TORTA DE CLARAS (110g)</v>
          </cell>
          <cell r="C256" t="str">
            <v>UND</v>
          </cell>
          <cell r="D256" t="str">
            <v>UND</v>
          </cell>
          <cell r="E256">
            <v>508.87973196778529</v>
          </cell>
          <cell r="F256">
            <v>508.87973196778529</v>
          </cell>
          <cell r="G256">
            <v>0</v>
          </cell>
          <cell r="H256">
            <v>0</v>
          </cell>
          <cell r="I256">
            <v>33.881879194630869</v>
          </cell>
          <cell r="J256">
            <v>33.881879194630869</v>
          </cell>
        </row>
        <row r="257">
          <cell r="A257" t="str">
            <v>96380</v>
          </cell>
          <cell r="B257" t="str">
            <v>TORTA DE HUEVO (75g)</v>
          </cell>
          <cell r="C257" t="str">
            <v>UND</v>
          </cell>
          <cell r="D257" t="str">
            <v>UND</v>
          </cell>
          <cell r="E257">
            <v>107.84754888389264</v>
          </cell>
          <cell r="F257">
            <v>107.84754888389264</v>
          </cell>
          <cell r="G257">
            <v>2.838254697986577E-2</v>
          </cell>
          <cell r="H257">
            <v>2.838254697986577E-2</v>
          </cell>
          <cell r="I257">
            <v>39.340939597315433</v>
          </cell>
          <cell r="J257">
            <v>39.340939597315433</v>
          </cell>
        </row>
        <row r="258">
          <cell r="A258" t="str">
            <v>96381</v>
          </cell>
          <cell r="B258" t="str">
            <v>TORTA HUEVOS Y VEGETALES (75g)</v>
          </cell>
          <cell r="C258" t="str">
            <v>UND</v>
          </cell>
          <cell r="D258" t="str">
            <v>UND</v>
          </cell>
          <cell r="E258">
            <v>113.89141737722596</v>
          </cell>
          <cell r="F258">
            <v>113.89141737722596</v>
          </cell>
          <cell r="G258">
            <v>2.838254697986577E-2</v>
          </cell>
          <cell r="H258">
            <v>2.838254697986577E-2</v>
          </cell>
          <cell r="I258">
            <v>37.100939597315438</v>
          </cell>
          <cell r="J258">
            <v>37.100939597315438</v>
          </cell>
        </row>
        <row r="259">
          <cell r="A259" t="str">
            <v>96388</v>
          </cell>
          <cell r="B259" t="str">
            <v>BASE DE GALLETA DE CHOCOLATE (1000g)</v>
          </cell>
          <cell r="C259" t="str">
            <v>KILO</v>
          </cell>
          <cell r="D259" t="str">
            <v>GRAMO</v>
          </cell>
          <cell r="E259">
            <v>1553.7802000000001</v>
          </cell>
          <cell r="F259">
            <v>1.5537802000000001</v>
          </cell>
          <cell r="G259">
            <v>0</v>
          </cell>
          <cell r="H259">
            <v>0</v>
          </cell>
          <cell r="I259">
            <v>220</v>
          </cell>
          <cell r="J259">
            <v>0.22</v>
          </cell>
        </row>
        <row r="260">
          <cell r="A260" t="str">
            <v>96392</v>
          </cell>
          <cell r="B260" t="str">
            <v>BASTONES QUESO TURRIALBA P/TIQUEÑOS</v>
          </cell>
          <cell r="C260" t="str">
            <v>KILO</v>
          </cell>
          <cell r="D260" t="str">
            <v>GRAMO</v>
          </cell>
          <cell r="E260">
            <v>3036.3153488372091</v>
          </cell>
          <cell r="F260">
            <v>3.036315348837209</v>
          </cell>
          <cell r="G260">
            <v>1.0934808139534882</v>
          </cell>
          <cell r="H260">
            <v>1.0934808139534881E-3</v>
          </cell>
          <cell r="I260">
            <v>89.534883720930225</v>
          </cell>
          <cell r="J260">
            <v>8.9534883720930228E-2</v>
          </cell>
        </row>
        <row r="261">
          <cell r="A261" t="str">
            <v>96393</v>
          </cell>
          <cell r="B261" t="str">
            <v>BATIDO P/PAN BLANCO (24650g)</v>
          </cell>
          <cell r="C261" t="str">
            <v>KILO</v>
          </cell>
          <cell r="D261" t="str">
            <v>GRAMO</v>
          </cell>
          <cell r="E261">
            <v>496.04960787018251</v>
          </cell>
          <cell r="F261">
            <v>0.49604960787018249</v>
          </cell>
          <cell r="G261">
            <v>1.8606731317814482</v>
          </cell>
          <cell r="H261">
            <v>1.8606731317814481E-3</v>
          </cell>
          <cell r="I261">
            <v>20.081135902636916</v>
          </cell>
          <cell r="J261">
            <v>2.0081135902636917E-2</v>
          </cell>
        </row>
        <row r="262">
          <cell r="A262" t="str">
            <v>96395</v>
          </cell>
          <cell r="B262" t="str">
            <v>PRALINE C/CHOCOLATE BLANCO (2600g)</v>
          </cell>
          <cell r="C262" t="str">
            <v>KILO</v>
          </cell>
          <cell r="D262" t="str">
            <v>GRAMO</v>
          </cell>
          <cell r="E262">
            <v>4516.5968076923073</v>
          </cell>
          <cell r="F262">
            <v>4.5165968076923075</v>
          </cell>
          <cell r="G262">
            <v>8.6926923076923082</v>
          </cell>
          <cell r="H262">
            <v>8.6926923076923075E-3</v>
          </cell>
          <cell r="I262">
            <v>430.76923076923077</v>
          </cell>
          <cell r="J262">
            <v>0.43076923076923079</v>
          </cell>
        </row>
        <row r="263">
          <cell r="A263" t="str">
            <v>96396</v>
          </cell>
          <cell r="B263" t="str">
            <v>CREMA CHANTILLY BEIDGE (10400g)</v>
          </cell>
          <cell r="C263" t="str">
            <v>KILO</v>
          </cell>
          <cell r="D263" t="str">
            <v>GRAMO</v>
          </cell>
          <cell r="E263">
            <v>1565.0805096153845</v>
          </cell>
          <cell r="F263">
            <v>1.5650805096153844</v>
          </cell>
          <cell r="G263">
            <v>9.6249999999999988E-2</v>
          </cell>
          <cell r="H263">
            <v>9.6249999999999995E-5</v>
          </cell>
          <cell r="I263">
            <v>26.923076923076923</v>
          </cell>
          <cell r="J263">
            <v>2.6923076923076925E-2</v>
          </cell>
        </row>
        <row r="264">
          <cell r="A264" t="str">
            <v>96398</v>
          </cell>
          <cell r="B264" t="str">
            <v>ALMIBAR CON LICOR DE CAFE (3000g)</v>
          </cell>
          <cell r="C264" t="str">
            <v>KILO</v>
          </cell>
          <cell r="D264" t="str">
            <v>GRAMO</v>
          </cell>
          <cell r="E264">
            <v>9455.557774311821</v>
          </cell>
          <cell r="F264">
            <v>3.1518525914372737</v>
          </cell>
          <cell r="G264">
            <v>19.751088578274761</v>
          </cell>
          <cell r="H264">
            <v>6.5836961927582538E-3</v>
          </cell>
          <cell r="I264">
            <v>103.76198083067092</v>
          </cell>
          <cell r="J264">
            <v>3.4587326943556977E-2</v>
          </cell>
        </row>
        <row r="265">
          <cell r="A265" t="str">
            <v>96399</v>
          </cell>
          <cell r="B265" t="str">
            <v>BATIDO P/TORTA KALUA (7684g)</v>
          </cell>
          <cell r="C265" t="str">
            <v>KILO</v>
          </cell>
          <cell r="D265" t="str">
            <v>GRAMO</v>
          </cell>
          <cell r="E265">
            <v>2598.1708149431574</v>
          </cell>
          <cell r="F265">
            <v>2.5981708149431575</v>
          </cell>
          <cell r="G265">
            <v>7.0082209161000613</v>
          </cell>
          <cell r="H265">
            <v>7.0082209161000612E-3</v>
          </cell>
          <cell r="I265">
            <v>111.33659065921081</v>
          </cell>
          <cell r="J265">
            <v>0.11133659065921081</v>
          </cell>
        </row>
        <row r="266">
          <cell r="A266" t="str">
            <v>96409</v>
          </cell>
          <cell r="B266" t="str">
            <v>BASE PREMEZCLA CHOCOLATE PILLSBURY (6012g)</v>
          </cell>
          <cell r="C266" t="str">
            <v>TANDA</v>
          </cell>
          <cell r="D266" t="str">
            <v>GRAMO</v>
          </cell>
          <cell r="E266">
            <v>9697.4206871788356</v>
          </cell>
          <cell r="F266">
            <v>1.6130107596771184</v>
          </cell>
          <cell r="G266">
            <v>32.369083809523815</v>
          </cell>
          <cell r="H266">
            <v>5.3840791433007011E-3</v>
          </cell>
          <cell r="I266">
            <v>110</v>
          </cell>
          <cell r="J266">
            <v>1.8296739853626082E-2</v>
          </cell>
        </row>
        <row r="267">
          <cell r="A267" t="str">
            <v>96451</v>
          </cell>
          <cell r="B267" t="str">
            <v>MEZCLA TRES LECHES C/AGUA (2000g)</v>
          </cell>
          <cell r="C267" t="str">
            <v>Kilo</v>
          </cell>
          <cell r="D267" t="str">
            <v>Gramo</v>
          </cell>
          <cell r="E267">
            <v>866.54019873768948</v>
          </cell>
          <cell r="F267">
            <v>0.8665401987376895</v>
          </cell>
          <cell r="G267">
            <v>0</v>
          </cell>
          <cell r="H267">
            <v>0</v>
          </cell>
          <cell r="I267">
            <v>67.934680321062828</v>
          </cell>
          <cell r="J267">
            <v>6.7934680321062826E-2</v>
          </cell>
        </row>
        <row r="268">
          <cell r="A268" t="str">
            <v>96464</v>
          </cell>
          <cell r="B268" t="str">
            <v>EMPAQUE SALSA BLANCA SPOON  (5000g)</v>
          </cell>
          <cell r="C268" t="str">
            <v>KILO</v>
          </cell>
          <cell r="D268" t="str">
            <v>GRAMO</v>
          </cell>
          <cell r="E268">
            <v>1571.1600631712397</v>
          </cell>
          <cell r="F268">
            <v>1.5711600631712397</v>
          </cell>
          <cell r="G268">
            <v>7.751116539682541</v>
          </cell>
          <cell r="H268">
            <v>7.7511165396825406E-3</v>
          </cell>
          <cell r="I268">
            <v>37.179910350448246</v>
          </cell>
          <cell r="J268">
            <v>3.7179910350448243E-2</v>
          </cell>
        </row>
        <row r="269">
          <cell r="A269" t="str">
            <v>96465</v>
          </cell>
          <cell r="B269" t="str">
            <v>POLLO RECORTE EMPACADO (5000g)</v>
          </cell>
          <cell r="C269" t="str">
            <v>TANDA</v>
          </cell>
          <cell r="D269" t="str">
            <v>GRAMO</v>
          </cell>
          <cell r="E269">
            <v>18641.096729957804</v>
          </cell>
          <cell r="F269">
            <v>3.7282193459915609</v>
          </cell>
          <cell r="G269">
            <v>38.052083809523815</v>
          </cell>
          <cell r="H269">
            <v>7.6104167619047633E-3</v>
          </cell>
          <cell r="I269">
            <v>398.05379746835445</v>
          </cell>
          <cell r="J269">
            <v>7.9610759493670885E-2</v>
          </cell>
        </row>
        <row r="270">
          <cell r="A270" t="str">
            <v>96466</v>
          </cell>
          <cell r="B270" t="str">
            <v>POLLO DESMENUZADO MARMITA EMPACADO (5000g)</v>
          </cell>
          <cell r="C270" t="str">
            <v>BOLSA</v>
          </cell>
          <cell r="D270" t="str">
            <v>GRAMO</v>
          </cell>
          <cell r="E270">
            <v>21923.708020833335</v>
          </cell>
          <cell r="F270">
            <v>4.3847416041666669</v>
          </cell>
          <cell r="G270">
            <v>38.810127142857141</v>
          </cell>
          <cell r="H270">
            <v>7.762025428571428E-3</v>
          </cell>
          <cell r="I270">
            <v>828.4375</v>
          </cell>
          <cell r="J270">
            <v>0.16568749999999999</v>
          </cell>
        </row>
        <row r="271">
          <cell r="A271" t="str">
            <v>96467</v>
          </cell>
          <cell r="B271" t="str">
            <v>ARROZ PRECOCIDO P/GALLO PINTO EMPACADO (5000g)</v>
          </cell>
          <cell r="C271" t="str">
            <v>TANDA</v>
          </cell>
          <cell r="D271" t="str">
            <v>GRAMO</v>
          </cell>
          <cell r="E271">
            <v>3631.635473608098</v>
          </cell>
          <cell r="F271">
            <v>0.7263270947216196</v>
          </cell>
          <cell r="G271">
            <v>80.961763325069739</v>
          </cell>
          <cell r="H271">
            <v>1.6192352665013947E-2</v>
          </cell>
          <cell r="I271">
            <v>399.93763557483732</v>
          </cell>
          <cell r="J271">
            <v>7.9987527114967469E-2</v>
          </cell>
        </row>
        <row r="272">
          <cell r="A272" t="str">
            <v>96468</v>
          </cell>
          <cell r="B272" t="str">
            <v>FRIJOLES P/GALLO PINTO EMPACADOS (4000g)</v>
          </cell>
          <cell r="C272" t="str">
            <v>TANDA</v>
          </cell>
          <cell r="D272" t="str">
            <v>GRAMO</v>
          </cell>
          <cell r="E272">
            <v>2763.0171543895058</v>
          </cell>
          <cell r="F272">
            <v>0.69075428859737642</v>
          </cell>
          <cell r="G272">
            <v>31.588019937212692</v>
          </cell>
          <cell r="H272">
            <v>7.8970049843031728E-3</v>
          </cell>
          <cell r="I272">
            <v>195.51715438950555</v>
          </cell>
          <cell r="J272">
            <v>4.8879288597376384E-2</v>
          </cell>
        </row>
        <row r="273">
          <cell r="A273" t="str">
            <v>96475</v>
          </cell>
          <cell r="B273" t="str">
            <v>COCCION CREMA TOMATE (18500g)</v>
          </cell>
          <cell r="C273" t="str">
            <v>KILO</v>
          </cell>
          <cell r="D273" t="str">
            <v>GRAMO</v>
          </cell>
          <cell r="E273">
            <v>1122.8780081600833</v>
          </cell>
          <cell r="F273">
            <v>1.1228780081600833</v>
          </cell>
          <cell r="G273">
            <v>0</v>
          </cell>
          <cell r="H273">
            <v>0</v>
          </cell>
          <cell r="I273">
            <v>29.198841698841701</v>
          </cell>
          <cell r="J273">
            <v>2.9198841698841699E-2</v>
          </cell>
        </row>
        <row r="274">
          <cell r="A274" t="str">
            <v>96476</v>
          </cell>
          <cell r="B274" t="str">
            <v>BASE PREMEZCLA P/EMPANADA STB (9456g)</v>
          </cell>
          <cell r="C274" t="str">
            <v>TANDA</v>
          </cell>
          <cell r="D274" t="str">
            <v>GRAMO</v>
          </cell>
          <cell r="E274">
            <v>3544.9617000000003</v>
          </cell>
          <cell r="F274">
            <v>0.37489019670050766</v>
          </cell>
          <cell r="G274">
            <v>35.065582698412705</v>
          </cell>
          <cell r="H274">
            <v>3.7082892024548121E-3</v>
          </cell>
          <cell r="I274">
            <v>168</v>
          </cell>
          <cell r="J274">
            <v>1.7766497461928935E-2</v>
          </cell>
        </row>
        <row r="275">
          <cell r="A275" t="str">
            <v>96477</v>
          </cell>
          <cell r="B275" t="str">
            <v>PASTA P/EMPANADA STB (16000g)</v>
          </cell>
          <cell r="C275" t="str">
            <v>KILO</v>
          </cell>
          <cell r="D275" t="str">
            <v>GRAMO</v>
          </cell>
          <cell r="E275">
            <v>796.91226375000008</v>
          </cell>
          <cell r="F275">
            <v>0.79691226375000013</v>
          </cell>
          <cell r="G275">
            <v>2.191598918650794</v>
          </cell>
          <cell r="H275">
            <v>2.1915989186507942E-3</v>
          </cell>
          <cell r="I275">
            <v>44.875</v>
          </cell>
          <cell r="J275">
            <v>4.4874999999999998E-2</v>
          </cell>
        </row>
        <row r="276">
          <cell r="A276" t="str">
            <v>96478</v>
          </cell>
          <cell r="B276" t="str">
            <v>RECTANGULOS DE PASTA P/EMPANADA STB (UND)</v>
          </cell>
          <cell r="C276" t="str">
            <v>UND</v>
          </cell>
          <cell r="D276" t="str">
            <v>UND</v>
          </cell>
          <cell r="E276">
            <v>52.184340622010872</v>
          </cell>
          <cell r="F276">
            <v>52.184340622010872</v>
          </cell>
          <cell r="G276">
            <v>0.14245392971230164</v>
          </cell>
          <cell r="H276">
            <v>0.14245392971230164</v>
          </cell>
          <cell r="I276">
            <v>6.50383152173913</v>
          </cell>
          <cell r="J276">
            <v>6.50383152173913</v>
          </cell>
        </row>
        <row r="277">
          <cell r="A277" t="str">
            <v>96479</v>
          </cell>
          <cell r="B277" t="str">
            <v>RUEDA P/EMPANADA STB (UND)</v>
          </cell>
          <cell r="C277" t="str">
            <v>UND</v>
          </cell>
          <cell r="D277" t="str">
            <v>UND</v>
          </cell>
          <cell r="E277">
            <v>48.379197015000003</v>
          </cell>
          <cell r="F277">
            <v>48.379197015000003</v>
          </cell>
          <cell r="G277">
            <v>0.13066080357142856</v>
          </cell>
          <cell r="H277">
            <v>0.13066080357142856</v>
          </cell>
          <cell r="I277">
            <v>6.0525000000000002</v>
          </cell>
          <cell r="J277">
            <v>6.0525000000000002</v>
          </cell>
        </row>
        <row r="278">
          <cell r="A278" t="str">
            <v>96480</v>
          </cell>
          <cell r="B278" t="str">
            <v>RELLENO POLLO Y HONGOS STB EMPACADO (4000g)</v>
          </cell>
          <cell r="C278" t="str">
            <v>KILO</v>
          </cell>
          <cell r="D278" t="str">
            <v>GRAMO</v>
          </cell>
          <cell r="E278">
            <v>3397.7394979447758</v>
          </cell>
          <cell r="F278">
            <v>3.3977394979447757</v>
          </cell>
          <cell r="G278">
            <v>6.8891455555555563</v>
          </cell>
          <cell r="H278">
            <v>6.8891455555555566E-3</v>
          </cell>
          <cell r="I278">
            <v>241.83476259980947</v>
          </cell>
          <cell r="J278">
            <v>0.24183476259980946</v>
          </cell>
        </row>
        <row r="279">
          <cell r="A279" t="str">
            <v>96481</v>
          </cell>
          <cell r="B279" t="str">
            <v>RELLENO CAPRESSE STB EMPACADO (4000g)</v>
          </cell>
          <cell r="C279" t="str">
            <v>KILO</v>
          </cell>
          <cell r="D279" t="str">
            <v>GRAMO</v>
          </cell>
          <cell r="E279">
            <v>2734.9109968887979</v>
          </cell>
          <cell r="F279">
            <v>2.7349109968887979</v>
          </cell>
          <cell r="G279">
            <v>0.63700000000000001</v>
          </cell>
          <cell r="H279">
            <v>6.3699999999999998E-4</v>
          </cell>
          <cell r="I279">
            <v>165.82375204924509</v>
          </cell>
          <cell r="J279">
            <v>0.1658237520492451</v>
          </cell>
        </row>
        <row r="280">
          <cell r="A280" t="str">
            <v>96482</v>
          </cell>
          <cell r="B280" t="str">
            <v>RELLENO JAMON Y QUESO STB (4000g)</v>
          </cell>
          <cell r="C280" t="str">
            <v>KILO</v>
          </cell>
          <cell r="D280" t="str">
            <v>GRAMO</v>
          </cell>
          <cell r="E280">
            <v>2451.1142236052137</v>
          </cell>
          <cell r="F280">
            <v>2.4511142236052139</v>
          </cell>
          <cell r="G280">
            <v>6.7954622222222225</v>
          </cell>
          <cell r="H280">
            <v>6.7954622222222228E-3</v>
          </cell>
          <cell r="I280">
            <v>474.39387384356604</v>
          </cell>
          <cell r="J280">
            <v>0.47439387384356602</v>
          </cell>
        </row>
        <row r="281">
          <cell r="A281" t="str">
            <v>96483</v>
          </cell>
          <cell r="B281" t="str">
            <v>EMPANADA CAPRESSE STB (UND)</v>
          </cell>
          <cell r="C281" t="str">
            <v>UND</v>
          </cell>
          <cell r="D281" t="str">
            <v>UND</v>
          </cell>
          <cell r="E281">
            <v>185.3247468594399</v>
          </cell>
          <cell r="F281">
            <v>185.3247468594399</v>
          </cell>
          <cell r="G281">
            <v>9.4479533660714292</v>
          </cell>
          <cell r="H281">
            <v>9.4479533660714292</v>
          </cell>
          <cell r="I281">
            <v>34.94618760246226</v>
          </cell>
          <cell r="J281">
            <v>34.94618760246226</v>
          </cell>
        </row>
        <row r="282">
          <cell r="A282" t="str">
            <v>96484</v>
          </cell>
          <cell r="B282" t="str">
            <v>EMPANADA JAMON Y QUESO (UND)</v>
          </cell>
          <cell r="C282" t="str">
            <v>UND</v>
          </cell>
          <cell r="D282" t="str">
            <v>UND</v>
          </cell>
          <cell r="E282">
            <v>174.96650794651072</v>
          </cell>
          <cell r="F282">
            <v>174.96650794651072</v>
          </cell>
          <cell r="G282">
            <v>8.8327253432539674</v>
          </cell>
          <cell r="H282">
            <v>8.8327253432539674</v>
          </cell>
          <cell r="I282">
            <v>51.219693692178296</v>
          </cell>
          <cell r="J282">
            <v>51.219693692178296</v>
          </cell>
        </row>
        <row r="283">
          <cell r="A283" t="str">
            <v>96485</v>
          </cell>
          <cell r="B283" t="str">
            <v>EMPANADA POLLO Y HONGOS STB (UND)</v>
          </cell>
          <cell r="C283" t="str">
            <v>UND</v>
          </cell>
          <cell r="D283" t="str">
            <v>UND</v>
          </cell>
          <cell r="E283">
            <v>236.16168907253365</v>
          </cell>
          <cell r="F283">
            <v>236.16168907253365</v>
          </cell>
          <cell r="G283">
            <v>0.4704339146825397</v>
          </cell>
          <cell r="H283">
            <v>0.4704339146825397</v>
          </cell>
          <cell r="I283">
            <v>45.275087651085606</v>
          </cell>
          <cell r="J283">
            <v>45.275087651085606</v>
          </cell>
        </row>
        <row r="284">
          <cell r="A284" t="str">
            <v>96486</v>
          </cell>
          <cell r="B284" t="str">
            <v>RELLENO CARNE CON ACEITUNAS EMPACADO (2000g)</v>
          </cell>
          <cell r="C284" t="str">
            <v>KILO</v>
          </cell>
          <cell r="D284" t="str">
            <v>GRAMO</v>
          </cell>
          <cell r="E284">
            <v>3198.589746943192</v>
          </cell>
          <cell r="F284">
            <v>3.1985897469431919</v>
          </cell>
          <cell r="G284">
            <v>28.689440516707077</v>
          </cell>
          <cell r="H284">
            <v>2.8689440516707077E-2</v>
          </cell>
          <cell r="I284">
            <v>402.68474645994223</v>
          </cell>
          <cell r="J284">
            <v>0.40268474645994223</v>
          </cell>
        </row>
        <row r="285">
          <cell r="A285" t="str">
            <v>96487</v>
          </cell>
          <cell r="B285" t="str">
            <v>EMPANADA CARNE C/ACEITUNAS STB (UND)</v>
          </cell>
          <cell r="C285" t="str">
            <v>UND</v>
          </cell>
          <cell r="D285" t="str">
            <v>UND</v>
          </cell>
          <cell r="E285">
            <v>217.7416789246596</v>
          </cell>
          <cell r="F285">
            <v>217.7416789246596</v>
          </cell>
          <cell r="G285">
            <v>9.7033764771825393</v>
          </cell>
          <cell r="H285">
            <v>9.7033764771825393</v>
          </cell>
          <cell r="I285">
            <v>53.724237322997112</v>
          </cell>
          <cell r="J285">
            <v>53.724237322997112</v>
          </cell>
        </row>
        <row r="286">
          <cell r="A286">
            <v>904000013</v>
          </cell>
          <cell r="B286" t="str">
            <v>EMPAQUE MAYONESA (2000g)</v>
          </cell>
          <cell r="C286" t="str">
            <v>KILO</v>
          </cell>
          <cell r="D286" t="str">
            <v>GRAMO</v>
          </cell>
          <cell r="E286">
            <v>2743.4704380846811</v>
          </cell>
          <cell r="F286">
            <v>0.91449014602822698</v>
          </cell>
          <cell r="G286">
            <v>16.550283797317931</v>
          </cell>
          <cell r="H286">
            <v>5.5167612657726437E-3</v>
          </cell>
          <cell r="I286">
            <v>211.09077370879305</v>
          </cell>
          <cell r="J286">
            <v>7.0363591236264345E-2</v>
          </cell>
        </row>
        <row r="287">
          <cell r="A287" t="str">
            <v>96488</v>
          </cell>
          <cell r="B287" t="str">
            <v>ROSQUETE CUADRADO TRES LECHES (330g)</v>
          </cell>
          <cell r="C287" t="str">
            <v>UND</v>
          </cell>
          <cell r="D287" t="str">
            <v>UND</v>
          </cell>
          <cell r="E287">
            <v>329.13105196412442</v>
          </cell>
          <cell r="F287">
            <v>329.13105196412442</v>
          </cell>
          <cell r="G287">
            <v>1.2382540299524487</v>
          </cell>
          <cell r="H287">
            <v>1.2382540299524487</v>
          </cell>
          <cell r="I287">
            <v>28.483709579011595</v>
          </cell>
          <cell r="J287">
            <v>28.483709579011595</v>
          </cell>
        </row>
        <row r="288">
          <cell r="A288" t="str">
            <v>95356</v>
          </cell>
          <cell r="B288" t="str">
            <v>ROSQUETE TRES LECHES (1000g)</v>
          </cell>
          <cell r="C288" t="str">
            <v>UND</v>
          </cell>
          <cell r="D288" t="str">
            <v>UND</v>
          </cell>
          <cell r="E288">
            <v>875.20064786705029</v>
          </cell>
          <cell r="F288">
            <v>875.20064786705029</v>
          </cell>
          <cell r="G288">
            <v>11.131434946060155</v>
          </cell>
          <cell r="H288">
            <v>11.131434946060155</v>
          </cell>
          <cell r="I288">
            <v>48.803930968360504</v>
          </cell>
          <cell r="J288">
            <v>48.803930968360504</v>
          </cell>
        </row>
        <row r="289">
          <cell r="A289" t="str">
            <v>96389</v>
          </cell>
          <cell r="B289" t="str">
            <v>MOUSSE P/POSTRE COOKIES AND CREAM (1800g)</v>
          </cell>
          <cell r="C289" t="str">
            <v>KILO</v>
          </cell>
          <cell r="D289" t="str">
            <v>GRAMO</v>
          </cell>
          <cell r="E289">
            <v>3412.0520363595087</v>
          </cell>
          <cell r="F289">
            <v>3.4120520363595088</v>
          </cell>
          <cell r="G289">
            <v>9.090277777777777E-3</v>
          </cell>
          <cell r="H289">
            <v>9.0902777777777772E-6</v>
          </cell>
          <cell r="I289">
            <v>157.77243589743591</v>
          </cell>
          <cell r="J289">
            <v>0.15777243589743592</v>
          </cell>
        </row>
        <row r="290">
          <cell r="A290" t="str">
            <v>96390</v>
          </cell>
          <cell r="B290" t="str">
            <v>BASE CHOCOLATE Y ALMENDRAS P/MINI POSTRE (1000g)</v>
          </cell>
          <cell r="C290" t="str">
            <v>KILO</v>
          </cell>
          <cell r="D290" t="str">
            <v>GRAMO</v>
          </cell>
          <cell r="E290">
            <v>4564.1309955584647</v>
          </cell>
          <cell r="F290">
            <v>4.5641309955584646</v>
          </cell>
          <cell r="G290">
            <v>0.4859724379484196</v>
          </cell>
          <cell r="H290">
            <v>4.859724379484196E-4</v>
          </cell>
          <cell r="I290">
            <v>195.95549738219896</v>
          </cell>
          <cell r="J290">
            <v>0.19595549738219895</v>
          </cell>
        </row>
        <row r="291">
          <cell r="A291" t="str">
            <v>96391</v>
          </cell>
          <cell r="B291" t="str">
            <v>MOUSSE CHOCOLATE DARK C/COBERTURA (6000g)</v>
          </cell>
          <cell r="C291" t="str">
            <v>KILO</v>
          </cell>
          <cell r="D291" t="str">
            <v>GRAMO</v>
          </cell>
          <cell r="E291">
            <v>3291.487916666666</v>
          </cell>
          <cell r="F291">
            <v>3.2914879166666662</v>
          </cell>
          <cell r="G291">
            <v>6.3433650000000004</v>
          </cell>
          <cell r="H291">
            <v>6.3433650000000001E-3</v>
          </cell>
          <cell r="I291">
            <v>140</v>
          </cell>
          <cell r="J291">
            <v>0.14000000000000001</v>
          </cell>
        </row>
        <row r="292">
          <cell r="A292" t="str">
            <v>95584</v>
          </cell>
          <cell r="B292" t="str">
            <v>RELLENO QUESO P/CHESSE CAKE HORNEADO (12800g)</v>
          </cell>
          <cell r="C292" t="str">
            <v>KILO</v>
          </cell>
          <cell r="D292" t="str">
            <v>GRAMO</v>
          </cell>
          <cell r="E292">
            <v>2306.3680384765626</v>
          </cell>
          <cell r="F292">
            <v>2.3063680384765624</v>
          </cell>
          <cell r="G292">
            <v>0</v>
          </cell>
          <cell r="H292">
            <v>0</v>
          </cell>
          <cell r="I292">
            <v>25.78125</v>
          </cell>
          <cell r="J292">
            <v>2.5781249999999999E-2</v>
          </cell>
        </row>
        <row r="293">
          <cell r="A293" t="str">
            <v>95702</v>
          </cell>
          <cell r="B293" t="str">
            <v>RELLENO QUESO BASE P/CHESSE CAKE SPOON (7.8 Kg)</v>
          </cell>
          <cell r="C293" t="str">
            <v>KILO</v>
          </cell>
          <cell r="D293" t="str">
            <v>GRAMO</v>
          </cell>
          <cell r="E293">
            <v>1798.4060811282054</v>
          </cell>
          <cell r="F293">
            <v>1.7984060811282054</v>
          </cell>
          <cell r="G293">
            <v>0</v>
          </cell>
          <cell r="H293">
            <v>0</v>
          </cell>
          <cell r="I293">
            <v>105.76923076923077</v>
          </cell>
          <cell r="J293">
            <v>0.10576923076923077</v>
          </cell>
        </row>
        <row r="294">
          <cell r="A294" t="str">
            <v>95833</v>
          </cell>
          <cell r="B294" t="str">
            <v>ROSQUETE MELOCOTON PURATOS (300g)</v>
          </cell>
          <cell r="C294" t="str">
            <v>UND</v>
          </cell>
          <cell r="D294" t="str">
            <v>UND</v>
          </cell>
          <cell r="E294">
            <v>354.48884494634626</v>
          </cell>
          <cell r="F294">
            <v>354.48884494634626</v>
          </cell>
          <cell r="G294">
            <v>9.2045736593345016</v>
          </cell>
          <cell r="H294">
            <v>9.2045736593345016</v>
          </cell>
          <cell r="I294">
            <v>18.692332962886429</v>
          </cell>
          <cell r="J294">
            <v>18.692332962886429</v>
          </cell>
        </row>
        <row r="295">
          <cell r="A295" t="str">
            <v>95857</v>
          </cell>
          <cell r="B295" t="str">
            <v>ROSQUETE CHOCOLATE SPOON RED. (320g)</v>
          </cell>
          <cell r="C295" t="str">
            <v>UND</v>
          </cell>
          <cell r="D295" t="str">
            <v>UND</v>
          </cell>
          <cell r="E295">
            <v>395.76817663200347</v>
          </cell>
          <cell r="F295">
            <v>395.76817663200347</v>
          </cell>
          <cell r="G295">
            <v>5.8299605890354398</v>
          </cell>
          <cell r="H295">
            <v>5.8299605890354398</v>
          </cell>
          <cell r="I295">
            <v>16.8969495634217</v>
          </cell>
          <cell r="J295">
            <v>16.8969495634217</v>
          </cell>
        </row>
        <row r="296">
          <cell r="A296" t="str">
            <v>96273</v>
          </cell>
          <cell r="B296" t="str">
            <v>CORTE GALLETA PEQ P/TORTA CHILENA (UND)</v>
          </cell>
          <cell r="C296" t="str">
            <v>UND</v>
          </cell>
          <cell r="D296" t="str">
            <v>UND</v>
          </cell>
          <cell r="E296">
            <v>91.259726746921174</v>
          </cell>
          <cell r="F296">
            <v>91.259726746921174</v>
          </cell>
          <cell r="G296">
            <v>0.71619935522714828</v>
          </cell>
          <cell r="H296">
            <v>0.71619935522714828</v>
          </cell>
          <cell r="I296">
            <v>21.555665024630542</v>
          </cell>
          <cell r="J296">
            <v>21.555665024630542</v>
          </cell>
        </row>
        <row r="297">
          <cell r="A297" t="str">
            <v>906000005</v>
          </cell>
          <cell r="B297" t="str">
            <v>EMPANADA DE POLLO PEQUEÑA  (UND)</v>
          </cell>
          <cell r="C297" t="str">
            <v>UND</v>
          </cell>
          <cell r="D297" t="str">
            <v>UND</v>
          </cell>
          <cell r="E297">
            <v>57.013804147782189</v>
          </cell>
          <cell r="F297">
            <v>57.013804147782189</v>
          </cell>
          <cell r="G297">
            <v>0.71571045852291038</v>
          </cell>
          <cell r="H297">
            <v>0.71571045852291038</v>
          </cell>
          <cell r="I297">
            <v>26.79662026328894</v>
          </cell>
          <cell r="J297">
            <v>26.79662026328894</v>
          </cell>
        </row>
        <row r="298">
          <cell r="A298" t="str">
            <v>96259</v>
          </cell>
          <cell r="B298" t="str">
            <v>EMPAQUE RELLENO QUESOS P/EMPANADA (3000g)</v>
          </cell>
          <cell r="C298" t="str">
            <v>TANDA</v>
          </cell>
          <cell r="D298" t="str">
            <v>GRAMO</v>
          </cell>
          <cell r="E298">
            <v>13997.971705098042</v>
          </cell>
          <cell r="F298">
            <v>4.6659905683660137</v>
          </cell>
          <cell r="G298">
            <v>29.327455069693023</v>
          </cell>
          <cell r="H298">
            <v>9.7758183565643409E-3</v>
          </cell>
          <cell r="I298">
            <v>386.37813211845105</v>
          </cell>
          <cell r="J298">
            <v>0.12879271070615034</v>
          </cell>
        </row>
        <row r="299">
          <cell r="A299" t="str">
            <v>96262</v>
          </cell>
          <cell r="B299" t="str">
            <v>EMPANADITA TRES QUESOS (UND)</v>
          </cell>
          <cell r="C299" t="str">
            <v>UND</v>
          </cell>
          <cell r="D299" t="str">
            <v>UND</v>
          </cell>
          <cell r="E299">
            <v>108.19885408972851</v>
          </cell>
          <cell r="F299">
            <v>108.19885408972851</v>
          </cell>
          <cell r="G299">
            <v>3.5195198379508806E-3</v>
          </cell>
          <cell r="H299">
            <v>3.5195198379508806E-3</v>
          </cell>
          <cell r="I299">
            <v>30.066935115202529</v>
          </cell>
          <cell r="J299">
            <v>30.066935115202529</v>
          </cell>
        </row>
        <row r="300">
          <cell r="A300" t="str">
            <v>95152</v>
          </cell>
          <cell r="B300" t="str">
            <v>EMPAQUE RELLENO JAMON P/ ARROLLADO (2000g)</v>
          </cell>
          <cell r="C300" t="str">
            <v>KILO</v>
          </cell>
          <cell r="D300" t="str">
            <v>GRAMO</v>
          </cell>
          <cell r="E300">
            <v>3053.0307908769746</v>
          </cell>
          <cell r="F300">
            <v>3.0530307908769747</v>
          </cell>
          <cell r="G300">
            <v>6.1319432886334617</v>
          </cell>
          <cell r="H300">
            <v>6.1319432886334617E-3</v>
          </cell>
          <cell r="I300">
            <v>74.597701149425291</v>
          </cell>
          <cell r="J300">
            <v>7.4597701149425294E-2</v>
          </cell>
        </row>
        <row r="301">
          <cell r="A301" t="str">
            <v>95230</v>
          </cell>
          <cell r="B301" t="str">
            <v>ARROLLADO DE JAMON (UND)</v>
          </cell>
          <cell r="C301" t="str">
            <v>UND</v>
          </cell>
          <cell r="D301" t="str">
            <v>UND</v>
          </cell>
          <cell r="E301">
            <v>122.67460640985297</v>
          </cell>
          <cell r="F301">
            <v>122.67460640985297</v>
          </cell>
          <cell r="G301">
            <v>1.2535177289265251</v>
          </cell>
          <cell r="H301">
            <v>1.2535177289265251</v>
          </cell>
          <cell r="I301">
            <v>33.979038314581437</v>
          </cell>
          <cell r="J301">
            <v>33.979038314581437</v>
          </cell>
        </row>
        <row r="302">
          <cell r="A302" t="str">
            <v>95475</v>
          </cell>
          <cell r="B302" t="str">
            <v>PAÑUELO ESPINACA C/RICOTTA (UND)</v>
          </cell>
          <cell r="C302" t="str">
            <v>UND</v>
          </cell>
          <cell r="D302" t="str">
            <v>UND</v>
          </cell>
          <cell r="E302">
            <v>137.21388281956311</v>
          </cell>
          <cell r="F302">
            <v>137.21388281956311</v>
          </cell>
          <cell r="G302">
            <v>0.72944441322726261</v>
          </cell>
          <cell r="H302">
            <v>0.72944441322726261</v>
          </cell>
          <cell r="I302">
            <v>36.400315884852304</v>
          </cell>
          <cell r="J302">
            <v>36.400315884852304</v>
          </cell>
        </row>
        <row r="303">
          <cell r="A303" t="str">
            <v>95446</v>
          </cell>
          <cell r="B303" t="str">
            <v>CANASTITA DULCE S/RELLENO (UND)</v>
          </cell>
          <cell r="C303" t="str">
            <v>UND</v>
          </cell>
          <cell r="D303" t="str">
            <v>UND</v>
          </cell>
          <cell r="E303">
            <v>23.819677581492538</v>
          </cell>
          <cell r="F303">
            <v>23.819677581492538</v>
          </cell>
          <cell r="G303">
            <v>0.23133632153518124</v>
          </cell>
          <cell r="H303">
            <v>0.23133632153518124</v>
          </cell>
          <cell r="I303">
            <v>13.292338308457712</v>
          </cell>
          <cell r="J303">
            <v>13.292338308457712</v>
          </cell>
        </row>
        <row r="304">
          <cell r="A304" t="str">
            <v>95253</v>
          </cell>
          <cell r="B304" t="str">
            <v>PLANCHA BROWNIE (1950g)</v>
          </cell>
          <cell r="C304" t="str">
            <v>UND</v>
          </cell>
          <cell r="D304" t="str">
            <v>UND</v>
          </cell>
          <cell r="E304">
            <v>3077.5122504999999</v>
          </cell>
          <cell r="F304">
            <v>3077.5122504999999</v>
          </cell>
          <cell r="G304">
            <v>33.108337615277776</v>
          </cell>
          <cell r="H304">
            <v>33.108337615277776</v>
          </cell>
          <cell r="I304">
            <v>184.57847222222222</v>
          </cell>
          <cell r="J304">
            <v>184.57847222222222</v>
          </cell>
        </row>
        <row r="305">
          <cell r="A305" t="str">
            <v>95519</v>
          </cell>
          <cell r="B305" t="str">
            <v>ROSQUETE VAINILLA BUCCA (1200g)</v>
          </cell>
          <cell r="C305" t="str">
            <v>UND</v>
          </cell>
          <cell r="D305" t="str">
            <v>UND</v>
          </cell>
          <cell r="E305">
            <v>1223.9160074044096</v>
          </cell>
          <cell r="F305">
            <v>1223.9160074044096</v>
          </cell>
          <cell r="G305">
            <v>24.193430851167854</v>
          </cell>
          <cell r="H305">
            <v>24.193430851167854</v>
          </cell>
          <cell r="I305">
            <v>40.990017742806444</v>
          </cell>
          <cell r="J305">
            <v>40.990017742806444</v>
          </cell>
        </row>
        <row r="306">
          <cell r="A306" t="str">
            <v>96235</v>
          </cell>
          <cell r="B306" t="str">
            <v>CANASTA REDONDA (30g)</v>
          </cell>
          <cell r="C306" t="str">
            <v>UND</v>
          </cell>
          <cell r="D306" t="str">
            <v>UND</v>
          </cell>
          <cell r="E306">
            <v>55.485211661052638</v>
          </cell>
          <cell r="F306">
            <v>55.485211661052638</v>
          </cell>
          <cell r="G306">
            <v>0.41374383057644121</v>
          </cell>
          <cell r="H306">
            <v>0.41374383057644121</v>
          </cell>
          <cell r="I306">
            <v>20.223076923076921</v>
          </cell>
          <cell r="J306">
            <v>20.223076923076921</v>
          </cell>
        </row>
        <row r="307">
          <cell r="A307" t="str">
            <v>96285</v>
          </cell>
          <cell r="B307" t="str">
            <v>ROSQUETE CHOCOLATE (50g)</v>
          </cell>
          <cell r="C307" t="str">
            <v>UND</v>
          </cell>
          <cell r="D307" t="str">
            <v>UND</v>
          </cell>
          <cell r="E307">
            <v>64.920020827704391</v>
          </cell>
          <cell r="F307">
            <v>64.920020827704391</v>
          </cell>
          <cell r="G307">
            <v>1.6945652336553261</v>
          </cell>
          <cell r="H307">
            <v>1.6945652336553261</v>
          </cell>
          <cell r="I307">
            <v>8.6622596368573692</v>
          </cell>
          <cell r="J307">
            <v>8.6622596368573692</v>
          </cell>
        </row>
        <row r="308">
          <cell r="A308" t="str">
            <v>95372</v>
          </cell>
          <cell r="B308" t="str">
            <v>BASE PREMEZCLA TURRON ALMENDRA (3047g)</v>
          </cell>
          <cell r="C308" t="str">
            <v>TANDA</v>
          </cell>
          <cell r="D308" t="str">
            <v>GRAMO</v>
          </cell>
          <cell r="E308">
            <v>1537.6218530000001</v>
          </cell>
          <cell r="F308">
            <v>0.50463467443386945</v>
          </cell>
          <cell r="G308">
            <v>21.822725555555557</v>
          </cell>
          <cell r="H308">
            <v>7.1620366116033991E-3</v>
          </cell>
          <cell r="I308">
            <v>110</v>
          </cell>
          <cell r="J308">
            <v>3.6101083032490974E-2</v>
          </cell>
        </row>
        <row r="309">
          <cell r="A309" t="str">
            <v>96358</v>
          </cell>
          <cell r="B309" t="str">
            <v>BATIDO P/TURRON ALMENDRAS (5760g)</v>
          </cell>
          <cell r="C309" t="str">
            <v>KILO</v>
          </cell>
          <cell r="D309" t="str">
            <v>GRAMO</v>
          </cell>
          <cell r="E309">
            <v>2349.0428222222222</v>
          </cell>
          <cell r="F309">
            <v>2.3490428222222222</v>
          </cell>
          <cell r="G309">
            <v>3.7886732253086417</v>
          </cell>
          <cell r="H309">
            <v>3.7886732253086417E-3</v>
          </cell>
          <cell r="I309">
            <v>76.736111111111114</v>
          </cell>
          <cell r="J309">
            <v>7.6736111111111116E-2</v>
          </cell>
        </row>
        <row r="310">
          <cell r="A310" t="str">
            <v>95103</v>
          </cell>
          <cell r="B310" t="str">
            <v>MEDIA LUNA CUBIERTA CHOCOLATE LECHE (UND)</v>
          </cell>
          <cell r="C310" t="str">
            <v>UND</v>
          </cell>
          <cell r="D310" t="str">
            <v>UND</v>
          </cell>
          <cell r="E310">
            <v>25.479206085055701</v>
          </cell>
          <cell r="F310">
            <v>25.479206085055701</v>
          </cell>
          <cell r="G310">
            <v>0.23606913072852082</v>
          </cell>
          <cell r="H310">
            <v>0.23606913072852082</v>
          </cell>
          <cell r="I310">
            <v>4.1430462944096549</v>
          </cell>
          <cell r="J310">
            <v>4.1430462944096549</v>
          </cell>
        </row>
        <row r="311">
          <cell r="A311" t="str">
            <v>95369</v>
          </cell>
          <cell r="B311" t="str">
            <v>BASE PREMEZCLA QUEQUE SECO (3320g)</v>
          </cell>
          <cell r="C311" t="str">
            <v>TANDA</v>
          </cell>
          <cell r="D311" t="str">
            <v>GRAMO</v>
          </cell>
          <cell r="E311">
            <v>5261.1257500000002</v>
          </cell>
          <cell r="F311">
            <v>1.5846764307228915</v>
          </cell>
          <cell r="G311">
            <v>21.822757777777777</v>
          </cell>
          <cell r="H311">
            <v>6.5731198125836676E-3</v>
          </cell>
          <cell r="I311">
            <v>84</v>
          </cell>
          <cell r="J311">
            <v>2.5301204819277109E-2</v>
          </cell>
        </row>
        <row r="312">
          <cell r="A312" t="str">
            <v>95345</v>
          </cell>
          <cell r="B312" t="str">
            <v>ROSQUETE QQ SECO C/PASAS (750g)</v>
          </cell>
          <cell r="C312" t="str">
            <v>UND</v>
          </cell>
          <cell r="D312" t="str">
            <v>UND</v>
          </cell>
          <cell r="E312">
            <v>1347.2006525167783</v>
          </cell>
          <cell r="F312">
            <v>1347.2006525167783</v>
          </cell>
          <cell r="G312">
            <v>9.9081243153297116</v>
          </cell>
          <cell r="H312">
            <v>9.9081243153297116</v>
          </cell>
          <cell r="I312">
            <v>170.27037392138064</v>
          </cell>
          <cell r="J312">
            <v>170.27037392138064</v>
          </cell>
        </row>
        <row r="313">
          <cell r="A313" t="str">
            <v>95112</v>
          </cell>
          <cell r="B313" t="str">
            <v>ROSQUETE VAINILLA PERSONAL BUCCA (200g)</v>
          </cell>
          <cell r="C313" t="str">
            <v>UND</v>
          </cell>
          <cell r="D313" t="str">
            <v>UND</v>
          </cell>
          <cell r="E313">
            <v>203.19643881318322</v>
          </cell>
          <cell r="F313">
            <v>203.19643881318322</v>
          </cell>
          <cell r="G313">
            <v>4.392269724166896</v>
          </cell>
          <cell r="H313">
            <v>4.392269724166896</v>
          </cell>
          <cell r="I313">
            <v>10.814359975068081</v>
          </cell>
          <cell r="J313">
            <v>10.814359975068081</v>
          </cell>
        </row>
        <row r="314">
          <cell r="A314" t="str">
            <v>96185</v>
          </cell>
          <cell r="B314" t="str">
            <v>BASE PREMEZCLA SOUFLE (6.035 Kg)</v>
          </cell>
          <cell r="C314" t="str">
            <v>TANDA</v>
          </cell>
          <cell r="D314" t="str">
            <v>GRAMO</v>
          </cell>
          <cell r="E314">
            <v>10445.845386000001</v>
          </cell>
          <cell r="F314">
            <v>1.7311642999668546</v>
          </cell>
          <cell r="G314">
            <v>11.022725555555557</v>
          </cell>
          <cell r="H314">
            <v>1.8267692336021804E-3</v>
          </cell>
          <cell r="I314">
            <v>165</v>
          </cell>
          <cell r="J314">
            <v>2.7345044746436859E-2</v>
          </cell>
        </row>
        <row r="315">
          <cell r="A315" t="str">
            <v>96332</v>
          </cell>
          <cell r="B315" t="str">
            <v>BATIDO P/ROSQUETE SOUFFLE (11100g)</v>
          </cell>
          <cell r="C315" t="str">
            <v>KILO</v>
          </cell>
          <cell r="D315" t="str">
            <v>GRAMO</v>
          </cell>
          <cell r="E315">
            <v>1603.841223963964</v>
          </cell>
          <cell r="F315">
            <v>1.6038412239639641</v>
          </cell>
          <cell r="G315">
            <v>0.99303833833833832</v>
          </cell>
          <cell r="H315">
            <v>9.9303833833833837E-4</v>
          </cell>
          <cell r="I315">
            <v>49.549549549549553</v>
          </cell>
          <cell r="J315">
            <v>4.954954954954955E-2</v>
          </cell>
        </row>
        <row r="316">
          <cell r="A316" t="str">
            <v>90100142</v>
          </cell>
          <cell r="B316" t="str">
            <v>SAL (5000G)</v>
          </cell>
          <cell r="C316" t="str">
            <v>BOLSA</v>
          </cell>
          <cell r="D316" t="str">
            <v>GRAMO</v>
          </cell>
          <cell r="E316">
            <v>940</v>
          </cell>
          <cell r="F316">
            <v>0.188</v>
          </cell>
          <cell r="G316">
            <v>13.475999999999999</v>
          </cell>
          <cell r="H316">
            <v>2.6952E-3</v>
          </cell>
          <cell r="I316">
            <v>55</v>
          </cell>
          <cell r="J316">
            <v>1.0999999999999999E-2</v>
          </cell>
        </row>
        <row r="317">
          <cell r="A317" t="str">
            <v>907000219</v>
          </cell>
          <cell r="B317" t="str">
            <v>Rosquete Brownie Menta 1000g</v>
          </cell>
          <cell r="C317" t="str">
            <v>UND</v>
          </cell>
          <cell r="D317" t="str">
            <v>UND</v>
          </cell>
          <cell r="E317">
            <v>3608.2294588235295</v>
          </cell>
          <cell r="F317">
            <v>3608.2294588235295</v>
          </cell>
          <cell r="G317">
            <v>54.990309948412701</v>
          </cell>
          <cell r="H317">
            <v>54.990309948412701</v>
          </cell>
          <cell r="I317">
            <v>120.3125</v>
          </cell>
          <cell r="J317">
            <v>120.3125</v>
          </cell>
        </row>
        <row r="318">
          <cell r="A318" t="str">
            <v>907000217</v>
          </cell>
          <cell r="B318" t="str">
            <v>RELLENO CHOCOMENTA</v>
          </cell>
          <cell r="C318" t="str">
            <v>KILO</v>
          </cell>
          <cell r="D318" t="str">
            <v>KILO</v>
          </cell>
          <cell r="E318">
            <v>3261.1301544444445</v>
          </cell>
          <cell r="F318">
            <v>3.2611301544444444</v>
          </cell>
          <cell r="G318">
            <v>0</v>
          </cell>
          <cell r="H318">
            <v>0</v>
          </cell>
          <cell r="I318">
            <v>275</v>
          </cell>
          <cell r="J318">
            <v>0.27500000000000002</v>
          </cell>
        </row>
        <row r="319">
          <cell r="A319" t="str">
            <v>910000005</v>
          </cell>
          <cell r="B319" t="str">
            <v>MEZCLA DULCE LECHE CON AGUA</v>
          </cell>
          <cell r="C319" t="str">
            <v>TANDA</v>
          </cell>
          <cell r="D319" t="str">
            <v>GRAMO</v>
          </cell>
          <cell r="E319">
            <v>897.49288799999999</v>
          </cell>
          <cell r="F319">
            <v>1.49582148</v>
          </cell>
          <cell r="G319">
            <v>49.681000000000004</v>
          </cell>
          <cell r="H319">
            <v>8.2801666666666676E-2</v>
          </cell>
          <cell r="I319">
            <v>55</v>
          </cell>
          <cell r="J319">
            <v>9.166666666666666E-2</v>
          </cell>
        </row>
        <row r="320">
          <cell r="A320" t="str">
            <v>902000066</v>
          </cell>
          <cell r="B320" t="str">
            <v>SUSPIRO QUEBRADO 7650 g</v>
          </cell>
          <cell r="C320" t="str">
            <v>TANDA</v>
          </cell>
          <cell r="D320" t="str">
            <v>GRAMO</v>
          </cell>
          <cell r="E320">
            <v>19353.380484982161</v>
          </cell>
          <cell r="F320">
            <v>2.5298536581676028</v>
          </cell>
          <cell r="G320">
            <v>28.481995768033212</v>
          </cell>
          <cell r="H320">
            <v>3.7231367017036879E-3</v>
          </cell>
          <cell r="I320">
            <v>2470.4311925180209</v>
          </cell>
          <cell r="J320">
            <v>0.32293218202849949</v>
          </cell>
        </row>
        <row r="321">
          <cell r="A321" t="str">
            <v>90100115</v>
          </cell>
          <cell r="B321" t="str">
            <v>SALSA NARANJA (TANDA= 500 g)</v>
          </cell>
          <cell r="C321" t="str">
            <v>TANDA</v>
          </cell>
          <cell r="D321" t="str">
            <v>GRAMO</v>
          </cell>
          <cell r="E321">
            <v>17252.58664899736</v>
          </cell>
          <cell r="F321">
            <v>1.3802069319197887</v>
          </cell>
          <cell r="G321">
            <v>0</v>
          </cell>
          <cell r="H321">
            <v>0</v>
          </cell>
          <cell r="I321">
            <v>440</v>
          </cell>
          <cell r="J321">
            <v>3.5200000000000002E-2</v>
          </cell>
        </row>
        <row r="322">
          <cell r="A322" t="str">
            <v>907000226</v>
          </cell>
          <cell r="B322" t="str">
            <v>ROSQUETE CHOCOLATE BUCCA 800G</v>
          </cell>
          <cell r="C322" t="str">
            <v>UND</v>
          </cell>
          <cell r="D322" t="str">
            <v>UND</v>
          </cell>
          <cell r="E322">
            <v>612.44387157698372</v>
          </cell>
          <cell r="F322">
            <v>612.44387157698372</v>
          </cell>
          <cell r="G322">
            <v>13.45860305381556</v>
          </cell>
          <cell r="H322">
            <v>13.45860305381556</v>
          </cell>
          <cell r="I322">
            <v>43.217561521252797</v>
          </cell>
          <cell r="J322">
            <v>43.217561521252797</v>
          </cell>
        </row>
        <row r="323">
          <cell r="A323" t="str">
            <v>901000036</v>
          </cell>
          <cell r="B323" t="str">
            <v>PREMEZCLA VAINILLA RICH 170G</v>
          </cell>
          <cell r="C323" t="str">
            <v>TANDA</v>
          </cell>
          <cell r="D323" t="str">
            <v>GRAMO</v>
          </cell>
          <cell r="E323">
            <v>154.22406599999999</v>
          </cell>
          <cell r="F323">
            <v>0.90720038823529403</v>
          </cell>
          <cell r="G323">
            <v>7.5947800000000001</v>
          </cell>
          <cell r="H323">
            <v>4.4675176470588239E-2</v>
          </cell>
          <cell r="I323">
            <v>55</v>
          </cell>
          <cell r="J323">
            <v>0.3235294117647059</v>
          </cell>
        </row>
        <row r="324">
          <cell r="A324" t="str">
            <v>902000024</v>
          </cell>
          <cell r="B324" t="str">
            <v>Batido Vainilla Rich FAS 24000g</v>
          </cell>
          <cell r="C324" t="str">
            <v>TANDA</v>
          </cell>
          <cell r="D324" t="str">
            <v>GRAMO</v>
          </cell>
          <cell r="E324">
            <v>31287.540585694296</v>
          </cell>
          <cell r="F324">
            <v>1.3036475244039289</v>
          </cell>
          <cell r="G324">
            <v>7.594780000000001</v>
          </cell>
          <cell r="H324">
            <v>3.1644916666666669E-4</v>
          </cell>
          <cell r="I324">
            <v>495</v>
          </cell>
          <cell r="J324">
            <v>2.0625000000000001E-2</v>
          </cell>
        </row>
        <row r="325">
          <cell r="A325" t="str">
            <v>903000064</v>
          </cell>
          <cell r="B325" t="str">
            <v>ROSQUETE VAINILLA RICH 900G</v>
          </cell>
          <cell r="C325" t="str">
            <v>UND</v>
          </cell>
          <cell r="D325" t="str">
            <v>UND</v>
          </cell>
          <cell r="E325">
            <v>1215.8360731204052</v>
          </cell>
          <cell r="F325">
            <v>1215.8360731204052</v>
          </cell>
          <cell r="G325">
            <v>14.598128740836346</v>
          </cell>
          <cell r="H325">
            <v>14.598128740836346</v>
          </cell>
          <cell r="I325">
            <v>57.945921528136296</v>
          </cell>
          <cell r="J325">
            <v>57.945921528136296</v>
          </cell>
        </row>
        <row r="326">
          <cell r="A326" t="str">
            <v>901000005</v>
          </cell>
          <cell r="B326" t="str">
            <v xml:space="preserve">PREMEZCLA P/BATIDO CHOCO PASTELERO </v>
          </cell>
          <cell r="C326" t="str">
            <v>TANDA</v>
          </cell>
          <cell r="D326" t="str">
            <v>GRAMO</v>
          </cell>
          <cell r="E326">
            <v>4095.2116799999994</v>
          </cell>
          <cell r="F326">
            <v>1.2546604411764704</v>
          </cell>
          <cell r="G326">
            <v>51.239250509457278</v>
          </cell>
          <cell r="H326">
            <v>1.5698299788436666E-2</v>
          </cell>
          <cell r="I326">
            <v>110</v>
          </cell>
          <cell r="J326">
            <v>3.3700980392156861E-2</v>
          </cell>
        </row>
        <row r="327">
          <cell r="A327" t="str">
            <v>902000003</v>
          </cell>
          <cell r="B327" t="str">
            <v>BATIDO CHOCOLATE PASTELERO REAL 32400G</v>
          </cell>
          <cell r="C327" t="str">
            <v>TANDA</v>
          </cell>
          <cell r="D327" t="str">
            <v>GRAMO</v>
          </cell>
          <cell r="E327">
            <v>35227.057306764706</v>
          </cell>
          <cell r="F327">
            <v>1.0872548551470589</v>
          </cell>
          <cell r="G327">
            <v>328.81658736859441</v>
          </cell>
          <cell r="H327">
            <v>1.0148660103968964E-2</v>
          </cell>
          <cell r="I327">
            <v>1153.9007352941176</v>
          </cell>
          <cell r="J327">
            <v>3.5614220225127086E-2</v>
          </cell>
        </row>
        <row r="328">
          <cell r="A328" t="str">
            <v>907000204</v>
          </cell>
          <cell r="B328" t="str">
            <v>PLANCHA CHOCOLATE PASTELERO REAL 1300g</v>
          </cell>
          <cell r="C328" t="str">
            <v>UND</v>
          </cell>
          <cell r="D328" t="str">
            <v>UND</v>
          </cell>
          <cell r="E328">
            <v>1441.5558928626554</v>
          </cell>
          <cell r="F328">
            <v>1441.5558928626554</v>
          </cell>
          <cell r="G328">
            <v>13.796570919739926</v>
          </cell>
          <cell r="H328">
            <v>13.796570919739926</v>
          </cell>
          <cell r="I328">
            <v>132.30935985831189</v>
          </cell>
          <cell r="J328">
            <v>132.30935985831189</v>
          </cell>
        </row>
        <row r="329">
          <cell r="A329" t="str">
            <v>907000211</v>
          </cell>
          <cell r="B329" t="str">
            <v>ROSQUETE MELOCOTON MED 300G</v>
          </cell>
          <cell r="C329" t="str">
            <v>UND</v>
          </cell>
          <cell r="D329" t="str">
            <v>UND</v>
          </cell>
          <cell r="E329">
            <v>346.25307546532559</v>
          </cell>
          <cell r="F329">
            <v>346.25307546532559</v>
          </cell>
          <cell r="G329">
            <v>7.3045465006072225</v>
          </cell>
          <cell r="H329">
            <v>7.3045465006072225</v>
          </cell>
          <cell r="I329">
            <v>18.950701073484009</v>
          </cell>
          <cell r="J329">
            <v>18.950701073484009</v>
          </cell>
        </row>
        <row r="330">
          <cell r="A330" t="str">
            <v>90100219</v>
          </cell>
          <cell r="B330" t="str">
            <v>PREMEZCLA TORTA DE TRES LECHES RP 4527G</v>
          </cell>
          <cell r="C330" t="str">
            <v>TANDA</v>
          </cell>
          <cell r="D330" t="str">
            <v>GRAMO</v>
          </cell>
          <cell r="E330">
            <v>2138.8148460000007</v>
          </cell>
          <cell r="F330">
            <v>0.47245744333996037</v>
          </cell>
          <cell r="G330">
            <v>42.57118777777778</v>
          </cell>
          <cell r="H330">
            <v>9.4038409051861675E-3</v>
          </cell>
          <cell r="I330">
            <v>165</v>
          </cell>
          <cell r="J330">
            <v>3.6447978793903248E-2</v>
          </cell>
        </row>
        <row r="331">
          <cell r="A331" t="str">
            <v>90100220</v>
          </cell>
          <cell r="B331" t="str">
            <v>BATIDO TORTA DE TRES LECHES RP 9600G</v>
          </cell>
          <cell r="C331" t="str">
            <v>TANDA</v>
          </cell>
          <cell r="D331" t="str">
            <v>GRAMO</v>
          </cell>
          <cell r="E331">
            <v>5277.9678302260372</v>
          </cell>
          <cell r="F331">
            <v>0.54978831564854558</v>
          </cell>
          <cell r="G331">
            <v>165</v>
          </cell>
          <cell r="H331">
            <v>1.7187500000000001E-2</v>
          </cell>
          <cell r="I331">
            <v>1815</v>
          </cell>
          <cell r="J331">
            <v>0.18906249999999999</v>
          </cell>
        </row>
        <row r="332">
          <cell r="A332" t="str">
            <v>90100275</v>
          </cell>
          <cell r="B332" t="str">
            <v>ROSQUETE GUSTITO 4 LECHES 90g</v>
          </cell>
          <cell r="C332" t="str">
            <v>UND</v>
          </cell>
          <cell r="D332" t="str">
            <v>UND</v>
          </cell>
          <cell r="E332">
            <v>49.792149341755071</v>
          </cell>
          <cell r="F332">
            <v>49.792149341755071</v>
          </cell>
          <cell r="G332">
            <v>62.56504561844865</v>
          </cell>
          <cell r="H332">
            <v>62.56504561844865</v>
          </cell>
          <cell r="I332">
            <v>27.5</v>
          </cell>
          <cell r="J332">
            <v>27.5</v>
          </cell>
        </row>
        <row r="333">
          <cell r="A333" t="str">
            <v>90100161</v>
          </cell>
          <cell r="B333" t="str">
            <v>PREMEZCLA TORTA QQ CRISTAL (8176g)</v>
          </cell>
          <cell r="C333" t="str">
            <v>TANDA</v>
          </cell>
          <cell r="D333" t="str">
            <v>GRAMO</v>
          </cell>
          <cell r="E333">
            <v>3492.2954479999999</v>
          </cell>
          <cell r="F333">
            <v>0.42713985420743639</v>
          </cell>
          <cell r="G333">
            <v>62.945187777777775</v>
          </cell>
          <cell r="H333">
            <v>7.6987754131332894E-3</v>
          </cell>
          <cell r="I333">
            <v>192.5</v>
          </cell>
          <cell r="J333">
            <v>2.3544520547945206E-2</v>
          </cell>
        </row>
        <row r="334">
          <cell r="A334" t="str">
            <v>90100225</v>
          </cell>
          <cell r="B334" t="str">
            <v>BATIDO CHOCOLATE 27500g</v>
          </cell>
          <cell r="C334" t="str">
            <v>TANDA</v>
          </cell>
          <cell r="D334" t="str">
            <v>GRAMO</v>
          </cell>
          <cell r="E334">
            <v>38581.311737905038</v>
          </cell>
          <cell r="F334">
            <v>1.4029567904692741</v>
          </cell>
          <cell r="G334">
            <v>0</v>
          </cell>
          <cell r="H334">
            <v>0</v>
          </cell>
          <cell r="I334">
            <v>440</v>
          </cell>
          <cell r="J334">
            <v>1.6E-2</v>
          </cell>
        </row>
        <row r="335">
          <cell r="A335" t="str">
            <v>90100226</v>
          </cell>
          <cell r="B335" t="str">
            <v>ROSQUETE DE CHOCOLATE 1100g</v>
          </cell>
          <cell r="C335" t="str">
            <v>UND</v>
          </cell>
          <cell r="D335" t="str">
            <v>UND</v>
          </cell>
          <cell r="E335">
            <v>1564.0343487108323</v>
          </cell>
          <cell r="F335">
            <v>1564.0343487108323</v>
          </cell>
          <cell r="G335">
            <v>0.28353251677852354</v>
          </cell>
          <cell r="H335">
            <v>0.28353251677852354</v>
          </cell>
          <cell r="I335">
            <v>95.98422818791947</v>
          </cell>
          <cell r="J335">
            <v>95.98422818791947</v>
          </cell>
        </row>
        <row r="336">
          <cell r="A336" t="str">
            <v>90100233</v>
          </cell>
          <cell r="B336" t="str">
            <v>BORONA CHOCOLATE ROSTI POLLOS 3900G</v>
          </cell>
          <cell r="C336" t="str">
            <v>TANDA</v>
          </cell>
          <cell r="D336" t="str">
            <v>GRAMO</v>
          </cell>
          <cell r="E336">
            <v>6256.1373948433293</v>
          </cell>
          <cell r="F336">
            <v>1.6041377935495715</v>
          </cell>
          <cell r="G336">
            <v>79.289130067114101</v>
          </cell>
          <cell r="H336">
            <v>2.0330546171054897E-2</v>
          </cell>
          <cell r="I336">
            <v>1153.9369127516779</v>
          </cell>
          <cell r="J336">
            <v>0.29588125967991741</v>
          </cell>
        </row>
        <row r="337">
          <cell r="A337" t="str">
            <v>90100234</v>
          </cell>
          <cell r="B337" t="str">
            <v>BATIDO QUEQUE ARCOIRIS 33930</v>
          </cell>
          <cell r="C337" t="str">
            <v>TANDA</v>
          </cell>
          <cell r="D337" t="str">
            <v>GRAMO</v>
          </cell>
          <cell r="E337">
            <v>40764.431855714094</v>
          </cell>
          <cell r="F337">
            <v>1.2014274051197789</v>
          </cell>
          <cell r="G337">
            <v>79.289130067114101</v>
          </cell>
          <cell r="H337">
            <v>2.3368443874775746E-3</v>
          </cell>
          <cell r="I337">
            <v>1483.9369127516779</v>
          </cell>
          <cell r="J337">
            <v>4.3735246470724375E-2</v>
          </cell>
        </row>
        <row r="338">
          <cell r="A338" t="str">
            <v>901000106</v>
          </cell>
          <cell r="B338" t="str">
            <v>JAMON PAVO REBANADO 2870G</v>
          </cell>
          <cell r="C338" t="str">
            <v>TANDA</v>
          </cell>
          <cell r="D338" t="str">
            <v>GRAMO</v>
          </cell>
          <cell r="E338">
            <v>8490.6059999999998</v>
          </cell>
          <cell r="F338">
            <v>2.9583993031358884</v>
          </cell>
          <cell r="G338">
            <v>294.39000000000004</v>
          </cell>
          <cell r="H338">
            <v>0.10257491289198607</v>
          </cell>
          <cell r="I338">
            <v>440</v>
          </cell>
          <cell r="J338">
            <v>0.15331010452961671</v>
          </cell>
        </row>
        <row r="339">
          <cell r="A339" t="str">
            <v>90100221</v>
          </cell>
          <cell r="B339" t="str">
            <v>ROSQUETE TORTA DE TRES LECHES RP (960 gr)</v>
          </cell>
          <cell r="C339" t="str">
            <v>UND</v>
          </cell>
          <cell r="D339" t="str">
            <v>UND</v>
          </cell>
          <cell r="E339">
            <v>527.79678302260368</v>
          </cell>
          <cell r="F339">
            <v>527.79678302260368</v>
          </cell>
          <cell r="G339">
            <v>406.73166666666668</v>
          </cell>
          <cell r="H339">
            <v>406.73166666666668</v>
          </cell>
          <cell r="I339">
            <v>225.5</v>
          </cell>
          <cell r="J339">
            <v>225.5</v>
          </cell>
        </row>
        <row r="340">
          <cell r="A340" t="str">
            <v>90100222</v>
          </cell>
          <cell r="B340" t="str">
            <v>MEZCLA DE TRES LECHES RP</v>
          </cell>
          <cell r="C340" t="str">
            <v>TANDA</v>
          </cell>
          <cell r="D340" t="str">
            <v>MIlilitro</v>
          </cell>
          <cell r="E340">
            <v>12415.167355350066</v>
          </cell>
          <cell r="F340">
            <v>2.0691945592250112</v>
          </cell>
          <cell r="G340">
            <v>0</v>
          </cell>
          <cell r="H340">
            <v>0</v>
          </cell>
          <cell r="I340">
            <v>275</v>
          </cell>
          <cell r="J340">
            <v>4.583333333333333E-2</v>
          </cell>
        </row>
        <row r="341">
          <cell r="A341" t="str">
            <v>90100223</v>
          </cell>
          <cell r="B341" t="str">
            <v>MERENGUE PARA TRES LECHES RP</v>
          </cell>
          <cell r="C341" t="str">
            <v>TANDA</v>
          </cell>
          <cell r="D341" t="str">
            <v>GRAMO</v>
          </cell>
          <cell r="E341">
            <v>3761.7899899999998</v>
          </cell>
          <cell r="F341">
            <v>1.07479714</v>
          </cell>
          <cell r="G341">
            <v>3.0708489714285713E-4</v>
          </cell>
          <cell r="H341">
            <v>8.7738542040816329E-8</v>
          </cell>
          <cell r="I341">
            <v>1100</v>
          </cell>
          <cell r="J341">
            <v>0.31428571428571428</v>
          </cell>
        </row>
        <row r="342">
          <cell r="A342" t="str">
            <v>901000006</v>
          </cell>
          <cell r="B342" t="str">
            <v xml:space="preserve">BASE PREMEZCLA P/BATIDO VAINILLA PASTELERO </v>
          </cell>
          <cell r="C342" t="str">
            <v>TANDA</v>
          </cell>
          <cell r="D342" t="str">
            <v>GRAMO</v>
          </cell>
          <cell r="E342">
            <v>4095.2116799999999</v>
          </cell>
          <cell r="F342">
            <v>1.2546604411764706</v>
          </cell>
          <cell r="G342">
            <v>19.096393366600132</v>
          </cell>
          <cell r="H342">
            <v>5.8506107128064129E-3</v>
          </cell>
          <cell r="I342">
            <v>110</v>
          </cell>
          <cell r="J342">
            <v>3.3700980392156861E-2</v>
          </cell>
        </row>
        <row r="343">
          <cell r="A343" t="str">
            <v>905000094</v>
          </cell>
          <cell r="B343" t="str">
            <v>Ensamble media torta chocolate</v>
          </cell>
          <cell r="C343" t="str">
            <v>UND</v>
          </cell>
          <cell r="D343" t="str">
            <v>UND</v>
          </cell>
          <cell r="E343">
            <v>1050.4464617677095</v>
          </cell>
          <cell r="F343">
            <v>1050.4464617677095</v>
          </cell>
          <cell r="G343">
            <v>7.8435866075199412</v>
          </cell>
          <cell r="H343">
            <v>7.8435866075199412</v>
          </cell>
          <cell r="I343">
            <v>129.29891730862488</v>
          </cell>
          <cell r="J343">
            <v>129.29891730862488</v>
          </cell>
        </row>
        <row r="344">
          <cell r="A344" t="str">
            <v>905000095</v>
          </cell>
          <cell r="B344" t="str">
            <v>Ensamble media torta melocoton</v>
          </cell>
          <cell r="C344" t="str">
            <v xml:space="preserve">UND </v>
          </cell>
          <cell r="D344" t="str">
            <v>UND</v>
          </cell>
          <cell r="E344">
            <v>1028.5414935552374</v>
          </cell>
          <cell r="F344">
            <v>1028.5414935552374</v>
          </cell>
          <cell r="G344">
            <v>6.8830884301585966</v>
          </cell>
          <cell r="H344">
            <v>6.8830884301585966</v>
          </cell>
          <cell r="I344">
            <v>126.5233770208436</v>
          </cell>
          <cell r="J344">
            <v>126.5233770208436</v>
          </cell>
        </row>
        <row r="345">
          <cell r="A345" t="str">
            <v>95342</v>
          </cell>
          <cell r="B345" t="str">
            <v>BASE Premezcla Batidos para Rosquete Super esponja</v>
          </cell>
          <cell r="C345" t="str">
            <v>TANDA</v>
          </cell>
          <cell r="D345" t="str">
            <v>GRAMO</v>
          </cell>
          <cell r="E345">
            <v>536.52239999999995</v>
          </cell>
          <cell r="F345">
            <v>4.4710199999999993</v>
          </cell>
          <cell r="G345">
            <v>4.421616766467066</v>
          </cell>
          <cell r="H345">
            <v>3.6846806387225553E-2</v>
          </cell>
          <cell r="I345">
            <v>27.5</v>
          </cell>
          <cell r="J345">
            <v>0.22916666666666666</v>
          </cell>
        </row>
        <row r="346">
          <cell r="A346" t="str">
            <v>95343</v>
          </cell>
          <cell r="B346" t="str">
            <v>BATIDO Super Esponja (40120g</v>
          </cell>
          <cell r="C346" t="str">
            <v>TANDA</v>
          </cell>
          <cell r="D346" t="str">
            <v>GRAMO</v>
          </cell>
          <cell r="E346">
            <v>53885.640047058827</v>
          </cell>
          <cell r="F346">
            <v>1.3431116661779368</v>
          </cell>
          <cell r="G346">
            <v>4.421616766467066</v>
          </cell>
          <cell r="H346">
            <v>1.1020978979229976E-4</v>
          </cell>
          <cell r="I346">
            <v>467.5</v>
          </cell>
          <cell r="J346">
            <v>1.1652542372881356E-2</v>
          </cell>
        </row>
        <row r="347">
          <cell r="A347" t="str">
            <v>907000035</v>
          </cell>
          <cell r="B347" t="str">
            <v>Rosquete Super Esponja 380g</v>
          </cell>
          <cell r="C347" t="str">
            <v>UND</v>
          </cell>
          <cell r="D347" t="str">
            <v>UND</v>
          </cell>
          <cell r="E347">
            <v>524.38269974552782</v>
          </cell>
          <cell r="F347">
            <v>524.38269974552782</v>
          </cell>
          <cell r="G347">
            <v>4.6211066985275187</v>
          </cell>
          <cell r="H347">
            <v>4.6211066985275187</v>
          </cell>
          <cell r="I347">
            <v>18.483375539635087</v>
          </cell>
          <cell r="J347">
            <v>18.483375539635087</v>
          </cell>
        </row>
        <row r="348">
          <cell r="A348" t="str">
            <v>907000200</v>
          </cell>
          <cell r="B348" t="str">
            <v>BATIDO P/ARROLLADO DULCE LECHE 3600G</v>
          </cell>
          <cell r="C348" t="str">
            <v>TANDA</v>
          </cell>
          <cell r="D348" t="str">
            <v>GRAMO</v>
          </cell>
          <cell r="E348">
            <v>3846.8646231243679</v>
          </cell>
          <cell r="F348">
            <v>1.0685735064234356</v>
          </cell>
          <cell r="G348">
            <v>24.200849944761391</v>
          </cell>
          <cell r="H348">
            <v>6.7224583179892753E-3</v>
          </cell>
          <cell r="I348">
            <v>342.14751426242867</v>
          </cell>
          <cell r="J348">
            <v>9.5040976184007961E-2</v>
          </cell>
        </row>
        <row r="349">
          <cell r="A349" t="str">
            <v>903000154</v>
          </cell>
          <cell r="B349" t="str">
            <v>RUEDA HOJALDRE EMPANADA DE POLLO PEQUEÑA</v>
          </cell>
          <cell r="C349" t="str">
            <v>UND</v>
          </cell>
          <cell r="D349" t="str">
            <v>UND</v>
          </cell>
          <cell r="E349">
            <v>17.692668599069446</v>
          </cell>
          <cell r="F349">
            <v>17.692668599069446</v>
          </cell>
          <cell r="G349">
            <v>7.3629137208274437E-2</v>
          </cell>
          <cell r="H349">
            <v>7.3629137208274437E-2</v>
          </cell>
          <cell r="I349">
            <v>11.189039828684258</v>
          </cell>
          <cell r="J349">
            <v>11.189039828684258</v>
          </cell>
        </row>
        <row r="350">
          <cell r="A350" t="str">
            <v>90100281</v>
          </cell>
          <cell r="B350" t="str">
            <v>Crema de Garbanzos 10000G</v>
          </cell>
          <cell r="C350" t="str">
            <v>TANDA</v>
          </cell>
          <cell r="D350" t="str">
            <v>GRAMO</v>
          </cell>
          <cell r="E350">
            <v>13062.089689729972</v>
          </cell>
          <cell r="F350">
            <v>1.3062089689729972</v>
          </cell>
          <cell r="G350">
            <v>69.513032603681182</v>
          </cell>
          <cell r="H350">
            <v>6.9513032603681184E-3</v>
          </cell>
          <cell r="I350">
            <v>1383.7719279201042</v>
          </cell>
          <cell r="J350">
            <v>0.13837719279201041</v>
          </cell>
        </row>
        <row r="351">
          <cell r="A351" t="str">
            <v>901000051</v>
          </cell>
          <cell r="B351" t="str">
            <v>Premezcla Pasta Piña(5262g) Spoon</v>
          </cell>
          <cell r="C351" t="str">
            <v>TANDA</v>
          </cell>
          <cell r="D351" t="str">
            <v>GRAMO</v>
          </cell>
          <cell r="E351">
            <v>4629.7639655999992</v>
          </cell>
          <cell r="F351">
            <v>0.87984872018243998</v>
          </cell>
          <cell r="G351">
            <v>28.572730555555559</v>
          </cell>
          <cell r="H351">
            <v>5.4300134085054274E-3</v>
          </cell>
          <cell r="I351">
            <v>275</v>
          </cell>
          <cell r="J351">
            <v>5.2261497529456483E-2</v>
          </cell>
        </row>
        <row r="352">
          <cell r="A352" t="str">
            <v>95466</v>
          </cell>
          <cell r="B352" t="str">
            <v>Pasta para empanada de piña</v>
          </cell>
          <cell r="C352" t="str">
            <v>TANDA</v>
          </cell>
          <cell r="D352" t="str">
            <v>GRAMO</v>
          </cell>
          <cell r="E352">
            <v>7170.5829880570664</v>
          </cell>
          <cell r="F352">
            <v>1.1636778623916044</v>
          </cell>
          <cell r="G352">
            <v>64.415063888888895</v>
          </cell>
          <cell r="H352">
            <v>1.0453596866096867E-2</v>
          </cell>
          <cell r="I352">
            <v>825</v>
          </cell>
          <cell r="J352">
            <v>0.13388510223953262</v>
          </cell>
        </row>
        <row r="353">
          <cell r="A353" t="str">
            <v>907000050</v>
          </cell>
          <cell r="B353" t="str">
            <v>ROSQUETE ARROLLADO 1000G</v>
          </cell>
          <cell r="C353" t="str">
            <v>UND</v>
          </cell>
          <cell r="D353" t="str">
            <v>UND</v>
          </cell>
          <cell r="E353">
            <v>1078.5488084368583</v>
          </cell>
          <cell r="F353">
            <v>1078.5488084368583</v>
          </cell>
          <cell r="G353">
            <v>65.019382592709633</v>
          </cell>
          <cell r="H353">
            <v>65.019382592709633</v>
          </cell>
          <cell r="I353">
            <v>150.70540571420932</v>
          </cell>
          <cell r="J353">
            <v>150.70540571420932</v>
          </cell>
        </row>
        <row r="354">
          <cell r="A354" t="str">
            <v>90100280</v>
          </cell>
          <cell r="B354" t="str">
            <v>SALSA POMODORO 15000</v>
          </cell>
          <cell r="C354" t="str">
            <v>TANDA</v>
          </cell>
          <cell r="D354" t="str">
            <v>GRAMO</v>
          </cell>
          <cell r="E354">
            <v>21018.911828324784</v>
          </cell>
          <cell r="F354">
            <v>1.4012607885549857</v>
          </cell>
          <cell r="G354">
            <v>0</v>
          </cell>
          <cell r="I354">
            <v>1925</v>
          </cell>
          <cell r="J354">
            <v>0.12833333333333333</v>
          </cell>
        </row>
        <row r="355">
          <cell r="A355" t="str">
            <v>95969</v>
          </cell>
          <cell r="B355" t="str">
            <v>CALDO POLLO C/CARCASA 47000</v>
          </cell>
          <cell r="C355" t="str">
            <v>TANDA</v>
          </cell>
          <cell r="D355" t="str">
            <v>GRAMO</v>
          </cell>
          <cell r="E355">
            <v>25962.644746666661</v>
          </cell>
          <cell r="F355">
            <v>0.55239669673758851</v>
          </cell>
          <cell r="G355">
            <v>231.47791333333333</v>
          </cell>
          <cell r="H355">
            <v>4.9250619858156024E-3</v>
          </cell>
          <cell r="I355">
            <v>1650</v>
          </cell>
          <cell r="J355">
            <v>3.5106382978723406E-2</v>
          </cell>
        </row>
        <row r="356">
          <cell r="A356" t="str">
            <v>90100129</v>
          </cell>
          <cell r="B356" t="str">
            <v>ALMIDON MODIFICADO (BOLSA:5000g)</v>
          </cell>
          <cell r="C356" t="str">
            <v>TANDA</v>
          </cell>
          <cell r="D356" t="str">
            <v>GRAMO</v>
          </cell>
          <cell r="E356">
            <v>5716.2</v>
          </cell>
          <cell r="F356">
            <v>1.14324</v>
          </cell>
          <cell r="G356">
            <v>35.609333333333339</v>
          </cell>
          <cell r="H356">
            <v>7.1218666666666682E-3</v>
          </cell>
          <cell r="I356">
            <v>55</v>
          </cell>
          <cell r="J356">
            <v>1.0999999999999999E-2</v>
          </cell>
        </row>
        <row r="357">
          <cell r="A357" t="str">
            <v>90100279</v>
          </cell>
          <cell r="B357" t="str">
            <v>SALSA CULANTRO 2000G</v>
          </cell>
          <cell r="C357" t="str">
            <v>TANDA</v>
          </cell>
          <cell r="D357" t="str">
            <v>GRAMO</v>
          </cell>
          <cell r="E357">
            <v>3002.3665583193829</v>
          </cell>
          <cell r="F357">
            <v>1.5011832791596915</v>
          </cell>
          <cell r="G357">
            <v>9.5495689134751789</v>
          </cell>
          <cell r="H357">
            <v>4.7747844567375894E-3</v>
          </cell>
          <cell r="I357">
            <v>600.18293617021277</v>
          </cell>
          <cell r="J357">
            <v>0.30009146808510639</v>
          </cell>
        </row>
      </sheetData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C0F2F-6867-463D-8B44-FD3D0B6BDDD2}">
  <dimension ref="A1:I62"/>
  <sheetViews>
    <sheetView tabSelected="1" zoomScale="70" zoomScaleNormal="70" workbookViewId="0">
      <selection activeCell="G12" sqref="G12:G17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27" customWidth="1"/>
    <col min="9" max="9" width="20.42578125" bestFit="1" customWidth="1"/>
  </cols>
  <sheetData>
    <row r="1" spans="1:9" ht="15.75" x14ac:dyDescent="0.25">
      <c r="A1" s="208"/>
      <c r="B1" s="209"/>
      <c r="C1" s="214" t="s">
        <v>23</v>
      </c>
      <c r="D1" s="214"/>
      <c r="E1" s="214"/>
      <c r="F1" s="214"/>
      <c r="G1" s="214"/>
      <c r="H1" s="1" t="s">
        <v>0</v>
      </c>
      <c r="I1" s="110" t="s">
        <v>154</v>
      </c>
    </row>
    <row r="2" spans="1:9" ht="16.5" thickBot="1" x14ac:dyDescent="0.3">
      <c r="A2" s="210"/>
      <c r="B2" s="211"/>
      <c r="C2" s="215" t="s">
        <v>1</v>
      </c>
      <c r="D2" s="215"/>
      <c r="E2" s="215"/>
      <c r="F2" s="215"/>
      <c r="G2" s="215"/>
      <c r="H2" s="2" t="s">
        <v>2</v>
      </c>
      <c r="I2" s="109" t="s">
        <v>155</v>
      </c>
    </row>
    <row r="3" spans="1:9" ht="18.75" thickBot="1" x14ac:dyDescent="0.3">
      <c r="A3" s="210"/>
      <c r="B3" s="211"/>
      <c r="C3" s="216" t="s">
        <v>153</v>
      </c>
      <c r="D3" s="217"/>
      <c r="E3" s="217"/>
      <c r="F3" s="217"/>
      <c r="G3" s="218"/>
      <c r="H3" s="219" t="s">
        <v>3</v>
      </c>
      <c r="I3" s="199">
        <v>45609</v>
      </c>
    </row>
    <row r="4" spans="1:9" ht="13.5" x14ac:dyDescent="0.25">
      <c r="A4" s="210"/>
      <c r="B4" s="211"/>
      <c r="C4" s="3" t="s">
        <v>4</v>
      </c>
      <c r="D4" s="202" t="s">
        <v>156</v>
      </c>
      <c r="E4" s="203"/>
      <c r="F4" s="203"/>
      <c r="G4" s="204"/>
      <c r="H4" s="220"/>
      <c r="I4" s="200"/>
    </row>
    <row r="5" spans="1:9" ht="14.25" thickBot="1" x14ac:dyDescent="0.3">
      <c r="A5" s="212"/>
      <c r="B5" s="213"/>
      <c r="C5" s="4" t="s">
        <v>5</v>
      </c>
      <c r="D5" s="205" t="s">
        <v>143</v>
      </c>
      <c r="E5" s="206"/>
      <c r="F5" s="206"/>
      <c r="G5" s="207"/>
      <c r="H5" s="221"/>
      <c r="I5" s="201"/>
    </row>
    <row r="6" spans="1:9" ht="18.75" thickBot="1" x14ac:dyDescent="0.3">
      <c r="A6" s="222" t="s">
        <v>131</v>
      </c>
      <c r="B6" s="222"/>
      <c r="C6" s="222"/>
      <c r="D6" s="223" t="s">
        <v>133</v>
      </c>
      <c r="E6" s="223"/>
      <c r="F6" s="223"/>
      <c r="G6" s="224" t="s">
        <v>132</v>
      </c>
      <c r="H6" s="224"/>
      <c r="I6" s="115" t="s">
        <v>134</v>
      </c>
    </row>
    <row r="7" spans="1:9" x14ac:dyDescent="0.2">
      <c r="A7" s="225" t="s">
        <v>6</v>
      </c>
      <c r="B7" s="227" t="s">
        <v>144</v>
      </c>
      <c r="C7" s="229" t="s">
        <v>7</v>
      </c>
      <c r="D7" s="229" t="s">
        <v>8</v>
      </c>
      <c r="E7" s="229" t="s">
        <v>9</v>
      </c>
      <c r="F7" s="229"/>
      <c r="G7" s="229" t="s">
        <v>10</v>
      </c>
      <c r="H7" s="229"/>
      <c r="I7" s="122" t="s">
        <v>11</v>
      </c>
    </row>
    <row r="8" spans="1:9" ht="26.25" thickBot="1" x14ac:dyDescent="0.25">
      <c r="A8" s="226"/>
      <c r="B8" s="228"/>
      <c r="C8" s="230"/>
      <c r="D8" s="230"/>
      <c r="E8" s="123" t="s">
        <v>12</v>
      </c>
      <c r="F8" s="124" t="s">
        <v>13</v>
      </c>
      <c r="G8" s="123" t="s">
        <v>12</v>
      </c>
      <c r="H8" s="124" t="s">
        <v>13</v>
      </c>
      <c r="I8" s="125" t="s">
        <v>14</v>
      </c>
    </row>
    <row r="9" spans="1:9" ht="15.75" thickBot="1" x14ac:dyDescent="0.3">
      <c r="A9" s="126"/>
      <c r="B9" s="127"/>
      <c r="C9" s="128" t="s">
        <v>157</v>
      </c>
      <c r="D9" s="129"/>
      <c r="E9" s="130"/>
      <c r="F9" s="131"/>
      <c r="G9" s="130"/>
      <c r="H9" s="131"/>
      <c r="I9" s="132"/>
    </row>
    <row r="10" spans="1:9" ht="15.95" customHeight="1" thickBot="1" x14ac:dyDescent="0.3">
      <c r="A10" s="118" t="s">
        <v>107</v>
      </c>
      <c r="B10" s="113" t="s">
        <v>145</v>
      </c>
      <c r="C10" s="111" t="s">
        <v>108</v>
      </c>
      <c r="D10" s="11" t="s">
        <v>121</v>
      </c>
      <c r="E10" s="5">
        <v>23000</v>
      </c>
      <c r="F10" s="6" t="s">
        <v>109</v>
      </c>
      <c r="G10" s="133"/>
      <c r="H10" s="134"/>
      <c r="I10" s="132"/>
    </row>
    <row r="11" spans="1:9" ht="15.75" thickBot="1" x14ac:dyDescent="0.3">
      <c r="A11" s="118" t="s">
        <v>114</v>
      </c>
      <c r="B11" s="113" t="s">
        <v>146</v>
      </c>
      <c r="C11" s="111" t="s">
        <v>115</v>
      </c>
      <c r="D11" s="11" t="s">
        <v>31</v>
      </c>
      <c r="E11" s="5">
        <v>62</v>
      </c>
      <c r="F11" s="6" t="s">
        <v>109</v>
      </c>
      <c r="G11" s="135"/>
      <c r="H11" s="134"/>
      <c r="I11" s="132"/>
    </row>
    <row r="12" spans="1:9" ht="15.75" thickBot="1" x14ac:dyDescent="0.3">
      <c r="A12" s="119" t="s">
        <v>32</v>
      </c>
      <c r="B12" s="113" t="s">
        <v>147</v>
      </c>
      <c r="C12" s="7" t="s">
        <v>33</v>
      </c>
      <c r="D12" s="11" t="s">
        <v>31</v>
      </c>
      <c r="E12" s="5">
        <v>1350</v>
      </c>
      <c r="F12" s="6" t="s">
        <v>109</v>
      </c>
      <c r="G12" s="135"/>
      <c r="H12" s="134"/>
      <c r="I12" s="132"/>
    </row>
    <row r="13" spans="1:9" ht="15.75" thickBot="1" x14ac:dyDescent="0.3">
      <c r="A13" s="118" t="s">
        <v>116</v>
      </c>
      <c r="B13" s="113"/>
      <c r="C13" s="111" t="s">
        <v>35</v>
      </c>
      <c r="D13" s="11" t="s">
        <v>122</v>
      </c>
      <c r="E13" s="9">
        <v>810</v>
      </c>
      <c r="F13" s="10" t="s">
        <v>109</v>
      </c>
      <c r="G13" s="135"/>
      <c r="H13" s="134"/>
      <c r="I13" s="132"/>
    </row>
    <row r="14" spans="1:9" ht="15.75" thickBot="1" x14ac:dyDescent="0.3">
      <c r="A14" s="118" t="s">
        <v>117</v>
      </c>
      <c r="B14" s="113" t="s">
        <v>148</v>
      </c>
      <c r="C14" s="111" t="s">
        <v>118</v>
      </c>
      <c r="D14" s="11" t="s">
        <v>104</v>
      </c>
      <c r="E14" s="9">
        <v>2</v>
      </c>
      <c r="F14" s="10" t="s">
        <v>109</v>
      </c>
      <c r="G14" s="135"/>
      <c r="H14" s="134" t="s">
        <v>161</v>
      </c>
      <c r="I14" s="132"/>
    </row>
    <row r="15" spans="1:9" ht="15.75" thickBot="1" x14ac:dyDescent="0.3">
      <c r="A15" s="120" t="s">
        <v>119</v>
      </c>
      <c r="B15" s="113" t="s">
        <v>149</v>
      </c>
      <c r="C15" s="112" t="s">
        <v>120</v>
      </c>
      <c r="D15" s="11" t="s">
        <v>102</v>
      </c>
      <c r="E15" s="9">
        <v>2</v>
      </c>
      <c r="F15" s="10" t="s">
        <v>109</v>
      </c>
      <c r="G15" s="135"/>
      <c r="H15" s="134" t="s">
        <v>161</v>
      </c>
      <c r="I15" s="132"/>
    </row>
    <row r="16" spans="1:9" ht="15.75" thickBot="1" x14ac:dyDescent="0.3">
      <c r="A16" s="118" t="s">
        <v>110</v>
      </c>
      <c r="B16" s="113" t="s">
        <v>150</v>
      </c>
      <c r="C16" s="111" t="s">
        <v>111</v>
      </c>
      <c r="D16" s="11" t="s">
        <v>122</v>
      </c>
      <c r="E16" s="5">
        <v>7130</v>
      </c>
      <c r="F16" s="6" t="s">
        <v>109</v>
      </c>
      <c r="G16" s="135"/>
      <c r="H16" s="134"/>
      <c r="I16" s="132"/>
    </row>
    <row r="17" spans="1:9" ht="15.75" thickBot="1" x14ac:dyDescent="0.3">
      <c r="A17" s="118" t="s">
        <v>112</v>
      </c>
      <c r="B17" s="113" t="s">
        <v>151</v>
      </c>
      <c r="C17" s="111" t="s">
        <v>113</v>
      </c>
      <c r="D17" s="11" t="s">
        <v>122</v>
      </c>
      <c r="E17" s="5">
        <v>920</v>
      </c>
      <c r="F17" s="6" t="s">
        <v>109</v>
      </c>
      <c r="G17" s="135"/>
      <c r="H17" s="134"/>
      <c r="I17" s="132"/>
    </row>
    <row r="18" spans="1:9" ht="15.75" thickBot="1" x14ac:dyDescent="0.3">
      <c r="A18" s="121"/>
      <c r="B18" s="114"/>
      <c r="C18" s="112"/>
      <c r="D18" s="11"/>
      <c r="E18" s="9"/>
      <c r="F18" s="10"/>
      <c r="G18" s="135"/>
      <c r="H18" s="134"/>
      <c r="I18" s="132"/>
    </row>
    <row r="19" spans="1:9" ht="15.75" thickBot="1" x14ac:dyDescent="0.3">
      <c r="A19" s="119"/>
      <c r="B19" s="8"/>
      <c r="C19" s="7"/>
      <c r="D19" s="11"/>
      <c r="E19" s="5"/>
      <c r="F19" s="6"/>
      <c r="G19" s="135"/>
      <c r="H19" s="134"/>
      <c r="I19" s="132"/>
    </row>
    <row r="20" spans="1:9" ht="15.75" thickBot="1" x14ac:dyDescent="0.3">
      <c r="A20" s="117"/>
      <c r="B20" s="113"/>
      <c r="C20" s="111"/>
      <c r="D20" s="11"/>
      <c r="E20" s="5"/>
      <c r="F20" s="6"/>
      <c r="G20" s="135"/>
      <c r="H20" s="134"/>
      <c r="I20" s="132"/>
    </row>
    <row r="21" spans="1:9" ht="15.75" thickBot="1" x14ac:dyDescent="0.3">
      <c r="A21" s="136"/>
      <c r="B21" s="137"/>
      <c r="C21" s="138"/>
      <c r="D21" s="139"/>
      <c r="E21" s="140"/>
      <c r="F21" s="141"/>
      <c r="G21" s="135"/>
      <c r="H21" s="134"/>
      <c r="I21" s="132"/>
    </row>
    <row r="22" spans="1:9" ht="15" x14ac:dyDescent="0.25">
      <c r="A22" s="136"/>
      <c r="B22" s="137"/>
      <c r="C22" s="138"/>
      <c r="D22" s="139"/>
      <c r="E22" s="140"/>
      <c r="F22" s="141"/>
      <c r="G22" s="135"/>
      <c r="H22" s="134"/>
      <c r="I22" s="132"/>
    </row>
    <row r="23" spans="1:9" ht="15" x14ac:dyDescent="0.25">
      <c r="A23" s="142"/>
      <c r="B23" s="113"/>
      <c r="C23" s="111"/>
      <c r="D23" s="143"/>
      <c r="E23" s="144"/>
      <c r="F23" s="145"/>
      <c r="G23" s="130"/>
      <c r="H23" s="131"/>
      <c r="I23" s="132"/>
    </row>
    <row r="24" spans="1:9" ht="15" x14ac:dyDescent="0.25">
      <c r="A24" s="113"/>
      <c r="B24" s="113"/>
      <c r="C24" s="146"/>
      <c r="D24" s="147"/>
      <c r="E24" s="147"/>
      <c r="F24" s="148"/>
      <c r="G24" s="130"/>
      <c r="H24" s="131"/>
      <c r="I24" s="132"/>
    </row>
    <row r="25" spans="1:9" ht="15.75" x14ac:dyDescent="0.25">
      <c r="A25" s="149"/>
      <c r="B25" s="150"/>
      <c r="C25" s="151" t="s">
        <v>158</v>
      </c>
      <c r="D25" s="152"/>
      <c r="E25" s="153"/>
      <c r="F25" s="148"/>
      <c r="G25" s="130"/>
      <c r="H25" s="131"/>
      <c r="I25" s="132"/>
    </row>
    <row r="26" spans="1:9" ht="15" x14ac:dyDescent="0.25">
      <c r="A26" s="154"/>
      <c r="B26" s="155"/>
      <c r="C26" s="156"/>
      <c r="D26" s="157"/>
      <c r="E26" s="147"/>
      <c r="F26" s="148"/>
      <c r="G26" s="130"/>
      <c r="H26" s="131"/>
      <c r="I26" s="132"/>
    </row>
    <row r="27" spans="1:9" ht="15" x14ac:dyDescent="0.25">
      <c r="A27" s="113"/>
      <c r="B27" s="113"/>
      <c r="C27" s="146"/>
      <c r="D27" s="157"/>
      <c r="E27" s="147"/>
      <c r="F27" s="148"/>
      <c r="G27" s="130"/>
      <c r="H27" s="131"/>
      <c r="I27" s="132"/>
    </row>
    <row r="28" spans="1:9" ht="15" x14ac:dyDescent="0.25">
      <c r="A28" s="158"/>
      <c r="B28" s="158"/>
      <c r="C28" s="156"/>
      <c r="D28" s="157"/>
      <c r="E28" s="147"/>
      <c r="F28" s="148"/>
      <c r="G28" s="130"/>
      <c r="H28" s="131"/>
      <c r="I28" s="132"/>
    </row>
    <row r="29" spans="1:9" ht="15" x14ac:dyDescent="0.25">
      <c r="A29" s="113"/>
      <c r="B29" s="113"/>
      <c r="C29" s="146"/>
      <c r="D29" s="147"/>
      <c r="E29" s="152"/>
      <c r="F29" s="148"/>
      <c r="G29" s="130"/>
      <c r="H29" s="131"/>
      <c r="I29" s="132"/>
    </row>
    <row r="30" spans="1:9" ht="15" x14ac:dyDescent="0.25">
      <c r="A30" s="113"/>
      <c r="B30" s="113"/>
      <c r="C30" s="146"/>
      <c r="D30" s="143"/>
      <c r="E30" s="159"/>
      <c r="F30" s="160"/>
      <c r="G30" s="130"/>
      <c r="H30" s="131"/>
      <c r="I30" s="132"/>
    </row>
    <row r="31" spans="1:9" ht="15.75" x14ac:dyDescent="0.25">
      <c r="A31" s="161"/>
      <c r="B31" s="162"/>
      <c r="C31" s="163" t="s">
        <v>134</v>
      </c>
      <c r="D31" s="164"/>
      <c r="E31" s="130"/>
      <c r="F31" s="131"/>
      <c r="G31" s="130"/>
      <c r="H31" s="131"/>
      <c r="I31" s="132"/>
    </row>
    <row r="32" spans="1:9" ht="15" x14ac:dyDescent="0.25">
      <c r="A32" s="117" t="s">
        <v>123</v>
      </c>
      <c r="B32" s="113" t="s">
        <v>152</v>
      </c>
      <c r="C32" s="111" t="s">
        <v>124</v>
      </c>
      <c r="D32" s="11" t="s">
        <v>106</v>
      </c>
      <c r="E32" s="5">
        <v>1</v>
      </c>
      <c r="F32" s="6" t="s">
        <v>142</v>
      </c>
      <c r="G32" s="165"/>
      <c r="H32" s="152"/>
      <c r="I32" s="132"/>
    </row>
    <row r="33" spans="1:9" ht="15" x14ac:dyDescent="0.25">
      <c r="A33" s="166"/>
      <c r="B33" s="167"/>
      <c r="C33" s="168"/>
      <c r="D33" s="169"/>
      <c r="E33" s="144"/>
      <c r="F33" s="170"/>
      <c r="G33" s="165"/>
      <c r="H33" s="152"/>
      <c r="I33" s="132"/>
    </row>
    <row r="34" spans="1:9" ht="15" x14ac:dyDescent="0.25">
      <c r="A34" s="166"/>
      <c r="B34" s="167"/>
      <c r="C34" s="168"/>
      <c r="D34" s="169"/>
      <c r="E34" s="144"/>
      <c r="F34" s="170"/>
      <c r="G34" s="130"/>
      <c r="H34" s="131"/>
      <c r="I34" s="132"/>
    </row>
    <row r="35" spans="1:9" ht="15" x14ac:dyDescent="0.25">
      <c r="A35" s="171"/>
      <c r="B35" s="171"/>
      <c r="C35" s="146"/>
      <c r="D35" s="152"/>
      <c r="E35" s="147"/>
      <c r="F35" s="148"/>
      <c r="G35" s="130"/>
      <c r="H35" s="131"/>
      <c r="I35" s="132"/>
    </row>
    <row r="36" spans="1:9" ht="15" x14ac:dyDescent="0.25">
      <c r="A36" s="172"/>
      <c r="B36" s="173"/>
      <c r="C36" s="174"/>
      <c r="D36" s="152"/>
      <c r="E36" s="147"/>
      <c r="F36" s="148"/>
      <c r="G36" s="130"/>
      <c r="H36" s="131"/>
      <c r="I36" s="132"/>
    </row>
    <row r="37" spans="1:9" ht="15.75" x14ac:dyDescent="0.25">
      <c r="A37" s="172"/>
      <c r="B37" s="173"/>
      <c r="C37" s="174"/>
      <c r="D37" s="175"/>
      <c r="E37" s="147"/>
      <c r="F37" s="148"/>
      <c r="G37" s="176"/>
      <c r="H37" s="152"/>
      <c r="I37" s="132"/>
    </row>
    <row r="38" spans="1:9" ht="15.75" x14ac:dyDescent="0.25">
      <c r="A38" s="149"/>
      <c r="B38" s="150"/>
      <c r="C38" s="177"/>
      <c r="D38" s="175"/>
      <c r="E38" s="147"/>
      <c r="F38" s="148"/>
      <c r="G38" s="147"/>
      <c r="H38" s="152"/>
      <c r="I38" s="132"/>
    </row>
    <row r="39" spans="1:9" ht="15.75" x14ac:dyDescent="0.25">
      <c r="A39" s="149"/>
      <c r="B39" s="150"/>
      <c r="C39" s="177"/>
      <c r="D39" s="175"/>
      <c r="E39" s="147"/>
      <c r="F39" s="148"/>
      <c r="G39" s="178"/>
      <c r="H39" s="148"/>
      <c r="I39" s="132"/>
    </row>
    <row r="40" spans="1:9" ht="15.75" x14ac:dyDescent="0.25">
      <c r="A40" s="149"/>
      <c r="B40" s="150"/>
      <c r="C40" s="177"/>
      <c r="D40" s="152"/>
      <c r="E40" s="152"/>
      <c r="F40" s="148"/>
      <c r="G40" s="175"/>
      <c r="H40" s="175"/>
      <c r="I40" s="132"/>
    </row>
    <row r="41" spans="1:9" ht="14.25" thickBot="1" x14ac:dyDescent="0.3">
      <c r="A41" s="179"/>
      <c r="B41" s="180"/>
      <c r="C41" s="181"/>
      <c r="D41" s="181"/>
      <c r="E41" s="182"/>
      <c r="F41" s="183"/>
      <c r="G41" s="181"/>
      <c r="H41" s="181"/>
      <c r="I41" s="184"/>
    </row>
    <row r="42" spans="1:9" ht="14.25" thickBot="1" x14ac:dyDescent="0.3">
      <c r="A42" s="185"/>
      <c r="B42" s="186"/>
      <c r="C42" s="187"/>
      <c r="D42" s="188" t="s">
        <v>12</v>
      </c>
      <c r="E42" s="189" t="s">
        <v>159</v>
      </c>
      <c r="F42" s="190"/>
      <c r="G42" s="187"/>
      <c r="H42" s="187"/>
      <c r="I42" s="191"/>
    </row>
    <row r="43" spans="1:9" ht="13.5" x14ac:dyDescent="0.25">
      <c r="A43" s="231" t="s">
        <v>15</v>
      </c>
      <c r="B43" s="232"/>
      <c r="C43" s="233"/>
      <c r="D43" s="192">
        <v>31300</v>
      </c>
      <c r="E43" s="193" t="s">
        <v>109</v>
      </c>
      <c r="F43" s="234" t="s">
        <v>24</v>
      </c>
      <c r="G43" s="234"/>
      <c r="H43" s="235"/>
      <c r="I43" s="236"/>
    </row>
    <row r="44" spans="1:9" ht="13.5" x14ac:dyDescent="0.25">
      <c r="A44" s="237" t="s">
        <v>16</v>
      </c>
      <c r="B44" s="238"/>
      <c r="C44" s="239"/>
      <c r="D44" s="194">
        <v>35</v>
      </c>
      <c r="E44" s="195" t="s">
        <v>127</v>
      </c>
      <c r="F44" s="240" t="s">
        <v>17</v>
      </c>
      <c r="G44" s="240"/>
      <c r="H44" s="241"/>
      <c r="I44" s="242"/>
    </row>
    <row r="45" spans="1:9" ht="13.5" x14ac:dyDescent="0.25">
      <c r="A45" s="237" t="s">
        <v>18</v>
      </c>
      <c r="B45" s="238"/>
      <c r="C45" s="239"/>
      <c r="D45" s="195">
        <v>6.26</v>
      </c>
      <c r="E45" s="195" t="s">
        <v>126</v>
      </c>
      <c r="F45" s="240" t="s">
        <v>25</v>
      </c>
      <c r="G45" s="240"/>
      <c r="H45" s="241"/>
      <c r="I45" s="242"/>
    </row>
    <row r="46" spans="1:9" ht="13.5" x14ac:dyDescent="0.25">
      <c r="A46" s="237" t="s">
        <v>19</v>
      </c>
      <c r="B46" s="238"/>
      <c r="C46" s="239"/>
      <c r="D46" s="195">
        <v>5000</v>
      </c>
      <c r="E46" s="195" t="s">
        <v>109</v>
      </c>
      <c r="F46" s="246" t="s">
        <v>20</v>
      </c>
      <c r="G46" s="247"/>
      <c r="H46" s="241"/>
      <c r="I46" s="242"/>
    </row>
    <row r="47" spans="1:9" ht="14.25" thickBot="1" x14ac:dyDescent="0.3">
      <c r="A47" s="248" t="s">
        <v>21</v>
      </c>
      <c r="B47" s="249"/>
      <c r="C47" s="250"/>
      <c r="D47" s="196">
        <v>1976</v>
      </c>
      <c r="E47" s="197" t="s">
        <v>109</v>
      </c>
      <c r="F47" s="251"/>
      <c r="G47" s="251"/>
      <c r="H47" s="252"/>
      <c r="I47" s="253"/>
    </row>
    <row r="48" spans="1:9" ht="13.5" thickBot="1" x14ac:dyDescent="0.25">
      <c r="A48" s="254" t="s">
        <v>22</v>
      </c>
      <c r="B48" s="255"/>
      <c r="C48" s="255"/>
      <c r="D48" s="255"/>
      <c r="E48" s="255"/>
      <c r="F48" s="255"/>
      <c r="G48" s="255"/>
      <c r="H48" s="255"/>
      <c r="I48" s="256"/>
    </row>
    <row r="49" spans="1:9" ht="13.5" x14ac:dyDescent="0.25">
      <c r="A49" s="257" t="s">
        <v>100</v>
      </c>
      <c r="B49" s="258"/>
      <c r="C49" s="258"/>
      <c r="D49" s="258"/>
      <c r="E49" s="258"/>
      <c r="F49" s="258"/>
      <c r="G49" s="258"/>
      <c r="H49" s="258"/>
      <c r="I49" s="259"/>
    </row>
    <row r="50" spans="1:9" ht="13.5" x14ac:dyDescent="0.25">
      <c r="A50" s="243" t="s">
        <v>99</v>
      </c>
      <c r="B50" s="244"/>
      <c r="C50" s="244"/>
      <c r="D50" s="244"/>
      <c r="E50" s="244"/>
      <c r="F50" s="244"/>
      <c r="G50" s="244"/>
      <c r="H50" s="244"/>
      <c r="I50" s="245"/>
    </row>
    <row r="51" spans="1:9" ht="13.5" x14ac:dyDescent="0.25">
      <c r="A51" s="243" t="s">
        <v>125</v>
      </c>
      <c r="B51" s="244"/>
      <c r="C51" s="244"/>
      <c r="D51" s="244"/>
      <c r="E51" s="244"/>
      <c r="F51" s="244"/>
      <c r="G51" s="244"/>
      <c r="H51" s="244"/>
      <c r="I51" s="245"/>
    </row>
    <row r="52" spans="1:9" ht="13.5" x14ac:dyDescent="0.25">
      <c r="A52" s="267"/>
      <c r="B52" s="268"/>
      <c r="C52" s="268"/>
      <c r="D52" s="268"/>
      <c r="E52" s="268"/>
      <c r="F52" s="268"/>
      <c r="G52" s="268"/>
      <c r="H52" s="268"/>
      <c r="I52" s="269"/>
    </row>
    <row r="53" spans="1:9" ht="13.5" x14ac:dyDescent="0.2">
      <c r="A53" s="270"/>
      <c r="B53" s="271"/>
      <c r="C53" s="271"/>
      <c r="D53" s="271"/>
      <c r="E53" s="271"/>
      <c r="F53" s="271"/>
      <c r="G53" s="271"/>
      <c r="H53" s="271"/>
      <c r="I53" s="272"/>
    </row>
    <row r="54" spans="1:9" ht="13.5" x14ac:dyDescent="0.25">
      <c r="A54" s="243"/>
      <c r="B54" s="244"/>
      <c r="C54" s="244"/>
      <c r="D54" s="244"/>
      <c r="E54" s="244"/>
      <c r="F54" s="244"/>
      <c r="G54" s="244"/>
      <c r="H54" s="244"/>
      <c r="I54" s="245"/>
    </row>
    <row r="55" spans="1:9" ht="13.5" x14ac:dyDescent="0.25">
      <c r="A55" s="243"/>
      <c r="B55" s="244"/>
      <c r="C55" s="244"/>
      <c r="D55" s="244"/>
      <c r="E55" s="244"/>
      <c r="F55" s="244"/>
      <c r="G55" s="244"/>
      <c r="H55" s="244"/>
      <c r="I55" s="245"/>
    </row>
    <row r="56" spans="1:9" ht="15" x14ac:dyDescent="0.25">
      <c r="A56" s="273"/>
      <c r="B56" s="273"/>
      <c r="C56" s="273"/>
      <c r="D56" s="273"/>
      <c r="E56" s="273"/>
      <c r="F56" s="273"/>
      <c r="G56" s="273"/>
      <c r="H56" s="273"/>
      <c r="I56" s="273"/>
    </row>
    <row r="57" spans="1:9" ht="18" customHeight="1" x14ac:dyDescent="0.25">
      <c r="A57" s="198"/>
      <c r="B57" s="198"/>
      <c r="C57" s="198"/>
      <c r="D57" s="198"/>
      <c r="E57" s="198"/>
      <c r="F57" s="198"/>
      <c r="G57" s="198"/>
      <c r="H57" s="198"/>
      <c r="I57" s="198"/>
    </row>
    <row r="58" spans="1:9" ht="15" x14ac:dyDescent="0.25">
      <c r="A58" s="198"/>
      <c r="B58" s="198"/>
      <c r="C58" s="198"/>
      <c r="D58" s="198"/>
      <c r="E58" s="198"/>
      <c r="F58" s="198"/>
      <c r="G58" s="198"/>
      <c r="H58" s="198"/>
      <c r="I58" s="198"/>
    </row>
    <row r="59" spans="1:9" ht="14.25" thickBot="1" x14ac:dyDescent="0.3">
      <c r="A59" s="260"/>
      <c r="B59" s="261"/>
      <c r="C59" s="261"/>
      <c r="D59" s="261"/>
      <c r="E59" s="261"/>
      <c r="F59" s="261"/>
      <c r="G59" s="261"/>
      <c r="H59" s="261"/>
      <c r="I59" s="262"/>
    </row>
    <row r="60" spans="1:9" x14ac:dyDescent="0.2">
      <c r="A60" s="263" t="s">
        <v>160</v>
      </c>
      <c r="B60" s="264"/>
      <c r="C60" s="264"/>
      <c r="D60" s="264"/>
      <c r="E60" s="264"/>
      <c r="F60" s="264"/>
      <c r="G60" s="264"/>
      <c r="H60" s="264"/>
      <c r="I60" s="264"/>
    </row>
    <row r="61" spans="1:9" ht="13.5" x14ac:dyDescent="0.25">
      <c r="A61" s="265"/>
      <c r="B61" s="266"/>
      <c r="C61" s="266"/>
      <c r="D61" s="266"/>
      <c r="E61" s="266"/>
      <c r="F61" s="266"/>
      <c r="G61" s="266"/>
      <c r="H61" s="266"/>
      <c r="I61" s="266"/>
    </row>
    <row r="62" spans="1:9" ht="13.5" x14ac:dyDescent="0.25">
      <c r="A62" s="265"/>
      <c r="B62" s="266"/>
      <c r="C62" s="266"/>
      <c r="D62" s="266"/>
      <c r="E62" s="266"/>
      <c r="F62" s="266"/>
      <c r="G62" s="266"/>
      <c r="H62" s="266"/>
      <c r="I62" s="266"/>
    </row>
  </sheetData>
  <mergeCells count="45">
    <mergeCell ref="A59:I59"/>
    <mergeCell ref="A60:I60"/>
    <mergeCell ref="A61:I61"/>
    <mergeCell ref="A62:I62"/>
    <mergeCell ref="A51:I51"/>
    <mergeCell ref="A52:I52"/>
    <mergeCell ref="A53:I53"/>
    <mergeCell ref="A54:I54"/>
    <mergeCell ref="A55:I55"/>
    <mergeCell ref="A56:I56"/>
    <mergeCell ref="A50:I50"/>
    <mergeCell ref="A45:C45"/>
    <mergeCell ref="F45:G45"/>
    <mergeCell ref="H45:I45"/>
    <mergeCell ref="A46:C46"/>
    <mergeCell ref="F46:G46"/>
    <mergeCell ref="H46:I46"/>
    <mergeCell ref="A47:C47"/>
    <mergeCell ref="F47:G47"/>
    <mergeCell ref="H47:I47"/>
    <mergeCell ref="A48:I48"/>
    <mergeCell ref="A49:I49"/>
    <mergeCell ref="A43:C43"/>
    <mergeCell ref="F43:G43"/>
    <mergeCell ref="H43:I43"/>
    <mergeCell ref="A44:C44"/>
    <mergeCell ref="F44:G44"/>
    <mergeCell ref="H44:I44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BB912-19A6-4418-8842-7AB0B3C4B007}">
  <dimension ref="A1:Q84"/>
  <sheetViews>
    <sheetView topLeftCell="A3" workbookViewId="0">
      <selection activeCell="H46" sqref="H46"/>
    </sheetView>
  </sheetViews>
  <sheetFormatPr baseColWidth="10" defaultColWidth="8.42578125" defaultRowHeight="12.75" x14ac:dyDescent="0.2"/>
  <cols>
    <col min="1" max="1" width="10" style="17" bestFit="1" customWidth="1"/>
    <col min="2" max="2" width="44.140625" style="17" bestFit="1" customWidth="1"/>
    <col min="3" max="3" width="10.42578125" style="17" bestFit="1" customWidth="1"/>
    <col min="4" max="4" width="10.42578125" style="17" customWidth="1"/>
    <col min="5" max="5" width="9.85546875" style="17" bestFit="1" customWidth="1"/>
    <col min="6" max="6" width="9.5703125" style="17" bestFit="1" customWidth="1"/>
    <col min="7" max="7" width="9.5703125" style="96" bestFit="1" customWidth="1"/>
    <col min="8" max="8" width="10.42578125" style="97" bestFit="1" customWidth="1"/>
    <col min="9" max="9" width="4.5703125" style="97" customWidth="1"/>
    <col min="10" max="10" width="1.85546875" style="16" customWidth="1"/>
    <col min="11" max="11" width="7" style="17" bestFit="1" customWidth="1"/>
    <col min="12" max="12" width="6.140625" style="17" customWidth="1"/>
    <col min="13" max="13" width="20.42578125" style="17" customWidth="1"/>
    <col min="14" max="14" width="6.42578125" style="17" bestFit="1" customWidth="1"/>
    <col min="15" max="16" width="8.42578125" style="17"/>
    <col min="17" max="17" width="3.140625" style="17" customWidth="1"/>
    <col min="18" max="256" width="8.42578125" style="17"/>
    <col min="257" max="257" width="10" style="17" bestFit="1" customWidth="1"/>
    <col min="258" max="258" width="44.140625" style="17" bestFit="1" customWidth="1"/>
    <col min="259" max="259" width="10.42578125" style="17" bestFit="1" customWidth="1"/>
    <col min="260" max="260" width="10.42578125" style="17" customWidth="1"/>
    <col min="261" max="261" width="9.85546875" style="17" bestFit="1" customWidth="1"/>
    <col min="262" max="263" width="9.5703125" style="17" bestFit="1" customWidth="1"/>
    <col min="264" max="264" width="10.42578125" style="17" bestFit="1" customWidth="1"/>
    <col min="265" max="265" width="4.5703125" style="17" customWidth="1"/>
    <col min="266" max="266" width="1.85546875" style="17" customWidth="1"/>
    <col min="267" max="267" width="7" style="17" bestFit="1" customWidth="1"/>
    <col min="268" max="268" width="6.140625" style="17" customWidth="1"/>
    <col min="269" max="269" width="20.42578125" style="17" customWidth="1"/>
    <col min="270" max="270" width="6.42578125" style="17" bestFit="1" customWidth="1"/>
    <col min="271" max="272" width="8.42578125" style="17"/>
    <col min="273" max="273" width="3.140625" style="17" customWidth="1"/>
    <col min="274" max="512" width="8.42578125" style="17"/>
    <col min="513" max="513" width="10" style="17" bestFit="1" customWidth="1"/>
    <col min="514" max="514" width="44.140625" style="17" bestFit="1" customWidth="1"/>
    <col min="515" max="515" width="10.42578125" style="17" bestFit="1" customWidth="1"/>
    <col min="516" max="516" width="10.42578125" style="17" customWidth="1"/>
    <col min="517" max="517" width="9.85546875" style="17" bestFit="1" customWidth="1"/>
    <col min="518" max="519" width="9.5703125" style="17" bestFit="1" customWidth="1"/>
    <col min="520" max="520" width="10.42578125" style="17" bestFit="1" customWidth="1"/>
    <col min="521" max="521" width="4.5703125" style="17" customWidth="1"/>
    <col min="522" max="522" width="1.85546875" style="17" customWidth="1"/>
    <col min="523" max="523" width="7" style="17" bestFit="1" customWidth="1"/>
    <col min="524" max="524" width="6.140625" style="17" customWidth="1"/>
    <col min="525" max="525" width="20.42578125" style="17" customWidth="1"/>
    <col min="526" max="526" width="6.42578125" style="17" bestFit="1" customWidth="1"/>
    <col min="527" max="528" width="8.42578125" style="17"/>
    <col min="529" max="529" width="3.140625" style="17" customWidth="1"/>
    <col min="530" max="768" width="8.42578125" style="17"/>
    <col min="769" max="769" width="10" style="17" bestFit="1" customWidth="1"/>
    <col min="770" max="770" width="44.140625" style="17" bestFit="1" customWidth="1"/>
    <col min="771" max="771" width="10.42578125" style="17" bestFit="1" customWidth="1"/>
    <col min="772" max="772" width="10.42578125" style="17" customWidth="1"/>
    <col min="773" max="773" width="9.85546875" style="17" bestFit="1" customWidth="1"/>
    <col min="774" max="775" width="9.5703125" style="17" bestFit="1" customWidth="1"/>
    <col min="776" max="776" width="10.42578125" style="17" bestFit="1" customWidth="1"/>
    <col min="777" max="777" width="4.5703125" style="17" customWidth="1"/>
    <col min="778" max="778" width="1.85546875" style="17" customWidth="1"/>
    <col min="779" max="779" width="7" style="17" bestFit="1" customWidth="1"/>
    <col min="780" max="780" width="6.140625" style="17" customWidth="1"/>
    <col min="781" max="781" width="20.42578125" style="17" customWidth="1"/>
    <col min="782" max="782" width="6.42578125" style="17" bestFit="1" customWidth="1"/>
    <col min="783" max="784" width="8.42578125" style="17"/>
    <col min="785" max="785" width="3.140625" style="17" customWidth="1"/>
    <col min="786" max="1024" width="8.42578125" style="17"/>
    <col min="1025" max="1025" width="10" style="17" bestFit="1" customWidth="1"/>
    <col min="1026" max="1026" width="44.140625" style="17" bestFit="1" customWidth="1"/>
    <col min="1027" max="1027" width="10.42578125" style="17" bestFit="1" customWidth="1"/>
    <col min="1028" max="1028" width="10.42578125" style="17" customWidth="1"/>
    <col min="1029" max="1029" width="9.85546875" style="17" bestFit="1" customWidth="1"/>
    <col min="1030" max="1031" width="9.5703125" style="17" bestFit="1" customWidth="1"/>
    <col min="1032" max="1032" width="10.42578125" style="17" bestFit="1" customWidth="1"/>
    <col min="1033" max="1033" width="4.5703125" style="17" customWidth="1"/>
    <col min="1034" max="1034" width="1.85546875" style="17" customWidth="1"/>
    <col min="1035" max="1035" width="7" style="17" bestFit="1" customWidth="1"/>
    <col min="1036" max="1036" width="6.140625" style="17" customWidth="1"/>
    <col min="1037" max="1037" width="20.42578125" style="17" customWidth="1"/>
    <col min="1038" max="1038" width="6.42578125" style="17" bestFit="1" customWidth="1"/>
    <col min="1039" max="1040" width="8.42578125" style="17"/>
    <col min="1041" max="1041" width="3.140625" style="17" customWidth="1"/>
    <col min="1042" max="1280" width="8.42578125" style="17"/>
    <col min="1281" max="1281" width="10" style="17" bestFit="1" customWidth="1"/>
    <col min="1282" max="1282" width="44.140625" style="17" bestFit="1" customWidth="1"/>
    <col min="1283" max="1283" width="10.42578125" style="17" bestFit="1" customWidth="1"/>
    <col min="1284" max="1284" width="10.42578125" style="17" customWidth="1"/>
    <col min="1285" max="1285" width="9.85546875" style="17" bestFit="1" customWidth="1"/>
    <col min="1286" max="1287" width="9.5703125" style="17" bestFit="1" customWidth="1"/>
    <col min="1288" max="1288" width="10.42578125" style="17" bestFit="1" customWidth="1"/>
    <col min="1289" max="1289" width="4.5703125" style="17" customWidth="1"/>
    <col min="1290" max="1290" width="1.85546875" style="17" customWidth="1"/>
    <col min="1291" max="1291" width="7" style="17" bestFit="1" customWidth="1"/>
    <col min="1292" max="1292" width="6.140625" style="17" customWidth="1"/>
    <col min="1293" max="1293" width="20.42578125" style="17" customWidth="1"/>
    <col min="1294" max="1294" width="6.42578125" style="17" bestFit="1" customWidth="1"/>
    <col min="1295" max="1296" width="8.42578125" style="17"/>
    <col min="1297" max="1297" width="3.140625" style="17" customWidth="1"/>
    <col min="1298" max="1536" width="8.42578125" style="17"/>
    <col min="1537" max="1537" width="10" style="17" bestFit="1" customWidth="1"/>
    <col min="1538" max="1538" width="44.140625" style="17" bestFit="1" customWidth="1"/>
    <col min="1539" max="1539" width="10.42578125" style="17" bestFit="1" customWidth="1"/>
    <col min="1540" max="1540" width="10.42578125" style="17" customWidth="1"/>
    <col min="1541" max="1541" width="9.85546875" style="17" bestFit="1" customWidth="1"/>
    <col min="1542" max="1543" width="9.5703125" style="17" bestFit="1" customWidth="1"/>
    <col min="1544" max="1544" width="10.42578125" style="17" bestFit="1" customWidth="1"/>
    <col min="1545" max="1545" width="4.5703125" style="17" customWidth="1"/>
    <col min="1546" max="1546" width="1.85546875" style="17" customWidth="1"/>
    <col min="1547" max="1547" width="7" style="17" bestFit="1" customWidth="1"/>
    <col min="1548" max="1548" width="6.140625" style="17" customWidth="1"/>
    <col min="1549" max="1549" width="20.42578125" style="17" customWidth="1"/>
    <col min="1550" max="1550" width="6.42578125" style="17" bestFit="1" customWidth="1"/>
    <col min="1551" max="1552" width="8.42578125" style="17"/>
    <col min="1553" max="1553" width="3.140625" style="17" customWidth="1"/>
    <col min="1554" max="1792" width="8.42578125" style="17"/>
    <col min="1793" max="1793" width="10" style="17" bestFit="1" customWidth="1"/>
    <col min="1794" max="1794" width="44.140625" style="17" bestFit="1" customWidth="1"/>
    <col min="1795" max="1795" width="10.42578125" style="17" bestFit="1" customWidth="1"/>
    <col min="1796" max="1796" width="10.42578125" style="17" customWidth="1"/>
    <col min="1797" max="1797" width="9.85546875" style="17" bestFit="1" customWidth="1"/>
    <col min="1798" max="1799" width="9.5703125" style="17" bestFit="1" customWidth="1"/>
    <col min="1800" max="1800" width="10.42578125" style="17" bestFit="1" customWidth="1"/>
    <col min="1801" max="1801" width="4.5703125" style="17" customWidth="1"/>
    <col min="1802" max="1802" width="1.85546875" style="17" customWidth="1"/>
    <col min="1803" max="1803" width="7" style="17" bestFit="1" customWidth="1"/>
    <col min="1804" max="1804" width="6.140625" style="17" customWidth="1"/>
    <col min="1805" max="1805" width="20.42578125" style="17" customWidth="1"/>
    <col min="1806" max="1806" width="6.42578125" style="17" bestFit="1" customWidth="1"/>
    <col min="1807" max="1808" width="8.42578125" style="17"/>
    <col min="1809" max="1809" width="3.140625" style="17" customWidth="1"/>
    <col min="1810" max="2048" width="8.42578125" style="17"/>
    <col min="2049" max="2049" width="10" style="17" bestFit="1" customWidth="1"/>
    <col min="2050" max="2050" width="44.140625" style="17" bestFit="1" customWidth="1"/>
    <col min="2051" max="2051" width="10.42578125" style="17" bestFit="1" customWidth="1"/>
    <col min="2052" max="2052" width="10.42578125" style="17" customWidth="1"/>
    <col min="2053" max="2053" width="9.85546875" style="17" bestFit="1" customWidth="1"/>
    <col min="2054" max="2055" width="9.5703125" style="17" bestFit="1" customWidth="1"/>
    <col min="2056" max="2056" width="10.42578125" style="17" bestFit="1" customWidth="1"/>
    <col min="2057" max="2057" width="4.5703125" style="17" customWidth="1"/>
    <col min="2058" max="2058" width="1.85546875" style="17" customWidth="1"/>
    <col min="2059" max="2059" width="7" style="17" bestFit="1" customWidth="1"/>
    <col min="2060" max="2060" width="6.140625" style="17" customWidth="1"/>
    <col min="2061" max="2061" width="20.42578125" style="17" customWidth="1"/>
    <col min="2062" max="2062" width="6.42578125" style="17" bestFit="1" customWidth="1"/>
    <col min="2063" max="2064" width="8.42578125" style="17"/>
    <col min="2065" max="2065" width="3.140625" style="17" customWidth="1"/>
    <col min="2066" max="2304" width="8.42578125" style="17"/>
    <col min="2305" max="2305" width="10" style="17" bestFit="1" customWidth="1"/>
    <col min="2306" max="2306" width="44.140625" style="17" bestFit="1" customWidth="1"/>
    <col min="2307" max="2307" width="10.42578125" style="17" bestFit="1" customWidth="1"/>
    <col min="2308" max="2308" width="10.42578125" style="17" customWidth="1"/>
    <col min="2309" max="2309" width="9.85546875" style="17" bestFit="1" customWidth="1"/>
    <col min="2310" max="2311" width="9.5703125" style="17" bestFit="1" customWidth="1"/>
    <col min="2312" max="2312" width="10.42578125" style="17" bestFit="1" customWidth="1"/>
    <col min="2313" max="2313" width="4.5703125" style="17" customWidth="1"/>
    <col min="2314" max="2314" width="1.85546875" style="17" customWidth="1"/>
    <col min="2315" max="2315" width="7" style="17" bestFit="1" customWidth="1"/>
    <col min="2316" max="2316" width="6.140625" style="17" customWidth="1"/>
    <col min="2317" max="2317" width="20.42578125" style="17" customWidth="1"/>
    <col min="2318" max="2318" width="6.42578125" style="17" bestFit="1" customWidth="1"/>
    <col min="2319" max="2320" width="8.42578125" style="17"/>
    <col min="2321" max="2321" width="3.140625" style="17" customWidth="1"/>
    <col min="2322" max="2560" width="8.42578125" style="17"/>
    <col min="2561" max="2561" width="10" style="17" bestFit="1" customWidth="1"/>
    <col min="2562" max="2562" width="44.140625" style="17" bestFit="1" customWidth="1"/>
    <col min="2563" max="2563" width="10.42578125" style="17" bestFit="1" customWidth="1"/>
    <col min="2564" max="2564" width="10.42578125" style="17" customWidth="1"/>
    <col min="2565" max="2565" width="9.85546875" style="17" bestFit="1" customWidth="1"/>
    <col min="2566" max="2567" width="9.5703125" style="17" bestFit="1" customWidth="1"/>
    <col min="2568" max="2568" width="10.42578125" style="17" bestFit="1" customWidth="1"/>
    <col min="2569" max="2569" width="4.5703125" style="17" customWidth="1"/>
    <col min="2570" max="2570" width="1.85546875" style="17" customWidth="1"/>
    <col min="2571" max="2571" width="7" style="17" bestFit="1" customWidth="1"/>
    <col min="2572" max="2572" width="6.140625" style="17" customWidth="1"/>
    <col min="2573" max="2573" width="20.42578125" style="17" customWidth="1"/>
    <col min="2574" max="2574" width="6.42578125" style="17" bestFit="1" customWidth="1"/>
    <col min="2575" max="2576" width="8.42578125" style="17"/>
    <col min="2577" max="2577" width="3.140625" style="17" customWidth="1"/>
    <col min="2578" max="2816" width="8.42578125" style="17"/>
    <col min="2817" max="2817" width="10" style="17" bestFit="1" customWidth="1"/>
    <col min="2818" max="2818" width="44.140625" style="17" bestFit="1" customWidth="1"/>
    <col min="2819" max="2819" width="10.42578125" style="17" bestFit="1" customWidth="1"/>
    <col min="2820" max="2820" width="10.42578125" style="17" customWidth="1"/>
    <col min="2821" max="2821" width="9.85546875" style="17" bestFit="1" customWidth="1"/>
    <col min="2822" max="2823" width="9.5703125" style="17" bestFit="1" customWidth="1"/>
    <col min="2824" max="2824" width="10.42578125" style="17" bestFit="1" customWidth="1"/>
    <col min="2825" max="2825" width="4.5703125" style="17" customWidth="1"/>
    <col min="2826" max="2826" width="1.85546875" style="17" customWidth="1"/>
    <col min="2827" max="2827" width="7" style="17" bestFit="1" customWidth="1"/>
    <col min="2828" max="2828" width="6.140625" style="17" customWidth="1"/>
    <col min="2829" max="2829" width="20.42578125" style="17" customWidth="1"/>
    <col min="2830" max="2830" width="6.42578125" style="17" bestFit="1" customWidth="1"/>
    <col min="2831" max="2832" width="8.42578125" style="17"/>
    <col min="2833" max="2833" width="3.140625" style="17" customWidth="1"/>
    <col min="2834" max="3072" width="8.42578125" style="17"/>
    <col min="3073" max="3073" width="10" style="17" bestFit="1" customWidth="1"/>
    <col min="3074" max="3074" width="44.140625" style="17" bestFit="1" customWidth="1"/>
    <col min="3075" max="3075" width="10.42578125" style="17" bestFit="1" customWidth="1"/>
    <col min="3076" max="3076" width="10.42578125" style="17" customWidth="1"/>
    <col min="3077" max="3077" width="9.85546875" style="17" bestFit="1" customWidth="1"/>
    <col min="3078" max="3079" width="9.5703125" style="17" bestFit="1" customWidth="1"/>
    <col min="3080" max="3080" width="10.42578125" style="17" bestFit="1" customWidth="1"/>
    <col min="3081" max="3081" width="4.5703125" style="17" customWidth="1"/>
    <col min="3082" max="3082" width="1.85546875" style="17" customWidth="1"/>
    <col min="3083" max="3083" width="7" style="17" bestFit="1" customWidth="1"/>
    <col min="3084" max="3084" width="6.140625" style="17" customWidth="1"/>
    <col min="3085" max="3085" width="20.42578125" style="17" customWidth="1"/>
    <col min="3086" max="3086" width="6.42578125" style="17" bestFit="1" customWidth="1"/>
    <col min="3087" max="3088" width="8.42578125" style="17"/>
    <col min="3089" max="3089" width="3.140625" style="17" customWidth="1"/>
    <col min="3090" max="3328" width="8.42578125" style="17"/>
    <col min="3329" max="3329" width="10" style="17" bestFit="1" customWidth="1"/>
    <col min="3330" max="3330" width="44.140625" style="17" bestFit="1" customWidth="1"/>
    <col min="3331" max="3331" width="10.42578125" style="17" bestFit="1" customWidth="1"/>
    <col min="3332" max="3332" width="10.42578125" style="17" customWidth="1"/>
    <col min="3333" max="3333" width="9.85546875" style="17" bestFit="1" customWidth="1"/>
    <col min="3334" max="3335" width="9.5703125" style="17" bestFit="1" customWidth="1"/>
    <col min="3336" max="3336" width="10.42578125" style="17" bestFit="1" customWidth="1"/>
    <col min="3337" max="3337" width="4.5703125" style="17" customWidth="1"/>
    <col min="3338" max="3338" width="1.85546875" style="17" customWidth="1"/>
    <col min="3339" max="3339" width="7" style="17" bestFit="1" customWidth="1"/>
    <col min="3340" max="3340" width="6.140625" style="17" customWidth="1"/>
    <col min="3341" max="3341" width="20.42578125" style="17" customWidth="1"/>
    <col min="3342" max="3342" width="6.42578125" style="17" bestFit="1" customWidth="1"/>
    <col min="3343" max="3344" width="8.42578125" style="17"/>
    <col min="3345" max="3345" width="3.140625" style="17" customWidth="1"/>
    <col min="3346" max="3584" width="8.42578125" style="17"/>
    <col min="3585" max="3585" width="10" style="17" bestFit="1" customWidth="1"/>
    <col min="3586" max="3586" width="44.140625" style="17" bestFit="1" customWidth="1"/>
    <col min="3587" max="3587" width="10.42578125" style="17" bestFit="1" customWidth="1"/>
    <col min="3588" max="3588" width="10.42578125" style="17" customWidth="1"/>
    <col min="3589" max="3589" width="9.85546875" style="17" bestFit="1" customWidth="1"/>
    <col min="3590" max="3591" width="9.5703125" style="17" bestFit="1" customWidth="1"/>
    <col min="3592" max="3592" width="10.42578125" style="17" bestFit="1" customWidth="1"/>
    <col min="3593" max="3593" width="4.5703125" style="17" customWidth="1"/>
    <col min="3594" max="3594" width="1.85546875" style="17" customWidth="1"/>
    <col min="3595" max="3595" width="7" style="17" bestFit="1" customWidth="1"/>
    <col min="3596" max="3596" width="6.140625" style="17" customWidth="1"/>
    <col min="3597" max="3597" width="20.42578125" style="17" customWidth="1"/>
    <col min="3598" max="3598" width="6.42578125" style="17" bestFit="1" customWidth="1"/>
    <col min="3599" max="3600" width="8.42578125" style="17"/>
    <col min="3601" max="3601" width="3.140625" style="17" customWidth="1"/>
    <col min="3602" max="3840" width="8.42578125" style="17"/>
    <col min="3841" max="3841" width="10" style="17" bestFit="1" customWidth="1"/>
    <col min="3842" max="3842" width="44.140625" style="17" bestFit="1" customWidth="1"/>
    <col min="3843" max="3843" width="10.42578125" style="17" bestFit="1" customWidth="1"/>
    <col min="3844" max="3844" width="10.42578125" style="17" customWidth="1"/>
    <col min="3845" max="3845" width="9.85546875" style="17" bestFit="1" customWidth="1"/>
    <col min="3846" max="3847" width="9.5703125" style="17" bestFit="1" customWidth="1"/>
    <col min="3848" max="3848" width="10.42578125" style="17" bestFit="1" customWidth="1"/>
    <col min="3849" max="3849" width="4.5703125" style="17" customWidth="1"/>
    <col min="3850" max="3850" width="1.85546875" style="17" customWidth="1"/>
    <col min="3851" max="3851" width="7" style="17" bestFit="1" customWidth="1"/>
    <col min="3852" max="3852" width="6.140625" style="17" customWidth="1"/>
    <col min="3853" max="3853" width="20.42578125" style="17" customWidth="1"/>
    <col min="3854" max="3854" width="6.42578125" style="17" bestFit="1" customWidth="1"/>
    <col min="3855" max="3856" width="8.42578125" style="17"/>
    <col min="3857" max="3857" width="3.140625" style="17" customWidth="1"/>
    <col min="3858" max="4096" width="8.42578125" style="17"/>
    <col min="4097" max="4097" width="10" style="17" bestFit="1" customWidth="1"/>
    <col min="4098" max="4098" width="44.140625" style="17" bestFit="1" customWidth="1"/>
    <col min="4099" max="4099" width="10.42578125" style="17" bestFit="1" customWidth="1"/>
    <col min="4100" max="4100" width="10.42578125" style="17" customWidth="1"/>
    <col min="4101" max="4101" width="9.85546875" style="17" bestFit="1" customWidth="1"/>
    <col min="4102" max="4103" width="9.5703125" style="17" bestFit="1" customWidth="1"/>
    <col min="4104" max="4104" width="10.42578125" style="17" bestFit="1" customWidth="1"/>
    <col min="4105" max="4105" width="4.5703125" style="17" customWidth="1"/>
    <col min="4106" max="4106" width="1.85546875" style="17" customWidth="1"/>
    <col min="4107" max="4107" width="7" style="17" bestFit="1" customWidth="1"/>
    <col min="4108" max="4108" width="6.140625" style="17" customWidth="1"/>
    <col min="4109" max="4109" width="20.42578125" style="17" customWidth="1"/>
    <col min="4110" max="4110" width="6.42578125" style="17" bestFit="1" customWidth="1"/>
    <col min="4111" max="4112" width="8.42578125" style="17"/>
    <col min="4113" max="4113" width="3.140625" style="17" customWidth="1"/>
    <col min="4114" max="4352" width="8.42578125" style="17"/>
    <col min="4353" max="4353" width="10" style="17" bestFit="1" customWidth="1"/>
    <col min="4354" max="4354" width="44.140625" style="17" bestFit="1" customWidth="1"/>
    <col min="4355" max="4355" width="10.42578125" style="17" bestFit="1" customWidth="1"/>
    <col min="4356" max="4356" width="10.42578125" style="17" customWidth="1"/>
    <col min="4357" max="4357" width="9.85546875" style="17" bestFit="1" customWidth="1"/>
    <col min="4358" max="4359" width="9.5703125" style="17" bestFit="1" customWidth="1"/>
    <col min="4360" max="4360" width="10.42578125" style="17" bestFit="1" customWidth="1"/>
    <col min="4361" max="4361" width="4.5703125" style="17" customWidth="1"/>
    <col min="4362" max="4362" width="1.85546875" style="17" customWidth="1"/>
    <col min="4363" max="4363" width="7" style="17" bestFit="1" customWidth="1"/>
    <col min="4364" max="4364" width="6.140625" style="17" customWidth="1"/>
    <col min="4365" max="4365" width="20.42578125" style="17" customWidth="1"/>
    <col min="4366" max="4366" width="6.42578125" style="17" bestFit="1" customWidth="1"/>
    <col min="4367" max="4368" width="8.42578125" style="17"/>
    <col min="4369" max="4369" width="3.140625" style="17" customWidth="1"/>
    <col min="4370" max="4608" width="8.42578125" style="17"/>
    <col min="4609" max="4609" width="10" style="17" bestFit="1" customWidth="1"/>
    <col min="4610" max="4610" width="44.140625" style="17" bestFit="1" customWidth="1"/>
    <col min="4611" max="4611" width="10.42578125" style="17" bestFit="1" customWidth="1"/>
    <col min="4612" max="4612" width="10.42578125" style="17" customWidth="1"/>
    <col min="4613" max="4613" width="9.85546875" style="17" bestFit="1" customWidth="1"/>
    <col min="4614" max="4615" width="9.5703125" style="17" bestFit="1" customWidth="1"/>
    <col min="4616" max="4616" width="10.42578125" style="17" bestFit="1" customWidth="1"/>
    <col min="4617" max="4617" width="4.5703125" style="17" customWidth="1"/>
    <col min="4618" max="4618" width="1.85546875" style="17" customWidth="1"/>
    <col min="4619" max="4619" width="7" style="17" bestFit="1" customWidth="1"/>
    <col min="4620" max="4620" width="6.140625" style="17" customWidth="1"/>
    <col min="4621" max="4621" width="20.42578125" style="17" customWidth="1"/>
    <col min="4622" max="4622" width="6.42578125" style="17" bestFit="1" customWidth="1"/>
    <col min="4623" max="4624" width="8.42578125" style="17"/>
    <col min="4625" max="4625" width="3.140625" style="17" customWidth="1"/>
    <col min="4626" max="4864" width="8.42578125" style="17"/>
    <col min="4865" max="4865" width="10" style="17" bestFit="1" customWidth="1"/>
    <col min="4866" max="4866" width="44.140625" style="17" bestFit="1" customWidth="1"/>
    <col min="4867" max="4867" width="10.42578125" style="17" bestFit="1" customWidth="1"/>
    <col min="4868" max="4868" width="10.42578125" style="17" customWidth="1"/>
    <col min="4869" max="4869" width="9.85546875" style="17" bestFit="1" customWidth="1"/>
    <col min="4870" max="4871" width="9.5703125" style="17" bestFit="1" customWidth="1"/>
    <col min="4872" max="4872" width="10.42578125" style="17" bestFit="1" customWidth="1"/>
    <col min="4873" max="4873" width="4.5703125" style="17" customWidth="1"/>
    <col min="4874" max="4874" width="1.85546875" style="17" customWidth="1"/>
    <col min="4875" max="4875" width="7" style="17" bestFit="1" customWidth="1"/>
    <col min="4876" max="4876" width="6.140625" style="17" customWidth="1"/>
    <col min="4877" max="4877" width="20.42578125" style="17" customWidth="1"/>
    <col min="4878" max="4878" width="6.42578125" style="17" bestFit="1" customWidth="1"/>
    <col min="4879" max="4880" width="8.42578125" style="17"/>
    <col min="4881" max="4881" width="3.140625" style="17" customWidth="1"/>
    <col min="4882" max="5120" width="8.42578125" style="17"/>
    <col min="5121" max="5121" width="10" style="17" bestFit="1" customWidth="1"/>
    <col min="5122" max="5122" width="44.140625" style="17" bestFit="1" customWidth="1"/>
    <col min="5123" max="5123" width="10.42578125" style="17" bestFit="1" customWidth="1"/>
    <col min="5124" max="5124" width="10.42578125" style="17" customWidth="1"/>
    <col min="5125" max="5125" width="9.85546875" style="17" bestFit="1" customWidth="1"/>
    <col min="5126" max="5127" width="9.5703125" style="17" bestFit="1" customWidth="1"/>
    <col min="5128" max="5128" width="10.42578125" style="17" bestFit="1" customWidth="1"/>
    <col min="5129" max="5129" width="4.5703125" style="17" customWidth="1"/>
    <col min="5130" max="5130" width="1.85546875" style="17" customWidth="1"/>
    <col min="5131" max="5131" width="7" style="17" bestFit="1" customWidth="1"/>
    <col min="5132" max="5132" width="6.140625" style="17" customWidth="1"/>
    <col min="5133" max="5133" width="20.42578125" style="17" customWidth="1"/>
    <col min="5134" max="5134" width="6.42578125" style="17" bestFit="1" customWidth="1"/>
    <col min="5135" max="5136" width="8.42578125" style="17"/>
    <col min="5137" max="5137" width="3.140625" style="17" customWidth="1"/>
    <col min="5138" max="5376" width="8.42578125" style="17"/>
    <col min="5377" max="5377" width="10" style="17" bestFit="1" customWidth="1"/>
    <col min="5378" max="5378" width="44.140625" style="17" bestFit="1" customWidth="1"/>
    <col min="5379" max="5379" width="10.42578125" style="17" bestFit="1" customWidth="1"/>
    <col min="5380" max="5380" width="10.42578125" style="17" customWidth="1"/>
    <col min="5381" max="5381" width="9.85546875" style="17" bestFit="1" customWidth="1"/>
    <col min="5382" max="5383" width="9.5703125" style="17" bestFit="1" customWidth="1"/>
    <col min="5384" max="5384" width="10.42578125" style="17" bestFit="1" customWidth="1"/>
    <col min="5385" max="5385" width="4.5703125" style="17" customWidth="1"/>
    <col min="5386" max="5386" width="1.85546875" style="17" customWidth="1"/>
    <col min="5387" max="5387" width="7" style="17" bestFit="1" customWidth="1"/>
    <col min="5388" max="5388" width="6.140625" style="17" customWidth="1"/>
    <col min="5389" max="5389" width="20.42578125" style="17" customWidth="1"/>
    <col min="5390" max="5390" width="6.42578125" style="17" bestFit="1" customWidth="1"/>
    <col min="5391" max="5392" width="8.42578125" style="17"/>
    <col min="5393" max="5393" width="3.140625" style="17" customWidth="1"/>
    <col min="5394" max="5632" width="8.42578125" style="17"/>
    <col min="5633" max="5633" width="10" style="17" bestFit="1" customWidth="1"/>
    <col min="5634" max="5634" width="44.140625" style="17" bestFit="1" customWidth="1"/>
    <col min="5635" max="5635" width="10.42578125" style="17" bestFit="1" customWidth="1"/>
    <col min="5636" max="5636" width="10.42578125" style="17" customWidth="1"/>
    <col min="5637" max="5637" width="9.85546875" style="17" bestFit="1" customWidth="1"/>
    <col min="5638" max="5639" width="9.5703125" style="17" bestFit="1" customWidth="1"/>
    <col min="5640" max="5640" width="10.42578125" style="17" bestFit="1" customWidth="1"/>
    <col min="5641" max="5641" width="4.5703125" style="17" customWidth="1"/>
    <col min="5642" max="5642" width="1.85546875" style="17" customWidth="1"/>
    <col min="5643" max="5643" width="7" style="17" bestFit="1" customWidth="1"/>
    <col min="5644" max="5644" width="6.140625" style="17" customWidth="1"/>
    <col min="5645" max="5645" width="20.42578125" style="17" customWidth="1"/>
    <col min="5646" max="5646" width="6.42578125" style="17" bestFit="1" customWidth="1"/>
    <col min="5647" max="5648" width="8.42578125" style="17"/>
    <col min="5649" max="5649" width="3.140625" style="17" customWidth="1"/>
    <col min="5650" max="5888" width="8.42578125" style="17"/>
    <col min="5889" max="5889" width="10" style="17" bestFit="1" customWidth="1"/>
    <col min="5890" max="5890" width="44.140625" style="17" bestFit="1" customWidth="1"/>
    <col min="5891" max="5891" width="10.42578125" style="17" bestFit="1" customWidth="1"/>
    <col min="5892" max="5892" width="10.42578125" style="17" customWidth="1"/>
    <col min="5893" max="5893" width="9.85546875" style="17" bestFit="1" customWidth="1"/>
    <col min="5894" max="5895" width="9.5703125" style="17" bestFit="1" customWidth="1"/>
    <col min="5896" max="5896" width="10.42578125" style="17" bestFit="1" customWidth="1"/>
    <col min="5897" max="5897" width="4.5703125" style="17" customWidth="1"/>
    <col min="5898" max="5898" width="1.85546875" style="17" customWidth="1"/>
    <col min="5899" max="5899" width="7" style="17" bestFit="1" customWidth="1"/>
    <col min="5900" max="5900" width="6.140625" style="17" customWidth="1"/>
    <col min="5901" max="5901" width="20.42578125" style="17" customWidth="1"/>
    <col min="5902" max="5902" width="6.42578125" style="17" bestFit="1" customWidth="1"/>
    <col min="5903" max="5904" width="8.42578125" style="17"/>
    <col min="5905" max="5905" width="3.140625" style="17" customWidth="1"/>
    <col min="5906" max="6144" width="8.42578125" style="17"/>
    <col min="6145" max="6145" width="10" style="17" bestFit="1" customWidth="1"/>
    <col min="6146" max="6146" width="44.140625" style="17" bestFit="1" customWidth="1"/>
    <col min="6147" max="6147" width="10.42578125" style="17" bestFit="1" customWidth="1"/>
    <col min="6148" max="6148" width="10.42578125" style="17" customWidth="1"/>
    <col min="6149" max="6149" width="9.85546875" style="17" bestFit="1" customWidth="1"/>
    <col min="6150" max="6151" width="9.5703125" style="17" bestFit="1" customWidth="1"/>
    <col min="6152" max="6152" width="10.42578125" style="17" bestFit="1" customWidth="1"/>
    <col min="6153" max="6153" width="4.5703125" style="17" customWidth="1"/>
    <col min="6154" max="6154" width="1.85546875" style="17" customWidth="1"/>
    <col min="6155" max="6155" width="7" style="17" bestFit="1" customWidth="1"/>
    <col min="6156" max="6156" width="6.140625" style="17" customWidth="1"/>
    <col min="6157" max="6157" width="20.42578125" style="17" customWidth="1"/>
    <col min="6158" max="6158" width="6.42578125" style="17" bestFit="1" customWidth="1"/>
    <col min="6159" max="6160" width="8.42578125" style="17"/>
    <col min="6161" max="6161" width="3.140625" style="17" customWidth="1"/>
    <col min="6162" max="6400" width="8.42578125" style="17"/>
    <col min="6401" max="6401" width="10" style="17" bestFit="1" customWidth="1"/>
    <col min="6402" max="6402" width="44.140625" style="17" bestFit="1" customWidth="1"/>
    <col min="6403" max="6403" width="10.42578125" style="17" bestFit="1" customWidth="1"/>
    <col min="6404" max="6404" width="10.42578125" style="17" customWidth="1"/>
    <col min="6405" max="6405" width="9.85546875" style="17" bestFit="1" customWidth="1"/>
    <col min="6406" max="6407" width="9.5703125" style="17" bestFit="1" customWidth="1"/>
    <col min="6408" max="6408" width="10.42578125" style="17" bestFit="1" customWidth="1"/>
    <col min="6409" max="6409" width="4.5703125" style="17" customWidth="1"/>
    <col min="6410" max="6410" width="1.85546875" style="17" customWidth="1"/>
    <col min="6411" max="6411" width="7" style="17" bestFit="1" customWidth="1"/>
    <col min="6412" max="6412" width="6.140625" style="17" customWidth="1"/>
    <col min="6413" max="6413" width="20.42578125" style="17" customWidth="1"/>
    <col min="6414" max="6414" width="6.42578125" style="17" bestFit="1" customWidth="1"/>
    <col min="6415" max="6416" width="8.42578125" style="17"/>
    <col min="6417" max="6417" width="3.140625" style="17" customWidth="1"/>
    <col min="6418" max="6656" width="8.42578125" style="17"/>
    <col min="6657" max="6657" width="10" style="17" bestFit="1" customWidth="1"/>
    <col min="6658" max="6658" width="44.140625" style="17" bestFit="1" customWidth="1"/>
    <col min="6659" max="6659" width="10.42578125" style="17" bestFit="1" customWidth="1"/>
    <col min="6660" max="6660" width="10.42578125" style="17" customWidth="1"/>
    <col min="6661" max="6661" width="9.85546875" style="17" bestFit="1" customWidth="1"/>
    <col min="6662" max="6663" width="9.5703125" style="17" bestFit="1" customWidth="1"/>
    <col min="6664" max="6664" width="10.42578125" style="17" bestFit="1" customWidth="1"/>
    <col min="6665" max="6665" width="4.5703125" style="17" customWidth="1"/>
    <col min="6666" max="6666" width="1.85546875" style="17" customWidth="1"/>
    <col min="6667" max="6667" width="7" style="17" bestFit="1" customWidth="1"/>
    <col min="6668" max="6668" width="6.140625" style="17" customWidth="1"/>
    <col min="6669" max="6669" width="20.42578125" style="17" customWidth="1"/>
    <col min="6670" max="6670" width="6.42578125" style="17" bestFit="1" customWidth="1"/>
    <col min="6671" max="6672" width="8.42578125" style="17"/>
    <col min="6673" max="6673" width="3.140625" style="17" customWidth="1"/>
    <col min="6674" max="6912" width="8.42578125" style="17"/>
    <col min="6913" max="6913" width="10" style="17" bestFit="1" customWidth="1"/>
    <col min="6914" max="6914" width="44.140625" style="17" bestFit="1" customWidth="1"/>
    <col min="6915" max="6915" width="10.42578125" style="17" bestFit="1" customWidth="1"/>
    <col min="6916" max="6916" width="10.42578125" style="17" customWidth="1"/>
    <col min="6917" max="6917" width="9.85546875" style="17" bestFit="1" customWidth="1"/>
    <col min="6918" max="6919" width="9.5703125" style="17" bestFit="1" customWidth="1"/>
    <col min="6920" max="6920" width="10.42578125" style="17" bestFit="1" customWidth="1"/>
    <col min="6921" max="6921" width="4.5703125" style="17" customWidth="1"/>
    <col min="6922" max="6922" width="1.85546875" style="17" customWidth="1"/>
    <col min="6923" max="6923" width="7" style="17" bestFit="1" customWidth="1"/>
    <col min="6924" max="6924" width="6.140625" style="17" customWidth="1"/>
    <col min="6925" max="6925" width="20.42578125" style="17" customWidth="1"/>
    <col min="6926" max="6926" width="6.42578125" style="17" bestFit="1" customWidth="1"/>
    <col min="6927" max="6928" width="8.42578125" style="17"/>
    <col min="6929" max="6929" width="3.140625" style="17" customWidth="1"/>
    <col min="6930" max="7168" width="8.42578125" style="17"/>
    <col min="7169" max="7169" width="10" style="17" bestFit="1" customWidth="1"/>
    <col min="7170" max="7170" width="44.140625" style="17" bestFit="1" customWidth="1"/>
    <col min="7171" max="7171" width="10.42578125" style="17" bestFit="1" customWidth="1"/>
    <col min="7172" max="7172" width="10.42578125" style="17" customWidth="1"/>
    <col min="7173" max="7173" width="9.85546875" style="17" bestFit="1" customWidth="1"/>
    <col min="7174" max="7175" width="9.5703125" style="17" bestFit="1" customWidth="1"/>
    <col min="7176" max="7176" width="10.42578125" style="17" bestFit="1" customWidth="1"/>
    <col min="7177" max="7177" width="4.5703125" style="17" customWidth="1"/>
    <col min="7178" max="7178" width="1.85546875" style="17" customWidth="1"/>
    <col min="7179" max="7179" width="7" style="17" bestFit="1" customWidth="1"/>
    <col min="7180" max="7180" width="6.140625" style="17" customWidth="1"/>
    <col min="7181" max="7181" width="20.42578125" style="17" customWidth="1"/>
    <col min="7182" max="7182" width="6.42578125" style="17" bestFit="1" customWidth="1"/>
    <col min="7183" max="7184" width="8.42578125" style="17"/>
    <col min="7185" max="7185" width="3.140625" style="17" customWidth="1"/>
    <col min="7186" max="7424" width="8.42578125" style="17"/>
    <col min="7425" max="7425" width="10" style="17" bestFit="1" customWidth="1"/>
    <col min="7426" max="7426" width="44.140625" style="17" bestFit="1" customWidth="1"/>
    <col min="7427" max="7427" width="10.42578125" style="17" bestFit="1" customWidth="1"/>
    <col min="7428" max="7428" width="10.42578125" style="17" customWidth="1"/>
    <col min="7429" max="7429" width="9.85546875" style="17" bestFit="1" customWidth="1"/>
    <col min="7430" max="7431" width="9.5703125" style="17" bestFit="1" customWidth="1"/>
    <col min="7432" max="7432" width="10.42578125" style="17" bestFit="1" customWidth="1"/>
    <col min="7433" max="7433" width="4.5703125" style="17" customWidth="1"/>
    <col min="7434" max="7434" width="1.85546875" style="17" customWidth="1"/>
    <col min="7435" max="7435" width="7" style="17" bestFit="1" customWidth="1"/>
    <col min="7436" max="7436" width="6.140625" style="17" customWidth="1"/>
    <col min="7437" max="7437" width="20.42578125" style="17" customWidth="1"/>
    <col min="7438" max="7438" width="6.42578125" style="17" bestFit="1" customWidth="1"/>
    <col min="7439" max="7440" width="8.42578125" style="17"/>
    <col min="7441" max="7441" width="3.140625" style="17" customWidth="1"/>
    <col min="7442" max="7680" width="8.42578125" style="17"/>
    <col min="7681" max="7681" width="10" style="17" bestFit="1" customWidth="1"/>
    <col min="7682" max="7682" width="44.140625" style="17" bestFit="1" customWidth="1"/>
    <col min="7683" max="7683" width="10.42578125" style="17" bestFit="1" customWidth="1"/>
    <col min="7684" max="7684" width="10.42578125" style="17" customWidth="1"/>
    <col min="7685" max="7685" width="9.85546875" style="17" bestFit="1" customWidth="1"/>
    <col min="7686" max="7687" width="9.5703125" style="17" bestFit="1" customWidth="1"/>
    <col min="7688" max="7688" width="10.42578125" style="17" bestFit="1" customWidth="1"/>
    <col min="7689" max="7689" width="4.5703125" style="17" customWidth="1"/>
    <col min="7690" max="7690" width="1.85546875" style="17" customWidth="1"/>
    <col min="7691" max="7691" width="7" style="17" bestFit="1" customWidth="1"/>
    <col min="7692" max="7692" width="6.140625" style="17" customWidth="1"/>
    <col min="7693" max="7693" width="20.42578125" style="17" customWidth="1"/>
    <col min="7694" max="7694" width="6.42578125" style="17" bestFit="1" customWidth="1"/>
    <col min="7695" max="7696" width="8.42578125" style="17"/>
    <col min="7697" max="7697" width="3.140625" style="17" customWidth="1"/>
    <col min="7698" max="7936" width="8.42578125" style="17"/>
    <col min="7937" max="7937" width="10" style="17" bestFit="1" customWidth="1"/>
    <col min="7938" max="7938" width="44.140625" style="17" bestFit="1" customWidth="1"/>
    <col min="7939" max="7939" width="10.42578125" style="17" bestFit="1" customWidth="1"/>
    <col min="7940" max="7940" width="10.42578125" style="17" customWidth="1"/>
    <col min="7941" max="7941" width="9.85546875" style="17" bestFit="1" customWidth="1"/>
    <col min="7942" max="7943" width="9.5703125" style="17" bestFit="1" customWidth="1"/>
    <col min="7944" max="7944" width="10.42578125" style="17" bestFit="1" customWidth="1"/>
    <col min="7945" max="7945" width="4.5703125" style="17" customWidth="1"/>
    <col min="7946" max="7946" width="1.85546875" style="17" customWidth="1"/>
    <col min="7947" max="7947" width="7" style="17" bestFit="1" customWidth="1"/>
    <col min="7948" max="7948" width="6.140625" style="17" customWidth="1"/>
    <col min="7949" max="7949" width="20.42578125" style="17" customWidth="1"/>
    <col min="7950" max="7950" width="6.42578125" style="17" bestFit="1" customWidth="1"/>
    <col min="7951" max="7952" width="8.42578125" style="17"/>
    <col min="7953" max="7953" width="3.140625" style="17" customWidth="1"/>
    <col min="7954" max="8192" width="8.42578125" style="17"/>
    <col min="8193" max="8193" width="10" style="17" bestFit="1" customWidth="1"/>
    <col min="8194" max="8194" width="44.140625" style="17" bestFit="1" customWidth="1"/>
    <col min="8195" max="8195" width="10.42578125" style="17" bestFit="1" customWidth="1"/>
    <col min="8196" max="8196" width="10.42578125" style="17" customWidth="1"/>
    <col min="8197" max="8197" width="9.85546875" style="17" bestFit="1" customWidth="1"/>
    <col min="8198" max="8199" width="9.5703125" style="17" bestFit="1" customWidth="1"/>
    <col min="8200" max="8200" width="10.42578125" style="17" bestFit="1" customWidth="1"/>
    <col min="8201" max="8201" width="4.5703125" style="17" customWidth="1"/>
    <col min="8202" max="8202" width="1.85546875" style="17" customWidth="1"/>
    <col min="8203" max="8203" width="7" style="17" bestFit="1" customWidth="1"/>
    <col min="8204" max="8204" width="6.140625" style="17" customWidth="1"/>
    <col min="8205" max="8205" width="20.42578125" style="17" customWidth="1"/>
    <col min="8206" max="8206" width="6.42578125" style="17" bestFit="1" customWidth="1"/>
    <col min="8207" max="8208" width="8.42578125" style="17"/>
    <col min="8209" max="8209" width="3.140625" style="17" customWidth="1"/>
    <col min="8210" max="8448" width="8.42578125" style="17"/>
    <col min="8449" max="8449" width="10" style="17" bestFit="1" customWidth="1"/>
    <col min="8450" max="8450" width="44.140625" style="17" bestFit="1" customWidth="1"/>
    <col min="8451" max="8451" width="10.42578125" style="17" bestFit="1" customWidth="1"/>
    <col min="8452" max="8452" width="10.42578125" style="17" customWidth="1"/>
    <col min="8453" max="8453" width="9.85546875" style="17" bestFit="1" customWidth="1"/>
    <col min="8454" max="8455" width="9.5703125" style="17" bestFit="1" customWidth="1"/>
    <col min="8456" max="8456" width="10.42578125" style="17" bestFit="1" customWidth="1"/>
    <col min="8457" max="8457" width="4.5703125" style="17" customWidth="1"/>
    <col min="8458" max="8458" width="1.85546875" style="17" customWidth="1"/>
    <col min="8459" max="8459" width="7" style="17" bestFit="1" customWidth="1"/>
    <col min="8460" max="8460" width="6.140625" style="17" customWidth="1"/>
    <col min="8461" max="8461" width="20.42578125" style="17" customWidth="1"/>
    <col min="8462" max="8462" width="6.42578125" style="17" bestFit="1" customWidth="1"/>
    <col min="8463" max="8464" width="8.42578125" style="17"/>
    <col min="8465" max="8465" width="3.140625" style="17" customWidth="1"/>
    <col min="8466" max="8704" width="8.42578125" style="17"/>
    <col min="8705" max="8705" width="10" style="17" bestFit="1" customWidth="1"/>
    <col min="8706" max="8706" width="44.140625" style="17" bestFit="1" customWidth="1"/>
    <col min="8707" max="8707" width="10.42578125" style="17" bestFit="1" customWidth="1"/>
    <col min="8708" max="8708" width="10.42578125" style="17" customWidth="1"/>
    <col min="8709" max="8709" width="9.85546875" style="17" bestFit="1" customWidth="1"/>
    <col min="8710" max="8711" width="9.5703125" style="17" bestFit="1" customWidth="1"/>
    <col min="8712" max="8712" width="10.42578125" style="17" bestFit="1" customWidth="1"/>
    <col min="8713" max="8713" width="4.5703125" style="17" customWidth="1"/>
    <col min="8714" max="8714" width="1.85546875" style="17" customWidth="1"/>
    <col min="8715" max="8715" width="7" style="17" bestFit="1" customWidth="1"/>
    <col min="8716" max="8716" width="6.140625" style="17" customWidth="1"/>
    <col min="8717" max="8717" width="20.42578125" style="17" customWidth="1"/>
    <col min="8718" max="8718" width="6.42578125" style="17" bestFit="1" customWidth="1"/>
    <col min="8719" max="8720" width="8.42578125" style="17"/>
    <col min="8721" max="8721" width="3.140625" style="17" customWidth="1"/>
    <col min="8722" max="8960" width="8.42578125" style="17"/>
    <col min="8961" max="8961" width="10" style="17" bestFit="1" customWidth="1"/>
    <col min="8962" max="8962" width="44.140625" style="17" bestFit="1" customWidth="1"/>
    <col min="8963" max="8963" width="10.42578125" style="17" bestFit="1" customWidth="1"/>
    <col min="8964" max="8964" width="10.42578125" style="17" customWidth="1"/>
    <col min="8965" max="8965" width="9.85546875" style="17" bestFit="1" customWidth="1"/>
    <col min="8966" max="8967" width="9.5703125" style="17" bestFit="1" customWidth="1"/>
    <col min="8968" max="8968" width="10.42578125" style="17" bestFit="1" customWidth="1"/>
    <col min="8969" max="8969" width="4.5703125" style="17" customWidth="1"/>
    <col min="8970" max="8970" width="1.85546875" style="17" customWidth="1"/>
    <col min="8971" max="8971" width="7" style="17" bestFit="1" customWidth="1"/>
    <col min="8972" max="8972" width="6.140625" style="17" customWidth="1"/>
    <col min="8973" max="8973" width="20.42578125" style="17" customWidth="1"/>
    <col min="8974" max="8974" width="6.42578125" style="17" bestFit="1" customWidth="1"/>
    <col min="8975" max="8976" width="8.42578125" style="17"/>
    <col min="8977" max="8977" width="3.140625" style="17" customWidth="1"/>
    <col min="8978" max="9216" width="8.42578125" style="17"/>
    <col min="9217" max="9217" width="10" style="17" bestFit="1" customWidth="1"/>
    <col min="9218" max="9218" width="44.140625" style="17" bestFit="1" customWidth="1"/>
    <col min="9219" max="9219" width="10.42578125" style="17" bestFit="1" customWidth="1"/>
    <col min="9220" max="9220" width="10.42578125" style="17" customWidth="1"/>
    <col min="9221" max="9221" width="9.85546875" style="17" bestFit="1" customWidth="1"/>
    <col min="9222" max="9223" width="9.5703125" style="17" bestFit="1" customWidth="1"/>
    <col min="9224" max="9224" width="10.42578125" style="17" bestFit="1" customWidth="1"/>
    <col min="9225" max="9225" width="4.5703125" style="17" customWidth="1"/>
    <col min="9226" max="9226" width="1.85546875" style="17" customWidth="1"/>
    <col min="9227" max="9227" width="7" style="17" bestFit="1" customWidth="1"/>
    <col min="9228" max="9228" width="6.140625" style="17" customWidth="1"/>
    <col min="9229" max="9229" width="20.42578125" style="17" customWidth="1"/>
    <col min="9230" max="9230" width="6.42578125" style="17" bestFit="1" customWidth="1"/>
    <col min="9231" max="9232" width="8.42578125" style="17"/>
    <col min="9233" max="9233" width="3.140625" style="17" customWidth="1"/>
    <col min="9234" max="9472" width="8.42578125" style="17"/>
    <col min="9473" max="9473" width="10" style="17" bestFit="1" customWidth="1"/>
    <col min="9474" max="9474" width="44.140625" style="17" bestFit="1" customWidth="1"/>
    <col min="9475" max="9475" width="10.42578125" style="17" bestFit="1" customWidth="1"/>
    <col min="9476" max="9476" width="10.42578125" style="17" customWidth="1"/>
    <col min="9477" max="9477" width="9.85546875" style="17" bestFit="1" customWidth="1"/>
    <col min="9478" max="9479" width="9.5703125" style="17" bestFit="1" customWidth="1"/>
    <col min="9480" max="9480" width="10.42578125" style="17" bestFit="1" customWidth="1"/>
    <col min="9481" max="9481" width="4.5703125" style="17" customWidth="1"/>
    <col min="9482" max="9482" width="1.85546875" style="17" customWidth="1"/>
    <col min="9483" max="9483" width="7" style="17" bestFit="1" customWidth="1"/>
    <col min="9484" max="9484" width="6.140625" style="17" customWidth="1"/>
    <col min="9485" max="9485" width="20.42578125" style="17" customWidth="1"/>
    <col min="9486" max="9486" width="6.42578125" style="17" bestFit="1" customWidth="1"/>
    <col min="9487" max="9488" width="8.42578125" style="17"/>
    <col min="9489" max="9489" width="3.140625" style="17" customWidth="1"/>
    <col min="9490" max="9728" width="8.42578125" style="17"/>
    <col min="9729" max="9729" width="10" style="17" bestFit="1" customWidth="1"/>
    <col min="9730" max="9730" width="44.140625" style="17" bestFit="1" customWidth="1"/>
    <col min="9731" max="9731" width="10.42578125" style="17" bestFit="1" customWidth="1"/>
    <col min="9732" max="9732" width="10.42578125" style="17" customWidth="1"/>
    <col min="9733" max="9733" width="9.85546875" style="17" bestFit="1" customWidth="1"/>
    <col min="9734" max="9735" width="9.5703125" style="17" bestFit="1" customWidth="1"/>
    <col min="9736" max="9736" width="10.42578125" style="17" bestFit="1" customWidth="1"/>
    <col min="9737" max="9737" width="4.5703125" style="17" customWidth="1"/>
    <col min="9738" max="9738" width="1.85546875" style="17" customWidth="1"/>
    <col min="9739" max="9739" width="7" style="17" bestFit="1" customWidth="1"/>
    <col min="9740" max="9740" width="6.140625" style="17" customWidth="1"/>
    <col min="9741" max="9741" width="20.42578125" style="17" customWidth="1"/>
    <col min="9742" max="9742" width="6.42578125" style="17" bestFit="1" customWidth="1"/>
    <col min="9743" max="9744" width="8.42578125" style="17"/>
    <col min="9745" max="9745" width="3.140625" style="17" customWidth="1"/>
    <col min="9746" max="9984" width="8.42578125" style="17"/>
    <col min="9985" max="9985" width="10" style="17" bestFit="1" customWidth="1"/>
    <col min="9986" max="9986" width="44.140625" style="17" bestFit="1" customWidth="1"/>
    <col min="9987" max="9987" width="10.42578125" style="17" bestFit="1" customWidth="1"/>
    <col min="9988" max="9988" width="10.42578125" style="17" customWidth="1"/>
    <col min="9989" max="9989" width="9.85546875" style="17" bestFit="1" customWidth="1"/>
    <col min="9990" max="9991" width="9.5703125" style="17" bestFit="1" customWidth="1"/>
    <col min="9992" max="9992" width="10.42578125" style="17" bestFit="1" customWidth="1"/>
    <col min="9993" max="9993" width="4.5703125" style="17" customWidth="1"/>
    <col min="9994" max="9994" width="1.85546875" style="17" customWidth="1"/>
    <col min="9995" max="9995" width="7" style="17" bestFit="1" customWidth="1"/>
    <col min="9996" max="9996" width="6.140625" style="17" customWidth="1"/>
    <col min="9997" max="9997" width="20.42578125" style="17" customWidth="1"/>
    <col min="9998" max="9998" width="6.42578125" style="17" bestFit="1" customWidth="1"/>
    <col min="9999" max="10000" width="8.42578125" style="17"/>
    <col min="10001" max="10001" width="3.140625" style="17" customWidth="1"/>
    <col min="10002" max="10240" width="8.42578125" style="17"/>
    <col min="10241" max="10241" width="10" style="17" bestFit="1" customWidth="1"/>
    <col min="10242" max="10242" width="44.140625" style="17" bestFit="1" customWidth="1"/>
    <col min="10243" max="10243" width="10.42578125" style="17" bestFit="1" customWidth="1"/>
    <col min="10244" max="10244" width="10.42578125" style="17" customWidth="1"/>
    <col min="10245" max="10245" width="9.85546875" style="17" bestFit="1" customWidth="1"/>
    <col min="10246" max="10247" width="9.5703125" style="17" bestFit="1" customWidth="1"/>
    <col min="10248" max="10248" width="10.42578125" style="17" bestFit="1" customWidth="1"/>
    <col min="10249" max="10249" width="4.5703125" style="17" customWidth="1"/>
    <col min="10250" max="10250" width="1.85546875" style="17" customWidth="1"/>
    <col min="10251" max="10251" width="7" style="17" bestFit="1" customWidth="1"/>
    <col min="10252" max="10252" width="6.140625" style="17" customWidth="1"/>
    <col min="10253" max="10253" width="20.42578125" style="17" customWidth="1"/>
    <col min="10254" max="10254" width="6.42578125" style="17" bestFit="1" customWidth="1"/>
    <col min="10255" max="10256" width="8.42578125" style="17"/>
    <col min="10257" max="10257" width="3.140625" style="17" customWidth="1"/>
    <col min="10258" max="10496" width="8.42578125" style="17"/>
    <col min="10497" max="10497" width="10" style="17" bestFit="1" customWidth="1"/>
    <col min="10498" max="10498" width="44.140625" style="17" bestFit="1" customWidth="1"/>
    <col min="10499" max="10499" width="10.42578125" style="17" bestFit="1" customWidth="1"/>
    <col min="10500" max="10500" width="10.42578125" style="17" customWidth="1"/>
    <col min="10501" max="10501" width="9.85546875" style="17" bestFit="1" customWidth="1"/>
    <col min="10502" max="10503" width="9.5703125" style="17" bestFit="1" customWidth="1"/>
    <col min="10504" max="10504" width="10.42578125" style="17" bestFit="1" customWidth="1"/>
    <col min="10505" max="10505" width="4.5703125" style="17" customWidth="1"/>
    <col min="10506" max="10506" width="1.85546875" style="17" customWidth="1"/>
    <col min="10507" max="10507" width="7" style="17" bestFit="1" customWidth="1"/>
    <col min="10508" max="10508" width="6.140625" style="17" customWidth="1"/>
    <col min="10509" max="10509" width="20.42578125" style="17" customWidth="1"/>
    <col min="10510" max="10510" width="6.42578125" style="17" bestFit="1" customWidth="1"/>
    <col min="10511" max="10512" width="8.42578125" style="17"/>
    <col min="10513" max="10513" width="3.140625" style="17" customWidth="1"/>
    <col min="10514" max="10752" width="8.42578125" style="17"/>
    <col min="10753" max="10753" width="10" style="17" bestFit="1" customWidth="1"/>
    <col min="10754" max="10754" width="44.140625" style="17" bestFit="1" customWidth="1"/>
    <col min="10755" max="10755" width="10.42578125" style="17" bestFit="1" customWidth="1"/>
    <col min="10756" max="10756" width="10.42578125" style="17" customWidth="1"/>
    <col min="10757" max="10757" width="9.85546875" style="17" bestFit="1" customWidth="1"/>
    <col min="10758" max="10759" width="9.5703125" style="17" bestFit="1" customWidth="1"/>
    <col min="10760" max="10760" width="10.42578125" style="17" bestFit="1" customWidth="1"/>
    <col min="10761" max="10761" width="4.5703125" style="17" customWidth="1"/>
    <col min="10762" max="10762" width="1.85546875" style="17" customWidth="1"/>
    <col min="10763" max="10763" width="7" style="17" bestFit="1" customWidth="1"/>
    <col min="10764" max="10764" width="6.140625" style="17" customWidth="1"/>
    <col min="10765" max="10765" width="20.42578125" style="17" customWidth="1"/>
    <col min="10766" max="10766" width="6.42578125" style="17" bestFit="1" customWidth="1"/>
    <col min="10767" max="10768" width="8.42578125" style="17"/>
    <col min="10769" max="10769" width="3.140625" style="17" customWidth="1"/>
    <col min="10770" max="11008" width="8.42578125" style="17"/>
    <col min="11009" max="11009" width="10" style="17" bestFit="1" customWidth="1"/>
    <col min="11010" max="11010" width="44.140625" style="17" bestFit="1" customWidth="1"/>
    <col min="11011" max="11011" width="10.42578125" style="17" bestFit="1" customWidth="1"/>
    <col min="11012" max="11012" width="10.42578125" style="17" customWidth="1"/>
    <col min="11013" max="11013" width="9.85546875" style="17" bestFit="1" customWidth="1"/>
    <col min="11014" max="11015" width="9.5703125" style="17" bestFit="1" customWidth="1"/>
    <col min="11016" max="11016" width="10.42578125" style="17" bestFit="1" customWidth="1"/>
    <col min="11017" max="11017" width="4.5703125" style="17" customWidth="1"/>
    <col min="11018" max="11018" width="1.85546875" style="17" customWidth="1"/>
    <col min="11019" max="11019" width="7" style="17" bestFit="1" customWidth="1"/>
    <col min="11020" max="11020" width="6.140625" style="17" customWidth="1"/>
    <col min="11021" max="11021" width="20.42578125" style="17" customWidth="1"/>
    <col min="11022" max="11022" width="6.42578125" style="17" bestFit="1" customWidth="1"/>
    <col min="11023" max="11024" width="8.42578125" style="17"/>
    <col min="11025" max="11025" width="3.140625" style="17" customWidth="1"/>
    <col min="11026" max="11264" width="8.42578125" style="17"/>
    <col min="11265" max="11265" width="10" style="17" bestFit="1" customWidth="1"/>
    <col min="11266" max="11266" width="44.140625" style="17" bestFit="1" customWidth="1"/>
    <col min="11267" max="11267" width="10.42578125" style="17" bestFit="1" customWidth="1"/>
    <col min="11268" max="11268" width="10.42578125" style="17" customWidth="1"/>
    <col min="11269" max="11269" width="9.85546875" style="17" bestFit="1" customWidth="1"/>
    <col min="11270" max="11271" width="9.5703125" style="17" bestFit="1" customWidth="1"/>
    <col min="11272" max="11272" width="10.42578125" style="17" bestFit="1" customWidth="1"/>
    <col min="11273" max="11273" width="4.5703125" style="17" customWidth="1"/>
    <col min="11274" max="11274" width="1.85546875" style="17" customWidth="1"/>
    <col min="11275" max="11275" width="7" style="17" bestFit="1" customWidth="1"/>
    <col min="11276" max="11276" width="6.140625" style="17" customWidth="1"/>
    <col min="11277" max="11277" width="20.42578125" style="17" customWidth="1"/>
    <col min="11278" max="11278" width="6.42578125" style="17" bestFit="1" customWidth="1"/>
    <col min="11279" max="11280" width="8.42578125" style="17"/>
    <col min="11281" max="11281" width="3.140625" style="17" customWidth="1"/>
    <col min="11282" max="11520" width="8.42578125" style="17"/>
    <col min="11521" max="11521" width="10" style="17" bestFit="1" customWidth="1"/>
    <col min="11522" max="11522" width="44.140625" style="17" bestFit="1" customWidth="1"/>
    <col min="11523" max="11523" width="10.42578125" style="17" bestFit="1" customWidth="1"/>
    <col min="11524" max="11524" width="10.42578125" style="17" customWidth="1"/>
    <col min="11525" max="11525" width="9.85546875" style="17" bestFit="1" customWidth="1"/>
    <col min="11526" max="11527" width="9.5703125" style="17" bestFit="1" customWidth="1"/>
    <col min="11528" max="11528" width="10.42578125" style="17" bestFit="1" customWidth="1"/>
    <col min="11529" max="11529" width="4.5703125" style="17" customWidth="1"/>
    <col min="11530" max="11530" width="1.85546875" style="17" customWidth="1"/>
    <col min="11531" max="11531" width="7" style="17" bestFit="1" customWidth="1"/>
    <col min="11532" max="11532" width="6.140625" style="17" customWidth="1"/>
    <col min="11533" max="11533" width="20.42578125" style="17" customWidth="1"/>
    <col min="11534" max="11534" width="6.42578125" style="17" bestFit="1" customWidth="1"/>
    <col min="11535" max="11536" width="8.42578125" style="17"/>
    <col min="11537" max="11537" width="3.140625" style="17" customWidth="1"/>
    <col min="11538" max="11776" width="8.42578125" style="17"/>
    <col min="11777" max="11777" width="10" style="17" bestFit="1" customWidth="1"/>
    <col min="11778" max="11778" width="44.140625" style="17" bestFit="1" customWidth="1"/>
    <col min="11779" max="11779" width="10.42578125" style="17" bestFit="1" customWidth="1"/>
    <col min="11780" max="11780" width="10.42578125" style="17" customWidth="1"/>
    <col min="11781" max="11781" width="9.85546875" style="17" bestFit="1" customWidth="1"/>
    <col min="11782" max="11783" width="9.5703125" style="17" bestFit="1" customWidth="1"/>
    <col min="11784" max="11784" width="10.42578125" style="17" bestFit="1" customWidth="1"/>
    <col min="11785" max="11785" width="4.5703125" style="17" customWidth="1"/>
    <col min="11786" max="11786" width="1.85546875" style="17" customWidth="1"/>
    <col min="11787" max="11787" width="7" style="17" bestFit="1" customWidth="1"/>
    <col min="11788" max="11788" width="6.140625" style="17" customWidth="1"/>
    <col min="11789" max="11789" width="20.42578125" style="17" customWidth="1"/>
    <col min="11790" max="11790" width="6.42578125" style="17" bestFit="1" customWidth="1"/>
    <col min="11791" max="11792" width="8.42578125" style="17"/>
    <col min="11793" max="11793" width="3.140625" style="17" customWidth="1"/>
    <col min="11794" max="12032" width="8.42578125" style="17"/>
    <col min="12033" max="12033" width="10" style="17" bestFit="1" customWidth="1"/>
    <col min="12034" max="12034" width="44.140625" style="17" bestFit="1" customWidth="1"/>
    <col min="12035" max="12035" width="10.42578125" style="17" bestFit="1" customWidth="1"/>
    <col min="12036" max="12036" width="10.42578125" style="17" customWidth="1"/>
    <col min="12037" max="12037" width="9.85546875" style="17" bestFit="1" customWidth="1"/>
    <col min="12038" max="12039" width="9.5703125" style="17" bestFit="1" customWidth="1"/>
    <col min="12040" max="12040" width="10.42578125" style="17" bestFit="1" customWidth="1"/>
    <col min="12041" max="12041" width="4.5703125" style="17" customWidth="1"/>
    <col min="12042" max="12042" width="1.85546875" style="17" customWidth="1"/>
    <col min="12043" max="12043" width="7" style="17" bestFit="1" customWidth="1"/>
    <col min="12044" max="12044" width="6.140625" style="17" customWidth="1"/>
    <col min="12045" max="12045" width="20.42578125" style="17" customWidth="1"/>
    <col min="12046" max="12046" width="6.42578125" style="17" bestFit="1" customWidth="1"/>
    <col min="12047" max="12048" width="8.42578125" style="17"/>
    <col min="12049" max="12049" width="3.140625" style="17" customWidth="1"/>
    <col min="12050" max="12288" width="8.42578125" style="17"/>
    <col min="12289" max="12289" width="10" style="17" bestFit="1" customWidth="1"/>
    <col min="12290" max="12290" width="44.140625" style="17" bestFit="1" customWidth="1"/>
    <col min="12291" max="12291" width="10.42578125" style="17" bestFit="1" customWidth="1"/>
    <col min="12292" max="12292" width="10.42578125" style="17" customWidth="1"/>
    <col min="12293" max="12293" width="9.85546875" style="17" bestFit="1" customWidth="1"/>
    <col min="12294" max="12295" width="9.5703125" style="17" bestFit="1" customWidth="1"/>
    <col min="12296" max="12296" width="10.42578125" style="17" bestFit="1" customWidth="1"/>
    <col min="12297" max="12297" width="4.5703125" style="17" customWidth="1"/>
    <col min="12298" max="12298" width="1.85546875" style="17" customWidth="1"/>
    <col min="12299" max="12299" width="7" style="17" bestFit="1" customWidth="1"/>
    <col min="12300" max="12300" width="6.140625" style="17" customWidth="1"/>
    <col min="12301" max="12301" width="20.42578125" style="17" customWidth="1"/>
    <col min="12302" max="12302" width="6.42578125" style="17" bestFit="1" customWidth="1"/>
    <col min="12303" max="12304" width="8.42578125" style="17"/>
    <col min="12305" max="12305" width="3.140625" style="17" customWidth="1"/>
    <col min="12306" max="12544" width="8.42578125" style="17"/>
    <col min="12545" max="12545" width="10" style="17" bestFit="1" customWidth="1"/>
    <col min="12546" max="12546" width="44.140625" style="17" bestFit="1" customWidth="1"/>
    <col min="12547" max="12547" width="10.42578125" style="17" bestFit="1" customWidth="1"/>
    <col min="12548" max="12548" width="10.42578125" style="17" customWidth="1"/>
    <col min="12549" max="12549" width="9.85546875" style="17" bestFit="1" customWidth="1"/>
    <col min="12550" max="12551" width="9.5703125" style="17" bestFit="1" customWidth="1"/>
    <col min="12552" max="12552" width="10.42578125" style="17" bestFit="1" customWidth="1"/>
    <col min="12553" max="12553" width="4.5703125" style="17" customWidth="1"/>
    <col min="12554" max="12554" width="1.85546875" style="17" customWidth="1"/>
    <col min="12555" max="12555" width="7" style="17" bestFit="1" customWidth="1"/>
    <col min="12556" max="12556" width="6.140625" style="17" customWidth="1"/>
    <col min="12557" max="12557" width="20.42578125" style="17" customWidth="1"/>
    <col min="12558" max="12558" width="6.42578125" style="17" bestFit="1" customWidth="1"/>
    <col min="12559" max="12560" width="8.42578125" style="17"/>
    <col min="12561" max="12561" width="3.140625" style="17" customWidth="1"/>
    <col min="12562" max="12800" width="8.42578125" style="17"/>
    <col min="12801" max="12801" width="10" style="17" bestFit="1" customWidth="1"/>
    <col min="12802" max="12802" width="44.140625" style="17" bestFit="1" customWidth="1"/>
    <col min="12803" max="12803" width="10.42578125" style="17" bestFit="1" customWidth="1"/>
    <col min="12804" max="12804" width="10.42578125" style="17" customWidth="1"/>
    <col min="12805" max="12805" width="9.85546875" style="17" bestFit="1" customWidth="1"/>
    <col min="12806" max="12807" width="9.5703125" style="17" bestFit="1" customWidth="1"/>
    <col min="12808" max="12808" width="10.42578125" style="17" bestFit="1" customWidth="1"/>
    <col min="12809" max="12809" width="4.5703125" style="17" customWidth="1"/>
    <col min="12810" max="12810" width="1.85546875" style="17" customWidth="1"/>
    <col min="12811" max="12811" width="7" style="17" bestFit="1" customWidth="1"/>
    <col min="12812" max="12812" width="6.140625" style="17" customWidth="1"/>
    <col min="12813" max="12813" width="20.42578125" style="17" customWidth="1"/>
    <col min="12814" max="12814" width="6.42578125" style="17" bestFit="1" customWidth="1"/>
    <col min="12815" max="12816" width="8.42578125" style="17"/>
    <col min="12817" max="12817" width="3.140625" style="17" customWidth="1"/>
    <col min="12818" max="13056" width="8.42578125" style="17"/>
    <col min="13057" max="13057" width="10" style="17" bestFit="1" customWidth="1"/>
    <col min="13058" max="13058" width="44.140625" style="17" bestFit="1" customWidth="1"/>
    <col min="13059" max="13059" width="10.42578125" style="17" bestFit="1" customWidth="1"/>
    <col min="13060" max="13060" width="10.42578125" style="17" customWidth="1"/>
    <col min="13061" max="13061" width="9.85546875" style="17" bestFit="1" customWidth="1"/>
    <col min="13062" max="13063" width="9.5703125" style="17" bestFit="1" customWidth="1"/>
    <col min="13064" max="13064" width="10.42578125" style="17" bestFit="1" customWidth="1"/>
    <col min="13065" max="13065" width="4.5703125" style="17" customWidth="1"/>
    <col min="13066" max="13066" width="1.85546875" style="17" customWidth="1"/>
    <col min="13067" max="13067" width="7" style="17" bestFit="1" customWidth="1"/>
    <col min="13068" max="13068" width="6.140625" style="17" customWidth="1"/>
    <col min="13069" max="13069" width="20.42578125" style="17" customWidth="1"/>
    <col min="13070" max="13070" width="6.42578125" style="17" bestFit="1" customWidth="1"/>
    <col min="13071" max="13072" width="8.42578125" style="17"/>
    <col min="13073" max="13073" width="3.140625" style="17" customWidth="1"/>
    <col min="13074" max="13312" width="8.42578125" style="17"/>
    <col min="13313" max="13313" width="10" style="17" bestFit="1" customWidth="1"/>
    <col min="13314" max="13314" width="44.140625" style="17" bestFit="1" customWidth="1"/>
    <col min="13315" max="13315" width="10.42578125" style="17" bestFit="1" customWidth="1"/>
    <col min="13316" max="13316" width="10.42578125" style="17" customWidth="1"/>
    <col min="13317" max="13317" width="9.85546875" style="17" bestFit="1" customWidth="1"/>
    <col min="13318" max="13319" width="9.5703125" style="17" bestFit="1" customWidth="1"/>
    <col min="13320" max="13320" width="10.42578125" style="17" bestFit="1" customWidth="1"/>
    <col min="13321" max="13321" width="4.5703125" style="17" customWidth="1"/>
    <col min="13322" max="13322" width="1.85546875" style="17" customWidth="1"/>
    <col min="13323" max="13323" width="7" style="17" bestFit="1" customWidth="1"/>
    <col min="13324" max="13324" width="6.140625" style="17" customWidth="1"/>
    <col min="13325" max="13325" width="20.42578125" style="17" customWidth="1"/>
    <col min="13326" max="13326" width="6.42578125" style="17" bestFit="1" customWidth="1"/>
    <col min="13327" max="13328" width="8.42578125" style="17"/>
    <col min="13329" max="13329" width="3.140625" style="17" customWidth="1"/>
    <col min="13330" max="13568" width="8.42578125" style="17"/>
    <col min="13569" max="13569" width="10" style="17" bestFit="1" customWidth="1"/>
    <col min="13570" max="13570" width="44.140625" style="17" bestFit="1" customWidth="1"/>
    <col min="13571" max="13571" width="10.42578125" style="17" bestFit="1" customWidth="1"/>
    <col min="13572" max="13572" width="10.42578125" style="17" customWidth="1"/>
    <col min="13573" max="13573" width="9.85546875" style="17" bestFit="1" customWidth="1"/>
    <col min="13574" max="13575" width="9.5703125" style="17" bestFit="1" customWidth="1"/>
    <col min="13576" max="13576" width="10.42578125" style="17" bestFit="1" customWidth="1"/>
    <col min="13577" max="13577" width="4.5703125" style="17" customWidth="1"/>
    <col min="13578" max="13578" width="1.85546875" style="17" customWidth="1"/>
    <col min="13579" max="13579" width="7" style="17" bestFit="1" customWidth="1"/>
    <col min="13580" max="13580" width="6.140625" style="17" customWidth="1"/>
    <col min="13581" max="13581" width="20.42578125" style="17" customWidth="1"/>
    <col min="13582" max="13582" width="6.42578125" style="17" bestFit="1" customWidth="1"/>
    <col min="13583" max="13584" width="8.42578125" style="17"/>
    <col min="13585" max="13585" width="3.140625" style="17" customWidth="1"/>
    <col min="13586" max="13824" width="8.42578125" style="17"/>
    <col min="13825" max="13825" width="10" style="17" bestFit="1" customWidth="1"/>
    <col min="13826" max="13826" width="44.140625" style="17" bestFit="1" customWidth="1"/>
    <col min="13827" max="13827" width="10.42578125" style="17" bestFit="1" customWidth="1"/>
    <col min="13828" max="13828" width="10.42578125" style="17" customWidth="1"/>
    <col min="13829" max="13829" width="9.85546875" style="17" bestFit="1" customWidth="1"/>
    <col min="13830" max="13831" width="9.5703125" style="17" bestFit="1" customWidth="1"/>
    <col min="13832" max="13832" width="10.42578125" style="17" bestFit="1" customWidth="1"/>
    <col min="13833" max="13833" width="4.5703125" style="17" customWidth="1"/>
    <col min="13834" max="13834" width="1.85546875" style="17" customWidth="1"/>
    <col min="13835" max="13835" width="7" style="17" bestFit="1" customWidth="1"/>
    <col min="13836" max="13836" width="6.140625" style="17" customWidth="1"/>
    <col min="13837" max="13837" width="20.42578125" style="17" customWidth="1"/>
    <col min="13838" max="13838" width="6.42578125" style="17" bestFit="1" customWidth="1"/>
    <col min="13839" max="13840" width="8.42578125" style="17"/>
    <col min="13841" max="13841" width="3.140625" style="17" customWidth="1"/>
    <col min="13842" max="14080" width="8.42578125" style="17"/>
    <col min="14081" max="14081" width="10" style="17" bestFit="1" customWidth="1"/>
    <col min="14082" max="14082" width="44.140625" style="17" bestFit="1" customWidth="1"/>
    <col min="14083" max="14083" width="10.42578125" style="17" bestFit="1" customWidth="1"/>
    <col min="14084" max="14084" width="10.42578125" style="17" customWidth="1"/>
    <col min="14085" max="14085" width="9.85546875" style="17" bestFit="1" customWidth="1"/>
    <col min="14086" max="14087" width="9.5703125" style="17" bestFit="1" customWidth="1"/>
    <col min="14088" max="14088" width="10.42578125" style="17" bestFit="1" customWidth="1"/>
    <col min="14089" max="14089" width="4.5703125" style="17" customWidth="1"/>
    <col min="14090" max="14090" width="1.85546875" style="17" customWidth="1"/>
    <col min="14091" max="14091" width="7" style="17" bestFit="1" customWidth="1"/>
    <col min="14092" max="14092" width="6.140625" style="17" customWidth="1"/>
    <col min="14093" max="14093" width="20.42578125" style="17" customWidth="1"/>
    <col min="14094" max="14094" width="6.42578125" style="17" bestFit="1" customWidth="1"/>
    <col min="14095" max="14096" width="8.42578125" style="17"/>
    <col min="14097" max="14097" width="3.140625" style="17" customWidth="1"/>
    <col min="14098" max="14336" width="8.42578125" style="17"/>
    <col min="14337" max="14337" width="10" style="17" bestFit="1" customWidth="1"/>
    <col min="14338" max="14338" width="44.140625" style="17" bestFit="1" customWidth="1"/>
    <col min="14339" max="14339" width="10.42578125" style="17" bestFit="1" customWidth="1"/>
    <col min="14340" max="14340" width="10.42578125" style="17" customWidth="1"/>
    <col min="14341" max="14341" width="9.85546875" style="17" bestFit="1" customWidth="1"/>
    <col min="14342" max="14343" width="9.5703125" style="17" bestFit="1" customWidth="1"/>
    <col min="14344" max="14344" width="10.42578125" style="17" bestFit="1" customWidth="1"/>
    <col min="14345" max="14345" width="4.5703125" style="17" customWidth="1"/>
    <col min="14346" max="14346" width="1.85546875" style="17" customWidth="1"/>
    <col min="14347" max="14347" width="7" style="17" bestFit="1" customWidth="1"/>
    <col min="14348" max="14348" width="6.140625" style="17" customWidth="1"/>
    <col min="14349" max="14349" width="20.42578125" style="17" customWidth="1"/>
    <col min="14350" max="14350" width="6.42578125" style="17" bestFit="1" customWidth="1"/>
    <col min="14351" max="14352" width="8.42578125" style="17"/>
    <col min="14353" max="14353" width="3.140625" style="17" customWidth="1"/>
    <col min="14354" max="14592" width="8.42578125" style="17"/>
    <col min="14593" max="14593" width="10" style="17" bestFit="1" customWidth="1"/>
    <col min="14594" max="14594" width="44.140625" style="17" bestFit="1" customWidth="1"/>
    <col min="14595" max="14595" width="10.42578125" style="17" bestFit="1" customWidth="1"/>
    <col min="14596" max="14596" width="10.42578125" style="17" customWidth="1"/>
    <col min="14597" max="14597" width="9.85546875" style="17" bestFit="1" customWidth="1"/>
    <col min="14598" max="14599" width="9.5703125" style="17" bestFit="1" customWidth="1"/>
    <col min="14600" max="14600" width="10.42578125" style="17" bestFit="1" customWidth="1"/>
    <col min="14601" max="14601" width="4.5703125" style="17" customWidth="1"/>
    <col min="14602" max="14602" width="1.85546875" style="17" customWidth="1"/>
    <col min="14603" max="14603" width="7" style="17" bestFit="1" customWidth="1"/>
    <col min="14604" max="14604" width="6.140625" style="17" customWidth="1"/>
    <col min="14605" max="14605" width="20.42578125" style="17" customWidth="1"/>
    <col min="14606" max="14606" width="6.42578125" style="17" bestFit="1" customWidth="1"/>
    <col min="14607" max="14608" width="8.42578125" style="17"/>
    <col min="14609" max="14609" width="3.140625" style="17" customWidth="1"/>
    <col min="14610" max="14848" width="8.42578125" style="17"/>
    <col min="14849" max="14849" width="10" style="17" bestFit="1" customWidth="1"/>
    <col min="14850" max="14850" width="44.140625" style="17" bestFit="1" customWidth="1"/>
    <col min="14851" max="14851" width="10.42578125" style="17" bestFit="1" customWidth="1"/>
    <col min="14852" max="14852" width="10.42578125" style="17" customWidth="1"/>
    <col min="14853" max="14853" width="9.85546875" style="17" bestFit="1" customWidth="1"/>
    <col min="14854" max="14855" width="9.5703125" style="17" bestFit="1" customWidth="1"/>
    <col min="14856" max="14856" width="10.42578125" style="17" bestFit="1" customWidth="1"/>
    <col min="14857" max="14857" width="4.5703125" style="17" customWidth="1"/>
    <col min="14858" max="14858" width="1.85546875" style="17" customWidth="1"/>
    <col min="14859" max="14859" width="7" style="17" bestFit="1" customWidth="1"/>
    <col min="14860" max="14860" width="6.140625" style="17" customWidth="1"/>
    <col min="14861" max="14861" width="20.42578125" style="17" customWidth="1"/>
    <col min="14862" max="14862" width="6.42578125" style="17" bestFit="1" customWidth="1"/>
    <col min="14863" max="14864" width="8.42578125" style="17"/>
    <col min="14865" max="14865" width="3.140625" style="17" customWidth="1"/>
    <col min="14866" max="15104" width="8.42578125" style="17"/>
    <col min="15105" max="15105" width="10" style="17" bestFit="1" customWidth="1"/>
    <col min="15106" max="15106" width="44.140625" style="17" bestFit="1" customWidth="1"/>
    <col min="15107" max="15107" width="10.42578125" style="17" bestFit="1" customWidth="1"/>
    <col min="15108" max="15108" width="10.42578125" style="17" customWidth="1"/>
    <col min="15109" max="15109" width="9.85546875" style="17" bestFit="1" customWidth="1"/>
    <col min="15110" max="15111" width="9.5703125" style="17" bestFit="1" customWidth="1"/>
    <col min="15112" max="15112" width="10.42578125" style="17" bestFit="1" customWidth="1"/>
    <col min="15113" max="15113" width="4.5703125" style="17" customWidth="1"/>
    <col min="15114" max="15114" width="1.85546875" style="17" customWidth="1"/>
    <col min="15115" max="15115" width="7" style="17" bestFit="1" customWidth="1"/>
    <col min="15116" max="15116" width="6.140625" style="17" customWidth="1"/>
    <col min="15117" max="15117" width="20.42578125" style="17" customWidth="1"/>
    <col min="15118" max="15118" width="6.42578125" style="17" bestFit="1" customWidth="1"/>
    <col min="15119" max="15120" width="8.42578125" style="17"/>
    <col min="15121" max="15121" width="3.140625" style="17" customWidth="1"/>
    <col min="15122" max="15360" width="8.42578125" style="17"/>
    <col min="15361" max="15361" width="10" style="17" bestFit="1" customWidth="1"/>
    <col min="15362" max="15362" width="44.140625" style="17" bestFit="1" customWidth="1"/>
    <col min="15363" max="15363" width="10.42578125" style="17" bestFit="1" customWidth="1"/>
    <col min="15364" max="15364" width="10.42578125" style="17" customWidth="1"/>
    <col min="15365" max="15365" width="9.85546875" style="17" bestFit="1" customWidth="1"/>
    <col min="15366" max="15367" width="9.5703125" style="17" bestFit="1" customWidth="1"/>
    <col min="15368" max="15368" width="10.42578125" style="17" bestFit="1" customWidth="1"/>
    <col min="15369" max="15369" width="4.5703125" style="17" customWidth="1"/>
    <col min="15370" max="15370" width="1.85546875" style="17" customWidth="1"/>
    <col min="15371" max="15371" width="7" style="17" bestFit="1" customWidth="1"/>
    <col min="15372" max="15372" width="6.140625" style="17" customWidth="1"/>
    <col min="15373" max="15373" width="20.42578125" style="17" customWidth="1"/>
    <col min="15374" max="15374" width="6.42578125" style="17" bestFit="1" customWidth="1"/>
    <col min="15375" max="15376" width="8.42578125" style="17"/>
    <col min="15377" max="15377" width="3.140625" style="17" customWidth="1"/>
    <col min="15378" max="15616" width="8.42578125" style="17"/>
    <col min="15617" max="15617" width="10" style="17" bestFit="1" customWidth="1"/>
    <col min="15618" max="15618" width="44.140625" style="17" bestFit="1" customWidth="1"/>
    <col min="15619" max="15619" width="10.42578125" style="17" bestFit="1" customWidth="1"/>
    <col min="15620" max="15620" width="10.42578125" style="17" customWidth="1"/>
    <col min="15621" max="15621" width="9.85546875" style="17" bestFit="1" customWidth="1"/>
    <col min="15622" max="15623" width="9.5703125" style="17" bestFit="1" customWidth="1"/>
    <col min="15624" max="15624" width="10.42578125" style="17" bestFit="1" customWidth="1"/>
    <col min="15625" max="15625" width="4.5703125" style="17" customWidth="1"/>
    <col min="15626" max="15626" width="1.85546875" style="17" customWidth="1"/>
    <col min="15627" max="15627" width="7" style="17" bestFit="1" customWidth="1"/>
    <col min="15628" max="15628" width="6.140625" style="17" customWidth="1"/>
    <col min="15629" max="15629" width="20.42578125" style="17" customWidth="1"/>
    <col min="15630" max="15630" width="6.42578125" style="17" bestFit="1" customWidth="1"/>
    <col min="15631" max="15632" width="8.42578125" style="17"/>
    <col min="15633" max="15633" width="3.140625" style="17" customWidth="1"/>
    <col min="15634" max="15872" width="8.42578125" style="17"/>
    <col min="15873" max="15873" width="10" style="17" bestFit="1" customWidth="1"/>
    <col min="15874" max="15874" width="44.140625" style="17" bestFit="1" customWidth="1"/>
    <col min="15875" max="15875" width="10.42578125" style="17" bestFit="1" customWidth="1"/>
    <col min="15876" max="15876" width="10.42578125" style="17" customWidth="1"/>
    <col min="15877" max="15877" width="9.85546875" style="17" bestFit="1" customWidth="1"/>
    <col min="15878" max="15879" width="9.5703125" style="17" bestFit="1" customWidth="1"/>
    <col min="15880" max="15880" width="10.42578125" style="17" bestFit="1" customWidth="1"/>
    <col min="15881" max="15881" width="4.5703125" style="17" customWidth="1"/>
    <col min="15882" max="15882" width="1.85546875" style="17" customWidth="1"/>
    <col min="15883" max="15883" width="7" style="17" bestFit="1" customWidth="1"/>
    <col min="15884" max="15884" width="6.140625" style="17" customWidth="1"/>
    <col min="15885" max="15885" width="20.42578125" style="17" customWidth="1"/>
    <col min="15886" max="15886" width="6.42578125" style="17" bestFit="1" customWidth="1"/>
    <col min="15887" max="15888" width="8.42578125" style="17"/>
    <col min="15889" max="15889" width="3.140625" style="17" customWidth="1"/>
    <col min="15890" max="16128" width="8.42578125" style="17"/>
    <col min="16129" max="16129" width="10" style="17" bestFit="1" customWidth="1"/>
    <col min="16130" max="16130" width="44.140625" style="17" bestFit="1" customWidth="1"/>
    <col min="16131" max="16131" width="10.42578125" style="17" bestFit="1" customWidth="1"/>
    <col min="16132" max="16132" width="10.42578125" style="17" customWidth="1"/>
    <col min="16133" max="16133" width="9.85546875" style="17" bestFit="1" customWidth="1"/>
    <col min="16134" max="16135" width="9.5703125" style="17" bestFit="1" customWidth="1"/>
    <col min="16136" max="16136" width="10.42578125" style="17" bestFit="1" customWidth="1"/>
    <col min="16137" max="16137" width="4.5703125" style="17" customWidth="1"/>
    <col min="16138" max="16138" width="1.85546875" style="17" customWidth="1"/>
    <col min="16139" max="16139" width="7" style="17" bestFit="1" customWidth="1"/>
    <col min="16140" max="16140" width="6.140625" style="17" customWidth="1"/>
    <col min="16141" max="16141" width="20.42578125" style="17" customWidth="1"/>
    <col min="16142" max="16142" width="6.42578125" style="17" bestFit="1" customWidth="1"/>
    <col min="16143" max="16144" width="8.42578125" style="17"/>
    <col min="16145" max="16145" width="3.140625" style="17" customWidth="1"/>
    <col min="16146" max="16384" width="8.42578125" style="17"/>
  </cols>
  <sheetData>
    <row r="1" spans="1:10" ht="27.75" customHeight="1" x14ac:dyDescent="0.2">
      <c r="A1" s="12"/>
      <c r="B1" s="12"/>
      <c r="C1" s="12"/>
      <c r="D1" s="12"/>
      <c r="E1" s="13" t="s">
        <v>38</v>
      </c>
      <c r="F1" s="14" t="s">
        <v>39</v>
      </c>
      <c r="G1" s="14" t="s">
        <v>40</v>
      </c>
      <c r="H1" s="14" t="s">
        <v>41</v>
      </c>
      <c r="I1" s="15"/>
    </row>
    <row r="2" spans="1:10" ht="30.75" customHeight="1" x14ac:dyDescent="0.2">
      <c r="A2" s="12"/>
      <c r="B2" s="12"/>
      <c r="C2" s="12"/>
      <c r="D2" s="12"/>
      <c r="E2" s="18">
        <f>IFERROR(O55,"")</f>
        <v>10571.060915066595</v>
      </c>
      <c r="F2" s="18">
        <f>IFERROR(H46,"")</f>
        <v>7599.5931267231181</v>
      </c>
      <c r="G2" s="18">
        <f>IFERROR(H47,"")</f>
        <v>26.809522978484072</v>
      </c>
      <c r="H2" s="18">
        <f>IFERROR(H49,"")</f>
        <v>351.47497337593188</v>
      </c>
      <c r="I2" s="19"/>
    </row>
    <row r="3" spans="1:10" ht="15" customHeight="1" x14ac:dyDescent="0.2">
      <c r="A3" s="12"/>
      <c r="B3" s="12"/>
      <c r="C3" s="12"/>
      <c r="D3" s="12"/>
      <c r="E3" s="12"/>
      <c r="F3" s="20"/>
      <c r="G3" s="20"/>
      <c r="H3" s="20"/>
      <c r="I3" s="20"/>
    </row>
    <row r="4" spans="1:10" ht="24.75" customHeight="1" thickBot="1" x14ac:dyDescent="0.25">
      <c r="A4" s="275"/>
      <c r="B4" s="275"/>
      <c r="C4" s="275"/>
      <c r="D4" s="275"/>
      <c r="E4" s="275"/>
      <c r="F4" s="275"/>
      <c r="G4" s="275"/>
      <c r="H4" s="275"/>
      <c r="I4" s="21"/>
    </row>
    <row r="5" spans="1:10" ht="19.5" customHeight="1" thickBot="1" x14ac:dyDescent="0.25">
      <c r="A5" s="276" t="s">
        <v>42</v>
      </c>
      <c r="B5" s="277"/>
      <c r="C5" s="277"/>
      <c r="D5" s="277"/>
      <c r="E5" s="277"/>
      <c r="F5" s="277"/>
      <c r="G5" s="277"/>
      <c r="H5" s="278"/>
      <c r="I5" s="22"/>
    </row>
    <row r="6" spans="1:10" ht="19.5" thickBot="1" x14ac:dyDescent="0.25">
      <c r="A6" s="22"/>
      <c r="B6" s="22"/>
      <c r="C6" s="22"/>
      <c r="D6" s="22"/>
      <c r="E6" s="22"/>
      <c r="F6" s="279" t="s">
        <v>43</v>
      </c>
      <c r="G6" s="279"/>
      <c r="H6" s="23">
        <f ca="1">TODAY()</f>
        <v>45701</v>
      </c>
      <c r="I6" s="23"/>
    </row>
    <row r="7" spans="1:10" ht="26.25" thickBot="1" x14ac:dyDescent="0.25">
      <c r="A7" s="24" t="s">
        <v>44</v>
      </c>
      <c r="B7" s="25" t="s">
        <v>45</v>
      </c>
      <c r="C7" s="25" t="s">
        <v>44</v>
      </c>
      <c r="D7" s="26" t="s">
        <v>46</v>
      </c>
      <c r="E7" s="26" t="s">
        <v>47</v>
      </c>
      <c r="F7" s="26" t="s">
        <v>48</v>
      </c>
      <c r="G7" s="26" t="s">
        <v>49</v>
      </c>
      <c r="H7" s="27" t="s">
        <v>50</v>
      </c>
      <c r="I7" s="28"/>
    </row>
    <row r="8" spans="1:10" ht="13.5" x14ac:dyDescent="0.25">
      <c r="A8" s="29">
        <v>23000</v>
      </c>
      <c r="B8" s="17" t="str">
        <f>IFERROR(VLOOKUP(H8,'[1]ARTICULOS MP PLANTA'!$A$2:$G$589,2,0),"")</f>
        <v>FRESA CONGELADA BEGRO (PAQ:1 K)</v>
      </c>
      <c r="C8" s="30">
        <f>+A8</f>
        <v>23000</v>
      </c>
      <c r="D8" s="31" t="str">
        <f>IFERROR(VLOOKUP(H8,'[1]ARTICULOS MP PLANTA'!$A$2:$G$589,6,0),"")</f>
        <v>Gramo</v>
      </c>
      <c r="E8" s="31">
        <f>IFERROR(VLOOKUP(H8,'[1]ARTICULOS MP PLANTA'!$A$2:$G$589,7,0),"")</f>
        <v>1.861</v>
      </c>
      <c r="F8" s="31">
        <f>IFERROR(C8*E8,"")</f>
        <v>42803</v>
      </c>
      <c r="G8" s="32">
        <f>IFERROR(F8/$F$59,"")</f>
        <v>0.84561246398430079</v>
      </c>
      <c r="H8" s="33" t="s">
        <v>107</v>
      </c>
      <c r="I8" s="33"/>
      <c r="J8" s="34"/>
    </row>
    <row r="9" spans="1:10" ht="13.5" x14ac:dyDescent="0.25">
      <c r="A9" s="29">
        <v>34.5</v>
      </c>
      <c r="B9" s="17" t="str">
        <f>IFERROR(VLOOKUP(H9,'[1]ARTICULOS MP PLANTA'!$A$2:$G$589,2,0),"")</f>
        <v>PRESERVANTE 1017S (PAQ=5 KILO)</v>
      </c>
      <c r="C9" s="30">
        <f t="shared" ref="C9:C14" si="0">+A9</f>
        <v>34.5</v>
      </c>
      <c r="D9" s="31" t="str">
        <f>IFERROR(VLOOKUP(H9,'[1]ARTICULOS MP PLANTA'!$A$2:$G$589,6,0),"")</f>
        <v>Gramo</v>
      </c>
      <c r="E9" s="31">
        <f>IFERROR(VLOOKUP(H9,'[1]ARTICULOS MP PLANTA'!$A$2:$G$589,7,0),"")</f>
        <v>6.3214799999999993</v>
      </c>
      <c r="F9" s="31">
        <f t="shared" ref="F9:F14" si="1">IFERROR(C9*E9,"")</f>
        <v>218.09105999999997</v>
      </c>
      <c r="G9" s="32">
        <f t="shared" ref="G9:G14" si="2">IFERROR(F9/$F$59,"")</f>
        <v>4.3085886180769563E-3</v>
      </c>
      <c r="H9" s="33" t="s">
        <v>114</v>
      </c>
      <c r="I9" s="33"/>
      <c r="J9" s="34"/>
    </row>
    <row r="10" spans="1:10" ht="13.5" x14ac:dyDescent="0.25">
      <c r="A10" s="29">
        <v>1062.5</v>
      </c>
      <c r="B10" s="17" t="s">
        <v>33</v>
      </c>
      <c r="C10" s="30">
        <f t="shared" si="0"/>
        <v>1062.5</v>
      </c>
      <c r="D10" s="31" t="s">
        <v>95</v>
      </c>
      <c r="E10" s="31">
        <v>1.1599999999999999</v>
      </c>
      <c r="F10" s="31">
        <f t="shared" si="1"/>
        <v>1232.5</v>
      </c>
      <c r="G10" s="32">
        <f t="shared" si="2"/>
        <v>2.4349166223410757E-2</v>
      </c>
      <c r="H10" s="33" t="s">
        <v>32</v>
      </c>
      <c r="I10" s="33"/>
      <c r="J10" s="34"/>
    </row>
    <row r="11" spans="1:10" ht="13.5" x14ac:dyDescent="0.25">
      <c r="A11" s="29">
        <v>810</v>
      </c>
      <c r="B11" s="17" t="s">
        <v>35</v>
      </c>
      <c r="C11" s="30">
        <f t="shared" si="0"/>
        <v>810</v>
      </c>
      <c r="D11" s="31" t="s">
        <v>139</v>
      </c>
      <c r="E11" s="31">
        <v>0.1</v>
      </c>
      <c r="F11" s="31">
        <f t="shared" si="1"/>
        <v>81</v>
      </c>
      <c r="G11" s="32">
        <f t="shared" si="2"/>
        <v>1.600229179794135E-3</v>
      </c>
      <c r="H11" s="33" t="s">
        <v>116</v>
      </c>
      <c r="I11" s="33"/>
      <c r="J11" s="34"/>
    </row>
    <row r="12" spans="1:10" ht="13.5" x14ac:dyDescent="0.25">
      <c r="A12" s="29">
        <v>2</v>
      </c>
      <c r="B12" s="17" t="str">
        <f>IFERROR(VLOOKUP(H12,'[1]ARTICULOS MP PLANTA'!$A$2:$G$589,2,0),"")</f>
        <v>COLORANTE GEL SUPER RED</v>
      </c>
      <c r="C12" s="30">
        <f t="shared" si="0"/>
        <v>2</v>
      </c>
      <c r="D12" s="31" t="s">
        <v>139</v>
      </c>
      <c r="E12" s="31">
        <f>IFERROR(VLOOKUP(H12,'[1]ARTICULOS MP PLANTA'!$A$2:$G$589,7,0),"")</f>
        <v>18.46153846153846</v>
      </c>
      <c r="F12" s="31">
        <f t="shared" si="1"/>
        <v>36.92307692307692</v>
      </c>
      <c r="G12" s="32">
        <f t="shared" si="2"/>
        <v>7.2944919876655721E-4</v>
      </c>
      <c r="H12" s="33" t="s">
        <v>117</v>
      </c>
      <c r="I12" s="33"/>
      <c r="J12" s="34"/>
    </row>
    <row r="13" spans="1:10" ht="13.5" x14ac:dyDescent="0.25">
      <c r="A13" s="29">
        <v>2</v>
      </c>
      <c r="B13" s="17" t="str">
        <f>IFERROR(VLOOKUP(H13,'[1]ARTICULOS MP PLANTA'!$A$2:$G$589,2,0),"")</f>
        <v>COLORANTE ROJO (50ML)</v>
      </c>
      <c r="C13" s="30">
        <f t="shared" si="0"/>
        <v>2</v>
      </c>
      <c r="D13" s="31" t="str">
        <f>IFERROR(VLOOKUP(H13,'[1]ARTICULOS MP PLANTA'!$A$2:$G$589,6,0),"")</f>
        <v>Mililitro</v>
      </c>
      <c r="E13" s="31">
        <f>IFERROR(VLOOKUP(H13,'[1]ARTICULOS MP PLANTA'!$A$2:$G$589,7,0),"")</f>
        <v>26.034800000000001</v>
      </c>
      <c r="F13" s="31">
        <f t="shared" si="1"/>
        <v>52.069600000000001</v>
      </c>
      <c r="G13" s="32">
        <f t="shared" si="2"/>
        <v>1.0286826333359097E-3</v>
      </c>
      <c r="H13" s="33" t="s">
        <v>119</v>
      </c>
      <c r="I13" s="33"/>
      <c r="J13" s="34"/>
    </row>
    <row r="14" spans="1:10" ht="13.5" hidden="1" x14ac:dyDescent="0.25">
      <c r="A14" s="29"/>
      <c r="B14" s="17" t="str">
        <f>IFERROR(VLOOKUP(H14,'[1]ARTICULOS MP PLANTA'!$A$2:$G$589,2,0),"")</f>
        <v/>
      </c>
      <c r="C14" s="30">
        <f t="shared" si="0"/>
        <v>0</v>
      </c>
      <c r="D14" s="31" t="str">
        <f>IFERROR(VLOOKUP(H14,'[1]ARTICULOS MP PLANTA'!$A$2:$G$589,6,0),"")</f>
        <v/>
      </c>
      <c r="E14" s="31" t="str">
        <f>IFERROR(VLOOKUP(H14,'[1]ARTICULOS MP PLANTA'!$A$2:$G$589,7,0),"")</f>
        <v/>
      </c>
      <c r="F14" s="31" t="str">
        <f t="shared" si="1"/>
        <v/>
      </c>
      <c r="G14" s="32" t="str">
        <f t="shared" si="2"/>
        <v/>
      </c>
      <c r="H14" s="33"/>
      <c r="I14" s="33"/>
      <c r="J14" s="34"/>
    </row>
    <row r="15" spans="1:10" ht="14.25" thickBot="1" x14ac:dyDescent="0.3">
      <c r="A15" s="29"/>
      <c r="B15" s="17" t="str">
        <f>IFERROR(VLOOKUP(H15,'[1]ARTICULOS MP PLANTA'!$A$2:$G$589,2,0),"")</f>
        <v/>
      </c>
      <c r="C15" s="30"/>
      <c r="D15" s="31"/>
      <c r="E15" s="31"/>
      <c r="F15" s="31"/>
      <c r="G15" s="32"/>
      <c r="H15" s="33"/>
      <c r="I15" s="33"/>
      <c r="J15" s="34"/>
    </row>
    <row r="16" spans="1:10" ht="26.25" thickBot="1" x14ac:dyDescent="0.25">
      <c r="A16" s="24" t="s">
        <v>44</v>
      </c>
      <c r="B16" s="25" t="s">
        <v>51</v>
      </c>
      <c r="C16" s="25" t="s">
        <v>44</v>
      </c>
      <c r="D16" s="26" t="s">
        <v>46</v>
      </c>
      <c r="E16" s="26" t="s">
        <v>47</v>
      </c>
      <c r="F16" s="26" t="s">
        <v>48</v>
      </c>
      <c r="G16" s="26" t="s">
        <v>49</v>
      </c>
      <c r="H16" s="27" t="s">
        <v>50</v>
      </c>
      <c r="I16" s="28"/>
      <c r="J16" s="34"/>
    </row>
    <row r="17" spans="1:12" ht="13.5" x14ac:dyDescent="0.25">
      <c r="A17" s="29">
        <v>7130</v>
      </c>
      <c r="B17" s="17" t="s">
        <v>111</v>
      </c>
      <c r="C17" s="30">
        <f>+A17</f>
        <v>7130</v>
      </c>
      <c r="D17" s="30" t="s">
        <v>95</v>
      </c>
      <c r="E17" s="31">
        <f>+'[2]COSTEO EMP'!$E$62</f>
        <v>0.39</v>
      </c>
      <c r="F17" s="31">
        <f>IFERROR(E17*C17,"")</f>
        <v>2780.7000000000003</v>
      </c>
      <c r="G17" s="32">
        <f>IFERROR(F17/$F$59,"")</f>
        <v>5.4935275064858659E-2</v>
      </c>
      <c r="H17" s="33" t="s">
        <v>110</v>
      </c>
      <c r="I17" s="33"/>
      <c r="J17" s="34"/>
    </row>
    <row r="18" spans="1:12" ht="13.5" x14ac:dyDescent="0.25">
      <c r="A18" s="29">
        <v>920</v>
      </c>
      <c r="B18" s="17" t="s">
        <v>113</v>
      </c>
      <c r="C18" s="30">
        <f>+A18</f>
        <v>920</v>
      </c>
      <c r="D18" s="30" t="s">
        <v>139</v>
      </c>
      <c r="E18" s="31">
        <f>+'[3]COSTEO JUGO'!$E$34</f>
        <v>0.40127090909090907</v>
      </c>
      <c r="F18" s="31">
        <f>IFERROR(E18*C18,"")</f>
        <v>369.16923636363634</v>
      </c>
      <c r="G18" s="32">
        <f>IFERROR(F18/$F$59,"")</f>
        <v>7.2932763495235668E-3</v>
      </c>
      <c r="H18" s="33" t="s">
        <v>112</v>
      </c>
      <c r="I18" s="33"/>
      <c r="J18" s="34"/>
    </row>
    <row r="19" spans="1:12" ht="13.5" hidden="1" x14ac:dyDescent="0.25">
      <c r="A19" s="29"/>
      <c r="B19" s="17" t="str">
        <f>IFERROR(VLOOKUP($H19,[4]SEMIELABORADOS!$A$1:$J$998,2,0),"")</f>
        <v/>
      </c>
      <c r="C19" s="30">
        <f>+A19</f>
        <v>0</v>
      </c>
      <c r="D19" s="30" t="str">
        <f>IFERROR(VLOOKUP($H19,[4]SEMIELABORADOS!$A$1:$J$998,4,0),"")</f>
        <v/>
      </c>
      <c r="E19" s="31" t="str">
        <f>IFERROR(VLOOKUP($H19,[4]SEMIELABORADOS!$A$1:$J$998,6,0),"")</f>
        <v/>
      </c>
      <c r="F19" s="31" t="str">
        <f>IFERROR(E19*C19,"")</f>
        <v/>
      </c>
      <c r="G19" s="32" t="str">
        <f>IFERROR(F19/$F$59,"")</f>
        <v/>
      </c>
      <c r="H19" s="33"/>
      <c r="I19" s="33"/>
      <c r="J19" s="34"/>
    </row>
    <row r="20" spans="1:12" ht="13.5" hidden="1" x14ac:dyDescent="0.25">
      <c r="A20" s="29"/>
      <c r="B20" s="17" t="str">
        <f>IFERROR(VLOOKUP($H20,[4]SEMIELABORADOS!$A$1:$J$998,2,0),"")</f>
        <v/>
      </c>
      <c r="C20" s="30">
        <f>+A20</f>
        <v>0</v>
      </c>
      <c r="D20" s="30" t="str">
        <f>IFERROR(VLOOKUP($H20,[4]SEMIELABORADOS!$A$1:$J$998,4,0),"")</f>
        <v/>
      </c>
      <c r="E20" s="31" t="str">
        <f>IFERROR(VLOOKUP($H20,[4]SEMIELABORADOS!$A$1:$J$998,6,0),"")</f>
        <v/>
      </c>
      <c r="F20" s="31" t="str">
        <f>IFERROR(E20*C20,"")</f>
        <v/>
      </c>
      <c r="G20" s="32" t="str">
        <f>IFERROR(F20/$F$59,"")</f>
        <v/>
      </c>
      <c r="H20" s="33"/>
      <c r="I20" s="33"/>
      <c r="J20" s="34"/>
    </row>
    <row r="21" spans="1:12" ht="13.5" hidden="1" x14ac:dyDescent="0.25">
      <c r="A21" s="29"/>
      <c r="B21" s="17" t="str">
        <f>IFERROR(VLOOKUP($H21,[4]SEMIELABORADOS!$A$1:$J$998,2,0),"")</f>
        <v/>
      </c>
      <c r="C21" s="30">
        <f>+A21</f>
        <v>0</v>
      </c>
      <c r="D21" s="30" t="str">
        <f>IFERROR(VLOOKUP($H21,[4]SEMIELABORADOS!$A$1:$J$998,4,0),"")</f>
        <v/>
      </c>
      <c r="E21" s="31" t="str">
        <f>IFERROR(VLOOKUP($H21,[4]SEMIELABORADOS!$A$1:$J$998,6,0),"")</f>
        <v/>
      </c>
      <c r="F21" s="31" t="str">
        <f>IFERROR(E21*C21,"")</f>
        <v/>
      </c>
      <c r="G21" s="32" t="str">
        <f>IFERROR(F21/$F$59,"")</f>
        <v/>
      </c>
      <c r="H21" s="33"/>
      <c r="I21" s="33"/>
      <c r="J21" s="34"/>
    </row>
    <row r="22" spans="1:12" ht="14.25" thickBot="1" x14ac:dyDescent="0.3">
      <c r="A22" s="29"/>
      <c r="C22" s="30"/>
      <c r="D22" s="30"/>
      <c r="E22" s="31"/>
      <c r="F22" s="31"/>
      <c r="G22" s="32"/>
      <c r="H22" s="33"/>
      <c r="I22" s="33"/>
      <c r="J22" s="34"/>
    </row>
    <row r="23" spans="1:12" ht="26.25" thickBot="1" x14ac:dyDescent="0.25">
      <c r="A23" s="24" t="s">
        <v>44</v>
      </c>
      <c r="B23" s="25" t="s">
        <v>52</v>
      </c>
      <c r="C23" s="25" t="s">
        <v>44</v>
      </c>
      <c r="D23" s="26" t="s">
        <v>46</v>
      </c>
      <c r="E23" s="26" t="s">
        <v>47</v>
      </c>
      <c r="F23" s="26" t="s">
        <v>48</v>
      </c>
      <c r="G23" s="26" t="s">
        <v>49</v>
      </c>
      <c r="H23" s="27" t="s">
        <v>50</v>
      </c>
      <c r="I23" s="28"/>
    </row>
    <row r="24" spans="1:12" ht="13.5" x14ac:dyDescent="0.25">
      <c r="A24" s="29">
        <v>1</v>
      </c>
      <c r="B24" s="35" t="s">
        <v>124</v>
      </c>
      <c r="C24" s="30">
        <f t="shared" ref="C24:C29" si="3">+A24</f>
        <v>1</v>
      </c>
      <c r="D24" s="31" t="s">
        <v>140</v>
      </c>
      <c r="E24" s="31">
        <v>2.13</v>
      </c>
      <c r="F24" s="31">
        <f t="shared" ref="F24:F29" si="4">IFERROR(E24*C24,"")</f>
        <v>2.13</v>
      </c>
      <c r="G24" s="32">
        <f t="shared" ref="G24:G29" si="5">IFERROR(F24/$F$59,"")</f>
        <v>4.2080100653845769E-5</v>
      </c>
      <c r="H24" s="36" t="s">
        <v>123</v>
      </c>
      <c r="I24" s="36"/>
      <c r="J24" s="34"/>
      <c r="K24" s="274"/>
      <c r="L24" s="274"/>
    </row>
    <row r="25" spans="1:12" ht="13.5" hidden="1" x14ac:dyDescent="0.25">
      <c r="A25" s="29"/>
      <c r="B25" s="35" t="str">
        <f>IFERROR(VLOOKUP(H25,'[1]EMPAQUE PLANTA'!$A$2:$H$176,2,0),"")</f>
        <v/>
      </c>
      <c r="C25" s="30">
        <f t="shared" si="3"/>
        <v>0</v>
      </c>
      <c r="D25" s="31" t="str">
        <f>IFERROR(VLOOKUP(H25,'[1]EMPAQUE PLANTA'!$A$2:$H$176,7,0),"")</f>
        <v/>
      </c>
      <c r="E25" s="31" t="str">
        <f>IFERROR(VLOOKUP($H25,'[4]EMP PLANTA'!$A$2:$F$500,6,0),"")</f>
        <v/>
      </c>
      <c r="F25" s="31" t="str">
        <f t="shared" si="4"/>
        <v/>
      </c>
      <c r="G25" s="32" t="str">
        <f t="shared" si="5"/>
        <v/>
      </c>
      <c r="H25" s="36"/>
      <c r="I25" s="36"/>
      <c r="J25" s="34"/>
      <c r="K25" s="274"/>
      <c r="L25" s="274"/>
    </row>
    <row r="26" spans="1:12" ht="13.5" hidden="1" x14ac:dyDescent="0.25">
      <c r="A26" s="29"/>
      <c r="B26" s="35" t="str">
        <f>IFERROR(VLOOKUP(H26,'[1]EMPAQUE PLANTA'!$A$2:$H$176,2,0),"")</f>
        <v/>
      </c>
      <c r="C26" s="30">
        <f t="shared" si="3"/>
        <v>0</v>
      </c>
      <c r="D26" s="31" t="str">
        <f>IFERROR(VLOOKUP(H26,'[1]EMPAQUE PLANTA'!$A$2:$H$176,7,0),"")</f>
        <v/>
      </c>
      <c r="E26" s="31" t="str">
        <f>IFERROR(VLOOKUP($H26,'[4]EMP PLANTA'!$A$2:$F$500,6,0),"")</f>
        <v/>
      </c>
      <c r="F26" s="31" t="str">
        <f t="shared" si="4"/>
        <v/>
      </c>
      <c r="G26" s="32" t="str">
        <f t="shared" si="5"/>
        <v/>
      </c>
      <c r="H26" s="36"/>
      <c r="I26" s="36"/>
      <c r="J26" s="34"/>
      <c r="K26" s="274"/>
      <c r="L26" s="274"/>
    </row>
    <row r="27" spans="1:12" ht="13.5" hidden="1" x14ac:dyDescent="0.25">
      <c r="A27" s="29"/>
      <c r="B27" s="35" t="str">
        <f>IFERROR(VLOOKUP(H27,'[1]EMPAQUE PLANTA'!$A$2:$H$176,2,0),"")</f>
        <v/>
      </c>
      <c r="C27" s="30">
        <f t="shared" si="3"/>
        <v>0</v>
      </c>
      <c r="D27" s="31" t="str">
        <f>IFERROR(VLOOKUP(H27,'[1]EMPAQUE PLANTA'!$A$2:$H$176,7,0),"")</f>
        <v/>
      </c>
      <c r="E27" s="31" t="str">
        <f>IFERROR(VLOOKUP($H27,'[4]EMP PLANTA'!$A$2:$F$500,6,0),"")</f>
        <v/>
      </c>
      <c r="F27" s="31" t="str">
        <f t="shared" si="4"/>
        <v/>
      </c>
      <c r="G27" s="32" t="str">
        <f t="shared" si="5"/>
        <v/>
      </c>
      <c r="H27" s="36"/>
      <c r="I27" s="36"/>
      <c r="J27" s="34"/>
      <c r="K27" s="274"/>
      <c r="L27" s="274"/>
    </row>
    <row r="28" spans="1:12" ht="13.5" hidden="1" x14ac:dyDescent="0.25">
      <c r="A28" s="29"/>
      <c r="B28" s="35" t="str">
        <f>IFERROR(VLOOKUP(H28,'[1]EMPAQUE PLANTA'!$A$2:$H$176,2,0),"")</f>
        <v/>
      </c>
      <c r="C28" s="30">
        <f t="shared" si="3"/>
        <v>0</v>
      </c>
      <c r="D28" s="31" t="str">
        <f>IFERROR(VLOOKUP(H28,'[1]EMPAQUE PLANTA'!$A$2:$H$176,7,0),"")</f>
        <v/>
      </c>
      <c r="E28" s="31" t="str">
        <f>IFERROR(VLOOKUP($H28,'[4]EMP PLANTA'!$A$2:$F$500,6,0),"")</f>
        <v/>
      </c>
      <c r="F28" s="31" t="str">
        <f t="shared" si="4"/>
        <v/>
      </c>
      <c r="G28" s="32" t="str">
        <f t="shared" si="5"/>
        <v/>
      </c>
      <c r="H28" s="36"/>
      <c r="I28" s="36"/>
      <c r="J28" s="34"/>
      <c r="K28" s="37"/>
      <c r="L28" s="38"/>
    </row>
    <row r="29" spans="1:12" ht="13.5" hidden="1" x14ac:dyDescent="0.25">
      <c r="A29" s="29"/>
      <c r="B29" s="35" t="str">
        <f>IFERROR(VLOOKUP(H29,'[1]EMPAQUE PLANTA'!$A$2:$H$176,2,0),"")</f>
        <v/>
      </c>
      <c r="C29" s="30">
        <f t="shared" si="3"/>
        <v>0</v>
      </c>
      <c r="D29" s="31" t="str">
        <f>IFERROR(VLOOKUP(H29,'[1]EMPAQUE PLANTA'!$A$2:$H$176,7,0),"")</f>
        <v/>
      </c>
      <c r="E29" s="31" t="str">
        <f>IFERROR(VLOOKUP($H29,'[4]EMP PLANTA'!$A$2:$F$500,6,0),"")</f>
        <v/>
      </c>
      <c r="F29" s="31" t="str">
        <f t="shared" si="4"/>
        <v/>
      </c>
      <c r="G29" s="32" t="str">
        <f t="shared" si="5"/>
        <v/>
      </c>
      <c r="H29" s="36"/>
      <c r="I29" s="36"/>
      <c r="J29" s="34"/>
    </row>
    <row r="30" spans="1:12" ht="14.25" thickBot="1" x14ac:dyDescent="0.3">
      <c r="A30" s="29"/>
      <c r="B30" s="35" t="str">
        <f>IFERROR(VLOOKUP(H30,'[1]EMPAQUE PLANTA'!$A$2:$H$176,2,0),"")</f>
        <v/>
      </c>
      <c r="C30" s="30"/>
      <c r="D30" s="31"/>
      <c r="E30" s="31"/>
      <c r="F30" s="31"/>
      <c r="G30" s="32"/>
      <c r="H30" s="36"/>
      <c r="I30" s="36"/>
      <c r="J30" s="34"/>
    </row>
    <row r="31" spans="1:12" ht="26.25" thickBot="1" x14ac:dyDescent="0.25">
      <c r="A31" s="24" t="s">
        <v>44</v>
      </c>
      <c r="B31" s="25" t="s">
        <v>53</v>
      </c>
      <c r="C31" s="25" t="s">
        <v>44</v>
      </c>
      <c r="D31" s="26" t="s">
        <v>46</v>
      </c>
      <c r="E31" s="26" t="s">
        <v>47</v>
      </c>
      <c r="F31" s="26" t="s">
        <v>48</v>
      </c>
      <c r="G31" s="26" t="s">
        <v>49</v>
      </c>
      <c r="H31" s="27" t="s">
        <v>50</v>
      </c>
      <c r="I31" s="28"/>
      <c r="J31" s="34"/>
    </row>
    <row r="32" spans="1:12" ht="13.5" x14ac:dyDescent="0.25">
      <c r="A32" s="29">
        <f>+A17</f>
        <v>7130</v>
      </c>
      <c r="B32" s="35" t="s">
        <v>111</v>
      </c>
      <c r="C32" s="30">
        <f>+A32</f>
        <v>7130</v>
      </c>
      <c r="D32" s="31" t="s">
        <v>54</v>
      </c>
      <c r="E32" s="31">
        <f>+'[2]COSTEO EMP'!$E$69</f>
        <v>2.2945904761904765E-2</v>
      </c>
      <c r="F32" s="31">
        <f>IFERROR(E32*C32,"")</f>
        <v>163.60430095238098</v>
      </c>
      <c r="G32" s="32">
        <f>IFERROR(F32/$F$58,"")</f>
        <v>8.4989247247990118E-2</v>
      </c>
      <c r="H32" s="36"/>
      <c r="I32" s="36"/>
      <c r="J32" s="34"/>
    </row>
    <row r="33" spans="1:17" ht="13.5" x14ac:dyDescent="0.25">
      <c r="A33" s="29">
        <f>+A18</f>
        <v>920</v>
      </c>
      <c r="B33" s="35" t="s">
        <v>113</v>
      </c>
      <c r="C33" s="30">
        <f>+A33</f>
        <v>920</v>
      </c>
      <c r="D33" s="31" t="s">
        <v>54</v>
      </c>
      <c r="E33" s="31">
        <f>+'[3]COSTEO JUGO'!$E$41</f>
        <v>2.2753401010101007E-3</v>
      </c>
      <c r="F33" s="31">
        <f>IFERROR(E33*C33,"")</f>
        <v>2.0933128929292928</v>
      </c>
      <c r="G33" s="32">
        <f>IFERROR(F33/$F$58,"")</f>
        <v>1.0874352690541781E-3</v>
      </c>
      <c r="H33" s="36"/>
      <c r="I33" s="36"/>
      <c r="J33" s="34"/>
    </row>
    <row r="34" spans="1:17" ht="13.5" hidden="1" x14ac:dyDescent="0.25">
      <c r="A34" s="29">
        <f>+A19</f>
        <v>0</v>
      </c>
      <c r="B34" s="35"/>
      <c r="C34" s="30">
        <f>+A34</f>
        <v>0</v>
      </c>
      <c r="D34" s="31" t="s">
        <v>54</v>
      </c>
      <c r="E34" s="31" t="str">
        <f>IFERROR(VLOOKUP($H34,[4]SEMIELABORADOS!$A$1:$J$998,8,0),"")</f>
        <v/>
      </c>
      <c r="F34" s="31" t="str">
        <f>IFERROR(E34*C34,"")</f>
        <v/>
      </c>
      <c r="G34" s="32" t="str">
        <f>IFERROR(F34/$F$58,"")</f>
        <v/>
      </c>
      <c r="H34" s="36"/>
      <c r="I34" s="36"/>
      <c r="J34" s="34"/>
    </row>
    <row r="35" spans="1:17" ht="13.5" hidden="1" x14ac:dyDescent="0.25">
      <c r="A35" s="29">
        <f>+A20</f>
        <v>0</v>
      </c>
      <c r="B35" s="35"/>
      <c r="C35" s="30">
        <f>+A35</f>
        <v>0</v>
      </c>
      <c r="D35" s="31" t="s">
        <v>54</v>
      </c>
      <c r="E35" s="31" t="str">
        <f>IFERROR(VLOOKUP($H35,[4]SEMIELABORADOS!$A$1:$J$998,8,0),"")</f>
        <v/>
      </c>
      <c r="F35" s="31" t="str">
        <f>IFERROR(E35*C35,"")</f>
        <v/>
      </c>
      <c r="G35" s="32" t="str">
        <f>IFERROR(F35/$F$58,"")</f>
        <v/>
      </c>
      <c r="H35" s="36"/>
      <c r="I35" s="36"/>
      <c r="J35" s="34"/>
    </row>
    <row r="36" spans="1:17" ht="13.5" hidden="1" x14ac:dyDescent="0.25">
      <c r="A36" s="29">
        <f>+A21</f>
        <v>0</v>
      </c>
      <c r="B36" s="35"/>
      <c r="C36" s="30">
        <f>+A36</f>
        <v>0</v>
      </c>
      <c r="D36" s="31" t="s">
        <v>54</v>
      </c>
      <c r="E36" s="31" t="str">
        <f>IFERROR(VLOOKUP($H36,[4]SEMIELABORADOS!$A$1:$J$998,8,0),"")</f>
        <v/>
      </c>
      <c r="F36" s="31" t="str">
        <f>IFERROR(E36*C36,"")</f>
        <v/>
      </c>
      <c r="G36" s="32" t="str">
        <f>IFERROR(F36/$F$58,"")</f>
        <v/>
      </c>
      <c r="H36" s="36"/>
      <c r="I36" s="36"/>
      <c r="J36" s="34"/>
    </row>
    <row r="37" spans="1:17" ht="14.25" thickBot="1" x14ac:dyDescent="0.3">
      <c r="A37" s="29"/>
      <c r="B37" s="35"/>
      <c r="C37" s="30"/>
      <c r="D37" s="31"/>
      <c r="E37" s="31"/>
      <c r="F37" s="31"/>
      <c r="G37" s="32"/>
      <c r="H37" s="36"/>
      <c r="I37" s="36"/>
      <c r="J37" s="34"/>
    </row>
    <row r="38" spans="1:17" ht="26.25" thickBot="1" x14ac:dyDescent="0.25">
      <c r="A38" s="24" t="s">
        <v>44</v>
      </c>
      <c r="B38" s="25" t="s">
        <v>55</v>
      </c>
      <c r="C38" s="25" t="s">
        <v>44</v>
      </c>
      <c r="D38" s="25"/>
      <c r="E38" s="26" t="s">
        <v>47</v>
      </c>
      <c r="F38" s="26" t="s">
        <v>48</v>
      </c>
      <c r="G38" s="26" t="s">
        <v>49</v>
      </c>
      <c r="H38" s="27" t="s">
        <v>50</v>
      </c>
      <c r="I38" s="28"/>
      <c r="J38" s="34"/>
    </row>
    <row r="39" spans="1:17" ht="13.5" x14ac:dyDescent="0.25">
      <c r="A39" s="29">
        <f>+A17</f>
        <v>7130</v>
      </c>
      <c r="B39" s="39" t="s">
        <v>111</v>
      </c>
      <c r="C39" s="30">
        <f t="shared" ref="C39:C44" si="6">+A39</f>
        <v>7130</v>
      </c>
      <c r="D39" s="30" t="s">
        <v>54</v>
      </c>
      <c r="E39" s="31">
        <f>+'[2]COSTEO EMP'!$E$67</f>
        <v>3.6666666666666667E-2</v>
      </c>
      <c r="F39" s="31">
        <f t="shared" ref="F39:F44" si="7">IFERROR(C39*E39,"")</f>
        <v>261.43333333333334</v>
      </c>
      <c r="G39" s="32">
        <f t="shared" ref="G39:G44" si="8">IFERROR(F39/$F$59,"")</f>
        <v>5.1648549206277372E-3</v>
      </c>
      <c r="H39" s="40"/>
      <c r="I39" s="40"/>
      <c r="J39" s="34"/>
    </row>
    <row r="40" spans="1:17" ht="13.5" x14ac:dyDescent="0.25">
      <c r="A40" s="29">
        <f>+A18</f>
        <v>920</v>
      </c>
      <c r="B40" s="39" t="s">
        <v>113</v>
      </c>
      <c r="C40" s="30">
        <f t="shared" si="6"/>
        <v>920</v>
      </c>
      <c r="D40" s="30" t="s">
        <v>54</v>
      </c>
      <c r="E40" s="31">
        <f>+'[3]COSTEO JUGO'!$E$39</f>
        <v>1.4999999999999999E-2</v>
      </c>
      <c r="F40" s="31">
        <f t="shared" si="7"/>
        <v>13.799999999999999</v>
      </c>
      <c r="G40" s="32">
        <f t="shared" si="8"/>
        <v>2.7263163803900077E-4</v>
      </c>
      <c r="H40" s="40"/>
      <c r="I40" s="40"/>
      <c r="J40" s="34"/>
    </row>
    <row r="41" spans="1:17" ht="13.5" hidden="1" x14ac:dyDescent="0.25">
      <c r="A41" s="29">
        <f>+A19</f>
        <v>0</v>
      </c>
      <c r="B41" s="39"/>
      <c r="C41" s="30">
        <f t="shared" si="6"/>
        <v>0</v>
      </c>
      <c r="D41" s="30" t="s">
        <v>54</v>
      </c>
      <c r="E41" s="31" t="str">
        <f>IFERROR(VLOOKUP($H41,[4]SEMIELABORADOS!$A$1:$J$998,10,0),"")</f>
        <v/>
      </c>
      <c r="F41" s="31" t="str">
        <f t="shared" si="7"/>
        <v/>
      </c>
      <c r="G41" s="32" t="str">
        <f t="shared" si="8"/>
        <v/>
      </c>
      <c r="H41" s="40"/>
      <c r="I41" s="40"/>
      <c r="J41" s="34"/>
    </row>
    <row r="42" spans="1:17" ht="13.5" hidden="1" x14ac:dyDescent="0.25">
      <c r="A42" s="29">
        <f>+A20</f>
        <v>0</v>
      </c>
      <c r="B42" s="39"/>
      <c r="C42" s="30">
        <f t="shared" si="6"/>
        <v>0</v>
      </c>
      <c r="D42" s="30" t="s">
        <v>54</v>
      </c>
      <c r="E42" s="31" t="str">
        <f>IFERROR(VLOOKUP($H42,[4]SEMIELABORADOS!$A$1:$J$998,10,0),"")</f>
        <v/>
      </c>
      <c r="F42" s="31" t="str">
        <f t="shared" si="7"/>
        <v/>
      </c>
      <c r="G42" s="32" t="str">
        <f t="shared" si="8"/>
        <v/>
      </c>
      <c r="H42" s="40"/>
      <c r="I42" s="40"/>
      <c r="J42" s="34"/>
    </row>
    <row r="43" spans="1:17" ht="13.5" hidden="1" x14ac:dyDescent="0.25">
      <c r="A43" s="29">
        <f>+A21</f>
        <v>0</v>
      </c>
      <c r="B43" s="39"/>
      <c r="C43" s="30">
        <f t="shared" si="6"/>
        <v>0</v>
      </c>
      <c r="D43" s="30" t="s">
        <v>54</v>
      </c>
      <c r="E43" s="31" t="str">
        <f>IFERROR(VLOOKUP($H43,[4]SEMIELABORADOS!$A$1:$J$998,10,0),"")</f>
        <v/>
      </c>
      <c r="F43" s="31" t="str">
        <f t="shared" si="7"/>
        <v/>
      </c>
      <c r="G43" s="32" t="str">
        <f t="shared" si="8"/>
        <v/>
      </c>
      <c r="H43" s="40"/>
      <c r="I43" s="40"/>
      <c r="J43" s="34"/>
    </row>
    <row r="44" spans="1:17" ht="13.5" x14ac:dyDescent="0.25">
      <c r="A44" s="29">
        <v>1</v>
      </c>
      <c r="B44" s="35" t="s">
        <v>56</v>
      </c>
      <c r="C44" s="30">
        <f t="shared" si="6"/>
        <v>1</v>
      </c>
      <c r="D44" s="30" t="s">
        <v>54</v>
      </c>
      <c r="E44" s="31">
        <f>+F58</f>
        <v>1925</v>
      </c>
      <c r="F44" s="31">
        <f t="shared" si="7"/>
        <v>1925</v>
      </c>
      <c r="G44" s="32">
        <f t="shared" si="8"/>
        <v>3.8030137914860616E-2</v>
      </c>
      <c r="H44" s="40"/>
      <c r="I44" s="40"/>
      <c r="J44" s="34"/>
    </row>
    <row r="45" spans="1:17" ht="14.25" thickBot="1" x14ac:dyDescent="0.3">
      <c r="A45" s="29"/>
      <c r="B45" s="35"/>
      <c r="C45" s="30"/>
      <c r="D45" s="30"/>
      <c r="E45" s="31"/>
      <c r="F45" s="31"/>
      <c r="G45" s="32"/>
      <c r="H45" s="40"/>
      <c r="I45" s="40"/>
      <c r="J45" s="34"/>
    </row>
    <row r="46" spans="1:17" ht="13.5" thickBot="1" x14ac:dyDescent="0.25">
      <c r="A46" s="41"/>
      <c r="B46" s="280" t="s">
        <v>57</v>
      </c>
      <c r="C46" s="280"/>
      <c r="D46" s="280"/>
      <c r="E46" s="280"/>
      <c r="F46" s="42">
        <f>SUM(F8:F14,F17:F21)</f>
        <v>47573.452973286716</v>
      </c>
      <c r="G46" s="32">
        <f>+F46/$F$59</f>
        <v>0.93985713125206738</v>
      </c>
      <c r="H46" s="43">
        <f>+F46/$D$53</f>
        <v>7599.5931267231181</v>
      </c>
      <c r="I46" s="43"/>
      <c r="J46" s="44"/>
      <c r="K46" s="45"/>
      <c r="L46" s="45"/>
      <c r="M46" s="45"/>
      <c r="N46" s="45"/>
      <c r="O46" s="45"/>
      <c r="P46" s="45"/>
      <c r="Q46" s="46"/>
    </row>
    <row r="47" spans="1:17" x14ac:dyDescent="0.2">
      <c r="A47" s="41"/>
      <c r="B47" s="280" t="s">
        <v>58</v>
      </c>
      <c r="C47" s="280"/>
      <c r="D47" s="280"/>
      <c r="E47" s="280"/>
      <c r="F47" s="42">
        <f>SUM(F24:F29,F32:F36)</f>
        <v>167.82761384531028</v>
      </c>
      <c r="G47" s="32">
        <f>+F47/$F$59</f>
        <v>3.315588208030712E-3</v>
      </c>
      <c r="H47" s="43">
        <f>+F47/$D$53</f>
        <v>26.809522978484072</v>
      </c>
      <c r="I47" s="43"/>
      <c r="J47" s="47"/>
      <c r="K47" s="281" t="s">
        <v>59</v>
      </c>
      <c r="L47" s="282"/>
      <c r="M47" s="282"/>
      <c r="N47" s="282"/>
      <c r="O47" s="48">
        <f>+F48</f>
        <v>47741.280587132023</v>
      </c>
      <c r="P47" s="48"/>
      <c r="Q47" s="49"/>
    </row>
    <row r="48" spans="1:17" x14ac:dyDescent="0.2">
      <c r="A48" s="41"/>
      <c r="B48" s="280" t="s">
        <v>60</v>
      </c>
      <c r="C48" s="280"/>
      <c r="D48" s="280"/>
      <c r="E48" s="280"/>
      <c r="F48" s="42">
        <f>+F46+F47</f>
        <v>47741.280587132023</v>
      </c>
      <c r="G48" s="32">
        <f>+F48/$F$59</f>
        <v>0.94317271946009795</v>
      </c>
      <c r="H48" s="43">
        <f>+F48/$D$53</f>
        <v>7626.4026497016011</v>
      </c>
      <c r="I48" s="43"/>
      <c r="J48" s="50"/>
      <c r="K48" s="51"/>
      <c r="L48" s="283" t="s">
        <v>61</v>
      </c>
      <c r="M48" s="283"/>
      <c r="N48" s="283"/>
      <c r="O48" s="48">
        <f>+F49</f>
        <v>2200.2333333333336</v>
      </c>
      <c r="P48" s="48"/>
      <c r="Q48" s="49"/>
    </row>
    <row r="49" spans="1:17" ht="13.5" thickBot="1" x14ac:dyDescent="0.25">
      <c r="A49" s="41"/>
      <c r="B49" s="52"/>
      <c r="C49" s="280" t="s">
        <v>62</v>
      </c>
      <c r="D49" s="280"/>
      <c r="E49" s="280"/>
      <c r="F49" s="42">
        <f>SUM(F39:F44)</f>
        <v>2200.2333333333336</v>
      </c>
      <c r="G49" s="32">
        <f>+F49/$F$59</f>
        <v>4.346762447352736E-2</v>
      </c>
      <c r="H49" s="43">
        <f>+F49/$D$53</f>
        <v>351.47497337593188</v>
      </c>
      <c r="I49" s="43"/>
      <c r="J49" s="50"/>
      <c r="K49" s="51"/>
      <c r="L49" s="51"/>
      <c r="M49" s="51" t="s">
        <v>136</v>
      </c>
      <c r="N49" s="116">
        <v>0.01</v>
      </c>
      <c r="O49" s="48">
        <f>O47*N49</f>
        <v>477.41280587132024</v>
      </c>
      <c r="P49" s="48"/>
      <c r="Q49" s="49"/>
    </row>
    <row r="50" spans="1:17" ht="13.5" thickBot="1" x14ac:dyDescent="0.25">
      <c r="A50" s="41"/>
      <c r="B50" s="54"/>
      <c r="C50" s="54"/>
      <c r="D50" s="54"/>
      <c r="E50" s="54"/>
      <c r="F50" s="55"/>
      <c r="G50" s="32"/>
      <c r="H50" s="56"/>
      <c r="I50" s="43"/>
      <c r="J50" s="50"/>
      <c r="K50" s="60"/>
      <c r="M50" s="61" t="s">
        <v>66</v>
      </c>
      <c r="N50" s="62"/>
      <c r="O50" s="63">
        <f>SUM(O47:O49)</f>
        <v>50418.926726336671</v>
      </c>
      <c r="P50" s="64"/>
      <c r="Q50" s="49"/>
    </row>
    <row r="51" spans="1:17" x14ac:dyDescent="0.2">
      <c r="B51" s="285" t="s">
        <v>65</v>
      </c>
      <c r="C51" s="285"/>
      <c r="D51" s="58">
        <v>31300</v>
      </c>
      <c r="E51" s="59"/>
      <c r="G51" s="32"/>
      <c r="H51" s="56"/>
      <c r="I51" s="57"/>
      <c r="J51" s="50"/>
      <c r="K51" s="60"/>
      <c r="L51" s="51"/>
      <c r="M51" s="51" t="s">
        <v>137</v>
      </c>
      <c r="N51" s="66">
        <v>0.25</v>
      </c>
      <c r="O51" s="48">
        <f>+O50*N51</f>
        <v>12604.731681584168</v>
      </c>
      <c r="P51" s="48"/>
      <c r="Q51" s="49"/>
    </row>
    <row r="52" spans="1:17" x14ac:dyDescent="0.2">
      <c r="B52" s="285" t="s">
        <v>67</v>
      </c>
      <c r="C52" s="285"/>
      <c r="D52" s="65">
        <v>5000</v>
      </c>
      <c r="E52" s="59"/>
      <c r="G52" s="32"/>
      <c r="H52" s="56"/>
      <c r="I52" s="57"/>
      <c r="J52" s="50"/>
      <c r="K52" s="60"/>
      <c r="L52" s="51"/>
      <c r="M52" s="283" t="s">
        <v>66</v>
      </c>
      <c r="N52" s="283"/>
      <c r="O52" s="48">
        <f>SUM(O50:O51)</f>
        <v>63023.658407920841</v>
      </c>
      <c r="P52" s="48"/>
      <c r="Q52" s="49"/>
    </row>
    <row r="53" spans="1:17" ht="13.5" thickBot="1" x14ac:dyDescent="0.25">
      <c r="B53" s="286" t="s">
        <v>69</v>
      </c>
      <c r="C53" s="286"/>
      <c r="D53" s="58">
        <f>+D51/D52</f>
        <v>6.26</v>
      </c>
      <c r="E53" s="59"/>
      <c r="F53" s="67"/>
      <c r="G53" s="32"/>
      <c r="H53" s="56"/>
      <c r="I53" s="57"/>
      <c r="J53" s="50"/>
      <c r="K53" s="60"/>
      <c r="L53" s="283" t="s">
        <v>76</v>
      </c>
      <c r="M53" s="283"/>
      <c r="N53" s="66">
        <v>0.05</v>
      </c>
      <c r="O53" s="48">
        <f>+O52*N53</f>
        <v>3151.1829203960424</v>
      </c>
      <c r="P53" s="48"/>
      <c r="Q53" s="49"/>
    </row>
    <row r="54" spans="1:17" ht="13.5" thickBot="1" x14ac:dyDescent="0.25">
      <c r="B54" s="286" t="s">
        <v>138</v>
      </c>
      <c r="C54" s="286"/>
      <c r="D54" s="68"/>
      <c r="E54" s="59"/>
      <c r="F54" s="67"/>
      <c r="G54" s="32"/>
      <c r="H54" s="56"/>
      <c r="I54" s="57"/>
      <c r="J54" s="50"/>
      <c r="K54" s="287" t="s">
        <v>77</v>
      </c>
      <c r="L54" s="288"/>
      <c r="M54" s="288"/>
      <c r="N54" s="289"/>
      <c r="O54" s="63">
        <f>SUM(O52:O53)</f>
        <v>66174.841328316877</v>
      </c>
      <c r="P54" s="73" t="s">
        <v>78</v>
      </c>
      <c r="Q54" s="49"/>
    </row>
    <row r="55" spans="1:17" ht="13.5" thickBot="1" x14ac:dyDescent="0.25">
      <c r="C55" s="41" t="s">
        <v>73</v>
      </c>
      <c r="D55" s="69"/>
      <c r="E55" s="15" t="s">
        <v>74</v>
      </c>
      <c r="F55" s="70" t="s">
        <v>75</v>
      </c>
      <c r="G55" s="32"/>
      <c r="H55" s="56"/>
      <c r="I55" s="57"/>
      <c r="J55" s="75"/>
      <c r="K55" s="76"/>
      <c r="L55" s="290" t="s">
        <v>80</v>
      </c>
      <c r="M55" s="290"/>
      <c r="N55" s="290"/>
      <c r="O55" s="77">
        <f>+O54/D53</f>
        <v>10571.060915066595</v>
      </c>
      <c r="P55" s="78">
        <f>+O55/D52</f>
        <v>2.1142121830133189</v>
      </c>
      <c r="Q55" s="79"/>
    </row>
    <row r="56" spans="1:17" ht="13.5" thickBot="1" x14ac:dyDescent="0.25">
      <c r="B56" s="291" t="s">
        <v>60</v>
      </c>
      <c r="C56" s="291"/>
      <c r="D56" s="291"/>
      <c r="E56" s="71">
        <f>+F56/F56</f>
        <v>1</v>
      </c>
      <c r="F56" s="72">
        <f>SUM(F48)</f>
        <v>47741.280587132023</v>
      </c>
      <c r="G56" s="32">
        <f>+F56/$F$59</f>
        <v>0.94317271946009795</v>
      </c>
      <c r="H56" s="56"/>
      <c r="I56" s="57"/>
      <c r="K56" s="292"/>
      <c r="L56" s="293"/>
      <c r="M56" s="293"/>
      <c r="N56" s="293"/>
      <c r="O56" s="81"/>
      <c r="P56" s="82"/>
    </row>
    <row r="57" spans="1:17" ht="13.5" thickBot="1" x14ac:dyDescent="0.25">
      <c r="B57" s="284" t="s">
        <v>79</v>
      </c>
      <c r="C57" s="284"/>
      <c r="D57" s="284"/>
      <c r="E57" s="74">
        <v>0.02</v>
      </c>
      <c r="F57" s="72">
        <f>+F46*E57</f>
        <v>951.46905946573429</v>
      </c>
      <c r="G57" s="32">
        <f>+F57/$F$59</f>
        <v>1.8797142625041344E-2</v>
      </c>
      <c r="H57" s="43"/>
      <c r="I57" s="57"/>
      <c r="J57" s="84"/>
      <c r="O57" s="85"/>
      <c r="P57" s="52"/>
    </row>
    <row r="58" spans="1:17" ht="13.5" thickBot="1" x14ac:dyDescent="0.25">
      <c r="B58" s="295" t="s">
        <v>81</v>
      </c>
      <c r="C58" s="296"/>
      <c r="D58" s="107">
        <v>35</v>
      </c>
      <c r="E58" s="80">
        <v>55</v>
      </c>
      <c r="F58" s="72">
        <f>+E58*D58</f>
        <v>1925</v>
      </c>
      <c r="G58" s="32">
        <f>+F58/$F$59</f>
        <v>3.8030137914860616E-2</v>
      </c>
      <c r="H58" s="43"/>
      <c r="I58" s="43"/>
      <c r="J58" s="34"/>
    </row>
    <row r="59" spans="1:17" ht="13.5" thickBot="1" x14ac:dyDescent="0.25">
      <c r="B59" s="297" t="s">
        <v>82</v>
      </c>
      <c r="C59" s="298"/>
      <c r="D59" s="298"/>
      <c r="E59" s="299"/>
      <c r="F59" s="55">
        <f>SUM(F56:F58)</f>
        <v>50617.74964659776</v>
      </c>
      <c r="G59" s="32">
        <f>+F59/$F$59</f>
        <v>1</v>
      </c>
      <c r="H59" s="300"/>
      <c r="I59" s="43"/>
      <c r="J59" s="34"/>
    </row>
    <row r="60" spans="1:17" x14ac:dyDescent="0.2">
      <c r="C60" s="86"/>
      <c r="D60" s="86"/>
      <c r="E60" s="87"/>
      <c r="F60" s="72"/>
      <c r="G60" s="32"/>
      <c r="H60" s="300"/>
      <c r="I60" s="83"/>
      <c r="J60" s="17"/>
    </row>
    <row r="61" spans="1:17" ht="13.5" thickBot="1" x14ac:dyDescent="0.25">
      <c r="B61" s="301" t="s">
        <v>83</v>
      </c>
      <c r="C61" s="301"/>
      <c r="D61" s="301"/>
      <c r="E61" s="301"/>
      <c r="F61" s="301"/>
      <c r="G61" s="32"/>
      <c r="H61" s="88"/>
      <c r="I61" s="83"/>
      <c r="J61" s="17"/>
    </row>
    <row r="62" spans="1:17" ht="13.5" thickBot="1" x14ac:dyDescent="0.25">
      <c r="B62" s="89" t="s">
        <v>84</v>
      </c>
      <c r="C62" s="90">
        <f>+F46</f>
        <v>47573.452973286716</v>
      </c>
      <c r="D62" s="90">
        <f>+D51</f>
        <v>31300</v>
      </c>
      <c r="E62" s="91">
        <f>+C62/D62</f>
        <v>1.5199186253446235</v>
      </c>
      <c r="F62" s="32"/>
      <c r="G62" s="88"/>
      <c r="H62" s="34"/>
      <c r="I62" s="88"/>
      <c r="J62" s="17"/>
    </row>
    <row r="63" spans="1:17" x14ac:dyDescent="0.2">
      <c r="B63" s="92"/>
      <c r="C63" s="93"/>
      <c r="D63" s="94"/>
      <c r="E63" s="72"/>
      <c r="F63" s="32"/>
      <c r="G63" s="88"/>
      <c r="H63" s="34"/>
      <c r="I63" s="34"/>
      <c r="J63" s="17"/>
    </row>
    <row r="64" spans="1:17" x14ac:dyDescent="0.2">
      <c r="B64" s="89" t="s">
        <v>85</v>
      </c>
      <c r="C64" s="90">
        <f>SUM(F56:F57)</f>
        <v>48692.74964659776</v>
      </c>
      <c r="D64" s="90">
        <f>+D51</f>
        <v>31300</v>
      </c>
      <c r="E64" s="95">
        <f>+C64/D64</f>
        <v>1.5556789024472129</v>
      </c>
      <c r="F64" s="32"/>
      <c r="G64" s="88"/>
      <c r="H64" s="34"/>
      <c r="I64" s="34"/>
      <c r="J64" s="17"/>
    </row>
    <row r="65" spans="2:10" x14ac:dyDescent="0.2">
      <c r="B65" s="89"/>
      <c r="C65" s="90"/>
      <c r="D65" s="90"/>
      <c r="E65" s="95"/>
      <c r="F65" s="32"/>
      <c r="G65" s="88"/>
      <c r="H65" s="34"/>
      <c r="I65" s="34"/>
      <c r="J65" s="17"/>
    </row>
    <row r="66" spans="2:10" ht="13.5" thickBot="1" x14ac:dyDescent="0.25">
      <c r="B66" s="89" t="s">
        <v>86</v>
      </c>
      <c r="C66" s="90">
        <f>+F58</f>
        <v>1925</v>
      </c>
      <c r="D66" s="90">
        <f>+D51</f>
        <v>31300</v>
      </c>
      <c r="E66" s="95">
        <f>+C66/D66</f>
        <v>6.1501597444089458E-2</v>
      </c>
      <c r="F66" s="32"/>
      <c r="G66" s="88"/>
      <c r="H66" s="34"/>
      <c r="I66" s="34"/>
      <c r="J66" s="17"/>
    </row>
    <row r="67" spans="2:10" ht="13.5" thickBot="1" x14ac:dyDescent="0.25">
      <c r="B67" s="89" t="s">
        <v>87</v>
      </c>
      <c r="C67" s="90">
        <f>+F49</f>
        <v>2200.2333333333336</v>
      </c>
      <c r="D67" s="90">
        <f>+D66</f>
        <v>31300</v>
      </c>
      <c r="E67" s="91">
        <f>+C67/D67</f>
        <v>7.0294994675186379E-2</v>
      </c>
      <c r="F67" s="32"/>
      <c r="G67" s="88"/>
      <c r="H67" s="34"/>
      <c r="I67" s="34"/>
      <c r="J67" s="17"/>
    </row>
    <row r="68" spans="2:10" ht="13.5" thickBot="1" x14ac:dyDescent="0.25">
      <c r="B68" s="54"/>
      <c r="C68" s="55"/>
      <c r="D68" s="55"/>
      <c r="E68" s="95"/>
      <c r="F68" s="32"/>
      <c r="G68" s="88"/>
      <c r="H68" s="34"/>
      <c r="I68" s="34"/>
      <c r="J68" s="17"/>
    </row>
    <row r="69" spans="2:10" ht="13.5" thickBot="1" x14ac:dyDescent="0.25">
      <c r="B69" s="89" t="s">
        <v>88</v>
      </c>
      <c r="C69" s="90">
        <f>+F47</f>
        <v>167.82761384531028</v>
      </c>
      <c r="D69" s="90">
        <f>+D67</f>
        <v>31300</v>
      </c>
      <c r="E69" s="91">
        <f>+C69/D69</f>
        <v>5.3619045956968137E-3</v>
      </c>
      <c r="F69" s="32"/>
      <c r="G69" s="88"/>
      <c r="H69" s="34"/>
      <c r="I69" s="34"/>
      <c r="J69" s="34"/>
    </row>
    <row r="70" spans="2:10" ht="13.5" thickBot="1" x14ac:dyDescent="0.25">
      <c r="B70" s="54"/>
      <c r="C70" s="55"/>
      <c r="D70" s="55"/>
      <c r="E70" s="95"/>
      <c r="F70" s="32"/>
      <c r="G70" s="88"/>
      <c r="H70" s="34"/>
      <c r="I70" s="34"/>
    </row>
    <row r="71" spans="2:10" ht="13.5" thickBot="1" x14ac:dyDescent="0.25">
      <c r="B71" s="302" t="s">
        <v>89</v>
      </c>
      <c r="C71" s="303"/>
      <c r="D71" s="304"/>
      <c r="E71" s="91">
        <f>+E62+E67</f>
        <v>1.5902136200198098</v>
      </c>
      <c r="G71" s="32"/>
      <c r="H71" s="88"/>
      <c r="I71" s="34"/>
      <c r="J71" s="95"/>
    </row>
    <row r="72" spans="2:10" x14ac:dyDescent="0.2">
      <c r="I72" s="88"/>
      <c r="J72" s="17"/>
    </row>
    <row r="73" spans="2:10" ht="13.5" thickBot="1" x14ac:dyDescent="0.25">
      <c r="B73" s="301" t="s">
        <v>90</v>
      </c>
      <c r="C73" s="301"/>
      <c r="D73" s="301"/>
      <c r="E73" s="301"/>
      <c r="F73" s="301"/>
      <c r="G73" s="32"/>
      <c r="H73" s="88"/>
      <c r="J73" s="17"/>
    </row>
    <row r="74" spans="2:10" ht="13.5" thickBot="1" x14ac:dyDescent="0.25">
      <c r="B74" s="89" t="s">
        <v>84</v>
      </c>
      <c r="C74" s="90">
        <f>+C62</f>
        <v>47573.452973286716</v>
      </c>
      <c r="D74" s="90">
        <f>+D53</f>
        <v>6.26</v>
      </c>
      <c r="E74" s="91">
        <f>+C74/D74</f>
        <v>7599.5931267231181</v>
      </c>
      <c r="F74" s="32"/>
      <c r="G74" s="88"/>
      <c r="H74" s="34"/>
      <c r="I74" s="88"/>
      <c r="J74" s="17"/>
    </row>
    <row r="75" spans="2:10" x14ac:dyDescent="0.2">
      <c r="B75" s="92"/>
      <c r="C75" s="93"/>
      <c r="D75" s="94"/>
      <c r="E75" s="72"/>
      <c r="F75" s="32"/>
      <c r="G75" s="88"/>
      <c r="H75" s="34"/>
      <c r="I75" s="34"/>
      <c r="J75" s="17"/>
    </row>
    <row r="76" spans="2:10" x14ac:dyDescent="0.2">
      <c r="B76" s="89" t="s">
        <v>85</v>
      </c>
      <c r="C76" s="90">
        <f>+C64</f>
        <v>48692.74964659776</v>
      </c>
      <c r="D76" s="90">
        <f>+D53</f>
        <v>6.26</v>
      </c>
      <c r="E76" s="95">
        <f>+C76/D76</f>
        <v>7778.3945122360637</v>
      </c>
      <c r="F76" s="32"/>
      <c r="G76" s="88"/>
      <c r="H76" s="34"/>
      <c r="I76" s="34"/>
      <c r="J76" s="17"/>
    </row>
    <row r="77" spans="2:10" x14ac:dyDescent="0.2">
      <c r="B77" s="89"/>
      <c r="C77" s="90"/>
      <c r="D77" s="90"/>
      <c r="E77" s="95"/>
      <c r="F77" s="32"/>
      <c r="G77" s="88"/>
      <c r="H77" s="34"/>
      <c r="I77" s="34"/>
      <c r="J77" s="17"/>
    </row>
    <row r="78" spans="2:10" ht="13.5" thickBot="1" x14ac:dyDescent="0.25">
      <c r="B78" s="89" t="s">
        <v>87</v>
      </c>
      <c r="C78" s="90">
        <f>+C66</f>
        <v>1925</v>
      </c>
      <c r="D78" s="90">
        <f>+D53</f>
        <v>6.26</v>
      </c>
      <c r="E78" s="95">
        <f>+C78/D78</f>
        <v>307.50798722044732</v>
      </c>
      <c r="F78" s="98"/>
      <c r="G78" s="97"/>
      <c r="H78" s="16"/>
      <c r="I78" s="34"/>
    </row>
    <row r="79" spans="2:10" ht="13.5" thickBot="1" x14ac:dyDescent="0.25">
      <c r="B79" s="89" t="s">
        <v>87</v>
      </c>
      <c r="C79" s="90">
        <f>+C67</f>
        <v>2200.2333333333336</v>
      </c>
      <c r="D79" s="90">
        <f>+D78</f>
        <v>6.26</v>
      </c>
      <c r="E79" s="91">
        <f>+C79/D79</f>
        <v>351.47497337593188</v>
      </c>
      <c r="F79" s="96"/>
      <c r="G79" s="97"/>
      <c r="H79" s="16"/>
      <c r="I79" s="16"/>
    </row>
    <row r="80" spans="2:10" x14ac:dyDescent="0.2">
      <c r="I80" s="16"/>
    </row>
    <row r="81" spans="1:7" x14ac:dyDescent="0.2">
      <c r="A81" s="294"/>
      <c r="B81" s="294"/>
      <c r="C81" s="99"/>
      <c r="D81" s="99"/>
      <c r="E81" s="100"/>
      <c r="G81" s="101"/>
    </row>
    <row r="82" spans="1:7" x14ac:dyDescent="0.2">
      <c r="A82" s="35"/>
      <c r="B82" s="102"/>
      <c r="C82" s="103"/>
      <c r="D82" s="103"/>
      <c r="E82" s="104"/>
      <c r="G82" s="101"/>
    </row>
    <row r="83" spans="1:7" x14ac:dyDescent="0.2">
      <c r="A83" s="35"/>
      <c r="B83" s="102"/>
      <c r="C83" s="105"/>
      <c r="D83" s="105"/>
      <c r="E83" s="35"/>
      <c r="G83" s="101"/>
    </row>
    <row r="84" spans="1:7" x14ac:dyDescent="0.2">
      <c r="A84" s="35"/>
      <c r="B84" s="102"/>
      <c r="C84" s="106"/>
      <c r="D84" s="106"/>
      <c r="E84" s="35"/>
      <c r="G84" s="101"/>
    </row>
  </sheetData>
  <mergeCells count="31">
    <mergeCell ref="A81:B81"/>
    <mergeCell ref="B58:C58"/>
    <mergeCell ref="B59:E59"/>
    <mergeCell ref="H59:H60"/>
    <mergeCell ref="B61:F61"/>
    <mergeCell ref="B71:D71"/>
    <mergeCell ref="B73:F73"/>
    <mergeCell ref="B57:D57"/>
    <mergeCell ref="C49:E49"/>
    <mergeCell ref="B51:C51"/>
    <mergeCell ref="B52:C52"/>
    <mergeCell ref="M52:N52"/>
    <mergeCell ref="B53:C53"/>
    <mergeCell ref="L53:M53"/>
    <mergeCell ref="B54:C54"/>
    <mergeCell ref="K54:N54"/>
    <mergeCell ref="L55:N55"/>
    <mergeCell ref="B56:D56"/>
    <mergeCell ref="K56:N56"/>
    <mergeCell ref="K27:L27"/>
    <mergeCell ref="B46:E46"/>
    <mergeCell ref="B47:E47"/>
    <mergeCell ref="K47:N47"/>
    <mergeCell ref="B48:E48"/>
    <mergeCell ref="L48:N48"/>
    <mergeCell ref="K26:L26"/>
    <mergeCell ref="A4:H4"/>
    <mergeCell ref="A5:H5"/>
    <mergeCell ref="F6:G6"/>
    <mergeCell ref="K24:L24"/>
    <mergeCell ref="K25:L2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80"/>
  <sheetViews>
    <sheetView topLeftCell="A30" workbookViewId="0">
      <selection activeCell="H46" sqref="H46"/>
    </sheetView>
  </sheetViews>
  <sheetFormatPr baseColWidth="10" defaultColWidth="8.42578125" defaultRowHeight="12.75" x14ac:dyDescent="0.2"/>
  <cols>
    <col min="1" max="1" width="10" style="17" bestFit="1" customWidth="1"/>
    <col min="2" max="2" width="44.140625" style="17" bestFit="1" customWidth="1"/>
    <col min="3" max="3" width="10.42578125" style="17" bestFit="1" customWidth="1"/>
    <col min="4" max="4" width="10.42578125" style="17" customWidth="1"/>
    <col min="5" max="5" width="9.85546875" style="17" bestFit="1" customWidth="1"/>
    <col min="6" max="6" width="9.5703125" style="17" bestFit="1" customWidth="1"/>
    <col min="7" max="7" width="9.5703125" style="96" bestFit="1" customWidth="1"/>
    <col min="8" max="8" width="10.42578125" style="97" bestFit="1" customWidth="1"/>
    <col min="9" max="9" width="4.5703125" style="97" customWidth="1"/>
    <col min="10" max="10" width="1.85546875" style="16" customWidth="1"/>
    <col min="11" max="11" width="7" style="17" bestFit="1" customWidth="1"/>
    <col min="12" max="12" width="6.140625" style="17" customWidth="1"/>
    <col min="13" max="13" width="20.42578125" style="17" customWidth="1"/>
    <col min="14" max="14" width="6.42578125" style="17" bestFit="1" customWidth="1"/>
    <col min="15" max="16" width="8.42578125" style="17" customWidth="1"/>
    <col min="17" max="17" width="3.140625" style="17" customWidth="1"/>
    <col min="18" max="16384" width="8.42578125" style="17"/>
  </cols>
  <sheetData>
    <row r="1" spans="1:10" ht="27.75" customHeight="1" x14ac:dyDescent="0.2">
      <c r="A1" s="12"/>
      <c r="B1" s="12"/>
      <c r="C1" s="12"/>
      <c r="D1" s="12"/>
      <c r="E1" s="13" t="s">
        <v>38</v>
      </c>
      <c r="F1" s="14" t="s">
        <v>39</v>
      </c>
      <c r="G1" s="14" t="s">
        <v>40</v>
      </c>
      <c r="H1" s="14" t="s">
        <v>41</v>
      </c>
      <c r="I1" s="15"/>
    </row>
    <row r="2" spans="1:10" ht="30.75" customHeight="1" x14ac:dyDescent="0.2">
      <c r="A2" s="12"/>
      <c r="B2" s="12"/>
      <c r="C2" s="12"/>
      <c r="D2" s="12"/>
      <c r="E2" s="18">
        <f>IFERROR(O53,"")</f>
        <v>53419.794787549785</v>
      </c>
      <c r="F2" s="18">
        <f>IFERROR(H42,"")</f>
        <v>1342.5618220137478</v>
      </c>
      <c r="G2" s="18">
        <f>IFERROR(H43,"")</f>
        <v>3.1293822010520538</v>
      </c>
      <c r="H2" s="18">
        <f>IFERROR(H45,"")</f>
        <v>63.060702875399357</v>
      </c>
      <c r="I2" s="19"/>
    </row>
    <row r="3" spans="1:10" ht="15" customHeight="1" x14ac:dyDescent="0.2">
      <c r="A3" s="12"/>
      <c r="B3" s="12"/>
      <c r="C3" s="12"/>
      <c r="D3" s="12"/>
      <c r="E3" s="12"/>
      <c r="F3" s="20"/>
      <c r="G3" s="20"/>
      <c r="H3" s="20"/>
      <c r="I3" s="20"/>
    </row>
    <row r="4" spans="1:10" ht="24.75" customHeight="1" thickBot="1" x14ac:dyDescent="0.25">
      <c r="A4" s="275" t="s">
        <v>91</v>
      </c>
      <c r="B4" s="275"/>
      <c r="C4" s="275"/>
      <c r="D4" s="275"/>
      <c r="E4" s="275"/>
      <c r="F4" s="275"/>
      <c r="G4" s="275"/>
      <c r="H4" s="275"/>
      <c r="I4" s="21"/>
    </row>
    <row r="5" spans="1:10" ht="19.5" customHeight="1" thickBot="1" x14ac:dyDescent="0.25">
      <c r="A5" s="276" t="s">
        <v>42</v>
      </c>
      <c r="B5" s="277"/>
      <c r="C5" s="277"/>
      <c r="D5" s="277"/>
      <c r="E5" s="277"/>
      <c r="F5" s="277"/>
      <c r="G5" s="277"/>
      <c r="H5" s="278"/>
      <c r="I5" s="22"/>
    </row>
    <row r="6" spans="1:10" ht="19.5" thickBot="1" x14ac:dyDescent="0.25">
      <c r="A6" s="22"/>
      <c r="B6" s="22"/>
      <c r="C6" s="22"/>
      <c r="D6" s="22"/>
      <c r="E6" s="22"/>
      <c r="F6" s="279" t="s">
        <v>43</v>
      </c>
      <c r="G6" s="279"/>
      <c r="H6" s="23">
        <f ca="1">TODAY()</f>
        <v>45701</v>
      </c>
      <c r="I6" s="23"/>
    </row>
    <row r="7" spans="1:10" ht="26.25" thickBot="1" x14ac:dyDescent="0.25">
      <c r="A7" s="24" t="s">
        <v>44</v>
      </c>
      <c r="B7" s="25" t="s">
        <v>45</v>
      </c>
      <c r="C7" s="25" t="s">
        <v>44</v>
      </c>
      <c r="D7" s="26" t="s">
        <v>46</v>
      </c>
      <c r="E7" s="26" t="s">
        <v>47</v>
      </c>
      <c r="F7" s="26" t="s">
        <v>48</v>
      </c>
      <c r="G7" s="26" t="s">
        <v>49</v>
      </c>
      <c r="H7" s="27" t="s">
        <v>50</v>
      </c>
      <c r="I7" s="28"/>
    </row>
    <row r="8" spans="1:10" ht="13.5" x14ac:dyDescent="0.25">
      <c r="A8" s="108">
        <v>7130</v>
      </c>
      <c r="B8" s="17" t="str">
        <f>IFERROR(VLOOKUP($H8,'[4]MP PLANTA'!$A$2:$F$500,2,0),"")</f>
        <v>AZUCAR BLANCO (INDUSTRIAL)</v>
      </c>
      <c r="C8" s="30">
        <f>+A8</f>
        <v>7130</v>
      </c>
      <c r="D8" s="31" t="str">
        <f>IFERROR(VLOOKUP($H8,'[4]MP PLANTA'!$A$2:$F$500,5,0),"")</f>
        <v>Gramo</v>
      </c>
      <c r="E8" s="31">
        <f>IFERROR(VLOOKUP($H8,'[4]MP PLANTA'!$A$2:$F$500,6,0),"")</f>
        <v>0.37895899999999999</v>
      </c>
      <c r="F8" s="31">
        <f>IFERROR(C8*E8,"")</f>
        <v>2701.9776699999998</v>
      </c>
      <c r="G8" s="32">
        <f>IFERROR(F8/$F$55,"")</f>
        <v>6.0150108629297948E-2</v>
      </c>
      <c r="H8" s="33" t="s">
        <v>27</v>
      </c>
      <c r="I8" s="33"/>
      <c r="J8" s="34"/>
    </row>
    <row r="9" spans="1:10" ht="13.5" x14ac:dyDescent="0.25">
      <c r="A9" s="108">
        <v>35</v>
      </c>
      <c r="B9" s="17" t="str">
        <f>IFERROR(VLOOKUP($H9,'[4]MP PLANTA'!$A$2:$F$500,2,0),"")</f>
        <v>PRESERVANTE 1047S(PAQ=5 KILO)</v>
      </c>
      <c r="C9" s="30">
        <f t="shared" ref="C9:C14" si="0">+A9</f>
        <v>35</v>
      </c>
      <c r="D9" s="31" t="str">
        <f>IFERROR(VLOOKUP($H9,'[4]MP PLANTA'!$A$2:$F$500,5,0),"")</f>
        <v>Gramo</v>
      </c>
      <c r="E9" s="31">
        <f>IFERROR(VLOOKUP($H9,'[4]MP PLANTA'!$A$2:$F$500,6,0),"")</f>
        <v>4.7917779999999999</v>
      </c>
      <c r="F9" s="31">
        <f t="shared" ref="F9:F11" si="1">IFERROR(C9*E9,"")</f>
        <v>167.71223000000001</v>
      </c>
      <c r="G9" s="32">
        <f>IFERROR(F9/$F$55,"")</f>
        <v>3.7335278396145306E-3</v>
      </c>
      <c r="H9" s="33" t="s">
        <v>30</v>
      </c>
      <c r="I9" s="33"/>
      <c r="J9" s="34"/>
    </row>
    <row r="10" spans="1:10" ht="13.5" x14ac:dyDescent="0.25">
      <c r="A10" s="108">
        <v>850</v>
      </c>
      <c r="B10" s="17" t="str">
        <f>IFERROR(VLOOKUP($H10,'[4]MP PLANTA'!$A$2:$F$500,2,0),"")</f>
        <v>ALMIDON MODIFICADO ( 25 KG )</v>
      </c>
      <c r="C10" s="30">
        <f t="shared" si="0"/>
        <v>850</v>
      </c>
      <c r="D10" s="31" t="str">
        <f>IFERROR(VLOOKUP($H10,'[4]MP PLANTA'!$A$2:$F$500,5,0),"")</f>
        <v>Gramo</v>
      </c>
      <c r="E10" s="31">
        <f>IFERROR(VLOOKUP($H10,'[4]MP PLANTA'!$A$2:$F$500,6,0),"")</f>
        <v>1.6833180000000001</v>
      </c>
      <c r="F10" s="31">
        <f t="shared" si="1"/>
        <v>1430.8203000000001</v>
      </c>
      <c r="G10" s="32">
        <f>IFERROR(F10/$F$55,"")</f>
        <v>3.1852223439731348E-2</v>
      </c>
      <c r="H10" s="33" t="s">
        <v>32</v>
      </c>
      <c r="I10" s="33"/>
      <c r="J10" s="34"/>
    </row>
    <row r="11" spans="1:10" ht="13.5" x14ac:dyDescent="0.25">
      <c r="A11" s="108">
        <v>810</v>
      </c>
      <c r="B11" s="17" t="str">
        <f>IFERROR(VLOOKUP($H11,'[4]MP PLANTA'!$A$2:$F$500,2,0),"")</f>
        <v>AGUA</v>
      </c>
      <c r="C11" s="30">
        <f t="shared" si="0"/>
        <v>810</v>
      </c>
      <c r="D11" s="31" t="str">
        <f>IFERROR(VLOOKUP($H11,'[4]MP PLANTA'!$A$2:$F$500,5,0),"")</f>
        <v>Mililitro</v>
      </c>
      <c r="E11" s="31" t="str">
        <f>IFERROR(VLOOKUP($H11,'[4]MP PLANTA'!$A$2:$F$500,6,0),"")</f>
        <v/>
      </c>
      <c r="F11" s="31" t="str">
        <f t="shared" si="1"/>
        <v/>
      </c>
      <c r="G11" s="32" t="str">
        <f>IFERROR(F11/$F$55,"")</f>
        <v/>
      </c>
      <c r="H11" s="33" t="s">
        <v>34</v>
      </c>
      <c r="I11" s="33"/>
      <c r="J11" s="34"/>
    </row>
    <row r="12" spans="1:10" ht="13.5" x14ac:dyDescent="0.25">
      <c r="A12" s="108">
        <v>2</v>
      </c>
      <c r="B12" s="17" t="str">
        <f>IFERROR(VLOOKUP($H12,'[4]MP PLANTA'!$A$2:$F$500,2,0),"")</f>
        <v>COLORANTE/PASTA 4 ONZ</v>
      </c>
      <c r="C12" s="30">
        <f t="shared" ref="C12:C13" si="2">+A12</f>
        <v>2</v>
      </c>
      <c r="D12" s="31" t="str">
        <f>IFERROR(VLOOKUP($H12,'[4]MP PLANTA'!$A$2:$F$500,5,0),"")</f>
        <v>Gramo</v>
      </c>
      <c r="E12" s="31">
        <f>IFERROR(VLOOKUP($H12,'[4]MP PLANTA'!$A$2:$F$500,6,0),"")</f>
        <v>20.151508333333332</v>
      </c>
      <c r="F12" s="31">
        <f t="shared" ref="F12:F13" si="3">IFERROR(C12*E12,"")</f>
        <v>40.303016666666664</v>
      </c>
      <c r="G12" s="32">
        <f t="shared" ref="G12:G13" si="4">IFERROR(F12/$F$55,"")</f>
        <v>8.9720609370854115E-4</v>
      </c>
      <c r="H12" s="33" t="s">
        <v>105</v>
      </c>
      <c r="I12" s="33"/>
      <c r="J12" s="34"/>
    </row>
    <row r="13" spans="1:10" ht="13.5" x14ac:dyDescent="0.25">
      <c r="A13" s="108">
        <v>2</v>
      </c>
      <c r="B13" s="17" t="str">
        <f>IFERROR(VLOOKUP($H13,'[4]MP PLANTA'!$A$2:$F$500,2,0),"")</f>
        <v>COLORANTE ROJO ( 50 ml )</v>
      </c>
      <c r="C13" s="30">
        <f t="shared" si="2"/>
        <v>2</v>
      </c>
      <c r="D13" s="31" t="str">
        <f>IFERROR(VLOOKUP($H13,'[4]MP PLANTA'!$A$2:$F$500,5,0),"")</f>
        <v>Mililitro</v>
      </c>
      <c r="E13" s="31">
        <f>IFERROR(VLOOKUP($H13,'[4]MP PLANTA'!$A$2:$F$500,6,0),"")</f>
        <v>26.101288</v>
      </c>
      <c r="F13" s="31">
        <f t="shared" si="3"/>
        <v>52.202576000000001</v>
      </c>
      <c r="G13" s="32">
        <f t="shared" si="4"/>
        <v>1.1621082779448664E-3</v>
      </c>
      <c r="H13" s="33" t="s">
        <v>103</v>
      </c>
      <c r="I13" s="33"/>
      <c r="J13" s="34"/>
    </row>
    <row r="14" spans="1:10" ht="13.5" x14ac:dyDescent="0.25">
      <c r="A14" s="108">
        <v>23000</v>
      </c>
      <c r="B14" s="17" t="s">
        <v>97</v>
      </c>
      <c r="C14" s="30">
        <f t="shared" si="0"/>
        <v>23000</v>
      </c>
      <c r="D14" s="31" t="s">
        <v>95</v>
      </c>
      <c r="E14" s="31">
        <v>1.62</v>
      </c>
      <c r="F14" s="31">
        <f t="shared" ref="F14" si="5">IFERROR(C14*E14,"")</f>
        <v>37260</v>
      </c>
      <c r="G14" s="32">
        <f>IFERROR(F14/$F$55,"")</f>
        <v>0.82946394132400125</v>
      </c>
      <c r="H14" s="33" t="s">
        <v>98</v>
      </c>
      <c r="I14" s="33"/>
      <c r="J14" s="34"/>
    </row>
    <row r="15" spans="1:10" ht="14.25" thickBot="1" x14ac:dyDescent="0.3">
      <c r="A15" s="108"/>
      <c r="C15" s="30"/>
      <c r="D15" s="31"/>
      <c r="E15" s="31"/>
      <c r="F15" s="31"/>
      <c r="G15" s="32"/>
      <c r="H15" s="33"/>
      <c r="I15" s="33"/>
      <c r="J15" s="34"/>
    </row>
    <row r="16" spans="1:10" ht="26.25" thickBot="1" x14ac:dyDescent="0.25">
      <c r="A16" s="24" t="s">
        <v>44</v>
      </c>
      <c r="B16" s="25" t="s">
        <v>51</v>
      </c>
      <c r="C16" s="25" t="s">
        <v>44</v>
      </c>
      <c r="D16" s="26" t="s">
        <v>46</v>
      </c>
      <c r="E16" s="26" t="s">
        <v>47</v>
      </c>
      <c r="F16" s="26" t="s">
        <v>48</v>
      </c>
      <c r="G16" s="26" t="s">
        <v>49</v>
      </c>
      <c r="H16" s="27" t="s">
        <v>50</v>
      </c>
      <c r="I16" s="28"/>
      <c r="J16" s="34"/>
    </row>
    <row r="17" spans="1:12" ht="13.5" x14ac:dyDescent="0.25">
      <c r="A17" s="108">
        <v>920</v>
      </c>
      <c r="B17" s="17" t="str">
        <f>IFERROR(VLOOKUP($H17,[4]SEMIELABORADOS!$A$1:$J$999,2,0),"")</f>
        <v>JUGO DE LIMON (11 LIT)</v>
      </c>
      <c r="C17" s="30">
        <f>+A17</f>
        <v>920</v>
      </c>
      <c r="D17" s="30" t="str">
        <f>IFERROR(VLOOKUP($H17,[4]SEMIELABORADOS!$A$1:$J$999,4,0),"")</f>
        <v>Mililitro</v>
      </c>
      <c r="E17" s="31">
        <f>IFERROR(VLOOKUP($H17,[4]SEMIELABORADOS!$A$1:$J$999,6,0),"")</f>
        <v>0.40127090909090907</v>
      </c>
      <c r="F17" s="31">
        <f>IFERROR(E17*C17,"")</f>
        <v>369.16923636363634</v>
      </c>
      <c r="G17" s="32">
        <f>IFERROR(F17/$F$55,"")</f>
        <v>8.2182654269928514E-3</v>
      </c>
      <c r="H17" s="33" t="s">
        <v>28</v>
      </c>
      <c r="I17" s="33"/>
      <c r="J17" s="34"/>
    </row>
    <row r="18" spans="1:12" ht="13.5" hidden="1" x14ac:dyDescent="0.25">
      <c r="A18" s="29"/>
      <c r="B18" s="17" t="str">
        <f>IFERROR(VLOOKUP($H18,[4]SEMIELABORADOS!$A$1:$J$999,2,0),"")</f>
        <v/>
      </c>
      <c r="C18" s="30">
        <f>+A18</f>
        <v>0</v>
      </c>
      <c r="D18" s="30" t="str">
        <f>IFERROR(VLOOKUP($H18,[4]SEMIELABORADOS!$A$1:$J$999,4,0),"")</f>
        <v/>
      </c>
      <c r="E18" s="31" t="str">
        <f>IFERROR(VLOOKUP($H18,[4]SEMIELABORADOS!$A$1:$J$999,6,0),"")</f>
        <v/>
      </c>
      <c r="F18" s="31" t="str">
        <f>IFERROR(E18*C18,"")</f>
        <v/>
      </c>
      <c r="G18" s="32" t="str">
        <f>IFERROR(F18/$F$55,"")</f>
        <v/>
      </c>
      <c r="H18" s="33"/>
      <c r="I18" s="33"/>
      <c r="J18" s="34"/>
    </row>
    <row r="19" spans="1:12" ht="13.5" hidden="1" x14ac:dyDescent="0.25">
      <c r="A19" s="29"/>
      <c r="B19" s="17" t="str">
        <f>IFERROR(VLOOKUP($H19,[4]SEMIELABORADOS!$A$1:$J$999,2,0),"")</f>
        <v/>
      </c>
      <c r="C19" s="30">
        <f>+A19</f>
        <v>0</v>
      </c>
      <c r="D19" s="30" t="str">
        <f>IFERROR(VLOOKUP($H19,[4]SEMIELABORADOS!$A$1:$J$999,4,0),"")</f>
        <v/>
      </c>
      <c r="E19" s="31" t="str">
        <f>IFERROR(VLOOKUP($H19,[4]SEMIELABORADOS!$A$1:$J$999,6,0),"")</f>
        <v/>
      </c>
      <c r="F19" s="31" t="str">
        <f>IFERROR(E19*C19,"")</f>
        <v/>
      </c>
      <c r="G19" s="32" t="str">
        <f>IFERROR(F19/$F$55,"")</f>
        <v/>
      </c>
      <c r="H19" s="33"/>
      <c r="I19" s="33"/>
      <c r="J19" s="34"/>
    </row>
    <row r="20" spans="1:12" ht="13.5" hidden="1" x14ac:dyDescent="0.25">
      <c r="A20" s="29"/>
      <c r="B20" s="17" t="str">
        <f>IFERROR(VLOOKUP($H20,[4]SEMIELABORADOS!$A$1:$J$999,2,0),"")</f>
        <v/>
      </c>
      <c r="C20" s="30">
        <f>+A20</f>
        <v>0</v>
      </c>
      <c r="D20" s="30" t="str">
        <f>IFERROR(VLOOKUP($H20,[4]SEMIELABORADOS!$A$1:$J$999,4,0),"")</f>
        <v/>
      </c>
      <c r="E20" s="31" t="str">
        <f>IFERROR(VLOOKUP($H20,[4]SEMIELABORADOS!$A$1:$J$999,6,0),"")</f>
        <v/>
      </c>
      <c r="F20" s="31" t="str">
        <f>IFERROR(E20*C20,"")</f>
        <v/>
      </c>
      <c r="G20" s="32" t="str">
        <f>IFERROR(F20/$F$55,"")</f>
        <v/>
      </c>
      <c r="H20" s="33"/>
      <c r="I20" s="33"/>
      <c r="J20" s="34"/>
    </row>
    <row r="21" spans="1:12" ht="13.5" hidden="1" x14ac:dyDescent="0.25">
      <c r="A21" s="29"/>
      <c r="B21" s="17" t="str">
        <f>IFERROR(VLOOKUP($H21,[4]SEMIELABORADOS!$A$1:$J$999,2,0),"")</f>
        <v/>
      </c>
      <c r="C21" s="30">
        <f>+A21</f>
        <v>0</v>
      </c>
      <c r="D21" s="30" t="str">
        <f>IFERROR(VLOOKUP($H21,[4]SEMIELABORADOS!$A$1:$J$999,4,0),"")</f>
        <v/>
      </c>
      <c r="E21" s="31" t="str">
        <f>IFERROR(VLOOKUP($H21,[4]SEMIELABORADOS!$A$1:$J$999,6,0),"")</f>
        <v/>
      </c>
      <c r="F21" s="31" t="str">
        <f>IFERROR(E21*C21,"")</f>
        <v/>
      </c>
      <c r="G21" s="32" t="str">
        <f>IFERROR(F21/$F$55,"")</f>
        <v/>
      </c>
      <c r="H21" s="33"/>
      <c r="I21" s="33"/>
      <c r="J21" s="34"/>
    </row>
    <row r="22" spans="1:12" ht="14.25" thickBot="1" x14ac:dyDescent="0.3">
      <c r="A22" s="29"/>
      <c r="C22" s="30"/>
      <c r="D22" s="30"/>
      <c r="E22" s="31"/>
      <c r="F22" s="31"/>
      <c r="G22" s="32"/>
      <c r="H22" s="33"/>
      <c r="I22" s="33"/>
      <c r="J22" s="34"/>
    </row>
    <row r="23" spans="1:12" ht="26.25" thickBot="1" x14ac:dyDescent="0.25">
      <c r="A23" s="24" t="s">
        <v>44</v>
      </c>
      <c r="B23" s="25" t="s">
        <v>52</v>
      </c>
      <c r="C23" s="25" t="s">
        <v>44</v>
      </c>
      <c r="D23" s="26" t="s">
        <v>46</v>
      </c>
      <c r="E23" s="26" t="s">
        <v>47</v>
      </c>
      <c r="F23" s="26" t="s">
        <v>48</v>
      </c>
      <c r="G23" s="26" t="s">
        <v>49</v>
      </c>
      <c r="H23" s="27" t="s">
        <v>50</v>
      </c>
      <c r="I23" s="28"/>
    </row>
    <row r="24" spans="1:12" ht="13.5" x14ac:dyDescent="0.25">
      <c r="A24" s="29">
        <v>200</v>
      </c>
      <c r="B24" s="35" t="str">
        <f>IFERROR(VLOOKUP($H24,'[4]EMP PLANTA'!$A$2:$F$500,2,0),"")</f>
        <v>PLAST. AUTOAD 18 * 2000</v>
      </c>
      <c r="C24" s="30">
        <f t="shared" ref="C24:C29" si="6">+A24</f>
        <v>200</v>
      </c>
      <c r="D24" s="31" t="str">
        <f>IFERROR(VLOOKUP($H24,'[4]EMP PLANTA'!$A$2:$F$500,5,0),"")</f>
        <v>Centimetros</v>
      </c>
      <c r="E24" s="31">
        <f>IFERROR(VLOOKUP($H24,'[4]EMP PLANTA'!$A$2:$F$500,6,0),"")</f>
        <v>0.47620174999999998</v>
      </c>
      <c r="F24" s="31">
        <f t="shared" ref="F24:F29" si="7">IFERROR(E24*C24,"")</f>
        <v>95.240349999999992</v>
      </c>
      <c r="G24" s="32">
        <f t="shared" ref="G24:G29" si="8">IFERROR(F24/$F$55,"")</f>
        <v>2.1201942051550546E-3</v>
      </c>
      <c r="H24" s="36" t="s">
        <v>36</v>
      </c>
      <c r="I24" s="36"/>
      <c r="J24" s="34"/>
      <c r="K24" s="274"/>
      <c r="L24" s="274"/>
    </row>
    <row r="25" spans="1:12" ht="13.5" x14ac:dyDescent="0.25">
      <c r="A25" s="29">
        <v>1</v>
      </c>
      <c r="B25" s="35" t="str">
        <f>IFERROR(VLOOKUP($H25,'[4]EMP PLANTA'!$A$2:$F$500,2,0),"")</f>
        <v>ETIQ.BLANCA 1 1/4 * 3/4</v>
      </c>
      <c r="C25" s="30">
        <f t="shared" si="6"/>
        <v>1</v>
      </c>
      <c r="D25" s="31" t="str">
        <f>IFERROR(VLOOKUP($H25,'[4]EMP PLANTA'!$A$2:$F$500,5,0),"")</f>
        <v>UND</v>
      </c>
      <c r="E25" s="31">
        <f>IFERROR(VLOOKUP($H25,'[4]EMP PLANTA'!$A$2:$F$500,6,0),"")</f>
        <v>0.61599999999999999</v>
      </c>
      <c r="F25" s="31">
        <f t="shared" si="7"/>
        <v>0.61599999999999999</v>
      </c>
      <c r="G25" s="32">
        <f t="shared" si="8"/>
        <v>1.3713091461502543E-5</v>
      </c>
      <c r="H25" s="36" t="s">
        <v>101</v>
      </c>
      <c r="I25" s="36"/>
      <c r="J25" s="34"/>
      <c r="K25" s="274"/>
      <c r="L25" s="274"/>
    </row>
    <row r="26" spans="1:12" ht="13.5" hidden="1" x14ac:dyDescent="0.25">
      <c r="A26" s="29"/>
      <c r="B26" s="35" t="str">
        <f>IFERROR(VLOOKUP($H26,'[4]EMP PLANTA'!$A$2:$F$500,2,0),"")</f>
        <v/>
      </c>
      <c r="C26" s="30">
        <f t="shared" si="6"/>
        <v>0</v>
      </c>
      <c r="D26" s="31" t="str">
        <f>IFERROR(VLOOKUP($H26,'[4]EMP PLANTA'!$A$2:$F$500,5,0),"")</f>
        <v/>
      </c>
      <c r="E26" s="31" t="str">
        <f>IFERROR(VLOOKUP($H26,'[4]EMP PLANTA'!$A$2:$F$500,6,0),"")</f>
        <v/>
      </c>
      <c r="F26" s="31" t="str">
        <f t="shared" si="7"/>
        <v/>
      </c>
      <c r="G26" s="32" t="str">
        <f t="shared" si="8"/>
        <v/>
      </c>
      <c r="H26" s="36"/>
      <c r="I26" s="36"/>
      <c r="J26" s="34"/>
      <c r="K26" s="274"/>
      <c r="L26" s="274"/>
    </row>
    <row r="27" spans="1:12" ht="13.5" hidden="1" x14ac:dyDescent="0.25">
      <c r="A27" s="29"/>
      <c r="B27" s="35" t="str">
        <f>IFERROR(VLOOKUP($H27,'[4]EMP PLANTA'!$A$2:$F$500,2,0),"")</f>
        <v/>
      </c>
      <c r="C27" s="30">
        <f t="shared" si="6"/>
        <v>0</v>
      </c>
      <c r="D27" s="31" t="str">
        <f>IFERROR(VLOOKUP($H27,'[4]EMP PLANTA'!$A$2:$F$500,5,0),"")</f>
        <v/>
      </c>
      <c r="E27" s="31" t="str">
        <f>IFERROR(VLOOKUP($H27,'[4]EMP PLANTA'!$A$2:$F$500,6,0),"")</f>
        <v/>
      </c>
      <c r="F27" s="31" t="str">
        <f t="shared" si="7"/>
        <v/>
      </c>
      <c r="G27" s="32" t="str">
        <f t="shared" si="8"/>
        <v/>
      </c>
      <c r="H27" s="36"/>
      <c r="I27" s="36"/>
      <c r="J27" s="34"/>
      <c r="K27" s="274"/>
      <c r="L27" s="274"/>
    </row>
    <row r="28" spans="1:12" ht="13.5" hidden="1" x14ac:dyDescent="0.25">
      <c r="A28" s="29"/>
      <c r="B28" s="35" t="str">
        <f>IFERROR(VLOOKUP($H28,'[4]EMP PLANTA'!$A$2:$F$500,2,0),"")</f>
        <v/>
      </c>
      <c r="C28" s="30">
        <f t="shared" si="6"/>
        <v>0</v>
      </c>
      <c r="D28" s="31" t="str">
        <f>IFERROR(VLOOKUP($H28,'[4]EMP PLANTA'!$A$2:$F$500,5,0),"")</f>
        <v/>
      </c>
      <c r="E28" s="31" t="str">
        <f>IFERROR(VLOOKUP($H28,'[4]EMP PLANTA'!$A$2:$F$500,6,0),"")</f>
        <v/>
      </c>
      <c r="F28" s="31" t="str">
        <f t="shared" si="7"/>
        <v/>
      </c>
      <c r="G28" s="32" t="str">
        <f t="shared" si="8"/>
        <v/>
      </c>
      <c r="H28" s="36"/>
      <c r="I28" s="36"/>
      <c r="J28" s="34"/>
      <c r="K28" s="37"/>
      <c r="L28" s="38"/>
    </row>
    <row r="29" spans="1:12" ht="13.5" hidden="1" x14ac:dyDescent="0.25">
      <c r="A29" s="29"/>
      <c r="B29" s="35" t="str">
        <f>IFERROR(VLOOKUP($H29,'[4]EMP PLANTA'!$A$2:$F$500,2,0),"")</f>
        <v/>
      </c>
      <c r="C29" s="30">
        <f t="shared" si="6"/>
        <v>0</v>
      </c>
      <c r="D29" s="31" t="str">
        <f>IFERROR(VLOOKUP($H29,'[4]EMP PLANTA'!$A$2:$F$500,5,0),"")</f>
        <v/>
      </c>
      <c r="E29" s="31" t="str">
        <f>IFERROR(VLOOKUP($H29,'[4]EMP PLANTA'!$A$2:$F$500,6,0),"")</f>
        <v/>
      </c>
      <c r="F29" s="31" t="str">
        <f t="shared" si="7"/>
        <v/>
      </c>
      <c r="G29" s="32" t="str">
        <f t="shared" si="8"/>
        <v/>
      </c>
      <c r="H29" s="36"/>
      <c r="I29" s="36"/>
      <c r="J29" s="34"/>
    </row>
    <row r="30" spans="1:12" ht="14.25" thickBot="1" x14ac:dyDescent="0.3">
      <c r="A30" s="29"/>
      <c r="B30" s="35"/>
      <c r="C30" s="30"/>
      <c r="D30" s="31"/>
      <c r="E30" s="31"/>
      <c r="F30" s="31"/>
      <c r="G30" s="32"/>
      <c r="H30" s="36"/>
      <c r="I30" s="36"/>
      <c r="J30" s="34"/>
    </row>
    <row r="31" spans="1:12" ht="26.25" thickBot="1" x14ac:dyDescent="0.25">
      <c r="A31" s="24" t="s">
        <v>44</v>
      </c>
      <c r="B31" s="25" t="s">
        <v>53</v>
      </c>
      <c r="C31" s="25" t="s">
        <v>44</v>
      </c>
      <c r="D31" s="26" t="s">
        <v>46</v>
      </c>
      <c r="E31" s="26" t="s">
        <v>47</v>
      </c>
      <c r="F31" s="26" t="s">
        <v>48</v>
      </c>
      <c r="G31" s="26" t="s">
        <v>49</v>
      </c>
      <c r="H31" s="27" t="s">
        <v>50</v>
      </c>
      <c r="I31" s="28"/>
      <c r="J31" s="34"/>
    </row>
    <row r="32" spans="1:12" ht="13.5" x14ac:dyDescent="0.25">
      <c r="A32" s="29">
        <f>+A17</f>
        <v>920</v>
      </c>
      <c r="B32" s="35" t="s">
        <v>29</v>
      </c>
      <c r="C32" s="30">
        <f>+A32</f>
        <v>920</v>
      </c>
      <c r="D32" s="31" t="s">
        <v>54</v>
      </c>
      <c r="E32" s="31">
        <f>IFERROR(VLOOKUP($H32,[4]SEMIELABORADOS!$A$1:$J$999,8,0),"")</f>
        <v>2.2753401010101007E-3</v>
      </c>
      <c r="F32" s="31">
        <f>IFERROR(E32*C32,"")</f>
        <v>2.0933128929292928</v>
      </c>
      <c r="G32" s="32">
        <f>IFERROR(F32/$F$54,"")</f>
        <v>1.0680167821067821E-3</v>
      </c>
      <c r="H32" s="36" t="s">
        <v>28</v>
      </c>
      <c r="I32" s="36"/>
      <c r="J32" s="34"/>
    </row>
    <row r="33" spans="1:17" ht="13.5" hidden="1" x14ac:dyDescent="0.25">
      <c r="A33" s="29">
        <f>+A18</f>
        <v>0</v>
      </c>
      <c r="B33" s="35"/>
      <c r="C33" s="30">
        <f>+A33</f>
        <v>0</v>
      </c>
      <c r="D33" s="31" t="s">
        <v>54</v>
      </c>
      <c r="E33" s="31" t="str">
        <f>IFERROR(VLOOKUP($H33,[4]SEMIELABORADOS!$A$1:$J$999,8,0),"")</f>
        <v/>
      </c>
      <c r="F33" s="31" t="str">
        <f>IFERROR(E33*C33,"")</f>
        <v/>
      </c>
      <c r="G33" s="32" t="str">
        <f>IFERROR(F33/$F$54,"")</f>
        <v/>
      </c>
      <c r="H33" s="36"/>
      <c r="I33" s="36"/>
      <c r="J33" s="34"/>
    </row>
    <row r="34" spans="1:17" ht="13.5" hidden="1" x14ac:dyDescent="0.25">
      <c r="A34" s="29">
        <f>+A19</f>
        <v>0</v>
      </c>
      <c r="B34" s="35"/>
      <c r="C34" s="30">
        <f>+A34</f>
        <v>0</v>
      </c>
      <c r="D34" s="31" t="s">
        <v>54</v>
      </c>
      <c r="E34" s="31" t="str">
        <f>IFERROR(VLOOKUP($H34,[4]SEMIELABORADOS!$A$1:$J$999,8,0),"")</f>
        <v/>
      </c>
      <c r="F34" s="31" t="str">
        <f>IFERROR(E34*C34,"")</f>
        <v/>
      </c>
      <c r="G34" s="32" t="str">
        <f>IFERROR(F34/$F$54,"")</f>
        <v/>
      </c>
      <c r="H34" s="36"/>
      <c r="I34" s="36"/>
      <c r="J34" s="34"/>
    </row>
    <row r="35" spans="1:17" ht="13.5" hidden="1" x14ac:dyDescent="0.25">
      <c r="A35" s="29">
        <f>+A20</f>
        <v>0</v>
      </c>
      <c r="B35" s="35"/>
      <c r="C35" s="30">
        <f>+A35</f>
        <v>0</v>
      </c>
      <c r="D35" s="31" t="s">
        <v>54</v>
      </c>
      <c r="E35" s="31" t="str">
        <f>IFERROR(VLOOKUP($H35,[4]SEMIELABORADOS!$A$1:$J$999,8,0),"")</f>
        <v/>
      </c>
      <c r="F35" s="31" t="str">
        <f>IFERROR(E35*C35,"")</f>
        <v/>
      </c>
      <c r="G35" s="32" t="str">
        <f>IFERROR(F35/$F$54,"")</f>
        <v/>
      </c>
      <c r="H35" s="36"/>
      <c r="I35" s="36"/>
      <c r="J35" s="34"/>
    </row>
    <row r="36" spans="1:17" ht="13.5" hidden="1" x14ac:dyDescent="0.25">
      <c r="A36" s="29">
        <f>+A21</f>
        <v>0</v>
      </c>
      <c r="B36" s="35"/>
      <c r="C36" s="30">
        <f>+A36</f>
        <v>0</v>
      </c>
      <c r="D36" s="31" t="s">
        <v>54</v>
      </c>
      <c r="E36" s="31" t="str">
        <f>IFERROR(VLOOKUP($H36,[4]SEMIELABORADOS!$A$1:$J$999,8,0),"")</f>
        <v/>
      </c>
      <c r="F36" s="31" t="str">
        <f>IFERROR(E36*C36,"")</f>
        <v/>
      </c>
      <c r="G36" s="32" t="str">
        <f>IFERROR(F36/$F$54,"")</f>
        <v/>
      </c>
      <c r="H36" s="36"/>
      <c r="I36" s="36"/>
      <c r="J36" s="34"/>
    </row>
    <row r="37" spans="1:17" ht="14.25" thickBot="1" x14ac:dyDescent="0.3">
      <c r="A37" s="29"/>
      <c r="B37" s="35"/>
      <c r="C37" s="30"/>
      <c r="D37" s="31"/>
      <c r="E37" s="31"/>
      <c r="F37" s="31"/>
      <c r="G37" s="32"/>
      <c r="H37" s="36"/>
      <c r="I37" s="36"/>
      <c r="J37" s="34"/>
    </row>
    <row r="38" spans="1:17" ht="26.25" thickBot="1" x14ac:dyDescent="0.25">
      <c r="A38" s="24" t="s">
        <v>44</v>
      </c>
      <c r="B38" s="25" t="s">
        <v>55</v>
      </c>
      <c r="C38" s="25" t="s">
        <v>44</v>
      </c>
      <c r="D38" s="25"/>
      <c r="E38" s="26" t="s">
        <v>47</v>
      </c>
      <c r="F38" s="26" t="s">
        <v>48</v>
      </c>
      <c r="G38" s="26" t="s">
        <v>49</v>
      </c>
      <c r="H38" s="27" t="s">
        <v>50</v>
      </c>
      <c r="I38" s="28"/>
      <c r="J38" s="34"/>
    </row>
    <row r="39" spans="1:17" ht="13.5" x14ac:dyDescent="0.25">
      <c r="A39" s="29">
        <f>+A17</f>
        <v>920</v>
      </c>
      <c r="B39" s="39" t="s">
        <v>29</v>
      </c>
      <c r="C39" s="30">
        <f t="shared" ref="C39:C40" si="9">+A39</f>
        <v>920</v>
      </c>
      <c r="D39" s="30" t="s">
        <v>54</v>
      </c>
      <c r="E39" s="31">
        <f>IFERROR(VLOOKUP($H39,[4]SEMIELABORADOS!$A$1:$J$999,10,0),"")</f>
        <v>1.4999999999999999E-2</v>
      </c>
      <c r="F39" s="31">
        <f t="shared" ref="F39:F40" si="10">IFERROR(C39*E39,"")</f>
        <v>13.799999999999999</v>
      </c>
      <c r="G39" s="32">
        <f>IFERROR(F39/$F$55,"")</f>
        <v>3.0720886715703748E-4</v>
      </c>
      <c r="H39" s="40" t="s">
        <v>28</v>
      </c>
      <c r="I39" s="40"/>
      <c r="J39" s="34"/>
    </row>
    <row r="40" spans="1:17" ht="13.5" x14ac:dyDescent="0.25">
      <c r="A40" s="29">
        <v>1</v>
      </c>
      <c r="B40" s="35" t="s">
        <v>56</v>
      </c>
      <c r="C40" s="30">
        <f t="shared" si="9"/>
        <v>1</v>
      </c>
      <c r="D40" s="30" t="s">
        <v>54</v>
      </c>
      <c r="E40" s="31">
        <f>+F54</f>
        <v>1960</v>
      </c>
      <c r="F40" s="31">
        <f t="shared" si="10"/>
        <v>1960</v>
      </c>
      <c r="G40" s="32">
        <f>IFERROR(F40/$F$55,"")</f>
        <v>4.3632563741144458E-2</v>
      </c>
      <c r="H40" s="40"/>
      <c r="I40" s="40"/>
      <c r="J40" s="34"/>
    </row>
    <row r="41" spans="1:17" ht="14.25" thickBot="1" x14ac:dyDescent="0.3">
      <c r="A41" s="29"/>
      <c r="B41" s="35"/>
      <c r="C41" s="30"/>
      <c r="D41" s="30"/>
      <c r="E41" s="31"/>
      <c r="F41" s="31"/>
      <c r="G41" s="32"/>
      <c r="H41" s="40"/>
      <c r="I41" s="40"/>
      <c r="J41" s="34"/>
    </row>
    <row r="42" spans="1:17" ht="13.5" thickBot="1" x14ac:dyDescent="0.25">
      <c r="A42" s="41"/>
      <c r="B42" s="280" t="s">
        <v>57</v>
      </c>
      <c r="C42" s="280"/>
      <c r="D42" s="280"/>
      <c r="E42" s="280"/>
      <c r="F42" s="42">
        <f>SUM(F8:F14,F17:F21)</f>
        <v>42022.185029030305</v>
      </c>
      <c r="G42" s="32">
        <f>+F42/$F$55</f>
        <v>0.93547738103129141</v>
      </c>
      <c r="H42" s="43">
        <f>+F42/$D$48*1000</f>
        <v>1342.5618220137478</v>
      </c>
      <c r="I42" s="43"/>
      <c r="J42" s="44"/>
      <c r="K42" s="45"/>
      <c r="L42" s="45"/>
      <c r="M42" s="45"/>
      <c r="N42" s="45"/>
      <c r="O42" s="45"/>
      <c r="P42" s="45"/>
      <c r="Q42" s="46"/>
    </row>
    <row r="43" spans="1:17" x14ac:dyDescent="0.2">
      <c r="A43" s="41"/>
      <c r="B43" s="280" t="s">
        <v>58</v>
      </c>
      <c r="C43" s="280"/>
      <c r="D43" s="280"/>
      <c r="E43" s="280"/>
      <c r="F43" s="42">
        <f>SUM(F24:F29,F32:F36)</f>
        <v>97.949662892929283</v>
      </c>
      <c r="G43" s="32">
        <f>+F43/$F$55</f>
        <v>2.1805076069384434E-3</v>
      </c>
      <c r="H43" s="43">
        <f t="shared" ref="H43:H45" si="11">+F43/$D$48*1000</f>
        <v>3.1293822010520538</v>
      </c>
      <c r="I43" s="43"/>
      <c r="J43" s="47"/>
      <c r="K43" s="281" t="s">
        <v>59</v>
      </c>
      <c r="L43" s="282"/>
      <c r="M43" s="282"/>
      <c r="N43" s="282"/>
      <c r="O43" s="48">
        <f>+F44</f>
        <v>42120.134691923231</v>
      </c>
      <c r="P43" s="48"/>
      <c r="Q43" s="49"/>
    </row>
    <row r="44" spans="1:17" x14ac:dyDescent="0.2">
      <c r="A44" s="41"/>
      <c r="B44" s="280" t="s">
        <v>60</v>
      </c>
      <c r="C44" s="280"/>
      <c r="D44" s="280"/>
      <c r="E44" s="280"/>
      <c r="F44" s="42">
        <f>+F42+F43</f>
        <v>42120.134691923231</v>
      </c>
      <c r="G44" s="32">
        <f>+F44/$F$55</f>
        <v>0.93765788863822974</v>
      </c>
      <c r="H44" s="43">
        <f t="shared" si="11"/>
        <v>1345.6912042147997</v>
      </c>
      <c r="I44" s="43"/>
      <c r="J44" s="50"/>
      <c r="K44" s="51"/>
      <c r="L44" s="283" t="s">
        <v>61</v>
      </c>
      <c r="M44" s="283"/>
      <c r="N44" s="283"/>
      <c r="O44" s="48">
        <f>+F45</f>
        <v>1973.8</v>
      </c>
      <c r="P44" s="48"/>
      <c r="Q44" s="49"/>
    </row>
    <row r="45" spans="1:17" x14ac:dyDescent="0.2">
      <c r="A45" s="41"/>
      <c r="B45" s="52"/>
      <c r="C45" s="280" t="s">
        <v>62</v>
      </c>
      <c r="D45" s="280"/>
      <c r="E45" s="280"/>
      <c r="F45" s="42">
        <f>SUM(F39:F40)</f>
        <v>1973.8</v>
      </c>
      <c r="G45" s="32">
        <f>+F45/$F$55</f>
        <v>4.3939772608301494E-2</v>
      </c>
      <c r="H45" s="43">
        <f t="shared" si="11"/>
        <v>63.060702875399357</v>
      </c>
      <c r="I45" s="43"/>
      <c r="J45" s="50"/>
      <c r="K45" s="51"/>
      <c r="L45" s="283" t="s">
        <v>63</v>
      </c>
      <c r="M45" s="283"/>
      <c r="N45" s="53">
        <v>0.02</v>
      </c>
      <c r="O45" s="48">
        <f>+(O43+O44)*N45</f>
        <v>881.87869383846464</v>
      </c>
      <c r="P45" s="48"/>
      <c r="Q45" s="49"/>
    </row>
    <row r="46" spans="1:17" ht="13.5" thickBot="1" x14ac:dyDescent="0.25">
      <c r="A46" s="41"/>
      <c r="B46" s="54"/>
      <c r="C46" s="54"/>
      <c r="D46" s="54"/>
      <c r="E46" s="54"/>
      <c r="F46" s="55"/>
      <c r="G46" s="32"/>
      <c r="H46" s="56"/>
      <c r="I46" s="57"/>
      <c r="J46" s="50"/>
      <c r="K46" s="51"/>
      <c r="L46" s="283" t="s">
        <v>64</v>
      </c>
      <c r="M46" s="283"/>
      <c r="N46" s="53">
        <f>230%*0.85</f>
        <v>1.9549999999999998</v>
      </c>
      <c r="O46" s="48">
        <f>+O44*N46</f>
        <v>3858.7789999999995</v>
      </c>
      <c r="P46" s="48"/>
      <c r="Q46" s="49"/>
    </row>
    <row r="47" spans="1:17" ht="13.5" thickBot="1" x14ac:dyDescent="0.25">
      <c r="B47" s="285" t="s">
        <v>65</v>
      </c>
      <c r="C47" s="285"/>
      <c r="D47" s="58">
        <v>31300</v>
      </c>
      <c r="E47" s="59"/>
      <c r="G47" s="32"/>
      <c r="H47" s="56"/>
      <c r="I47" s="57"/>
      <c r="J47" s="50"/>
      <c r="K47" s="60"/>
      <c r="M47" s="61" t="s">
        <v>66</v>
      </c>
      <c r="N47" s="62"/>
      <c r="O47" s="63">
        <f>SUM(O43:O46)</f>
        <v>48834.592385761702</v>
      </c>
      <c r="P47" s="64"/>
      <c r="Q47" s="49"/>
    </row>
    <row r="48" spans="1:17" x14ac:dyDescent="0.2">
      <c r="B48" s="285" t="s">
        <v>67</v>
      </c>
      <c r="C48" s="285"/>
      <c r="D48" s="65">
        <v>31300</v>
      </c>
      <c r="E48" s="59"/>
      <c r="G48" s="32"/>
      <c r="H48" s="56"/>
      <c r="I48" s="57"/>
      <c r="J48" s="50"/>
      <c r="K48" s="60"/>
      <c r="L48" s="283" t="s">
        <v>68</v>
      </c>
      <c r="M48" s="283"/>
      <c r="N48" s="66">
        <v>0.25</v>
      </c>
      <c r="O48" s="48">
        <f>+($O$44+$O$46)*N48</f>
        <v>1458.1447499999999</v>
      </c>
      <c r="P48" s="48"/>
      <c r="Q48" s="49"/>
    </row>
    <row r="49" spans="2:17" ht="13.5" thickBot="1" x14ac:dyDescent="0.25">
      <c r="B49" s="286" t="s">
        <v>69</v>
      </c>
      <c r="C49" s="286"/>
      <c r="D49" s="58">
        <f>+D47/D48</f>
        <v>1</v>
      </c>
      <c r="E49" s="59"/>
      <c r="F49" s="67"/>
      <c r="G49" s="32"/>
      <c r="H49" s="56"/>
      <c r="I49" s="57"/>
      <c r="J49" s="50"/>
      <c r="K49" s="60"/>
      <c r="L49" s="51"/>
      <c r="M49" s="51" t="s">
        <v>70</v>
      </c>
      <c r="N49" s="66">
        <v>0.1</v>
      </c>
      <c r="O49" s="48">
        <f>+($O$44+$O$46)*N49</f>
        <v>583.25789999999995</v>
      </c>
      <c r="P49" s="48"/>
      <c r="Q49" s="49"/>
    </row>
    <row r="50" spans="2:17" ht="13.5" thickBot="1" x14ac:dyDescent="0.25">
      <c r="B50" s="286" t="s">
        <v>71</v>
      </c>
      <c r="C50" s="286"/>
      <c r="D50" s="68" t="s">
        <v>92</v>
      </c>
      <c r="E50" s="59"/>
      <c r="F50" s="67"/>
      <c r="G50" s="32"/>
      <c r="H50" s="56"/>
      <c r="I50" s="57"/>
      <c r="J50" s="50"/>
      <c r="K50" s="60"/>
      <c r="L50" s="305" t="s">
        <v>72</v>
      </c>
      <c r="M50" s="305"/>
      <c r="N50" s="306"/>
      <c r="O50" s="63">
        <f>SUM(O47:O49)</f>
        <v>50875.995035761698</v>
      </c>
      <c r="P50" s="64"/>
      <c r="Q50" s="49"/>
    </row>
    <row r="51" spans="2:17" ht="13.5" thickBot="1" x14ac:dyDescent="0.25">
      <c r="C51" s="41" t="s">
        <v>73</v>
      </c>
      <c r="D51" s="69"/>
      <c r="E51" s="15" t="s">
        <v>74</v>
      </c>
      <c r="F51" s="70" t="s">
        <v>75</v>
      </c>
      <c r="G51" s="32"/>
      <c r="H51" s="56"/>
      <c r="I51" s="57"/>
      <c r="J51" s="50"/>
      <c r="K51" s="60"/>
      <c r="L51" s="283" t="s">
        <v>76</v>
      </c>
      <c r="M51" s="283"/>
      <c r="N51" s="66">
        <v>0.05</v>
      </c>
      <c r="O51" s="48">
        <f>+O50*N51</f>
        <v>2543.7997517880849</v>
      </c>
      <c r="P51" s="48"/>
      <c r="Q51" s="49"/>
    </row>
    <row r="52" spans="2:17" ht="13.5" thickBot="1" x14ac:dyDescent="0.25">
      <c r="B52" s="291" t="s">
        <v>60</v>
      </c>
      <c r="C52" s="291"/>
      <c r="D52" s="291"/>
      <c r="E52" s="71">
        <f>+F52/F52</f>
        <v>1</v>
      </c>
      <c r="F52" s="72">
        <f>SUM(F44)</f>
        <v>42120.134691923231</v>
      </c>
      <c r="G52" s="32">
        <f>+F52/$F$55</f>
        <v>0.93765788863822974</v>
      </c>
      <c r="H52" s="56"/>
      <c r="I52" s="57"/>
      <c r="J52" s="50"/>
      <c r="K52" s="287" t="s">
        <v>77</v>
      </c>
      <c r="L52" s="288"/>
      <c r="M52" s="288"/>
      <c r="N52" s="289"/>
      <c r="O52" s="63">
        <f>SUM(O50:O51)</f>
        <v>53419.794787549785</v>
      </c>
      <c r="P52" s="73" t="s">
        <v>78</v>
      </c>
      <c r="Q52" s="49"/>
    </row>
    <row r="53" spans="2:17" ht="13.5" thickBot="1" x14ac:dyDescent="0.25">
      <c r="B53" s="284" t="s">
        <v>79</v>
      </c>
      <c r="C53" s="284"/>
      <c r="D53" s="284"/>
      <c r="E53" s="74">
        <v>0.02</v>
      </c>
      <c r="F53" s="72">
        <f>+F42*E53</f>
        <v>840.44370058060611</v>
      </c>
      <c r="G53" s="32">
        <f>+F53/$F$55</f>
        <v>1.8709547620625828E-2</v>
      </c>
      <c r="H53" s="43"/>
      <c r="I53" s="43"/>
      <c r="J53" s="75"/>
      <c r="K53" s="76"/>
      <c r="L53" s="290" t="s">
        <v>80</v>
      </c>
      <c r="M53" s="290"/>
      <c r="N53" s="290"/>
      <c r="O53" s="77">
        <f>+O52/D49</f>
        <v>53419.794787549785</v>
      </c>
      <c r="P53" s="78">
        <f>+O53/D48</f>
        <v>1.7067027088674052</v>
      </c>
      <c r="Q53" s="79"/>
    </row>
    <row r="54" spans="2:17" ht="13.5" thickBot="1" x14ac:dyDescent="0.25">
      <c r="B54" s="295" t="s">
        <v>81</v>
      </c>
      <c r="C54" s="296"/>
      <c r="D54" s="107">
        <v>35</v>
      </c>
      <c r="E54" s="80">
        <v>56</v>
      </c>
      <c r="F54" s="72">
        <f>+E54*D54</f>
        <v>1960</v>
      </c>
      <c r="G54" s="32">
        <f>+F54/$F$55</f>
        <v>4.3632563741144458E-2</v>
      </c>
      <c r="H54" s="43"/>
      <c r="I54" s="43"/>
      <c r="K54" s="292"/>
      <c r="L54" s="293"/>
      <c r="M54" s="293"/>
      <c r="N54" s="293"/>
      <c r="O54" s="81"/>
      <c r="P54" s="82"/>
    </row>
    <row r="55" spans="2:17" ht="13.5" thickBot="1" x14ac:dyDescent="0.25">
      <c r="B55" s="297" t="s">
        <v>82</v>
      </c>
      <c r="C55" s="298"/>
      <c r="D55" s="298"/>
      <c r="E55" s="299"/>
      <c r="F55" s="55">
        <f>SUM(F52:F54)</f>
        <v>44920.578392503834</v>
      </c>
      <c r="G55" s="32">
        <f>+F55/$F$55</f>
        <v>1</v>
      </c>
      <c r="H55" s="300"/>
      <c r="I55" s="83"/>
      <c r="J55" s="84"/>
      <c r="O55" s="85"/>
      <c r="P55" s="52"/>
    </row>
    <row r="56" spans="2:17" x14ac:dyDescent="0.2">
      <c r="C56" s="86"/>
      <c r="D56" s="86"/>
      <c r="E56" s="87"/>
      <c r="F56" s="72"/>
      <c r="G56" s="32"/>
      <c r="H56" s="300"/>
      <c r="I56" s="83"/>
      <c r="J56" s="34"/>
    </row>
    <row r="57" spans="2:17" ht="13.5" thickBot="1" x14ac:dyDescent="0.25">
      <c r="B57" s="301" t="s">
        <v>83</v>
      </c>
      <c r="C57" s="301"/>
      <c r="D57" s="301"/>
      <c r="E57" s="301"/>
      <c r="F57" s="301"/>
      <c r="G57" s="32"/>
      <c r="H57" s="88"/>
      <c r="I57" s="88"/>
      <c r="J57" s="34"/>
    </row>
    <row r="58" spans="2:17" ht="13.5" thickBot="1" x14ac:dyDescent="0.25">
      <c r="B58" s="89" t="s">
        <v>84</v>
      </c>
      <c r="C58" s="90">
        <f>+F42</f>
        <v>42022.185029030305</v>
      </c>
      <c r="D58" s="90">
        <f>+D47</f>
        <v>31300</v>
      </c>
      <c r="E58" s="91">
        <f>+C58/D58</f>
        <v>1.3425618220137479</v>
      </c>
      <c r="F58" s="32"/>
      <c r="G58" s="88"/>
      <c r="H58" s="34"/>
      <c r="I58" s="34"/>
      <c r="J58" s="17"/>
    </row>
    <row r="59" spans="2:17" x14ac:dyDescent="0.2">
      <c r="B59" s="92"/>
      <c r="C59" s="93"/>
      <c r="D59" s="94"/>
      <c r="E59" s="72"/>
      <c r="F59" s="32"/>
      <c r="G59" s="88"/>
      <c r="H59" s="34"/>
      <c r="I59" s="34"/>
      <c r="J59" s="17"/>
    </row>
    <row r="60" spans="2:17" x14ac:dyDescent="0.2">
      <c r="B60" s="89" t="s">
        <v>85</v>
      </c>
      <c r="C60" s="90">
        <f>SUM(F52:F53)</f>
        <v>42960.578392503834</v>
      </c>
      <c r="D60" s="90">
        <f>+D47</f>
        <v>31300</v>
      </c>
      <c r="E60" s="95">
        <f>+C60/D60</f>
        <v>1.3725424406550746</v>
      </c>
      <c r="F60" s="32"/>
      <c r="G60" s="88"/>
      <c r="H60" s="34"/>
      <c r="I60" s="34"/>
      <c r="J60" s="17"/>
    </row>
    <row r="61" spans="2:17" x14ac:dyDescent="0.2">
      <c r="B61" s="89"/>
      <c r="C61" s="90"/>
      <c r="D61" s="90"/>
      <c r="E61" s="95"/>
      <c r="F61" s="32"/>
      <c r="G61" s="88"/>
      <c r="H61" s="34"/>
      <c r="I61" s="34"/>
      <c r="J61" s="17"/>
    </row>
    <row r="62" spans="2:17" ht="13.5" thickBot="1" x14ac:dyDescent="0.25">
      <c r="B62" s="89" t="s">
        <v>86</v>
      </c>
      <c r="C62" s="90">
        <f>+F54</f>
        <v>1960</v>
      </c>
      <c r="D62" s="90">
        <f>+D47</f>
        <v>31300</v>
      </c>
      <c r="E62" s="95">
        <f>+C62/D62</f>
        <v>6.2619808306709268E-2</v>
      </c>
      <c r="F62" s="32"/>
      <c r="G62" s="88"/>
      <c r="H62" s="34"/>
      <c r="I62" s="34"/>
      <c r="J62" s="17"/>
    </row>
    <row r="63" spans="2:17" ht="13.5" thickBot="1" x14ac:dyDescent="0.25">
      <c r="B63" s="89" t="s">
        <v>87</v>
      </c>
      <c r="C63" s="90">
        <f>+F45</f>
        <v>1973.8</v>
      </c>
      <c r="D63" s="90">
        <f>+D62</f>
        <v>31300</v>
      </c>
      <c r="E63" s="91">
        <f>+C63/D63</f>
        <v>6.306070287539936E-2</v>
      </c>
      <c r="F63" s="32"/>
      <c r="G63" s="88"/>
      <c r="H63" s="34"/>
      <c r="I63" s="34"/>
      <c r="J63" s="17"/>
    </row>
    <row r="64" spans="2:17" ht="13.5" thickBot="1" x14ac:dyDescent="0.25">
      <c r="B64" s="54"/>
      <c r="C64" s="55"/>
      <c r="D64" s="55"/>
      <c r="E64" s="95"/>
      <c r="F64" s="32"/>
      <c r="G64" s="88"/>
      <c r="H64" s="34"/>
      <c r="I64" s="34"/>
      <c r="J64" s="17"/>
    </row>
    <row r="65" spans="1:10" ht="13.5" thickBot="1" x14ac:dyDescent="0.25">
      <c r="B65" s="89" t="s">
        <v>88</v>
      </c>
      <c r="C65" s="90">
        <f>+F43</f>
        <v>97.949662892929283</v>
      </c>
      <c r="D65" s="90">
        <f>+D63</f>
        <v>31300</v>
      </c>
      <c r="E65" s="91">
        <f>+C65/D65</f>
        <v>3.1293822010520539E-3</v>
      </c>
      <c r="F65" s="32"/>
      <c r="G65" s="88"/>
      <c r="H65" s="34"/>
      <c r="I65" s="34"/>
      <c r="J65" s="17"/>
    </row>
    <row r="66" spans="1:10" ht="13.5" thickBot="1" x14ac:dyDescent="0.25">
      <c r="B66" s="54"/>
      <c r="C66" s="55"/>
      <c r="D66" s="55"/>
      <c r="E66" s="95"/>
      <c r="F66" s="32"/>
      <c r="G66" s="88"/>
      <c r="H66" s="34"/>
      <c r="I66" s="34"/>
      <c r="J66" s="17"/>
    </row>
    <row r="67" spans="1:10" ht="13.5" thickBot="1" x14ac:dyDescent="0.25">
      <c r="B67" s="302" t="s">
        <v>89</v>
      </c>
      <c r="C67" s="303"/>
      <c r="D67" s="304"/>
      <c r="E67" s="91">
        <f>+E58+E63</f>
        <v>1.4056225248891472</v>
      </c>
      <c r="G67" s="32"/>
      <c r="H67" s="88"/>
      <c r="I67" s="88"/>
      <c r="J67" s="34"/>
    </row>
    <row r="69" spans="1:10" ht="13.5" thickBot="1" x14ac:dyDescent="0.25">
      <c r="B69" s="301" t="s">
        <v>90</v>
      </c>
      <c r="C69" s="301"/>
      <c r="D69" s="301"/>
      <c r="E69" s="301"/>
      <c r="F69" s="301"/>
      <c r="G69" s="32"/>
      <c r="H69" s="88"/>
      <c r="I69" s="88"/>
      <c r="J69" s="95"/>
    </row>
    <row r="70" spans="1:10" ht="13.5" thickBot="1" x14ac:dyDescent="0.25">
      <c r="B70" s="89" t="s">
        <v>84</v>
      </c>
      <c r="C70" s="90">
        <f>+C58</f>
        <v>42022.185029030305</v>
      </c>
      <c r="D70" s="90">
        <f>+D49</f>
        <v>1</v>
      </c>
      <c r="E70" s="91">
        <f>+C70/D70</f>
        <v>42022.185029030305</v>
      </c>
      <c r="F70" s="32"/>
      <c r="G70" s="88"/>
      <c r="H70" s="34"/>
      <c r="I70" s="34"/>
      <c r="J70" s="17"/>
    </row>
    <row r="71" spans="1:10" x14ac:dyDescent="0.2">
      <c r="B71" s="92"/>
      <c r="C71" s="93"/>
      <c r="D71" s="94"/>
      <c r="E71" s="72"/>
      <c r="F71" s="32"/>
      <c r="G71" s="88"/>
      <c r="H71" s="34"/>
      <c r="I71" s="34"/>
      <c r="J71" s="17"/>
    </row>
    <row r="72" spans="1:10" x14ac:dyDescent="0.2">
      <c r="B72" s="89" t="s">
        <v>85</v>
      </c>
      <c r="C72" s="90">
        <f>+C60</f>
        <v>42960.578392503834</v>
      </c>
      <c r="D72" s="90">
        <f>+D49</f>
        <v>1</v>
      </c>
      <c r="E72" s="95">
        <f>+C72/D72</f>
        <v>42960.578392503834</v>
      </c>
      <c r="F72" s="32"/>
      <c r="G72" s="88"/>
      <c r="H72" s="34"/>
      <c r="I72" s="34"/>
      <c r="J72" s="17"/>
    </row>
    <row r="73" spans="1:10" x14ac:dyDescent="0.2">
      <c r="B73" s="89"/>
      <c r="C73" s="90"/>
      <c r="D73" s="90"/>
      <c r="E73" s="95"/>
      <c r="F73" s="32"/>
      <c r="G73" s="88"/>
      <c r="H73" s="34"/>
      <c r="I73" s="34"/>
      <c r="J73" s="17"/>
    </row>
    <row r="74" spans="1:10" ht="13.5" thickBot="1" x14ac:dyDescent="0.25">
      <c r="B74" s="89" t="s">
        <v>87</v>
      </c>
      <c r="C74" s="90">
        <f>+C62</f>
        <v>1960</v>
      </c>
      <c r="D74" s="90">
        <f>+D49</f>
        <v>1</v>
      </c>
      <c r="E74" s="95">
        <f>+C74/D74</f>
        <v>1960</v>
      </c>
      <c r="F74" s="98"/>
      <c r="G74" s="97"/>
      <c r="H74" s="16"/>
      <c r="I74" s="16"/>
      <c r="J74" s="17"/>
    </row>
    <row r="75" spans="1:10" ht="13.5" thickBot="1" x14ac:dyDescent="0.25">
      <c r="B75" s="89" t="s">
        <v>87</v>
      </c>
      <c r="C75" s="90">
        <f>+C63</f>
        <v>1973.8</v>
      </c>
      <c r="D75" s="90">
        <f>+D74</f>
        <v>1</v>
      </c>
      <c r="E75" s="91">
        <f>+C75/D75</f>
        <v>1973.8</v>
      </c>
      <c r="F75" s="96"/>
      <c r="G75" s="97"/>
      <c r="H75" s="16"/>
      <c r="I75" s="16"/>
      <c r="J75" s="17"/>
    </row>
    <row r="77" spans="1:10" x14ac:dyDescent="0.2">
      <c r="A77" s="294"/>
      <c r="B77" s="294"/>
      <c r="C77" s="99"/>
      <c r="D77" s="99"/>
      <c r="E77" s="100"/>
      <c r="G77" s="101"/>
    </row>
    <row r="78" spans="1:10" x14ac:dyDescent="0.2">
      <c r="A78" s="35"/>
      <c r="B78" s="102"/>
      <c r="C78" s="103"/>
      <c r="D78" s="103"/>
      <c r="E78" s="104"/>
      <c r="G78" s="101"/>
    </row>
    <row r="79" spans="1:10" x14ac:dyDescent="0.2">
      <c r="A79" s="35"/>
      <c r="B79" s="102"/>
      <c r="C79" s="105"/>
      <c r="D79" s="105"/>
      <c r="E79" s="35"/>
      <c r="G79" s="101"/>
    </row>
    <row r="80" spans="1:10" x14ac:dyDescent="0.2">
      <c r="A80" s="35"/>
      <c r="B80" s="102"/>
      <c r="C80" s="106"/>
      <c r="D80" s="106"/>
      <c r="E80" s="35"/>
      <c r="G80" s="101"/>
    </row>
  </sheetData>
  <mergeCells count="34">
    <mergeCell ref="K26:L26"/>
    <mergeCell ref="A4:H4"/>
    <mergeCell ref="A5:H5"/>
    <mergeCell ref="F6:G6"/>
    <mergeCell ref="K24:L24"/>
    <mergeCell ref="K25:L25"/>
    <mergeCell ref="K27:L27"/>
    <mergeCell ref="B42:E42"/>
    <mergeCell ref="B43:E43"/>
    <mergeCell ref="K43:N43"/>
    <mergeCell ref="B44:E44"/>
    <mergeCell ref="L44:N44"/>
    <mergeCell ref="C45:E45"/>
    <mergeCell ref="L45:M45"/>
    <mergeCell ref="L46:M46"/>
    <mergeCell ref="B47:C47"/>
    <mergeCell ref="B48:C48"/>
    <mergeCell ref="L48:M48"/>
    <mergeCell ref="B49:C49"/>
    <mergeCell ref="B50:C50"/>
    <mergeCell ref="L50:N50"/>
    <mergeCell ref="L51:M51"/>
    <mergeCell ref="B52:D52"/>
    <mergeCell ref="K52:N52"/>
    <mergeCell ref="L53:N53"/>
    <mergeCell ref="B54:C54"/>
    <mergeCell ref="K54:N54"/>
    <mergeCell ref="B55:E55"/>
    <mergeCell ref="H55:H56"/>
    <mergeCell ref="B57:F57"/>
    <mergeCell ref="B67:D67"/>
    <mergeCell ref="B69:F69"/>
    <mergeCell ref="A77:B77"/>
    <mergeCell ref="B53:D53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F1942-8049-4CD0-B99F-239B31D22BFA}">
  <dimension ref="A1:Q84"/>
  <sheetViews>
    <sheetView topLeftCell="A25" workbookViewId="0">
      <selection activeCell="M39" sqref="M39"/>
    </sheetView>
  </sheetViews>
  <sheetFormatPr baseColWidth="10" defaultColWidth="8.42578125" defaultRowHeight="12.75" x14ac:dyDescent="0.2"/>
  <cols>
    <col min="1" max="1" width="10" style="17" bestFit="1" customWidth="1"/>
    <col min="2" max="2" width="44.140625" style="17" bestFit="1" customWidth="1"/>
    <col min="3" max="3" width="10.42578125" style="17" bestFit="1" customWidth="1"/>
    <col min="4" max="4" width="10.42578125" style="17" customWidth="1"/>
    <col min="5" max="5" width="9.85546875" style="17" bestFit="1" customWidth="1"/>
    <col min="6" max="6" width="9.5703125" style="17" bestFit="1" customWidth="1"/>
    <col min="7" max="7" width="9.5703125" style="96" bestFit="1" customWidth="1"/>
    <col min="8" max="8" width="10.42578125" style="97" bestFit="1" customWidth="1"/>
    <col min="9" max="9" width="4.5703125" style="97" customWidth="1"/>
    <col min="10" max="10" width="1.85546875" style="16" customWidth="1"/>
    <col min="11" max="11" width="7" style="17" bestFit="1" customWidth="1"/>
    <col min="12" max="12" width="6.140625" style="17" customWidth="1"/>
    <col min="13" max="13" width="20.42578125" style="17" customWidth="1"/>
    <col min="14" max="14" width="6.42578125" style="17" bestFit="1" customWidth="1"/>
    <col min="15" max="16" width="8.42578125" style="17"/>
    <col min="17" max="17" width="3.140625" style="17" customWidth="1"/>
    <col min="18" max="256" width="8.42578125" style="17"/>
    <col min="257" max="257" width="10" style="17" bestFit="1" customWidth="1"/>
    <col min="258" max="258" width="44.140625" style="17" bestFit="1" customWidth="1"/>
    <col min="259" max="259" width="10.42578125" style="17" bestFit="1" customWidth="1"/>
    <col min="260" max="260" width="10.42578125" style="17" customWidth="1"/>
    <col min="261" max="261" width="9.85546875" style="17" bestFit="1" customWidth="1"/>
    <col min="262" max="263" width="9.5703125" style="17" bestFit="1" customWidth="1"/>
    <col min="264" max="264" width="10.42578125" style="17" bestFit="1" customWidth="1"/>
    <col min="265" max="265" width="4.5703125" style="17" customWidth="1"/>
    <col min="266" max="266" width="1.85546875" style="17" customWidth="1"/>
    <col min="267" max="267" width="7" style="17" bestFit="1" customWidth="1"/>
    <col min="268" max="268" width="6.140625" style="17" customWidth="1"/>
    <col min="269" max="269" width="20.42578125" style="17" customWidth="1"/>
    <col min="270" max="270" width="6.42578125" style="17" bestFit="1" customWidth="1"/>
    <col min="271" max="272" width="8.42578125" style="17"/>
    <col min="273" max="273" width="3.140625" style="17" customWidth="1"/>
    <col min="274" max="512" width="8.42578125" style="17"/>
    <col min="513" max="513" width="10" style="17" bestFit="1" customWidth="1"/>
    <col min="514" max="514" width="44.140625" style="17" bestFit="1" customWidth="1"/>
    <col min="515" max="515" width="10.42578125" style="17" bestFit="1" customWidth="1"/>
    <col min="516" max="516" width="10.42578125" style="17" customWidth="1"/>
    <col min="517" max="517" width="9.85546875" style="17" bestFit="1" customWidth="1"/>
    <col min="518" max="519" width="9.5703125" style="17" bestFit="1" customWidth="1"/>
    <col min="520" max="520" width="10.42578125" style="17" bestFit="1" customWidth="1"/>
    <col min="521" max="521" width="4.5703125" style="17" customWidth="1"/>
    <col min="522" max="522" width="1.85546875" style="17" customWidth="1"/>
    <col min="523" max="523" width="7" style="17" bestFit="1" customWidth="1"/>
    <col min="524" max="524" width="6.140625" style="17" customWidth="1"/>
    <col min="525" max="525" width="20.42578125" style="17" customWidth="1"/>
    <col min="526" max="526" width="6.42578125" style="17" bestFit="1" customWidth="1"/>
    <col min="527" max="528" width="8.42578125" style="17"/>
    <col min="529" max="529" width="3.140625" style="17" customWidth="1"/>
    <col min="530" max="768" width="8.42578125" style="17"/>
    <col min="769" max="769" width="10" style="17" bestFit="1" customWidth="1"/>
    <col min="770" max="770" width="44.140625" style="17" bestFit="1" customWidth="1"/>
    <col min="771" max="771" width="10.42578125" style="17" bestFit="1" customWidth="1"/>
    <col min="772" max="772" width="10.42578125" style="17" customWidth="1"/>
    <col min="773" max="773" width="9.85546875" style="17" bestFit="1" customWidth="1"/>
    <col min="774" max="775" width="9.5703125" style="17" bestFit="1" customWidth="1"/>
    <col min="776" max="776" width="10.42578125" style="17" bestFit="1" customWidth="1"/>
    <col min="777" max="777" width="4.5703125" style="17" customWidth="1"/>
    <col min="778" max="778" width="1.85546875" style="17" customWidth="1"/>
    <col min="779" max="779" width="7" style="17" bestFit="1" customWidth="1"/>
    <col min="780" max="780" width="6.140625" style="17" customWidth="1"/>
    <col min="781" max="781" width="20.42578125" style="17" customWidth="1"/>
    <col min="782" max="782" width="6.42578125" style="17" bestFit="1" customWidth="1"/>
    <col min="783" max="784" width="8.42578125" style="17"/>
    <col min="785" max="785" width="3.140625" style="17" customWidth="1"/>
    <col min="786" max="1024" width="8.42578125" style="17"/>
    <col min="1025" max="1025" width="10" style="17" bestFit="1" customWidth="1"/>
    <col min="1026" max="1026" width="44.140625" style="17" bestFit="1" customWidth="1"/>
    <col min="1027" max="1027" width="10.42578125" style="17" bestFit="1" customWidth="1"/>
    <col min="1028" max="1028" width="10.42578125" style="17" customWidth="1"/>
    <col min="1029" max="1029" width="9.85546875" style="17" bestFit="1" customWidth="1"/>
    <col min="1030" max="1031" width="9.5703125" style="17" bestFit="1" customWidth="1"/>
    <col min="1032" max="1032" width="10.42578125" style="17" bestFit="1" customWidth="1"/>
    <col min="1033" max="1033" width="4.5703125" style="17" customWidth="1"/>
    <col min="1034" max="1034" width="1.85546875" style="17" customWidth="1"/>
    <col min="1035" max="1035" width="7" style="17" bestFit="1" customWidth="1"/>
    <col min="1036" max="1036" width="6.140625" style="17" customWidth="1"/>
    <col min="1037" max="1037" width="20.42578125" style="17" customWidth="1"/>
    <col min="1038" max="1038" width="6.42578125" style="17" bestFit="1" customWidth="1"/>
    <col min="1039" max="1040" width="8.42578125" style="17"/>
    <col min="1041" max="1041" width="3.140625" style="17" customWidth="1"/>
    <col min="1042" max="1280" width="8.42578125" style="17"/>
    <col min="1281" max="1281" width="10" style="17" bestFit="1" customWidth="1"/>
    <col min="1282" max="1282" width="44.140625" style="17" bestFit="1" customWidth="1"/>
    <col min="1283" max="1283" width="10.42578125" style="17" bestFit="1" customWidth="1"/>
    <col min="1284" max="1284" width="10.42578125" style="17" customWidth="1"/>
    <col min="1285" max="1285" width="9.85546875" style="17" bestFit="1" customWidth="1"/>
    <col min="1286" max="1287" width="9.5703125" style="17" bestFit="1" customWidth="1"/>
    <col min="1288" max="1288" width="10.42578125" style="17" bestFit="1" customWidth="1"/>
    <col min="1289" max="1289" width="4.5703125" style="17" customWidth="1"/>
    <col min="1290" max="1290" width="1.85546875" style="17" customWidth="1"/>
    <col min="1291" max="1291" width="7" style="17" bestFit="1" customWidth="1"/>
    <col min="1292" max="1292" width="6.140625" style="17" customWidth="1"/>
    <col min="1293" max="1293" width="20.42578125" style="17" customWidth="1"/>
    <col min="1294" max="1294" width="6.42578125" style="17" bestFit="1" customWidth="1"/>
    <col min="1295" max="1296" width="8.42578125" style="17"/>
    <col min="1297" max="1297" width="3.140625" style="17" customWidth="1"/>
    <col min="1298" max="1536" width="8.42578125" style="17"/>
    <col min="1537" max="1537" width="10" style="17" bestFit="1" customWidth="1"/>
    <col min="1538" max="1538" width="44.140625" style="17" bestFit="1" customWidth="1"/>
    <col min="1539" max="1539" width="10.42578125" style="17" bestFit="1" customWidth="1"/>
    <col min="1540" max="1540" width="10.42578125" style="17" customWidth="1"/>
    <col min="1541" max="1541" width="9.85546875" style="17" bestFit="1" customWidth="1"/>
    <col min="1542" max="1543" width="9.5703125" style="17" bestFit="1" customWidth="1"/>
    <col min="1544" max="1544" width="10.42578125" style="17" bestFit="1" customWidth="1"/>
    <col min="1545" max="1545" width="4.5703125" style="17" customWidth="1"/>
    <col min="1546" max="1546" width="1.85546875" style="17" customWidth="1"/>
    <col min="1547" max="1547" width="7" style="17" bestFit="1" customWidth="1"/>
    <col min="1548" max="1548" width="6.140625" style="17" customWidth="1"/>
    <col min="1549" max="1549" width="20.42578125" style="17" customWidth="1"/>
    <col min="1550" max="1550" width="6.42578125" style="17" bestFit="1" customWidth="1"/>
    <col min="1551" max="1552" width="8.42578125" style="17"/>
    <col min="1553" max="1553" width="3.140625" style="17" customWidth="1"/>
    <col min="1554" max="1792" width="8.42578125" style="17"/>
    <col min="1793" max="1793" width="10" style="17" bestFit="1" customWidth="1"/>
    <col min="1794" max="1794" width="44.140625" style="17" bestFit="1" customWidth="1"/>
    <col min="1795" max="1795" width="10.42578125" style="17" bestFit="1" customWidth="1"/>
    <col min="1796" max="1796" width="10.42578125" style="17" customWidth="1"/>
    <col min="1797" max="1797" width="9.85546875" style="17" bestFit="1" customWidth="1"/>
    <col min="1798" max="1799" width="9.5703125" style="17" bestFit="1" customWidth="1"/>
    <col min="1800" max="1800" width="10.42578125" style="17" bestFit="1" customWidth="1"/>
    <col min="1801" max="1801" width="4.5703125" style="17" customWidth="1"/>
    <col min="1802" max="1802" width="1.85546875" style="17" customWidth="1"/>
    <col min="1803" max="1803" width="7" style="17" bestFit="1" customWidth="1"/>
    <col min="1804" max="1804" width="6.140625" style="17" customWidth="1"/>
    <col min="1805" max="1805" width="20.42578125" style="17" customWidth="1"/>
    <col min="1806" max="1806" width="6.42578125" style="17" bestFit="1" customWidth="1"/>
    <col min="1807" max="1808" width="8.42578125" style="17"/>
    <col min="1809" max="1809" width="3.140625" style="17" customWidth="1"/>
    <col min="1810" max="2048" width="8.42578125" style="17"/>
    <col min="2049" max="2049" width="10" style="17" bestFit="1" customWidth="1"/>
    <col min="2050" max="2050" width="44.140625" style="17" bestFit="1" customWidth="1"/>
    <col min="2051" max="2051" width="10.42578125" style="17" bestFit="1" customWidth="1"/>
    <col min="2052" max="2052" width="10.42578125" style="17" customWidth="1"/>
    <col min="2053" max="2053" width="9.85546875" style="17" bestFit="1" customWidth="1"/>
    <col min="2054" max="2055" width="9.5703125" style="17" bestFit="1" customWidth="1"/>
    <col min="2056" max="2056" width="10.42578125" style="17" bestFit="1" customWidth="1"/>
    <col min="2057" max="2057" width="4.5703125" style="17" customWidth="1"/>
    <col min="2058" max="2058" width="1.85546875" style="17" customWidth="1"/>
    <col min="2059" max="2059" width="7" style="17" bestFit="1" customWidth="1"/>
    <col min="2060" max="2060" width="6.140625" style="17" customWidth="1"/>
    <col min="2061" max="2061" width="20.42578125" style="17" customWidth="1"/>
    <col min="2062" max="2062" width="6.42578125" style="17" bestFit="1" customWidth="1"/>
    <col min="2063" max="2064" width="8.42578125" style="17"/>
    <col min="2065" max="2065" width="3.140625" style="17" customWidth="1"/>
    <col min="2066" max="2304" width="8.42578125" style="17"/>
    <col min="2305" max="2305" width="10" style="17" bestFit="1" customWidth="1"/>
    <col min="2306" max="2306" width="44.140625" style="17" bestFit="1" customWidth="1"/>
    <col min="2307" max="2307" width="10.42578125" style="17" bestFit="1" customWidth="1"/>
    <col min="2308" max="2308" width="10.42578125" style="17" customWidth="1"/>
    <col min="2309" max="2309" width="9.85546875" style="17" bestFit="1" customWidth="1"/>
    <col min="2310" max="2311" width="9.5703125" style="17" bestFit="1" customWidth="1"/>
    <col min="2312" max="2312" width="10.42578125" style="17" bestFit="1" customWidth="1"/>
    <col min="2313" max="2313" width="4.5703125" style="17" customWidth="1"/>
    <col min="2314" max="2314" width="1.85546875" style="17" customWidth="1"/>
    <col min="2315" max="2315" width="7" style="17" bestFit="1" customWidth="1"/>
    <col min="2316" max="2316" width="6.140625" style="17" customWidth="1"/>
    <col min="2317" max="2317" width="20.42578125" style="17" customWidth="1"/>
    <col min="2318" max="2318" width="6.42578125" style="17" bestFit="1" customWidth="1"/>
    <col min="2319" max="2320" width="8.42578125" style="17"/>
    <col min="2321" max="2321" width="3.140625" style="17" customWidth="1"/>
    <col min="2322" max="2560" width="8.42578125" style="17"/>
    <col min="2561" max="2561" width="10" style="17" bestFit="1" customWidth="1"/>
    <col min="2562" max="2562" width="44.140625" style="17" bestFit="1" customWidth="1"/>
    <col min="2563" max="2563" width="10.42578125" style="17" bestFit="1" customWidth="1"/>
    <col min="2564" max="2564" width="10.42578125" style="17" customWidth="1"/>
    <col min="2565" max="2565" width="9.85546875" style="17" bestFit="1" customWidth="1"/>
    <col min="2566" max="2567" width="9.5703125" style="17" bestFit="1" customWidth="1"/>
    <col min="2568" max="2568" width="10.42578125" style="17" bestFit="1" customWidth="1"/>
    <col min="2569" max="2569" width="4.5703125" style="17" customWidth="1"/>
    <col min="2570" max="2570" width="1.85546875" style="17" customWidth="1"/>
    <col min="2571" max="2571" width="7" style="17" bestFit="1" customWidth="1"/>
    <col min="2572" max="2572" width="6.140625" style="17" customWidth="1"/>
    <col min="2573" max="2573" width="20.42578125" style="17" customWidth="1"/>
    <col min="2574" max="2574" width="6.42578125" style="17" bestFit="1" customWidth="1"/>
    <col min="2575" max="2576" width="8.42578125" style="17"/>
    <col min="2577" max="2577" width="3.140625" style="17" customWidth="1"/>
    <col min="2578" max="2816" width="8.42578125" style="17"/>
    <col min="2817" max="2817" width="10" style="17" bestFit="1" customWidth="1"/>
    <col min="2818" max="2818" width="44.140625" style="17" bestFit="1" customWidth="1"/>
    <col min="2819" max="2819" width="10.42578125" style="17" bestFit="1" customWidth="1"/>
    <col min="2820" max="2820" width="10.42578125" style="17" customWidth="1"/>
    <col min="2821" max="2821" width="9.85546875" style="17" bestFit="1" customWidth="1"/>
    <col min="2822" max="2823" width="9.5703125" style="17" bestFit="1" customWidth="1"/>
    <col min="2824" max="2824" width="10.42578125" style="17" bestFit="1" customWidth="1"/>
    <col min="2825" max="2825" width="4.5703125" style="17" customWidth="1"/>
    <col min="2826" max="2826" width="1.85546875" style="17" customWidth="1"/>
    <col min="2827" max="2827" width="7" style="17" bestFit="1" customWidth="1"/>
    <col min="2828" max="2828" width="6.140625" style="17" customWidth="1"/>
    <col min="2829" max="2829" width="20.42578125" style="17" customWidth="1"/>
    <col min="2830" max="2830" width="6.42578125" style="17" bestFit="1" customWidth="1"/>
    <col min="2831" max="2832" width="8.42578125" style="17"/>
    <col min="2833" max="2833" width="3.140625" style="17" customWidth="1"/>
    <col min="2834" max="3072" width="8.42578125" style="17"/>
    <col min="3073" max="3073" width="10" style="17" bestFit="1" customWidth="1"/>
    <col min="3074" max="3074" width="44.140625" style="17" bestFit="1" customWidth="1"/>
    <col min="3075" max="3075" width="10.42578125" style="17" bestFit="1" customWidth="1"/>
    <col min="3076" max="3076" width="10.42578125" style="17" customWidth="1"/>
    <col min="3077" max="3077" width="9.85546875" style="17" bestFit="1" customWidth="1"/>
    <col min="3078" max="3079" width="9.5703125" style="17" bestFit="1" customWidth="1"/>
    <col min="3080" max="3080" width="10.42578125" style="17" bestFit="1" customWidth="1"/>
    <col min="3081" max="3081" width="4.5703125" style="17" customWidth="1"/>
    <col min="3082" max="3082" width="1.85546875" style="17" customWidth="1"/>
    <col min="3083" max="3083" width="7" style="17" bestFit="1" customWidth="1"/>
    <col min="3084" max="3084" width="6.140625" style="17" customWidth="1"/>
    <col min="3085" max="3085" width="20.42578125" style="17" customWidth="1"/>
    <col min="3086" max="3086" width="6.42578125" style="17" bestFit="1" customWidth="1"/>
    <col min="3087" max="3088" width="8.42578125" style="17"/>
    <col min="3089" max="3089" width="3.140625" style="17" customWidth="1"/>
    <col min="3090" max="3328" width="8.42578125" style="17"/>
    <col min="3329" max="3329" width="10" style="17" bestFit="1" customWidth="1"/>
    <col min="3330" max="3330" width="44.140625" style="17" bestFit="1" customWidth="1"/>
    <col min="3331" max="3331" width="10.42578125" style="17" bestFit="1" customWidth="1"/>
    <col min="3332" max="3332" width="10.42578125" style="17" customWidth="1"/>
    <col min="3333" max="3333" width="9.85546875" style="17" bestFit="1" customWidth="1"/>
    <col min="3334" max="3335" width="9.5703125" style="17" bestFit="1" customWidth="1"/>
    <col min="3336" max="3336" width="10.42578125" style="17" bestFit="1" customWidth="1"/>
    <col min="3337" max="3337" width="4.5703125" style="17" customWidth="1"/>
    <col min="3338" max="3338" width="1.85546875" style="17" customWidth="1"/>
    <col min="3339" max="3339" width="7" style="17" bestFit="1" customWidth="1"/>
    <col min="3340" max="3340" width="6.140625" style="17" customWidth="1"/>
    <col min="3341" max="3341" width="20.42578125" style="17" customWidth="1"/>
    <col min="3342" max="3342" width="6.42578125" style="17" bestFit="1" customWidth="1"/>
    <col min="3343" max="3344" width="8.42578125" style="17"/>
    <col min="3345" max="3345" width="3.140625" style="17" customWidth="1"/>
    <col min="3346" max="3584" width="8.42578125" style="17"/>
    <col min="3585" max="3585" width="10" style="17" bestFit="1" customWidth="1"/>
    <col min="3586" max="3586" width="44.140625" style="17" bestFit="1" customWidth="1"/>
    <col min="3587" max="3587" width="10.42578125" style="17" bestFit="1" customWidth="1"/>
    <col min="3588" max="3588" width="10.42578125" style="17" customWidth="1"/>
    <col min="3589" max="3589" width="9.85546875" style="17" bestFit="1" customWidth="1"/>
    <col min="3590" max="3591" width="9.5703125" style="17" bestFit="1" customWidth="1"/>
    <col min="3592" max="3592" width="10.42578125" style="17" bestFit="1" customWidth="1"/>
    <col min="3593" max="3593" width="4.5703125" style="17" customWidth="1"/>
    <col min="3594" max="3594" width="1.85546875" style="17" customWidth="1"/>
    <col min="3595" max="3595" width="7" style="17" bestFit="1" customWidth="1"/>
    <col min="3596" max="3596" width="6.140625" style="17" customWidth="1"/>
    <col min="3597" max="3597" width="20.42578125" style="17" customWidth="1"/>
    <col min="3598" max="3598" width="6.42578125" style="17" bestFit="1" customWidth="1"/>
    <col min="3599" max="3600" width="8.42578125" style="17"/>
    <col min="3601" max="3601" width="3.140625" style="17" customWidth="1"/>
    <col min="3602" max="3840" width="8.42578125" style="17"/>
    <col min="3841" max="3841" width="10" style="17" bestFit="1" customWidth="1"/>
    <col min="3842" max="3842" width="44.140625" style="17" bestFit="1" customWidth="1"/>
    <col min="3843" max="3843" width="10.42578125" style="17" bestFit="1" customWidth="1"/>
    <col min="3844" max="3844" width="10.42578125" style="17" customWidth="1"/>
    <col min="3845" max="3845" width="9.85546875" style="17" bestFit="1" customWidth="1"/>
    <col min="3846" max="3847" width="9.5703125" style="17" bestFit="1" customWidth="1"/>
    <col min="3848" max="3848" width="10.42578125" style="17" bestFit="1" customWidth="1"/>
    <col min="3849" max="3849" width="4.5703125" style="17" customWidth="1"/>
    <col min="3850" max="3850" width="1.85546875" style="17" customWidth="1"/>
    <col min="3851" max="3851" width="7" style="17" bestFit="1" customWidth="1"/>
    <col min="3852" max="3852" width="6.140625" style="17" customWidth="1"/>
    <col min="3853" max="3853" width="20.42578125" style="17" customWidth="1"/>
    <col min="3854" max="3854" width="6.42578125" style="17" bestFit="1" customWidth="1"/>
    <col min="3855" max="3856" width="8.42578125" style="17"/>
    <col min="3857" max="3857" width="3.140625" style="17" customWidth="1"/>
    <col min="3858" max="4096" width="8.42578125" style="17"/>
    <col min="4097" max="4097" width="10" style="17" bestFit="1" customWidth="1"/>
    <col min="4098" max="4098" width="44.140625" style="17" bestFit="1" customWidth="1"/>
    <col min="4099" max="4099" width="10.42578125" style="17" bestFit="1" customWidth="1"/>
    <col min="4100" max="4100" width="10.42578125" style="17" customWidth="1"/>
    <col min="4101" max="4101" width="9.85546875" style="17" bestFit="1" customWidth="1"/>
    <col min="4102" max="4103" width="9.5703125" style="17" bestFit="1" customWidth="1"/>
    <col min="4104" max="4104" width="10.42578125" style="17" bestFit="1" customWidth="1"/>
    <col min="4105" max="4105" width="4.5703125" style="17" customWidth="1"/>
    <col min="4106" max="4106" width="1.85546875" style="17" customWidth="1"/>
    <col min="4107" max="4107" width="7" style="17" bestFit="1" customWidth="1"/>
    <col min="4108" max="4108" width="6.140625" style="17" customWidth="1"/>
    <col min="4109" max="4109" width="20.42578125" style="17" customWidth="1"/>
    <col min="4110" max="4110" width="6.42578125" style="17" bestFit="1" customWidth="1"/>
    <col min="4111" max="4112" width="8.42578125" style="17"/>
    <col min="4113" max="4113" width="3.140625" style="17" customWidth="1"/>
    <col min="4114" max="4352" width="8.42578125" style="17"/>
    <col min="4353" max="4353" width="10" style="17" bestFit="1" customWidth="1"/>
    <col min="4354" max="4354" width="44.140625" style="17" bestFit="1" customWidth="1"/>
    <col min="4355" max="4355" width="10.42578125" style="17" bestFit="1" customWidth="1"/>
    <col min="4356" max="4356" width="10.42578125" style="17" customWidth="1"/>
    <col min="4357" max="4357" width="9.85546875" style="17" bestFit="1" customWidth="1"/>
    <col min="4358" max="4359" width="9.5703125" style="17" bestFit="1" customWidth="1"/>
    <col min="4360" max="4360" width="10.42578125" style="17" bestFit="1" customWidth="1"/>
    <col min="4361" max="4361" width="4.5703125" style="17" customWidth="1"/>
    <col min="4362" max="4362" width="1.85546875" style="17" customWidth="1"/>
    <col min="4363" max="4363" width="7" style="17" bestFit="1" customWidth="1"/>
    <col min="4364" max="4364" width="6.140625" style="17" customWidth="1"/>
    <col min="4365" max="4365" width="20.42578125" style="17" customWidth="1"/>
    <col min="4366" max="4366" width="6.42578125" style="17" bestFit="1" customWidth="1"/>
    <col min="4367" max="4368" width="8.42578125" style="17"/>
    <col min="4369" max="4369" width="3.140625" style="17" customWidth="1"/>
    <col min="4370" max="4608" width="8.42578125" style="17"/>
    <col min="4609" max="4609" width="10" style="17" bestFit="1" customWidth="1"/>
    <col min="4610" max="4610" width="44.140625" style="17" bestFit="1" customWidth="1"/>
    <col min="4611" max="4611" width="10.42578125" style="17" bestFit="1" customWidth="1"/>
    <col min="4612" max="4612" width="10.42578125" style="17" customWidth="1"/>
    <col min="4613" max="4613" width="9.85546875" style="17" bestFit="1" customWidth="1"/>
    <col min="4614" max="4615" width="9.5703125" style="17" bestFit="1" customWidth="1"/>
    <col min="4616" max="4616" width="10.42578125" style="17" bestFit="1" customWidth="1"/>
    <col min="4617" max="4617" width="4.5703125" style="17" customWidth="1"/>
    <col min="4618" max="4618" width="1.85546875" style="17" customWidth="1"/>
    <col min="4619" max="4619" width="7" style="17" bestFit="1" customWidth="1"/>
    <col min="4620" max="4620" width="6.140625" style="17" customWidth="1"/>
    <col min="4621" max="4621" width="20.42578125" style="17" customWidth="1"/>
    <col min="4622" max="4622" width="6.42578125" style="17" bestFit="1" customWidth="1"/>
    <col min="4623" max="4624" width="8.42578125" style="17"/>
    <col min="4625" max="4625" width="3.140625" style="17" customWidth="1"/>
    <col min="4626" max="4864" width="8.42578125" style="17"/>
    <col min="4865" max="4865" width="10" style="17" bestFit="1" customWidth="1"/>
    <col min="4866" max="4866" width="44.140625" style="17" bestFit="1" customWidth="1"/>
    <col min="4867" max="4867" width="10.42578125" style="17" bestFit="1" customWidth="1"/>
    <col min="4868" max="4868" width="10.42578125" style="17" customWidth="1"/>
    <col min="4869" max="4869" width="9.85546875" style="17" bestFit="1" customWidth="1"/>
    <col min="4870" max="4871" width="9.5703125" style="17" bestFit="1" customWidth="1"/>
    <col min="4872" max="4872" width="10.42578125" style="17" bestFit="1" customWidth="1"/>
    <col min="4873" max="4873" width="4.5703125" style="17" customWidth="1"/>
    <col min="4874" max="4874" width="1.85546875" style="17" customWidth="1"/>
    <col min="4875" max="4875" width="7" style="17" bestFit="1" customWidth="1"/>
    <col min="4876" max="4876" width="6.140625" style="17" customWidth="1"/>
    <col min="4877" max="4877" width="20.42578125" style="17" customWidth="1"/>
    <col min="4878" max="4878" width="6.42578125" style="17" bestFit="1" customWidth="1"/>
    <col min="4879" max="4880" width="8.42578125" style="17"/>
    <col min="4881" max="4881" width="3.140625" style="17" customWidth="1"/>
    <col min="4882" max="5120" width="8.42578125" style="17"/>
    <col min="5121" max="5121" width="10" style="17" bestFit="1" customWidth="1"/>
    <col min="5122" max="5122" width="44.140625" style="17" bestFit="1" customWidth="1"/>
    <col min="5123" max="5123" width="10.42578125" style="17" bestFit="1" customWidth="1"/>
    <col min="5124" max="5124" width="10.42578125" style="17" customWidth="1"/>
    <col min="5125" max="5125" width="9.85546875" style="17" bestFit="1" customWidth="1"/>
    <col min="5126" max="5127" width="9.5703125" style="17" bestFit="1" customWidth="1"/>
    <col min="5128" max="5128" width="10.42578125" style="17" bestFit="1" customWidth="1"/>
    <col min="5129" max="5129" width="4.5703125" style="17" customWidth="1"/>
    <col min="5130" max="5130" width="1.85546875" style="17" customWidth="1"/>
    <col min="5131" max="5131" width="7" style="17" bestFit="1" customWidth="1"/>
    <col min="5132" max="5132" width="6.140625" style="17" customWidth="1"/>
    <col min="5133" max="5133" width="20.42578125" style="17" customWidth="1"/>
    <col min="5134" max="5134" width="6.42578125" style="17" bestFit="1" customWidth="1"/>
    <col min="5135" max="5136" width="8.42578125" style="17"/>
    <col min="5137" max="5137" width="3.140625" style="17" customWidth="1"/>
    <col min="5138" max="5376" width="8.42578125" style="17"/>
    <col min="5377" max="5377" width="10" style="17" bestFit="1" customWidth="1"/>
    <col min="5378" max="5378" width="44.140625" style="17" bestFit="1" customWidth="1"/>
    <col min="5379" max="5379" width="10.42578125" style="17" bestFit="1" customWidth="1"/>
    <col min="5380" max="5380" width="10.42578125" style="17" customWidth="1"/>
    <col min="5381" max="5381" width="9.85546875" style="17" bestFit="1" customWidth="1"/>
    <col min="5382" max="5383" width="9.5703125" style="17" bestFit="1" customWidth="1"/>
    <col min="5384" max="5384" width="10.42578125" style="17" bestFit="1" customWidth="1"/>
    <col min="5385" max="5385" width="4.5703125" style="17" customWidth="1"/>
    <col min="5386" max="5386" width="1.85546875" style="17" customWidth="1"/>
    <col min="5387" max="5387" width="7" style="17" bestFit="1" customWidth="1"/>
    <col min="5388" max="5388" width="6.140625" style="17" customWidth="1"/>
    <col min="5389" max="5389" width="20.42578125" style="17" customWidth="1"/>
    <col min="5390" max="5390" width="6.42578125" style="17" bestFit="1" customWidth="1"/>
    <col min="5391" max="5392" width="8.42578125" style="17"/>
    <col min="5393" max="5393" width="3.140625" style="17" customWidth="1"/>
    <col min="5394" max="5632" width="8.42578125" style="17"/>
    <col min="5633" max="5633" width="10" style="17" bestFit="1" customWidth="1"/>
    <col min="5634" max="5634" width="44.140625" style="17" bestFit="1" customWidth="1"/>
    <col min="5635" max="5635" width="10.42578125" style="17" bestFit="1" customWidth="1"/>
    <col min="5636" max="5636" width="10.42578125" style="17" customWidth="1"/>
    <col min="5637" max="5637" width="9.85546875" style="17" bestFit="1" customWidth="1"/>
    <col min="5638" max="5639" width="9.5703125" style="17" bestFit="1" customWidth="1"/>
    <col min="5640" max="5640" width="10.42578125" style="17" bestFit="1" customWidth="1"/>
    <col min="5641" max="5641" width="4.5703125" style="17" customWidth="1"/>
    <col min="5642" max="5642" width="1.85546875" style="17" customWidth="1"/>
    <col min="5643" max="5643" width="7" style="17" bestFit="1" customWidth="1"/>
    <col min="5644" max="5644" width="6.140625" style="17" customWidth="1"/>
    <col min="5645" max="5645" width="20.42578125" style="17" customWidth="1"/>
    <col min="5646" max="5646" width="6.42578125" style="17" bestFit="1" customWidth="1"/>
    <col min="5647" max="5648" width="8.42578125" style="17"/>
    <col min="5649" max="5649" width="3.140625" style="17" customWidth="1"/>
    <col min="5650" max="5888" width="8.42578125" style="17"/>
    <col min="5889" max="5889" width="10" style="17" bestFit="1" customWidth="1"/>
    <col min="5890" max="5890" width="44.140625" style="17" bestFit="1" customWidth="1"/>
    <col min="5891" max="5891" width="10.42578125" style="17" bestFit="1" customWidth="1"/>
    <col min="5892" max="5892" width="10.42578125" style="17" customWidth="1"/>
    <col min="5893" max="5893" width="9.85546875" style="17" bestFit="1" customWidth="1"/>
    <col min="5894" max="5895" width="9.5703125" style="17" bestFit="1" customWidth="1"/>
    <col min="5896" max="5896" width="10.42578125" style="17" bestFit="1" customWidth="1"/>
    <col min="5897" max="5897" width="4.5703125" style="17" customWidth="1"/>
    <col min="5898" max="5898" width="1.85546875" style="17" customWidth="1"/>
    <col min="5899" max="5899" width="7" style="17" bestFit="1" customWidth="1"/>
    <col min="5900" max="5900" width="6.140625" style="17" customWidth="1"/>
    <col min="5901" max="5901" width="20.42578125" style="17" customWidth="1"/>
    <col min="5902" max="5902" width="6.42578125" style="17" bestFit="1" customWidth="1"/>
    <col min="5903" max="5904" width="8.42578125" style="17"/>
    <col min="5905" max="5905" width="3.140625" style="17" customWidth="1"/>
    <col min="5906" max="6144" width="8.42578125" style="17"/>
    <col min="6145" max="6145" width="10" style="17" bestFit="1" customWidth="1"/>
    <col min="6146" max="6146" width="44.140625" style="17" bestFit="1" customWidth="1"/>
    <col min="6147" max="6147" width="10.42578125" style="17" bestFit="1" customWidth="1"/>
    <col min="6148" max="6148" width="10.42578125" style="17" customWidth="1"/>
    <col min="6149" max="6149" width="9.85546875" style="17" bestFit="1" customWidth="1"/>
    <col min="6150" max="6151" width="9.5703125" style="17" bestFit="1" customWidth="1"/>
    <col min="6152" max="6152" width="10.42578125" style="17" bestFit="1" customWidth="1"/>
    <col min="6153" max="6153" width="4.5703125" style="17" customWidth="1"/>
    <col min="6154" max="6154" width="1.85546875" style="17" customWidth="1"/>
    <col min="6155" max="6155" width="7" style="17" bestFit="1" customWidth="1"/>
    <col min="6156" max="6156" width="6.140625" style="17" customWidth="1"/>
    <col min="6157" max="6157" width="20.42578125" style="17" customWidth="1"/>
    <col min="6158" max="6158" width="6.42578125" style="17" bestFit="1" customWidth="1"/>
    <col min="6159" max="6160" width="8.42578125" style="17"/>
    <col min="6161" max="6161" width="3.140625" style="17" customWidth="1"/>
    <col min="6162" max="6400" width="8.42578125" style="17"/>
    <col min="6401" max="6401" width="10" style="17" bestFit="1" customWidth="1"/>
    <col min="6402" max="6402" width="44.140625" style="17" bestFit="1" customWidth="1"/>
    <col min="6403" max="6403" width="10.42578125" style="17" bestFit="1" customWidth="1"/>
    <col min="6404" max="6404" width="10.42578125" style="17" customWidth="1"/>
    <col min="6405" max="6405" width="9.85546875" style="17" bestFit="1" customWidth="1"/>
    <col min="6406" max="6407" width="9.5703125" style="17" bestFit="1" customWidth="1"/>
    <col min="6408" max="6408" width="10.42578125" style="17" bestFit="1" customWidth="1"/>
    <col min="6409" max="6409" width="4.5703125" style="17" customWidth="1"/>
    <col min="6410" max="6410" width="1.85546875" style="17" customWidth="1"/>
    <col min="6411" max="6411" width="7" style="17" bestFit="1" customWidth="1"/>
    <col min="6412" max="6412" width="6.140625" style="17" customWidth="1"/>
    <col min="6413" max="6413" width="20.42578125" style="17" customWidth="1"/>
    <col min="6414" max="6414" width="6.42578125" style="17" bestFit="1" customWidth="1"/>
    <col min="6415" max="6416" width="8.42578125" style="17"/>
    <col min="6417" max="6417" width="3.140625" style="17" customWidth="1"/>
    <col min="6418" max="6656" width="8.42578125" style="17"/>
    <col min="6657" max="6657" width="10" style="17" bestFit="1" customWidth="1"/>
    <col min="6658" max="6658" width="44.140625" style="17" bestFit="1" customWidth="1"/>
    <col min="6659" max="6659" width="10.42578125" style="17" bestFit="1" customWidth="1"/>
    <col min="6660" max="6660" width="10.42578125" style="17" customWidth="1"/>
    <col min="6661" max="6661" width="9.85546875" style="17" bestFit="1" customWidth="1"/>
    <col min="6662" max="6663" width="9.5703125" style="17" bestFit="1" customWidth="1"/>
    <col min="6664" max="6664" width="10.42578125" style="17" bestFit="1" customWidth="1"/>
    <col min="6665" max="6665" width="4.5703125" style="17" customWidth="1"/>
    <col min="6666" max="6666" width="1.85546875" style="17" customWidth="1"/>
    <col min="6667" max="6667" width="7" style="17" bestFit="1" customWidth="1"/>
    <col min="6668" max="6668" width="6.140625" style="17" customWidth="1"/>
    <col min="6669" max="6669" width="20.42578125" style="17" customWidth="1"/>
    <col min="6670" max="6670" width="6.42578125" style="17" bestFit="1" customWidth="1"/>
    <col min="6671" max="6672" width="8.42578125" style="17"/>
    <col min="6673" max="6673" width="3.140625" style="17" customWidth="1"/>
    <col min="6674" max="6912" width="8.42578125" style="17"/>
    <col min="6913" max="6913" width="10" style="17" bestFit="1" customWidth="1"/>
    <col min="6914" max="6914" width="44.140625" style="17" bestFit="1" customWidth="1"/>
    <col min="6915" max="6915" width="10.42578125" style="17" bestFit="1" customWidth="1"/>
    <col min="6916" max="6916" width="10.42578125" style="17" customWidth="1"/>
    <col min="6917" max="6917" width="9.85546875" style="17" bestFit="1" customWidth="1"/>
    <col min="6918" max="6919" width="9.5703125" style="17" bestFit="1" customWidth="1"/>
    <col min="6920" max="6920" width="10.42578125" style="17" bestFit="1" customWidth="1"/>
    <col min="6921" max="6921" width="4.5703125" style="17" customWidth="1"/>
    <col min="6922" max="6922" width="1.85546875" style="17" customWidth="1"/>
    <col min="6923" max="6923" width="7" style="17" bestFit="1" customWidth="1"/>
    <col min="6924" max="6924" width="6.140625" style="17" customWidth="1"/>
    <col min="6925" max="6925" width="20.42578125" style="17" customWidth="1"/>
    <col min="6926" max="6926" width="6.42578125" style="17" bestFit="1" customWidth="1"/>
    <col min="6927" max="6928" width="8.42578125" style="17"/>
    <col min="6929" max="6929" width="3.140625" style="17" customWidth="1"/>
    <col min="6930" max="7168" width="8.42578125" style="17"/>
    <col min="7169" max="7169" width="10" style="17" bestFit="1" customWidth="1"/>
    <col min="7170" max="7170" width="44.140625" style="17" bestFit="1" customWidth="1"/>
    <col min="7171" max="7171" width="10.42578125" style="17" bestFit="1" customWidth="1"/>
    <col min="7172" max="7172" width="10.42578125" style="17" customWidth="1"/>
    <col min="7173" max="7173" width="9.85546875" style="17" bestFit="1" customWidth="1"/>
    <col min="7174" max="7175" width="9.5703125" style="17" bestFit="1" customWidth="1"/>
    <col min="7176" max="7176" width="10.42578125" style="17" bestFit="1" customWidth="1"/>
    <col min="7177" max="7177" width="4.5703125" style="17" customWidth="1"/>
    <col min="7178" max="7178" width="1.85546875" style="17" customWidth="1"/>
    <col min="7179" max="7179" width="7" style="17" bestFit="1" customWidth="1"/>
    <col min="7180" max="7180" width="6.140625" style="17" customWidth="1"/>
    <col min="7181" max="7181" width="20.42578125" style="17" customWidth="1"/>
    <col min="7182" max="7182" width="6.42578125" style="17" bestFit="1" customWidth="1"/>
    <col min="7183" max="7184" width="8.42578125" style="17"/>
    <col min="7185" max="7185" width="3.140625" style="17" customWidth="1"/>
    <col min="7186" max="7424" width="8.42578125" style="17"/>
    <col min="7425" max="7425" width="10" style="17" bestFit="1" customWidth="1"/>
    <col min="7426" max="7426" width="44.140625" style="17" bestFit="1" customWidth="1"/>
    <col min="7427" max="7427" width="10.42578125" style="17" bestFit="1" customWidth="1"/>
    <col min="7428" max="7428" width="10.42578125" style="17" customWidth="1"/>
    <col min="7429" max="7429" width="9.85546875" style="17" bestFit="1" customWidth="1"/>
    <col min="7430" max="7431" width="9.5703125" style="17" bestFit="1" customWidth="1"/>
    <col min="7432" max="7432" width="10.42578125" style="17" bestFit="1" customWidth="1"/>
    <col min="7433" max="7433" width="4.5703125" style="17" customWidth="1"/>
    <col min="7434" max="7434" width="1.85546875" style="17" customWidth="1"/>
    <col min="7435" max="7435" width="7" style="17" bestFit="1" customWidth="1"/>
    <col min="7436" max="7436" width="6.140625" style="17" customWidth="1"/>
    <col min="7437" max="7437" width="20.42578125" style="17" customWidth="1"/>
    <col min="7438" max="7438" width="6.42578125" style="17" bestFit="1" customWidth="1"/>
    <col min="7439" max="7440" width="8.42578125" style="17"/>
    <col min="7441" max="7441" width="3.140625" style="17" customWidth="1"/>
    <col min="7442" max="7680" width="8.42578125" style="17"/>
    <col min="7681" max="7681" width="10" style="17" bestFit="1" customWidth="1"/>
    <col min="7682" max="7682" width="44.140625" style="17" bestFit="1" customWidth="1"/>
    <col min="7683" max="7683" width="10.42578125" style="17" bestFit="1" customWidth="1"/>
    <col min="7684" max="7684" width="10.42578125" style="17" customWidth="1"/>
    <col min="7685" max="7685" width="9.85546875" style="17" bestFit="1" customWidth="1"/>
    <col min="7686" max="7687" width="9.5703125" style="17" bestFit="1" customWidth="1"/>
    <col min="7688" max="7688" width="10.42578125" style="17" bestFit="1" customWidth="1"/>
    <col min="7689" max="7689" width="4.5703125" style="17" customWidth="1"/>
    <col min="7690" max="7690" width="1.85546875" style="17" customWidth="1"/>
    <col min="7691" max="7691" width="7" style="17" bestFit="1" customWidth="1"/>
    <col min="7692" max="7692" width="6.140625" style="17" customWidth="1"/>
    <col min="7693" max="7693" width="20.42578125" style="17" customWidth="1"/>
    <col min="7694" max="7694" width="6.42578125" style="17" bestFit="1" customWidth="1"/>
    <col min="7695" max="7696" width="8.42578125" style="17"/>
    <col min="7697" max="7697" width="3.140625" style="17" customWidth="1"/>
    <col min="7698" max="7936" width="8.42578125" style="17"/>
    <col min="7937" max="7937" width="10" style="17" bestFit="1" customWidth="1"/>
    <col min="7938" max="7938" width="44.140625" style="17" bestFit="1" customWidth="1"/>
    <col min="7939" max="7939" width="10.42578125" style="17" bestFit="1" customWidth="1"/>
    <col min="7940" max="7940" width="10.42578125" style="17" customWidth="1"/>
    <col min="7941" max="7941" width="9.85546875" style="17" bestFit="1" customWidth="1"/>
    <col min="7942" max="7943" width="9.5703125" style="17" bestFit="1" customWidth="1"/>
    <col min="7944" max="7944" width="10.42578125" style="17" bestFit="1" customWidth="1"/>
    <col min="7945" max="7945" width="4.5703125" style="17" customWidth="1"/>
    <col min="7946" max="7946" width="1.85546875" style="17" customWidth="1"/>
    <col min="7947" max="7947" width="7" style="17" bestFit="1" customWidth="1"/>
    <col min="7948" max="7948" width="6.140625" style="17" customWidth="1"/>
    <col min="7949" max="7949" width="20.42578125" style="17" customWidth="1"/>
    <col min="7950" max="7950" width="6.42578125" style="17" bestFit="1" customWidth="1"/>
    <col min="7951" max="7952" width="8.42578125" style="17"/>
    <col min="7953" max="7953" width="3.140625" style="17" customWidth="1"/>
    <col min="7954" max="8192" width="8.42578125" style="17"/>
    <col min="8193" max="8193" width="10" style="17" bestFit="1" customWidth="1"/>
    <col min="8194" max="8194" width="44.140625" style="17" bestFit="1" customWidth="1"/>
    <col min="8195" max="8195" width="10.42578125" style="17" bestFit="1" customWidth="1"/>
    <col min="8196" max="8196" width="10.42578125" style="17" customWidth="1"/>
    <col min="8197" max="8197" width="9.85546875" style="17" bestFit="1" customWidth="1"/>
    <col min="8198" max="8199" width="9.5703125" style="17" bestFit="1" customWidth="1"/>
    <col min="8200" max="8200" width="10.42578125" style="17" bestFit="1" customWidth="1"/>
    <col min="8201" max="8201" width="4.5703125" style="17" customWidth="1"/>
    <col min="8202" max="8202" width="1.85546875" style="17" customWidth="1"/>
    <col min="8203" max="8203" width="7" style="17" bestFit="1" customWidth="1"/>
    <col min="8204" max="8204" width="6.140625" style="17" customWidth="1"/>
    <col min="8205" max="8205" width="20.42578125" style="17" customWidth="1"/>
    <col min="8206" max="8206" width="6.42578125" style="17" bestFit="1" customWidth="1"/>
    <col min="8207" max="8208" width="8.42578125" style="17"/>
    <col min="8209" max="8209" width="3.140625" style="17" customWidth="1"/>
    <col min="8210" max="8448" width="8.42578125" style="17"/>
    <col min="8449" max="8449" width="10" style="17" bestFit="1" customWidth="1"/>
    <col min="8450" max="8450" width="44.140625" style="17" bestFit="1" customWidth="1"/>
    <col min="8451" max="8451" width="10.42578125" style="17" bestFit="1" customWidth="1"/>
    <col min="8452" max="8452" width="10.42578125" style="17" customWidth="1"/>
    <col min="8453" max="8453" width="9.85546875" style="17" bestFit="1" customWidth="1"/>
    <col min="8454" max="8455" width="9.5703125" style="17" bestFit="1" customWidth="1"/>
    <col min="8456" max="8456" width="10.42578125" style="17" bestFit="1" customWidth="1"/>
    <col min="8457" max="8457" width="4.5703125" style="17" customWidth="1"/>
    <col min="8458" max="8458" width="1.85546875" style="17" customWidth="1"/>
    <col min="8459" max="8459" width="7" style="17" bestFit="1" customWidth="1"/>
    <col min="8460" max="8460" width="6.140625" style="17" customWidth="1"/>
    <col min="8461" max="8461" width="20.42578125" style="17" customWidth="1"/>
    <col min="8462" max="8462" width="6.42578125" style="17" bestFit="1" customWidth="1"/>
    <col min="8463" max="8464" width="8.42578125" style="17"/>
    <col min="8465" max="8465" width="3.140625" style="17" customWidth="1"/>
    <col min="8466" max="8704" width="8.42578125" style="17"/>
    <col min="8705" max="8705" width="10" style="17" bestFit="1" customWidth="1"/>
    <col min="8706" max="8706" width="44.140625" style="17" bestFit="1" customWidth="1"/>
    <col min="8707" max="8707" width="10.42578125" style="17" bestFit="1" customWidth="1"/>
    <col min="8708" max="8708" width="10.42578125" style="17" customWidth="1"/>
    <col min="8709" max="8709" width="9.85546875" style="17" bestFit="1" customWidth="1"/>
    <col min="8710" max="8711" width="9.5703125" style="17" bestFit="1" customWidth="1"/>
    <col min="8712" max="8712" width="10.42578125" style="17" bestFit="1" customWidth="1"/>
    <col min="8713" max="8713" width="4.5703125" style="17" customWidth="1"/>
    <col min="8714" max="8714" width="1.85546875" style="17" customWidth="1"/>
    <col min="8715" max="8715" width="7" style="17" bestFit="1" customWidth="1"/>
    <col min="8716" max="8716" width="6.140625" style="17" customWidth="1"/>
    <col min="8717" max="8717" width="20.42578125" style="17" customWidth="1"/>
    <col min="8718" max="8718" width="6.42578125" style="17" bestFit="1" customWidth="1"/>
    <col min="8719" max="8720" width="8.42578125" style="17"/>
    <col min="8721" max="8721" width="3.140625" style="17" customWidth="1"/>
    <col min="8722" max="8960" width="8.42578125" style="17"/>
    <col min="8961" max="8961" width="10" style="17" bestFit="1" customWidth="1"/>
    <col min="8962" max="8962" width="44.140625" style="17" bestFit="1" customWidth="1"/>
    <col min="8963" max="8963" width="10.42578125" style="17" bestFit="1" customWidth="1"/>
    <col min="8964" max="8964" width="10.42578125" style="17" customWidth="1"/>
    <col min="8965" max="8965" width="9.85546875" style="17" bestFit="1" customWidth="1"/>
    <col min="8966" max="8967" width="9.5703125" style="17" bestFit="1" customWidth="1"/>
    <col min="8968" max="8968" width="10.42578125" style="17" bestFit="1" customWidth="1"/>
    <col min="8969" max="8969" width="4.5703125" style="17" customWidth="1"/>
    <col min="8970" max="8970" width="1.85546875" style="17" customWidth="1"/>
    <col min="8971" max="8971" width="7" style="17" bestFit="1" customWidth="1"/>
    <col min="8972" max="8972" width="6.140625" style="17" customWidth="1"/>
    <col min="8973" max="8973" width="20.42578125" style="17" customWidth="1"/>
    <col min="8974" max="8974" width="6.42578125" style="17" bestFit="1" customWidth="1"/>
    <col min="8975" max="8976" width="8.42578125" style="17"/>
    <col min="8977" max="8977" width="3.140625" style="17" customWidth="1"/>
    <col min="8978" max="9216" width="8.42578125" style="17"/>
    <col min="9217" max="9217" width="10" style="17" bestFit="1" customWidth="1"/>
    <col min="9218" max="9218" width="44.140625" style="17" bestFit="1" customWidth="1"/>
    <col min="9219" max="9219" width="10.42578125" style="17" bestFit="1" customWidth="1"/>
    <col min="9220" max="9220" width="10.42578125" style="17" customWidth="1"/>
    <col min="9221" max="9221" width="9.85546875" style="17" bestFit="1" customWidth="1"/>
    <col min="9222" max="9223" width="9.5703125" style="17" bestFit="1" customWidth="1"/>
    <col min="9224" max="9224" width="10.42578125" style="17" bestFit="1" customWidth="1"/>
    <col min="9225" max="9225" width="4.5703125" style="17" customWidth="1"/>
    <col min="9226" max="9226" width="1.85546875" style="17" customWidth="1"/>
    <col min="9227" max="9227" width="7" style="17" bestFit="1" customWidth="1"/>
    <col min="9228" max="9228" width="6.140625" style="17" customWidth="1"/>
    <col min="9229" max="9229" width="20.42578125" style="17" customWidth="1"/>
    <col min="9230" max="9230" width="6.42578125" style="17" bestFit="1" customWidth="1"/>
    <col min="9231" max="9232" width="8.42578125" style="17"/>
    <col min="9233" max="9233" width="3.140625" style="17" customWidth="1"/>
    <col min="9234" max="9472" width="8.42578125" style="17"/>
    <col min="9473" max="9473" width="10" style="17" bestFit="1" customWidth="1"/>
    <col min="9474" max="9474" width="44.140625" style="17" bestFit="1" customWidth="1"/>
    <col min="9475" max="9475" width="10.42578125" style="17" bestFit="1" customWidth="1"/>
    <col min="9476" max="9476" width="10.42578125" style="17" customWidth="1"/>
    <col min="9477" max="9477" width="9.85546875" style="17" bestFit="1" customWidth="1"/>
    <col min="9478" max="9479" width="9.5703125" style="17" bestFit="1" customWidth="1"/>
    <col min="9480" max="9480" width="10.42578125" style="17" bestFit="1" customWidth="1"/>
    <col min="9481" max="9481" width="4.5703125" style="17" customWidth="1"/>
    <col min="9482" max="9482" width="1.85546875" style="17" customWidth="1"/>
    <col min="9483" max="9483" width="7" style="17" bestFit="1" customWidth="1"/>
    <col min="9484" max="9484" width="6.140625" style="17" customWidth="1"/>
    <col min="9485" max="9485" width="20.42578125" style="17" customWidth="1"/>
    <col min="9486" max="9486" width="6.42578125" style="17" bestFit="1" customWidth="1"/>
    <col min="9487" max="9488" width="8.42578125" style="17"/>
    <col min="9489" max="9489" width="3.140625" style="17" customWidth="1"/>
    <col min="9490" max="9728" width="8.42578125" style="17"/>
    <col min="9729" max="9729" width="10" style="17" bestFit="1" customWidth="1"/>
    <col min="9730" max="9730" width="44.140625" style="17" bestFit="1" customWidth="1"/>
    <col min="9731" max="9731" width="10.42578125" style="17" bestFit="1" customWidth="1"/>
    <col min="9732" max="9732" width="10.42578125" style="17" customWidth="1"/>
    <col min="9733" max="9733" width="9.85546875" style="17" bestFit="1" customWidth="1"/>
    <col min="9734" max="9735" width="9.5703125" style="17" bestFit="1" customWidth="1"/>
    <col min="9736" max="9736" width="10.42578125" style="17" bestFit="1" customWidth="1"/>
    <col min="9737" max="9737" width="4.5703125" style="17" customWidth="1"/>
    <col min="9738" max="9738" width="1.85546875" style="17" customWidth="1"/>
    <col min="9739" max="9739" width="7" style="17" bestFit="1" customWidth="1"/>
    <col min="9740" max="9740" width="6.140625" style="17" customWidth="1"/>
    <col min="9741" max="9741" width="20.42578125" style="17" customWidth="1"/>
    <col min="9742" max="9742" width="6.42578125" style="17" bestFit="1" customWidth="1"/>
    <col min="9743" max="9744" width="8.42578125" style="17"/>
    <col min="9745" max="9745" width="3.140625" style="17" customWidth="1"/>
    <col min="9746" max="9984" width="8.42578125" style="17"/>
    <col min="9985" max="9985" width="10" style="17" bestFit="1" customWidth="1"/>
    <col min="9986" max="9986" width="44.140625" style="17" bestFit="1" customWidth="1"/>
    <col min="9987" max="9987" width="10.42578125" style="17" bestFit="1" customWidth="1"/>
    <col min="9988" max="9988" width="10.42578125" style="17" customWidth="1"/>
    <col min="9989" max="9989" width="9.85546875" style="17" bestFit="1" customWidth="1"/>
    <col min="9990" max="9991" width="9.5703125" style="17" bestFit="1" customWidth="1"/>
    <col min="9992" max="9992" width="10.42578125" style="17" bestFit="1" customWidth="1"/>
    <col min="9993" max="9993" width="4.5703125" style="17" customWidth="1"/>
    <col min="9994" max="9994" width="1.85546875" style="17" customWidth="1"/>
    <col min="9995" max="9995" width="7" style="17" bestFit="1" customWidth="1"/>
    <col min="9996" max="9996" width="6.140625" style="17" customWidth="1"/>
    <col min="9997" max="9997" width="20.42578125" style="17" customWidth="1"/>
    <col min="9998" max="9998" width="6.42578125" style="17" bestFit="1" customWidth="1"/>
    <col min="9999" max="10000" width="8.42578125" style="17"/>
    <col min="10001" max="10001" width="3.140625" style="17" customWidth="1"/>
    <col min="10002" max="10240" width="8.42578125" style="17"/>
    <col min="10241" max="10241" width="10" style="17" bestFit="1" customWidth="1"/>
    <col min="10242" max="10242" width="44.140625" style="17" bestFit="1" customWidth="1"/>
    <col min="10243" max="10243" width="10.42578125" style="17" bestFit="1" customWidth="1"/>
    <col min="10244" max="10244" width="10.42578125" style="17" customWidth="1"/>
    <col min="10245" max="10245" width="9.85546875" style="17" bestFit="1" customWidth="1"/>
    <col min="10246" max="10247" width="9.5703125" style="17" bestFit="1" customWidth="1"/>
    <col min="10248" max="10248" width="10.42578125" style="17" bestFit="1" customWidth="1"/>
    <col min="10249" max="10249" width="4.5703125" style="17" customWidth="1"/>
    <col min="10250" max="10250" width="1.85546875" style="17" customWidth="1"/>
    <col min="10251" max="10251" width="7" style="17" bestFit="1" customWidth="1"/>
    <col min="10252" max="10252" width="6.140625" style="17" customWidth="1"/>
    <col min="10253" max="10253" width="20.42578125" style="17" customWidth="1"/>
    <col min="10254" max="10254" width="6.42578125" style="17" bestFit="1" customWidth="1"/>
    <col min="10255" max="10256" width="8.42578125" style="17"/>
    <col min="10257" max="10257" width="3.140625" style="17" customWidth="1"/>
    <col min="10258" max="10496" width="8.42578125" style="17"/>
    <col min="10497" max="10497" width="10" style="17" bestFit="1" customWidth="1"/>
    <col min="10498" max="10498" width="44.140625" style="17" bestFit="1" customWidth="1"/>
    <col min="10499" max="10499" width="10.42578125" style="17" bestFit="1" customWidth="1"/>
    <col min="10500" max="10500" width="10.42578125" style="17" customWidth="1"/>
    <col min="10501" max="10501" width="9.85546875" style="17" bestFit="1" customWidth="1"/>
    <col min="10502" max="10503" width="9.5703125" style="17" bestFit="1" customWidth="1"/>
    <col min="10504" max="10504" width="10.42578125" style="17" bestFit="1" customWidth="1"/>
    <col min="10505" max="10505" width="4.5703125" style="17" customWidth="1"/>
    <col min="10506" max="10506" width="1.85546875" style="17" customWidth="1"/>
    <col min="10507" max="10507" width="7" style="17" bestFit="1" customWidth="1"/>
    <col min="10508" max="10508" width="6.140625" style="17" customWidth="1"/>
    <col min="10509" max="10509" width="20.42578125" style="17" customWidth="1"/>
    <col min="10510" max="10510" width="6.42578125" style="17" bestFit="1" customWidth="1"/>
    <col min="10511" max="10512" width="8.42578125" style="17"/>
    <col min="10513" max="10513" width="3.140625" style="17" customWidth="1"/>
    <col min="10514" max="10752" width="8.42578125" style="17"/>
    <col min="10753" max="10753" width="10" style="17" bestFit="1" customWidth="1"/>
    <col min="10754" max="10754" width="44.140625" style="17" bestFit="1" customWidth="1"/>
    <col min="10755" max="10755" width="10.42578125" style="17" bestFit="1" customWidth="1"/>
    <col min="10756" max="10756" width="10.42578125" style="17" customWidth="1"/>
    <col min="10757" max="10757" width="9.85546875" style="17" bestFit="1" customWidth="1"/>
    <col min="10758" max="10759" width="9.5703125" style="17" bestFit="1" customWidth="1"/>
    <col min="10760" max="10760" width="10.42578125" style="17" bestFit="1" customWidth="1"/>
    <col min="10761" max="10761" width="4.5703125" style="17" customWidth="1"/>
    <col min="10762" max="10762" width="1.85546875" style="17" customWidth="1"/>
    <col min="10763" max="10763" width="7" style="17" bestFit="1" customWidth="1"/>
    <col min="10764" max="10764" width="6.140625" style="17" customWidth="1"/>
    <col min="10765" max="10765" width="20.42578125" style="17" customWidth="1"/>
    <col min="10766" max="10766" width="6.42578125" style="17" bestFit="1" customWidth="1"/>
    <col min="10767" max="10768" width="8.42578125" style="17"/>
    <col min="10769" max="10769" width="3.140625" style="17" customWidth="1"/>
    <col min="10770" max="11008" width="8.42578125" style="17"/>
    <col min="11009" max="11009" width="10" style="17" bestFit="1" customWidth="1"/>
    <col min="11010" max="11010" width="44.140625" style="17" bestFit="1" customWidth="1"/>
    <col min="11011" max="11011" width="10.42578125" style="17" bestFit="1" customWidth="1"/>
    <col min="11012" max="11012" width="10.42578125" style="17" customWidth="1"/>
    <col min="11013" max="11013" width="9.85546875" style="17" bestFit="1" customWidth="1"/>
    <col min="11014" max="11015" width="9.5703125" style="17" bestFit="1" customWidth="1"/>
    <col min="11016" max="11016" width="10.42578125" style="17" bestFit="1" customWidth="1"/>
    <col min="11017" max="11017" width="4.5703125" style="17" customWidth="1"/>
    <col min="11018" max="11018" width="1.85546875" style="17" customWidth="1"/>
    <col min="11019" max="11019" width="7" style="17" bestFit="1" customWidth="1"/>
    <col min="11020" max="11020" width="6.140625" style="17" customWidth="1"/>
    <col min="11021" max="11021" width="20.42578125" style="17" customWidth="1"/>
    <col min="11022" max="11022" width="6.42578125" style="17" bestFit="1" customWidth="1"/>
    <col min="11023" max="11024" width="8.42578125" style="17"/>
    <col min="11025" max="11025" width="3.140625" style="17" customWidth="1"/>
    <col min="11026" max="11264" width="8.42578125" style="17"/>
    <col min="11265" max="11265" width="10" style="17" bestFit="1" customWidth="1"/>
    <col min="11266" max="11266" width="44.140625" style="17" bestFit="1" customWidth="1"/>
    <col min="11267" max="11267" width="10.42578125" style="17" bestFit="1" customWidth="1"/>
    <col min="11268" max="11268" width="10.42578125" style="17" customWidth="1"/>
    <col min="11269" max="11269" width="9.85546875" style="17" bestFit="1" customWidth="1"/>
    <col min="11270" max="11271" width="9.5703125" style="17" bestFit="1" customWidth="1"/>
    <col min="11272" max="11272" width="10.42578125" style="17" bestFit="1" customWidth="1"/>
    <col min="11273" max="11273" width="4.5703125" style="17" customWidth="1"/>
    <col min="11274" max="11274" width="1.85546875" style="17" customWidth="1"/>
    <col min="11275" max="11275" width="7" style="17" bestFit="1" customWidth="1"/>
    <col min="11276" max="11276" width="6.140625" style="17" customWidth="1"/>
    <col min="11277" max="11277" width="20.42578125" style="17" customWidth="1"/>
    <col min="11278" max="11278" width="6.42578125" style="17" bestFit="1" customWidth="1"/>
    <col min="11279" max="11280" width="8.42578125" style="17"/>
    <col min="11281" max="11281" width="3.140625" style="17" customWidth="1"/>
    <col min="11282" max="11520" width="8.42578125" style="17"/>
    <col min="11521" max="11521" width="10" style="17" bestFit="1" customWidth="1"/>
    <col min="11522" max="11522" width="44.140625" style="17" bestFit="1" customWidth="1"/>
    <col min="11523" max="11523" width="10.42578125" style="17" bestFit="1" customWidth="1"/>
    <col min="11524" max="11524" width="10.42578125" style="17" customWidth="1"/>
    <col min="11525" max="11525" width="9.85546875" style="17" bestFit="1" customWidth="1"/>
    <col min="11526" max="11527" width="9.5703125" style="17" bestFit="1" customWidth="1"/>
    <col min="11528" max="11528" width="10.42578125" style="17" bestFit="1" customWidth="1"/>
    <col min="11529" max="11529" width="4.5703125" style="17" customWidth="1"/>
    <col min="11530" max="11530" width="1.85546875" style="17" customWidth="1"/>
    <col min="11531" max="11531" width="7" style="17" bestFit="1" customWidth="1"/>
    <col min="11532" max="11532" width="6.140625" style="17" customWidth="1"/>
    <col min="11533" max="11533" width="20.42578125" style="17" customWidth="1"/>
    <col min="11534" max="11534" width="6.42578125" style="17" bestFit="1" customWidth="1"/>
    <col min="11535" max="11536" width="8.42578125" style="17"/>
    <col min="11537" max="11537" width="3.140625" style="17" customWidth="1"/>
    <col min="11538" max="11776" width="8.42578125" style="17"/>
    <col min="11777" max="11777" width="10" style="17" bestFit="1" customWidth="1"/>
    <col min="11778" max="11778" width="44.140625" style="17" bestFit="1" customWidth="1"/>
    <col min="11779" max="11779" width="10.42578125" style="17" bestFit="1" customWidth="1"/>
    <col min="11780" max="11780" width="10.42578125" style="17" customWidth="1"/>
    <col min="11781" max="11781" width="9.85546875" style="17" bestFit="1" customWidth="1"/>
    <col min="11782" max="11783" width="9.5703125" style="17" bestFit="1" customWidth="1"/>
    <col min="11784" max="11784" width="10.42578125" style="17" bestFit="1" customWidth="1"/>
    <col min="11785" max="11785" width="4.5703125" style="17" customWidth="1"/>
    <col min="11786" max="11786" width="1.85546875" style="17" customWidth="1"/>
    <col min="11787" max="11787" width="7" style="17" bestFit="1" customWidth="1"/>
    <col min="11788" max="11788" width="6.140625" style="17" customWidth="1"/>
    <col min="11789" max="11789" width="20.42578125" style="17" customWidth="1"/>
    <col min="11790" max="11790" width="6.42578125" style="17" bestFit="1" customWidth="1"/>
    <col min="11791" max="11792" width="8.42578125" style="17"/>
    <col min="11793" max="11793" width="3.140625" style="17" customWidth="1"/>
    <col min="11794" max="12032" width="8.42578125" style="17"/>
    <col min="12033" max="12033" width="10" style="17" bestFit="1" customWidth="1"/>
    <col min="12034" max="12034" width="44.140625" style="17" bestFit="1" customWidth="1"/>
    <col min="12035" max="12035" width="10.42578125" style="17" bestFit="1" customWidth="1"/>
    <col min="12036" max="12036" width="10.42578125" style="17" customWidth="1"/>
    <col min="12037" max="12037" width="9.85546875" style="17" bestFit="1" customWidth="1"/>
    <col min="12038" max="12039" width="9.5703125" style="17" bestFit="1" customWidth="1"/>
    <col min="12040" max="12040" width="10.42578125" style="17" bestFit="1" customWidth="1"/>
    <col min="12041" max="12041" width="4.5703125" style="17" customWidth="1"/>
    <col min="12042" max="12042" width="1.85546875" style="17" customWidth="1"/>
    <col min="12043" max="12043" width="7" style="17" bestFit="1" customWidth="1"/>
    <col min="12044" max="12044" width="6.140625" style="17" customWidth="1"/>
    <col min="12045" max="12045" width="20.42578125" style="17" customWidth="1"/>
    <col min="12046" max="12046" width="6.42578125" style="17" bestFit="1" customWidth="1"/>
    <col min="12047" max="12048" width="8.42578125" style="17"/>
    <col min="12049" max="12049" width="3.140625" style="17" customWidth="1"/>
    <col min="12050" max="12288" width="8.42578125" style="17"/>
    <col min="12289" max="12289" width="10" style="17" bestFit="1" customWidth="1"/>
    <col min="12290" max="12290" width="44.140625" style="17" bestFit="1" customWidth="1"/>
    <col min="12291" max="12291" width="10.42578125" style="17" bestFit="1" customWidth="1"/>
    <col min="12292" max="12292" width="10.42578125" style="17" customWidth="1"/>
    <col min="12293" max="12293" width="9.85546875" style="17" bestFit="1" customWidth="1"/>
    <col min="12294" max="12295" width="9.5703125" style="17" bestFit="1" customWidth="1"/>
    <col min="12296" max="12296" width="10.42578125" style="17" bestFit="1" customWidth="1"/>
    <col min="12297" max="12297" width="4.5703125" style="17" customWidth="1"/>
    <col min="12298" max="12298" width="1.85546875" style="17" customWidth="1"/>
    <col min="12299" max="12299" width="7" style="17" bestFit="1" customWidth="1"/>
    <col min="12300" max="12300" width="6.140625" style="17" customWidth="1"/>
    <col min="12301" max="12301" width="20.42578125" style="17" customWidth="1"/>
    <col min="12302" max="12302" width="6.42578125" style="17" bestFit="1" customWidth="1"/>
    <col min="12303" max="12304" width="8.42578125" style="17"/>
    <col min="12305" max="12305" width="3.140625" style="17" customWidth="1"/>
    <col min="12306" max="12544" width="8.42578125" style="17"/>
    <col min="12545" max="12545" width="10" style="17" bestFit="1" customWidth="1"/>
    <col min="12546" max="12546" width="44.140625" style="17" bestFit="1" customWidth="1"/>
    <col min="12547" max="12547" width="10.42578125" style="17" bestFit="1" customWidth="1"/>
    <col min="12548" max="12548" width="10.42578125" style="17" customWidth="1"/>
    <col min="12549" max="12549" width="9.85546875" style="17" bestFit="1" customWidth="1"/>
    <col min="12550" max="12551" width="9.5703125" style="17" bestFit="1" customWidth="1"/>
    <col min="12552" max="12552" width="10.42578125" style="17" bestFit="1" customWidth="1"/>
    <col min="12553" max="12553" width="4.5703125" style="17" customWidth="1"/>
    <col min="12554" max="12554" width="1.85546875" style="17" customWidth="1"/>
    <col min="12555" max="12555" width="7" style="17" bestFit="1" customWidth="1"/>
    <col min="12556" max="12556" width="6.140625" style="17" customWidth="1"/>
    <col min="12557" max="12557" width="20.42578125" style="17" customWidth="1"/>
    <col min="12558" max="12558" width="6.42578125" style="17" bestFit="1" customWidth="1"/>
    <col min="12559" max="12560" width="8.42578125" style="17"/>
    <col min="12561" max="12561" width="3.140625" style="17" customWidth="1"/>
    <col min="12562" max="12800" width="8.42578125" style="17"/>
    <col min="12801" max="12801" width="10" style="17" bestFit="1" customWidth="1"/>
    <col min="12802" max="12802" width="44.140625" style="17" bestFit="1" customWidth="1"/>
    <col min="12803" max="12803" width="10.42578125" style="17" bestFit="1" customWidth="1"/>
    <col min="12804" max="12804" width="10.42578125" style="17" customWidth="1"/>
    <col min="12805" max="12805" width="9.85546875" style="17" bestFit="1" customWidth="1"/>
    <col min="12806" max="12807" width="9.5703125" style="17" bestFit="1" customWidth="1"/>
    <col min="12808" max="12808" width="10.42578125" style="17" bestFit="1" customWidth="1"/>
    <col min="12809" max="12809" width="4.5703125" style="17" customWidth="1"/>
    <col min="12810" max="12810" width="1.85546875" style="17" customWidth="1"/>
    <col min="12811" max="12811" width="7" style="17" bestFit="1" customWidth="1"/>
    <col min="12812" max="12812" width="6.140625" style="17" customWidth="1"/>
    <col min="12813" max="12813" width="20.42578125" style="17" customWidth="1"/>
    <col min="12814" max="12814" width="6.42578125" style="17" bestFit="1" customWidth="1"/>
    <col min="12815" max="12816" width="8.42578125" style="17"/>
    <col min="12817" max="12817" width="3.140625" style="17" customWidth="1"/>
    <col min="12818" max="13056" width="8.42578125" style="17"/>
    <col min="13057" max="13057" width="10" style="17" bestFit="1" customWidth="1"/>
    <col min="13058" max="13058" width="44.140625" style="17" bestFit="1" customWidth="1"/>
    <col min="13059" max="13059" width="10.42578125" style="17" bestFit="1" customWidth="1"/>
    <col min="13060" max="13060" width="10.42578125" style="17" customWidth="1"/>
    <col min="13061" max="13061" width="9.85546875" style="17" bestFit="1" customWidth="1"/>
    <col min="13062" max="13063" width="9.5703125" style="17" bestFit="1" customWidth="1"/>
    <col min="13064" max="13064" width="10.42578125" style="17" bestFit="1" customWidth="1"/>
    <col min="13065" max="13065" width="4.5703125" style="17" customWidth="1"/>
    <col min="13066" max="13066" width="1.85546875" style="17" customWidth="1"/>
    <col min="13067" max="13067" width="7" style="17" bestFit="1" customWidth="1"/>
    <col min="13068" max="13068" width="6.140625" style="17" customWidth="1"/>
    <col min="13069" max="13069" width="20.42578125" style="17" customWidth="1"/>
    <col min="13070" max="13070" width="6.42578125" style="17" bestFit="1" customWidth="1"/>
    <col min="13071" max="13072" width="8.42578125" style="17"/>
    <col min="13073" max="13073" width="3.140625" style="17" customWidth="1"/>
    <col min="13074" max="13312" width="8.42578125" style="17"/>
    <col min="13313" max="13313" width="10" style="17" bestFit="1" customWidth="1"/>
    <col min="13314" max="13314" width="44.140625" style="17" bestFit="1" customWidth="1"/>
    <col min="13315" max="13315" width="10.42578125" style="17" bestFit="1" customWidth="1"/>
    <col min="13316" max="13316" width="10.42578125" style="17" customWidth="1"/>
    <col min="13317" max="13317" width="9.85546875" style="17" bestFit="1" customWidth="1"/>
    <col min="13318" max="13319" width="9.5703125" style="17" bestFit="1" customWidth="1"/>
    <col min="13320" max="13320" width="10.42578125" style="17" bestFit="1" customWidth="1"/>
    <col min="13321" max="13321" width="4.5703125" style="17" customWidth="1"/>
    <col min="13322" max="13322" width="1.85546875" style="17" customWidth="1"/>
    <col min="13323" max="13323" width="7" style="17" bestFit="1" customWidth="1"/>
    <col min="13324" max="13324" width="6.140625" style="17" customWidth="1"/>
    <col min="13325" max="13325" width="20.42578125" style="17" customWidth="1"/>
    <col min="13326" max="13326" width="6.42578125" style="17" bestFit="1" customWidth="1"/>
    <col min="13327" max="13328" width="8.42578125" style="17"/>
    <col min="13329" max="13329" width="3.140625" style="17" customWidth="1"/>
    <col min="13330" max="13568" width="8.42578125" style="17"/>
    <col min="13569" max="13569" width="10" style="17" bestFit="1" customWidth="1"/>
    <col min="13570" max="13570" width="44.140625" style="17" bestFit="1" customWidth="1"/>
    <col min="13571" max="13571" width="10.42578125" style="17" bestFit="1" customWidth="1"/>
    <col min="13572" max="13572" width="10.42578125" style="17" customWidth="1"/>
    <col min="13573" max="13573" width="9.85546875" style="17" bestFit="1" customWidth="1"/>
    <col min="13574" max="13575" width="9.5703125" style="17" bestFit="1" customWidth="1"/>
    <col min="13576" max="13576" width="10.42578125" style="17" bestFit="1" customWidth="1"/>
    <col min="13577" max="13577" width="4.5703125" style="17" customWidth="1"/>
    <col min="13578" max="13578" width="1.85546875" style="17" customWidth="1"/>
    <col min="13579" max="13579" width="7" style="17" bestFit="1" customWidth="1"/>
    <col min="13580" max="13580" width="6.140625" style="17" customWidth="1"/>
    <col min="13581" max="13581" width="20.42578125" style="17" customWidth="1"/>
    <col min="13582" max="13582" width="6.42578125" style="17" bestFit="1" customWidth="1"/>
    <col min="13583" max="13584" width="8.42578125" style="17"/>
    <col min="13585" max="13585" width="3.140625" style="17" customWidth="1"/>
    <col min="13586" max="13824" width="8.42578125" style="17"/>
    <col min="13825" max="13825" width="10" style="17" bestFit="1" customWidth="1"/>
    <col min="13826" max="13826" width="44.140625" style="17" bestFit="1" customWidth="1"/>
    <col min="13827" max="13827" width="10.42578125" style="17" bestFit="1" customWidth="1"/>
    <col min="13828" max="13828" width="10.42578125" style="17" customWidth="1"/>
    <col min="13829" max="13829" width="9.85546875" style="17" bestFit="1" customWidth="1"/>
    <col min="13830" max="13831" width="9.5703125" style="17" bestFit="1" customWidth="1"/>
    <col min="13832" max="13832" width="10.42578125" style="17" bestFit="1" customWidth="1"/>
    <col min="13833" max="13833" width="4.5703125" style="17" customWidth="1"/>
    <col min="13834" max="13834" width="1.85546875" style="17" customWidth="1"/>
    <col min="13835" max="13835" width="7" style="17" bestFit="1" customWidth="1"/>
    <col min="13836" max="13836" width="6.140625" style="17" customWidth="1"/>
    <col min="13837" max="13837" width="20.42578125" style="17" customWidth="1"/>
    <col min="13838" max="13838" width="6.42578125" style="17" bestFit="1" customWidth="1"/>
    <col min="13839" max="13840" width="8.42578125" style="17"/>
    <col min="13841" max="13841" width="3.140625" style="17" customWidth="1"/>
    <col min="13842" max="14080" width="8.42578125" style="17"/>
    <col min="14081" max="14081" width="10" style="17" bestFit="1" customWidth="1"/>
    <col min="14082" max="14082" width="44.140625" style="17" bestFit="1" customWidth="1"/>
    <col min="14083" max="14083" width="10.42578125" style="17" bestFit="1" customWidth="1"/>
    <col min="14084" max="14084" width="10.42578125" style="17" customWidth="1"/>
    <col min="14085" max="14085" width="9.85546875" style="17" bestFit="1" customWidth="1"/>
    <col min="14086" max="14087" width="9.5703125" style="17" bestFit="1" customWidth="1"/>
    <col min="14088" max="14088" width="10.42578125" style="17" bestFit="1" customWidth="1"/>
    <col min="14089" max="14089" width="4.5703125" style="17" customWidth="1"/>
    <col min="14090" max="14090" width="1.85546875" style="17" customWidth="1"/>
    <col min="14091" max="14091" width="7" style="17" bestFit="1" customWidth="1"/>
    <col min="14092" max="14092" width="6.140625" style="17" customWidth="1"/>
    <col min="14093" max="14093" width="20.42578125" style="17" customWidth="1"/>
    <col min="14094" max="14094" width="6.42578125" style="17" bestFit="1" customWidth="1"/>
    <col min="14095" max="14096" width="8.42578125" style="17"/>
    <col min="14097" max="14097" width="3.140625" style="17" customWidth="1"/>
    <col min="14098" max="14336" width="8.42578125" style="17"/>
    <col min="14337" max="14337" width="10" style="17" bestFit="1" customWidth="1"/>
    <col min="14338" max="14338" width="44.140625" style="17" bestFit="1" customWidth="1"/>
    <col min="14339" max="14339" width="10.42578125" style="17" bestFit="1" customWidth="1"/>
    <col min="14340" max="14340" width="10.42578125" style="17" customWidth="1"/>
    <col min="14341" max="14341" width="9.85546875" style="17" bestFit="1" customWidth="1"/>
    <col min="14342" max="14343" width="9.5703125" style="17" bestFit="1" customWidth="1"/>
    <col min="14344" max="14344" width="10.42578125" style="17" bestFit="1" customWidth="1"/>
    <col min="14345" max="14345" width="4.5703125" style="17" customWidth="1"/>
    <col min="14346" max="14346" width="1.85546875" style="17" customWidth="1"/>
    <col min="14347" max="14347" width="7" style="17" bestFit="1" customWidth="1"/>
    <col min="14348" max="14348" width="6.140625" style="17" customWidth="1"/>
    <col min="14349" max="14349" width="20.42578125" style="17" customWidth="1"/>
    <col min="14350" max="14350" width="6.42578125" style="17" bestFit="1" customWidth="1"/>
    <col min="14351" max="14352" width="8.42578125" style="17"/>
    <col min="14353" max="14353" width="3.140625" style="17" customWidth="1"/>
    <col min="14354" max="14592" width="8.42578125" style="17"/>
    <col min="14593" max="14593" width="10" style="17" bestFit="1" customWidth="1"/>
    <col min="14594" max="14594" width="44.140625" style="17" bestFit="1" customWidth="1"/>
    <col min="14595" max="14595" width="10.42578125" style="17" bestFit="1" customWidth="1"/>
    <col min="14596" max="14596" width="10.42578125" style="17" customWidth="1"/>
    <col min="14597" max="14597" width="9.85546875" style="17" bestFit="1" customWidth="1"/>
    <col min="14598" max="14599" width="9.5703125" style="17" bestFit="1" customWidth="1"/>
    <col min="14600" max="14600" width="10.42578125" style="17" bestFit="1" customWidth="1"/>
    <col min="14601" max="14601" width="4.5703125" style="17" customWidth="1"/>
    <col min="14602" max="14602" width="1.85546875" style="17" customWidth="1"/>
    <col min="14603" max="14603" width="7" style="17" bestFit="1" customWidth="1"/>
    <col min="14604" max="14604" width="6.140625" style="17" customWidth="1"/>
    <col min="14605" max="14605" width="20.42578125" style="17" customWidth="1"/>
    <col min="14606" max="14606" width="6.42578125" style="17" bestFit="1" customWidth="1"/>
    <col min="14607" max="14608" width="8.42578125" style="17"/>
    <col min="14609" max="14609" width="3.140625" style="17" customWidth="1"/>
    <col min="14610" max="14848" width="8.42578125" style="17"/>
    <col min="14849" max="14849" width="10" style="17" bestFit="1" customWidth="1"/>
    <col min="14850" max="14850" width="44.140625" style="17" bestFit="1" customWidth="1"/>
    <col min="14851" max="14851" width="10.42578125" style="17" bestFit="1" customWidth="1"/>
    <col min="14852" max="14852" width="10.42578125" style="17" customWidth="1"/>
    <col min="14853" max="14853" width="9.85546875" style="17" bestFit="1" customWidth="1"/>
    <col min="14854" max="14855" width="9.5703125" style="17" bestFit="1" customWidth="1"/>
    <col min="14856" max="14856" width="10.42578125" style="17" bestFit="1" customWidth="1"/>
    <col min="14857" max="14857" width="4.5703125" style="17" customWidth="1"/>
    <col min="14858" max="14858" width="1.85546875" style="17" customWidth="1"/>
    <col min="14859" max="14859" width="7" style="17" bestFit="1" customWidth="1"/>
    <col min="14860" max="14860" width="6.140625" style="17" customWidth="1"/>
    <col min="14861" max="14861" width="20.42578125" style="17" customWidth="1"/>
    <col min="14862" max="14862" width="6.42578125" style="17" bestFit="1" customWidth="1"/>
    <col min="14863" max="14864" width="8.42578125" style="17"/>
    <col min="14865" max="14865" width="3.140625" style="17" customWidth="1"/>
    <col min="14866" max="15104" width="8.42578125" style="17"/>
    <col min="15105" max="15105" width="10" style="17" bestFit="1" customWidth="1"/>
    <col min="15106" max="15106" width="44.140625" style="17" bestFit="1" customWidth="1"/>
    <col min="15107" max="15107" width="10.42578125" style="17" bestFit="1" customWidth="1"/>
    <col min="15108" max="15108" width="10.42578125" style="17" customWidth="1"/>
    <col min="15109" max="15109" width="9.85546875" style="17" bestFit="1" customWidth="1"/>
    <col min="15110" max="15111" width="9.5703125" style="17" bestFit="1" customWidth="1"/>
    <col min="15112" max="15112" width="10.42578125" style="17" bestFit="1" customWidth="1"/>
    <col min="15113" max="15113" width="4.5703125" style="17" customWidth="1"/>
    <col min="15114" max="15114" width="1.85546875" style="17" customWidth="1"/>
    <col min="15115" max="15115" width="7" style="17" bestFit="1" customWidth="1"/>
    <col min="15116" max="15116" width="6.140625" style="17" customWidth="1"/>
    <col min="15117" max="15117" width="20.42578125" style="17" customWidth="1"/>
    <col min="15118" max="15118" width="6.42578125" style="17" bestFit="1" customWidth="1"/>
    <col min="15119" max="15120" width="8.42578125" style="17"/>
    <col min="15121" max="15121" width="3.140625" style="17" customWidth="1"/>
    <col min="15122" max="15360" width="8.42578125" style="17"/>
    <col min="15361" max="15361" width="10" style="17" bestFit="1" customWidth="1"/>
    <col min="15362" max="15362" width="44.140625" style="17" bestFit="1" customWidth="1"/>
    <col min="15363" max="15363" width="10.42578125" style="17" bestFit="1" customWidth="1"/>
    <col min="15364" max="15364" width="10.42578125" style="17" customWidth="1"/>
    <col min="15365" max="15365" width="9.85546875" style="17" bestFit="1" customWidth="1"/>
    <col min="15366" max="15367" width="9.5703125" style="17" bestFit="1" customWidth="1"/>
    <col min="15368" max="15368" width="10.42578125" style="17" bestFit="1" customWidth="1"/>
    <col min="15369" max="15369" width="4.5703125" style="17" customWidth="1"/>
    <col min="15370" max="15370" width="1.85546875" style="17" customWidth="1"/>
    <col min="15371" max="15371" width="7" style="17" bestFit="1" customWidth="1"/>
    <col min="15372" max="15372" width="6.140625" style="17" customWidth="1"/>
    <col min="15373" max="15373" width="20.42578125" style="17" customWidth="1"/>
    <col min="15374" max="15374" width="6.42578125" style="17" bestFit="1" customWidth="1"/>
    <col min="15375" max="15376" width="8.42578125" style="17"/>
    <col min="15377" max="15377" width="3.140625" style="17" customWidth="1"/>
    <col min="15378" max="15616" width="8.42578125" style="17"/>
    <col min="15617" max="15617" width="10" style="17" bestFit="1" customWidth="1"/>
    <col min="15618" max="15618" width="44.140625" style="17" bestFit="1" customWidth="1"/>
    <col min="15619" max="15619" width="10.42578125" style="17" bestFit="1" customWidth="1"/>
    <col min="15620" max="15620" width="10.42578125" style="17" customWidth="1"/>
    <col min="15621" max="15621" width="9.85546875" style="17" bestFit="1" customWidth="1"/>
    <col min="15622" max="15623" width="9.5703125" style="17" bestFit="1" customWidth="1"/>
    <col min="15624" max="15624" width="10.42578125" style="17" bestFit="1" customWidth="1"/>
    <col min="15625" max="15625" width="4.5703125" style="17" customWidth="1"/>
    <col min="15626" max="15626" width="1.85546875" style="17" customWidth="1"/>
    <col min="15627" max="15627" width="7" style="17" bestFit="1" customWidth="1"/>
    <col min="15628" max="15628" width="6.140625" style="17" customWidth="1"/>
    <col min="15629" max="15629" width="20.42578125" style="17" customWidth="1"/>
    <col min="15630" max="15630" width="6.42578125" style="17" bestFit="1" customWidth="1"/>
    <col min="15631" max="15632" width="8.42578125" style="17"/>
    <col min="15633" max="15633" width="3.140625" style="17" customWidth="1"/>
    <col min="15634" max="15872" width="8.42578125" style="17"/>
    <col min="15873" max="15873" width="10" style="17" bestFit="1" customWidth="1"/>
    <col min="15874" max="15874" width="44.140625" style="17" bestFit="1" customWidth="1"/>
    <col min="15875" max="15875" width="10.42578125" style="17" bestFit="1" customWidth="1"/>
    <col min="15876" max="15876" width="10.42578125" style="17" customWidth="1"/>
    <col min="15877" max="15877" width="9.85546875" style="17" bestFit="1" customWidth="1"/>
    <col min="15878" max="15879" width="9.5703125" style="17" bestFit="1" customWidth="1"/>
    <col min="15880" max="15880" width="10.42578125" style="17" bestFit="1" customWidth="1"/>
    <col min="15881" max="15881" width="4.5703125" style="17" customWidth="1"/>
    <col min="15882" max="15882" width="1.85546875" style="17" customWidth="1"/>
    <col min="15883" max="15883" width="7" style="17" bestFit="1" customWidth="1"/>
    <col min="15884" max="15884" width="6.140625" style="17" customWidth="1"/>
    <col min="15885" max="15885" width="20.42578125" style="17" customWidth="1"/>
    <col min="15886" max="15886" width="6.42578125" style="17" bestFit="1" customWidth="1"/>
    <col min="15887" max="15888" width="8.42578125" style="17"/>
    <col min="15889" max="15889" width="3.140625" style="17" customWidth="1"/>
    <col min="15890" max="16128" width="8.42578125" style="17"/>
    <col min="16129" max="16129" width="10" style="17" bestFit="1" customWidth="1"/>
    <col min="16130" max="16130" width="44.140625" style="17" bestFit="1" customWidth="1"/>
    <col min="16131" max="16131" width="10.42578125" style="17" bestFit="1" customWidth="1"/>
    <col min="16132" max="16132" width="10.42578125" style="17" customWidth="1"/>
    <col min="16133" max="16133" width="9.85546875" style="17" bestFit="1" customWidth="1"/>
    <col min="16134" max="16135" width="9.5703125" style="17" bestFit="1" customWidth="1"/>
    <col min="16136" max="16136" width="10.42578125" style="17" bestFit="1" customWidth="1"/>
    <col min="16137" max="16137" width="4.5703125" style="17" customWidth="1"/>
    <col min="16138" max="16138" width="1.85546875" style="17" customWidth="1"/>
    <col min="16139" max="16139" width="7" style="17" bestFit="1" customWidth="1"/>
    <col min="16140" max="16140" width="6.140625" style="17" customWidth="1"/>
    <col min="16141" max="16141" width="20.42578125" style="17" customWidth="1"/>
    <col min="16142" max="16142" width="6.42578125" style="17" bestFit="1" customWidth="1"/>
    <col min="16143" max="16144" width="8.42578125" style="17"/>
    <col min="16145" max="16145" width="3.140625" style="17" customWidth="1"/>
    <col min="16146" max="16384" width="8.42578125" style="17"/>
  </cols>
  <sheetData>
    <row r="1" spans="1:10" ht="27.75" customHeight="1" x14ac:dyDescent="0.2">
      <c r="A1" s="12"/>
      <c r="B1" s="12"/>
      <c r="C1" s="12"/>
      <c r="D1" s="12"/>
      <c r="E1" s="13" t="s">
        <v>38</v>
      </c>
      <c r="F1" s="14" t="s">
        <v>39</v>
      </c>
      <c r="G1" s="14" t="s">
        <v>40</v>
      </c>
      <c r="H1" s="14" t="s">
        <v>41</v>
      </c>
      <c r="I1" s="15"/>
    </row>
    <row r="2" spans="1:10" ht="30.75" customHeight="1" x14ac:dyDescent="0.2">
      <c r="A2" s="12"/>
      <c r="B2" s="12"/>
      <c r="C2" s="12"/>
      <c r="D2" s="12"/>
      <c r="E2" s="18">
        <f>IFERROR(O55,"")</f>
        <v>10688.555776554096</v>
      </c>
      <c r="F2" s="18">
        <f>IFERROR(H46,"")</f>
        <v>7599.5931267231172</v>
      </c>
      <c r="G2" s="18">
        <f>IFERROR(H47,"")</f>
        <v>60.987636311817404</v>
      </c>
      <c r="H2" s="18">
        <f>IFERROR(H49,"")</f>
        <v>406.47497337593188</v>
      </c>
      <c r="I2" s="19"/>
    </row>
    <row r="3" spans="1:10" ht="15" customHeight="1" x14ac:dyDescent="0.2">
      <c r="A3" s="12"/>
      <c r="B3" s="12"/>
      <c r="C3" s="12"/>
      <c r="D3" s="12"/>
      <c r="E3" s="12"/>
      <c r="F3" s="20"/>
      <c r="G3" s="20"/>
      <c r="H3" s="20"/>
      <c r="I3" s="20"/>
    </row>
    <row r="4" spans="1:10" ht="24.75" customHeight="1" thickBot="1" x14ac:dyDescent="0.25">
      <c r="A4" s="275"/>
      <c r="B4" s="275"/>
      <c r="C4" s="275"/>
      <c r="D4" s="275"/>
      <c r="E4" s="275"/>
      <c r="F4" s="275"/>
      <c r="G4" s="275"/>
      <c r="H4" s="275"/>
      <c r="I4" s="21"/>
    </row>
    <row r="5" spans="1:10" ht="19.5" customHeight="1" thickBot="1" x14ac:dyDescent="0.25">
      <c r="A5" s="276" t="s">
        <v>42</v>
      </c>
      <c r="B5" s="277"/>
      <c r="C5" s="277"/>
      <c r="D5" s="277"/>
      <c r="E5" s="277"/>
      <c r="F5" s="277"/>
      <c r="G5" s="277"/>
      <c r="H5" s="278"/>
      <c r="I5" s="22"/>
    </row>
    <row r="6" spans="1:10" ht="19.5" thickBot="1" x14ac:dyDescent="0.25">
      <c r="A6" s="22"/>
      <c r="B6" s="22"/>
      <c r="C6" s="22"/>
      <c r="D6" s="22"/>
      <c r="E6" s="22"/>
      <c r="F6" s="279" t="s">
        <v>43</v>
      </c>
      <c r="G6" s="279"/>
      <c r="H6" s="23">
        <f ca="1">TODAY()</f>
        <v>45701</v>
      </c>
      <c r="I6" s="23"/>
    </row>
    <row r="7" spans="1:10" ht="26.25" hidden="1" thickBot="1" x14ac:dyDescent="0.25">
      <c r="A7" s="24" t="s">
        <v>44</v>
      </c>
      <c r="B7" s="25" t="s">
        <v>45</v>
      </c>
      <c r="C7" s="25" t="s">
        <v>44</v>
      </c>
      <c r="D7" s="26" t="s">
        <v>46</v>
      </c>
      <c r="E7" s="26" t="s">
        <v>47</v>
      </c>
      <c r="F7" s="26" t="s">
        <v>48</v>
      </c>
      <c r="G7" s="26" t="s">
        <v>49</v>
      </c>
      <c r="H7" s="27" t="s">
        <v>50</v>
      </c>
      <c r="I7" s="28"/>
    </row>
    <row r="8" spans="1:10" ht="13.5" hidden="1" x14ac:dyDescent="0.25">
      <c r="A8" s="29"/>
      <c r="B8" s="17" t="str">
        <f>IFERROR(VLOOKUP(H8,'[1]ARTICULOS MP PLANTA'!$A$2:$G$589,2,0),"")</f>
        <v/>
      </c>
      <c r="C8" s="30">
        <f>+A8</f>
        <v>0</v>
      </c>
      <c r="D8" s="31" t="str">
        <f>IFERROR(VLOOKUP(H8,'[1]ARTICULOS MP PLANTA'!$A$2:$G$589,6,0),"")</f>
        <v/>
      </c>
      <c r="E8" s="31" t="str">
        <f>IFERROR(VLOOKUP(H8,'[1]ARTICULOS MP PLANTA'!$A$2:$G$589,7,0),"")</f>
        <v/>
      </c>
      <c r="F8" s="31" t="str">
        <f>IFERROR(C8*E8,"")</f>
        <v/>
      </c>
      <c r="G8" s="32" t="str">
        <f>IFERROR(F8/$F$59,"")</f>
        <v/>
      </c>
      <c r="H8" s="33"/>
      <c r="I8" s="33"/>
      <c r="J8" s="34"/>
    </row>
    <row r="9" spans="1:10" ht="13.5" hidden="1" x14ac:dyDescent="0.25">
      <c r="A9" s="29"/>
      <c r="B9" s="17" t="str">
        <f>IFERROR(VLOOKUP(H9,'[1]ARTICULOS MP PLANTA'!$A$2:$G$589,2,0),"")</f>
        <v/>
      </c>
      <c r="C9" s="30">
        <f t="shared" ref="C9:C14" si="0">+A9</f>
        <v>0</v>
      </c>
      <c r="D9" s="31" t="str">
        <f>IFERROR(VLOOKUP(H9,'[1]ARTICULOS MP PLANTA'!$A$2:$G$589,6,0),"")</f>
        <v/>
      </c>
      <c r="E9" s="31" t="str">
        <f>IFERROR(VLOOKUP(H9,'[1]ARTICULOS MP PLANTA'!$A$2:$G$589,7,0),"")</f>
        <v/>
      </c>
      <c r="F9" s="31" t="str">
        <f t="shared" ref="F9:F14" si="1">IFERROR(C9*E9,"")</f>
        <v/>
      </c>
      <c r="G9" s="32" t="str">
        <f t="shared" ref="G9:G14" si="2">IFERROR(F9/$F$59,"")</f>
        <v/>
      </c>
      <c r="H9" s="33"/>
      <c r="I9" s="33"/>
      <c r="J9" s="34"/>
    </row>
    <row r="10" spans="1:10" ht="13.5" hidden="1" x14ac:dyDescent="0.25">
      <c r="A10" s="29"/>
      <c r="B10" s="17" t="str">
        <f>IFERROR(VLOOKUP(H10,'[1]ARTICULOS MP PLANTA'!$A$2:$G$589,2,0),"")</f>
        <v/>
      </c>
      <c r="C10" s="30">
        <f t="shared" si="0"/>
        <v>0</v>
      </c>
      <c r="D10" s="31" t="str">
        <f>IFERROR(VLOOKUP(H10,'[1]ARTICULOS MP PLANTA'!$A$2:$G$589,6,0),"")</f>
        <v/>
      </c>
      <c r="E10" s="31" t="str">
        <f>IFERROR(VLOOKUP(H10,'[1]ARTICULOS MP PLANTA'!$A$2:$G$589,7,0),"")</f>
        <v/>
      </c>
      <c r="F10" s="31" t="str">
        <f t="shared" si="1"/>
        <v/>
      </c>
      <c r="G10" s="32" t="str">
        <f t="shared" si="2"/>
        <v/>
      </c>
      <c r="H10" s="33"/>
      <c r="I10" s="33"/>
      <c r="J10" s="34"/>
    </row>
    <row r="11" spans="1:10" ht="13.5" hidden="1" x14ac:dyDescent="0.25">
      <c r="A11" s="29"/>
      <c r="B11" s="17" t="str">
        <f>IFERROR(VLOOKUP(H11,'[1]ARTICULOS MP PLANTA'!$A$2:$G$589,2,0),"")</f>
        <v/>
      </c>
      <c r="C11" s="30">
        <f t="shared" si="0"/>
        <v>0</v>
      </c>
      <c r="D11" s="31" t="str">
        <f>IFERROR(VLOOKUP(H11,'[1]ARTICULOS MP PLANTA'!$A$2:$G$589,6,0),"")</f>
        <v/>
      </c>
      <c r="E11" s="31" t="str">
        <f>IFERROR(VLOOKUP(H11,'[1]ARTICULOS MP PLANTA'!$A$2:$G$589,7,0),"")</f>
        <v/>
      </c>
      <c r="F11" s="31" t="str">
        <f t="shared" si="1"/>
        <v/>
      </c>
      <c r="G11" s="32" t="str">
        <f t="shared" si="2"/>
        <v/>
      </c>
      <c r="H11" s="33"/>
      <c r="I11" s="33"/>
      <c r="J11" s="34"/>
    </row>
    <row r="12" spans="1:10" ht="13.5" hidden="1" x14ac:dyDescent="0.25">
      <c r="A12" s="29"/>
      <c r="B12" s="17" t="str">
        <f>IFERROR(VLOOKUP(H12,'[1]ARTICULOS MP PLANTA'!$A$2:$G$589,2,0),"")</f>
        <v/>
      </c>
      <c r="C12" s="30">
        <f t="shared" si="0"/>
        <v>0</v>
      </c>
      <c r="D12" s="31" t="str">
        <f>IFERROR(VLOOKUP(H12,'[1]ARTICULOS MP PLANTA'!$A$2:$G$589,6,0),"")</f>
        <v/>
      </c>
      <c r="E12" s="31" t="str">
        <f>IFERROR(VLOOKUP(H12,'[1]ARTICULOS MP PLANTA'!$A$2:$G$589,7,0),"")</f>
        <v/>
      </c>
      <c r="F12" s="31" t="str">
        <f t="shared" si="1"/>
        <v/>
      </c>
      <c r="G12" s="32" t="str">
        <f t="shared" si="2"/>
        <v/>
      </c>
      <c r="H12" s="33"/>
      <c r="I12" s="33"/>
      <c r="J12" s="34"/>
    </row>
    <row r="13" spans="1:10" ht="13.5" hidden="1" x14ac:dyDescent="0.25">
      <c r="A13" s="29"/>
      <c r="B13" s="17" t="str">
        <f>IFERROR(VLOOKUP(H13,'[1]ARTICULOS MP PLANTA'!$A$2:$G$589,2,0),"")</f>
        <v/>
      </c>
      <c r="C13" s="30">
        <f t="shared" si="0"/>
        <v>0</v>
      </c>
      <c r="D13" s="31" t="str">
        <f>IFERROR(VLOOKUP(H13,'[1]ARTICULOS MP PLANTA'!$A$2:$G$589,6,0),"")</f>
        <v/>
      </c>
      <c r="E13" s="31" t="str">
        <f>IFERROR(VLOOKUP(H13,'[1]ARTICULOS MP PLANTA'!$A$2:$G$589,7,0),"")</f>
        <v/>
      </c>
      <c r="F13" s="31" t="str">
        <f t="shared" si="1"/>
        <v/>
      </c>
      <c r="G13" s="32" t="str">
        <f t="shared" si="2"/>
        <v/>
      </c>
      <c r="H13" s="33"/>
      <c r="I13" s="33"/>
      <c r="J13" s="34"/>
    </row>
    <row r="14" spans="1:10" ht="13.5" hidden="1" x14ac:dyDescent="0.25">
      <c r="A14" s="29"/>
      <c r="B14" s="17" t="str">
        <f>IFERROR(VLOOKUP(H14,'[1]ARTICULOS MP PLANTA'!$A$2:$G$589,2,0),"")</f>
        <v/>
      </c>
      <c r="C14" s="30">
        <f t="shared" si="0"/>
        <v>0</v>
      </c>
      <c r="D14" s="31" t="str">
        <f>IFERROR(VLOOKUP(H14,'[1]ARTICULOS MP PLANTA'!$A$2:$G$589,6,0),"")</f>
        <v/>
      </c>
      <c r="E14" s="31" t="str">
        <f>IFERROR(VLOOKUP(H14,'[1]ARTICULOS MP PLANTA'!$A$2:$G$589,7,0),"")</f>
        <v/>
      </c>
      <c r="F14" s="31" t="str">
        <f t="shared" si="1"/>
        <v/>
      </c>
      <c r="G14" s="32" t="str">
        <f t="shared" si="2"/>
        <v/>
      </c>
      <c r="H14" s="33"/>
      <c r="I14" s="33"/>
      <c r="J14" s="34"/>
    </row>
    <row r="15" spans="1:10" ht="14.25" hidden="1" thickBot="1" x14ac:dyDescent="0.3">
      <c r="A15" s="29"/>
      <c r="B15" s="17" t="str">
        <f>IFERROR(VLOOKUP(H15,'[1]ARTICULOS MP PLANTA'!$A$2:$G$589,2,0),"")</f>
        <v/>
      </c>
      <c r="C15" s="30"/>
      <c r="D15" s="31"/>
      <c r="E15" s="31"/>
      <c r="F15" s="31"/>
      <c r="G15" s="32"/>
      <c r="H15" s="33"/>
      <c r="I15" s="33"/>
      <c r="J15" s="34"/>
    </row>
    <row r="16" spans="1:10" ht="26.25" thickBot="1" x14ac:dyDescent="0.25">
      <c r="A16" s="24" t="s">
        <v>44</v>
      </c>
      <c r="B16" s="25" t="s">
        <v>51</v>
      </c>
      <c r="C16" s="25" t="s">
        <v>44</v>
      </c>
      <c r="D16" s="26" t="s">
        <v>46</v>
      </c>
      <c r="E16" s="26" t="s">
        <v>47</v>
      </c>
      <c r="F16" s="26" t="s">
        <v>48</v>
      </c>
      <c r="G16" s="26" t="s">
        <v>49</v>
      </c>
      <c r="H16" s="27" t="s">
        <v>50</v>
      </c>
      <c r="I16" s="28"/>
      <c r="J16" s="34"/>
    </row>
    <row r="17" spans="1:12" ht="13.5" x14ac:dyDescent="0.25">
      <c r="A17" s="29">
        <v>5000</v>
      </c>
      <c r="B17" s="17" t="s">
        <v>135</v>
      </c>
      <c r="C17" s="30">
        <f>+A17</f>
        <v>5000</v>
      </c>
      <c r="D17" s="30" t="s">
        <v>141</v>
      </c>
      <c r="E17" s="31">
        <f>+'Costo Relleno 6-04-2020'!E62</f>
        <v>1.5199186253446235</v>
      </c>
      <c r="F17" s="31">
        <f>IFERROR(E17*C17,"")</f>
        <v>7599.5931267231172</v>
      </c>
      <c r="G17" s="32">
        <f>IFERROR(F17/$F$59,"")</f>
        <v>0.96593873210965298</v>
      </c>
      <c r="H17" s="33"/>
      <c r="I17" s="33"/>
      <c r="J17" s="34"/>
    </row>
    <row r="18" spans="1:12" ht="13.5" hidden="1" x14ac:dyDescent="0.25">
      <c r="A18" s="29"/>
      <c r="B18" s="17" t="str">
        <f>IFERROR(VLOOKUP($H18,[4]SEMIELABORADOS!$A$1:$J$998,2,0),"")</f>
        <v/>
      </c>
      <c r="C18" s="30">
        <f>+A18</f>
        <v>0</v>
      </c>
      <c r="D18" s="30" t="str">
        <f>IFERROR(VLOOKUP($H18,[4]SEMIELABORADOS!$A$1:$J$998,4,0),"")</f>
        <v/>
      </c>
      <c r="E18" s="31" t="str">
        <f>IFERROR(VLOOKUP($H18,[4]SEMIELABORADOS!$A$1:$J$998,6,0),"")</f>
        <v/>
      </c>
      <c r="F18" s="31" t="str">
        <f>IFERROR(E18*C18,"")</f>
        <v/>
      </c>
      <c r="G18" s="32" t="str">
        <f>IFERROR(F18/$F$59,"")</f>
        <v/>
      </c>
      <c r="H18" s="33"/>
      <c r="I18" s="33"/>
      <c r="J18" s="34"/>
    </row>
    <row r="19" spans="1:12" ht="13.5" hidden="1" x14ac:dyDescent="0.25">
      <c r="A19" s="29"/>
      <c r="B19" s="17" t="str">
        <f>IFERROR(VLOOKUP($H19,[4]SEMIELABORADOS!$A$1:$J$998,2,0),"")</f>
        <v/>
      </c>
      <c r="C19" s="30">
        <f>+A19</f>
        <v>0</v>
      </c>
      <c r="D19" s="30" t="str">
        <f>IFERROR(VLOOKUP($H19,[4]SEMIELABORADOS!$A$1:$J$998,4,0),"")</f>
        <v/>
      </c>
      <c r="E19" s="31" t="str">
        <f>IFERROR(VLOOKUP($H19,[4]SEMIELABORADOS!$A$1:$J$998,6,0),"")</f>
        <v/>
      </c>
      <c r="F19" s="31" t="str">
        <f>IFERROR(E19*C19,"")</f>
        <v/>
      </c>
      <c r="G19" s="32" t="str">
        <f>IFERROR(F19/$F$59,"")</f>
        <v/>
      </c>
      <c r="H19" s="33"/>
      <c r="I19" s="33"/>
      <c r="J19" s="34"/>
    </row>
    <row r="20" spans="1:12" ht="13.5" hidden="1" x14ac:dyDescent="0.25">
      <c r="A20" s="29"/>
      <c r="B20" s="17" t="str">
        <f>IFERROR(VLOOKUP($H20,[4]SEMIELABORADOS!$A$1:$J$998,2,0),"")</f>
        <v/>
      </c>
      <c r="C20" s="30">
        <f>+A20</f>
        <v>0</v>
      </c>
      <c r="D20" s="30" t="str">
        <f>IFERROR(VLOOKUP($H20,[4]SEMIELABORADOS!$A$1:$J$998,4,0),"")</f>
        <v/>
      </c>
      <c r="E20" s="31" t="str">
        <f>IFERROR(VLOOKUP($H20,[4]SEMIELABORADOS!$A$1:$J$998,6,0),"")</f>
        <v/>
      </c>
      <c r="F20" s="31" t="str">
        <f>IFERROR(E20*C20,"")</f>
        <v/>
      </c>
      <c r="G20" s="32" t="str">
        <f>IFERROR(F20/$F$59,"")</f>
        <v/>
      </c>
      <c r="H20" s="33"/>
      <c r="I20" s="33"/>
      <c r="J20" s="34"/>
    </row>
    <row r="21" spans="1:12" ht="13.5" hidden="1" x14ac:dyDescent="0.25">
      <c r="A21" s="29"/>
      <c r="B21" s="17" t="str">
        <f>IFERROR(VLOOKUP($H21,[4]SEMIELABORADOS!$A$1:$J$998,2,0),"")</f>
        <v/>
      </c>
      <c r="C21" s="30">
        <f>+A21</f>
        <v>0</v>
      </c>
      <c r="D21" s="30" t="str">
        <f>IFERROR(VLOOKUP($H21,[4]SEMIELABORADOS!$A$1:$J$998,4,0),"")</f>
        <v/>
      </c>
      <c r="E21" s="31" t="str">
        <f>IFERROR(VLOOKUP($H21,[4]SEMIELABORADOS!$A$1:$J$998,6,0),"")</f>
        <v/>
      </c>
      <c r="F21" s="31" t="str">
        <f>IFERROR(E21*C21,"")</f>
        <v/>
      </c>
      <c r="G21" s="32" t="str">
        <f>IFERROR(F21/$F$59,"")</f>
        <v/>
      </c>
      <c r="H21" s="33"/>
      <c r="I21" s="33"/>
      <c r="J21" s="34"/>
    </row>
    <row r="22" spans="1:12" ht="14.25" thickBot="1" x14ac:dyDescent="0.3">
      <c r="A22" s="29"/>
      <c r="C22" s="30"/>
      <c r="D22" s="30"/>
      <c r="E22" s="31"/>
      <c r="F22" s="31"/>
      <c r="G22" s="32"/>
      <c r="H22" s="33"/>
      <c r="I22" s="33"/>
      <c r="J22" s="34"/>
    </row>
    <row r="23" spans="1:12" ht="26.25" thickBot="1" x14ac:dyDescent="0.25">
      <c r="A23" s="24" t="s">
        <v>44</v>
      </c>
      <c r="B23" s="25" t="s">
        <v>52</v>
      </c>
      <c r="C23" s="25" t="s">
        <v>44</v>
      </c>
      <c r="D23" s="26" t="s">
        <v>46</v>
      </c>
      <c r="E23" s="26" t="s">
        <v>47</v>
      </c>
      <c r="F23" s="26" t="s">
        <v>48</v>
      </c>
      <c r="G23" s="26" t="s">
        <v>49</v>
      </c>
      <c r="H23" s="27" t="s">
        <v>50</v>
      </c>
      <c r="I23" s="28"/>
    </row>
    <row r="24" spans="1:12" ht="13.5" x14ac:dyDescent="0.25">
      <c r="A24" s="29">
        <v>1</v>
      </c>
      <c r="B24" s="35" t="str">
        <f>IFERROR(VLOOKUP(H24,'[1]EMPAQUE PLANTA'!$A$2:$H$176,2,0),"")</f>
        <v>BOLSA 17x25 TRANSP KILO</v>
      </c>
      <c r="C24" s="30">
        <f t="shared" ref="C24:C29" si="3">+A24</f>
        <v>1</v>
      </c>
      <c r="D24" s="31" t="str">
        <f>IFERROR(VLOOKUP(H24,'[1]EMPAQUE PLANTA'!$A$2:$H$176,7,0),"")</f>
        <v>UND</v>
      </c>
      <c r="E24" s="31">
        <f>IFERROR(VLOOKUP(H24,'[1]EMPAQUE PLANTA'!$A$2:$H$176,8,0),"")</f>
        <v>33.333333333333336</v>
      </c>
      <c r="F24" s="31">
        <f t="shared" ref="F24:F29" si="4">IFERROR(E24*C24,"")</f>
        <v>33.333333333333336</v>
      </c>
      <c r="G24" s="32">
        <f t="shared" ref="G24:G29" si="5">IFERROR(F24/$F$59,"")</f>
        <v>4.2368002076016318E-3</v>
      </c>
      <c r="H24" s="36" t="s">
        <v>37</v>
      </c>
      <c r="I24" s="36"/>
      <c r="J24" s="34"/>
      <c r="K24" s="274"/>
      <c r="L24" s="274"/>
    </row>
    <row r="25" spans="1:12" ht="13.5" x14ac:dyDescent="0.25">
      <c r="A25" s="29">
        <v>1</v>
      </c>
      <c r="B25" s="35" t="s">
        <v>128</v>
      </c>
      <c r="C25" s="30">
        <f t="shared" si="3"/>
        <v>1</v>
      </c>
      <c r="D25" s="31" t="s">
        <v>140</v>
      </c>
      <c r="E25" s="31">
        <f>IFERROR(VLOOKUP($H25,'[4]EMP PLANTA'!$A$2:$F$500,6,0),"")</f>
        <v>0.61599999999999999</v>
      </c>
      <c r="F25" s="31">
        <f t="shared" si="4"/>
        <v>0.61599999999999999</v>
      </c>
      <c r="G25" s="32">
        <f t="shared" si="5"/>
        <v>7.8296067836478145E-5</v>
      </c>
      <c r="H25" s="36" t="s">
        <v>101</v>
      </c>
      <c r="I25" s="36"/>
      <c r="J25" s="34"/>
      <c r="K25" s="274"/>
      <c r="L25" s="274"/>
    </row>
    <row r="26" spans="1:12" ht="13.5" x14ac:dyDescent="0.25">
      <c r="A26" s="29">
        <v>1</v>
      </c>
      <c r="B26" s="35" t="s">
        <v>130</v>
      </c>
      <c r="C26" s="30">
        <f t="shared" si="3"/>
        <v>1</v>
      </c>
      <c r="D26" s="31" t="s">
        <v>140</v>
      </c>
      <c r="E26" s="31">
        <f>IFERROR(VLOOKUP($H26,'[4]EMP PLANTA'!$A$2:$F$500,6,0),"")</f>
        <v>0.22877999999999998</v>
      </c>
      <c r="F26" s="31">
        <f t="shared" si="4"/>
        <v>0.22877999999999998</v>
      </c>
      <c r="G26" s="32">
        <f t="shared" si="5"/>
        <v>2.9078854544853033E-5</v>
      </c>
      <c r="H26" s="36" t="s">
        <v>129</v>
      </c>
      <c r="I26" s="36"/>
      <c r="J26" s="34"/>
      <c r="K26" s="274"/>
      <c r="L26" s="274"/>
    </row>
    <row r="27" spans="1:12" ht="13.5" hidden="1" x14ac:dyDescent="0.25">
      <c r="A27" s="29"/>
      <c r="B27" s="35" t="str">
        <f>IFERROR(VLOOKUP(H27,'[1]EMPAQUE PLANTA'!$A$2:$H$176,2,0),"")</f>
        <v/>
      </c>
      <c r="C27" s="30">
        <f t="shared" si="3"/>
        <v>0</v>
      </c>
      <c r="D27" s="31" t="str">
        <f>IFERROR(VLOOKUP(H27,'[1]EMPAQUE PLANTA'!$A$2:$H$176,7,0),"")</f>
        <v/>
      </c>
      <c r="E27" s="31" t="str">
        <f>IFERROR(VLOOKUP($H27,'[4]EMP PLANTA'!$A$2:$F$500,6,0),"")</f>
        <v/>
      </c>
      <c r="F27" s="31" t="str">
        <f t="shared" si="4"/>
        <v/>
      </c>
      <c r="G27" s="32" t="str">
        <f t="shared" si="5"/>
        <v/>
      </c>
      <c r="H27" s="36"/>
      <c r="I27" s="36"/>
      <c r="J27" s="34"/>
      <c r="K27" s="274"/>
      <c r="L27" s="274"/>
    </row>
    <row r="28" spans="1:12" ht="13.5" hidden="1" x14ac:dyDescent="0.25">
      <c r="A28" s="29"/>
      <c r="B28" s="35" t="str">
        <f>IFERROR(VLOOKUP(H28,'[1]EMPAQUE PLANTA'!$A$2:$H$176,2,0),"")</f>
        <v/>
      </c>
      <c r="C28" s="30">
        <f t="shared" si="3"/>
        <v>0</v>
      </c>
      <c r="D28" s="31" t="str">
        <f>IFERROR(VLOOKUP(H28,'[1]EMPAQUE PLANTA'!$A$2:$H$176,7,0),"")</f>
        <v/>
      </c>
      <c r="E28" s="31" t="str">
        <f>IFERROR(VLOOKUP($H28,'[4]EMP PLANTA'!$A$2:$F$500,6,0),"")</f>
        <v/>
      </c>
      <c r="F28" s="31" t="str">
        <f t="shared" si="4"/>
        <v/>
      </c>
      <c r="G28" s="32" t="str">
        <f t="shared" si="5"/>
        <v/>
      </c>
      <c r="H28" s="36"/>
      <c r="I28" s="36"/>
      <c r="J28" s="34"/>
      <c r="K28" s="37"/>
      <c r="L28" s="38"/>
    </row>
    <row r="29" spans="1:12" ht="13.5" hidden="1" x14ac:dyDescent="0.25">
      <c r="A29" s="29"/>
      <c r="B29" s="35" t="str">
        <f>IFERROR(VLOOKUP(H29,'[1]EMPAQUE PLANTA'!$A$2:$H$176,2,0),"")</f>
        <v/>
      </c>
      <c r="C29" s="30">
        <f t="shared" si="3"/>
        <v>0</v>
      </c>
      <c r="D29" s="31" t="str">
        <f>IFERROR(VLOOKUP(H29,'[1]EMPAQUE PLANTA'!$A$2:$H$176,7,0),"")</f>
        <v/>
      </c>
      <c r="E29" s="31" t="str">
        <f>IFERROR(VLOOKUP($H29,'[4]EMP PLANTA'!$A$2:$F$500,6,0),"")</f>
        <v/>
      </c>
      <c r="F29" s="31" t="str">
        <f t="shared" si="4"/>
        <v/>
      </c>
      <c r="G29" s="32" t="str">
        <f t="shared" si="5"/>
        <v/>
      </c>
      <c r="H29" s="36"/>
      <c r="I29" s="36"/>
      <c r="J29" s="34"/>
    </row>
    <row r="30" spans="1:12" ht="14.25" thickBot="1" x14ac:dyDescent="0.3">
      <c r="A30" s="29"/>
      <c r="B30" s="35" t="str">
        <f>IFERROR(VLOOKUP(H30,'[1]EMPAQUE PLANTA'!$A$2:$H$176,2,0),"")</f>
        <v/>
      </c>
      <c r="C30" s="30"/>
      <c r="D30" s="31"/>
      <c r="E30" s="31"/>
      <c r="F30" s="31"/>
      <c r="G30" s="32"/>
      <c r="H30" s="36"/>
      <c r="I30" s="36"/>
      <c r="J30" s="34"/>
    </row>
    <row r="31" spans="1:12" ht="26.25" thickBot="1" x14ac:dyDescent="0.25">
      <c r="A31" s="24" t="s">
        <v>44</v>
      </c>
      <c r="B31" s="25" t="s">
        <v>53</v>
      </c>
      <c r="C31" s="25" t="s">
        <v>44</v>
      </c>
      <c r="D31" s="26" t="s">
        <v>46</v>
      </c>
      <c r="E31" s="26" t="s">
        <v>47</v>
      </c>
      <c r="F31" s="26" t="s">
        <v>48</v>
      </c>
      <c r="G31" s="26" t="s">
        <v>49</v>
      </c>
      <c r="H31" s="27" t="s">
        <v>50</v>
      </c>
      <c r="I31" s="28"/>
      <c r="J31" s="34"/>
    </row>
    <row r="32" spans="1:12" ht="13.5" x14ac:dyDescent="0.25">
      <c r="A32" s="29">
        <f>+A17</f>
        <v>5000</v>
      </c>
      <c r="B32" s="35" t="s">
        <v>135</v>
      </c>
      <c r="C32" s="30">
        <f>+A32</f>
        <v>5000</v>
      </c>
      <c r="D32" s="31" t="s">
        <v>54</v>
      </c>
      <c r="E32" s="31">
        <f>+'Costo Relleno 6-04-2020'!E69</f>
        <v>5.3619045956968137E-3</v>
      </c>
      <c r="F32" s="31">
        <f>IFERROR(E32*C32,"")</f>
        <v>26.809522978484068</v>
      </c>
      <c r="G32" s="32">
        <f>IFERROR(F32/$F$58,"")</f>
        <v>0.48744587233607395</v>
      </c>
      <c r="H32" s="36"/>
      <c r="I32" s="36"/>
      <c r="J32" s="34"/>
    </row>
    <row r="33" spans="1:17" ht="13.5" hidden="1" x14ac:dyDescent="0.25">
      <c r="A33" s="29">
        <f>+A18</f>
        <v>0</v>
      </c>
      <c r="B33" s="35"/>
      <c r="C33" s="30">
        <f>+A33</f>
        <v>0</v>
      </c>
      <c r="D33" s="31" t="s">
        <v>54</v>
      </c>
      <c r="E33" s="31" t="str">
        <f>IFERROR(VLOOKUP($H33,[4]SEMIELABORADOS!$A$1:$J$998,8,0),"")</f>
        <v/>
      </c>
      <c r="F33" s="31" t="str">
        <f>IFERROR(E33*C33,"")</f>
        <v/>
      </c>
      <c r="G33" s="32" t="str">
        <f>IFERROR(F33/$F$58,"")</f>
        <v/>
      </c>
      <c r="H33" s="36"/>
      <c r="I33" s="36"/>
      <c r="J33" s="34"/>
    </row>
    <row r="34" spans="1:17" ht="13.5" hidden="1" x14ac:dyDescent="0.25">
      <c r="A34" s="29">
        <f>+A19</f>
        <v>0</v>
      </c>
      <c r="B34" s="35"/>
      <c r="C34" s="30">
        <f>+A34</f>
        <v>0</v>
      </c>
      <c r="D34" s="31" t="s">
        <v>54</v>
      </c>
      <c r="E34" s="31" t="str">
        <f>IFERROR(VLOOKUP($H34,[4]SEMIELABORADOS!$A$1:$J$998,8,0),"")</f>
        <v/>
      </c>
      <c r="F34" s="31" t="str">
        <f>IFERROR(E34*C34,"")</f>
        <v/>
      </c>
      <c r="G34" s="32" t="str">
        <f>IFERROR(F34/$F$58,"")</f>
        <v/>
      </c>
      <c r="H34" s="36"/>
      <c r="I34" s="36"/>
      <c r="J34" s="34"/>
    </row>
    <row r="35" spans="1:17" ht="13.5" hidden="1" x14ac:dyDescent="0.25">
      <c r="A35" s="29">
        <f>+A20</f>
        <v>0</v>
      </c>
      <c r="B35" s="35"/>
      <c r="C35" s="30">
        <f>+A35</f>
        <v>0</v>
      </c>
      <c r="D35" s="31" t="s">
        <v>54</v>
      </c>
      <c r="E35" s="31" t="str">
        <f>IFERROR(VLOOKUP($H35,[4]SEMIELABORADOS!$A$1:$J$998,8,0),"")</f>
        <v/>
      </c>
      <c r="F35" s="31" t="str">
        <f>IFERROR(E35*C35,"")</f>
        <v/>
      </c>
      <c r="G35" s="32" t="str">
        <f>IFERROR(F35/$F$58,"")</f>
        <v/>
      </c>
      <c r="H35" s="36"/>
      <c r="I35" s="36"/>
      <c r="J35" s="34"/>
    </row>
    <row r="36" spans="1:17" ht="13.5" hidden="1" x14ac:dyDescent="0.25">
      <c r="A36" s="29">
        <f>+A21</f>
        <v>0</v>
      </c>
      <c r="B36" s="35"/>
      <c r="C36" s="30">
        <f>+A36</f>
        <v>0</v>
      </c>
      <c r="D36" s="31" t="s">
        <v>54</v>
      </c>
      <c r="E36" s="31" t="str">
        <f>IFERROR(VLOOKUP($H36,[4]SEMIELABORADOS!$A$1:$J$998,8,0),"")</f>
        <v/>
      </c>
      <c r="F36" s="31" t="str">
        <f>IFERROR(E36*C36,"")</f>
        <v/>
      </c>
      <c r="G36" s="32" t="str">
        <f>IFERROR(F36/$F$58,"")</f>
        <v/>
      </c>
      <c r="H36" s="36"/>
      <c r="I36" s="36"/>
      <c r="J36" s="34"/>
    </row>
    <row r="37" spans="1:17" ht="14.25" thickBot="1" x14ac:dyDescent="0.3">
      <c r="A37" s="29"/>
      <c r="B37" s="35"/>
      <c r="C37" s="30"/>
      <c r="D37" s="31"/>
      <c r="E37" s="31"/>
      <c r="F37" s="31"/>
      <c r="G37" s="32"/>
      <c r="H37" s="36"/>
      <c r="I37" s="36"/>
      <c r="J37" s="34"/>
    </row>
    <row r="38" spans="1:17" ht="26.25" thickBot="1" x14ac:dyDescent="0.25">
      <c r="A38" s="24" t="s">
        <v>44</v>
      </c>
      <c r="B38" s="25" t="s">
        <v>55</v>
      </c>
      <c r="C38" s="25" t="s">
        <v>44</v>
      </c>
      <c r="D38" s="25"/>
      <c r="E38" s="26" t="s">
        <v>47</v>
      </c>
      <c r="F38" s="26" t="s">
        <v>48</v>
      </c>
      <c r="G38" s="26" t="s">
        <v>49</v>
      </c>
      <c r="H38" s="27" t="s">
        <v>50</v>
      </c>
      <c r="I38" s="28"/>
      <c r="J38" s="34"/>
    </row>
    <row r="39" spans="1:17" ht="13.5" x14ac:dyDescent="0.25">
      <c r="A39" s="29">
        <f>+A17</f>
        <v>5000</v>
      </c>
      <c r="B39" s="39" t="s">
        <v>135</v>
      </c>
      <c r="C39" s="30">
        <f t="shared" ref="C39:C44" si="6">+A39</f>
        <v>5000</v>
      </c>
      <c r="D39" s="30" t="s">
        <v>54</v>
      </c>
      <c r="E39" s="31">
        <f>+'Costo Relleno 6-04-2020'!E67</f>
        <v>7.0294994675186379E-2</v>
      </c>
      <c r="F39" s="31">
        <f t="shared" ref="F39:F44" si="7">IFERROR(C39*E39,"")</f>
        <v>351.47497337593188</v>
      </c>
      <c r="G39" s="32">
        <f t="shared" ref="G39:G44" si="8">IFERROR(F39/$F$59,"")</f>
        <v>4.4673877204977779E-2</v>
      </c>
      <c r="H39" s="40"/>
      <c r="I39" s="40"/>
      <c r="J39" s="34"/>
    </row>
    <row r="40" spans="1:17" ht="13.5" hidden="1" x14ac:dyDescent="0.25">
      <c r="A40" s="29">
        <f>+A18</f>
        <v>0</v>
      </c>
      <c r="B40" s="39"/>
      <c r="C40" s="30">
        <f t="shared" si="6"/>
        <v>0</v>
      </c>
      <c r="D40" s="30" t="s">
        <v>54</v>
      </c>
      <c r="E40" s="31" t="str">
        <f>IFERROR(VLOOKUP($H40,[4]SEMIELABORADOS!$A$1:$J$998,10,0),"")</f>
        <v/>
      </c>
      <c r="F40" s="31" t="str">
        <f t="shared" si="7"/>
        <v/>
      </c>
      <c r="G40" s="32" t="str">
        <f t="shared" si="8"/>
        <v/>
      </c>
      <c r="H40" s="40"/>
      <c r="I40" s="40"/>
      <c r="J40" s="34"/>
    </row>
    <row r="41" spans="1:17" ht="13.5" hidden="1" x14ac:dyDescent="0.25">
      <c r="A41" s="29">
        <f>+A19</f>
        <v>0</v>
      </c>
      <c r="B41" s="39"/>
      <c r="C41" s="30">
        <f t="shared" si="6"/>
        <v>0</v>
      </c>
      <c r="D41" s="30" t="s">
        <v>54</v>
      </c>
      <c r="E41" s="31" t="str">
        <f>IFERROR(VLOOKUP($H41,[4]SEMIELABORADOS!$A$1:$J$998,10,0),"")</f>
        <v/>
      </c>
      <c r="F41" s="31" t="str">
        <f t="shared" si="7"/>
        <v/>
      </c>
      <c r="G41" s="32" t="str">
        <f t="shared" si="8"/>
        <v/>
      </c>
      <c r="H41" s="40"/>
      <c r="I41" s="40"/>
      <c r="J41" s="34"/>
    </row>
    <row r="42" spans="1:17" ht="13.5" hidden="1" x14ac:dyDescent="0.25">
      <c r="A42" s="29">
        <f>+A20</f>
        <v>0</v>
      </c>
      <c r="B42" s="39"/>
      <c r="C42" s="30">
        <f t="shared" si="6"/>
        <v>0</v>
      </c>
      <c r="D42" s="30" t="s">
        <v>54</v>
      </c>
      <c r="E42" s="31" t="str">
        <f>IFERROR(VLOOKUP($H42,[4]SEMIELABORADOS!$A$1:$J$998,10,0),"")</f>
        <v/>
      </c>
      <c r="F42" s="31" t="str">
        <f t="shared" si="7"/>
        <v/>
      </c>
      <c r="G42" s="32" t="str">
        <f t="shared" si="8"/>
        <v/>
      </c>
      <c r="H42" s="40"/>
      <c r="I42" s="40"/>
      <c r="J42" s="34"/>
    </row>
    <row r="43" spans="1:17" ht="13.5" hidden="1" x14ac:dyDescent="0.25">
      <c r="A43" s="29">
        <f>+A21</f>
        <v>0</v>
      </c>
      <c r="B43" s="39"/>
      <c r="C43" s="30">
        <f t="shared" si="6"/>
        <v>0</v>
      </c>
      <c r="D43" s="30" t="s">
        <v>54</v>
      </c>
      <c r="E43" s="31" t="str">
        <f>IFERROR(VLOOKUP($H43,[4]SEMIELABORADOS!$A$1:$J$998,10,0),"")</f>
        <v/>
      </c>
      <c r="F43" s="31" t="str">
        <f t="shared" si="7"/>
        <v/>
      </c>
      <c r="G43" s="32" t="str">
        <f t="shared" si="8"/>
        <v/>
      </c>
      <c r="H43" s="40"/>
      <c r="I43" s="40"/>
      <c r="J43" s="34"/>
    </row>
    <row r="44" spans="1:17" ht="13.5" x14ac:dyDescent="0.25">
      <c r="A44" s="29">
        <v>1</v>
      </c>
      <c r="B44" s="35" t="s">
        <v>56</v>
      </c>
      <c r="C44" s="30">
        <f t="shared" si="6"/>
        <v>1</v>
      </c>
      <c r="D44" s="30" t="s">
        <v>54</v>
      </c>
      <c r="E44" s="31">
        <f>+F58</f>
        <v>55</v>
      </c>
      <c r="F44" s="31">
        <f t="shared" si="7"/>
        <v>55</v>
      </c>
      <c r="G44" s="32">
        <f t="shared" si="8"/>
        <v>6.9907203425426919E-3</v>
      </c>
      <c r="H44" s="40"/>
      <c r="I44" s="40"/>
      <c r="J44" s="34"/>
    </row>
    <row r="45" spans="1:17" ht="14.25" thickBot="1" x14ac:dyDescent="0.3">
      <c r="A45" s="29"/>
      <c r="B45" s="35"/>
      <c r="C45" s="30"/>
      <c r="D45" s="30"/>
      <c r="E45" s="31"/>
      <c r="F45" s="31"/>
      <c r="G45" s="32"/>
      <c r="H45" s="40"/>
      <c r="I45" s="40"/>
      <c r="J45" s="34"/>
    </row>
    <row r="46" spans="1:17" ht="13.5" thickBot="1" x14ac:dyDescent="0.25">
      <c r="A46" s="41"/>
      <c r="B46" s="280" t="s">
        <v>57</v>
      </c>
      <c r="C46" s="280"/>
      <c r="D46" s="280"/>
      <c r="E46" s="280"/>
      <c r="F46" s="42">
        <f>SUM(F8:F14,F17:F21)</f>
        <v>7599.5931267231172</v>
      </c>
      <c r="G46" s="32">
        <f>+F46/$F$59</f>
        <v>0.96593873210965298</v>
      </c>
      <c r="H46" s="43">
        <f>+F46/$D$53</f>
        <v>7599.5931267231172</v>
      </c>
      <c r="I46" s="43"/>
      <c r="J46" s="44"/>
      <c r="K46" s="45"/>
      <c r="L46" s="45"/>
      <c r="M46" s="45"/>
      <c r="N46" s="45"/>
      <c r="O46" s="45"/>
      <c r="P46" s="45"/>
      <c r="Q46" s="46"/>
    </row>
    <row r="47" spans="1:17" x14ac:dyDescent="0.2">
      <c r="A47" s="41"/>
      <c r="B47" s="280" t="s">
        <v>58</v>
      </c>
      <c r="C47" s="280"/>
      <c r="D47" s="280"/>
      <c r="E47" s="280"/>
      <c r="F47" s="42">
        <f>SUM(F24:F29,F32:F36)</f>
        <v>60.987636311817404</v>
      </c>
      <c r="G47" s="32">
        <f>+F47/$F$59</f>
        <v>7.7517729056112228E-3</v>
      </c>
      <c r="H47" s="43">
        <f>+F47/$D$53</f>
        <v>60.987636311817404</v>
      </c>
      <c r="I47" s="43"/>
      <c r="J47" s="47"/>
      <c r="K47" s="281" t="s">
        <v>59</v>
      </c>
      <c r="L47" s="282"/>
      <c r="M47" s="282"/>
      <c r="N47" s="282"/>
      <c r="O47" s="48">
        <f>+F48</f>
        <v>7660.5807630349345</v>
      </c>
      <c r="P47" s="48"/>
      <c r="Q47" s="49"/>
    </row>
    <row r="48" spans="1:17" x14ac:dyDescent="0.2">
      <c r="A48" s="41"/>
      <c r="B48" s="280" t="s">
        <v>60</v>
      </c>
      <c r="C48" s="280"/>
      <c r="D48" s="280"/>
      <c r="E48" s="280"/>
      <c r="F48" s="42">
        <f>+F46+F47</f>
        <v>7660.5807630349345</v>
      </c>
      <c r="G48" s="32">
        <f>+F48/$F$59</f>
        <v>0.97369050501526422</v>
      </c>
      <c r="H48" s="43">
        <f>+F48/$D$53</f>
        <v>7660.5807630349345</v>
      </c>
      <c r="I48" s="43"/>
      <c r="J48" s="50"/>
      <c r="K48" s="51"/>
      <c r="L48" s="283" t="s">
        <v>61</v>
      </c>
      <c r="M48" s="283"/>
      <c r="N48" s="283"/>
      <c r="O48" s="48">
        <f>+F49</f>
        <v>406.47497337593188</v>
      </c>
      <c r="P48" s="48"/>
      <c r="Q48" s="49"/>
    </row>
    <row r="49" spans="1:17" ht="13.5" thickBot="1" x14ac:dyDescent="0.25">
      <c r="A49" s="41"/>
      <c r="B49" s="52"/>
      <c r="C49" s="280" t="s">
        <v>62</v>
      </c>
      <c r="D49" s="280"/>
      <c r="E49" s="280"/>
      <c r="F49" s="42">
        <f>SUM(F39:F44)</f>
        <v>406.47497337593188</v>
      </c>
      <c r="G49" s="32">
        <f>+F49/$F$59</f>
        <v>5.1664597547520473E-2</v>
      </c>
      <c r="H49" s="43">
        <f>+F49/$D$53</f>
        <v>406.47497337593188</v>
      </c>
      <c r="I49" s="43"/>
      <c r="J49" s="50"/>
      <c r="K49" s="51"/>
      <c r="L49" s="51"/>
      <c r="M49" s="51" t="s">
        <v>136</v>
      </c>
      <c r="N49" s="116">
        <v>0.01</v>
      </c>
      <c r="O49" s="48">
        <f>O47*N49</f>
        <v>76.605807630349346</v>
      </c>
      <c r="P49" s="48"/>
      <c r="Q49" s="49"/>
    </row>
    <row r="50" spans="1:17" ht="13.5" thickBot="1" x14ac:dyDescent="0.25">
      <c r="A50" s="41"/>
      <c r="B50" s="54"/>
      <c r="C50" s="54"/>
      <c r="D50" s="54"/>
      <c r="E50" s="54"/>
      <c r="F50" s="55"/>
      <c r="G50" s="32"/>
      <c r="H50" s="56"/>
      <c r="I50" s="43"/>
      <c r="J50" s="50"/>
      <c r="K50" s="60"/>
      <c r="M50" s="61" t="s">
        <v>66</v>
      </c>
      <c r="N50" s="62"/>
      <c r="O50" s="63">
        <f>SUM(O47:O49)</f>
        <v>8143.6615440412161</v>
      </c>
      <c r="P50" s="64"/>
      <c r="Q50" s="49"/>
    </row>
    <row r="51" spans="1:17" x14ac:dyDescent="0.2">
      <c r="B51" s="285" t="s">
        <v>65</v>
      </c>
      <c r="C51" s="285"/>
      <c r="D51" s="58">
        <v>5000</v>
      </c>
      <c r="E51" s="59"/>
      <c r="G51" s="32"/>
      <c r="H51" s="56"/>
      <c r="I51" s="57"/>
      <c r="J51" s="50"/>
      <c r="K51" s="60"/>
      <c r="L51" s="51"/>
      <c r="M51" s="51" t="s">
        <v>137</v>
      </c>
      <c r="N51" s="66">
        <v>0.25</v>
      </c>
      <c r="O51" s="48">
        <f>+O50*N51</f>
        <v>2035.915386010304</v>
      </c>
      <c r="P51" s="48"/>
      <c r="Q51" s="49"/>
    </row>
    <row r="52" spans="1:17" x14ac:dyDescent="0.2">
      <c r="B52" s="285" t="s">
        <v>67</v>
      </c>
      <c r="C52" s="285"/>
      <c r="D52" s="65">
        <v>5000</v>
      </c>
      <c r="E52" s="59"/>
      <c r="G52" s="32"/>
      <c r="H52" s="56"/>
      <c r="I52" s="57"/>
      <c r="J52" s="50"/>
      <c r="K52" s="60"/>
      <c r="L52" s="51"/>
      <c r="M52" s="283" t="s">
        <v>66</v>
      </c>
      <c r="N52" s="283"/>
      <c r="O52" s="48">
        <f>SUM(O50:O51)</f>
        <v>10179.57693005152</v>
      </c>
      <c r="P52" s="48"/>
      <c r="Q52" s="49"/>
    </row>
    <row r="53" spans="1:17" ht="13.5" thickBot="1" x14ac:dyDescent="0.25">
      <c r="B53" s="286" t="s">
        <v>69</v>
      </c>
      <c r="C53" s="286"/>
      <c r="D53" s="58">
        <f>+D51/D52</f>
        <v>1</v>
      </c>
      <c r="E53" s="59"/>
      <c r="F53" s="67"/>
      <c r="G53" s="32"/>
      <c r="H53" s="56"/>
      <c r="I53" s="57"/>
      <c r="J53" s="50"/>
      <c r="K53" s="60"/>
      <c r="L53" s="283" t="s">
        <v>76</v>
      </c>
      <c r="M53" s="283"/>
      <c r="N53" s="66">
        <v>0.05</v>
      </c>
      <c r="O53" s="48">
        <f>+O52*N53</f>
        <v>508.97884650257606</v>
      </c>
      <c r="P53" s="48"/>
      <c r="Q53" s="49"/>
    </row>
    <row r="54" spans="1:17" ht="13.5" thickBot="1" x14ac:dyDescent="0.25">
      <c r="B54" s="286" t="s">
        <v>138</v>
      </c>
      <c r="C54" s="286"/>
      <c r="D54" s="68"/>
      <c r="E54" s="59"/>
      <c r="F54" s="67"/>
      <c r="G54" s="32"/>
      <c r="H54" s="56"/>
      <c r="I54" s="57"/>
      <c r="J54" s="50"/>
      <c r="K54" s="287" t="s">
        <v>77</v>
      </c>
      <c r="L54" s="288"/>
      <c r="M54" s="288"/>
      <c r="N54" s="289"/>
      <c r="O54" s="63">
        <f>SUM(O52:O53)</f>
        <v>10688.555776554096</v>
      </c>
      <c r="P54" s="73" t="s">
        <v>78</v>
      </c>
      <c r="Q54" s="49"/>
    </row>
    <row r="55" spans="1:17" ht="13.5" thickBot="1" x14ac:dyDescent="0.25">
      <c r="C55" s="41" t="s">
        <v>73</v>
      </c>
      <c r="D55" s="69"/>
      <c r="E55" s="15" t="s">
        <v>74</v>
      </c>
      <c r="F55" s="70" t="s">
        <v>75</v>
      </c>
      <c r="G55" s="32"/>
      <c r="H55" s="56"/>
      <c r="I55" s="57"/>
      <c r="J55" s="75"/>
      <c r="K55" s="76"/>
      <c r="L55" s="290" t="s">
        <v>80</v>
      </c>
      <c r="M55" s="290"/>
      <c r="N55" s="290"/>
      <c r="O55" s="77">
        <f>+O54/D53</f>
        <v>10688.555776554096</v>
      </c>
      <c r="P55" s="78">
        <f>+O55/D52</f>
        <v>2.1377111553108192</v>
      </c>
      <c r="Q55" s="79"/>
    </row>
    <row r="56" spans="1:17" ht="13.5" thickBot="1" x14ac:dyDescent="0.25">
      <c r="B56" s="291" t="s">
        <v>60</v>
      </c>
      <c r="C56" s="291"/>
      <c r="D56" s="291"/>
      <c r="E56" s="71">
        <f>+F56/F56</f>
        <v>1</v>
      </c>
      <c r="F56" s="72">
        <f>SUM(F48)</f>
        <v>7660.5807630349345</v>
      </c>
      <c r="G56" s="32">
        <f>+F56/$F$59</f>
        <v>0.97369050501526422</v>
      </c>
      <c r="H56" s="56"/>
      <c r="I56" s="57"/>
      <c r="K56" s="292"/>
      <c r="L56" s="293"/>
      <c r="M56" s="293"/>
      <c r="N56" s="293"/>
      <c r="O56" s="81"/>
      <c r="P56" s="82"/>
    </row>
    <row r="57" spans="1:17" ht="13.5" thickBot="1" x14ac:dyDescent="0.25">
      <c r="B57" s="284" t="s">
        <v>79</v>
      </c>
      <c r="C57" s="284"/>
      <c r="D57" s="284"/>
      <c r="E57" s="74">
        <v>0.02</v>
      </c>
      <c r="F57" s="72">
        <f>+F46*E57</f>
        <v>151.99186253446234</v>
      </c>
      <c r="G57" s="32">
        <f>+F57/$F$59</f>
        <v>1.931877464219306E-2</v>
      </c>
      <c r="H57" s="43"/>
      <c r="I57" s="57"/>
      <c r="J57" s="84"/>
      <c r="O57" s="85"/>
      <c r="P57" s="52"/>
    </row>
    <row r="58" spans="1:17" ht="13.5" thickBot="1" x14ac:dyDescent="0.25">
      <c r="B58" s="295" t="s">
        <v>81</v>
      </c>
      <c r="C58" s="296"/>
      <c r="D58" s="107">
        <v>1</v>
      </c>
      <c r="E58" s="80">
        <v>55</v>
      </c>
      <c r="F58" s="72">
        <f>+E58*D58</f>
        <v>55</v>
      </c>
      <c r="G58" s="32">
        <f>+F58/$F$59</f>
        <v>6.9907203425426919E-3</v>
      </c>
      <c r="H58" s="43"/>
      <c r="I58" s="43"/>
      <c r="J58" s="34"/>
    </row>
    <row r="59" spans="1:17" ht="13.5" thickBot="1" x14ac:dyDescent="0.25">
      <c r="B59" s="297" t="s">
        <v>82</v>
      </c>
      <c r="C59" s="298"/>
      <c r="D59" s="298"/>
      <c r="E59" s="299"/>
      <c r="F59" s="55">
        <f>SUM(F56:F58)</f>
        <v>7867.5726255693971</v>
      </c>
      <c r="G59" s="32">
        <f>+F59/$F$59</f>
        <v>1</v>
      </c>
      <c r="H59" s="300"/>
      <c r="I59" s="43"/>
      <c r="J59" s="34"/>
    </row>
    <row r="60" spans="1:17" x14ac:dyDescent="0.2">
      <c r="C60" s="86"/>
      <c r="D60" s="86"/>
      <c r="E60" s="87"/>
      <c r="F60" s="72"/>
      <c r="G60" s="32"/>
      <c r="H60" s="300"/>
      <c r="I60" s="83"/>
      <c r="J60" s="17"/>
    </row>
    <row r="61" spans="1:17" ht="13.5" thickBot="1" x14ac:dyDescent="0.25">
      <c r="B61" s="301" t="s">
        <v>83</v>
      </c>
      <c r="C61" s="301"/>
      <c r="D61" s="301"/>
      <c r="E61" s="301"/>
      <c r="F61" s="301"/>
      <c r="G61" s="32"/>
      <c r="H61" s="88"/>
      <c r="I61" s="83"/>
      <c r="J61" s="17"/>
    </row>
    <row r="62" spans="1:17" ht="13.5" thickBot="1" x14ac:dyDescent="0.25">
      <c r="B62" s="89" t="s">
        <v>84</v>
      </c>
      <c r="C62" s="90">
        <f>+F46</f>
        <v>7599.5931267231172</v>
      </c>
      <c r="D62" s="90">
        <f>+D51</f>
        <v>5000</v>
      </c>
      <c r="E62" s="91">
        <f>+C62/D62</f>
        <v>1.5199186253446235</v>
      </c>
      <c r="F62" s="32"/>
      <c r="G62" s="88"/>
      <c r="H62" s="34"/>
      <c r="I62" s="88"/>
      <c r="J62" s="17"/>
    </row>
    <row r="63" spans="1:17" x14ac:dyDescent="0.2">
      <c r="B63" s="92"/>
      <c r="C63" s="93"/>
      <c r="D63" s="94"/>
      <c r="E63" s="72"/>
      <c r="F63" s="32"/>
      <c r="G63" s="88"/>
      <c r="H63" s="34"/>
      <c r="I63" s="34"/>
      <c r="J63" s="17"/>
    </row>
    <row r="64" spans="1:17" x14ac:dyDescent="0.2">
      <c r="B64" s="89" t="s">
        <v>85</v>
      </c>
      <c r="C64" s="90">
        <f>SUM(F56:F57)</f>
        <v>7812.5726255693971</v>
      </c>
      <c r="D64" s="90">
        <f>+D51</f>
        <v>5000</v>
      </c>
      <c r="E64" s="95">
        <f>+C64/D64</f>
        <v>1.5625145251138794</v>
      </c>
      <c r="F64" s="32"/>
      <c r="G64" s="88"/>
      <c r="H64" s="34"/>
      <c r="I64" s="34"/>
      <c r="J64" s="17"/>
    </row>
    <row r="65" spans="2:10" x14ac:dyDescent="0.2">
      <c r="B65" s="89"/>
      <c r="C65" s="90"/>
      <c r="D65" s="90"/>
      <c r="E65" s="95"/>
      <c r="F65" s="32"/>
      <c r="G65" s="88"/>
      <c r="H65" s="34"/>
      <c r="I65" s="34"/>
      <c r="J65" s="17"/>
    </row>
    <row r="66" spans="2:10" ht="13.5" thickBot="1" x14ac:dyDescent="0.25">
      <c r="B66" s="89" t="s">
        <v>86</v>
      </c>
      <c r="C66" s="90">
        <f>+F58</f>
        <v>55</v>
      </c>
      <c r="D66" s="90">
        <f>+D51</f>
        <v>5000</v>
      </c>
      <c r="E66" s="95">
        <f>+C66/D66</f>
        <v>1.0999999999999999E-2</v>
      </c>
      <c r="F66" s="32"/>
      <c r="G66" s="88"/>
      <c r="H66" s="34"/>
      <c r="I66" s="34"/>
      <c r="J66" s="17"/>
    </row>
    <row r="67" spans="2:10" ht="13.5" thickBot="1" x14ac:dyDescent="0.25">
      <c r="B67" s="89" t="s">
        <v>87</v>
      </c>
      <c r="C67" s="90">
        <f>+F49</f>
        <v>406.47497337593188</v>
      </c>
      <c r="D67" s="90">
        <f>+D66</f>
        <v>5000</v>
      </c>
      <c r="E67" s="91">
        <f>+C67/D67</f>
        <v>8.1294994675186374E-2</v>
      </c>
      <c r="F67" s="32"/>
      <c r="G67" s="88"/>
      <c r="H67" s="34"/>
      <c r="I67" s="34"/>
      <c r="J67" s="17"/>
    </row>
    <row r="68" spans="2:10" ht="13.5" thickBot="1" x14ac:dyDescent="0.25">
      <c r="B68" s="54"/>
      <c r="C68" s="55"/>
      <c r="D68" s="55"/>
      <c r="E68" s="95"/>
      <c r="F68" s="32"/>
      <c r="G68" s="88"/>
      <c r="H68" s="34"/>
      <c r="I68" s="34"/>
      <c r="J68" s="17"/>
    </row>
    <row r="69" spans="2:10" ht="13.5" thickBot="1" x14ac:dyDescent="0.25">
      <c r="B69" s="89" t="s">
        <v>88</v>
      </c>
      <c r="C69" s="90">
        <f>+F47</f>
        <v>60.987636311817404</v>
      </c>
      <c r="D69" s="90">
        <f>+D67</f>
        <v>5000</v>
      </c>
      <c r="E69" s="91">
        <f>+C69/D69</f>
        <v>1.2197527262363481E-2</v>
      </c>
      <c r="F69" s="32"/>
      <c r="G69" s="88"/>
      <c r="H69" s="34"/>
      <c r="I69" s="34"/>
      <c r="J69" s="34"/>
    </row>
    <row r="70" spans="2:10" ht="13.5" thickBot="1" x14ac:dyDescent="0.25">
      <c r="B70" s="54"/>
      <c r="C70" s="55"/>
      <c r="D70" s="55"/>
      <c r="E70" s="95"/>
      <c r="F70" s="32"/>
      <c r="G70" s="88"/>
      <c r="H70" s="34"/>
      <c r="I70" s="34"/>
    </row>
    <row r="71" spans="2:10" ht="13.5" thickBot="1" x14ac:dyDescent="0.25">
      <c r="B71" s="302" t="s">
        <v>89</v>
      </c>
      <c r="C71" s="303"/>
      <c r="D71" s="304"/>
      <c r="E71" s="91">
        <f>+E62+E67</f>
        <v>1.6012136200198099</v>
      </c>
      <c r="G71" s="32"/>
      <c r="H71" s="88"/>
      <c r="I71" s="34"/>
      <c r="J71" s="95"/>
    </row>
    <row r="72" spans="2:10" x14ac:dyDescent="0.2">
      <c r="I72" s="88"/>
      <c r="J72" s="17"/>
    </row>
    <row r="73" spans="2:10" ht="13.5" thickBot="1" x14ac:dyDescent="0.25">
      <c r="B73" s="301" t="s">
        <v>90</v>
      </c>
      <c r="C73" s="301"/>
      <c r="D73" s="301"/>
      <c r="E73" s="301"/>
      <c r="F73" s="301"/>
      <c r="G73" s="32"/>
      <c r="H73" s="88"/>
      <c r="J73" s="17"/>
    </row>
    <row r="74" spans="2:10" ht="13.5" thickBot="1" x14ac:dyDescent="0.25">
      <c r="B74" s="89" t="s">
        <v>84</v>
      </c>
      <c r="C74" s="90">
        <f>+C62</f>
        <v>7599.5931267231172</v>
      </c>
      <c r="D74" s="90">
        <f>+D53</f>
        <v>1</v>
      </c>
      <c r="E74" s="91">
        <f>+C74/D74</f>
        <v>7599.5931267231172</v>
      </c>
      <c r="F74" s="32"/>
      <c r="G74" s="88"/>
      <c r="H74" s="34"/>
      <c r="I74" s="88"/>
      <c r="J74" s="17"/>
    </row>
    <row r="75" spans="2:10" x14ac:dyDescent="0.2">
      <c r="B75" s="92"/>
      <c r="C75" s="93"/>
      <c r="D75" s="94"/>
      <c r="E75" s="72"/>
      <c r="F75" s="32"/>
      <c r="G75" s="88"/>
      <c r="H75" s="34"/>
      <c r="I75" s="34"/>
      <c r="J75" s="17"/>
    </row>
    <row r="76" spans="2:10" x14ac:dyDescent="0.2">
      <c r="B76" s="89" t="s">
        <v>85</v>
      </c>
      <c r="C76" s="90">
        <f>+C64</f>
        <v>7812.5726255693971</v>
      </c>
      <c r="D76" s="90">
        <f>+D53</f>
        <v>1</v>
      </c>
      <c r="E76" s="95">
        <f>+C76/D76</f>
        <v>7812.5726255693971</v>
      </c>
      <c r="F76" s="32"/>
      <c r="G76" s="88"/>
      <c r="H76" s="34"/>
      <c r="I76" s="34"/>
      <c r="J76" s="17"/>
    </row>
    <row r="77" spans="2:10" x14ac:dyDescent="0.2">
      <c r="B77" s="89"/>
      <c r="C77" s="90"/>
      <c r="D77" s="90"/>
      <c r="E77" s="95"/>
      <c r="F77" s="32"/>
      <c r="G77" s="88"/>
      <c r="H77" s="34"/>
      <c r="I77" s="34"/>
      <c r="J77" s="17"/>
    </row>
    <row r="78" spans="2:10" ht="13.5" thickBot="1" x14ac:dyDescent="0.25">
      <c r="B78" s="89" t="s">
        <v>87</v>
      </c>
      <c r="C78" s="90">
        <f>+C66</f>
        <v>55</v>
      </c>
      <c r="D78" s="90">
        <f>+D53</f>
        <v>1</v>
      </c>
      <c r="E78" s="95">
        <f>+C78/D78</f>
        <v>55</v>
      </c>
      <c r="F78" s="98"/>
      <c r="G78" s="97"/>
      <c r="H78" s="16"/>
      <c r="I78" s="34"/>
    </row>
    <row r="79" spans="2:10" ht="13.5" thickBot="1" x14ac:dyDescent="0.25">
      <c r="B79" s="89" t="s">
        <v>87</v>
      </c>
      <c r="C79" s="90">
        <f>+C67</f>
        <v>406.47497337593188</v>
      </c>
      <c r="D79" s="90">
        <f>+D78</f>
        <v>1</v>
      </c>
      <c r="E79" s="91">
        <f>+C79/D79</f>
        <v>406.47497337593188</v>
      </c>
      <c r="F79" s="96"/>
      <c r="G79" s="97"/>
      <c r="H79" s="16"/>
      <c r="I79" s="16"/>
    </row>
    <row r="80" spans="2:10" x14ac:dyDescent="0.2">
      <c r="I80" s="16"/>
    </row>
    <row r="81" spans="1:7" x14ac:dyDescent="0.2">
      <c r="A81" s="294"/>
      <c r="B81" s="294"/>
      <c r="C81" s="99"/>
      <c r="D81" s="99"/>
      <c r="E81" s="100"/>
      <c r="G81" s="101"/>
    </row>
    <row r="82" spans="1:7" x14ac:dyDescent="0.2">
      <c r="A82" s="35"/>
      <c r="B82" s="102"/>
      <c r="C82" s="103"/>
      <c r="D82" s="103"/>
      <c r="E82" s="104"/>
      <c r="G82" s="101"/>
    </row>
    <row r="83" spans="1:7" x14ac:dyDescent="0.2">
      <c r="A83" s="35"/>
      <c r="B83" s="102"/>
      <c r="C83" s="105"/>
      <c r="D83" s="105"/>
      <c r="E83" s="35"/>
      <c r="G83" s="101"/>
    </row>
    <row r="84" spans="1:7" x14ac:dyDescent="0.2">
      <c r="A84" s="35"/>
      <c r="B84" s="102"/>
      <c r="C84" s="106"/>
      <c r="D84" s="106"/>
      <c r="E84" s="35"/>
      <c r="G84" s="101"/>
    </row>
  </sheetData>
  <mergeCells count="31">
    <mergeCell ref="A81:B81"/>
    <mergeCell ref="B58:C58"/>
    <mergeCell ref="B59:E59"/>
    <mergeCell ref="H59:H60"/>
    <mergeCell ref="B61:F61"/>
    <mergeCell ref="B71:D71"/>
    <mergeCell ref="B73:F73"/>
    <mergeCell ref="B57:D57"/>
    <mergeCell ref="C49:E49"/>
    <mergeCell ref="B51:C51"/>
    <mergeCell ref="B52:C52"/>
    <mergeCell ref="M52:N52"/>
    <mergeCell ref="B53:C53"/>
    <mergeCell ref="L53:M53"/>
    <mergeCell ref="B54:C54"/>
    <mergeCell ref="K54:N54"/>
    <mergeCell ref="L55:N55"/>
    <mergeCell ref="B56:D56"/>
    <mergeCell ref="K56:N56"/>
    <mergeCell ref="K27:L27"/>
    <mergeCell ref="B46:E46"/>
    <mergeCell ref="B47:E47"/>
    <mergeCell ref="K47:N47"/>
    <mergeCell ref="B48:E48"/>
    <mergeCell ref="L48:N48"/>
    <mergeCell ref="K26:L26"/>
    <mergeCell ref="A4:H4"/>
    <mergeCell ref="A5:H5"/>
    <mergeCell ref="F6:G6"/>
    <mergeCell ref="K24:L24"/>
    <mergeCell ref="K25:L2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80"/>
  <sheetViews>
    <sheetView topLeftCell="A37" workbookViewId="0">
      <selection activeCell="K37" sqref="K32:K37"/>
    </sheetView>
  </sheetViews>
  <sheetFormatPr baseColWidth="10" defaultColWidth="8.42578125" defaultRowHeight="12.75" x14ac:dyDescent="0.2"/>
  <cols>
    <col min="1" max="1" width="10" style="17" bestFit="1" customWidth="1"/>
    <col min="2" max="2" width="44.140625" style="17" bestFit="1" customWidth="1"/>
    <col min="3" max="3" width="10.42578125" style="17" bestFit="1" customWidth="1"/>
    <col min="4" max="4" width="10.42578125" style="17" customWidth="1"/>
    <col min="5" max="5" width="9.85546875" style="17" bestFit="1" customWidth="1"/>
    <col min="6" max="6" width="9.5703125" style="17" bestFit="1" customWidth="1"/>
    <col min="7" max="7" width="9.5703125" style="96" bestFit="1" customWidth="1"/>
    <col min="8" max="8" width="10.42578125" style="97" bestFit="1" customWidth="1"/>
    <col min="9" max="9" width="4.5703125" style="97" customWidth="1"/>
    <col min="10" max="10" width="1.85546875" style="16" customWidth="1"/>
    <col min="11" max="11" width="7" style="17" bestFit="1" customWidth="1"/>
    <col min="12" max="12" width="6.140625" style="17" customWidth="1"/>
    <col min="13" max="13" width="20.42578125" style="17" customWidth="1"/>
    <col min="14" max="14" width="6.42578125" style="17" bestFit="1" customWidth="1"/>
    <col min="15" max="16" width="8.42578125" style="17" customWidth="1"/>
    <col min="17" max="17" width="3.140625" style="17" customWidth="1"/>
    <col min="18" max="16384" width="8.42578125" style="17"/>
  </cols>
  <sheetData>
    <row r="1" spans="1:10" ht="27.75" customHeight="1" x14ac:dyDescent="0.2">
      <c r="A1" s="12"/>
      <c r="B1" s="12"/>
      <c r="C1" s="12"/>
      <c r="D1" s="12"/>
      <c r="E1" s="13" t="s">
        <v>38</v>
      </c>
      <c r="F1" s="14" t="s">
        <v>39</v>
      </c>
      <c r="G1" s="14" t="s">
        <v>40</v>
      </c>
      <c r="H1" s="14" t="s">
        <v>41</v>
      </c>
      <c r="I1" s="15"/>
    </row>
    <row r="2" spans="1:10" ht="30.75" customHeight="1" x14ac:dyDescent="0.2">
      <c r="A2" s="12"/>
      <c r="B2" s="12"/>
      <c r="C2" s="12"/>
      <c r="D2" s="12"/>
      <c r="E2" s="18">
        <f>IFERROR(O53,"")</f>
        <v>8330.6340023305002</v>
      </c>
      <c r="F2" s="18">
        <f>IFERROR(H42,"")</f>
        <v>1342.5618220137478</v>
      </c>
      <c r="G2" s="18">
        <f>IFERROR(H43,"")</f>
        <v>10.009724518512371</v>
      </c>
      <c r="H2" s="18">
        <f>IFERROR(H45,"")</f>
        <v>71.460702875399363</v>
      </c>
      <c r="I2" s="19"/>
    </row>
    <row r="3" spans="1:10" ht="15" customHeight="1" x14ac:dyDescent="0.2">
      <c r="A3" s="12"/>
      <c r="B3" s="12"/>
      <c r="C3" s="12"/>
      <c r="D3" s="12"/>
      <c r="E3" s="12"/>
      <c r="F3" s="20"/>
      <c r="G3" s="20"/>
      <c r="H3" s="20"/>
      <c r="I3" s="20"/>
    </row>
    <row r="4" spans="1:10" ht="24.75" customHeight="1" thickBot="1" x14ac:dyDescent="0.25">
      <c r="A4" s="275" t="s">
        <v>93</v>
      </c>
      <c r="B4" s="275"/>
      <c r="C4" s="275"/>
      <c r="D4" s="275"/>
      <c r="E4" s="275"/>
      <c r="F4" s="275"/>
      <c r="G4" s="275"/>
      <c r="H4" s="275"/>
      <c r="I4" s="21"/>
    </row>
    <row r="5" spans="1:10" ht="19.5" customHeight="1" thickBot="1" x14ac:dyDescent="0.25">
      <c r="A5" s="276" t="s">
        <v>42</v>
      </c>
      <c r="B5" s="277"/>
      <c r="C5" s="277"/>
      <c r="D5" s="277"/>
      <c r="E5" s="277"/>
      <c r="F5" s="277"/>
      <c r="G5" s="277"/>
      <c r="H5" s="278"/>
      <c r="I5" s="22"/>
    </row>
    <row r="6" spans="1:10" ht="19.5" thickBot="1" x14ac:dyDescent="0.25">
      <c r="A6" s="22"/>
      <c r="B6" s="22"/>
      <c r="C6" s="22"/>
      <c r="D6" s="22"/>
      <c r="E6" s="22"/>
      <c r="F6" s="279" t="s">
        <v>43</v>
      </c>
      <c r="G6" s="279"/>
      <c r="H6" s="23">
        <f ca="1">TODAY()</f>
        <v>45701</v>
      </c>
      <c r="I6" s="23"/>
    </row>
    <row r="7" spans="1:10" ht="26.25" hidden="1" thickBot="1" x14ac:dyDescent="0.25">
      <c r="A7" s="24" t="s">
        <v>44</v>
      </c>
      <c r="B7" s="25" t="s">
        <v>45</v>
      </c>
      <c r="C7" s="25" t="s">
        <v>44</v>
      </c>
      <c r="D7" s="26" t="s">
        <v>46</v>
      </c>
      <c r="E7" s="26" t="s">
        <v>47</v>
      </c>
      <c r="F7" s="26" t="s">
        <v>48</v>
      </c>
      <c r="G7" s="26" t="s">
        <v>49</v>
      </c>
      <c r="H7" s="27" t="s">
        <v>50</v>
      </c>
      <c r="I7" s="28"/>
    </row>
    <row r="8" spans="1:10" ht="13.5" hidden="1" x14ac:dyDescent="0.25">
      <c r="A8" s="29"/>
      <c r="B8" s="17" t="str">
        <f>IFERROR(VLOOKUP($H8,'[4]MP PLANTA'!$A$2:$F$500,2,0),"")</f>
        <v/>
      </c>
      <c r="C8" s="30">
        <f>+A8</f>
        <v>0</v>
      </c>
      <c r="D8" s="31" t="str">
        <f>IFERROR(VLOOKUP($H8,'[4]MP PLANTA'!$A$2:$F$500,5,0),"")</f>
        <v/>
      </c>
      <c r="E8" s="31" t="str">
        <f>IFERROR(VLOOKUP($H8,'[4]MP PLANTA'!$A$2:$F$500,6,0),"")</f>
        <v/>
      </c>
      <c r="F8" s="31" t="str">
        <f>IFERROR(C8*E8,"")</f>
        <v/>
      </c>
      <c r="G8" s="32" t="str">
        <f t="shared" ref="G8:G14" si="0">IFERROR(F8/$F$55,"")</f>
        <v/>
      </c>
      <c r="H8" s="33"/>
      <c r="I8" s="33"/>
      <c r="J8" s="34"/>
    </row>
    <row r="9" spans="1:10" ht="13.5" hidden="1" x14ac:dyDescent="0.25">
      <c r="A9" s="29"/>
      <c r="B9" s="17" t="str">
        <f>IFERROR(VLOOKUP($H9,'[4]MP PLANTA'!$A$2:$F$500,2,0),"")</f>
        <v/>
      </c>
      <c r="C9" s="30">
        <f t="shared" ref="C9:C14" si="1">+A9</f>
        <v>0</v>
      </c>
      <c r="D9" s="31" t="str">
        <f>IFERROR(VLOOKUP($H9,'[4]MP PLANTA'!$A$2:$F$500,5,0),"")</f>
        <v/>
      </c>
      <c r="E9" s="31" t="str">
        <f>IFERROR(VLOOKUP($H9,'[4]MP PLANTA'!$A$2:$F$500,6,0),"")</f>
        <v/>
      </c>
      <c r="F9" s="31" t="str">
        <f t="shared" ref="F9:F14" si="2">IFERROR(C9*E9,"")</f>
        <v/>
      </c>
      <c r="G9" s="32" t="str">
        <f t="shared" si="0"/>
        <v/>
      </c>
      <c r="H9" s="33"/>
      <c r="I9" s="33"/>
      <c r="J9" s="34"/>
    </row>
    <row r="10" spans="1:10" ht="13.5" hidden="1" x14ac:dyDescent="0.25">
      <c r="A10" s="29"/>
      <c r="B10" s="17" t="str">
        <f>IFERROR(VLOOKUP($H10,'[4]MP PLANTA'!$A$2:$F$500,2,0),"")</f>
        <v/>
      </c>
      <c r="C10" s="30">
        <f t="shared" si="1"/>
        <v>0</v>
      </c>
      <c r="D10" s="31" t="str">
        <f>IFERROR(VLOOKUP($H10,'[4]MP PLANTA'!$A$2:$F$500,5,0),"")</f>
        <v/>
      </c>
      <c r="E10" s="31" t="str">
        <f>IFERROR(VLOOKUP($H10,'[4]MP PLANTA'!$A$2:$F$500,6,0),"")</f>
        <v/>
      </c>
      <c r="F10" s="31" t="str">
        <f t="shared" si="2"/>
        <v/>
      </c>
      <c r="G10" s="32" t="str">
        <f t="shared" si="0"/>
        <v/>
      </c>
      <c r="H10" s="33"/>
      <c r="I10" s="33"/>
      <c r="J10" s="34"/>
    </row>
    <row r="11" spans="1:10" ht="13.5" hidden="1" x14ac:dyDescent="0.25">
      <c r="A11" s="29"/>
      <c r="B11" s="17" t="str">
        <f>IFERROR(VLOOKUP($H11,'[4]MP PLANTA'!$A$2:$F$500,2,0),"")</f>
        <v/>
      </c>
      <c r="C11" s="30">
        <f t="shared" si="1"/>
        <v>0</v>
      </c>
      <c r="D11" s="31" t="str">
        <f>IFERROR(VLOOKUP($H11,'[4]MP PLANTA'!$A$2:$F$500,5,0),"")</f>
        <v/>
      </c>
      <c r="E11" s="31" t="str">
        <f>IFERROR(VLOOKUP($H11,'[4]MP PLANTA'!$A$2:$F$500,6,0),"")</f>
        <v/>
      </c>
      <c r="F11" s="31" t="str">
        <f t="shared" si="2"/>
        <v/>
      </c>
      <c r="G11" s="32" t="str">
        <f t="shared" si="0"/>
        <v/>
      </c>
      <c r="H11" s="33"/>
      <c r="I11" s="33"/>
      <c r="J11" s="34"/>
    </row>
    <row r="12" spans="1:10" ht="13.5" hidden="1" x14ac:dyDescent="0.25">
      <c r="A12" s="29"/>
      <c r="B12" s="17" t="str">
        <f>IFERROR(VLOOKUP($H12,'[4]MP PLANTA'!$A$2:$F$500,2,0),"")</f>
        <v/>
      </c>
      <c r="C12" s="30">
        <f t="shared" si="1"/>
        <v>0</v>
      </c>
      <c r="D12" s="31" t="str">
        <f>IFERROR(VLOOKUP($H12,'[4]MP PLANTA'!$A$2:$F$500,5,0),"")</f>
        <v/>
      </c>
      <c r="E12" s="31" t="str">
        <f>IFERROR(VLOOKUP($H12,'[4]MP PLANTA'!$A$2:$F$500,6,0),"")</f>
        <v/>
      </c>
      <c r="F12" s="31" t="str">
        <f t="shared" si="2"/>
        <v/>
      </c>
      <c r="G12" s="32" t="str">
        <f t="shared" si="0"/>
        <v/>
      </c>
      <c r="H12" s="33"/>
      <c r="I12" s="33"/>
      <c r="J12" s="34"/>
    </row>
    <row r="13" spans="1:10" ht="13.5" hidden="1" x14ac:dyDescent="0.25">
      <c r="A13" s="29"/>
      <c r="B13" s="17" t="str">
        <f>IFERROR(VLOOKUP($H13,'[4]MP PLANTA'!$A$2:$F$500,2,0),"")</f>
        <v/>
      </c>
      <c r="C13" s="30">
        <f t="shared" si="1"/>
        <v>0</v>
      </c>
      <c r="D13" s="31" t="str">
        <f>IFERROR(VLOOKUP($H13,'[4]MP PLANTA'!$A$2:$F$500,5,0),"")</f>
        <v/>
      </c>
      <c r="E13" s="31" t="str">
        <f>IFERROR(VLOOKUP($H13,'[4]MP PLANTA'!$A$2:$F$500,6,0),"")</f>
        <v/>
      </c>
      <c r="F13" s="31" t="str">
        <f t="shared" si="2"/>
        <v/>
      </c>
      <c r="G13" s="32" t="str">
        <f t="shared" si="0"/>
        <v/>
      </c>
      <c r="H13" s="33"/>
      <c r="I13" s="33"/>
      <c r="J13" s="34"/>
    </row>
    <row r="14" spans="1:10" ht="13.5" hidden="1" x14ac:dyDescent="0.25">
      <c r="A14" s="29"/>
      <c r="B14" s="17" t="str">
        <f>IFERROR(VLOOKUP($H14,'[4]MP PLANTA'!$A$2:$F$500,2,0),"")</f>
        <v/>
      </c>
      <c r="C14" s="30">
        <f t="shared" si="1"/>
        <v>0</v>
      </c>
      <c r="D14" s="31" t="str">
        <f>IFERROR(VLOOKUP($H14,'[4]MP PLANTA'!$A$2:$F$500,5,0),"")</f>
        <v/>
      </c>
      <c r="E14" s="31" t="str">
        <f>IFERROR(VLOOKUP($H14,'[4]MP PLANTA'!$A$2:$F$500,6,0),"")</f>
        <v/>
      </c>
      <c r="F14" s="31" t="str">
        <f t="shared" si="2"/>
        <v/>
      </c>
      <c r="G14" s="32" t="str">
        <f t="shared" si="0"/>
        <v/>
      </c>
      <c r="H14" s="33"/>
      <c r="I14" s="33"/>
      <c r="J14" s="34"/>
    </row>
    <row r="15" spans="1:10" ht="14.25" hidden="1" thickBot="1" x14ac:dyDescent="0.3">
      <c r="A15" s="29"/>
      <c r="C15" s="30"/>
      <c r="D15" s="31"/>
      <c r="E15" s="31"/>
      <c r="F15" s="31"/>
      <c r="G15" s="32"/>
      <c r="H15" s="33"/>
      <c r="I15" s="33"/>
      <c r="J15" s="34"/>
    </row>
    <row r="16" spans="1:10" ht="26.25" thickBot="1" x14ac:dyDescent="0.25">
      <c r="A16" s="24" t="s">
        <v>44</v>
      </c>
      <c r="B16" s="25" t="s">
        <v>51</v>
      </c>
      <c r="C16" s="25" t="s">
        <v>44</v>
      </c>
      <c r="D16" s="26" t="s">
        <v>46</v>
      </c>
      <c r="E16" s="26" t="s">
        <v>47</v>
      </c>
      <c r="F16" s="26" t="s">
        <v>48</v>
      </c>
      <c r="G16" s="26" t="s">
        <v>49</v>
      </c>
      <c r="H16" s="27" t="s">
        <v>50</v>
      </c>
      <c r="I16" s="28"/>
      <c r="J16" s="34"/>
    </row>
    <row r="17" spans="1:12" ht="13.5" x14ac:dyDescent="0.25">
      <c r="A17" s="29">
        <v>5000</v>
      </c>
      <c r="B17" s="17" t="s">
        <v>94</v>
      </c>
      <c r="C17" s="30">
        <f>+A17</f>
        <v>5000</v>
      </c>
      <c r="D17" s="30" t="s">
        <v>95</v>
      </c>
      <c r="E17" s="31">
        <f>+'COSTEO RELL'!E58</f>
        <v>1.3425618220137479</v>
      </c>
      <c r="F17" s="31">
        <f>IFERROR(E17*C17,"")</f>
        <v>6712.8091100687388</v>
      </c>
      <c r="G17" s="32">
        <f>IFERROR(F17/$F$55,"")</f>
        <v>0.96738707455007744</v>
      </c>
      <c r="H17" s="33"/>
      <c r="I17" s="33"/>
      <c r="J17" s="34"/>
    </row>
    <row r="18" spans="1:12" ht="13.5" hidden="1" x14ac:dyDescent="0.25">
      <c r="A18" s="29"/>
      <c r="B18" s="17" t="str">
        <f>IFERROR(VLOOKUP($H18,[4]SEMIELABORADOS!$A$1:$J$999,2,0),"")</f>
        <v/>
      </c>
      <c r="C18" s="30">
        <f>+A18</f>
        <v>0</v>
      </c>
      <c r="D18" s="30" t="str">
        <f>IFERROR(VLOOKUP($H18,[4]SEMIELABORADOS!$A$1:$J$999,4,0),"")</f>
        <v/>
      </c>
      <c r="E18" s="31" t="str">
        <f>IFERROR(VLOOKUP($H18,[4]SEMIELABORADOS!$A$1:$J$999,6,0),"")</f>
        <v/>
      </c>
      <c r="F18" s="31" t="str">
        <f>IFERROR(E18*C18,"")</f>
        <v/>
      </c>
      <c r="G18" s="32" t="str">
        <f>IFERROR(F18/$F$55,"")</f>
        <v/>
      </c>
      <c r="H18" s="33"/>
      <c r="I18" s="33"/>
      <c r="J18" s="34"/>
    </row>
    <row r="19" spans="1:12" ht="13.5" hidden="1" x14ac:dyDescent="0.25">
      <c r="A19" s="29"/>
      <c r="B19" s="17" t="str">
        <f>IFERROR(VLOOKUP($H19,[4]SEMIELABORADOS!$A$1:$J$999,2,0),"")</f>
        <v/>
      </c>
      <c r="C19" s="30">
        <f>+A19</f>
        <v>0</v>
      </c>
      <c r="D19" s="30" t="str">
        <f>IFERROR(VLOOKUP($H19,[4]SEMIELABORADOS!$A$1:$J$999,4,0),"")</f>
        <v/>
      </c>
      <c r="E19" s="31" t="str">
        <f>IFERROR(VLOOKUP($H19,[4]SEMIELABORADOS!$A$1:$J$999,6,0),"")</f>
        <v/>
      </c>
      <c r="F19" s="31" t="str">
        <f>IFERROR(E19*C19,"")</f>
        <v/>
      </c>
      <c r="G19" s="32" t="str">
        <f>IFERROR(F19/$F$55,"")</f>
        <v/>
      </c>
      <c r="H19" s="33"/>
      <c r="I19" s="33"/>
      <c r="J19" s="34"/>
    </row>
    <row r="20" spans="1:12" ht="13.5" hidden="1" x14ac:dyDescent="0.25">
      <c r="A20" s="29"/>
      <c r="B20" s="17" t="str">
        <f>IFERROR(VLOOKUP($H20,[4]SEMIELABORADOS!$A$1:$J$999,2,0),"")</f>
        <v/>
      </c>
      <c r="C20" s="30">
        <f>+A20</f>
        <v>0</v>
      </c>
      <c r="D20" s="30" t="str">
        <f>IFERROR(VLOOKUP($H20,[4]SEMIELABORADOS!$A$1:$J$999,4,0),"")</f>
        <v/>
      </c>
      <c r="E20" s="31" t="str">
        <f>IFERROR(VLOOKUP($H20,[4]SEMIELABORADOS!$A$1:$J$999,6,0),"")</f>
        <v/>
      </c>
      <c r="F20" s="31" t="str">
        <f>IFERROR(E20*C20,"")</f>
        <v/>
      </c>
      <c r="G20" s="32" t="str">
        <f>IFERROR(F20/$F$55,"")</f>
        <v/>
      </c>
      <c r="H20" s="33"/>
      <c r="I20" s="33"/>
      <c r="J20" s="34"/>
    </row>
    <row r="21" spans="1:12" ht="13.5" hidden="1" x14ac:dyDescent="0.25">
      <c r="A21" s="29"/>
      <c r="B21" s="17" t="str">
        <f>IFERROR(VLOOKUP($H21,[4]SEMIELABORADOS!$A$1:$J$999,2,0),"")</f>
        <v/>
      </c>
      <c r="C21" s="30">
        <f>+A21</f>
        <v>0</v>
      </c>
      <c r="D21" s="30" t="str">
        <f>IFERROR(VLOOKUP($H21,[4]SEMIELABORADOS!$A$1:$J$999,4,0),"")</f>
        <v/>
      </c>
      <c r="E21" s="31" t="str">
        <f>IFERROR(VLOOKUP($H21,[4]SEMIELABORADOS!$A$1:$J$999,6,0),"")</f>
        <v/>
      </c>
      <c r="F21" s="31" t="str">
        <f>IFERROR(E21*C21,"")</f>
        <v/>
      </c>
      <c r="G21" s="32" t="str">
        <f>IFERROR(F21/$F$55,"")</f>
        <v/>
      </c>
      <c r="H21" s="33"/>
      <c r="I21" s="33"/>
      <c r="J21" s="34"/>
    </row>
    <row r="22" spans="1:12" ht="14.25" thickBot="1" x14ac:dyDescent="0.3">
      <c r="A22" s="29"/>
      <c r="C22" s="30"/>
      <c r="D22" s="30"/>
      <c r="E22" s="31"/>
      <c r="F22" s="31"/>
      <c r="G22" s="32"/>
      <c r="H22" s="33"/>
      <c r="I22" s="33"/>
      <c r="J22" s="34"/>
    </row>
    <row r="23" spans="1:12" ht="26.25" thickBot="1" x14ac:dyDescent="0.25">
      <c r="A23" s="24" t="s">
        <v>44</v>
      </c>
      <c r="B23" s="25" t="s">
        <v>52</v>
      </c>
      <c r="C23" s="25" t="s">
        <v>44</v>
      </c>
      <c r="D23" s="26" t="s">
        <v>46</v>
      </c>
      <c r="E23" s="26" t="s">
        <v>47</v>
      </c>
      <c r="F23" s="26" t="s">
        <v>48</v>
      </c>
      <c r="G23" s="26" t="s">
        <v>49</v>
      </c>
      <c r="H23" s="27" t="s">
        <v>50</v>
      </c>
      <c r="I23" s="28"/>
    </row>
    <row r="24" spans="1:12" ht="13.5" x14ac:dyDescent="0.25">
      <c r="A24" s="29">
        <v>1</v>
      </c>
      <c r="B24" s="35" t="str">
        <f>IFERROR(VLOOKUP($H24,'[4]EMP PLANTA'!$A$2:$F$500,2,0),"")</f>
        <v>BOLSA 17x25 TRANSP (KILO)</v>
      </c>
      <c r="C24" s="30">
        <f t="shared" ref="C24:C29" si="3">+A24</f>
        <v>1</v>
      </c>
      <c r="D24" s="31" t="str">
        <f>IFERROR(VLOOKUP($H24,'[4]EMP PLANTA'!$A$2:$F$500,5,0),"")</f>
        <v>UND</v>
      </c>
      <c r="E24" s="31">
        <f>IFERROR(VLOOKUP($H24,'[4]EMP PLANTA'!$A$2:$F$500,6,0),"")</f>
        <v>32.142857142857146</v>
      </c>
      <c r="F24" s="31">
        <f t="shared" ref="F24:F29" si="4">IFERROR(E24*C24,"")</f>
        <v>32.142857142857146</v>
      </c>
      <c r="G24" s="32">
        <f t="shared" ref="G24:G29" si="5">IFERROR(F24/$F$55,"")</f>
        <v>4.6321270319559602E-3</v>
      </c>
      <c r="H24" s="36" t="s">
        <v>37</v>
      </c>
      <c r="I24" s="36"/>
      <c r="J24" s="34"/>
      <c r="K24" s="274"/>
      <c r="L24" s="274"/>
    </row>
    <row r="25" spans="1:12" ht="13.5" x14ac:dyDescent="0.25">
      <c r="A25" s="29">
        <v>1</v>
      </c>
      <c r="B25" s="35" t="str">
        <f>IFERROR(VLOOKUP($H25,'[4]EMP PLANTA'!$A$2:$F$500,2,0),"")</f>
        <v>ETIQ.BLANCA 1 13/16 * 1 7/8</v>
      </c>
      <c r="C25" s="30">
        <f t="shared" si="3"/>
        <v>1</v>
      </c>
      <c r="D25" s="31" t="str">
        <f>IFERROR(VLOOKUP($H25,'[4]EMP PLANTA'!$A$2:$F$500,5,0),"")</f>
        <v>UND</v>
      </c>
      <c r="E25" s="31">
        <f>IFERROR(VLOOKUP($H25,'[4]EMP PLANTA'!$A$2:$F$500,6,0),"")</f>
        <v>2.0470000000000002</v>
      </c>
      <c r="F25" s="31">
        <f t="shared" si="4"/>
        <v>2.0470000000000002</v>
      </c>
      <c r="G25" s="32">
        <f t="shared" si="5"/>
        <v>2.9499443662620869E-4</v>
      </c>
      <c r="H25" s="36" t="s">
        <v>96</v>
      </c>
      <c r="I25" s="36"/>
      <c r="J25" s="34"/>
      <c r="K25" s="274"/>
      <c r="L25" s="274"/>
    </row>
    <row r="26" spans="1:12" ht="13.5" x14ac:dyDescent="0.25">
      <c r="A26" s="29">
        <v>1</v>
      </c>
      <c r="B26" s="35" t="str">
        <f>IFERROR(VLOOKUP($H26,'[4]EMP PLANTA'!$A$2:$F$500,2,0),"")</f>
        <v>ETIQ.FECHA VENCIMIENTO VERDE</v>
      </c>
      <c r="C26" s="30">
        <f t="shared" si="3"/>
        <v>1</v>
      </c>
      <c r="D26" s="31" t="str">
        <f>IFERROR(VLOOKUP($H26,'[4]EMP PLANTA'!$A$2:$F$500,5,0),"")</f>
        <v>UND</v>
      </c>
      <c r="E26" s="31">
        <f>IFERROR(VLOOKUP($H26,'[4]EMP PLANTA'!$A$2:$F$500,6,0),"")</f>
        <v>0.21185444444444446</v>
      </c>
      <c r="F26" s="31">
        <f t="shared" si="4"/>
        <v>0.21185444444444446</v>
      </c>
      <c r="G26" s="32">
        <f t="shared" si="5"/>
        <v>3.0530475078479392E-5</v>
      </c>
      <c r="H26" s="36" t="s">
        <v>26</v>
      </c>
      <c r="I26" s="36"/>
      <c r="J26" s="34"/>
      <c r="K26" s="274"/>
      <c r="L26" s="274"/>
    </row>
    <row r="27" spans="1:12" ht="13.5" hidden="1" x14ac:dyDescent="0.25">
      <c r="A27" s="29"/>
      <c r="B27" s="35" t="str">
        <f>IFERROR(VLOOKUP($H27,'[4]EMP PLANTA'!$A$2:$F$500,2,0),"")</f>
        <v/>
      </c>
      <c r="C27" s="30">
        <f t="shared" si="3"/>
        <v>0</v>
      </c>
      <c r="D27" s="31" t="str">
        <f>IFERROR(VLOOKUP($H27,'[4]EMP PLANTA'!$A$2:$F$500,5,0),"")</f>
        <v/>
      </c>
      <c r="E27" s="31" t="str">
        <f>IFERROR(VLOOKUP($H27,'[4]EMP PLANTA'!$A$2:$F$500,6,0),"")</f>
        <v/>
      </c>
      <c r="F27" s="31" t="str">
        <f t="shared" si="4"/>
        <v/>
      </c>
      <c r="G27" s="32" t="str">
        <f t="shared" si="5"/>
        <v/>
      </c>
      <c r="H27" s="36"/>
      <c r="I27" s="36"/>
      <c r="J27" s="34"/>
      <c r="K27" s="274"/>
      <c r="L27" s="274"/>
    </row>
    <row r="28" spans="1:12" ht="13.5" hidden="1" x14ac:dyDescent="0.25">
      <c r="A28" s="29"/>
      <c r="B28" s="35" t="str">
        <f>IFERROR(VLOOKUP($H28,'[4]EMP PLANTA'!$A$2:$F$500,2,0),"")</f>
        <v/>
      </c>
      <c r="C28" s="30">
        <f t="shared" si="3"/>
        <v>0</v>
      </c>
      <c r="D28" s="31" t="str">
        <f>IFERROR(VLOOKUP($H28,'[4]EMP PLANTA'!$A$2:$F$500,5,0),"")</f>
        <v/>
      </c>
      <c r="E28" s="31" t="str">
        <f>IFERROR(VLOOKUP($H28,'[4]EMP PLANTA'!$A$2:$F$500,6,0),"")</f>
        <v/>
      </c>
      <c r="F28" s="31" t="str">
        <f t="shared" si="4"/>
        <v/>
      </c>
      <c r="G28" s="32" t="str">
        <f t="shared" si="5"/>
        <v/>
      </c>
      <c r="H28" s="36"/>
      <c r="I28" s="36"/>
      <c r="J28" s="34"/>
      <c r="K28" s="37"/>
      <c r="L28" s="38"/>
    </row>
    <row r="29" spans="1:12" ht="13.5" hidden="1" x14ac:dyDescent="0.25">
      <c r="A29" s="29"/>
      <c r="B29" s="35" t="str">
        <f>IFERROR(VLOOKUP($H29,'[4]EMP PLANTA'!$A$2:$F$500,2,0),"")</f>
        <v/>
      </c>
      <c r="C29" s="30">
        <f t="shared" si="3"/>
        <v>0</v>
      </c>
      <c r="D29" s="31" t="str">
        <f>IFERROR(VLOOKUP($H29,'[4]EMP PLANTA'!$A$2:$F$500,5,0),"")</f>
        <v/>
      </c>
      <c r="E29" s="31" t="str">
        <f>IFERROR(VLOOKUP($H29,'[4]EMP PLANTA'!$A$2:$F$500,6,0),"")</f>
        <v/>
      </c>
      <c r="F29" s="31" t="str">
        <f t="shared" si="4"/>
        <v/>
      </c>
      <c r="G29" s="32" t="str">
        <f t="shared" si="5"/>
        <v/>
      </c>
      <c r="H29" s="36"/>
      <c r="I29" s="36"/>
      <c r="J29" s="34"/>
    </row>
    <row r="30" spans="1:12" ht="14.25" thickBot="1" x14ac:dyDescent="0.3">
      <c r="A30" s="29"/>
      <c r="B30" s="35"/>
      <c r="C30" s="30"/>
      <c r="D30" s="31"/>
      <c r="E30" s="31"/>
      <c r="F30" s="31"/>
      <c r="G30" s="32"/>
      <c r="H30" s="36"/>
      <c r="I30" s="36"/>
      <c r="J30" s="34"/>
    </row>
    <row r="31" spans="1:12" ht="26.25" thickBot="1" x14ac:dyDescent="0.25">
      <c r="A31" s="24" t="s">
        <v>44</v>
      </c>
      <c r="B31" s="25" t="s">
        <v>53</v>
      </c>
      <c r="C31" s="25" t="s">
        <v>44</v>
      </c>
      <c r="D31" s="26" t="s">
        <v>46</v>
      </c>
      <c r="E31" s="26" t="s">
        <v>47</v>
      </c>
      <c r="F31" s="26" t="s">
        <v>48</v>
      </c>
      <c r="G31" s="26" t="s">
        <v>49</v>
      </c>
      <c r="H31" s="27" t="s">
        <v>50</v>
      </c>
      <c r="I31" s="28"/>
      <c r="J31" s="34"/>
    </row>
    <row r="32" spans="1:12" ht="13.5" x14ac:dyDescent="0.25">
      <c r="A32" s="29">
        <f>+A17</f>
        <v>5000</v>
      </c>
      <c r="B32" s="35" t="s">
        <v>94</v>
      </c>
      <c r="C32" s="30">
        <f>+A32</f>
        <v>5000</v>
      </c>
      <c r="D32" s="31" t="s">
        <v>54</v>
      </c>
      <c r="E32" s="31">
        <f>+'COSTEO RELL'!E65</f>
        <v>3.1293822010520539E-3</v>
      </c>
      <c r="F32" s="31">
        <f>IFERROR(E32*C32,"")</f>
        <v>15.64691100526027</v>
      </c>
      <c r="G32" s="32">
        <f>IFERROR(F32/$F$54,"")</f>
        <v>0.37254550012524451</v>
      </c>
      <c r="H32" s="36"/>
      <c r="I32" s="36"/>
      <c r="J32" s="34"/>
    </row>
    <row r="33" spans="1:17" ht="13.5" hidden="1" x14ac:dyDescent="0.25">
      <c r="A33" s="29">
        <f>+A18</f>
        <v>0</v>
      </c>
      <c r="B33" s="35"/>
      <c r="C33" s="30">
        <f>+A33</f>
        <v>0</v>
      </c>
      <c r="D33" s="31" t="s">
        <v>54</v>
      </c>
      <c r="E33" s="31" t="str">
        <f>IFERROR(VLOOKUP($H33,[4]SEMIELABORADOS!$A$1:$J$999,8,0),"")</f>
        <v/>
      </c>
      <c r="F33" s="31" t="str">
        <f>IFERROR(E33*C33,"")</f>
        <v/>
      </c>
      <c r="G33" s="32" t="str">
        <f>IFERROR(F33/$F$54,"")</f>
        <v/>
      </c>
      <c r="H33" s="36"/>
      <c r="I33" s="36"/>
      <c r="J33" s="34"/>
    </row>
    <row r="34" spans="1:17" ht="13.5" hidden="1" x14ac:dyDescent="0.25">
      <c r="A34" s="29">
        <f>+A19</f>
        <v>0</v>
      </c>
      <c r="B34" s="35"/>
      <c r="C34" s="30">
        <f>+A34</f>
        <v>0</v>
      </c>
      <c r="D34" s="31" t="s">
        <v>54</v>
      </c>
      <c r="E34" s="31" t="str">
        <f>IFERROR(VLOOKUP($H34,[4]SEMIELABORADOS!$A$1:$J$999,8,0),"")</f>
        <v/>
      </c>
      <c r="F34" s="31" t="str">
        <f>IFERROR(E34*C34,"")</f>
        <v/>
      </c>
      <c r="G34" s="32" t="str">
        <f>IFERROR(F34/$F$54,"")</f>
        <v/>
      </c>
      <c r="H34" s="36"/>
      <c r="I34" s="36"/>
      <c r="J34" s="34"/>
    </row>
    <row r="35" spans="1:17" ht="13.5" hidden="1" x14ac:dyDescent="0.25">
      <c r="A35" s="29">
        <f>+A20</f>
        <v>0</v>
      </c>
      <c r="B35" s="35"/>
      <c r="C35" s="30">
        <f>+A35</f>
        <v>0</v>
      </c>
      <c r="D35" s="31" t="s">
        <v>54</v>
      </c>
      <c r="E35" s="31" t="str">
        <f>IFERROR(VLOOKUP($H35,[4]SEMIELABORADOS!$A$1:$J$999,8,0),"")</f>
        <v/>
      </c>
      <c r="F35" s="31" t="str">
        <f>IFERROR(E35*C35,"")</f>
        <v/>
      </c>
      <c r="G35" s="32" t="str">
        <f>IFERROR(F35/$F$54,"")</f>
        <v/>
      </c>
      <c r="H35" s="36"/>
      <c r="I35" s="36"/>
      <c r="J35" s="34"/>
    </row>
    <row r="36" spans="1:17" ht="13.5" hidden="1" x14ac:dyDescent="0.25">
      <c r="A36" s="29">
        <f>+A21</f>
        <v>0</v>
      </c>
      <c r="B36" s="35"/>
      <c r="C36" s="30">
        <f>+A36</f>
        <v>0</v>
      </c>
      <c r="D36" s="31" t="s">
        <v>54</v>
      </c>
      <c r="E36" s="31" t="str">
        <f>IFERROR(VLOOKUP($H36,[4]SEMIELABORADOS!$A$1:$J$999,8,0),"")</f>
        <v/>
      </c>
      <c r="F36" s="31" t="str">
        <f>IFERROR(E36*C36,"")</f>
        <v/>
      </c>
      <c r="G36" s="32" t="str">
        <f>IFERROR(F36/$F$54,"")</f>
        <v/>
      </c>
      <c r="H36" s="36"/>
      <c r="I36" s="36"/>
      <c r="J36" s="34"/>
    </row>
    <row r="37" spans="1:17" ht="14.25" thickBot="1" x14ac:dyDescent="0.3">
      <c r="A37" s="29"/>
      <c r="B37" s="35"/>
      <c r="C37" s="30"/>
      <c r="D37" s="31"/>
      <c r="E37" s="31"/>
      <c r="F37" s="31"/>
      <c r="G37" s="32"/>
      <c r="H37" s="36"/>
      <c r="I37" s="36"/>
      <c r="J37" s="34"/>
    </row>
    <row r="38" spans="1:17" ht="26.25" thickBot="1" x14ac:dyDescent="0.25">
      <c r="A38" s="24" t="s">
        <v>44</v>
      </c>
      <c r="B38" s="25" t="s">
        <v>55</v>
      </c>
      <c r="C38" s="25" t="s">
        <v>44</v>
      </c>
      <c r="D38" s="25"/>
      <c r="E38" s="26" t="s">
        <v>47</v>
      </c>
      <c r="F38" s="26" t="s">
        <v>48</v>
      </c>
      <c r="G38" s="26" t="s">
        <v>49</v>
      </c>
      <c r="H38" s="27" t="s">
        <v>50</v>
      </c>
      <c r="I38" s="28"/>
      <c r="J38" s="34"/>
    </row>
    <row r="39" spans="1:17" ht="13.5" x14ac:dyDescent="0.25">
      <c r="A39" s="29">
        <f>+A17</f>
        <v>5000</v>
      </c>
      <c r="B39" s="39" t="s">
        <v>94</v>
      </c>
      <c r="C39" s="30">
        <f t="shared" ref="C39:C40" si="6">+A39</f>
        <v>5000</v>
      </c>
      <c r="D39" s="30" t="s">
        <v>54</v>
      </c>
      <c r="E39" s="31">
        <f>+'COSTEO RELL'!E63</f>
        <v>6.306070287539936E-2</v>
      </c>
      <c r="F39" s="31">
        <f t="shared" ref="F39:F40" si="7">IFERROR(C39*E39,"")</f>
        <v>315.30351437699682</v>
      </c>
      <c r="G39" s="32">
        <f>IFERROR(F39/$F$55,"")</f>
        <v>4.5438584557843602E-2</v>
      </c>
      <c r="H39" s="40"/>
      <c r="I39" s="40"/>
      <c r="J39" s="34"/>
    </row>
    <row r="40" spans="1:17" ht="13.5" x14ac:dyDescent="0.25">
      <c r="A40" s="29">
        <v>1</v>
      </c>
      <c r="B40" s="35" t="s">
        <v>56</v>
      </c>
      <c r="C40" s="30">
        <f t="shared" si="6"/>
        <v>1</v>
      </c>
      <c r="D40" s="30" t="s">
        <v>54</v>
      </c>
      <c r="E40" s="31">
        <f>+F54</f>
        <v>42</v>
      </c>
      <c r="F40" s="31">
        <f t="shared" si="7"/>
        <v>42</v>
      </c>
      <c r="G40" s="32">
        <f>IFERROR(F40/$F$55,"")</f>
        <v>6.0526459884224539E-3</v>
      </c>
      <c r="H40" s="40"/>
      <c r="I40" s="40"/>
      <c r="J40" s="34"/>
    </row>
    <row r="41" spans="1:17" ht="14.25" thickBot="1" x14ac:dyDescent="0.3">
      <c r="A41" s="29"/>
      <c r="B41" s="35"/>
      <c r="C41" s="30"/>
      <c r="D41" s="30"/>
      <c r="E41" s="31"/>
      <c r="F41" s="31"/>
      <c r="G41" s="32"/>
      <c r="H41" s="40"/>
      <c r="I41" s="40"/>
      <c r="J41" s="34"/>
    </row>
    <row r="42" spans="1:17" ht="13.5" thickBot="1" x14ac:dyDescent="0.25">
      <c r="A42" s="41"/>
      <c r="B42" s="280" t="s">
        <v>57</v>
      </c>
      <c r="C42" s="280"/>
      <c r="D42" s="280"/>
      <c r="E42" s="280"/>
      <c r="F42" s="42">
        <f>SUM(F8:F14,F17:F21)</f>
        <v>6712.8091100687388</v>
      </c>
      <c r="G42" s="32">
        <f>+F42/$F$55</f>
        <v>0.96738707455007744</v>
      </c>
      <c r="H42" s="43">
        <f>+F42/$D$48*1000</f>
        <v>1342.5618220137478</v>
      </c>
      <c r="I42" s="43"/>
      <c r="J42" s="44"/>
      <c r="K42" s="45"/>
      <c r="L42" s="45"/>
      <c r="M42" s="45"/>
      <c r="N42" s="45"/>
      <c r="O42" s="45"/>
      <c r="P42" s="45"/>
      <c r="Q42" s="46"/>
    </row>
    <row r="43" spans="1:17" x14ac:dyDescent="0.2">
      <c r="A43" s="41"/>
      <c r="B43" s="280" t="s">
        <v>58</v>
      </c>
      <c r="C43" s="280"/>
      <c r="D43" s="280"/>
      <c r="E43" s="280"/>
      <c r="F43" s="42">
        <f>SUM(F24:F29,F32:F36)</f>
        <v>50.048622592561856</v>
      </c>
      <c r="G43" s="32">
        <f>+F43/$F$55</f>
        <v>7.212537970498545E-3</v>
      </c>
      <c r="H43" s="43">
        <f t="shared" ref="H43:H45" si="8">+F43/$D$48*1000</f>
        <v>10.009724518512371</v>
      </c>
      <c r="I43" s="43"/>
      <c r="J43" s="47"/>
      <c r="K43" s="281" t="s">
        <v>59</v>
      </c>
      <c r="L43" s="282"/>
      <c r="M43" s="282"/>
      <c r="N43" s="282"/>
      <c r="O43" s="48">
        <f>+F44</f>
        <v>6762.8577326613004</v>
      </c>
      <c r="P43" s="48"/>
      <c r="Q43" s="49"/>
    </row>
    <row r="44" spans="1:17" x14ac:dyDescent="0.2">
      <c r="A44" s="41"/>
      <c r="B44" s="280" t="s">
        <v>60</v>
      </c>
      <c r="C44" s="280"/>
      <c r="D44" s="280"/>
      <c r="E44" s="280"/>
      <c r="F44" s="42">
        <f>+F42+F43</f>
        <v>6762.8577326613004</v>
      </c>
      <c r="G44" s="32">
        <f>+F44/$F$55</f>
        <v>0.97459961252057592</v>
      </c>
      <c r="H44" s="43">
        <f t="shared" si="8"/>
        <v>1352.5715465322601</v>
      </c>
      <c r="I44" s="43"/>
      <c r="J44" s="50"/>
      <c r="K44" s="51"/>
      <c r="L44" s="283" t="s">
        <v>61</v>
      </c>
      <c r="M44" s="283"/>
      <c r="N44" s="283"/>
      <c r="O44" s="48">
        <f>+F45</f>
        <v>357.30351437699682</v>
      </c>
      <c r="P44" s="48"/>
      <c r="Q44" s="49"/>
    </row>
    <row r="45" spans="1:17" x14ac:dyDescent="0.2">
      <c r="A45" s="41"/>
      <c r="B45" s="52"/>
      <c r="C45" s="280" t="s">
        <v>62</v>
      </c>
      <c r="D45" s="280"/>
      <c r="E45" s="280"/>
      <c r="F45" s="42">
        <f>SUM(F39:F40)</f>
        <v>357.30351437699682</v>
      </c>
      <c r="G45" s="32">
        <f>+F45/$F$55</f>
        <v>5.1491230546266052E-2</v>
      </c>
      <c r="H45" s="43">
        <f t="shared" si="8"/>
        <v>71.460702875399363</v>
      </c>
      <c r="I45" s="43"/>
      <c r="J45" s="50"/>
      <c r="K45" s="51"/>
      <c r="L45" s="283" t="s">
        <v>63</v>
      </c>
      <c r="M45" s="283"/>
      <c r="N45" s="53">
        <v>0.02</v>
      </c>
      <c r="O45" s="48">
        <f>+(O43+O44)*N45</f>
        <v>142.40322494076594</v>
      </c>
      <c r="P45" s="48"/>
      <c r="Q45" s="49"/>
    </row>
    <row r="46" spans="1:17" ht="13.5" thickBot="1" x14ac:dyDescent="0.25">
      <c r="A46" s="41"/>
      <c r="B46" s="54"/>
      <c r="C46" s="54"/>
      <c r="D46" s="54"/>
      <c r="E46" s="54"/>
      <c r="F46" s="55"/>
      <c r="G46" s="32"/>
      <c r="H46" s="56"/>
      <c r="I46" s="57"/>
      <c r="J46" s="50"/>
      <c r="K46" s="51"/>
      <c r="L46" s="283" t="s">
        <v>64</v>
      </c>
      <c r="M46" s="283"/>
      <c r="N46" s="53">
        <f>230%*0.85</f>
        <v>1.9549999999999998</v>
      </c>
      <c r="O46" s="48">
        <f>+O44*N46</f>
        <v>698.52837060702871</v>
      </c>
      <c r="P46" s="48"/>
      <c r="Q46" s="49"/>
    </row>
    <row r="47" spans="1:17" ht="13.5" thickBot="1" x14ac:dyDescent="0.25">
      <c r="B47" s="285" t="s">
        <v>65</v>
      </c>
      <c r="C47" s="285"/>
      <c r="D47" s="58">
        <v>5000</v>
      </c>
      <c r="E47" s="59"/>
      <c r="G47" s="32"/>
      <c r="H47" s="56"/>
      <c r="I47" s="57"/>
      <c r="J47" s="50"/>
      <c r="K47" s="60"/>
      <c r="M47" s="61" t="s">
        <v>66</v>
      </c>
      <c r="N47" s="62"/>
      <c r="O47" s="63">
        <f>SUM(O43:O46)</f>
        <v>7961.0928425860911</v>
      </c>
      <c r="P47" s="64"/>
      <c r="Q47" s="49"/>
    </row>
    <row r="48" spans="1:17" x14ac:dyDescent="0.2">
      <c r="B48" s="285" t="s">
        <v>67</v>
      </c>
      <c r="C48" s="285"/>
      <c r="D48" s="65">
        <v>5000</v>
      </c>
      <c r="E48" s="59"/>
      <c r="G48" s="32"/>
      <c r="H48" s="56"/>
      <c r="I48" s="57"/>
      <c r="J48" s="50"/>
      <c r="K48" s="60"/>
      <c r="L48" s="283" t="s">
        <v>68</v>
      </c>
      <c r="M48" s="283"/>
      <c r="N48" s="66">
        <v>0.25</v>
      </c>
      <c r="O48" s="48">
        <f>+($O$44+$O$46)*N48</f>
        <v>263.95797124600637</v>
      </c>
      <c r="P48" s="48"/>
      <c r="Q48" s="49"/>
    </row>
    <row r="49" spans="2:17" ht="13.5" thickBot="1" x14ac:dyDescent="0.25">
      <c r="B49" s="286" t="s">
        <v>69</v>
      </c>
      <c r="C49" s="286"/>
      <c r="D49" s="58">
        <f>+D47/D48</f>
        <v>1</v>
      </c>
      <c r="E49" s="59"/>
      <c r="F49" s="67"/>
      <c r="G49" s="32"/>
      <c r="H49" s="56"/>
      <c r="I49" s="57"/>
      <c r="J49" s="50"/>
      <c r="K49" s="60"/>
      <c r="L49" s="51"/>
      <c r="M49" s="51" t="s">
        <v>70</v>
      </c>
      <c r="N49" s="66">
        <v>0.1</v>
      </c>
      <c r="O49" s="48">
        <f>+($O$44+$O$46)*N49</f>
        <v>105.58318849840255</v>
      </c>
      <c r="P49" s="48"/>
      <c r="Q49" s="49"/>
    </row>
    <row r="50" spans="2:17" ht="13.5" thickBot="1" x14ac:dyDescent="0.25">
      <c r="B50" s="286" t="s">
        <v>71</v>
      </c>
      <c r="C50" s="286"/>
      <c r="D50" s="68" t="s">
        <v>92</v>
      </c>
      <c r="E50" s="59"/>
      <c r="F50" s="67"/>
      <c r="G50" s="32"/>
      <c r="H50" s="56"/>
      <c r="I50" s="57"/>
      <c r="J50" s="50"/>
      <c r="K50" s="60"/>
      <c r="L50" s="305" t="s">
        <v>72</v>
      </c>
      <c r="M50" s="305"/>
      <c r="N50" s="306"/>
      <c r="O50" s="63">
        <f>SUM(O47:O49)</f>
        <v>8330.6340023305002</v>
      </c>
      <c r="P50" s="64"/>
      <c r="Q50" s="49"/>
    </row>
    <row r="51" spans="2:17" ht="13.5" thickBot="1" x14ac:dyDescent="0.25">
      <c r="C51" s="41" t="s">
        <v>73</v>
      </c>
      <c r="D51" s="69"/>
      <c r="E51" s="15" t="s">
        <v>74</v>
      </c>
      <c r="F51" s="70" t="s">
        <v>75</v>
      </c>
      <c r="G51" s="32"/>
      <c r="H51" s="56"/>
      <c r="I51" s="57"/>
      <c r="J51" s="50"/>
      <c r="K51" s="60"/>
      <c r="L51" s="283" t="s">
        <v>76</v>
      </c>
      <c r="M51" s="283"/>
      <c r="N51" s="66">
        <v>0</v>
      </c>
      <c r="O51" s="48">
        <f>+O50*N51</f>
        <v>0</v>
      </c>
      <c r="P51" s="48"/>
      <c r="Q51" s="49"/>
    </row>
    <row r="52" spans="2:17" ht="13.5" thickBot="1" x14ac:dyDescent="0.25">
      <c r="B52" s="291" t="s">
        <v>60</v>
      </c>
      <c r="C52" s="291"/>
      <c r="D52" s="291"/>
      <c r="E52" s="71">
        <f>+F52/F52</f>
        <v>1</v>
      </c>
      <c r="F52" s="72">
        <f>SUM(F44)</f>
        <v>6762.8577326613004</v>
      </c>
      <c r="G52" s="32">
        <f>+F52/$F$55</f>
        <v>0.97459961252057592</v>
      </c>
      <c r="H52" s="56"/>
      <c r="I52" s="57"/>
      <c r="J52" s="50"/>
      <c r="K52" s="287" t="s">
        <v>77</v>
      </c>
      <c r="L52" s="288"/>
      <c r="M52" s="288"/>
      <c r="N52" s="289"/>
      <c r="O52" s="63">
        <f>SUM(O50:O51)</f>
        <v>8330.6340023305002</v>
      </c>
      <c r="P52" s="73" t="s">
        <v>78</v>
      </c>
      <c r="Q52" s="49"/>
    </row>
    <row r="53" spans="2:17" ht="13.5" thickBot="1" x14ac:dyDescent="0.25">
      <c r="B53" s="284" t="s">
        <v>79</v>
      </c>
      <c r="C53" s="284"/>
      <c r="D53" s="284"/>
      <c r="E53" s="74">
        <v>0.02</v>
      </c>
      <c r="F53" s="72">
        <f>+F42*E53</f>
        <v>134.25618220137477</v>
      </c>
      <c r="G53" s="32">
        <f>+F53/$F$55</f>
        <v>1.934774149100155E-2</v>
      </c>
      <c r="H53" s="43"/>
      <c r="I53" s="43"/>
      <c r="J53" s="75"/>
      <c r="K53" s="76"/>
      <c r="L53" s="290" t="s">
        <v>80</v>
      </c>
      <c r="M53" s="290"/>
      <c r="N53" s="290"/>
      <c r="O53" s="77">
        <f>+O52/D49</f>
        <v>8330.6340023305002</v>
      </c>
      <c r="P53" s="78">
        <f>+O53/D48</f>
        <v>1.6661268004661001</v>
      </c>
      <c r="Q53" s="79"/>
    </row>
    <row r="54" spans="2:17" ht="13.5" thickBot="1" x14ac:dyDescent="0.25">
      <c r="B54" s="295" t="s">
        <v>81</v>
      </c>
      <c r="C54" s="296"/>
      <c r="D54" s="107">
        <v>0.75</v>
      </c>
      <c r="E54" s="80">
        <v>56</v>
      </c>
      <c r="F54" s="72">
        <f>+E54*D54</f>
        <v>42</v>
      </c>
      <c r="G54" s="32">
        <f>+F54/$F$55</f>
        <v>6.0526459884224539E-3</v>
      </c>
      <c r="H54" s="43"/>
      <c r="I54" s="43"/>
      <c r="K54" s="292"/>
      <c r="L54" s="293"/>
      <c r="M54" s="293"/>
      <c r="N54" s="293"/>
      <c r="O54" s="81"/>
      <c r="P54" s="82"/>
    </row>
    <row r="55" spans="2:17" ht="13.5" thickBot="1" x14ac:dyDescent="0.25">
      <c r="B55" s="297" t="s">
        <v>82</v>
      </c>
      <c r="C55" s="298"/>
      <c r="D55" s="298"/>
      <c r="E55" s="299"/>
      <c r="F55" s="55">
        <f>SUM(F52:F54)</f>
        <v>6939.1139148626753</v>
      </c>
      <c r="G55" s="32">
        <f>+F55/$F$55</f>
        <v>1</v>
      </c>
      <c r="H55" s="300"/>
      <c r="I55" s="83"/>
      <c r="J55" s="84"/>
      <c r="O55" s="85"/>
      <c r="P55" s="52"/>
    </row>
    <row r="56" spans="2:17" x14ac:dyDescent="0.2">
      <c r="C56" s="86"/>
      <c r="D56" s="86"/>
      <c r="E56" s="87"/>
      <c r="F56" s="72"/>
      <c r="G56" s="32"/>
      <c r="H56" s="300"/>
      <c r="I56" s="83"/>
      <c r="J56" s="34"/>
      <c r="O56" s="17">
        <f>+O47/5000</f>
        <v>1.5922185685172183</v>
      </c>
    </row>
    <row r="57" spans="2:17" ht="13.5" thickBot="1" x14ac:dyDescent="0.25">
      <c r="B57" s="301" t="s">
        <v>83</v>
      </c>
      <c r="C57" s="301"/>
      <c r="D57" s="301"/>
      <c r="E57" s="301"/>
      <c r="F57" s="301"/>
      <c r="G57" s="32"/>
      <c r="H57" s="88"/>
      <c r="I57" s="88"/>
      <c r="J57" s="34"/>
      <c r="O57" s="17">
        <f>+O56*1000</f>
        <v>1592.2185685172183</v>
      </c>
    </row>
    <row r="58" spans="2:17" ht="13.5" thickBot="1" x14ac:dyDescent="0.25">
      <c r="B58" s="89" t="s">
        <v>84</v>
      </c>
      <c r="C58" s="90">
        <f>+F42</f>
        <v>6712.8091100687388</v>
      </c>
      <c r="D58" s="90">
        <f>+D47</f>
        <v>5000</v>
      </c>
      <c r="E58" s="91">
        <f>+C58/D58</f>
        <v>1.3425618220137479</v>
      </c>
      <c r="F58" s="32"/>
      <c r="G58" s="88"/>
      <c r="H58" s="34"/>
      <c r="I58" s="34"/>
      <c r="J58" s="17"/>
    </row>
    <row r="59" spans="2:17" x14ac:dyDescent="0.2">
      <c r="B59" s="92"/>
      <c r="C59" s="93"/>
      <c r="D59" s="94"/>
      <c r="E59" s="72"/>
      <c r="F59" s="32"/>
      <c r="G59" s="88"/>
      <c r="H59" s="34"/>
      <c r="I59" s="34"/>
      <c r="J59" s="17"/>
    </row>
    <row r="60" spans="2:17" x14ac:dyDescent="0.2">
      <c r="B60" s="89" t="s">
        <v>85</v>
      </c>
      <c r="C60" s="90">
        <f>SUM(F52:F53)</f>
        <v>6897.1139148626753</v>
      </c>
      <c r="D60" s="90">
        <f>+D47</f>
        <v>5000</v>
      </c>
      <c r="E60" s="95">
        <f>+C60/D60</f>
        <v>1.379422782972535</v>
      </c>
      <c r="F60" s="32"/>
      <c r="G60" s="88"/>
      <c r="H60" s="34"/>
      <c r="I60" s="34"/>
      <c r="J60" s="17"/>
    </row>
    <row r="61" spans="2:17" x14ac:dyDescent="0.2">
      <c r="B61" s="89"/>
      <c r="C61" s="90"/>
      <c r="D61" s="90"/>
      <c r="E61" s="95"/>
      <c r="F61" s="32"/>
      <c r="G61" s="88"/>
      <c r="H61" s="34"/>
      <c r="I61" s="34"/>
      <c r="J61" s="17"/>
    </row>
    <row r="62" spans="2:17" ht="13.5" thickBot="1" x14ac:dyDescent="0.25">
      <c r="B62" s="89" t="s">
        <v>86</v>
      </c>
      <c r="C62" s="90">
        <f>+F54</f>
        <v>42</v>
      </c>
      <c r="D62" s="90">
        <f>+D47</f>
        <v>5000</v>
      </c>
      <c r="E62" s="95">
        <f>+C62/D62</f>
        <v>8.3999999999999995E-3</v>
      </c>
      <c r="F62" s="32"/>
      <c r="G62" s="88"/>
      <c r="H62" s="34"/>
      <c r="I62" s="34"/>
      <c r="J62" s="17"/>
    </row>
    <row r="63" spans="2:17" ht="13.5" thickBot="1" x14ac:dyDescent="0.25">
      <c r="B63" s="89" t="s">
        <v>87</v>
      </c>
      <c r="C63" s="90">
        <f>+F45</f>
        <v>357.30351437699682</v>
      </c>
      <c r="D63" s="90">
        <f>+D62</f>
        <v>5000</v>
      </c>
      <c r="E63" s="91">
        <f>+C63/D63</f>
        <v>7.1460702875399365E-2</v>
      </c>
      <c r="F63" s="32"/>
      <c r="G63" s="88"/>
      <c r="H63" s="34"/>
      <c r="I63" s="34"/>
      <c r="J63" s="17"/>
    </row>
    <row r="64" spans="2:17" ht="13.5" thickBot="1" x14ac:dyDescent="0.25">
      <c r="B64" s="54"/>
      <c r="C64" s="55"/>
      <c r="D64" s="55"/>
      <c r="E64" s="95"/>
      <c r="F64" s="32"/>
      <c r="G64" s="88"/>
      <c r="H64" s="34"/>
      <c r="I64" s="34"/>
      <c r="J64" s="17"/>
    </row>
    <row r="65" spans="1:10" ht="13.5" thickBot="1" x14ac:dyDescent="0.25">
      <c r="B65" s="89" t="s">
        <v>88</v>
      </c>
      <c r="C65" s="90">
        <f>+F43</f>
        <v>50.048622592561856</v>
      </c>
      <c r="D65" s="90">
        <f>+D63</f>
        <v>5000</v>
      </c>
      <c r="E65" s="91">
        <f>+C65/D65</f>
        <v>1.0009724518512371E-2</v>
      </c>
      <c r="F65" s="32"/>
      <c r="G65" s="88"/>
      <c r="H65" s="34"/>
      <c r="I65" s="34"/>
      <c r="J65" s="17"/>
    </row>
    <row r="66" spans="1:10" ht="13.5" thickBot="1" x14ac:dyDescent="0.25">
      <c r="B66" s="54"/>
      <c r="C66" s="55"/>
      <c r="D66" s="55"/>
      <c r="E66" s="95"/>
      <c r="F66" s="32"/>
      <c r="G66" s="88"/>
      <c r="H66" s="34"/>
      <c r="I66" s="34"/>
      <c r="J66" s="17"/>
    </row>
    <row r="67" spans="1:10" ht="13.5" thickBot="1" x14ac:dyDescent="0.25">
      <c r="B67" s="302" t="s">
        <v>89</v>
      </c>
      <c r="C67" s="303"/>
      <c r="D67" s="304"/>
      <c r="E67" s="91">
        <f>+E58+E63</f>
        <v>1.4140225248891471</v>
      </c>
      <c r="G67" s="32"/>
      <c r="H67" s="88"/>
      <c r="I67" s="88"/>
      <c r="J67" s="34"/>
    </row>
    <row r="69" spans="1:10" ht="13.5" thickBot="1" x14ac:dyDescent="0.25">
      <c r="B69" s="301" t="s">
        <v>90</v>
      </c>
      <c r="C69" s="301"/>
      <c r="D69" s="301"/>
      <c r="E69" s="301"/>
      <c r="F69" s="301"/>
      <c r="G69" s="32"/>
      <c r="H69" s="88"/>
      <c r="I69" s="88"/>
      <c r="J69" s="95"/>
    </row>
    <row r="70" spans="1:10" ht="13.5" thickBot="1" x14ac:dyDescent="0.25">
      <c r="B70" s="89" t="s">
        <v>84</v>
      </c>
      <c r="C70" s="90">
        <f>+C58</f>
        <v>6712.8091100687388</v>
      </c>
      <c r="D70" s="90">
        <f>+D49</f>
        <v>1</v>
      </c>
      <c r="E70" s="91">
        <f>+C70/D70</f>
        <v>6712.8091100687388</v>
      </c>
      <c r="F70" s="32"/>
      <c r="G70" s="88"/>
      <c r="H70" s="34"/>
      <c r="I70" s="34"/>
      <c r="J70" s="17"/>
    </row>
    <row r="71" spans="1:10" x14ac:dyDescent="0.2">
      <c r="B71" s="92"/>
      <c r="C71" s="93"/>
      <c r="D71" s="94"/>
      <c r="E71" s="72"/>
      <c r="F71" s="32"/>
      <c r="G71" s="88"/>
      <c r="H71" s="34"/>
      <c r="I71" s="34"/>
      <c r="J71" s="17"/>
    </row>
    <row r="72" spans="1:10" x14ac:dyDescent="0.2">
      <c r="B72" s="89" t="s">
        <v>85</v>
      </c>
      <c r="C72" s="90">
        <f>+C60</f>
        <v>6897.1139148626753</v>
      </c>
      <c r="D72" s="90">
        <f>+D49</f>
        <v>1</v>
      </c>
      <c r="E72" s="95">
        <f>+C72/D72</f>
        <v>6897.1139148626753</v>
      </c>
      <c r="F72" s="32"/>
      <c r="G72" s="88"/>
      <c r="H72" s="34"/>
      <c r="I72" s="34"/>
      <c r="J72" s="17"/>
    </row>
    <row r="73" spans="1:10" x14ac:dyDescent="0.2">
      <c r="B73" s="89"/>
      <c r="C73" s="90"/>
      <c r="D73" s="90"/>
      <c r="E73" s="95"/>
      <c r="F73" s="32"/>
      <c r="G73" s="88"/>
      <c r="H73" s="34"/>
      <c r="I73" s="34"/>
      <c r="J73" s="17"/>
    </row>
    <row r="74" spans="1:10" ht="13.5" thickBot="1" x14ac:dyDescent="0.25">
      <c r="B74" s="89" t="s">
        <v>87</v>
      </c>
      <c r="C74" s="90">
        <f>+C62</f>
        <v>42</v>
      </c>
      <c r="D74" s="90">
        <f>+D49</f>
        <v>1</v>
      </c>
      <c r="E74" s="95">
        <f>+C74/D74</f>
        <v>42</v>
      </c>
      <c r="F74" s="98"/>
      <c r="G74" s="97"/>
      <c r="H74" s="16"/>
      <c r="I74" s="16"/>
      <c r="J74" s="17"/>
    </row>
    <row r="75" spans="1:10" ht="13.5" thickBot="1" x14ac:dyDescent="0.25">
      <c r="B75" s="89" t="s">
        <v>87</v>
      </c>
      <c r="C75" s="90">
        <f>+C63</f>
        <v>357.30351437699682</v>
      </c>
      <c r="D75" s="90">
        <f>+D74</f>
        <v>1</v>
      </c>
      <c r="E75" s="91">
        <f>+C75/D75</f>
        <v>357.30351437699682</v>
      </c>
      <c r="F75" s="96"/>
      <c r="G75" s="97"/>
      <c r="H75" s="16"/>
      <c r="I75" s="16"/>
      <c r="J75" s="17"/>
    </row>
    <row r="77" spans="1:10" x14ac:dyDescent="0.2">
      <c r="A77" s="294"/>
      <c r="B77" s="294"/>
      <c r="C77" s="99"/>
      <c r="D77" s="99"/>
      <c r="E77" s="100"/>
      <c r="G77" s="101"/>
    </row>
    <row r="78" spans="1:10" x14ac:dyDescent="0.2">
      <c r="A78" s="35"/>
      <c r="B78" s="102"/>
      <c r="C78" s="103"/>
      <c r="D78" s="103"/>
      <c r="E78" s="104"/>
      <c r="G78" s="101"/>
    </row>
    <row r="79" spans="1:10" x14ac:dyDescent="0.2">
      <c r="A79" s="35"/>
      <c r="B79" s="102"/>
      <c r="C79" s="105"/>
      <c r="D79" s="105"/>
      <c r="E79" s="35"/>
      <c r="G79" s="101"/>
    </row>
    <row r="80" spans="1:10" x14ac:dyDescent="0.2">
      <c r="A80" s="35"/>
      <c r="B80" s="102"/>
      <c r="C80" s="106"/>
      <c r="D80" s="106"/>
      <c r="E80" s="35"/>
      <c r="G80" s="101"/>
    </row>
  </sheetData>
  <mergeCells count="34">
    <mergeCell ref="K26:L26"/>
    <mergeCell ref="A4:H4"/>
    <mergeCell ref="A5:H5"/>
    <mergeCell ref="F6:G6"/>
    <mergeCell ref="K24:L24"/>
    <mergeCell ref="K25:L25"/>
    <mergeCell ref="K27:L27"/>
    <mergeCell ref="B42:E42"/>
    <mergeCell ref="B43:E43"/>
    <mergeCell ref="K43:N43"/>
    <mergeCell ref="B44:E44"/>
    <mergeCell ref="L44:N44"/>
    <mergeCell ref="C45:E45"/>
    <mergeCell ref="L45:M45"/>
    <mergeCell ref="L46:M46"/>
    <mergeCell ref="B47:C47"/>
    <mergeCell ref="B48:C48"/>
    <mergeCell ref="L48:M48"/>
    <mergeCell ref="B49:C49"/>
    <mergeCell ref="B50:C50"/>
    <mergeCell ref="L50:N50"/>
    <mergeCell ref="L51:M51"/>
    <mergeCell ref="B52:D52"/>
    <mergeCell ref="K52:N52"/>
    <mergeCell ref="L53:N53"/>
    <mergeCell ref="B54:C54"/>
    <mergeCell ref="K54:N54"/>
    <mergeCell ref="B55:E55"/>
    <mergeCell ref="H55:H56"/>
    <mergeCell ref="B57:F57"/>
    <mergeCell ref="B67:D67"/>
    <mergeCell ref="B69:F69"/>
    <mergeCell ref="A77:B77"/>
    <mergeCell ref="B53:D53"/>
  </mergeCell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FC24606-23CE-4855-A608-F1BA1B100A84}">
  <ds:schemaRefs>
    <ds:schemaRef ds:uri="http://purl.org/dc/terms/"/>
    <ds:schemaRef ds:uri="http://purl.org/dc/elements/1.1/"/>
    <ds:schemaRef ds:uri="http://purl.org/dc/dcmitype/"/>
    <ds:schemaRef ds:uri="http://www.w3.org/XML/1998/namespace"/>
    <ds:schemaRef ds:uri="http://schemas.microsoft.com/office/2006/documentManagement/types"/>
    <ds:schemaRef ds:uri="a773c2a9-8649-43e4-927e-bc5da8376b63"/>
    <ds:schemaRef ds:uri="619b02d4-3137-49d8-81cc-7be34c83d778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20B82893-7B66-45A3-826D-2C0FB655B15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E48EFF4-D322-4599-B032-CE7B24C0E5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Hoja1</vt:lpstr>
      <vt:lpstr>Costo Relleno 6-04-2020</vt:lpstr>
      <vt:lpstr>COSTEO RELL</vt:lpstr>
      <vt:lpstr>costo empaque 06-04-2020</vt:lpstr>
      <vt:lpstr>COSTEO 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ymontenegro</dc:creator>
  <cp:lastModifiedBy>Miguel Coto Consultor</cp:lastModifiedBy>
  <cp:lastPrinted>2024-06-28T14:00:29Z</cp:lastPrinted>
  <dcterms:created xsi:type="dcterms:W3CDTF">2012-05-10T22:32:20Z</dcterms:created>
  <dcterms:modified xsi:type="dcterms:W3CDTF">2025-02-13T22:38:23Z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
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2" documentId="8_{295B09D2-D1AB-4C85-BDF6-EE296AB05EB1}" xr6:coauthVersionLast="47" xr6:coauthVersionMax="47" xr10:uidLastSave="{D89B05E7-8D34-4475-8E49-EEDADFD48FA3}"/>
  <bookViews>
    <workbookView xWindow="-120" yWindow="-120" windowWidth="20730" windowHeight="11040" xr2:uid="{8DFC203C-AE61-4900-846E-0C7066F98EA1}"/>
  </bookViews>
  <sheets>
    <sheet name="Hoja1" sheetId="8" r:id="rId1"/>
    <sheet name="cOSTO" sheetId="7" state="hidden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E20" i="7"/>
  <c r="D20" i="7"/>
  <c r="C20" i="7"/>
  <c r="F20" i="7"/>
  <c r="B20" i="7"/>
  <c r="E19" i="7"/>
  <c r="D19" i="7"/>
  <c r="C19" i="7"/>
  <c r="B19" i="7"/>
  <c r="E18" i="7"/>
  <c r="F18" i="7"/>
  <c r="D18" i="7"/>
  <c r="C18" i="7"/>
  <c r="B18" i="7"/>
  <c r="E17" i="7"/>
  <c r="D17" i="7"/>
  <c r="C17" i="7"/>
  <c r="B17" i="7"/>
  <c r="F16" i="7"/>
  <c r="E16" i="7"/>
  <c r="D16" i="7"/>
  <c r="C16" i="7"/>
  <c r="B16" i="7"/>
  <c r="D15" i="7"/>
  <c r="C15" i="7"/>
  <c r="B15" i="7"/>
  <c r="D14" i="7"/>
  <c r="C14" i="7"/>
  <c r="D13" i="7"/>
  <c r="C13" i="7"/>
  <c r="D81" i="7"/>
  <c r="D82" i="7"/>
  <c r="D84" i="7"/>
  <c r="D79" i="7"/>
  <c r="D77" i="7"/>
  <c r="F73" i="7"/>
  <c r="E59" i="7"/>
  <c r="D68" i="7"/>
  <c r="D93" i="7"/>
  <c r="D94" i="7"/>
  <c r="C59" i="7"/>
  <c r="E58" i="7"/>
  <c r="D58" i="7"/>
  <c r="B58" i="7"/>
  <c r="E57" i="7"/>
  <c r="D57" i="7"/>
  <c r="B57" i="7"/>
  <c r="E56" i="7"/>
  <c r="D56" i="7"/>
  <c r="B56" i="7"/>
  <c r="E55" i="7"/>
  <c r="D55" i="7"/>
  <c r="B55" i="7"/>
  <c r="E54" i="7"/>
  <c r="D54" i="7"/>
  <c r="B54" i="7"/>
  <c r="E53" i="7"/>
  <c r="D53" i="7"/>
  <c r="B53" i="7"/>
  <c r="E52" i="7"/>
  <c r="D52" i="7"/>
  <c r="B52" i="7"/>
  <c r="E49" i="7"/>
  <c r="D49" i="7"/>
  <c r="B49" i="7"/>
  <c r="A49" i="7"/>
  <c r="A58" i="7"/>
  <c r="C58" i="7"/>
  <c r="E48" i="7"/>
  <c r="D48" i="7"/>
  <c r="B48" i="7"/>
  <c r="A48" i="7"/>
  <c r="A57" i="7"/>
  <c r="C57" i="7"/>
  <c r="E47" i="7"/>
  <c r="D47" i="7"/>
  <c r="B47" i="7"/>
  <c r="A47" i="7"/>
  <c r="C47" i="7"/>
  <c r="E46" i="7"/>
  <c r="D46" i="7"/>
  <c r="B46" i="7"/>
  <c r="A46" i="7"/>
  <c r="C46" i="7"/>
  <c r="E45" i="7"/>
  <c r="D45" i="7"/>
  <c r="B45" i="7"/>
  <c r="A45" i="7"/>
  <c r="A54" i="7"/>
  <c r="C54" i="7"/>
  <c r="E44" i="7"/>
  <c r="D44" i="7"/>
  <c r="B44" i="7"/>
  <c r="A44" i="7"/>
  <c r="A53" i="7"/>
  <c r="C53" i="7"/>
  <c r="E43" i="7"/>
  <c r="D43" i="7"/>
  <c r="B43" i="7"/>
  <c r="A43" i="7"/>
  <c r="C43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F29" i="7"/>
  <c r="D29" i="7"/>
  <c r="C29" i="7"/>
  <c r="B29" i="7"/>
  <c r="E28" i="7"/>
  <c r="F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B23" i="7"/>
  <c r="E22" i="7"/>
  <c r="F22" i="7"/>
  <c r="D22" i="7"/>
  <c r="C22" i="7"/>
  <c r="B22" i="7"/>
  <c r="E21" i="7"/>
  <c r="D21" i="7"/>
  <c r="C21" i="7"/>
  <c r="B21" i="7"/>
  <c r="C12" i="7"/>
  <c r="D11" i="7"/>
  <c r="C11" i="7"/>
  <c r="B11" i="7"/>
  <c r="F10" i="7"/>
  <c r="D10" i="7"/>
  <c r="C10" i="7"/>
  <c r="B10" i="7"/>
  <c r="D9" i="7"/>
  <c r="C9" i="7"/>
  <c r="B9" i="7"/>
  <c r="F8" i="7"/>
  <c r="D8" i="7"/>
  <c r="C8" i="7"/>
  <c r="B8" i="7"/>
  <c r="H6" i="7"/>
  <c r="F17" i="7"/>
  <c r="F19" i="7"/>
  <c r="F25" i="7"/>
  <c r="F15" i="7"/>
  <c r="F14" i="7"/>
  <c r="F13" i="7"/>
  <c r="F12" i="7"/>
  <c r="F35" i="7"/>
  <c r="F36" i="7"/>
  <c r="F37" i="7"/>
  <c r="F39" i="7"/>
  <c r="F31" i="7"/>
  <c r="C44" i="7"/>
  <c r="F44" i="7"/>
  <c r="F30" i="7"/>
  <c r="F27" i="7"/>
  <c r="F43" i="7"/>
  <c r="C49" i="7"/>
  <c r="F49" i="7"/>
  <c r="F32" i="7"/>
  <c r="F38" i="7"/>
  <c r="C45" i="7"/>
  <c r="F45" i="7"/>
  <c r="F53" i="7"/>
  <c r="F58" i="7"/>
  <c r="F21" i="7"/>
  <c r="F26" i="7"/>
  <c r="F40" i="7"/>
  <c r="C48" i="7"/>
  <c r="F48" i="7"/>
  <c r="F54" i="7"/>
  <c r="F9" i="7"/>
  <c r="F11" i="7"/>
  <c r="F57" i="7"/>
  <c r="F59" i="7"/>
  <c r="F46" i="7"/>
  <c r="F47" i="7"/>
  <c r="D91" i="7"/>
  <c r="A52" i="7"/>
  <c r="C52" i="7"/>
  <c r="F52" i="7"/>
  <c r="A56" i="7"/>
  <c r="C56" i="7"/>
  <c r="F56" i="7"/>
  <c r="D89" i="7"/>
  <c r="A55" i="7"/>
  <c r="C55" i="7"/>
  <c r="F55" i="7"/>
  <c r="C81" i="7"/>
  <c r="F62" i="7"/>
  <c r="C84" i="7"/>
  <c r="E84" i="7"/>
  <c r="F61" i="7"/>
  <c r="F64" i="7"/>
  <c r="C93" i="7"/>
  <c r="E93" i="7"/>
  <c r="E81" i="7"/>
  <c r="H62" i="7"/>
  <c r="G2" i="7"/>
  <c r="F63" i="7"/>
  <c r="O62" i="7"/>
  <c r="H61" i="7"/>
  <c r="F2" i="7"/>
  <c r="C77" i="7"/>
  <c r="E77" i="7"/>
  <c r="F72" i="7"/>
  <c r="H63" i="7"/>
  <c r="F71" i="7"/>
  <c r="H64" i="7"/>
  <c r="C82" i="7"/>
  <c r="C89" i="7"/>
  <c r="E89" i="7"/>
  <c r="O64" i="7"/>
  <c r="H2" i="7"/>
  <c r="H66" i="7"/>
  <c r="H67" i="7"/>
  <c r="O66" i="7"/>
  <c r="O63" i="7"/>
  <c r="E82" i="7"/>
  <c r="E86" i="7"/>
  <c r="C94" i="7"/>
  <c r="E94" i="7"/>
  <c r="C79" i="7"/>
  <c r="E71" i="7"/>
  <c r="F74" i="7"/>
  <c r="O65" i="7"/>
  <c r="O67" i="7"/>
  <c r="O68" i="7"/>
  <c r="O69" i="7"/>
  <c r="O70" i="7"/>
  <c r="G71" i="7"/>
  <c r="G20" i="7"/>
  <c r="G17" i="7"/>
  <c r="G16" i="7"/>
  <c r="G14" i="7"/>
  <c r="G18" i="7"/>
  <c r="G15" i="7"/>
  <c r="G13" i="7"/>
  <c r="G19" i="7"/>
  <c r="C91" i="7"/>
  <c r="E91" i="7"/>
  <c r="E79" i="7"/>
  <c r="G74" i="7"/>
  <c r="G10" i="7"/>
  <c r="G32" i="7"/>
  <c r="G9" i="7"/>
  <c r="G26" i="7"/>
  <c r="G8" i="7"/>
  <c r="G39" i="7"/>
  <c r="G37" i="7"/>
  <c r="G73" i="7"/>
  <c r="G48" i="7"/>
  <c r="G40" i="7"/>
  <c r="G29" i="7"/>
  <c r="G31" i="7"/>
  <c r="G27" i="7"/>
  <c r="G43" i="7"/>
  <c r="G58" i="7"/>
  <c r="G25" i="7"/>
  <c r="G44" i="7"/>
  <c r="G36" i="7"/>
  <c r="G38" i="7"/>
  <c r="G28" i="7"/>
  <c r="G22" i="7"/>
  <c r="G45" i="7"/>
  <c r="G11" i="7"/>
  <c r="G35" i="7"/>
  <c r="G12" i="7"/>
  <c r="G49" i="7"/>
  <c r="G53" i="7"/>
  <c r="G54" i="7"/>
  <c r="G30" i="7"/>
  <c r="G21" i="7"/>
  <c r="G56" i="7"/>
  <c r="G59" i="7"/>
  <c r="G61" i="7"/>
  <c r="G52" i="7"/>
  <c r="G57" i="7"/>
  <c r="G62" i="7"/>
  <c r="G46" i="7"/>
  <c r="G55" i="7"/>
  <c r="G47" i="7"/>
  <c r="G63" i="7"/>
  <c r="G72" i="7"/>
  <c r="G64" i="7"/>
  <c r="E2" i="7"/>
  <c r="P70" i="7"/>
</calcChain>
</file>

<file path=xl/sharedStrings.xml><?xml version="1.0" encoding="utf-8"?>
<sst xmlns="http://schemas.openxmlformats.org/spreadsheetml/2006/main" count="200" uniqueCount="142">
  <si>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</si>
  <si>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</si>
  <si>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</si>
  <si>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</si>
  <si>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</si>
  <si>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</si>
  <si>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</si>
  <si>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</si>
  <si>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</si>
  <si>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</si>
  <si>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</si>
  <si>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</si>
  <si>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</si>
  <si>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</si>
  <si>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</si>
  <si>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</si>
  <si>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</si>
  <si>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</si>
  <si>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</si>
  <si>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</si>
  <si>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</si>
  <si>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SERVICIOS DE PASTELERIA S.A.</t>
  </si>
  <si>
    <t>PRESTO</t>
  </si>
  <si>
    <t>CAPULLO</t>
  </si>
  <si>
    <t>ASEAL</t>
  </si>
  <si>
    <t>g</t>
  </si>
  <si>
    <t>min</t>
  </si>
  <si>
    <t xml:space="preserve">AREA QUE EMPACA: </t>
  </si>
  <si>
    <t>AREA QUE PRODUCE:</t>
  </si>
  <si>
    <t>CONTROL DE CAMBIOS</t>
  </si>
  <si>
    <t>5, Colocar en bandejas y pasar a empaque</t>
  </si>
  <si>
    <t>PASTA AJO (KILO)</t>
  </si>
  <si>
    <t>CEBOLLA PICADA (PAQ = 1 KILO )</t>
  </si>
  <si>
    <t>ACEITE CAPULLO RBD (UND:17 L)</t>
  </si>
  <si>
    <t>90100257</t>
  </si>
  <si>
    <t>CALDO DE POLLO RECORTE</t>
  </si>
  <si>
    <t>FAS</t>
  </si>
  <si>
    <t>PASTA TOMATE OLD CALI (UND:3.14 K)</t>
  </si>
  <si>
    <t>OLD CALI</t>
  </si>
  <si>
    <t>90100142</t>
  </si>
  <si>
    <t>EMPAQUE SAL KILO</t>
  </si>
  <si>
    <t>90100131</t>
  </si>
  <si>
    <t>AZUCAR BLANCO INDUSTRIAL KILO</t>
  </si>
  <si>
    <t>PRESERVANTE 1017S (PAQ=5 KILO)</t>
  </si>
  <si>
    <t>CHILE DULCE PICADO (PAQ = 500 G)</t>
  </si>
  <si>
    <t xml:space="preserve">3, Llevar a una olla hasta hervir </t>
  </si>
  <si>
    <t>1 tanda</t>
  </si>
  <si>
    <t>4, Agregar la versatie. Hervir, Revisar punto de sal, y agregar de ser necesario</t>
  </si>
  <si>
    <t>512319</t>
  </si>
  <si>
    <t>MP10020</t>
  </si>
  <si>
    <t>MP10119</t>
  </si>
  <si>
    <t>MP10002</t>
  </si>
  <si>
    <t>MP10287</t>
  </si>
  <si>
    <t>SE00104</t>
  </si>
  <si>
    <t>SE00016</t>
  </si>
  <si>
    <t>MP10025</t>
  </si>
  <si>
    <t>MP10019</t>
  </si>
  <si>
    <t>MP10485</t>
  </si>
  <si>
    <t>0310099</t>
  </si>
  <si>
    <t xml:space="preserve">Crema Dulce </t>
  </si>
  <si>
    <t>MP10376</t>
  </si>
  <si>
    <t>Tomate Pelado Entero</t>
  </si>
  <si>
    <t>MAYCA</t>
  </si>
  <si>
    <t>1, En un chef &amp; dish colocar los chileS, cebolla, ajo, aceite, mezclar y esparcir el azucár para q se caramelice y colocar en horno en programación de verduras asadas.</t>
  </si>
  <si>
    <t>2, Licuar lo anterior junto con el caldo de pollo, tomate pelado y pasta de tomate.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</si>
  <si>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</si>
  <si>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</si>
  <si>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</si>
  <si>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</si>
  <si>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</si>
  <si>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</si>
  <si>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</si>
  <si>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</si>
  <si>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</si>
  <si>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</si>
  <si>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</si>
  <si>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</si>
  <si>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</si>
  <si>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</si>
  <si>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</si>
  <si>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</si>
  <si>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</si>
  <si>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</si>
  <si>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</si>
  <si>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</si>
  <si>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</si>
  <si>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</si>
  <si>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</si>
  <si>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</si>
  <si>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</si>
  <si>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</si>
  <si>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</si>
  <si>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</si>
  <si>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</si>
  <si>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</si>
  <si>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</si>
  <si>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</si>
  <si>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</si>
  <si>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</si>
  <si>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</si>
  <si>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</si>
  <si>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</si>
  <si>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</si>
  <si>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</si>
  <si>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</si>
  <si>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</si>
  <si>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</si>
  <si>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</si>
  <si>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</si>
  <si>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</si>
  <si>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</si>
  <si>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</si>
  <si>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</si>
  <si>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</si>
  <si>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</si>
  <si>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</si>
  <si>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</si>
  <si>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101035</t>
  </si>
  <si>
    <t>0512319</t>
  </si>
  <si>
    <t>101115</t>
  </si>
  <si>
    <t>10100050</t>
  </si>
  <si>
    <t>Gramos</t>
  </si>
  <si>
    <t>10100125</t>
  </si>
  <si>
    <t>310099</t>
  </si>
  <si>
    <t>1212412</t>
  </si>
  <si>
    <t>Crema De Tomate SE00367</t>
  </si>
  <si>
    <t>ESP-RE-COCS-036</t>
  </si>
  <si>
    <t>01</t>
  </si>
  <si>
    <t>Javier Tong, Chef</t>
  </si>
  <si>
    <t>Esteban Cartin, Gte Manufactura</t>
  </si>
  <si>
    <t>Cocina</t>
  </si>
  <si>
    <t># Código Netsuite</t>
  </si>
  <si>
    <t>Ensamble</t>
  </si>
  <si>
    <t>TOMATE PELADO ENTERO</t>
  </si>
  <si>
    <t>CREMA DULCE</t>
  </si>
  <si>
    <t>Decoración</t>
  </si>
  <si>
    <t>Empaque</t>
  </si>
  <si>
    <t>Unidad</t>
  </si>
  <si>
    <t>Tiempo de Horneo:</t>
  </si>
  <si>
    <t>Horno: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</si>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</sst>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0.0"/>
    <numFmt numFmtId="169" formatCode="[$-409]d\-mmm\-yy;@"/>
    <numFmt numFmtId="170" formatCode="_-* #,##0.0\ _€_-;\-* #,##0.0\ _€_-;_-* &quot;-&quot;??\ _€_-;_-@_-"/>
    <numFmt numFmtId="171" formatCode="_([$€]* #,##0.00_);_([$€]* \(#,##0.00\);_([$€]* &quot;-&quot;??_);_(@_)"/>
  </numFmts>
  <fonts count="4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6">
    <xf numFmtId="0" fontId="0" fillId="0" borderId="0"/>
    <xf numFmtId="171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" fillId="0" borderId="0"/>
  </cellStyleXfs>
  <cellXfs count="300">
    <xf numFmtId="0" fontId="0" fillId="0" borderId="0" xfId="0"/>
    <xf numFmtId="0" fontId="5" fillId="2" borderId="2" xfId="9" applyFont="1" applyFill="1" applyBorder="1" applyAlignment="1">
      <alignment horizontal="right"/>
    </xf>
    <xf numFmtId="0" fontId="5" fillId="2" borderId="3" xfId="9" applyFont="1" applyFill="1" applyBorder="1" applyAlignment="1">
      <alignment horizontal="right"/>
    </xf>
    <xf numFmtId="0" fontId="4" fillId="2" borderId="4" xfId="9" applyFont="1" applyFill="1" applyBorder="1" applyAlignment="1">
      <alignment horizontal="right"/>
    </xf>
    <xf numFmtId="49" fontId="4" fillId="2" borderId="11" xfId="9" applyNumberFormat="1" applyFont="1" applyFill="1" applyBorder="1" applyAlignment="1">
      <alignment horizontal="center"/>
    </xf>
    <xf numFmtId="0" fontId="4" fillId="2" borderId="1" xfId="9" applyFont="1" applyFill="1" applyBorder="1" applyAlignment="1">
      <alignment horizontal="center"/>
    </xf>
    <xf numFmtId="0" fontId="8" fillId="9" borderId="0" xfId="0" applyFont="1" applyFill="1" applyAlignment="1">
      <alignment vertical="center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12" fillId="0" borderId="3" xfId="2" applyFont="1" applyFill="1" applyBorder="1" applyAlignment="1">
      <alignment horizontal="center" vertical="center"/>
    </xf>
    <xf numFmtId="166" fontId="12" fillId="0" borderId="0" xfId="2" applyFont="1" applyFill="1" applyBorder="1" applyAlignment="1">
      <alignment horizontal="center" vertical="center"/>
    </xf>
    <xf numFmtId="166" fontId="14" fillId="0" borderId="0" xfId="2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9" fontId="17" fillId="0" borderId="0" xfId="0" applyNumberFormat="1" applyFont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3" applyNumberFormat="1" applyFont="1" applyFill="1" applyAlignment="1">
      <alignment horizontal="center" vertical="center"/>
    </xf>
    <xf numFmtId="4" fontId="12" fillId="0" borderId="0" xfId="3" applyNumberFormat="1" applyFont="1" applyFill="1" applyAlignment="1">
      <alignment horizontal="center" vertical="center"/>
    </xf>
    <xf numFmtId="10" fontId="12" fillId="0" borderId="0" xfId="12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12" applyNumberFormat="1" applyFont="1" applyFill="1" applyAlignment="1">
      <alignment vertical="center"/>
    </xf>
    <xf numFmtId="0" fontId="8" fillId="0" borderId="0" xfId="0" applyFont="1"/>
    <xf numFmtId="49" fontId="12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66" fontId="8" fillId="0" borderId="0" xfId="2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2" applyNumberFormat="1" applyFont="1" applyFill="1" applyAlignment="1">
      <alignment vertical="center"/>
    </xf>
    <xf numFmtId="166" fontId="20" fillId="0" borderId="0" xfId="2" applyFont="1" applyFill="1" applyAlignment="1">
      <alignment horizontal="center" vertical="center"/>
    </xf>
    <xf numFmtId="10" fontId="13" fillId="4" borderId="24" xfId="12" applyNumberFormat="1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8" fillId="4" borderId="24" xfId="0" applyFont="1" applyFill="1" applyBorder="1" applyAlignment="1">
      <alignment vertical="center"/>
    </xf>
    <xf numFmtId="166" fontId="20" fillId="4" borderId="25" xfId="2" applyFont="1" applyFill="1" applyBorder="1" applyAlignment="1">
      <alignment horizontal="center" vertical="center"/>
    </xf>
    <xf numFmtId="166" fontId="22" fillId="0" borderId="0" xfId="2" applyFont="1" applyFill="1" applyBorder="1" applyAlignment="1">
      <alignment horizontal="right"/>
    </xf>
    <xf numFmtId="0" fontId="8" fillId="4" borderId="25" xfId="0" applyFont="1" applyFill="1" applyBorder="1" applyAlignment="1">
      <alignment vertical="center"/>
    </xf>
    <xf numFmtId="10" fontId="13" fillId="4" borderId="25" xfId="12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41" fillId="0" borderId="0" xfId="12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2" applyNumberFormat="1" applyFont="1" applyFill="1" applyAlignment="1">
      <alignment vertical="center"/>
    </xf>
    <xf numFmtId="4" fontId="20" fillId="0" borderId="0" xfId="3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26" xfId="0" applyFont="1" applyBorder="1" applyAlignment="1">
      <alignment horizontal="right"/>
    </xf>
    <xf numFmtId="166" fontId="25" fillId="5" borderId="27" xfId="2" applyFont="1" applyFill="1" applyBorder="1" applyAlignment="1">
      <alignment horizontal="right"/>
    </xf>
    <xf numFmtId="166" fontId="25" fillId="0" borderId="0" xfId="2" applyFont="1" applyFill="1" applyBorder="1" applyAlignment="1">
      <alignment horizontal="right"/>
    </xf>
    <xf numFmtId="166" fontId="12" fillId="0" borderId="3" xfId="2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20" fillId="0" borderId="0" xfId="3" applyNumberFormat="1" applyFont="1" applyFill="1" applyAlignment="1">
      <alignment horizontal="center" vertical="center"/>
    </xf>
    <xf numFmtId="10" fontId="27" fillId="0" borderId="0" xfId="12" applyNumberFormat="1" applyFont="1" applyFill="1" applyAlignment="1">
      <alignment horizontal="right"/>
    </xf>
    <xf numFmtId="170" fontId="12" fillId="4" borderId="3" xfId="2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166" fontId="12" fillId="6" borderId="3" xfId="2" applyFont="1" applyFill="1" applyBorder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28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2" applyNumberFormat="1" applyFont="1" applyFill="1" applyBorder="1" applyAlignment="1">
      <alignment horizontal="center"/>
    </xf>
    <xf numFmtId="2" fontId="24" fillId="0" borderId="0" xfId="2" applyNumberFormat="1" applyFont="1" applyFill="1" applyBorder="1" applyAlignment="1">
      <alignment horizontal="center"/>
    </xf>
    <xf numFmtId="0" fontId="8" fillId="4" borderId="28" xfId="0" applyFont="1" applyFill="1" applyBorder="1" applyAlignment="1">
      <alignment vertical="center"/>
    </xf>
    <xf numFmtId="10" fontId="8" fillId="0" borderId="0" xfId="12" applyNumberFormat="1" applyFont="1" applyFill="1" applyAlignment="1">
      <alignment vertical="center"/>
    </xf>
    <xf numFmtId="4" fontId="8" fillId="0" borderId="0" xfId="2" applyNumberFormat="1" applyFont="1" applyFill="1" applyAlignment="1">
      <alignment vertical="center"/>
    </xf>
    <xf numFmtId="166" fontId="25" fillId="4" borderId="7" xfId="2" applyFont="1" applyFill="1" applyBorder="1" applyAlignment="1">
      <alignment horizontal="right"/>
    </xf>
    <xf numFmtId="0" fontId="12" fillId="4" borderId="8" xfId="0" applyFont="1" applyFill="1" applyBorder="1" applyAlignment="1">
      <alignment horizontal="right" vertical="center"/>
    </xf>
    <xf numFmtId="10" fontId="31" fillId="0" borderId="0" xfId="2" applyNumberFormat="1" applyFont="1" applyFill="1" applyAlignment="1">
      <alignment vertical="center"/>
    </xf>
    <xf numFmtId="10" fontId="13" fillId="0" borderId="0" xfId="12" applyNumberFormat="1" applyFont="1" applyFill="1" applyBorder="1" applyAlignment="1">
      <alignment vertical="center"/>
    </xf>
    <xf numFmtId="166" fontId="32" fillId="0" borderId="0" xfId="0" applyNumberFormat="1" applyFont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166" fontId="33" fillId="0" borderId="0" xfId="2" applyFont="1" applyFill="1" applyAlignment="1">
      <alignment vertical="center"/>
    </xf>
    <xf numFmtId="4" fontId="34" fillId="0" borderId="0" xfId="3" applyNumberFormat="1" applyFont="1" applyFill="1" applyAlignment="1">
      <alignment horizontal="center" vertical="center" wrapText="1"/>
    </xf>
    <xf numFmtId="9" fontId="8" fillId="0" borderId="0" xfId="2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2" applyNumberFormat="1" applyFont="1" applyFill="1" applyAlignment="1">
      <alignment vertical="center"/>
    </xf>
    <xf numFmtId="4" fontId="12" fillId="7" borderId="27" xfId="2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166" fontId="35" fillId="0" borderId="0" xfId="2" applyFont="1" applyFill="1" applyAlignment="1">
      <alignment vertical="center"/>
    </xf>
    <xf numFmtId="9" fontId="35" fillId="0" borderId="0" xfId="2" applyNumberFormat="1" applyFont="1" applyFill="1" applyAlignment="1">
      <alignment vertical="center"/>
    </xf>
    <xf numFmtId="4" fontId="12" fillId="0" borderId="0" xfId="2" applyNumberFormat="1" applyFont="1" applyFill="1" applyAlignment="1">
      <alignment horizontal="center" vertical="center"/>
    </xf>
    <xf numFmtId="10" fontId="28" fillId="0" borderId="0" xfId="12" applyNumberFormat="1" applyFont="1" applyFill="1" applyAlignment="1">
      <alignment vertical="center"/>
    </xf>
    <xf numFmtId="166" fontId="28" fillId="0" borderId="0" xfId="2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166" fontId="8" fillId="0" borderId="0" xfId="2" applyFont="1" applyFill="1" applyBorder="1"/>
    <xf numFmtId="10" fontId="28" fillId="0" borderId="0" xfId="12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6" fontId="8" fillId="0" borderId="0" xfId="2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6" fontId="12" fillId="0" borderId="0" xfId="0" applyNumberFormat="1" applyFont="1"/>
    <xf numFmtId="0" fontId="4" fillId="2" borderId="3" xfId="9" applyFont="1" applyFill="1" applyBorder="1" applyAlignment="1">
      <alignment horizontal="right"/>
    </xf>
    <xf numFmtId="14" fontId="40" fillId="2" borderId="0" xfId="10" applyNumberFormat="1" applyFont="1" applyFill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1" fontId="5" fillId="3" borderId="10" xfId="6" applyNumberFormat="1" applyFont="1" applyFill="1" applyBorder="1" applyAlignment="1">
      <alignment horizontal="center"/>
    </xf>
    <xf numFmtId="1" fontId="5" fillId="3" borderId="10" xfId="6" applyNumberFormat="1" applyFont="1" applyFill="1" applyBorder="1" applyAlignment="1">
      <alignment horizontal="center" wrapText="1"/>
    </xf>
    <xf numFmtId="0" fontId="5" fillId="3" borderId="13" xfId="6" applyFont="1" applyFill="1" applyBorder="1" applyAlignment="1">
      <alignment horizontal="center"/>
    </xf>
    <xf numFmtId="16" fontId="42" fillId="0" borderId="3" xfId="0" applyNumberFormat="1" applyFont="1" applyBorder="1" applyAlignment="1">
      <alignment horizontal="center"/>
    </xf>
    <xf numFmtId="1" fontId="42" fillId="0" borderId="4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 wrapText="1"/>
    </xf>
    <xf numFmtId="0" fontId="43" fillId="9" borderId="3" xfId="6" applyFont="1" applyFill="1" applyBorder="1" applyAlignment="1">
      <alignment horizontal="left"/>
    </xf>
    <xf numFmtId="0" fontId="44" fillId="9" borderId="3" xfId="6" applyFont="1" applyFill="1" applyBorder="1" applyAlignment="1">
      <alignment vertical="center"/>
    </xf>
    <xf numFmtId="0" fontId="42" fillId="0" borderId="3" xfId="6" applyFont="1" applyBorder="1" applyAlignment="1">
      <alignment horizontal="center"/>
    </xf>
    <xf numFmtId="1" fontId="42" fillId="0" borderId="3" xfId="6" applyNumberFormat="1" applyFont="1" applyBorder="1" applyAlignment="1">
      <alignment horizontal="center"/>
    </xf>
    <xf numFmtId="0" fontId="43" fillId="0" borderId="15" xfId="6" applyFont="1" applyBorder="1" applyAlignment="1">
      <alignment horizontal="center" vertical="center"/>
    </xf>
    <xf numFmtId="0" fontId="43" fillId="0" borderId="19" xfId="6" applyFont="1" applyBorder="1" applyAlignment="1">
      <alignment horizontal="center" vertical="center"/>
    </xf>
    <xf numFmtId="0" fontId="44" fillId="0" borderId="3" xfId="6" applyFont="1" applyBorder="1" applyAlignment="1">
      <alignment vertical="center"/>
    </xf>
    <xf numFmtId="0" fontId="43" fillId="0" borderId="3" xfId="6" applyFont="1" applyBorder="1" applyAlignment="1">
      <alignment horizontal="center" vertical="center"/>
    </xf>
    <xf numFmtId="1" fontId="43" fillId="0" borderId="3" xfId="6" applyNumberFormat="1" applyFont="1" applyBorder="1" applyAlignment="1">
      <alignment horizontal="center"/>
    </xf>
    <xf numFmtId="1" fontId="43" fillId="0" borderId="3" xfId="6" applyNumberFormat="1" applyFont="1" applyBorder="1" applyAlignment="1">
      <alignment horizontal="center" wrapText="1"/>
    </xf>
    <xf numFmtId="0" fontId="42" fillId="0" borderId="11" xfId="6" applyFont="1" applyBorder="1" applyAlignment="1">
      <alignment horizontal="center"/>
    </xf>
    <xf numFmtId="49" fontId="42" fillId="0" borderId="15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42" fillId="0" borderId="3" xfId="0" applyNumberFormat="1" applyFont="1" applyBorder="1"/>
    <xf numFmtId="0" fontId="45" fillId="9" borderId="14" xfId="0" applyFont="1" applyFill="1" applyBorder="1" applyAlignment="1">
      <alignment horizontal="center" vertical="center"/>
    </xf>
    <xf numFmtId="1" fontId="45" fillId="9" borderId="14" xfId="0" applyNumberFormat="1" applyFont="1" applyFill="1" applyBorder="1" applyAlignment="1">
      <alignment horizontal="center"/>
    </xf>
    <xf numFmtId="1" fontId="45" fillId="9" borderId="14" xfId="0" applyNumberFormat="1" applyFont="1" applyFill="1" applyBorder="1" applyAlignment="1">
      <alignment horizontal="center" wrapText="1"/>
    </xf>
    <xf numFmtId="1" fontId="45" fillId="0" borderId="4" xfId="0" applyNumberFormat="1" applyFont="1" applyBorder="1" applyAlignment="1">
      <alignment horizontal="center"/>
    </xf>
    <xf numFmtId="49" fontId="42" fillId="0" borderId="19" xfId="0" applyNumberFormat="1" applyFont="1" applyBorder="1" applyAlignment="1">
      <alignment horizontal="center"/>
    </xf>
    <xf numFmtId="0" fontId="45" fillId="9" borderId="3" xfId="0" applyFont="1" applyFill="1" applyBorder="1" applyAlignment="1">
      <alignment horizontal="center" vertical="center"/>
    </xf>
    <xf numFmtId="1" fontId="45" fillId="9" borderId="3" xfId="0" applyNumberFormat="1" applyFont="1" applyFill="1" applyBorder="1" applyAlignment="1">
      <alignment horizontal="center"/>
    </xf>
    <xf numFmtId="1" fontId="45" fillId="9" borderId="3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6" fontId="45" fillId="0" borderId="4" xfId="2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2" fontId="43" fillId="0" borderId="3" xfId="6" applyNumberFormat="1" applyFont="1" applyBorder="1" applyAlignment="1">
      <alignment horizontal="center"/>
    </xf>
    <xf numFmtId="49" fontId="42" fillId="0" borderId="15" xfId="6" applyNumberFormat="1" applyFont="1" applyBorder="1" applyAlignment="1">
      <alignment horizontal="center"/>
    </xf>
    <xf numFmtId="49" fontId="42" fillId="0" borderId="19" xfId="6" applyNumberFormat="1" applyFont="1" applyBorder="1" applyAlignment="1">
      <alignment horizontal="center"/>
    </xf>
    <xf numFmtId="49" fontId="42" fillId="0" borderId="3" xfId="6" applyNumberFormat="1" applyFont="1" applyBorder="1"/>
    <xf numFmtId="1" fontId="4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42" fillId="0" borderId="3" xfId="0" applyFont="1" applyBorder="1" applyAlignment="1">
      <alignment horizontal="center"/>
    </xf>
    <xf numFmtId="0" fontId="45" fillId="0" borderId="3" xfId="0" quotePrefix="1" applyFont="1" applyBorder="1" applyAlignment="1">
      <alignment horizontal="center"/>
    </xf>
    <xf numFmtId="0" fontId="45" fillId="0" borderId="3" xfId="0" quotePrefix="1" applyFont="1" applyBorder="1"/>
    <xf numFmtId="0" fontId="2" fillId="9" borderId="3" xfId="0" applyFont="1" applyFill="1" applyBorder="1"/>
    <xf numFmtId="1" fontId="42" fillId="0" borderId="3" xfId="6" applyNumberFormat="1" applyFont="1" applyBorder="1" applyAlignment="1">
      <alignment horizontal="center" wrapText="1"/>
    </xf>
    <xf numFmtId="168" fontId="42" fillId="0" borderId="3" xfId="6" applyNumberFormat="1" applyFont="1" applyBorder="1" applyAlignment="1">
      <alignment horizontal="center"/>
    </xf>
    <xf numFmtId="0" fontId="2" fillId="0" borderId="15" xfId="15" applyFont="1" applyBorder="1" applyAlignment="1">
      <alignment horizontal="center"/>
    </xf>
    <xf numFmtId="0" fontId="2" fillId="0" borderId="3" xfId="6" applyFont="1" applyBorder="1" applyAlignment="1">
      <alignment horizontal="center"/>
    </xf>
    <xf numFmtId="0" fontId="2" fillId="9" borderId="3" xfId="15" applyFont="1" applyFill="1" applyBorder="1"/>
    <xf numFmtId="16" fontId="42" fillId="0" borderId="3" xfId="15" applyNumberFormat="1" applyFont="1" applyBorder="1" applyAlignment="1">
      <alignment horizontal="center"/>
    </xf>
    <xf numFmtId="0" fontId="2" fillId="0" borderId="3" xfId="15" applyFont="1" applyBorder="1" applyAlignment="1">
      <alignment horizontal="center"/>
    </xf>
    <xf numFmtId="1" fontId="42" fillId="0" borderId="3" xfId="15" applyNumberFormat="1" applyFont="1" applyBorder="1" applyAlignment="1">
      <alignment horizontal="center"/>
    </xf>
    <xf numFmtId="1" fontId="42" fillId="0" borderId="3" xfId="15" applyNumberFormat="1" applyFont="1" applyBorder="1" applyAlignment="1">
      <alignment horizontal="center" wrapText="1"/>
    </xf>
    <xf numFmtId="49" fontId="43" fillId="0" borderId="45" xfId="6" applyNumberFormat="1" applyFont="1" applyBorder="1" applyAlignment="1">
      <alignment horizontal="center"/>
    </xf>
    <xf numFmtId="49" fontId="43" fillId="0" borderId="46" xfId="6" applyNumberFormat="1" applyFont="1" applyBorder="1" applyAlignment="1">
      <alignment horizontal="center"/>
    </xf>
    <xf numFmtId="0" fontId="43" fillId="0" borderId="19" xfId="6" applyFont="1" applyBorder="1" applyAlignment="1">
      <alignment horizontal="center"/>
    </xf>
    <xf numFmtId="2" fontId="42" fillId="0" borderId="3" xfId="6" applyNumberFormat="1" applyFont="1" applyBorder="1" applyAlignment="1">
      <alignment horizontal="center"/>
    </xf>
    <xf numFmtId="16" fontId="42" fillId="0" borderId="19" xfId="0" applyNumberFormat="1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49" fontId="42" fillId="9" borderId="15" xfId="6" applyNumberFormat="1" applyFont="1" applyFill="1" applyBorder="1" applyAlignment="1">
      <alignment horizontal="center"/>
    </xf>
    <xf numFmtId="49" fontId="42" fillId="9" borderId="19" xfId="6" applyNumberFormat="1" applyFont="1" applyFill="1" applyBorder="1" applyAlignment="1">
      <alignment horizontal="center"/>
    </xf>
    <xf numFmtId="49" fontId="42" fillId="9" borderId="3" xfId="6" applyNumberFormat="1" applyFont="1" applyFill="1" applyBorder="1"/>
    <xf numFmtId="0" fontId="2" fillId="9" borderId="3" xfId="0" applyFont="1" applyFill="1" applyBorder="1" applyAlignment="1">
      <alignment horizontal="center"/>
    </xf>
    <xf numFmtId="12" fontId="42" fillId="0" borderId="3" xfId="6" applyNumberFormat="1" applyFont="1" applyBorder="1" applyAlignment="1">
      <alignment horizontal="center"/>
    </xf>
    <xf numFmtId="49" fontId="46" fillId="2" borderId="50" xfId="6" applyNumberFormat="1" applyFont="1" applyFill="1" applyBorder="1" applyAlignment="1">
      <alignment horizontal="center" vertical="center"/>
    </xf>
    <xf numFmtId="49" fontId="46" fillId="2" borderId="0" xfId="6" applyNumberFormat="1" applyFont="1" applyFill="1" applyAlignment="1">
      <alignment horizontal="center" vertical="center"/>
    </xf>
    <xf numFmtId="0" fontId="45" fillId="2" borderId="0" xfId="6" applyFont="1" applyFill="1"/>
    <xf numFmtId="1" fontId="45" fillId="2" borderId="0" xfId="6" applyNumberFormat="1" applyFont="1" applyFill="1" applyAlignment="1">
      <alignment horizontal="center"/>
    </xf>
    <xf numFmtId="167" fontId="45" fillId="2" borderId="0" xfId="6" applyNumberFormat="1" applyFont="1" applyFill="1" applyAlignment="1">
      <alignment horizontal="center" wrapText="1"/>
    </xf>
    <xf numFmtId="0" fontId="45" fillId="2" borderId="26" xfId="6" applyFont="1" applyFill="1" applyBorder="1" applyAlignment="1">
      <alignment horizontal="center"/>
    </xf>
    <xf numFmtId="0" fontId="45" fillId="3" borderId="6" xfId="6" applyFont="1" applyFill="1" applyBorder="1" applyAlignment="1">
      <alignment horizontal="center"/>
    </xf>
    <xf numFmtId="0" fontId="45" fillId="3" borderId="7" xfId="6" applyFont="1" applyFill="1" applyBorder="1" applyAlignment="1">
      <alignment horizontal="center"/>
    </xf>
    <xf numFmtId="0" fontId="45" fillId="3" borderId="7" xfId="6" applyFont="1" applyFill="1" applyBorder="1"/>
    <xf numFmtId="0" fontId="3" fillId="3" borderId="7" xfId="6" applyFont="1" applyFill="1" applyBorder="1" applyAlignment="1">
      <alignment horizontal="center"/>
    </xf>
    <xf numFmtId="1" fontId="3" fillId="3" borderId="7" xfId="6" applyNumberFormat="1" applyFont="1" applyFill="1" applyBorder="1" applyAlignment="1">
      <alignment horizontal="center"/>
    </xf>
    <xf numFmtId="167" fontId="45" fillId="3" borderId="7" xfId="6" applyNumberFormat="1" applyFont="1" applyFill="1" applyBorder="1" applyAlignment="1">
      <alignment horizontal="center" wrapText="1"/>
    </xf>
    <xf numFmtId="0" fontId="45" fillId="3" borderId="8" xfId="6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2" fillId="0" borderId="46" xfId="0" applyFont="1" applyBorder="1" applyAlignment="1">
      <alignment horizontal="left"/>
    </xf>
    <xf numFmtId="0" fontId="3" fillId="11" borderId="55" xfId="9" applyFont="1" applyFill="1" applyBorder="1" applyAlignment="1">
      <alignment horizontal="center"/>
    </xf>
    <xf numFmtId="0" fontId="3" fillId="11" borderId="49" xfId="9" applyFont="1" applyFill="1" applyBorder="1" applyAlignment="1">
      <alignment horizontal="center"/>
    </xf>
    <xf numFmtId="0" fontId="45" fillId="2" borderId="56" xfId="9" applyFont="1" applyFill="1" applyBorder="1" applyAlignment="1">
      <alignment horizontal="left"/>
    </xf>
    <xf numFmtId="0" fontId="45" fillId="2" borderId="0" xfId="9" applyFont="1" applyFill="1" applyAlignment="1">
      <alignment horizontal="left"/>
    </xf>
    <xf numFmtId="0" fontId="4" fillId="2" borderId="56" xfId="9" applyFont="1" applyFill="1" applyBorder="1" applyAlignment="1">
      <alignment horizontal="left"/>
    </xf>
    <xf numFmtId="0" fontId="4" fillId="2" borderId="0" xfId="9" applyFont="1" applyFill="1" applyAlignment="1">
      <alignment horizontal="left"/>
    </xf>
    <xf numFmtId="0" fontId="45" fillId="0" borderId="15" xfId="0" applyFont="1" applyBorder="1" applyAlignment="1">
      <alignment horizontal="left" vertical="center"/>
    </xf>
    <xf numFmtId="0" fontId="45" fillId="0" borderId="19" xfId="0" applyFont="1" applyBorder="1" applyAlignment="1">
      <alignment horizontal="left" vertical="center"/>
    </xf>
    <xf numFmtId="0" fontId="45" fillId="0" borderId="3" xfId="0" applyFont="1" applyBorder="1" applyAlignment="1">
      <alignment horizontal="left" vertical="center"/>
    </xf>
    <xf numFmtId="0" fontId="45" fillId="0" borderId="11" xfId="0" applyFont="1" applyBorder="1" applyAlignment="1">
      <alignment horizontal="left" vertical="center"/>
    </xf>
    <xf numFmtId="0" fontId="45" fillId="0" borderId="15" xfId="0" applyFont="1" applyBorder="1" applyAlignment="1">
      <alignment horizontal="left"/>
    </xf>
    <xf numFmtId="0" fontId="45" fillId="0" borderId="19" xfId="0" applyFont="1" applyBorder="1" applyAlignment="1">
      <alignment horizontal="left"/>
    </xf>
    <xf numFmtId="0" fontId="45" fillId="0" borderId="3" xfId="0" applyFont="1" applyBorder="1" applyAlignment="1">
      <alignment horizontal="left"/>
    </xf>
    <xf numFmtId="0" fontId="45" fillId="0" borderId="11" xfId="0" applyFont="1" applyBorder="1" applyAlignment="1">
      <alignment horizontal="left"/>
    </xf>
    <xf numFmtId="0" fontId="45" fillId="0" borderId="45" xfId="0" applyFont="1" applyBorder="1" applyAlignment="1">
      <alignment horizontal="left"/>
    </xf>
    <xf numFmtId="0" fontId="45" fillId="0" borderId="46" xfId="0" applyFont="1" applyBorder="1" applyAlignment="1">
      <alignment horizontal="left"/>
    </xf>
    <xf numFmtId="0" fontId="45" fillId="0" borderId="18" xfId="0" applyFont="1" applyBorder="1" applyAlignment="1">
      <alignment horizontal="left"/>
    </xf>
    <xf numFmtId="0" fontId="42" fillId="0" borderId="46" xfId="0" applyFont="1" applyBorder="1" applyAlignment="1">
      <alignment horizontal="left"/>
    </xf>
    <xf numFmtId="0" fontId="45" fillId="0" borderId="51" xfId="6" applyFont="1" applyBorder="1" applyAlignment="1">
      <alignment horizontal="left"/>
    </xf>
    <xf numFmtId="0" fontId="45" fillId="0" borderId="43" xfId="6" applyFont="1" applyBorder="1" applyAlignment="1">
      <alignment horizontal="left"/>
    </xf>
    <xf numFmtId="0" fontId="45" fillId="0" borderId="47" xfId="6" applyFont="1" applyBorder="1" applyAlignment="1">
      <alignment horizontal="left"/>
    </xf>
    <xf numFmtId="0" fontId="3" fillId="0" borderId="45" xfId="6" applyFont="1" applyBorder="1" applyAlignment="1">
      <alignment horizontal="right"/>
    </xf>
    <xf numFmtId="0" fontId="3" fillId="0" borderId="46" xfId="6" applyFont="1" applyBorder="1" applyAlignment="1">
      <alignment horizontal="right"/>
    </xf>
    <xf numFmtId="0" fontId="3" fillId="0" borderId="19" xfId="6" applyFont="1" applyBorder="1" applyAlignment="1">
      <alignment horizontal="right"/>
    </xf>
    <xf numFmtId="0" fontId="45" fillId="0" borderId="3" xfId="6" applyFont="1" applyBorder="1" applyAlignment="1">
      <alignment horizontal="right"/>
    </xf>
    <xf numFmtId="167" fontId="45" fillId="0" borderId="17" xfId="6" applyNumberFormat="1" applyFont="1" applyBorder="1" applyAlignment="1">
      <alignment horizontal="center"/>
    </xf>
    <xf numFmtId="167" fontId="45" fillId="0" borderId="18" xfId="6" applyNumberFormat="1" applyFont="1" applyBorder="1" applyAlignment="1">
      <alignment horizontal="center"/>
    </xf>
    <xf numFmtId="167" fontId="45" fillId="0" borderId="17" xfId="6" applyNumberFormat="1" applyFont="1" applyBorder="1" applyAlignment="1">
      <alignment horizontal="right" wrapText="1"/>
    </xf>
    <xf numFmtId="167" fontId="45" fillId="0" borderId="19" xfId="6" applyNumberFormat="1" applyFont="1" applyBorder="1" applyAlignment="1">
      <alignment horizontal="right" wrapText="1"/>
    </xf>
    <xf numFmtId="0" fontId="3" fillId="0" borderId="16" xfId="6" applyFont="1" applyBorder="1" applyAlignment="1">
      <alignment horizontal="right"/>
    </xf>
    <xf numFmtId="0" fontId="3" fillId="0" borderId="20" xfId="6" applyFont="1" applyBorder="1" applyAlignment="1">
      <alignment horizontal="right"/>
    </xf>
    <xf numFmtId="0" fontId="3" fillId="0" borderId="10" xfId="6" applyFont="1" applyBorder="1" applyAlignment="1">
      <alignment horizontal="right"/>
    </xf>
    <xf numFmtId="0" fontId="45" fillId="0" borderId="10" xfId="6" applyFont="1" applyBorder="1" applyAlignment="1">
      <alignment horizontal="right"/>
    </xf>
    <xf numFmtId="167" fontId="45" fillId="0" borderId="42" xfId="6" applyNumberFormat="1" applyFont="1" applyBorder="1" applyAlignment="1">
      <alignment horizontal="center"/>
    </xf>
    <xf numFmtId="167" fontId="45" fillId="0" borderId="47" xfId="6" applyNumberFormat="1" applyFont="1" applyBorder="1" applyAlignment="1">
      <alignment horizontal="center"/>
    </xf>
    <xf numFmtId="0" fontId="3" fillId="3" borderId="6" xfId="6" applyFont="1" applyFill="1" applyBorder="1" applyAlignment="1">
      <alignment horizontal="left"/>
    </xf>
    <xf numFmtId="0" fontId="3" fillId="3" borderId="7" xfId="6" applyFont="1" applyFill="1" applyBorder="1" applyAlignment="1">
      <alignment horizontal="left"/>
    </xf>
    <xf numFmtId="0" fontId="3" fillId="3" borderId="8" xfId="6" applyFont="1" applyFill="1" applyBorder="1" applyAlignment="1">
      <alignment horizontal="left"/>
    </xf>
    <xf numFmtId="0" fontId="45" fillId="0" borderId="35" xfId="0" applyFont="1" applyBorder="1" applyAlignment="1">
      <alignment horizontal="left" vertical="center" wrapText="1"/>
    </xf>
    <xf numFmtId="0" fontId="45" fillId="0" borderId="36" xfId="0" applyFont="1" applyBorder="1" applyAlignment="1">
      <alignment horizontal="left" vertical="center" wrapText="1"/>
    </xf>
    <xf numFmtId="0" fontId="45" fillId="0" borderId="37" xfId="0" applyFont="1" applyBorder="1" applyAlignment="1">
      <alignment horizontal="left" vertical="center" wrapText="1"/>
    </xf>
    <xf numFmtId="0" fontId="3" fillId="0" borderId="29" xfId="6" applyFont="1" applyBorder="1" applyAlignment="1">
      <alignment horizontal="right"/>
    </xf>
    <xf numFmtId="0" fontId="3" fillId="0" borderId="30" xfId="6" applyFont="1" applyBorder="1" applyAlignment="1">
      <alignment horizontal="right"/>
    </xf>
    <xf numFmtId="0" fontId="3" fillId="0" borderId="54" xfId="6" applyFont="1" applyBorder="1" applyAlignment="1">
      <alignment horizontal="right"/>
    </xf>
    <xf numFmtId="167" fontId="45" fillId="0" borderId="4" xfId="6" applyNumberFormat="1" applyFont="1" applyBorder="1" applyAlignment="1">
      <alignment horizontal="right"/>
    </xf>
    <xf numFmtId="0" fontId="45" fillId="2" borderId="9" xfId="6" applyFont="1" applyFill="1" applyBorder="1" applyAlignment="1">
      <alignment horizontal="center"/>
    </xf>
    <xf numFmtId="0" fontId="45" fillId="2" borderId="31" xfId="6" applyFont="1" applyFill="1" applyBorder="1" applyAlignment="1">
      <alignment horizontal="center"/>
    </xf>
    <xf numFmtId="0" fontId="10" fillId="2" borderId="0" xfId="10" applyFont="1" applyFill="1" applyAlignment="1">
      <alignment horizontal="right"/>
    </xf>
    <xf numFmtId="0" fontId="40" fillId="2" borderId="44" xfId="10" applyFont="1" applyFill="1" applyBorder="1" applyAlignment="1">
      <alignment horizontal="center"/>
    </xf>
    <xf numFmtId="0" fontId="10" fillId="2" borderId="0" xfId="10" applyFont="1" applyFill="1"/>
    <xf numFmtId="0" fontId="5" fillId="3" borderId="53" xfId="6" applyFont="1" applyFill="1" applyBorder="1" applyAlignment="1">
      <alignment horizontal="center" vertical="center"/>
    </xf>
    <xf numFmtId="0" fontId="5" fillId="3" borderId="16" xfId="6" applyFont="1" applyFill="1" applyBorder="1" applyAlignment="1">
      <alignment horizontal="center" vertical="center"/>
    </xf>
    <xf numFmtId="0" fontId="5" fillId="3" borderId="53" xfId="6" applyFont="1" applyFill="1" applyBorder="1" applyAlignment="1">
      <alignment horizontal="center" vertical="center" wrapText="1"/>
    </xf>
    <xf numFmtId="0" fontId="5" fillId="3" borderId="16" xfId="6" applyFont="1" applyFill="1" applyBorder="1" applyAlignment="1">
      <alignment horizontal="center" vertical="center" wrapText="1"/>
    </xf>
    <xf numFmtId="0" fontId="5" fillId="3" borderId="2" xfId="6" applyFont="1" applyFill="1" applyBorder="1" applyAlignment="1">
      <alignment horizontal="center" vertical="center"/>
    </xf>
    <xf numFmtId="0" fontId="5" fillId="3" borderId="10" xfId="6" applyFont="1" applyFill="1" applyBorder="1" applyAlignment="1">
      <alignment horizontal="center" vertical="center"/>
    </xf>
    <xf numFmtId="14" fontId="4" fillId="2" borderId="38" xfId="9" applyNumberFormat="1" applyFont="1" applyFill="1" applyBorder="1" applyAlignment="1">
      <alignment horizontal="center" vertical="center" wrapText="1"/>
    </xf>
    <xf numFmtId="14" fontId="4" fillId="2" borderId="39" xfId="9" applyNumberFormat="1" applyFont="1" applyFill="1" applyBorder="1" applyAlignment="1">
      <alignment horizontal="center" vertical="center" wrapText="1"/>
    </xf>
    <xf numFmtId="14" fontId="4" fillId="2" borderId="5" xfId="9" applyNumberFormat="1" applyFont="1" applyFill="1" applyBorder="1" applyAlignment="1">
      <alignment horizontal="center" vertical="center" wrapText="1"/>
    </xf>
    <xf numFmtId="0" fontId="4" fillId="2" borderId="40" xfId="9" applyFont="1" applyFill="1" applyBorder="1" applyAlignment="1">
      <alignment horizontal="left"/>
    </xf>
    <xf numFmtId="0" fontId="4" fillId="2" borderId="36" xfId="9" applyFont="1" applyFill="1" applyBorder="1" applyAlignment="1">
      <alignment horizontal="left"/>
    </xf>
    <xf numFmtId="0" fontId="4" fillId="2" borderId="41" xfId="9" applyFont="1" applyFill="1" applyBorder="1" applyAlignment="1">
      <alignment horizontal="left"/>
    </xf>
    <xf numFmtId="0" fontId="4" fillId="2" borderId="17" xfId="9" applyFont="1" applyFill="1" applyBorder="1" applyAlignment="1">
      <alignment horizontal="left"/>
    </xf>
    <xf numFmtId="0" fontId="4" fillId="2" borderId="46" xfId="9" applyFont="1" applyFill="1" applyBorder="1" applyAlignment="1">
      <alignment horizontal="left"/>
    </xf>
    <xf numFmtId="0" fontId="4" fillId="2" borderId="19" xfId="9" applyFont="1" applyFill="1" applyBorder="1" applyAlignment="1">
      <alignment horizontal="left"/>
    </xf>
    <xf numFmtId="0" fontId="4" fillId="2" borderId="48" xfId="9" applyFont="1" applyFill="1" applyBorder="1" applyAlignment="1">
      <alignment horizontal="center"/>
    </xf>
    <xf numFmtId="0" fontId="4" fillId="2" borderId="49" xfId="9" applyFont="1" applyFill="1" applyBorder="1" applyAlignment="1">
      <alignment horizontal="center"/>
    </xf>
    <xf numFmtId="0" fontId="4" fillId="2" borderId="50" xfId="9" applyFont="1" applyFill="1" applyBorder="1" applyAlignment="1">
      <alignment horizontal="center"/>
    </xf>
    <xf numFmtId="0" fontId="4" fillId="2" borderId="0" xfId="9" applyFont="1" applyFill="1" applyAlignment="1">
      <alignment horizontal="center"/>
    </xf>
    <xf numFmtId="0" fontId="4" fillId="2" borderId="29" xfId="9" applyFont="1" applyFill="1" applyBorder="1" applyAlignment="1">
      <alignment horizontal="center"/>
    </xf>
    <xf numFmtId="0" fontId="4" fillId="2" borderId="30" xfId="9" applyFont="1" applyFill="1" applyBorder="1" applyAlignment="1">
      <alignment horizontal="center"/>
    </xf>
    <xf numFmtId="0" fontId="3" fillId="2" borderId="2" xfId="9" applyFont="1" applyFill="1" applyBorder="1" applyAlignment="1">
      <alignment horizontal="center"/>
    </xf>
    <xf numFmtId="0" fontId="3" fillId="2" borderId="52" xfId="9" applyFont="1" applyFill="1" applyBorder="1" applyAlignment="1">
      <alignment horizontal="center"/>
    </xf>
    <xf numFmtId="0" fontId="6" fillId="5" borderId="6" xfId="9" applyFont="1" applyFill="1" applyBorder="1" applyAlignment="1">
      <alignment horizontal="center" vertical="center" wrapText="1"/>
    </xf>
    <xf numFmtId="0" fontId="6" fillId="5" borderId="7" xfId="9" applyFont="1" applyFill="1" applyBorder="1" applyAlignment="1">
      <alignment horizontal="center" vertical="center" wrapText="1"/>
    </xf>
    <xf numFmtId="0" fontId="6" fillId="5" borderId="8" xfId="9" applyFont="1" applyFill="1" applyBorder="1" applyAlignment="1">
      <alignment horizontal="center" vertical="center" wrapText="1"/>
    </xf>
    <xf numFmtId="0" fontId="5" fillId="2" borderId="32" xfId="9" applyFont="1" applyFill="1" applyBorder="1" applyAlignment="1">
      <alignment horizontal="right" vertical="top" wrapText="1"/>
    </xf>
    <xf numFmtId="0" fontId="5" fillId="2" borderId="33" xfId="9" applyFont="1" applyFill="1" applyBorder="1" applyAlignment="1">
      <alignment horizontal="right" vertical="top" wrapText="1"/>
    </xf>
    <xf numFmtId="0" fontId="5" fillId="2" borderId="34" xfId="9" applyFont="1" applyFill="1" applyBorder="1" applyAlignment="1">
      <alignment horizontal="right" vertical="top" wrapText="1"/>
    </xf>
    <xf numFmtId="0" fontId="15" fillId="0" borderId="4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1" fillId="0" borderId="48" xfId="0" applyFont="1" applyBorder="1" applyAlignment="1">
      <alignment horizontal="right"/>
    </xf>
    <xf numFmtId="0" fontId="21" fillId="0" borderId="49" xfId="0" applyFont="1" applyBorder="1" applyAlignment="1">
      <alignment horizontal="right"/>
    </xf>
    <xf numFmtId="4" fontId="34" fillId="0" borderId="0" xfId="3" applyNumberFormat="1" applyFont="1" applyFill="1" applyAlignment="1">
      <alignment horizontal="center" vertical="center" wrapText="1"/>
    </xf>
    <xf numFmtId="0" fontId="8" fillId="0" borderId="3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8" fillId="0" borderId="3" xfId="0" applyFont="1" applyBorder="1" applyAlignment="1">
      <alignment horizontal="right" vertical="center"/>
    </xf>
    <xf numFmtId="0" fontId="29" fillId="0" borderId="50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26" xfId="0" applyFont="1" applyBorder="1" applyAlignment="1">
      <alignment horizontal="right"/>
    </xf>
    <xf numFmtId="0" fontId="20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0" fontId="36" fillId="0" borderId="8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44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5" fillId="4" borderId="6" xfId="0" applyFont="1" applyFill="1" applyBorder="1" applyAlignment="1">
      <alignment horizontal="right"/>
    </xf>
    <xf numFmtId="0" fontId="25" fillId="4" borderId="7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2" fillId="0" borderId="44" xfId="0" applyFont="1" applyBorder="1" applyAlignment="1">
      <alignment horizontal="right" vertical="center"/>
    </xf>
    <xf numFmtId="0" fontId="12" fillId="0" borderId="12" xfId="0" applyFont="1" applyBorder="1" applyAlignment="1">
      <alignment horizontal="right" vertical="center"/>
    </xf>
    <xf numFmtId="0" fontId="12" fillId="8" borderId="6" xfId="0" applyFont="1" applyFill="1" applyBorder="1" applyAlignment="1">
      <alignment horizontal="right" vertical="center"/>
    </xf>
    <xf numFmtId="0" fontId="12" fillId="8" borderId="7" xfId="0" applyFont="1" applyFill="1" applyBorder="1" applyAlignment="1">
      <alignment horizontal="right" vertical="center"/>
    </xf>
    <xf numFmtId="0" fontId="12" fillId="8" borderId="8" xfId="0" applyFont="1" applyFill="1" applyBorder="1" applyAlignment="1">
      <alignment horizontal="right" vertical="center"/>
    </xf>
  </cellXfs>
  <cellStyles count="16">
    <cellStyle name="Euro" xfId="1" xr:uid="{767C96B5-EAD5-40D2-8CA9-1E274F8EC625}"/>
    <cellStyle name="Millares" xfId="2" builtinId="3"/>
    <cellStyle name="Millares [0]" xfId="3" builtinId="6"/>
    <cellStyle name="Millares [0] 2" xfId="4" xr:uid="{BE2A2075-AB0B-4BE4-87DB-3C47A197420B}"/>
    <cellStyle name="Millares 2" xfId="5" xr:uid="{4127456D-ECF2-434D-ACBB-E0680E04B662}"/>
    <cellStyle name="Normal" xfId="0" builtinId="0"/>
    <cellStyle name="Normal 2" xfId="6" xr:uid="{9B27CDEC-81B9-476B-8BC0-7587D4CE8705}"/>
    <cellStyle name="Normal 3" xfId="7" xr:uid="{BA609A56-BA1F-473F-BE50-94126C2DBE54}"/>
    <cellStyle name="Normal 3 2" xfId="15" xr:uid="{C3F1556E-192F-41D8-A528-4F3CE57FF2EF}"/>
    <cellStyle name="Normal 4" xfId="8" xr:uid="{EB500102-BB3B-4EFA-9FC8-EDC7CCF72762}"/>
    <cellStyle name="Normal_CRITERIOS DE EVALUACION PT DE GB" xfId="9" xr:uid="{B839EAAE-0E0F-4039-807A-5DEF239E3ECE}"/>
    <cellStyle name="Normal_CRITERIOS DE EVALUACION PT DE GB 2" xfId="10" xr:uid="{10D23463-0FC3-4F9D-8F96-FB73365A108F}"/>
    <cellStyle name="Porcentaje 2" xfId="11" xr:uid="{998C15AA-5D87-4FE6-BC29-598E1F0891A6}"/>
    <cellStyle name="Porcentaje 2 2" xfId="12" xr:uid="{5E66C0CE-ED40-4E26-BD91-F9ADA3033F9B}"/>
    <cellStyle name="Porcentaje 3" xfId="13" xr:uid="{BA750541-9F50-41A7-BA02-AB0D57813874}"/>
    <cellStyle name="Porcentaje 4" xfId="14" xr:uid="{CBBCB5FE-3DD6-4A20-A7A9-787862573D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52917</xdr:colOff>
      <xdr:row>1</xdr:row>
      <xdr:rowOff>21166</xdr:rowOff>
    </xdr:from>
    <xdr:to>
      <xdr:col>1</xdr:col>
      <xdr:colOff>654426</xdr:colOff>
      <xdr:row>4</xdr:row>
      <xdr:rowOff>10582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145270B-0CEA-4560-90FD-7C28A8424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" y="222249"/>
          <a:ext cx="1363509" cy="613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AFB7-0CE4-4389-BBFE-CAB72A78DD9A}">
  <dimension ref="A1:I66"/>
  <sheetViews>
    <sheetView tabSelected="1" zoomScale="90" zoomScaleNormal="90" workbookViewId="0">
      <selection activeCell="C1" sqref="C1:G1"/>
    </sheetView>
  </sheetViews>
  <sheetFormatPr baseColWidth="10" defaultRowHeight="12.75" x14ac:dyDescent="0.2"/>
  <cols>
    <col min="3" max="3" width="49" customWidth="1"/>
    <col min="4" max="4" width="34.28515625" bestFit="1" customWidth="1"/>
    <col min="6" max="6" width="18.42578125" customWidth="1"/>
    <col min="8" max="8" width="27" customWidth="1"/>
    <col min="9" max="9" width="20.42578125" bestFit="1" customWidth="1"/>
  </cols>
  <sheetData>
    <row r="1" spans="1:9" ht="15.75" x14ac:dyDescent="0.25">
      <c r="A1" s="255"/>
      <c r="B1" s="256"/>
      <c r="C1" s="261" t="s">
        <v>21</v>
      </c>
      <c r="D1" s="261"/>
      <c r="E1" s="261"/>
      <c r="F1" s="261"/>
      <c r="G1" s="261"/>
      <c r="H1" s="1" t="s">
        <v>0</v>
      </c>
      <c r="I1" s="5" t="s">
        <v>126</v>
      </c>
    </row>
    <row r="2" spans="1:9" ht="16.5" thickBot="1" x14ac:dyDescent="0.3">
      <c r="A2" s="257"/>
      <c r="B2" s="258"/>
      <c r="C2" s="262" t="s">
        <v>1</v>
      </c>
      <c r="D2" s="262"/>
      <c r="E2" s="262"/>
      <c r="F2" s="262"/>
      <c r="G2" s="262"/>
      <c r="H2" s="2" t="s">
        <v>2</v>
      </c>
      <c r="I2" s="4" t="s">
        <v>127</v>
      </c>
    </row>
    <row r="3" spans="1:9" ht="18.75" thickBot="1" x14ac:dyDescent="0.25">
      <c r="A3" s="257"/>
      <c r="B3" s="258"/>
      <c r="C3" s="263" t="s">
        <v>125</v>
      </c>
      <c r="D3" s="264"/>
      <c r="E3" s="264"/>
      <c r="F3" s="264"/>
      <c r="G3" s="265"/>
      <c r="H3" s="266" t="s">
        <v>3</v>
      </c>
      <c r="I3" s="246">
        <v>45609</v>
      </c>
    </row>
    <row r="4" spans="1:9" ht="13.5" x14ac:dyDescent="0.25">
      <c r="A4" s="257"/>
      <c r="B4" s="258"/>
      <c r="C4" s="3" t="s">
        <v>4</v>
      </c>
      <c r="D4" s="249" t="s">
        <v>128</v>
      </c>
      <c r="E4" s="250"/>
      <c r="F4" s="250"/>
      <c r="G4" s="251"/>
      <c r="H4" s="267"/>
      <c r="I4" s="247"/>
    </row>
    <row r="5" spans="1:9" ht="14.25" thickBot="1" x14ac:dyDescent="0.3">
      <c r="A5" s="259"/>
      <c r="B5" s="260"/>
      <c r="C5" s="103" t="s">
        <v>5</v>
      </c>
      <c r="D5" s="252" t="s">
        <v>129</v>
      </c>
      <c r="E5" s="253"/>
      <c r="F5" s="253"/>
      <c r="G5" s="254"/>
      <c r="H5" s="268"/>
      <c r="I5" s="248"/>
    </row>
    <row r="6" spans="1:9" ht="18.75" thickBot="1" x14ac:dyDescent="0.3">
      <c r="A6" s="237" t="s">
        <v>28</v>
      </c>
      <c r="B6" s="237"/>
      <c r="C6" s="237"/>
      <c r="D6" s="238" t="s">
        <v>130</v>
      </c>
      <c r="E6" s="238"/>
      <c r="F6" s="238"/>
      <c r="G6" s="239" t="s">
        <v>27</v>
      </c>
      <c r="H6" s="239"/>
      <c r="I6" s="104" t="s">
        <v>130</v>
      </c>
    </row>
    <row r="7" spans="1:9" x14ac:dyDescent="0.2">
      <c r="A7" s="240" t="s">
        <v>6</v>
      </c>
      <c r="B7" s="242" t="s">
        <v>131</v>
      </c>
      <c r="C7" s="244" t="s">
        <v>7</v>
      </c>
      <c r="D7" s="244" t="s">
        <v>8</v>
      </c>
      <c r="E7" s="244" t="s">
        <v>9</v>
      </c>
      <c r="F7" s="244"/>
      <c r="G7" s="244" t="s">
        <v>10</v>
      </c>
      <c r="H7" s="244"/>
      <c r="I7" s="105" t="s">
        <v>11</v>
      </c>
    </row>
    <row r="8" spans="1:9" ht="13.5" thickBot="1" x14ac:dyDescent="0.25">
      <c r="A8" s="241"/>
      <c r="B8" s="243"/>
      <c r="C8" s="245"/>
      <c r="D8" s="245"/>
      <c r="E8" s="106" t="s">
        <v>12</v>
      </c>
      <c r="F8" s="107" t="s">
        <v>13</v>
      </c>
      <c r="G8" s="106" t="s">
        <v>12</v>
      </c>
      <c r="H8" s="107" t="s">
        <v>13</v>
      </c>
      <c r="I8" s="108" t="s">
        <v>14</v>
      </c>
    </row>
    <row r="9" spans="1:9" ht="16.5" thickBot="1" x14ac:dyDescent="0.3">
      <c r="A9" s="116"/>
      <c r="B9" s="117"/>
      <c r="C9" s="118" t="s">
        <v>132</v>
      </c>
      <c r="D9" s="119"/>
      <c r="E9" s="120"/>
      <c r="F9" s="121"/>
      <c r="G9" s="120"/>
      <c r="H9" s="121"/>
      <c r="I9" s="122"/>
    </row>
    <row r="10" spans="1:9" ht="15.95" customHeight="1" x14ac:dyDescent="0.3">
      <c r="A10" s="123" t="s">
        <v>48</v>
      </c>
      <c r="B10" s="124" t="s">
        <v>56</v>
      </c>
      <c r="C10" s="125" t="s">
        <v>31</v>
      </c>
      <c r="D10" s="126" t="s">
        <v>22</v>
      </c>
      <c r="E10" s="127">
        <v>150</v>
      </c>
      <c r="F10" s="128" t="s">
        <v>25</v>
      </c>
      <c r="G10" s="129"/>
      <c r="H10" s="121"/>
      <c r="I10" s="122"/>
    </row>
    <row r="11" spans="1:9" ht="17.25" x14ac:dyDescent="0.3">
      <c r="A11" s="123">
        <v>101035</v>
      </c>
      <c r="B11" s="130" t="s">
        <v>49</v>
      </c>
      <c r="C11" s="125" t="s">
        <v>32</v>
      </c>
      <c r="D11" s="131" t="s">
        <v>22</v>
      </c>
      <c r="E11" s="132">
        <v>1875</v>
      </c>
      <c r="F11" s="133" t="s">
        <v>25</v>
      </c>
      <c r="G11" s="129"/>
      <c r="H11" s="121"/>
      <c r="I11" s="122"/>
    </row>
    <row r="12" spans="1:9" ht="17.25" x14ac:dyDescent="0.3">
      <c r="A12" s="123">
        <v>101115</v>
      </c>
      <c r="B12" s="130" t="s">
        <v>50</v>
      </c>
      <c r="C12" s="125" t="s">
        <v>44</v>
      </c>
      <c r="D12" s="131" t="s">
        <v>22</v>
      </c>
      <c r="E12" s="132">
        <v>900</v>
      </c>
      <c r="F12" s="133" t="s">
        <v>25</v>
      </c>
      <c r="G12" s="129"/>
      <c r="H12" s="121"/>
      <c r="I12" s="122"/>
    </row>
    <row r="13" spans="1:9" ht="17.25" x14ac:dyDescent="0.3">
      <c r="A13" s="123">
        <v>10100050</v>
      </c>
      <c r="B13" s="130" t="s">
        <v>51</v>
      </c>
      <c r="C13" s="125" t="s">
        <v>33</v>
      </c>
      <c r="D13" s="131" t="s">
        <v>23</v>
      </c>
      <c r="E13" s="132">
        <v>195</v>
      </c>
      <c r="F13" s="133" t="s">
        <v>25</v>
      </c>
      <c r="G13" s="129"/>
      <c r="H13" s="121"/>
      <c r="I13" s="122"/>
    </row>
    <row r="14" spans="1:9" ht="17.25" x14ac:dyDescent="0.3">
      <c r="A14" s="123"/>
      <c r="B14" s="134" t="s">
        <v>60</v>
      </c>
      <c r="C14" s="135" t="s">
        <v>133</v>
      </c>
      <c r="D14" s="131" t="s">
        <v>62</v>
      </c>
      <c r="E14" s="132">
        <v>9375</v>
      </c>
      <c r="F14" s="133" t="s">
        <v>25</v>
      </c>
      <c r="G14" s="129"/>
      <c r="H14" s="121"/>
      <c r="I14" s="122"/>
    </row>
    <row r="15" spans="1:9" ht="17.25" x14ac:dyDescent="0.3">
      <c r="A15" s="123">
        <v>10100125</v>
      </c>
      <c r="B15" s="130" t="s">
        <v>52</v>
      </c>
      <c r="C15" s="125" t="s">
        <v>37</v>
      </c>
      <c r="D15" s="131" t="s">
        <v>38</v>
      </c>
      <c r="E15" s="132">
        <v>660</v>
      </c>
      <c r="F15" s="133" t="s">
        <v>25</v>
      </c>
      <c r="G15" s="129"/>
      <c r="H15" s="121"/>
      <c r="I15" s="122"/>
    </row>
    <row r="16" spans="1:9" ht="17.25" x14ac:dyDescent="0.3">
      <c r="A16" s="123" t="s">
        <v>34</v>
      </c>
      <c r="B16" s="130"/>
      <c r="C16" s="125" t="s">
        <v>35</v>
      </c>
      <c r="D16" s="131" t="s">
        <v>36</v>
      </c>
      <c r="E16" s="132">
        <v>4650</v>
      </c>
      <c r="F16" s="133" t="s">
        <v>25</v>
      </c>
      <c r="G16" s="136"/>
      <c r="H16" s="121"/>
      <c r="I16" s="122"/>
    </row>
    <row r="17" spans="1:9" ht="17.25" x14ac:dyDescent="0.3">
      <c r="A17" s="137" t="s">
        <v>58</v>
      </c>
      <c r="B17" s="124" t="s">
        <v>57</v>
      </c>
      <c r="C17" s="138" t="s">
        <v>134</v>
      </c>
      <c r="D17" s="131"/>
      <c r="E17" s="132">
        <v>1200</v>
      </c>
      <c r="F17" s="133" t="s">
        <v>25</v>
      </c>
      <c r="G17" s="139"/>
      <c r="H17" s="121"/>
      <c r="I17" s="122"/>
    </row>
    <row r="18" spans="1:9" ht="17.25" x14ac:dyDescent="0.3">
      <c r="A18" s="123" t="s">
        <v>39</v>
      </c>
      <c r="B18" s="130" t="s">
        <v>53</v>
      </c>
      <c r="C18" s="125" t="s">
        <v>40</v>
      </c>
      <c r="D18" s="131" t="s">
        <v>36</v>
      </c>
      <c r="E18" s="132">
        <v>30</v>
      </c>
      <c r="F18" s="133" t="s">
        <v>25</v>
      </c>
      <c r="G18" s="139"/>
      <c r="H18" s="121"/>
      <c r="I18" s="122"/>
    </row>
    <row r="19" spans="1:9" ht="17.25" x14ac:dyDescent="0.3">
      <c r="A19" s="123" t="s">
        <v>41</v>
      </c>
      <c r="B19" s="130" t="s">
        <v>54</v>
      </c>
      <c r="C19" s="125" t="s">
        <v>42</v>
      </c>
      <c r="D19" s="131" t="s">
        <v>36</v>
      </c>
      <c r="E19" s="132">
        <v>285</v>
      </c>
      <c r="F19" s="133" t="s">
        <v>25</v>
      </c>
      <c r="G19" s="139"/>
      <c r="H19" s="121"/>
      <c r="I19" s="122"/>
    </row>
    <row r="20" spans="1:9" ht="17.25" x14ac:dyDescent="0.3">
      <c r="A20" s="123">
        <v>1212412</v>
      </c>
      <c r="B20" s="130" t="s">
        <v>55</v>
      </c>
      <c r="C20" s="125" t="s">
        <v>43</v>
      </c>
      <c r="D20" s="131" t="s">
        <v>24</v>
      </c>
      <c r="E20" s="132">
        <v>30</v>
      </c>
      <c r="F20" s="133" t="s">
        <v>25</v>
      </c>
      <c r="G20" s="139"/>
      <c r="H20" s="121"/>
      <c r="I20" s="122"/>
    </row>
    <row r="21" spans="1:9" ht="15.75" x14ac:dyDescent="0.25">
      <c r="A21" s="140"/>
      <c r="B21" s="141"/>
      <c r="C21" s="142"/>
      <c r="D21" s="109"/>
      <c r="E21" s="110"/>
      <c r="F21" s="111"/>
      <c r="G21" s="139"/>
      <c r="H21" s="121"/>
      <c r="I21" s="122"/>
    </row>
    <row r="22" spans="1:9" ht="15.75" x14ac:dyDescent="0.25">
      <c r="A22" s="140"/>
      <c r="B22" s="141"/>
      <c r="C22" s="142"/>
      <c r="D22" s="109"/>
      <c r="E22" s="110"/>
      <c r="F22" s="111"/>
      <c r="G22" s="139"/>
      <c r="H22" s="121"/>
      <c r="I22" s="122"/>
    </row>
    <row r="23" spans="1:9" ht="15.75" x14ac:dyDescent="0.25">
      <c r="A23" s="124"/>
      <c r="B23" s="124"/>
      <c r="C23" s="138"/>
      <c r="D23" s="109"/>
      <c r="E23" s="143"/>
      <c r="F23" s="111"/>
      <c r="G23" s="139"/>
      <c r="H23" s="121"/>
      <c r="I23" s="122"/>
    </row>
    <row r="24" spans="1:9" ht="15.75" x14ac:dyDescent="0.25">
      <c r="A24" s="144"/>
      <c r="B24" s="144"/>
      <c r="C24" s="145"/>
      <c r="D24" s="109"/>
      <c r="E24" s="146"/>
      <c r="F24" s="111"/>
      <c r="G24" s="120"/>
      <c r="H24" s="121"/>
      <c r="I24" s="122"/>
    </row>
    <row r="25" spans="1:9" ht="15.75" x14ac:dyDescent="0.25">
      <c r="A25" s="144"/>
      <c r="B25" s="144"/>
      <c r="C25" s="145"/>
      <c r="D25" s="109"/>
      <c r="E25" s="143"/>
      <c r="F25" s="111"/>
      <c r="G25" s="120"/>
      <c r="H25" s="121"/>
      <c r="I25" s="122"/>
    </row>
    <row r="26" spans="1:9" ht="15.75" x14ac:dyDescent="0.25">
      <c r="A26" s="124"/>
      <c r="B26" s="124"/>
      <c r="C26" s="138"/>
      <c r="D26" s="109"/>
      <c r="E26" s="146"/>
      <c r="F26" s="111"/>
      <c r="G26" s="120"/>
      <c r="H26" s="121"/>
      <c r="I26" s="122"/>
    </row>
    <row r="27" spans="1:9" ht="17.25" x14ac:dyDescent="0.3">
      <c r="A27" s="147"/>
      <c r="B27" s="124"/>
      <c r="C27" s="148"/>
      <c r="D27" s="109"/>
      <c r="E27" s="143"/>
      <c r="F27" s="111"/>
      <c r="G27" s="120"/>
      <c r="H27" s="121"/>
      <c r="I27" s="122"/>
    </row>
    <row r="28" spans="1:9" ht="15.75" x14ac:dyDescent="0.25">
      <c r="A28" s="124"/>
      <c r="B28" s="124"/>
      <c r="C28" s="149"/>
      <c r="D28" s="115"/>
      <c r="E28" s="115"/>
      <c r="F28" s="150"/>
      <c r="G28" s="120"/>
      <c r="H28" s="121"/>
      <c r="I28" s="122"/>
    </row>
    <row r="29" spans="1:9" ht="15.75" x14ac:dyDescent="0.25">
      <c r="A29" s="140"/>
      <c r="B29" s="141"/>
      <c r="C29" s="112" t="s">
        <v>135</v>
      </c>
      <c r="D29" s="114"/>
      <c r="E29" s="151"/>
      <c r="F29" s="150"/>
      <c r="G29" s="120"/>
      <c r="H29" s="121"/>
      <c r="I29" s="122"/>
    </row>
    <row r="30" spans="1:9" ht="15.75" x14ac:dyDescent="0.25">
      <c r="A30" s="152"/>
      <c r="B30" s="153"/>
      <c r="C30" s="154"/>
      <c r="D30" s="155"/>
      <c r="E30" s="115"/>
      <c r="F30" s="150"/>
      <c r="G30" s="120"/>
      <c r="H30" s="121"/>
      <c r="I30" s="122"/>
    </row>
    <row r="31" spans="1:9" ht="15.75" x14ac:dyDescent="0.25">
      <c r="A31" s="124"/>
      <c r="B31" s="124"/>
      <c r="C31" s="149"/>
      <c r="D31" s="155"/>
      <c r="E31" s="115"/>
      <c r="F31" s="150"/>
      <c r="G31" s="120"/>
      <c r="H31" s="121"/>
      <c r="I31" s="122"/>
    </row>
    <row r="32" spans="1:9" ht="15.75" x14ac:dyDescent="0.25">
      <c r="A32" s="156"/>
      <c r="B32" s="156"/>
      <c r="C32" s="154"/>
      <c r="D32" s="155"/>
      <c r="E32" s="115"/>
      <c r="F32" s="150"/>
      <c r="G32" s="120"/>
      <c r="H32" s="121"/>
      <c r="I32" s="122"/>
    </row>
    <row r="33" spans="1:9" ht="15.75" x14ac:dyDescent="0.25">
      <c r="A33" s="124"/>
      <c r="B33" s="124"/>
      <c r="C33" s="149"/>
      <c r="D33" s="115"/>
      <c r="E33" s="114"/>
      <c r="F33" s="150"/>
      <c r="G33" s="120"/>
      <c r="H33" s="121"/>
      <c r="I33" s="122"/>
    </row>
    <row r="34" spans="1:9" ht="15.75" x14ac:dyDescent="0.25">
      <c r="A34" s="124"/>
      <c r="B34" s="124"/>
      <c r="C34" s="149"/>
      <c r="D34" s="109"/>
      <c r="E34" s="157"/>
      <c r="F34" s="158"/>
      <c r="G34" s="120"/>
      <c r="H34" s="121"/>
      <c r="I34" s="122"/>
    </row>
    <row r="35" spans="1:9" ht="15.75" x14ac:dyDescent="0.25">
      <c r="A35" s="159"/>
      <c r="B35" s="160"/>
      <c r="C35" s="113" t="s">
        <v>136</v>
      </c>
      <c r="D35" s="161"/>
      <c r="E35" s="120"/>
      <c r="F35" s="121"/>
      <c r="G35" s="120"/>
      <c r="H35" s="121"/>
      <c r="I35" s="122"/>
    </row>
    <row r="36" spans="1:9" ht="15.75" x14ac:dyDescent="0.25">
      <c r="A36" s="140"/>
      <c r="B36" s="141"/>
      <c r="C36" s="142"/>
      <c r="D36" s="109"/>
      <c r="E36" s="110"/>
      <c r="F36" s="111"/>
      <c r="G36" s="162"/>
      <c r="H36" s="114"/>
      <c r="I36" s="122"/>
    </row>
    <row r="37" spans="1:9" ht="17.25" x14ac:dyDescent="0.3">
      <c r="A37" s="144"/>
      <c r="B37" s="144"/>
      <c r="C37" s="145"/>
      <c r="D37" s="163"/>
      <c r="E37" s="129"/>
      <c r="F37" s="164"/>
      <c r="G37" s="162"/>
      <c r="H37" s="114"/>
      <c r="I37" s="122"/>
    </row>
    <row r="38" spans="1:9" ht="15.75" x14ac:dyDescent="0.25">
      <c r="A38" s="165"/>
      <c r="B38" s="166"/>
      <c r="C38" s="167"/>
      <c r="D38" s="114"/>
      <c r="E38" s="115"/>
      <c r="F38" s="150"/>
      <c r="G38" s="120"/>
      <c r="H38" s="121"/>
      <c r="I38" s="122"/>
    </row>
    <row r="39" spans="1:9" ht="15.75" x14ac:dyDescent="0.25">
      <c r="A39" s="168"/>
      <c r="B39" s="168"/>
      <c r="C39" s="149"/>
      <c r="D39" s="114"/>
      <c r="E39" s="115"/>
      <c r="F39" s="150"/>
      <c r="G39" s="120"/>
      <c r="H39" s="121"/>
      <c r="I39" s="122"/>
    </row>
    <row r="40" spans="1:9" ht="15.75" x14ac:dyDescent="0.25">
      <c r="A40" s="165"/>
      <c r="B40" s="166"/>
      <c r="C40" s="167"/>
      <c r="D40" s="114"/>
      <c r="E40" s="115"/>
      <c r="F40" s="150"/>
      <c r="G40" s="120"/>
      <c r="H40" s="121"/>
      <c r="I40" s="122"/>
    </row>
    <row r="41" spans="1:9" ht="15.75" x14ac:dyDescent="0.25">
      <c r="A41" s="165"/>
      <c r="B41" s="166"/>
      <c r="C41" s="167"/>
      <c r="D41" s="114"/>
      <c r="E41" s="115"/>
      <c r="F41" s="150"/>
      <c r="G41" s="169"/>
      <c r="H41" s="114"/>
      <c r="I41" s="122"/>
    </row>
    <row r="42" spans="1:9" ht="15.75" x14ac:dyDescent="0.25">
      <c r="A42" s="140"/>
      <c r="B42" s="141"/>
      <c r="C42" s="142"/>
      <c r="D42" s="114"/>
      <c r="E42" s="115"/>
      <c r="F42" s="150"/>
      <c r="G42" s="115"/>
      <c r="H42" s="114"/>
      <c r="I42" s="122"/>
    </row>
    <row r="43" spans="1:9" ht="15.75" x14ac:dyDescent="0.25">
      <c r="A43" s="140"/>
      <c r="B43" s="141"/>
      <c r="C43" s="142"/>
      <c r="D43" s="114"/>
      <c r="E43" s="115"/>
      <c r="F43" s="150"/>
      <c r="G43" s="115"/>
      <c r="H43" s="150"/>
      <c r="I43" s="122"/>
    </row>
    <row r="44" spans="1:9" ht="15.75" x14ac:dyDescent="0.25">
      <c r="A44" s="140"/>
      <c r="B44" s="141"/>
      <c r="C44" s="142"/>
      <c r="D44" s="114"/>
      <c r="E44" s="114"/>
      <c r="F44" s="150"/>
      <c r="G44" s="114"/>
      <c r="H44" s="114"/>
      <c r="I44" s="122"/>
    </row>
    <row r="45" spans="1:9" ht="18" thickBot="1" x14ac:dyDescent="0.35">
      <c r="A45" s="170"/>
      <c r="B45" s="171"/>
      <c r="C45" s="172"/>
      <c r="D45" s="172"/>
      <c r="E45" s="173"/>
      <c r="F45" s="174"/>
      <c r="G45" s="172"/>
      <c r="H45" s="172"/>
      <c r="I45" s="175"/>
    </row>
    <row r="46" spans="1:9" ht="18" thickBot="1" x14ac:dyDescent="0.35">
      <c r="A46" s="176"/>
      <c r="B46" s="177"/>
      <c r="C46" s="178"/>
      <c r="D46" s="179" t="s">
        <v>12</v>
      </c>
      <c r="E46" s="180" t="s">
        <v>137</v>
      </c>
      <c r="F46" s="181"/>
      <c r="G46" s="178"/>
      <c r="H46" s="178"/>
      <c r="I46" s="182"/>
    </row>
    <row r="47" spans="1:9" ht="17.25" x14ac:dyDescent="0.3">
      <c r="A47" s="231" t="s">
        <v>15</v>
      </c>
      <c r="B47" s="232"/>
      <c r="C47" s="233"/>
      <c r="D47" s="183">
        <v>15000</v>
      </c>
      <c r="E47" s="184" t="s">
        <v>25</v>
      </c>
      <c r="F47" s="234" t="s">
        <v>138</v>
      </c>
      <c r="G47" s="234"/>
      <c r="H47" s="235"/>
      <c r="I47" s="236"/>
    </row>
    <row r="48" spans="1:9" ht="17.25" x14ac:dyDescent="0.3">
      <c r="A48" s="211" t="s">
        <v>16</v>
      </c>
      <c r="B48" s="212"/>
      <c r="C48" s="213"/>
      <c r="D48" s="185">
        <v>10</v>
      </c>
      <c r="E48" s="124" t="s">
        <v>26</v>
      </c>
      <c r="F48" s="214" t="s">
        <v>139</v>
      </c>
      <c r="G48" s="214"/>
      <c r="H48" s="215"/>
      <c r="I48" s="216"/>
    </row>
    <row r="49" spans="1:9" ht="17.25" x14ac:dyDescent="0.3">
      <c r="A49" s="211" t="s">
        <v>17</v>
      </c>
      <c r="B49" s="212"/>
      <c r="C49" s="213"/>
      <c r="D49" s="124">
        <v>15000</v>
      </c>
      <c r="E49" s="124" t="s">
        <v>46</v>
      </c>
      <c r="F49" s="214" t="s">
        <v>140</v>
      </c>
      <c r="G49" s="214"/>
      <c r="H49" s="215"/>
      <c r="I49" s="216"/>
    </row>
    <row r="50" spans="1:9" ht="17.25" x14ac:dyDescent="0.3">
      <c r="A50" s="211" t="s">
        <v>18</v>
      </c>
      <c r="B50" s="212"/>
      <c r="C50" s="213"/>
      <c r="D50" s="186">
        <v>200</v>
      </c>
      <c r="E50" s="124" t="s">
        <v>25</v>
      </c>
      <c r="F50" s="217" t="s">
        <v>141</v>
      </c>
      <c r="G50" s="218"/>
      <c r="H50" s="215"/>
      <c r="I50" s="216"/>
    </row>
    <row r="51" spans="1:9" ht="18" thickBot="1" x14ac:dyDescent="0.35">
      <c r="A51" s="219" t="s">
        <v>19</v>
      </c>
      <c r="B51" s="220"/>
      <c r="C51" s="221"/>
      <c r="D51" s="187">
        <v>4350</v>
      </c>
      <c r="E51" s="188" t="s">
        <v>25</v>
      </c>
      <c r="F51" s="222"/>
      <c r="G51" s="222"/>
      <c r="H51" s="223"/>
      <c r="I51" s="224"/>
    </row>
    <row r="52" spans="1:9" ht="15.75" thickBot="1" x14ac:dyDescent="0.25">
      <c r="A52" s="225" t="s">
        <v>20</v>
      </c>
      <c r="B52" s="226"/>
      <c r="C52" s="226"/>
      <c r="D52" s="226"/>
      <c r="E52" s="226"/>
      <c r="F52" s="226"/>
      <c r="G52" s="226"/>
      <c r="H52" s="226"/>
      <c r="I52" s="227"/>
    </row>
    <row r="53" spans="1:9" ht="17.25" x14ac:dyDescent="0.2">
      <c r="A53" s="228" t="s">
        <v>63</v>
      </c>
      <c r="B53" s="229"/>
      <c r="C53" s="229"/>
      <c r="D53" s="229"/>
      <c r="E53" s="229"/>
      <c r="F53" s="229"/>
      <c r="G53" s="229"/>
      <c r="H53" s="229"/>
      <c r="I53" s="230"/>
    </row>
    <row r="54" spans="1:9" ht="17.25" x14ac:dyDescent="0.2">
      <c r="A54" s="196" t="s">
        <v>64</v>
      </c>
      <c r="B54" s="197"/>
      <c r="C54" s="198"/>
      <c r="D54" s="198"/>
      <c r="E54" s="198"/>
      <c r="F54" s="198"/>
      <c r="G54" s="198"/>
      <c r="H54" s="198"/>
      <c r="I54" s="199"/>
    </row>
    <row r="55" spans="1:9" ht="17.25" x14ac:dyDescent="0.2">
      <c r="A55" s="196" t="s">
        <v>45</v>
      </c>
      <c r="B55" s="197"/>
      <c r="C55" s="198"/>
      <c r="D55" s="198"/>
      <c r="E55" s="198"/>
      <c r="F55" s="198"/>
      <c r="G55" s="198"/>
      <c r="H55" s="198"/>
      <c r="I55" s="199"/>
    </row>
    <row r="56" spans="1:9" ht="17.25" x14ac:dyDescent="0.3">
      <c r="A56" s="200" t="s">
        <v>47</v>
      </c>
      <c r="B56" s="201"/>
      <c r="C56" s="202"/>
      <c r="D56" s="202"/>
      <c r="E56" s="202"/>
      <c r="F56" s="202"/>
      <c r="G56" s="202"/>
      <c r="H56" s="202"/>
      <c r="I56" s="203"/>
    </row>
    <row r="57" spans="1:9" ht="17.25" x14ac:dyDescent="0.3">
      <c r="A57" s="204" t="s">
        <v>30</v>
      </c>
      <c r="B57" s="205"/>
      <c r="C57" s="205"/>
      <c r="D57" s="205"/>
      <c r="E57" s="205"/>
      <c r="F57" s="205"/>
      <c r="G57" s="205"/>
      <c r="H57" s="205"/>
      <c r="I57" s="206"/>
    </row>
    <row r="58" spans="1:9" ht="15.75" x14ac:dyDescent="0.25">
      <c r="A58" s="207"/>
      <c r="B58" s="207"/>
      <c r="C58" s="207"/>
      <c r="D58" s="207"/>
      <c r="E58" s="207"/>
      <c r="F58" s="207"/>
      <c r="G58" s="207"/>
      <c r="H58" s="207"/>
      <c r="I58" s="207"/>
    </row>
    <row r="59" spans="1:9" ht="15.75" x14ac:dyDescent="0.25">
      <c r="A59" s="189"/>
      <c r="B59" s="189"/>
      <c r="C59" s="189"/>
      <c r="D59" s="189"/>
      <c r="E59" s="189"/>
      <c r="F59" s="189"/>
      <c r="G59" s="189"/>
      <c r="H59" s="189"/>
      <c r="I59" s="189"/>
    </row>
    <row r="60" spans="1:9" ht="15.75" x14ac:dyDescent="0.25">
      <c r="A60" s="207"/>
      <c r="B60" s="207"/>
      <c r="C60" s="207"/>
      <c r="D60" s="207"/>
      <c r="E60" s="207"/>
      <c r="F60" s="207"/>
      <c r="G60" s="207"/>
      <c r="H60" s="207"/>
      <c r="I60" s="207"/>
    </row>
    <row r="61" spans="1:9" ht="18" customHeight="1" x14ac:dyDescent="0.25">
      <c r="A61" s="189"/>
      <c r="B61" s="189"/>
      <c r="C61" s="189"/>
      <c r="D61" s="189"/>
      <c r="E61" s="189"/>
      <c r="F61" s="189"/>
      <c r="G61" s="189"/>
      <c r="H61" s="189"/>
      <c r="I61" s="189"/>
    </row>
    <row r="62" spans="1:9" ht="15.75" x14ac:dyDescent="0.25">
      <c r="A62" s="189"/>
      <c r="B62" s="189"/>
      <c r="C62" s="189"/>
      <c r="D62" s="189"/>
      <c r="E62" s="189"/>
      <c r="F62" s="189"/>
      <c r="G62" s="189"/>
      <c r="H62" s="189"/>
      <c r="I62" s="189"/>
    </row>
    <row r="63" spans="1:9" ht="18" thickBot="1" x14ac:dyDescent="0.35">
      <c r="A63" s="208"/>
      <c r="B63" s="209"/>
      <c r="C63" s="209"/>
      <c r="D63" s="209"/>
      <c r="E63" s="209"/>
      <c r="F63" s="209"/>
      <c r="G63" s="209"/>
      <c r="H63" s="209"/>
      <c r="I63" s="210"/>
    </row>
    <row r="64" spans="1:9" ht="15" x14ac:dyDescent="0.2">
      <c r="A64" s="190" t="s">
        <v>29</v>
      </c>
      <c r="B64" s="191"/>
      <c r="C64" s="191"/>
      <c r="D64" s="191"/>
      <c r="E64" s="191"/>
      <c r="F64" s="191"/>
      <c r="G64" s="191"/>
      <c r="H64" s="191"/>
      <c r="I64" s="191"/>
    </row>
    <row r="65" spans="1:9" ht="17.25" x14ac:dyDescent="0.3">
      <c r="A65" s="192"/>
      <c r="B65" s="193"/>
      <c r="C65" s="193"/>
      <c r="D65" s="193"/>
      <c r="E65" s="193"/>
      <c r="F65" s="193"/>
      <c r="G65" s="193"/>
      <c r="H65" s="193"/>
      <c r="I65" s="193"/>
    </row>
    <row r="66" spans="1:9" ht="13.5" x14ac:dyDescent="0.25">
      <c r="A66" s="194"/>
      <c r="B66" s="195"/>
      <c r="C66" s="195"/>
      <c r="D66" s="195"/>
      <c r="E66" s="195"/>
      <c r="F66" s="195"/>
      <c r="G66" s="195"/>
      <c r="H66" s="195"/>
      <c r="I66" s="19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4:I64"/>
    <mergeCell ref="A65:I65"/>
    <mergeCell ref="A66:I66"/>
    <mergeCell ref="A55:I55"/>
    <mergeCell ref="A56:I56"/>
    <mergeCell ref="A57:I57"/>
    <mergeCell ref="A58:I58"/>
    <mergeCell ref="A60:I60"/>
    <mergeCell ref="A63:I63"/>
  </mergeCells>
  <pageMargins left="0.7" right="0.7" top="0.75" bottom="0.75" header="0.3" footer="0.3"/>
  <pageSetup paperSize="9"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55F2-31FC-40FF-AD80-3286C1F5011B}">
  <dimension ref="A1:Q99"/>
  <sheetViews>
    <sheetView topLeftCell="A62" workbookViewId="0">
      <selection activeCell="B74" sqref="B74:E74"/>
    </sheetView>
  </sheetViews>
  <sheetFormatPr baseColWidth="10" defaultColWidth="8.42578125" defaultRowHeight="12.75" x14ac:dyDescent="0.2"/>
  <cols>
    <col min="1" max="1" width="10" style="11" bestFit="1" customWidth="1"/>
    <col min="2" max="2" width="44.28515625" style="11" bestFit="1" customWidth="1"/>
    <col min="3" max="3" width="10.42578125" style="11" bestFit="1" customWidth="1"/>
    <col min="4" max="4" width="10.42578125" style="11" customWidth="1"/>
    <col min="5" max="5" width="9.7109375" style="11" bestFit="1" customWidth="1"/>
    <col min="6" max="6" width="9.5703125" style="11" bestFit="1" customWidth="1"/>
    <col min="7" max="7" width="9.5703125" style="93" bestFit="1" customWidth="1"/>
    <col min="8" max="8" width="10.42578125" style="84" bestFit="1" customWidth="1"/>
    <col min="9" max="9" width="4.5703125" style="84" customWidth="1"/>
    <col min="10" max="10" width="1.85546875" style="10" customWidth="1"/>
    <col min="11" max="11" width="7" style="11" bestFit="1" customWidth="1"/>
    <col min="12" max="12" width="6.28515625" style="11" customWidth="1"/>
    <col min="13" max="13" width="20.42578125" style="11" customWidth="1"/>
    <col min="14" max="14" width="6.42578125" style="11" bestFit="1" customWidth="1"/>
    <col min="15" max="16" width="8.42578125" style="11"/>
    <col min="17" max="17" width="3.28515625" style="11" customWidth="1"/>
    <col min="18" max="16384" width="8.42578125" style="11"/>
  </cols>
  <sheetData>
    <row r="1" spans="1:10" ht="27.75" customHeight="1" x14ac:dyDescent="0.2">
      <c r="A1" s="6"/>
      <c r="B1" s="6"/>
      <c r="C1" s="6"/>
      <c r="D1" s="6"/>
      <c r="E1" s="7" t="s">
        <v>65</v>
      </c>
      <c r="F1" s="8" t="s">
        <v>66</v>
      </c>
      <c r="G1" s="8" t="s">
        <v>67</v>
      </c>
      <c r="H1" s="8" t="s">
        <v>68</v>
      </c>
      <c r="I1" s="9"/>
    </row>
    <row r="2" spans="1:10" ht="30.75" customHeight="1" x14ac:dyDescent="0.2">
      <c r="A2" s="6"/>
      <c r="B2" s="6"/>
      <c r="C2" s="6"/>
      <c r="D2" s="6"/>
      <c r="E2" s="12">
        <f>IFERROR(O70,"")</f>
        <v>24502.701300000001</v>
      </c>
      <c r="F2" s="12">
        <f>IFERROR(H61,"")</f>
        <v>23092.701300000001</v>
      </c>
      <c r="G2" s="12">
        <f>IFERROR(H62,"")</f>
        <v>0</v>
      </c>
      <c r="H2" s="12">
        <f>IFERROR(H64,"")</f>
        <v>770</v>
      </c>
      <c r="I2" s="13"/>
    </row>
    <row r="3" spans="1:10" ht="15" customHeight="1" x14ac:dyDescent="0.2">
      <c r="A3" s="6"/>
      <c r="B3" s="6"/>
      <c r="C3" s="6"/>
      <c r="D3" s="6"/>
      <c r="E3" s="6"/>
      <c r="F3" s="14"/>
      <c r="G3" s="14"/>
      <c r="H3" s="14"/>
      <c r="I3" s="14"/>
    </row>
    <row r="4" spans="1:10" ht="24.75" customHeight="1" thickBot="1" x14ac:dyDescent="0.25">
      <c r="A4" s="269"/>
      <c r="B4" s="269"/>
      <c r="C4" s="269"/>
      <c r="D4" s="269"/>
      <c r="E4" s="269"/>
      <c r="F4" s="269"/>
      <c r="G4" s="269"/>
      <c r="H4" s="269"/>
      <c r="I4" s="15"/>
    </row>
    <row r="5" spans="1:10" ht="19.5" customHeight="1" thickBot="1" x14ac:dyDescent="0.25">
      <c r="A5" s="270" t="s">
        <v>69</v>
      </c>
      <c r="B5" s="271"/>
      <c r="C5" s="271"/>
      <c r="D5" s="271"/>
      <c r="E5" s="271"/>
      <c r="F5" s="271"/>
      <c r="G5" s="271"/>
      <c r="H5" s="272"/>
      <c r="I5" s="16"/>
    </row>
    <row r="6" spans="1:10" ht="19.5" thickBot="1" x14ac:dyDescent="0.25">
      <c r="A6" s="16"/>
      <c r="B6" s="16"/>
      <c r="C6" s="16"/>
      <c r="D6" s="16"/>
      <c r="E6" s="16"/>
      <c r="F6" s="273" t="s">
        <v>70</v>
      </c>
      <c r="G6" s="273"/>
      <c r="H6" s="17">
        <f ca="1">TODAY()</f>
        <v>45821</v>
      </c>
      <c r="I6" s="17"/>
    </row>
    <row r="7" spans="1:10" ht="26.25" thickBot="1" x14ac:dyDescent="0.25">
      <c r="A7" s="18" t="s">
        <v>71</v>
      </c>
      <c r="B7" s="19" t="s">
        <v>72</v>
      </c>
      <c r="C7" s="19" t="s">
        <v>71</v>
      </c>
      <c r="D7" s="20" t="s">
        <v>73</v>
      </c>
      <c r="E7" s="20" t="s">
        <v>74</v>
      </c>
      <c r="F7" s="20" t="s">
        <v>75</v>
      </c>
      <c r="G7" s="20" t="s">
        <v>76</v>
      </c>
      <c r="H7" s="21" t="s">
        <v>77</v>
      </c>
      <c r="I7" s="22"/>
    </row>
    <row r="8" spans="1:10" ht="13.5" x14ac:dyDescent="0.25">
      <c r="A8" s="23">
        <v>150</v>
      </c>
      <c r="B8" s="11" t="str">
        <f>IFERROR(VLOOKUP(H8,'[1]Consolidado MP Planta'!$A$2:$M$823,3,0),"")</f>
        <v>PASTA AJO (PAQ: 1 KILO)</v>
      </c>
      <c r="C8" s="24">
        <f>+A8</f>
        <v>150</v>
      </c>
      <c r="D8" s="25" t="str">
        <f>IFERROR(VLOOKUP(H8,'[1]Consolidado MP Planta'!$A$2:$M$823,13,0),"")</f>
        <v>Gramos</v>
      </c>
      <c r="E8" s="25">
        <v>4.75</v>
      </c>
      <c r="F8" s="25">
        <f>IFERROR(C8*E8,"")</f>
        <v>712.5</v>
      </c>
      <c r="G8" s="26">
        <f>IFERROR(F8/$F$74,"")</f>
        <v>2.9291388494096082E-2</v>
      </c>
      <c r="H8" s="27" t="s">
        <v>118</v>
      </c>
      <c r="I8" s="27"/>
      <c r="J8" s="28"/>
    </row>
    <row r="9" spans="1:10" ht="13.5" x14ac:dyDescent="0.25">
      <c r="A9" s="23">
        <v>1875</v>
      </c>
      <c r="B9" s="11" t="str">
        <f>IFERROR(VLOOKUP(H9,'[1]Consolidado MP Planta'!$A$2:$M$823,3,0),"")</f>
        <v>CEBOLLA PICADA (PAQ:KILO)</v>
      </c>
      <c r="C9" s="24">
        <f>+A9</f>
        <v>1875</v>
      </c>
      <c r="D9" s="25" t="str">
        <f>IFERROR(VLOOKUP(H9,'[1]Consolidado MP Planta'!$A$2:$M$823,13,0),"")</f>
        <v>Gramos</v>
      </c>
      <c r="E9" s="25">
        <v>1.93</v>
      </c>
      <c r="F9" s="25">
        <f>IFERROR(C9*E9,"")</f>
        <v>3618.75</v>
      </c>
      <c r="G9" s="26">
        <f>IFERROR(F9/$F$74,"")</f>
        <v>0.14876942050948799</v>
      </c>
      <c r="H9" s="27" t="s">
        <v>117</v>
      </c>
      <c r="I9" s="27"/>
      <c r="J9" s="28"/>
    </row>
    <row r="10" spans="1:10" ht="13.5" x14ac:dyDescent="0.25">
      <c r="A10" s="23">
        <v>900</v>
      </c>
      <c r="B10" s="11" t="str">
        <f>IFERROR(VLOOKUP(H10,'[1]Consolidado MP Planta'!$A$2:$M$823,3,0),"")</f>
        <v>CHILE DULCE PICADO (PAQ:500g)</v>
      </c>
      <c r="C10" s="24">
        <f>+A10</f>
        <v>900</v>
      </c>
      <c r="D10" s="25" t="str">
        <f>IFERROR(VLOOKUP(H10,'[1]Consolidado MP Planta'!$A$2:$M$823,13,0),"")</f>
        <v>Gramos</v>
      </c>
      <c r="E10" s="25">
        <v>3.37</v>
      </c>
      <c r="F10" s="25">
        <f>IFERROR(C10*E10,"")</f>
        <v>3033</v>
      </c>
      <c r="G10" s="26">
        <f>IFERROR(F10/$F$74,"")</f>
        <v>0.124688815863289</v>
      </c>
      <c r="H10" s="27" t="s">
        <v>119</v>
      </c>
      <c r="I10" s="27"/>
      <c r="J10" s="28"/>
    </row>
    <row r="11" spans="1:10" ht="13.5" x14ac:dyDescent="0.25">
      <c r="A11" s="23">
        <v>195</v>
      </c>
      <c r="B11" s="11" t="str">
        <f>IFERROR(VLOOKUP(H11,'[1]Consolidado MP Planta'!$A$2:$M$823,3,0),"")</f>
        <v>ACEITE CAPULLO RBD (UND:17  L)</v>
      </c>
      <c r="C11" s="24">
        <f>+A11</f>
        <v>195</v>
      </c>
      <c r="D11" s="25" t="str">
        <f>IFERROR(VLOOKUP(H11,'[1]Consolidado MP Planta'!$A$2:$M$823,13,0),"")</f>
        <v>Mililitros</v>
      </c>
      <c r="E11" s="25">
        <v>0.876</v>
      </c>
      <c r="F11" s="25">
        <f>IFERROR(C11*E11,"")</f>
        <v>170.82</v>
      </c>
      <c r="G11" s="26">
        <f>IFERROR(F11/$F$74,"")</f>
        <v>7.0225333088582351E-3</v>
      </c>
      <c r="H11" s="27" t="s">
        <v>120</v>
      </c>
      <c r="I11" s="27"/>
      <c r="J11" s="28"/>
    </row>
    <row r="12" spans="1:10" ht="13.5" x14ac:dyDescent="0.25">
      <c r="A12" s="23">
        <v>9375</v>
      </c>
      <c r="B12" s="11" t="s">
        <v>61</v>
      </c>
      <c r="C12" s="24">
        <f>+A12</f>
        <v>9375</v>
      </c>
      <c r="D12" s="25" t="s">
        <v>121</v>
      </c>
      <c r="E12" s="25">
        <v>1.1499999999999999</v>
      </c>
      <c r="F12" s="25">
        <f>IFERROR(C12*E12,"")</f>
        <v>10781.25</v>
      </c>
      <c r="G12" s="26">
        <f>IFERROR(F12/$F$74,"")</f>
        <v>0.44322495747645385</v>
      </c>
      <c r="H12" s="27"/>
      <c r="I12" s="27"/>
      <c r="J12" s="28"/>
    </row>
    <row r="13" spans="1:10" ht="13.5" x14ac:dyDescent="0.25">
      <c r="A13" s="23">
        <v>660</v>
      </c>
      <c r="B13" s="11" t="str">
        <f>IFERROR(VLOOKUP(H13,'[1]Consolidado MP Planta'!$A$2:$M$823,3,0),"")</f>
        <v>PASTA TOMATE OLD CALI (UND:3.14 K)</v>
      </c>
      <c r="C13" s="24">
        <f t="shared" ref="C13:C20" si="0">+A13</f>
        <v>660</v>
      </c>
      <c r="D13" s="25" t="str">
        <f>IFERROR(VLOOKUP(H13,'[1]Consolidado MP Planta'!$A$2:$M$823,13,0),"")</f>
        <v>Gramos</v>
      </c>
      <c r="E13" s="25">
        <v>1.696</v>
      </c>
      <c r="F13" s="25">
        <f t="shared" ref="F13:F20" si="1">IFERROR(C13*E13,"")</f>
        <v>1119.3599999999999</v>
      </c>
      <c r="G13" s="26">
        <f t="shared" ref="G13:G20" si="2">IFERROR(F13/$F$74,"")</f>
        <v>4.6017696315440546E-2</v>
      </c>
      <c r="H13" s="27" t="s">
        <v>122</v>
      </c>
      <c r="I13" s="27"/>
      <c r="J13" s="28"/>
    </row>
    <row r="14" spans="1:10" ht="13.5" x14ac:dyDescent="0.25">
      <c r="A14" s="23">
        <v>1200</v>
      </c>
      <c r="B14" s="11" t="s">
        <v>59</v>
      </c>
      <c r="C14" s="24">
        <f t="shared" si="0"/>
        <v>1200</v>
      </c>
      <c r="D14" s="25" t="str">
        <f>IFERROR(VLOOKUP(H14,'[1]Consolidado MP Planta'!$A$2:$M$823,13,0),"")</f>
        <v/>
      </c>
      <c r="E14" s="25">
        <v>2.73</v>
      </c>
      <c r="F14" s="25">
        <f t="shared" si="1"/>
        <v>3276</v>
      </c>
      <c r="G14" s="26">
        <f t="shared" si="2"/>
        <v>0.13467872099180178</v>
      </c>
      <c r="H14" s="27" t="s">
        <v>123</v>
      </c>
      <c r="I14" s="27"/>
      <c r="J14" s="28"/>
    </row>
    <row r="15" spans="1:10" ht="13.5" x14ac:dyDescent="0.25">
      <c r="A15" s="23">
        <v>30</v>
      </c>
      <c r="B15" s="11" t="str">
        <f>IFERROR(VLOOKUP(H15,'[1]Consolidado MP Planta'!$A$2:$M$823,3,0),"")</f>
        <v>PRESERVANTE 1017S (PAQ=5 KILO)</v>
      </c>
      <c r="C15" s="24">
        <f t="shared" si="0"/>
        <v>30</v>
      </c>
      <c r="D15" s="25" t="str">
        <f>IFERROR(VLOOKUP(H15,'[1]Consolidado MP Planta'!$A$2:$M$823,13,0),"")</f>
        <v>Gramos</v>
      </c>
      <c r="E15" s="25">
        <v>8.68</v>
      </c>
      <c r="F15" s="25">
        <f t="shared" si="1"/>
        <v>260.39999999999998</v>
      </c>
      <c r="G15" s="26">
        <f t="shared" si="2"/>
        <v>1.0705231668579115E-2</v>
      </c>
      <c r="H15" s="27" t="s">
        <v>124</v>
      </c>
      <c r="I15" s="27"/>
      <c r="J15" s="28"/>
    </row>
    <row r="16" spans="1:10" ht="13.5" hidden="1" x14ac:dyDescent="0.25">
      <c r="A16" s="23"/>
      <c r="B16" s="11" t="str">
        <f>IFERROR(VLOOKUP(H16,'[1]Consolidado MP Planta'!$A$2:$M$823,3,0),"")</f>
        <v/>
      </c>
      <c r="C16" s="24">
        <f t="shared" si="0"/>
        <v>0</v>
      </c>
      <c r="D16" s="25" t="str">
        <f>IFERROR(VLOOKUP(H16,'[1]Consolidado MP Planta'!$A$2:$M$823,13,0),"")</f>
        <v/>
      </c>
      <c r="E16" s="25" t="str">
        <f>IFERROR(VLOOKUP(H16,'[1]Consolidado MP Planta'!$A$2:$M$823,12,0),"")</f>
        <v/>
      </c>
      <c r="F16" s="25" t="str">
        <f t="shared" si="1"/>
        <v/>
      </c>
      <c r="G16" s="26" t="str">
        <f t="shared" si="2"/>
        <v/>
      </c>
      <c r="H16" s="27"/>
      <c r="I16" s="27"/>
      <c r="J16" s="28"/>
    </row>
    <row r="17" spans="1:10" ht="13.5" hidden="1" x14ac:dyDescent="0.25">
      <c r="A17" s="23"/>
      <c r="B17" s="11" t="str">
        <f>IFERROR(VLOOKUP(H17,'[1]Consolidado MP Planta'!$A$2:$M$823,3,0),"")</f>
        <v/>
      </c>
      <c r="C17" s="24">
        <f t="shared" si="0"/>
        <v>0</v>
      </c>
      <c r="D17" s="25" t="str">
        <f>IFERROR(VLOOKUP(H17,'[1]Consolidado MP Planta'!$A$2:$M$823,13,0),"")</f>
        <v/>
      </c>
      <c r="E17" s="25" t="str">
        <f>IFERROR(VLOOKUP(H17,'[1]Consolidado MP Planta'!$A$2:$M$823,12,0),"")</f>
        <v/>
      </c>
      <c r="F17" s="25" t="str">
        <f t="shared" si="1"/>
        <v/>
      </c>
      <c r="G17" s="26" t="str">
        <f t="shared" si="2"/>
        <v/>
      </c>
      <c r="H17" s="27"/>
      <c r="I17" s="27"/>
      <c r="J17" s="28"/>
    </row>
    <row r="18" spans="1:10" ht="13.5" hidden="1" x14ac:dyDescent="0.25">
      <c r="A18" s="23"/>
      <c r="B18" s="11" t="str">
        <f>IFERROR(VLOOKUP(H18,'[1]Consolidado MP Planta'!$A$2:$M$823,3,0),"")</f>
        <v/>
      </c>
      <c r="C18" s="24">
        <f t="shared" si="0"/>
        <v>0</v>
      </c>
      <c r="D18" s="25" t="str">
        <f>IFERROR(VLOOKUP(H18,'[1]Consolidado MP Planta'!$A$2:$M$823,13,0),"")</f>
        <v/>
      </c>
      <c r="E18" s="25" t="str">
        <f>IFERROR(VLOOKUP(H18,'[1]Consolidado MP Planta'!$A$2:$M$823,12,0),"")</f>
        <v/>
      </c>
      <c r="F18" s="25" t="str">
        <f t="shared" si="1"/>
        <v/>
      </c>
      <c r="G18" s="26" t="str">
        <f t="shared" si="2"/>
        <v/>
      </c>
      <c r="H18" s="27"/>
      <c r="I18" s="27"/>
      <c r="J18" s="28"/>
    </row>
    <row r="19" spans="1:10" ht="13.5" hidden="1" x14ac:dyDescent="0.25">
      <c r="A19" s="23"/>
      <c r="B19" s="11" t="str">
        <f>IFERROR(VLOOKUP(H19,'[1]Consolidado MP Planta'!$A$2:$M$823,3,0),"")</f>
        <v/>
      </c>
      <c r="C19" s="24">
        <f t="shared" si="0"/>
        <v>0</v>
      </c>
      <c r="D19" s="25" t="str">
        <f>IFERROR(VLOOKUP(H19,'[1]Consolidado MP Planta'!$A$2:$M$823,13,0),"")</f>
        <v/>
      </c>
      <c r="E19" s="25" t="str">
        <f>IFERROR(VLOOKUP(H19,'[1]Consolidado MP Planta'!$A$2:$M$823,12,0),"")</f>
        <v/>
      </c>
      <c r="F19" s="25" t="str">
        <f t="shared" si="1"/>
        <v/>
      </c>
      <c r="G19" s="26" t="str">
        <f t="shared" si="2"/>
        <v/>
      </c>
      <c r="H19" s="27"/>
      <c r="I19" s="27"/>
      <c r="J19" s="28"/>
    </row>
    <row r="20" spans="1:10" ht="13.5" hidden="1" x14ac:dyDescent="0.25">
      <c r="A20" s="23"/>
      <c r="B20" s="11" t="str">
        <f>IFERROR(VLOOKUP(H20,'[1]Consolidado MP Planta'!$A$2:$M$823,3,0),"")</f>
        <v/>
      </c>
      <c r="C20" s="24">
        <f t="shared" si="0"/>
        <v>0</v>
      </c>
      <c r="D20" s="25" t="str">
        <f>IFERROR(VLOOKUP(H20,'[1]Consolidado MP Planta'!$A$2:$M$823,13,0),"")</f>
        <v/>
      </c>
      <c r="E20" s="25" t="str">
        <f>IFERROR(VLOOKUP(H20,'[1]Consolidado MP Planta'!$A$2:$M$823,12,0),"")</f>
        <v/>
      </c>
      <c r="F20" s="25" t="str">
        <f t="shared" si="1"/>
        <v/>
      </c>
      <c r="G20" s="26" t="str">
        <f t="shared" si="2"/>
        <v/>
      </c>
      <c r="H20" s="27"/>
      <c r="I20" s="27"/>
      <c r="J20" s="28"/>
    </row>
    <row r="21" spans="1:10" ht="13.5" hidden="1" x14ac:dyDescent="0.25">
      <c r="A21" s="23"/>
      <c r="B21" s="11" t="str">
        <f>IFERROR(VLOOKUP(H21,'[1]Consolidado MP Planta'!$A$2:$M$823,3,0),"")</f>
        <v/>
      </c>
      <c r="C21" s="24">
        <f>+A21</f>
        <v>0</v>
      </c>
      <c r="D21" s="25" t="str">
        <f>IFERROR(VLOOKUP(H21,'[1]Consolidado MP Planta'!$A$2:$M$823,13,0),"")</f>
        <v/>
      </c>
      <c r="E21" s="25" t="str">
        <f>IFERROR(VLOOKUP(H21,'[1]Consolidado MP Planta'!$A$2:$M$823,12,0),"")</f>
        <v/>
      </c>
      <c r="F21" s="25" t="str">
        <f>IFERROR(C21*E21,"")</f>
        <v/>
      </c>
      <c r="G21" s="26" t="str">
        <f>IFERROR(F21/$F$74,"")</f>
        <v/>
      </c>
      <c r="H21" s="27"/>
      <c r="I21" s="27"/>
      <c r="J21" s="28"/>
    </row>
    <row r="22" spans="1:10" ht="13.5" hidden="1" x14ac:dyDescent="0.25">
      <c r="A22" s="23"/>
      <c r="B22" s="11" t="str">
        <f>IFERROR(VLOOKUP(H22,'[1]Consolidado MP Planta'!$A$2:$M$823,3,0),"")</f>
        <v/>
      </c>
      <c r="C22" s="24">
        <f>+A22</f>
        <v>0</v>
      </c>
      <c r="D22" s="25" t="str">
        <f>IFERROR(VLOOKUP(H22,'[1]Consolidado MP Planta'!$A$2:$M$823,13,0),"")</f>
        <v/>
      </c>
      <c r="E22" s="25" t="str">
        <f>IFERROR(VLOOKUP(H22,'[1]Consolidado MP Planta'!$A$2:$M$823,12,0),"")</f>
        <v/>
      </c>
      <c r="F22" s="25" t="str">
        <f>IFERROR(C22*E22,"")</f>
        <v/>
      </c>
      <c r="G22" s="26" t="str">
        <f>IFERROR(F22/$F$74,"")</f>
        <v/>
      </c>
      <c r="H22" s="27"/>
      <c r="I22" s="27"/>
      <c r="J22" s="28"/>
    </row>
    <row r="23" spans="1:10" ht="14.25" thickBot="1" x14ac:dyDescent="0.3">
      <c r="A23" s="23"/>
      <c r="B23" s="11" t="str">
        <f>IFERROR(VLOOKUP(H23,'[2]ARTICULOS MP PLANTA'!$A$2:$G$589,2,0),"")</f>
        <v/>
      </c>
      <c r="C23" s="24"/>
      <c r="D23" s="25"/>
      <c r="E23" s="25"/>
      <c r="F23" s="25"/>
      <c r="G23" s="26"/>
      <c r="H23" s="27"/>
      <c r="I23" s="27"/>
      <c r="J23" s="28"/>
    </row>
    <row r="24" spans="1:10" ht="26.25" thickBot="1" x14ac:dyDescent="0.25">
      <c r="A24" s="18" t="s">
        <v>71</v>
      </c>
      <c r="B24" s="19" t="s">
        <v>78</v>
      </c>
      <c r="C24" s="19" t="s">
        <v>71</v>
      </c>
      <c r="D24" s="20" t="s">
        <v>73</v>
      </c>
      <c r="E24" s="20" t="s">
        <v>74</v>
      </c>
      <c r="F24" s="20" t="s">
        <v>75</v>
      </c>
      <c r="G24" s="20" t="s">
        <v>76</v>
      </c>
      <c r="H24" s="21" t="s">
        <v>77</v>
      </c>
      <c r="I24" s="22"/>
      <c r="J24" s="28"/>
    </row>
    <row r="25" spans="1:10" ht="13.5" x14ac:dyDescent="0.25">
      <c r="A25" s="23">
        <v>30</v>
      </c>
      <c r="B25" s="11" t="str">
        <f>IFERROR(VLOOKUP(H25,[1]SEMIELABORADOS!$A$2:$M$6000,2,0),"")</f>
        <v>EMPAQUE SAL KILO</v>
      </c>
      <c r="C25" s="24">
        <f>+A25</f>
        <v>30</v>
      </c>
      <c r="D25" s="24" t="str">
        <f>IFERROR(VLOOKUP(H25,[1]SEMIELABORADOS!$A$2:$M$6000,6,0),"")</f>
        <v>Gramo</v>
      </c>
      <c r="E25" s="25">
        <f>IFERROR(VLOOKUP(H25,[1]SEMIELABORADOS!$A$2:$H$65536,8,0),"")</f>
        <v>0.31247999999999998</v>
      </c>
      <c r="F25" s="25">
        <f>IFERROR(E25*C25,"")</f>
        <v>9.3743999999999996</v>
      </c>
      <c r="G25" s="26">
        <f t="shared" ref="G25:G32" si="3">IFERROR(F25/$F$74,"")</f>
        <v>3.8538834006884815E-4</v>
      </c>
      <c r="H25" s="27" t="s">
        <v>39</v>
      </c>
      <c r="I25" s="27"/>
      <c r="J25" s="28"/>
    </row>
    <row r="26" spans="1:10" ht="13.5" x14ac:dyDescent="0.25">
      <c r="A26" s="23">
        <v>285</v>
      </c>
      <c r="B26" s="11" t="str">
        <f>IFERROR(VLOOKUP(H26,[1]SEMIELABORADOS!$A$2:$M$6000,2,0),"")</f>
        <v>AZUCAR BLANCO INDUSTRIAL KILO</v>
      </c>
      <c r="C26" s="24">
        <f t="shared" ref="C26:C32" si="4">+A26</f>
        <v>285</v>
      </c>
      <c r="D26" s="24" t="str">
        <f>IFERROR(VLOOKUP(H26,[1]SEMIELABORADOS!$A$2:$M$6000,6,0),"")</f>
        <v>Gramo</v>
      </c>
      <c r="E26" s="25">
        <f>IFERROR(VLOOKUP(H26,[1]SEMIELABORADOS!$A$2:$H$65536,8,0),"")</f>
        <v>0.39034000000000002</v>
      </c>
      <c r="F26" s="25">
        <f t="shared" ref="F26:F32" si="5">IFERROR(E26*C26,"")</f>
        <v>111.24690000000001</v>
      </c>
      <c r="G26" s="26">
        <f t="shared" si="3"/>
        <v>4.5734402339141864E-3</v>
      </c>
      <c r="H26" s="27" t="s">
        <v>41</v>
      </c>
      <c r="I26" s="27"/>
      <c r="J26" s="28"/>
    </row>
    <row r="27" spans="1:10" ht="13.5" hidden="1" x14ac:dyDescent="0.25">
      <c r="A27" s="23"/>
      <c r="B27" s="11" t="str">
        <f>IFERROR(VLOOKUP(H27,[1]SEMIELABORADOS!$A$2:$M$6000,2,0),"")</f>
        <v/>
      </c>
      <c r="C27" s="24">
        <f>+A27</f>
        <v>0</v>
      </c>
      <c r="D27" s="24" t="str">
        <f>IFERROR(VLOOKUP(H27,[1]SEMIELABORADOS!$A$2:$M$6000,6,0),"")</f>
        <v/>
      </c>
      <c r="E27" s="25" t="str">
        <f>IFERROR(VLOOKUP(H27,[1]SEMIELABORADOS!$A$2:$H$65536,8,0),"")</f>
        <v/>
      </c>
      <c r="F27" s="25" t="str">
        <f>IFERROR(E27*C27,"")</f>
        <v/>
      </c>
      <c r="G27" s="26" t="str">
        <f t="shared" si="3"/>
        <v/>
      </c>
      <c r="H27" s="27"/>
      <c r="I27" s="27"/>
      <c r="J27" s="28"/>
    </row>
    <row r="28" spans="1:10" ht="13.5" hidden="1" x14ac:dyDescent="0.25">
      <c r="A28" s="23"/>
      <c r="B28" s="11" t="str">
        <f>IFERROR(VLOOKUP(H28,[1]SEMIELABORADOS!$A$2:$M$6000,2,0),"")</f>
        <v/>
      </c>
      <c r="C28" s="24">
        <f>+A28</f>
        <v>0</v>
      </c>
      <c r="D28" s="24" t="str">
        <f>IFERROR(VLOOKUP(H28,[1]SEMIELABORADOS!$A$2:$M$6000,6,0),"")</f>
        <v/>
      </c>
      <c r="E28" s="25" t="str">
        <f>IFERROR(VLOOKUP(H28,[1]SEMIELABORADOS!$A$2:$H$65536,8,0),"")</f>
        <v/>
      </c>
      <c r="F28" s="25" t="str">
        <f>IFERROR(E28*C28,"")</f>
        <v/>
      </c>
      <c r="G28" s="26" t="str">
        <f t="shared" si="3"/>
        <v/>
      </c>
      <c r="H28" s="27"/>
      <c r="I28" s="27"/>
      <c r="J28" s="28"/>
    </row>
    <row r="29" spans="1:10" ht="13.5" hidden="1" x14ac:dyDescent="0.25">
      <c r="A29" s="23"/>
      <c r="B29" s="11" t="str">
        <f>IFERROR(VLOOKUP(H29,[1]SEMIELABORADOS!$A$2:$M$6000,2,0),"")</f>
        <v/>
      </c>
      <c r="C29" s="24">
        <f>+A29</f>
        <v>0</v>
      </c>
      <c r="D29" s="24" t="str">
        <f>IFERROR(VLOOKUP(H29,[1]SEMIELABORADOS!$A$2:$M$6000,6,0),"")</f>
        <v/>
      </c>
      <c r="E29" s="25" t="str">
        <f>IFERROR(VLOOKUP(H29,[1]SEMIELABORADOS!$A$2:$H$65536,8,0),"")</f>
        <v/>
      </c>
      <c r="F29" s="25" t="str">
        <f>IFERROR(E29*C29,"")</f>
        <v/>
      </c>
      <c r="G29" s="26" t="str">
        <f t="shared" si="3"/>
        <v/>
      </c>
      <c r="H29" s="27"/>
      <c r="I29" s="27"/>
      <c r="J29" s="28"/>
    </row>
    <row r="30" spans="1:10" ht="13.5" hidden="1" x14ac:dyDescent="0.25">
      <c r="A30" s="23"/>
      <c r="B30" s="11" t="str">
        <f>IFERROR(VLOOKUP(H30,[1]SEMIELABORADOS!$A$2:$M$6000,2,0),"")</f>
        <v/>
      </c>
      <c r="C30" s="24">
        <f t="shared" si="4"/>
        <v>0</v>
      </c>
      <c r="D30" s="24" t="str">
        <f>IFERROR(VLOOKUP(H30,[1]SEMIELABORADOS!$A$2:$M$6000,6,0),"")</f>
        <v/>
      </c>
      <c r="E30" s="25" t="str">
        <f>IFERROR(VLOOKUP(H30,[1]SEMIELABORADOS!$A$2:$H$65536,8,0),"")</f>
        <v/>
      </c>
      <c r="F30" s="25" t="str">
        <f t="shared" si="5"/>
        <v/>
      </c>
      <c r="G30" s="26" t="str">
        <f t="shared" si="3"/>
        <v/>
      </c>
      <c r="H30" s="27"/>
      <c r="I30" s="27"/>
      <c r="J30" s="28"/>
    </row>
    <row r="31" spans="1:10" ht="13.5" hidden="1" x14ac:dyDescent="0.25">
      <c r="A31" s="23"/>
      <c r="B31" s="11" t="str">
        <f>IFERROR(VLOOKUP(H31,[1]SEMIELABORADOS!$A$2:$M$6000,2,0),"")</f>
        <v/>
      </c>
      <c r="C31" s="24">
        <f t="shared" si="4"/>
        <v>0</v>
      </c>
      <c r="D31" s="24" t="str">
        <f>IFERROR(VLOOKUP(H31,[1]SEMIELABORADOS!$A$2:$M$6000,6,0),"")</f>
        <v/>
      </c>
      <c r="E31" s="25" t="str">
        <f>IFERROR(VLOOKUP(H31,[1]SEMIELABORADOS!$A$2:$H$65536,8,0),"")</f>
        <v/>
      </c>
      <c r="F31" s="25" t="str">
        <f t="shared" si="5"/>
        <v/>
      </c>
      <c r="G31" s="26" t="str">
        <f t="shared" si="3"/>
        <v/>
      </c>
      <c r="H31" s="27"/>
      <c r="I31" s="27"/>
      <c r="J31" s="28"/>
    </row>
    <row r="32" spans="1:10" ht="13.5" hidden="1" x14ac:dyDescent="0.25">
      <c r="A32" s="23"/>
      <c r="B32" s="11" t="str">
        <f>IFERROR(VLOOKUP(H32,[1]SEMIELABORADOS!$A$2:$M$6000,2,0),"")</f>
        <v/>
      </c>
      <c r="C32" s="24">
        <f t="shared" si="4"/>
        <v>0</v>
      </c>
      <c r="D32" s="24" t="str">
        <f>IFERROR(VLOOKUP(H32,[1]SEMIELABORADOS!$A$2:$M$6000,6,0),"")</f>
        <v/>
      </c>
      <c r="E32" s="25" t="str">
        <f>IFERROR(VLOOKUP(H32,[1]SEMIELABORADOS!$A$2:$H$65536,8,0),"")</f>
        <v/>
      </c>
      <c r="F32" s="25" t="str">
        <f t="shared" si="5"/>
        <v/>
      </c>
      <c r="G32" s="26" t="str">
        <f t="shared" si="3"/>
        <v/>
      </c>
      <c r="H32" s="27"/>
      <c r="I32" s="27"/>
      <c r="J32" s="28"/>
    </row>
    <row r="33" spans="1:12" ht="14.25" thickBot="1" x14ac:dyDescent="0.3">
      <c r="A33" s="23"/>
      <c r="C33" s="24"/>
      <c r="D33" s="24"/>
      <c r="E33" s="25"/>
      <c r="F33" s="25"/>
      <c r="G33" s="26"/>
      <c r="H33" s="27"/>
      <c r="I33" s="27"/>
      <c r="J33" s="28"/>
    </row>
    <row r="34" spans="1:12" ht="26.25" hidden="1" thickBot="1" x14ac:dyDescent="0.25">
      <c r="A34" s="18" t="s">
        <v>71</v>
      </c>
      <c r="B34" s="19" t="s">
        <v>79</v>
      </c>
      <c r="C34" s="19" t="s">
        <v>71</v>
      </c>
      <c r="D34" s="20" t="s">
        <v>73</v>
      </c>
      <c r="E34" s="20" t="s">
        <v>74</v>
      </c>
      <c r="F34" s="20" t="s">
        <v>75</v>
      </c>
      <c r="G34" s="20" t="s">
        <v>76</v>
      </c>
      <c r="H34" s="21" t="s">
        <v>77</v>
      </c>
      <c r="I34" s="22"/>
    </row>
    <row r="35" spans="1:12" ht="13.5" hidden="1" x14ac:dyDescent="0.25">
      <c r="A35" s="23">
        <v>0</v>
      </c>
      <c r="B35" s="29" t="str">
        <f>IFERROR(VLOOKUP(H35,'[1]Consolidado MP Planta'!$A$2:$M$823,3,0),"")</f>
        <v/>
      </c>
      <c r="C35" s="24">
        <f t="shared" ref="C35:C40" si="6">+A35</f>
        <v>0</v>
      </c>
      <c r="D35" s="25" t="str">
        <f>IFERROR(VLOOKUP(H35,'[1]Consolidado MP Planta'!$A$2:$M$823,13,0),"")</f>
        <v/>
      </c>
      <c r="E35" s="25" t="str">
        <f>IFERROR(VLOOKUP(H35,'[1]Consolidado MP Planta'!$A$2:$M$823,12,0),"")</f>
        <v/>
      </c>
      <c r="F35" s="25" t="str">
        <f t="shared" ref="F35:F40" si="7">IFERROR(C35*E35,"")</f>
        <v/>
      </c>
      <c r="G35" s="26" t="str">
        <f t="shared" ref="G35:G40" si="8">IFERROR(F35/$F$74,"")</f>
        <v/>
      </c>
      <c r="H35" s="30"/>
      <c r="I35" s="30"/>
      <c r="J35" s="28"/>
      <c r="K35" s="274"/>
      <c r="L35" s="274"/>
    </row>
    <row r="36" spans="1:12" ht="13.5" hidden="1" x14ac:dyDescent="0.25">
      <c r="A36" s="23"/>
      <c r="B36" s="29" t="str">
        <f>IFERROR(VLOOKUP(H36,'[1]Consolidado MP Planta'!$A$2:$M$823,3,0),"")</f>
        <v/>
      </c>
      <c r="C36" s="24">
        <f t="shared" si="6"/>
        <v>0</v>
      </c>
      <c r="D36" s="25" t="str">
        <f>IFERROR(VLOOKUP(H36,'[1]Consolidado MP Planta'!$A$2:$M$823,13,0),"")</f>
        <v/>
      </c>
      <c r="E36" s="25" t="str">
        <f>IFERROR(VLOOKUP(H36,'[1]Consolidado MP Planta'!$A$2:$M$823,12,0),"")</f>
        <v/>
      </c>
      <c r="F36" s="25" t="str">
        <f t="shared" si="7"/>
        <v/>
      </c>
      <c r="G36" s="26" t="str">
        <f t="shared" si="8"/>
        <v/>
      </c>
      <c r="H36" s="30"/>
      <c r="I36" s="30"/>
      <c r="J36" s="28"/>
      <c r="K36" s="274"/>
      <c r="L36" s="274"/>
    </row>
    <row r="37" spans="1:12" ht="13.5" hidden="1" x14ac:dyDescent="0.25">
      <c r="A37" s="23"/>
      <c r="B37" s="29" t="str">
        <f>IFERROR(VLOOKUP(H37,'[1]Consolidado MP Planta'!$A$2:$M$823,3,0),"")</f>
        <v/>
      </c>
      <c r="C37" s="24">
        <f t="shared" si="6"/>
        <v>0</v>
      </c>
      <c r="D37" s="25" t="str">
        <f>IFERROR(VLOOKUP(H37,'[1]Consolidado MP Planta'!$A$2:$M$823,13,0),"")</f>
        <v/>
      </c>
      <c r="E37" s="25" t="str">
        <f>IFERROR(VLOOKUP(H37,'[1]Consolidado MP Planta'!$A$2:$M$823,12,0),"")</f>
        <v/>
      </c>
      <c r="F37" s="25" t="str">
        <f t="shared" si="7"/>
        <v/>
      </c>
      <c r="G37" s="26" t="str">
        <f t="shared" si="8"/>
        <v/>
      </c>
      <c r="H37" s="30"/>
      <c r="I37" s="30"/>
      <c r="J37" s="28"/>
      <c r="K37" s="274"/>
      <c r="L37" s="274"/>
    </row>
    <row r="38" spans="1:12" ht="13.5" hidden="1" x14ac:dyDescent="0.25">
      <c r="A38" s="23"/>
      <c r="B38" s="29" t="str">
        <f>IFERROR(VLOOKUP(H38,'[1]Consolidado MP Planta'!$A$2:$M$823,3,0),"")</f>
        <v/>
      </c>
      <c r="C38" s="24">
        <f t="shared" si="6"/>
        <v>0</v>
      </c>
      <c r="D38" s="25" t="str">
        <f>IFERROR(VLOOKUP(H38,'[1]Consolidado MP Planta'!$A$2:$M$823,13,0),"")</f>
        <v/>
      </c>
      <c r="E38" s="25" t="str">
        <f>IFERROR(VLOOKUP(H38,'[1]Consolidado MP Planta'!$A$2:$M$823,12,0),"")</f>
        <v/>
      </c>
      <c r="F38" s="25" t="str">
        <f t="shared" si="7"/>
        <v/>
      </c>
      <c r="G38" s="26" t="str">
        <f t="shared" si="8"/>
        <v/>
      </c>
      <c r="H38" s="30"/>
      <c r="I38" s="30"/>
      <c r="J38" s="28"/>
      <c r="K38" s="274"/>
      <c r="L38" s="274"/>
    </row>
    <row r="39" spans="1:12" ht="13.5" hidden="1" x14ac:dyDescent="0.25">
      <c r="A39" s="23"/>
      <c r="B39" s="29" t="str">
        <f>IFERROR(VLOOKUP(H39,'[1]Consolidado MP Planta'!$A$2:$M$823,3,0),"")</f>
        <v/>
      </c>
      <c r="C39" s="24">
        <f t="shared" si="6"/>
        <v>0</v>
      </c>
      <c r="D39" s="25" t="str">
        <f>IFERROR(VLOOKUP(H39,'[1]Consolidado MP Planta'!$A$2:$M$823,13,0),"")</f>
        <v/>
      </c>
      <c r="E39" s="25" t="str">
        <f>IFERROR(VLOOKUP(H39,'[1]Consolidado MP Planta'!$A$2:$M$823,12,0),"")</f>
        <v/>
      </c>
      <c r="F39" s="25" t="str">
        <f t="shared" si="7"/>
        <v/>
      </c>
      <c r="G39" s="26" t="str">
        <f t="shared" si="8"/>
        <v/>
      </c>
      <c r="H39" s="30"/>
      <c r="I39" s="30"/>
      <c r="J39" s="28"/>
      <c r="K39" s="31"/>
      <c r="L39" s="32"/>
    </row>
    <row r="40" spans="1:12" ht="13.5" hidden="1" x14ac:dyDescent="0.25">
      <c r="A40" s="23"/>
      <c r="B40" s="29" t="str">
        <f>IFERROR(VLOOKUP(H40,'[1]Consolidado MP Planta'!$A$2:$M$823,3,0),"")</f>
        <v/>
      </c>
      <c r="C40" s="24">
        <f t="shared" si="6"/>
        <v>0</v>
      </c>
      <c r="D40" s="25" t="str">
        <f>IFERROR(VLOOKUP(H40,'[1]Consolidado MP Planta'!$A$2:$M$823,13,0),"")</f>
        <v/>
      </c>
      <c r="E40" s="25" t="str">
        <f>IFERROR(VLOOKUP(H40,'[1]Consolidado MP Planta'!$A$2:$M$823,12,0),"")</f>
        <v/>
      </c>
      <c r="F40" s="25" t="str">
        <f t="shared" si="7"/>
        <v/>
      </c>
      <c r="G40" s="26" t="str">
        <f t="shared" si="8"/>
        <v/>
      </c>
      <c r="H40" s="30"/>
      <c r="I40" s="30"/>
      <c r="J40" s="28"/>
    </row>
    <row r="41" spans="1:12" ht="14.25" hidden="1" thickBot="1" x14ac:dyDescent="0.3">
      <c r="A41" s="23"/>
      <c r="B41" s="29"/>
      <c r="C41" s="24"/>
      <c r="D41" s="25"/>
      <c r="E41" s="25"/>
      <c r="F41" s="25"/>
      <c r="G41" s="26"/>
      <c r="H41" s="30"/>
      <c r="I41" s="30"/>
      <c r="J41" s="28"/>
    </row>
    <row r="42" spans="1:12" ht="26.25" hidden="1" thickBot="1" x14ac:dyDescent="0.25">
      <c r="A42" s="18" t="s">
        <v>71</v>
      </c>
      <c r="B42" s="19" t="s">
        <v>80</v>
      </c>
      <c r="C42" s="19" t="s">
        <v>71</v>
      </c>
      <c r="D42" s="20" t="s">
        <v>73</v>
      </c>
      <c r="E42" s="20" t="s">
        <v>74</v>
      </c>
      <c r="F42" s="20" t="s">
        <v>75</v>
      </c>
      <c r="G42" s="20" t="s">
        <v>76</v>
      </c>
      <c r="H42" s="21" t="s">
        <v>77</v>
      </c>
      <c r="I42" s="30"/>
      <c r="J42" s="28"/>
    </row>
    <row r="43" spans="1:12" ht="13.5" hidden="1" x14ac:dyDescent="0.25">
      <c r="A43" s="23">
        <f>+A25</f>
        <v>30</v>
      </c>
      <c r="B43" s="29" t="str">
        <f>IFERROR(VLOOKUP(H43,[1]SEMIELABORADOS!$A$2:$M$6000,2,0),"")</f>
        <v/>
      </c>
      <c r="C43" s="24">
        <f>+A43</f>
        <v>30</v>
      </c>
      <c r="D43" s="25" t="str">
        <f>IFERROR(VLOOKUP(H43,[1]SEMIELABORADOS!$A$2:$M$6000,6,0),"")</f>
        <v/>
      </c>
      <c r="E43" s="25" t="str">
        <f>IFERROR(VLOOKUP(H43,[1]SEMIELABORADOS!$A$2:$M$65536,10,0),"")</f>
        <v/>
      </c>
      <c r="F43" s="25" t="str">
        <f>IFERROR(E43*C43,"")</f>
        <v/>
      </c>
      <c r="G43" s="26" t="str">
        <f t="shared" ref="G43:G49" si="9">IFERROR(F43/$F$74,"")</f>
        <v/>
      </c>
      <c r="H43" s="30"/>
      <c r="I43" s="30"/>
      <c r="J43" s="28"/>
    </row>
    <row r="44" spans="1:12" ht="13.5" hidden="1" x14ac:dyDescent="0.25">
      <c r="A44" s="23">
        <f t="shared" ref="A44:A49" si="10">+A26</f>
        <v>285</v>
      </c>
      <c r="B44" s="29" t="str">
        <f>IFERROR(VLOOKUP(H44,[1]SEMIELABORADOS!$A$2:$M$6000,2,0),"")</f>
        <v/>
      </c>
      <c r="C44" s="24">
        <f t="shared" ref="C44:C49" si="11">+A44</f>
        <v>285</v>
      </c>
      <c r="D44" s="25" t="str">
        <f>IFERROR(VLOOKUP(H44,[1]SEMIELABORADOS!$A$2:$M$6000,6,0),"")</f>
        <v/>
      </c>
      <c r="E44" s="25" t="str">
        <f>IFERROR(VLOOKUP(H44,[1]SEMIELABORADOS!$A$2:$M$65536,10,0),"")</f>
        <v/>
      </c>
      <c r="F44" s="25" t="str">
        <f t="shared" ref="F44:F49" si="12">IFERROR(E44*C44,"")</f>
        <v/>
      </c>
      <c r="G44" s="26" t="str">
        <f t="shared" si="9"/>
        <v/>
      </c>
      <c r="H44" s="30"/>
      <c r="I44" s="30"/>
      <c r="J44" s="28"/>
    </row>
    <row r="45" spans="1:12" ht="13.5" hidden="1" x14ac:dyDescent="0.25">
      <c r="A45" s="23">
        <f t="shared" si="10"/>
        <v>0</v>
      </c>
      <c r="B45" s="29" t="str">
        <f>IFERROR(VLOOKUP(H45,[1]SEMIELABORADOS!$A$2:$M$6000,2,0),"")</f>
        <v/>
      </c>
      <c r="C45" s="24">
        <f t="shared" si="11"/>
        <v>0</v>
      </c>
      <c r="D45" s="25" t="str">
        <f>IFERROR(VLOOKUP(H45,[1]SEMIELABORADOS!$A$2:$M$6000,6,0),"")</f>
        <v/>
      </c>
      <c r="E45" s="25" t="str">
        <f>IFERROR(VLOOKUP(H45,[1]SEMIELABORADOS!$A$2:$M$65536,10,0),"")</f>
        <v/>
      </c>
      <c r="F45" s="25" t="str">
        <f t="shared" si="12"/>
        <v/>
      </c>
      <c r="G45" s="26" t="str">
        <f t="shared" si="9"/>
        <v/>
      </c>
      <c r="H45" s="30"/>
      <c r="I45" s="30"/>
      <c r="J45" s="28"/>
    </row>
    <row r="46" spans="1:12" ht="13.5" hidden="1" x14ac:dyDescent="0.25">
      <c r="A46" s="23">
        <f t="shared" si="10"/>
        <v>0</v>
      </c>
      <c r="B46" s="29" t="str">
        <f>IFERROR(VLOOKUP(H46,[1]SEMIELABORADOS!$A$2:$M$6000,2,0),"")</f>
        <v/>
      </c>
      <c r="C46" s="24">
        <f>+A46</f>
        <v>0</v>
      </c>
      <c r="D46" s="25" t="str">
        <f>IFERROR(VLOOKUP(H46,[1]SEMIELABORADOS!$A$2:$M$6000,6,0),"")</f>
        <v/>
      </c>
      <c r="E46" s="25" t="str">
        <f>IFERROR(VLOOKUP(H46,[1]SEMIELABORADOS!$A$2:$M$65536,10,0),"")</f>
        <v/>
      </c>
      <c r="F46" s="25" t="str">
        <f>IFERROR(E46*C46,"")</f>
        <v/>
      </c>
      <c r="G46" s="26" t="str">
        <f t="shared" si="9"/>
        <v/>
      </c>
      <c r="H46" s="30"/>
      <c r="I46" s="30"/>
      <c r="J46" s="28"/>
    </row>
    <row r="47" spans="1:12" ht="13.5" hidden="1" x14ac:dyDescent="0.25">
      <c r="A47" s="23">
        <f t="shared" si="10"/>
        <v>0</v>
      </c>
      <c r="B47" s="29" t="str">
        <f>IFERROR(VLOOKUP(H47,[1]SEMIELABORADOS!$A$2:$M$6000,2,0),"")</f>
        <v/>
      </c>
      <c r="C47" s="24">
        <f>+A47</f>
        <v>0</v>
      </c>
      <c r="D47" s="25" t="str">
        <f>IFERROR(VLOOKUP(H47,[1]SEMIELABORADOS!$A$2:$M$6000,6,0),"")</f>
        <v/>
      </c>
      <c r="E47" s="25" t="str">
        <f>IFERROR(VLOOKUP(H47,[1]SEMIELABORADOS!$A$2:$M$65536,10,0),"")</f>
        <v/>
      </c>
      <c r="F47" s="25" t="str">
        <f>IFERROR(E47*C47,"")</f>
        <v/>
      </c>
      <c r="G47" s="26" t="str">
        <f t="shared" si="9"/>
        <v/>
      </c>
      <c r="H47" s="30"/>
      <c r="I47" s="30"/>
      <c r="J47" s="28"/>
    </row>
    <row r="48" spans="1:12" ht="13.5" hidden="1" x14ac:dyDescent="0.25">
      <c r="A48" s="23">
        <f t="shared" si="10"/>
        <v>0</v>
      </c>
      <c r="B48" s="29" t="str">
        <f>IFERROR(VLOOKUP(H48,[1]SEMIELABORADOS!$A$2:$M$6000,2,0),"")</f>
        <v/>
      </c>
      <c r="C48" s="24">
        <f t="shared" si="11"/>
        <v>0</v>
      </c>
      <c r="D48" s="25" t="str">
        <f>IFERROR(VLOOKUP(H48,[1]SEMIELABORADOS!$A$2:$M$6000,6,0),"")</f>
        <v/>
      </c>
      <c r="E48" s="25" t="str">
        <f>IFERROR(VLOOKUP(H48,[1]SEMIELABORADOS!$A$2:$M$65536,10,0),"")</f>
        <v/>
      </c>
      <c r="F48" s="25" t="str">
        <f t="shared" si="12"/>
        <v/>
      </c>
      <c r="G48" s="26" t="str">
        <f t="shared" si="9"/>
        <v/>
      </c>
      <c r="H48" s="30"/>
      <c r="I48" s="30"/>
      <c r="J48" s="28"/>
    </row>
    <row r="49" spans="1:17" ht="13.5" hidden="1" x14ac:dyDescent="0.25">
      <c r="A49" s="23">
        <f t="shared" si="10"/>
        <v>0</v>
      </c>
      <c r="B49" s="29" t="str">
        <f>IFERROR(VLOOKUP(H49,[1]SEMIELABORADOS!$A$2:$M$6000,2,0),"")</f>
        <v/>
      </c>
      <c r="C49" s="24">
        <f t="shared" si="11"/>
        <v>0</v>
      </c>
      <c r="D49" s="25" t="str">
        <f>IFERROR(VLOOKUP(H49,[1]SEMIELABORADOS!$A$2:$M$6000,6,0),"")</f>
        <v/>
      </c>
      <c r="E49" s="25" t="str">
        <f>IFERROR(VLOOKUP(H49,[1]SEMIELABORADOS!$A$2:$M$65536,10,0),"")</f>
        <v/>
      </c>
      <c r="F49" s="25" t="str">
        <f t="shared" si="12"/>
        <v/>
      </c>
      <c r="G49" s="26" t="str">
        <f t="shared" si="9"/>
        <v/>
      </c>
      <c r="H49" s="30"/>
      <c r="I49" s="30"/>
      <c r="J49" s="28"/>
    </row>
    <row r="50" spans="1:17" ht="14.25" hidden="1" thickBot="1" x14ac:dyDescent="0.3">
      <c r="A50" s="23"/>
      <c r="B50" s="29"/>
      <c r="C50" s="24"/>
      <c r="D50" s="25"/>
      <c r="E50" s="25"/>
      <c r="F50" s="25"/>
      <c r="G50" s="26"/>
      <c r="H50" s="30"/>
      <c r="I50" s="30"/>
      <c r="J50" s="28"/>
    </row>
    <row r="51" spans="1:17" ht="26.25" thickBot="1" x14ac:dyDescent="0.25">
      <c r="A51" s="18" t="s">
        <v>71</v>
      </c>
      <c r="B51" s="19" t="s">
        <v>81</v>
      </c>
      <c r="C51" s="19" t="s">
        <v>71</v>
      </c>
      <c r="D51" s="20" t="s">
        <v>73</v>
      </c>
      <c r="E51" s="20" t="s">
        <v>74</v>
      </c>
      <c r="F51" s="20" t="s">
        <v>75</v>
      </c>
      <c r="G51" s="20" t="s">
        <v>76</v>
      </c>
      <c r="H51" s="21" t="s">
        <v>77</v>
      </c>
      <c r="I51" s="22"/>
      <c r="J51" s="28"/>
    </row>
    <row r="52" spans="1:17" ht="13.5" hidden="1" x14ac:dyDescent="0.25">
      <c r="A52" s="23">
        <f>+A43</f>
        <v>30</v>
      </c>
      <c r="B52" s="29" t="str">
        <f>IFERROR(VLOOKUP(H52,[1]SEMIELABORADOS!$A$2:$M$6000,2,0),"")</f>
        <v/>
      </c>
      <c r="C52" s="24">
        <f>+A52</f>
        <v>30</v>
      </c>
      <c r="D52" s="25" t="str">
        <f>IFERROR(VLOOKUP(H52,[1]SEMIELABORADOS!$A$2:$M$6000,6,0),"")</f>
        <v/>
      </c>
      <c r="E52" s="25" t="str">
        <f>IFERROR(VLOOKUP(H52,[1]SEMIELABORADOS!$A$2:$M$65536,12,0),"")</f>
        <v/>
      </c>
      <c r="F52" s="25" t="str">
        <f>IFERROR(E52*C52,"")</f>
        <v/>
      </c>
      <c r="G52" s="26" t="str">
        <f>IFERROR(F52/$F$74,"")</f>
        <v/>
      </c>
      <c r="H52" s="30"/>
      <c r="I52" s="22"/>
      <c r="J52" s="28"/>
    </row>
    <row r="53" spans="1:17" ht="13.5" hidden="1" x14ac:dyDescent="0.25">
      <c r="A53" s="23">
        <f t="shared" ref="A53:A58" si="13">+A44</f>
        <v>285</v>
      </c>
      <c r="B53" s="29" t="str">
        <f>IFERROR(VLOOKUP(H53,[1]SEMIELABORADOS!$A$2:$M$6000,2,0),"")</f>
        <v/>
      </c>
      <c r="C53" s="24">
        <f t="shared" ref="C53:C58" si="14">+A53</f>
        <v>285</v>
      </c>
      <c r="D53" s="25" t="str">
        <f>IFERROR(VLOOKUP(H53,[1]SEMIELABORADOS!$A$2:$M$6000,6,0),"")</f>
        <v/>
      </c>
      <c r="E53" s="25" t="str">
        <f>IFERROR(VLOOKUP(H53,[1]SEMIELABORADOS!$A$2:$M$65536,12,0),"")</f>
        <v/>
      </c>
      <c r="F53" s="25" t="str">
        <f t="shared" ref="F53:F58" si="15">IFERROR(E53*C53,"")</f>
        <v/>
      </c>
      <c r="G53" s="26" t="str">
        <f t="shared" ref="G53:G58" si="16">IFERROR(F53/$F$74,"")</f>
        <v/>
      </c>
      <c r="H53" s="30"/>
      <c r="I53" s="22"/>
      <c r="J53" s="28"/>
      <c r="M53" s="33"/>
    </row>
    <row r="54" spans="1:17" ht="13.5" hidden="1" x14ac:dyDescent="0.25">
      <c r="A54" s="23">
        <f t="shared" si="13"/>
        <v>0</v>
      </c>
      <c r="B54" s="29" t="str">
        <f>IFERROR(VLOOKUP(H54,[1]SEMIELABORADOS!$A$2:$M$6000,2,0),"")</f>
        <v/>
      </c>
      <c r="C54" s="24">
        <f t="shared" si="14"/>
        <v>0</v>
      </c>
      <c r="D54" s="25" t="str">
        <f>IFERROR(VLOOKUP(H54,[1]SEMIELABORADOS!$A$2:$M$6000,6,0),"")</f>
        <v/>
      </c>
      <c r="E54" s="25" t="str">
        <f>IFERROR(VLOOKUP(H54,[1]SEMIELABORADOS!$A$2:$M$65536,12,0),"")</f>
        <v/>
      </c>
      <c r="F54" s="25" t="str">
        <f t="shared" si="15"/>
        <v/>
      </c>
      <c r="G54" s="26" t="str">
        <f t="shared" si="16"/>
        <v/>
      </c>
      <c r="H54" s="30"/>
      <c r="I54" s="22"/>
      <c r="J54" s="28"/>
    </row>
    <row r="55" spans="1:17" ht="13.5" hidden="1" x14ac:dyDescent="0.25">
      <c r="A55" s="23">
        <f t="shared" si="13"/>
        <v>0</v>
      </c>
      <c r="B55" s="29" t="str">
        <f>IFERROR(VLOOKUP(H55,[1]SEMIELABORADOS!$A$2:$M$6000,2,0),"")</f>
        <v/>
      </c>
      <c r="C55" s="24">
        <f t="shared" si="14"/>
        <v>0</v>
      </c>
      <c r="D55" s="25" t="str">
        <f>IFERROR(VLOOKUP(H55,[1]SEMIELABORADOS!$A$2:$M$6000,6,0),"")</f>
        <v/>
      </c>
      <c r="E55" s="25" t="str">
        <f>IFERROR(VLOOKUP(H55,[1]SEMIELABORADOS!$A$2:$M$65536,12,0),"")</f>
        <v/>
      </c>
      <c r="F55" s="25" t="str">
        <f t="shared" si="15"/>
        <v/>
      </c>
      <c r="G55" s="26" t="str">
        <f t="shared" si="16"/>
        <v/>
      </c>
      <c r="H55" s="30"/>
      <c r="I55" s="22"/>
      <c r="J55" s="28"/>
    </row>
    <row r="56" spans="1:17" ht="13.5" hidden="1" x14ac:dyDescent="0.25">
      <c r="A56" s="23">
        <f t="shared" si="13"/>
        <v>0</v>
      </c>
      <c r="B56" s="29" t="str">
        <f>IFERROR(VLOOKUP(H56,[1]SEMIELABORADOS!$A$2:$M$6000,2,0),"")</f>
        <v/>
      </c>
      <c r="C56" s="24">
        <f t="shared" si="14"/>
        <v>0</v>
      </c>
      <c r="D56" s="25" t="str">
        <f>IFERROR(VLOOKUP(H56,[1]SEMIELABORADOS!$A$2:$M$6000,6,0),"")</f>
        <v/>
      </c>
      <c r="E56" s="25" t="str">
        <f>IFERROR(VLOOKUP(H56,[1]SEMIELABORADOS!$A$2:$M$65536,12,0),"")</f>
        <v/>
      </c>
      <c r="F56" s="25" t="str">
        <f t="shared" si="15"/>
        <v/>
      </c>
      <c r="G56" s="26" t="str">
        <f t="shared" si="16"/>
        <v/>
      </c>
      <c r="H56" s="30"/>
      <c r="I56" s="22"/>
      <c r="J56" s="28"/>
    </row>
    <row r="57" spans="1:17" ht="13.5" hidden="1" x14ac:dyDescent="0.25">
      <c r="A57" s="23">
        <f t="shared" si="13"/>
        <v>0</v>
      </c>
      <c r="B57" s="29" t="str">
        <f>IFERROR(VLOOKUP(H57,[1]SEMIELABORADOS!$A$2:$M$6000,2,0),"")</f>
        <v/>
      </c>
      <c r="C57" s="24">
        <f t="shared" si="14"/>
        <v>0</v>
      </c>
      <c r="D57" s="25" t="str">
        <f>IFERROR(VLOOKUP(H57,[1]SEMIELABORADOS!$A$2:$M$6000,6,0),"")</f>
        <v/>
      </c>
      <c r="E57" s="25" t="str">
        <f>IFERROR(VLOOKUP(H57,[1]SEMIELABORADOS!$A$2:$M$65536,12,0),"")</f>
        <v/>
      </c>
      <c r="F57" s="25" t="str">
        <f t="shared" si="15"/>
        <v/>
      </c>
      <c r="G57" s="26" t="str">
        <f t="shared" si="16"/>
        <v/>
      </c>
      <c r="H57" s="30"/>
      <c r="I57" s="22"/>
      <c r="J57" s="28"/>
    </row>
    <row r="58" spans="1:17" ht="13.5" hidden="1" x14ac:dyDescent="0.25">
      <c r="A58" s="23">
        <f t="shared" si="13"/>
        <v>0</v>
      </c>
      <c r="B58" s="29" t="str">
        <f>IFERROR(VLOOKUP(H58,[1]SEMIELABORADOS!$A$2:$M$6000,2,0),"")</f>
        <v/>
      </c>
      <c r="C58" s="24">
        <f t="shared" si="14"/>
        <v>0</v>
      </c>
      <c r="D58" s="25" t="str">
        <f>IFERROR(VLOOKUP(H58,[1]SEMIELABORADOS!$A$2:$M$6000,6,0),"")</f>
        <v/>
      </c>
      <c r="E58" s="25" t="str">
        <f>IFERROR(VLOOKUP(H58,[1]SEMIELABORADOS!$A$2:$M$65536,12,0),"")</f>
        <v/>
      </c>
      <c r="F58" s="25" t="str">
        <f t="shared" si="15"/>
        <v/>
      </c>
      <c r="G58" s="26" t="str">
        <f t="shared" si="16"/>
        <v/>
      </c>
      <c r="H58" s="29"/>
      <c r="I58" s="22"/>
      <c r="J58" s="28"/>
    </row>
    <row r="59" spans="1:17" ht="13.5" x14ac:dyDescent="0.25">
      <c r="A59" s="23">
        <v>1</v>
      </c>
      <c r="B59" s="29" t="s">
        <v>82</v>
      </c>
      <c r="C59" s="24">
        <f>+A59</f>
        <v>1</v>
      </c>
      <c r="D59" s="24" t="s">
        <v>83</v>
      </c>
      <c r="E59" s="25">
        <f>+F73</f>
        <v>770</v>
      </c>
      <c r="F59" s="25">
        <f>IFERROR(C59*E59,"")</f>
        <v>770</v>
      </c>
      <c r="G59" s="26">
        <f>IFERROR(F59/$F$74,"")</f>
        <v>3.1655254933970499E-2</v>
      </c>
      <c r="H59" s="34"/>
      <c r="I59" s="34"/>
      <c r="J59" s="28"/>
    </row>
    <row r="60" spans="1:17" ht="14.25" thickBot="1" x14ac:dyDescent="0.3">
      <c r="A60" s="23"/>
      <c r="B60" s="29"/>
      <c r="C60" s="24"/>
      <c r="D60" s="24"/>
      <c r="E60" s="25"/>
      <c r="F60" s="25"/>
      <c r="G60" s="26"/>
      <c r="H60" s="34"/>
      <c r="I60" s="34"/>
      <c r="J60" s="28"/>
    </row>
    <row r="61" spans="1:17" ht="13.5" thickBot="1" x14ac:dyDescent="0.25">
      <c r="A61" s="35"/>
      <c r="B61" s="275" t="s">
        <v>84</v>
      </c>
      <c r="C61" s="275"/>
      <c r="D61" s="275"/>
      <c r="E61" s="275"/>
      <c r="F61" s="37">
        <f>SUM(F8:F22,F25:F32)</f>
        <v>23092.701300000001</v>
      </c>
      <c r="G61" s="26">
        <f>+F61/$F$74</f>
        <v>0.94935759320198965</v>
      </c>
      <c r="H61" s="38">
        <f>+F61/$D$68</f>
        <v>23092.701300000001</v>
      </c>
      <c r="I61" s="38"/>
      <c r="J61" s="39"/>
      <c r="K61" s="40"/>
      <c r="L61" s="40"/>
      <c r="M61" s="40"/>
      <c r="N61" s="40"/>
      <c r="O61" s="40"/>
      <c r="P61" s="40"/>
      <c r="Q61" s="41"/>
    </row>
    <row r="62" spans="1:17" x14ac:dyDescent="0.2">
      <c r="A62" s="35"/>
      <c r="B62" s="275" t="s">
        <v>85</v>
      </c>
      <c r="C62" s="275"/>
      <c r="D62" s="275"/>
      <c r="E62" s="275"/>
      <c r="F62" s="37">
        <f>SUM(F35:F40,F43:F49)</f>
        <v>0</v>
      </c>
      <c r="G62" s="26">
        <f>+F62/$F$74</f>
        <v>0</v>
      </c>
      <c r="H62" s="38">
        <f>+F62/$D$68</f>
        <v>0</v>
      </c>
      <c r="I62" s="38"/>
      <c r="J62" s="42"/>
      <c r="K62" s="276" t="s">
        <v>86</v>
      </c>
      <c r="L62" s="277"/>
      <c r="M62" s="277"/>
      <c r="N62" s="277"/>
      <c r="O62" s="43">
        <f>+F63</f>
        <v>23092.701300000001</v>
      </c>
      <c r="P62" s="43"/>
      <c r="Q62" s="44"/>
    </row>
    <row r="63" spans="1:17" x14ac:dyDescent="0.2">
      <c r="A63" s="35"/>
      <c r="B63" s="275" t="s">
        <v>87</v>
      </c>
      <c r="C63" s="275"/>
      <c r="D63" s="275"/>
      <c r="E63" s="275"/>
      <c r="F63" s="37">
        <f>+F61+F62</f>
        <v>23092.701300000001</v>
      </c>
      <c r="G63" s="26">
        <f>+F63/$F$74</f>
        <v>0.94935759320198965</v>
      </c>
      <c r="H63" s="38">
        <f>+F63/$D$68</f>
        <v>23092.701300000001</v>
      </c>
      <c r="I63" s="38"/>
      <c r="J63" s="45"/>
      <c r="K63" s="46"/>
      <c r="M63" s="47" t="s">
        <v>88</v>
      </c>
      <c r="N63" s="48"/>
      <c r="O63" s="43">
        <f>+H64</f>
        <v>770</v>
      </c>
      <c r="P63" s="43"/>
      <c r="Q63" s="44"/>
    </row>
    <row r="64" spans="1:17" ht="13.5" thickBot="1" x14ac:dyDescent="0.25">
      <c r="A64" s="35"/>
      <c r="B64" s="36"/>
      <c r="C64" s="275" t="s">
        <v>89</v>
      </c>
      <c r="D64" s="275"/>
      <c r="E64" s="275"/>
      <c r="F64" s="37">
        <f>SUM(F52:F59)</f>
        <v>770</v>
      </c>
      <c r="G64" s="26">
        <f>+F64/$F$74</f>
        <v>3.1655254933970499E-2</v>
      </c>
      <c r="H64" s="38">
        <f>+F64/$D$68</f>
        <v>770</v>
      </c>
      <c r="I64" s="38"/>
      <c r="J64" s="45"/>
      <c r="K64" s="46"/>
      <c r="L64" s="46"/>
      <c r="M64" s="46" t="s">
        <v>90</v>
      </c>
      <c r="N64" s="49"/>
      <c r="O64" s="43">
        <f>O62*N64</f>
        <v>0</v>
      </c>
      <c r="P64" s="43"/>
      <c r="Q64" s="44"/>
    </row>
    <row r="65" spans="1:17" ht="13.5" thickBot="1" x14ac:dyDescent="0.25">
      <c r="A65" s="35"/>
      <c r="B65" s="50"/>
      <c r="C65" s="50"/>
      <c r="D65" s="50"/>
      <c r="E65" s="50"/>
      <c r="F65" s="51"/>
      <c r="G65" s="26"/>
      <c r="H65" s="52"/>
      <c r="I65" s="38"/>
      <c r="J65" s="45"/>
      <c r="K65" s="53"/>
      <c r="M65" s="54" t="s">
        <v>91</v>
      </c>
      <c r="N65" s="55"/>
      <c r="O65" s="56">
        <f>SUM(O62:O64)</f>
        <v>23862.701300000001</v>
      </c>
      <c r="P65" s="57"/>
      <c r="Q65" s="44"/>
    </row>
    <row r="66" spans="1:17" x14ac:dyDescent="0.2">
      <c r="B66" s="279" t="s">
        <v>92</v>
      </c>
      <c r="C66" s="279"/>
      <c r="D66" s="58">
        <v>15000</v>
      </c>
      <c r="E66" s="59"/>
      <c r="G66" s="26"/>
      <c r="H66" s="52">
        <f>+H64/77</f>
        <v>10</v>
      </c>
      <c r="I66" s="60"/>
      <c r="J66" s="45"/>
      <c r="K66" s="53"/>
      <c r="L66" s="46"/>
      <c r="M66" s="46" t="s">
        <v>93</v>
      </c>
      <c r="N66" s="61"/>
      <c r="O66" s="43">
        <f>+H67</f>
        <v>640</v>
      </c>
      <c r="P66" s="43"/>
      <c r="Q66" s="44"/>
    </row>
    <row r="67" spans="1:17" x14ac:dyDescent="0.2">
      <c r="B67" s="279" t="s">
        <v>94</v>
      </c>
      <c r="C67" s="279"/>
      <c r="D67" s="62">
        <v>15000</v>
      </c>
      <c r="E67" s="59"/>
      <c r="G67" s="26"/>
      <c r="H67" s="52">
        <f>+H66*64</f>
        <v>640</v>
      </c>
      <c r="I67" s="60"/>
      <c r="J67" s="45"/>
      <c r="K67" s="53"/>
      <c r="L67" s="46"/>
      <c r="M67" s="280" t="s">
        <v>91</v>
      </c>
      <c r="N67" s="280"/>
      <c r="O67" s="43">
        <f>SUM(O65:O66)</f>
        <v>24502.701300000001</v>
      </c>
      <c r="P67" s="43"/>
      <c r="Q67" s="44"/>
    </row>
    <row r="68" spans="1:17" ht="13.5" thickBot="1" x14ac:dyDescent="0.25">
      <c r="B68" s="281" t="s">
        <v>95</v>
      </c>
      <c r="C68" s="281"/>
      <c r="D68" s="58">
        <f>+D66/D67</f>
        <v>1</v>
      </c>
      <c r="E68" s="59"/>
      <c r="F68" s="63"/>
      <c r="G68" s="26"/>
      <c r="H68" s="52"/>
      <c r="I68" s="60"/>
      <c r="J68" s="45"/>
      <c r="K68" s="53"/>
      <c r="L68" s="280"/>
      <c r="M68" s="280"/>
      <c r="N68" s="61"/>
      <c r="O68" s="43">
        <f>+O67*N68</f>
        <v>0</v>
      </c>
      <c r="P68" s="43"/>
      <c r="Q68" s="44"/>
    </row>
    <row r="69" spans="1:17" ht="13.5" thickBot="1" x14ac:dyDescent="0.25">
      <c r="B69" s="281" t="s">
        <v>96</v>
      </c>
      <c r="C69" s="281"/>
      <c r="D69" s="64"/>
      <c r="E69" s="59"/>
      <c r="F69" s="63"/>
      <c r="G69" s="26"/>
      <c r="H69" s="52"/>
      <c r="I69" s="60"/>
      <c r="J69" s="45"/>
      <c r="K69" s="282" t="s">
        <v>97</v>
      </c>
      <c r="L69" s="283"/>
      <c r="M69" s="283"/>
      <c r="N69" s="284"/>
      <c r="O69" s="56">
        <f>SUM(O67:O68)</f>
        <v>24502.701300000001</v>
      </c>
      <c r="P69" s="65" t="s">
        <v>98</v>
      </c>
      <c r="Q69" s="44"/>
    </row>
    <row r="70" spans="1:17" ht="13.5" thickBot="1" x14ac:dyDescent="0.25">
      <c r="C70" s="35" t="s">
        <v>99</v>
      </c>
      <c r="D70" s="66"/>
      <c r="E70" s="9" t="s">
        <v>100</v>
      </c>
      <c r="F70" s="67" t="s">
        <v>101</v>
      </c>
      <c r="G70" s="26"/>
      <c r="H70" s="52"/>
      <c r="I70" s="60"/>
      <c r="J70" s="68"/>
      <c r="K70" s="69"/>
      <c r="L70" s="290" t="s">
        <v>102</v>
      </c>
      <c r="M70" s="290"/>
      <c r="N70" s="290"/>
      <c r="O70" s="70">
        <f>+O69/D68</f>
        <v>24502.701300000001</v>
      </c>
      <c r="P70" s="71">
        <f>+O70/D67</f>
        <v>1.6335134200000001</v>
      </c>
      <c r="Q70" s="72"/>
    </row>
    <row r="71" spans="1:17" ht="13.5" thickBot="1" x14ac:dyDescent="0.25">
      <c r="B71" s="291" t="s">
        <v>87</v>
      </c>
      <c r="C71" s="291"/>
      <c r="D71" s="291"/>
      <c r="E71" s="73">
        <f>+F71/F71</f>
        <v>1</v>
      </c>
      <c r="F71" s="74">
        <f>SUM(F63)</f>
        <v>23092.701300000001</v>
      </c>
      <c r="G71" s="26">
        <f>+F71/$F$74</f>
        <v>0.94935759320198965</v>
      </c>
      <c r="H71" s="52"/>
      <c r="I71" s="60"/>
      <c r="K71" s="292"/>
      <c r="L71" s="293"/>
      <c r="M71" s="293"/>
      <c r="N71" s="293"/>
      <c r="O71" s="75"/>
      <c r="P71" s="76"/>
    </row>
    <row r="72" spans="1:17" ht="13.5" thickBot="1" x14ac:dyDescent="0.25">
      <c r="B72" s="294" t="s">
        <v>103</v>
      </c>
      <c r="C72" s="294"/>
      <c r="D72" s="294"/>
      <c r="E72" s="77">
        <v>0.02</v>
      </c>
      <c r="F72" s="74">
        <f>+F61*E72</f>
        <v>461.85402600000003</v>
      </c>
      <c r="G72" s="26">
        <f>+F72/$F$74</f>
        <v>1.8987151864039795E-2</v>
      </c>
      <c r="H72" s="38"/>
      <c r="I72" s="60"/>
      <c r="J72" s="78"/>
      <c r="O72" s="79"/>
      <c r="P72" s="36"/>
    </row>
    <row r="73" spans="1:17" ht="13.5" thickBot="1" x14ac:dyDescent="0.25">
      <c r="B73" s="295" t="s">
        <v>104</v>
      </c>
      <c r="C73" s="296"/>
      <c r="D73" s="80">
        <v>10</v>
      </c>
      <c r="E73" s="81">
        <v>77</v>
      </c>
      <c r="F73" s="74">
        <f>+E73*D73</f>
        <v>770</v>
      </c>
      <c r="G73" s="26">
        <f>+F73/$F$74</f>
        <v>3.1655254933970499E-2</v>
      </c>
      <c r="H73" s="38"/>
      <c r="I73" s="38"/>
      <c r="J73" s="28"/>
    </row>
    <row r="74" spans="1:17" ht="13.5" thickBot="1" x14ac:dyDescent="0.25">
      <c r="B74" s="297" t="s">
        <v>105</v>
      </c>
      <c r="C74" s="298"/>
      <c r="D74" s="298"/>
      <c r="E74" s="299"/>
      <c r="F74" s="51">
        <f>SUM(F71:F73)</f>
        <v>24324.555326000002</v>
      </c>
      <c r="G74" s="26">
        <f>+F74/$F$74</f>
        <v>1</v>
      </c>
      <c r="H74" s="278"/>
      <c r="I74" s="38"/>
      <c r="J74" s="28"/>
      <c r="M74" s="11" t="s">
        <v>106</v>
      </c>
    </row>
    <row r="75" spans="1:17" x14ac:dyDescent="0.2">
      <c r="C75" s="33"/>
      <c r="D75" s="33"/>
      <c r="E75" s="83"/>
      <c r="F75" s="74"/>
      <c r="G75" s="26"/>
      <c r="H75" s="278"/>
      <c r="I75" s="82"/>
      <c r="J75" s="11"/>
      <c r="M75" s="11" t="s">
        <v>107</v>
      </c>
    </row>
    <row r="76" spans="1:17" ht="13.5" thickBot="1" x14ac:dyDescent="0.25">
      <c r="B76" s="285" t="s">
        <v>108</v>
      </c>
      <c r="C76" s="285"/>
      <c r="D76" s="285"/>
      <c r="E76" s="285"/>
      <c r="F76" s="285"/>
      <c r="G76" s="26"/>
      <c r="H76" s="85"/>
      <c r="I76" s="82"/>
      <c r="J76" s="11"/>
      <c r="M76" s="11" t="s">
        <v>109</v>
      </c>
    </row>
    <row r="77" spans="1:17" ht="13.5" thickBot="1" x14ac:dyDescent="0.25">
      <c r="B77" s="86" t="s">
        <v>110</v>
      </c>
      <c r="C77" s="87">
        <f>+F61</f>
        <v>23092.701300000001</v>
      </c>
      <c r="D77" s="87">
        <f>+D66</f>
        <v>15000</v>
      </c>
      <c r="E77" s="88">
        <f>+C77/D77</f>
        <v>1.53951342</v>
      </c>
      <c r="F77" s="26"/>
      <c r="G77" s="85"/>
      <c r="H77" s="28"/>
      <c r="I77" s="85"/>
      <c r="J77" s="11"/>
    </row>
    <row r="78" spans="1:17" x14ac:dyDescent="0.2">
      <c r="B78" s="89"/>
      <c r="C78" s="90"/>
      <c r="D78" s="91"/>
      <c r="E78" s="74"/>
      <c r="F78" s="26"/>
      <c r="G78" s="85"/>
      <c r="H78" s="28"/>
      <c r="I78" s="28"/>
      <c r="J78" s="11"/>
    </row>
    <row r="79" spans="1:17" x14ac:dyDescent="0.2">
      <c r="B79" s="86" t="s">
        <v>111</v>
      </c>
      <c r="C79" s="87">
        <f>SUM(F71:F72)</f>
        <v>23554.555326000002</v>
      </c>
      <c r="D79" s="87">
        <f>+D66</f>
        <v>15000</v>
      </c>
      <c r="E79" s="92">
        <f>+C79/D79</f>
        <v>1.5703036884000001</v>
      </c>
      <c r="F79" s="26"/>
      <c r="G79" s="85"/>
      <c r="H79" s="28"/>
      <c r="I79" s="28"/>
      <c r="J79" s="11"/>
    </row>
    <row r="80" spans="1:17" x14ac:dyDescent="0.2">
      <c r="B80" s="86"/>
      <c r="C80" s="87"/>
      <c r="D80" s="87"/>
      <c r="E80" s="92"/>
      <c r="F80" s="26"/>
      <c r="G80" s="85"/>
      <c r="H80" s="28"/>
      <c r="I80" s="28"/>
      <c r="J80" s="11"/>
    </row>
    <row r="81" spans="1:10" ht="13.5" thickBot="1" x14ac:dyDescent="0.25">
      <c r="B81" s="86" t="s">
        <v>112</v>
      </c>
      <c r="C81" s="87">
        <f>+F73</f>
        <v>770</v>
      </c>
      <c r="D81" s="87">
        <f>+D66</f>
        <v>15000</v>
      </c>
      <c r="E81" s="92">
        <f>+C81/D81</f>
        <v>5.1333333333333335E-2</v>
      </c>
      <c r="F81" s="26"/>
      <c r="G81" s="85"/>
      <c r="H81" s="28"/>
      <c r="I81" s="28"/>
      <c r="J81" s="11"/>
    </row>
    <row r="82" spans="1:10" ht="13.5" thickBot="1" x14ac:dyDescent="0.25">
      <c r="B82" s="86" t="s">
        <v>113</v>
      </c>
      <c r="C82" s="87">
        <f>+F64</f>
        <v>770</v>
      </c>
      <c r="D82" s="87">
        <f>+D81</f>
        <v>15000</v>
      </c>
      <c r="E82" s="88">
        <f>+C82/D82</f>
        <v>5.1333333333333335E-2</v>
      </c>
      <c r="F82" s="26"/>
      <c r="G82" s="85"/>
      <c r="H82" s="28"/>
      <c r="I82" s="28"/>
      <c r="J82" s="11"/>
    </row>
    <row r="83" spans="1:10" ht="13.5" thickBot="1" x14ac:dyDescent="0.25">
      <c r="B83" s="50"/>
      <c r="C83" s="51"/>
      <c r="D83" s="51"/>
      <c r="E83" s="92"/>
      <c r="F83" s="26"/>
      <c r="G83" s="85"/>
      <c r="H83" s="28"/>
      <c r="I83" s="28"/>
      <c r="J83" s="11"/>
    </row>
    <row r="84" spans="1:10" ht="13.5" thickBot="1" x14ac:dyDescent="0.25">
      <c r="B84" s="86" t="s">
        <v>114</v>
      </c>
      <c r="C84" s="87">
        <f>+F62</f>
        <v>0</v>
      </c>
      <c r="D84" s="87">
        <f>+D82</f>
        <v>15000</v>
      </c>
      <c r="E84" s="88">
        <f>+C84/D84</f>
        <v>0</v>
      </c>
      <c r="F84" s="26"/>
      <c r="G84" s="85"/>
      <c r="H84" s="28"/>
      <c r="I84" s="28"/>
      <c r="J84" s="28"/>
    </row>
    <row r="85" spans="1:10" ht="13.5" thickBot="1" x14ac:dyDescent="0.25">
      <c r="B85" s="50"/>
      <c r="C85" s="51"/>
      <c r="D85" s="51"/>
      <c r="E85" s="92"/>
      <c r="F85" s="26"/>
      <c r="G85" s="85"/>
      <c r="H85" s="28"/>
      <c r="I85" s="28"/>
    </row>
    <row r="86" spans="1:10" ht="13.5" thickBot="1" x14ac:dyDescent="0.25">
      <c r="B86" s="286" t="s">
        <v>115</v>
      </c>
      <c r="C86" s="287"/>
      <c r="D86" s="288"/>
      <c r="E86" s="88">
        <f>+E77+E82</f>
        <v>1.5908467533333333</v>
      </c>
      <c r="G86" s="26"/>
      <c r="H86" s="85"/>
      <c r="I86" s="28"/>
      <c r="J86" s="92"/>
    </row>
    <row r="87" spans="1:10" x14ac:dyDescent="0.2">
      <c r="I87" s="85"/>
      <c r="J87" s="11"/>
    </row>
    <row r="88" spans="1:10" ht="13.5" thickBot="1" x14ac:dyDescent="0.25">
      <c r="B88" s="285" t="s">
        <v>116</v>
      </c>
      <c r="C88" s="285"/>
      <c r="D88" s="285"/>
      <c r="E88" s="285"/>
      <c r="F88" s="285"/>
      <c r="G88" s="26"/>
      <c r="H88" s="85"/>
      <c r="J88" s="11"/>
    </row>
    <row r="89" spans="1:10" ht="13.5" thickBot="1" x14ac:dyDescent="0.25">
      <c r="B89" s="86" t="s">
        <v>110</v>
      </c>
      <c r="C89" s="87">
        <f>+C77</f>
        <v>23092.701300000001</v>
      </c>
      <c r="D89" s="87">
        <f>+D68</f>
        <v>1</v>
      </c>
      <c r="E89" s="88">
        <f>+C89/D89</f>
        <v>23092.701300000001</v>
      </c>
      <c r="F89" s="26"/>
      <c r="G89" s="85"/>
      <c r="H89" s="28"/>
      <c r="I89" s="85"/>
      <c r="J89" s="11"/>
    </row>
    <row r="90" spans="1:10" x14ac:dyDescent="0.2">
      <c r="B90" s="89"/>
      <c r="C90" s="90"/>
      <c r="D90" s="91"/>
      <c r="E90" s="74"/>
      <c r="F90" s="26"/>
      <c r="G90" s="85"/>
      <c r="H90" s="28"/>
      <c r="I90" s="28"/>
      <c r="J90" s="11"/>
    </row>
    <row r="91" spans="1:10" x14ac:dyDescent="0.2">
      <c r="B91" s="86" t="s">
        <v>111</v>
      </c>
      <c r="C91" s="87">
        <f>+C79</f>
        <v>23554.555326000002</v>
      </c>
      <c r="D91" s="87">
        <f>+D68</f>
        <v>1</v>
      </c>
      <c r="E91" s="92">
        <f>+C91/D91</f>
        <v>23554.555326000002</v>
      </c>
      <c r="F91" s="26"/>
      <c r="G91" s="85"/>
      <c r="H91" s="28"/>
      <c r="I91" s="28"/>
      <c r="J91" s="11"/>
    </row>
    <row r="92" spans="1:10" x14ac:dyDescent="0.2">
      <c r="B92" s="86"/>
      <c r="C92" s="87"/>
      <c r="D92" s="87"/>
      <c r="E92" s="92"/>
      <c r="F92" s="26"/>
      <c r="G92" s="85"/>
      <c r="H92" s="28"/>
      <c r="I92" s="28"/>
      <c r="J92" s="11"/>
    </row>
    <row r="93" spans="1:10" ht="13.5" thickBot="1" x14ac:dyDescent="0.25">
      <c r="B93" s="86" t="s">
        <v>113</v>
      </c>
      <c r="C93" s="87">
        <f>+C81</f>
        <v>770</v>
      </c>
      <c r="D93" s="87">
        <f>+D68</f>
        <v>1</v>
      </c>
      <c r="E93" s="92">
        <f>+C93/D93</f>
        <v>770</v>
      </c>
      <c r="F93" s="94"/>
      <c r="G93" s="84"/>
      <c r="H93" s="10"/>
      <c r="I93" s="28"/>
    </row>
    <row r="94" spans="1:10" ht="13.5" thickBot="1" x14ac:dyDescent="0.25">
      <c r="B94" s="86" t="s">
        <v>113</v>
      </c>
      <c r="C94" s="87">
        <f>+C82</f>
        <v>770</v>
      </c>
      <c r="D94" s="87">
        <f>+D93</f>
        <v>1</v>
      </c>
      <c r="E94" s="88">
        <f>+C94/D94</f>
        <v>770</v>
      </c>
      <c r="F94" s="93"/>
      <c r="G94" s="84"/>
      <c r="H94" s="10"/>
      <c r="I94" s="10"/>
    </row>
    <row r="95" spans="1:10" x14ac:dyDescent="0.2">
      <c r="I95" s="10"/>
    </row>
    <row r="96" spans="1:10" x14ac:dyDescent="0.2">
      <c r="A96" s="289"/>
      <c r="B96" s="289"/>
      <c r="C96" s="95"/>
      <c r="D96" s="95"/>
      <c r="E96" s="96"/>
      <c r="G96" s="97"/>
    </row>
    <row r="97" spans="1:7" x14ac:dyDescent="0.2">
      <c r="A97" s="29"/>
      <c r="B97" s="98"/>
      <c r="C97" s="99"/>
      <c r="D97" s="99"/>
      <c r="E97" s="100"/>
      <c r="G97" s="97"/>
    </row>
    <row r="98" spans="1:7" x14ac:dyDescent="0.2">
      <c r="A98" s="29"/>
      <c r="B98" s="98"/>
      <c r="C98" s="101"/>
      <c r="D98" s="101"/>
      <c r="E98" s="29"/>
      <c r="G98" s="97"/>
    </row>
    <row r="99" spans="1:7" x14ac:dyDescent="0.2">
      <c r="A99" s="29"/>
      <c r="B99" s="98"/>
      <c r="C99" s="102"/>
      <c r="D99" s="102"/>
      <c r="E99" s="29"/>
      <c r="G99" s="97"/>
    </row>
  </sheetData>
  <mergeCells count="30">
    <mergeCell ref="B76:F76"/>
    <mergeCell ref="B86:D86"/>
    <mergeCell ref="B88:F88"/>
    <mergeCell ref="A96:B96"/>
    <mergeCell ref="L70:N70"/>
    <mergeCell ref="B71:D71"/>
    <mergeCell ref="K71:N71"/>
    <mergeCell ref="B72:D72"/>
    <mergeCell ref="B73:C73"/>
    <mergeCell ref="B74:E74"/>
    <mergeCell ref="M67:N67"/>
    <mergeCell ref="B68:C68"/>
    <mergeCell ref="L68:M68"/>
    <mergeCell ref="B69:C69"/>
    <mergeCell ref="K69:N69"/>
    <mergeCell ref="B63:E63"/>
    <mergeCell ref="C64:E64"/>
    <mergeCell ref="H74:H75"/>
    <mergeCell ref="B66:C66"/>
    <mergeCell ref="B67:C67"/>
    <mergeCell ref="K37:L37"/>
    <mergeCell ref="K38:L38"/>
    <mergeCell ref="B61:E61"/>
    <mergeCell ref="B62:E62"/>
    <mergeCell ref="K62:N62"/>
    <mergeCell ref="A4:H4"/>
    <mergeCell ref="A5:H5"/>
    <mergeCell ref="F6:G6"/>
    <mergeCell ref="K35:L35"/>
    <mergeCell ref="K36:L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4083804-989C-4CBF-BBE4-B037D8CE59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297A78-7842-4B2C-8E75-3E2B0B230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21F801-A3D9-41C2-8D1B-2B2915C201C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622FFD3D-9D06-4AA8-B177-5457AD88FF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2025-06-13T19:37:08Z</cp:lastPrinted>
  <dcterms:created xsi:type="dcterms:W3CDTF">2012-05-10T22:32:20Z</dcterms:created>
  <dcterms:modified xsi:type="dcterms:W3CDTF">2025-06-13T19:38:28Z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118800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ntentTypeId">
    <vt:lpwstr>0x0101005C97FB89D0086C4984F8F1A28A5D30F9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
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2" documentId="8_{7A06F183-495F-428A-80AE-3261FDDF2BA7}" xr6:coauthVersionLast="47" xr6:coauthVersionMax="47" xr10:uidLastSave="{7A324A1E-2DE1-4532-8439-968FAE032DB7}"/>
  <bookViews>
    <workbookView xWindow="-120" yWindow="-120" windowWidth="20730" windowHeight="11040" xr2:uid="{2249A29E-7463-4582-AED1-EC394990A678}"/>
  </bookViews>
  <sheets>
    <sheet name="Relleno Mantequilla de Mani " sheetId="1" r:id="rId1"/>
  </sheets>
  <definedNames>
    <definedName name="_xlnm.Print_Area" localSheetId="0">'Relleno Mantequilla de Mani '!$A$1:$I$34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1" l="1"/>
  <c r="E10" i="1"/>
  <c r="E11" i="1"/>
  <c r="J11" i="1"/>
  <c r="E12" i="1"/>
  <c r="J12" i="1"/>
  <c r="J21" i="1"/>
  <c r="D25" i="1"/>
</calcChain>
</file>

<file path=xl/sharedStrings.xml><?xml version="1.0" encoding="utf-8"?>
<sst xmlns="http://schemas.openxmlformats.org/spreadsheetml/2006/main" count="67" uniqueCount="57">
  <si>
    <t>SERVICIOS DE PASTELERIA S.A.</t>
  </si>
  <si>
    <t>CÓDIGO:</t>
  </si>
  <si>
    <t>ESP-RE-POS-140</t>
  </si>
  <si>
    <t>ESPECIFICACION DE RECETA</t>
  </si>
  <si>
    <t>REVISIÓN:</t>
  </si>
  <si>
    <t>SE00823 Relleno Mantequilla de mani</t>
  </si>
  <si>
    <t>FECHA DE APROBACIÓN:</t>
  </si>
  <si>
    <t>Elaborado</t>
  </si>
  <si>
    <t>Mariela Barrantes Sánchez, Chef</t>
  </si>
  <si>
    <t>Aprobado</t>
  </si>
  <si>
    <t>Sebastian Díaz, Gte Manufactura</t>
  </si>
  <si>
    <t>AREA QUE PRODUCE:</t>
  </si>
  <si>
    <t xml:space="preserve">Postres </t>
  </si>
  <si>
    <t xml:space="preserve">AREA QUE EMPACA: </t>
  </si>
  <si>
    <t xml:space="preserve"># Código </t>
  </si>
  <si>
    <t># Código Netsuite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</si>
  <si>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</si>
  <si>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</si>
  <si>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</si>
  <si>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</si>
  <si>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</si>
  <si>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</si>
  <si>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</si>
  <si>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</si>
  <si>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Ensamble</t>
  </si>
  <si>
    <t>MP10470</t>
  </si>
  <si>
    <t>Queso Crema</t>
  </si>
  <si>
    <t>g</t>
  </si>
  <si>
    <t>MP10048</t>
  </si>
  <si>
    <t>CREMA PRESTIGE GRAND</t>
  </si>
  <si>
    <t>MP10926</t>
  </si>
  <si>
    <t xml:space="preserve">Mantequilla de mani </t>
  </si>
  <si>
    <t>DECORACION</t>
  </si>
  <si>
    <t>EMPAQUE</t>
  </si>
  <si>
    <t>Unidad</t>
  </si>
  <si>
    <t>PESO TOTAL OBTENIDO</t>
  </si>
  <si>
    <t>Tiempo de Horneo:</t>
  </si>
  <si>
    <t>TIEMPO TOTAL DE PREPARACION</t>
  </si>
  <si>
    <t>min</t>
  </si>
  <si>
    <t>Horno:</t>
  </si>
  <si>
    <t>CANTIDAD DE PORCIONES OBTENIDAS</t>
  </si>
  <si>
    <t>tanda</t>
  </si>
  <si>
    <t>Temperatura de Horneo:</t>
  </si>
  <si>
    <t>PESO DE CADA PORCIÓN</t>
  </si>
  <si>
    <t>Otros</t>
  </si>
  <si>
    <t>MERMA</t>
  </si>
  <si>
    <t>PROCEDIMIENTO DE PREPARACION DE LA  RECETA</t>
  </si>
  <si>
    <t xml:space="preserve">1. Colocar en la batidora el queso crema y batirlo para ablandarlo un poco. </t>
  </si>
  <si>
    <t>2.Agrega la prestige hasta que este bien montada.</t>
  </si>
  <si>
    <t xml:space="preserve">3. Una vez lista, agrega la mantequilla de mani. </t>
  </si>
  <si>
    <t xml:space="preserve">4. Utilizar inmediatamente. </t>
  </si>
  <si>
    <t>CONTROL DE CAMBIOS</t>
  </si>
  <si>
    <t>MP10008</t>
  </si>
  <si>
    <t>Preservante 1047S</t>
  </si>
  <si>
    <t>ASEAL</t>
  </si>
  <si>
    <t xml:space="preserve">2, Se agrega preservante 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</si>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</sst>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 x14ac:knownFonts="1">
    <font>
      <sz val="11"/>
      <color theme="1"/>
      <name val="Aptos Narrow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2"/>
      <color rgb="FFFF0000"/>
      <name val="Arial"/>
      <family val="2"/>
    </font>
    <font>
      <b/>
      <sz val="12"/>
      <name val="Arial"/>
      <family val="2"/>
    </font>
    <font>
      <b/>
      <sz val="18"/>
      <name val="Century Gothic"/>
      <family val="2"/>
    </font>
    <font>
      <sz val="16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color rgb="FF000000"/>
      <name val="Arial"/>
      <family val="2"/>
    </font>
    <font>
      <sz val="16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indexed="2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31">
    <xf numFmtId="0" fontId="0" fillId="0" borderId="0" xfId="0"/>
    <xf numFmtId="1" fontId="0" fillId="0" borderId="0" xfId="0" applyNumberFormat="1"/>
    <xf numFmtId="0" fontId="4" fillId="4" borderId="29" xfId="2" applyFont="1" applyFill="1" applyBorder="1" applyAlignment="1">
      <alignment horizontal="center"/>
    </xf>
    <xf numFmtId="1" fontId="4" fillId="4" borderId="19" xfId="2" applyNumberFormat="1" applyFont="1" applyFill="1" applyBorder="1" applyAlignment="1">
      <alignment horizontal="center" wrapText="1"/>
    </xf>
    <xf numFmtId="1" fontId="4" fillId="4" borderId="19" xfId="2" applyNumberFormat="1" applyFont="1" applyFill="1" applyBorder="1" applyAlignment="1">
      <alignment horizontal="center"/>
    </xf>
    <xf numFmtId="0" fontId="4" fillId="4" borderId="32" xfId="2" applyFont="1" applyFill="1" applyBorder="1" applyAlignment="1">
      <alignment horizontal="center" vertical="center" wrapText="1"/>
    </xf>
    <xf numFmtId="14" fontId="5" fillId="2" borderId="0" xfId="1" applyNumberFormat="1" applyFont="1" applyFill="1" applyAlignment="1">
      <alignment horizontal="center" vertical="center" wrapText="1"/>
    </xf>
    <xf numFmtId="0" fontId="3" fillId="2" borderId="13" xfId="1" applyFont="1" applyFill="1" applyBorder="1" applyAlignment="1">
      <alignment horizontal="right"/>
    </xf>
    <xf numFmtId="0" fontId="3" fillId="2" borderId="9" xfId="1" applyFont="1" applyFill="1" applyBorder="1" applyAlignment="1">
      <alignment horizontal="right"/>
    </xf>
    <xf numFmtId="49" fontId="3" fillId="2" borderId="12" xfId="1" applyNumberFormat="1" applyFont="1" applyFill="1" applyBorder="1" applyAlignment="1">
      <alignment horizontal="center"/>
    </xf>
    <xf numFmtId="0" fontId="4" fillId="2" borderId="13" xfId="1" applyFont="1" applyFill="1" applyBorder="1" applyAlignment="1">
      <alignment horizontal="right"/>
    </xf>
    <xf numFmtId="0" fontId="3" fillId="2" borderId="32" xfId="1" applyFont="1" applyFill="1" applyBorder="1" applyAlignment="1">
      <alignment horizontal="center"/>
    </xf>
    <xf numFmtId="0" fontId="4" fillId="2" borderId="33" xfId="1" applyFont="1" applyFill="1" applyBorder="1" applyAlignment="1">
      <alignment horizontal="right"/>
    </xf>
    <xf numFmtId="0" fontId="8" fillId="0" borderId="13" xfId="0" applyFont="1" applyBorder="1" applyAlignment="1">
      <alignment horizontal="center"/>
    </xf>
    <xf numFmtId="0" fontId="9" fillId="0" borderId="13" xfId="2" applyFont="1" applyBorder="1" applyAlignment="1">
      <alignment horizontal="center"/>
    </xf>
    <xf numFmtId="0" fontId="10" fillId="0" borderId="14" xfId="2" applyFont="1" applyBorder="1" applyAlignment="1">
      <alignment horizontal="center" vertical="center"/>
    </xf>
    <xf numFmtId="0" fontId="10" fillId="0" borderId="13" xfId="2" applyFont="1" applyBorder="1" applyAlignment="1">
      <alignment horizontal="center" vertical="center"/>
    </xf>
    <xf numFmtId="0" fontId="11" fillId="0" borderId="13" xfId="2" applyFont="1" applyBorder="1" applyAlignment="1">
      <alignment vertical="center"/>
    </xf>
    <xf numFmtId="1" fontId="10" fillId="0" borderId="13" xfId="2" applyNumberFormat="1" applyFont="1" applyBorder="1" applyAlignment="1">
      <alignment horizontal="center"/>
    </xf>
    <xf numFmtId="1" fontId="10" fillId="0" borderId="13" xfId="2" applyNumberFormat="1" applyFont="1" applyBorder="1" applyAlignment="1">
      <alignment horizontal="center" wrapText="1"/>
    </xf>
    <xf numFmtId="0" fontId="9" fillId="0" borderId="12" xfId="2" applyFont="1" applyBorder="1" applyAlignment="1">
      <alignment horizontal="center"/>
    </xf>
    <xf numFmtId="0" fontId="9" fillId="0" borderId="13" xfId="0" applyFont="1" applyBorder="1" applyAlignment="1">
      <alignment horizontal="center" vertical="center"/>
    </xf>
    <xf numFmtId="0" fontId="8" fillId="0" borderId="13" xfId="0" applyFont="1" applyBorder="1"/>
    <xf numFmtId="16" fontId="9" fillId="5" borderId="13" xfId="0" applyNumberFormat="1" applyFont="1" applyFill="1" applyBorder="1" applyAlignment="1">
      <alignment horizontal="center"/>
    </xf>
    <xf numFmtId="1" fontId="9" fillId="0" borderId="13" xfId="0" applyNumberFormat="1" applyFont="1" applyBorder="1" applyAlignment="1">
      <alignment horizontal="center"/>
    </xf>
    <xf numFmtId="1" fontId="9" fillId="0" borderId="13" xfId="0" applyNumberFormat="1" applyFont="1" applyBorder="1" applyAlignment="1">
      <alignment horizontal="center" vertical="center" wrapText="1"/>
    </xf>
    <xf numFmtId="1" fontId="9" fillId="0" borderId="24" xfId="2" applyNumberFormat="1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3" xfId="0" applyFont="1" applyBorder="1"/>
    <xf numFmtId="0" fontId="8" fillId="0" borderId="24" xfId="0" applyFont="1" applyBorder="1" applyAlignment="1">
      <alignment horizontal="center"/>
    </xf>
    <xf numFmtId="0" fontId="12" fillId="6" borderId="14" xfId="0" applyFont="1" applyFill="1" applyBorder="1" applyAlignment="1">
      <alignment horizontal="center"/>
    </xf>
    <xf numFmtId="0" fontId="12" fillId="6" borderId="11" xfId="0" applyFont="1" applyFill="1" applyBorder="1" applyAlignment="1">
      <alignment horizontal="center"/>
    </xf>
    <xf numFmtId="0" fontId="12" fillId="6" borderId="13" xfId="0" applyFont="1" applyFill="1" applyBorder="1"/>
    <xf numFmtId="0" fontId="9" fillId="0" borderId="13" xfId="2" applyFont="1" applyBorder="1" applyAlignment="1">
      <alignment horizontal="center" vertical="center"/>
    </xf>
    <xf numFmtId="0" fontId="9" fillId="2" borderId="0" xfId="2" applyFont="1" applyFill="1"/>
    <xf numFmtId="1" fontId="9" fillId="0" borderId="22" xfId="2" applyNumberFormat="1" applyFont="1" applyBorder="1" applyAlignment="1">
      <alignment horizontal="center"/>
    </xf>
    <xf numFmtId="0" fontId="9" fillId="0" borderId="11" xfId="2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10" fillId="0" borderId="13" xfId="2" applyFont="1" applyBorder="1"/>
    <xf numFmtId="1" fontId="9" fillId="0" borderId="13" xfId="2" applyNumberFormat="1" applyFont="1" applyBorder="1" applyAlignment="1">
      <alignment horizontal="center"/>
    </xf>
    <xf numFmtId="0" fontId="8" fillId="5" borderId="13" xfId="0" applyFont="1" applyFill="1" applyBorder="1" applyAlignment="1">
      <alignment horizontal="center"/>
    </xf>
    <xf numFmtId="0" fontId="9" fillId="0" borderId="13" xfId="0" applyFont="1" applyBorder="1" applyAlignment="1">
      <alignment horizontal="left" vertical="center"/>
    </xf>
    <xf numFmtId="1" fontId="9" fillId="0" borderId="13" xfId="0" applyNumberFormat="1" applyFont="1" applyBorder="1" applyAlignment="1">
      <alignment horizontal="center" wrapText="1"/>
    </xf>
    <xf numFmtId="49" fontId="13" fillId="2" borderId="28" xfId="2" applyNumberFormat="1" applyFont="1" applyFill="1" applyBorder="1" applyAlignment="1">
      <alignment horizontal="center" vertical="center"/>
    </xf>
    <xf numFmtId="49" fontId="13" fillId="2" borderId="0" xfId="2" applyNumberFormat="1" applyFont="1" applyFill="1" applyAlignment="1">
      <alignment horizontal="center" vertical="center"/>
    </xf>
    <xf numFmtId="1" fontId="9" fillId="2" borderId="0" xfId="2" applyNumberFormat="1" applyFont="1" applyFill="1" applyAlignment="1">
      <alignment horizontal="center"/>
    </xf>
    <xf numFmtId="164" fontId="9" fillId="2" borderId="0" xfId="2" applyNumberFormat="1" applyFont="1" applyFill="1" applyAlignment="1">
      <alignment horizontal="center" wrapText="1"/>
    </xf>
    <xf numFmtId="0" fontId="9" fillId="2" borderId="27" xfId="2" applyFont="1" applyFill="1" applyBorder="1" applyAlignment="1">
      <alignment horizontal="center"/>
    </xf>
    <xf numFmtId="0" fontId="9" fillId="4" borderId="17" xfId="2" applyFont="1" applyFill="1" applyBorder="1" applyAlignment="1">
      <alignment horizontal="center"/>
    </xf>
    <xf numFmtId="0" fontId="9" fillId="4" borderId="16" xfId="2" applyFont="1" applyFill="1" applyBorder="1" applyAlignment="1">
      <alignment horizontal="center"/>
    </xf>
    <xf numFmtId="0" fontId="9" fillId="4" borderId="16" xfId="2" applyFont="1" applyFill="1" applyBorder="1"/>
    <xf numFmtId="0" fontId="10" fillId="4" borderId="16" xfId="2" applyFont="1" applyFill="1" applyBorder="1" applyAlignment="1">
      <alignment horizontal="center"/>
    </xf>
    <xf numFmtId="1" fontId="10" fillId="4" borderId="16" xfId="2" applyNumberFormat="1" applyFont="1" applyFill="1" applyBorder="1" applyAlignment="1">
      <alignment horizontal="center"/>
    </xf>
    <xf numFmtId="164" fontId="9" fillId="4" borderId="16" xfId="2" applyNumberFormat="1" applyFont="1" applyFill="1" applyBorder="1" applyAlignment="1">
      <alignment horizontal="center" wrapText="1"/>
    </xf>
    <xf numFmtId="0" fontId="9" fillId="4" borderId="15" xfId="2" applyFont="1" applyFill="1" applyBorder="1" applyAlignment="1">
      <alignment horizontal="center"/>
    </xf>
    <xf numFmtId="1" fontId="9" fillId="0" borderId="9" xfId="0" applyNumberFormat="1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1" fontId="9" fillId="0" borderId="19" xfId="0" applyNumberFormat="1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1" fontId="9" fillId="0" borderId="13" xfId="0" applyNumberFormat="1" applyFont="1" applyBorder="1" applyAlignment="1">
      <alignment horizontal="center" vertical="center"/>
    </xf>
    <xf numFmtId="14" fontId="3" fillId="2" borderId="42" xfId="1" applyNumberFormat="1" applyFont="1" applyFill="1" applyBorder="1" applyAlignment="1">
      <alignment horizontal="center" vertical="center" wrapText="1"/>
    </xf>
    <xf numFmtId="14" fontId="3" fillId="2" borderId="37" xfId="1" applyNumberFormat="1" applyFont="1" applyFill="1" applyBorder="1" applyAlignment="1">
      <alignment horizontal="center" vertical="center" wrapText="1"/>
    </xf>
    <xf numFmtId="14" fontId="3" fillId="2" borderId="8" xfId="1" applyNumberFormat="1" applyFont="1" applyFill="1" applyBorder="1" applyAlignment="1">
      <alignment horizontal="center" vertical="center" wrapText="1"/>
    </xf>
    <xf numFmtId="0" fontId="3" fillId="2" borderId="41" xfId="1" applyFont="1" applyFill="1" applyBorder="1" applyAlignment="1">
      <alignment horizontal="left"/>
    </xf>
    <xf numFmtId="0" fontId="3" fillId="2" borderId="40" xfId="1" applyFont="1" applyFill="1" applyBorder="1" applyAlignment="1">
      <alignment horizontal="left"/>
    </xf>
    <xf numFmtId="0" fontId="3" fillId="2" borderId="39" xfId="1" applyFont="1" applyFill="1" applyBorder="1" applyAlignment="1">
      <alignment horizontal="left"/>
    </xf>
    <xf numFmtId="0" fontId="3" fillId="2" borderId="22" xfId="1" applyFont="1" applyFill="1" applyBorder="1" applyAlignment="1">
      <alignment horizontal="left"/>
    </xf>
    <xf numFmtId="0" fontId="3" fillId="2" borderId="6" xfId="1" applyFont="1" applyFill="1" applyBorder="1" applyAlignment="1">
      <alignment horizontal="left"/>
    </xf>
    <xf numFmtId="0" fontId="3" fillId="2" borderId="11" xfId="1" applyFont="1" applyFill="1" applyBorder="1" applyAlignment="1">
      <alignment horizontal="left"/>
    </xf>
    <xf numFmtId="0" fontId="3" fillId="2" borderId="44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3" fillId="2" borderId="28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3" fillId="2" borderId="26" xfId="1" applyFont="1" applyFill="1" applyBorder="1" applyAlignment="1">
      <alignment horizontal="center"/>
    </xf>
    <xf numFmtId="0" fontId="3" fillId="2" borderId="25" xfId="1" applyFont="1" applyFill="1" applyBorder="1" applyAlignment="1">
      <alignment horizontal="center"/>
    </xf>
    <xf numFmtId="0" fontId="4" fillId="2" borderId="33" xfId="1" applyFont="1" applyFill="1" applyBorder="1" applyAlignment="1">
      <alignment horizontal="center"/>
    </xf>
    <xf numFmtId="0" fontId="4" fillId="2" borderId="30" xfId="1" applyFont="1" applyFill="1" applyBorder="1" applyAlignment="1">
      <alignment horizontal="center"/>
    </xf>
    <xf numFmtId="0" fontId="7" fillId="7" borderId="17" xfId="1" applyFont="1" applyFill="1" applyBorder="1" applyAlignment="1">
      <alignment horizontal="center" vertical="center" wrapText="1"/>
    </xf>
    <xf numFmtId="0" fontId="7" fillId="7" borderId="16" xfId="1" applyFont="1" applyFill="1" applyBorder="1" applyAlignment="1">
      <alignment horizontal="center" vertical="center" wrapText="1"/>
    </xf>
    <xf numFmtId="0" fontId="7" fillId="7" borderId="15" xfId="1" applyFont="1" applyFill="1" applyBorder="1" applyAlignment="1">
      <alignment horizontal="center" vertical="center" wrapText="1"/>
    </xf>
    <xf numFmtId="0" fontId="4" fillId="2" borderId="43" xfId="1" applyFont="1" applyFill="1" applyBorder="1" applyAlignment="1">
      <alignment horizontal="right" vertical="top" wrapText="1"/>
    </xf>
    <xf numFmtId="0" fontId="4" fillId="2" borderId="38" xfId="1" applyFont="1" applyFill="1" applyBorder="1" applyAlignment="1">
      <alignment horizontal="right" vertical="top" wrapText="1"/>
    </xf>
    <xf numFmtId="0" fontId="4" fillId="2" borderId="36" xfId="1" applyFont="1" applyFill="1" applyBorder="1" applyAlignment="1">
      <alignment horizontal="right" vertical="top" wrapText="1"/>
    </xf>
    <xf numFmtId="0" fontId="6" fillId="2" borderId="0" xfId="1" applyFont="1" applyFill="1" applyAlignment="1">
      <alignment horizontal="right"/>
    </xf>
    <xf numFmtId="0" fontId="5" fillId="2" borderId="35" xfId="1" applyFont="1" applyFill="1" applyBorder="1" applyAlignment="1">
      <alignment horizontal="center"/>
    </xf>
    <xf numFmtId="0" fontId="6" fillId="2" borderId="0" xfId="1" applyFont="1" applyFill="1"/>
    <xf numFmtId="0" fontId="4" fillId="4" borderId="34" xfId="2" applyFont="1" applyFill="1" applyBorder="1" applyAlignment="1">
      <alignment horizontal="center" vertical="center"/>
    </xf>
    <xf numFmtId="0" fontId="4" fillId="4" borderId="21" xfId="2" applyFont="1" applyFill="1" applyBorder="1" applyAlignment="1">
      <alignment horizontal="center" vertical="center"/>
    </xf>
    <xf numFmtId="0" fontId="4" fillId="4" borderId="34" xfId="2" applyFont="1" applyFill="1" applyBorder="1" applyAlignment="1">
      <alignment horizontal="center" vertical="center" wrapText="1"/>
    </xf>
    <xf numFmtId="0" fontId="4" fillId="4" borderId="31" xfId="2" applyFont="1" applyFill="1" applyBorder="1" applyAlignment="1">
      <alignment horizontal="center" vertical="center" wrapText="1"/>
    </xf>
    <xf numFmtId="0" fontId="4" fillId="4" borderId="33" xfId="2" applyFont="1" applyFill="1" applyBorder="1" applyAlignment="1">
      <alignment horizontal="center" vertical="center"/>
    </xf>
    <xf numFmtId="0" fontId="4" fillId="4" borderId="30" xfId="2" applyFont="1" applyFill="1" applyBorder="1" applyAlignment="1">
      <alignment horizontal="center" vertical="center"/>
    </xf>
    <xf numFmtId="0" fontId="4" fillId="4" borderId="19" xfId="2" applyFont="1" applyFill="1" applyBorder="1" applyAlignment="1">
      <alignment horizontal="center" vertical="center"/>
    </xf>
    <xf numFmtId="0" fontId="10" fillId="0" borderId="26" xfId="2" applyFont="1" applyBorder="1" applyAlignment="1">
      <alignment horizontal="right"/>
    </xf>
    <xf numFmtId="0" fontId="10" fillId="0" borderId="25" xfId="2" applyFont="1" applyBorder="1" applyAlignment="1">
      <alignment horizontal="right"/>
    </xf>
    <xf numFmtId="0" fontId="10" fillId="0" borderId="10" xfId="2" applyFont="1" applyBorder="1" applyAlignment="1">
      <alignment horizontal="right"/>
    </xf>
    <xf numFmtId="164" fontId="9" fillId="0" borderId="9" xfId="2" applyNumberFormat="1" applyFont="1" applyBorder="1" applyAlignment="1">
      <alignment horizontal="right"/>
    </xf>
    <xf numFmtId="0" fontId="9" fillId="2" borderId="24" xfId="2" applyFont="1" applyFill="1" applyBorder="1" applyAlignment="1">
      <alignment horizontal="center"/>
    </xf>
    <xf numFmtId="0" fontId="9" fillId="2" borderId="23" xfId="2" applyFont="1" applyFill="1" applyBorder="1" applyAlignment="1">
      <alignment horizontal="center"/>
    </xf>
    <xf numFmtId="0" fontId="10" fillId="0" borderId="7" xfId="2" applyFont="1" applyBorder="1" applyAlignment="1">
      <alignment horizontal="right"/>
    </xf>
    <xf numFmtId="0" fontId="10" fillId="0" borderId="6" xfId="2" applyFont="1" applyBorder="1" applyAlignment="1">
      <alignment horizontal="right"/>
    </xf>
    <xf numFmtId="0" fontId="10" fillId="0" borderId="11" xfId="2" applyFont="1" applyBorder="1" applyAlignment="1">
      <alignment horizontal="right"/>
    </xf>
    <xf numFmtId="0" fontId="9" fillId="0" borderId="13" xfId="2" applyFont="1" applyBorder="1" applyAlignment="1">
      <alignment horizontal="right"/>
    </xf>
    <xf numFmtId="164" fontId="9" fillId="0" borderId="22" xfId="2" applyNumberFormat="1" applyFont="1" applyBorder="1" applyAlignment="1">
      <alignment horizontal="center"/>
    </xf>
    <xf numFmtId="164" fontId="9" fillId="0" borderId="5" xfId="2" applyNumberFormat="1" applyFont="1" applyBorder="1" applyAlignment="1">
      <alignment horizontal="center"/>
    </xf>
    <xf numFmtId="0" fontId="10" fillId="0" borderId="21" xfId="2" applyFont="1" applyBorder="1" applyAlignment="1">
      <alignment horizontal="right"/>
    </xf>
    <xf numFmtId="0" fontId="10" fillId="0" borderId="20" xfId="2" applyFont="1" applyBorder="1" applyAlignment="1">
      <alignment horizontal="right"/>
    </xf>
    <xf numFmtId="0" fontId="10" fillId="0" borderId="19" xfId="2" applyFont="1" applyBorder="1" applyAlignment="1">
      <alignment horizontal="right"/>
    </xf>
    <xf numFmtId="0" fontId="9" fillId="0" borderId="19" xfId="2" applyFont="1" applyBorder="1" applyAlignment="1">
      <alignment horizontal="right"/>
    </xf>
    <xf numFmtId="164" fontId="9" fillId="0" borderId="18" xfId="2" applyNumberFormat="1" applyFont="1" applyBorder="1" applyAlignment="1">
      <alignment horizontal="center"/>
    </xf>
    <xf numFmtId="164" fontId="9" fillId="0" borderId="2" xfId="2" applyNumberFormat="1" applyFont="1" applyBorder="1" applyAlignment="1">
      <alignment horizontal="center"/>
    </xf>
    <xf numFmtId="0" fontId="9" fillId="0" borderId="45" xfId="2" applyFont="1" applyBorder="1" applyAlignment="1">
      <alignment horizontal="left"/>
    </xf>
    <xf numFmtId="0" fontId="9" fillId="0" borderId="46" xfId="2" applyFont="1" applyBorder="1" applyAlignment="1">
      <alignment horizontal="left"/>
    </xf>
    <xf numFmtId="0" fontId="9" fillId="0" borderId="47" xfId="2" applyFont="1" applyBorder="1" applyAlignment="1">
      <alignment horizontal="left"/>
    </xf>
    <xf numFmtId="0" fontId="10" fillId="3" borderId="13" xfId="1" applyFont="1" applyFill="1" applyBorder="1" applyAlignment="1">
      <alignment horizontal="center"/>
    </xf>
    <xf numFmtId="164" fontId="9" fillId="0" borderId="22" xfId="2" applyNumberFormat="1" applyFont="1" applyBorder="1" applyAlignment="1">
      <alignment horizontal="right" wrapText="1"/>
    </xf>
    <xf numFmtId="164" fontId="9" fillId="0" borderId="11" xfId="2" applyNumberFormat="1" applyFont="1" applyBorder="1" applyAlignment="1">
      <alignment horizontal="right" wrapText="1"/>
    </xf>
    <xf numFmtId="0" fontId="10" fillId="4" borderId="17" xfId="2" applyFont="1" applyFill="1" applyBorder="1" applyAlignment="1">
      <alignment horizontal="center"/>
    </xf>
    <xf numFmtId="0" fontId="10" fillId="4" borderId="16" xfId="2" applyFont="1" applyFill="1" applyBorder="1" applyAlignment="1">
      <alignment horizontal="center"/>
    </xf>
    <xf numFmtId="0" fontId="10" fillId="4" borderId="15" xfId="2" applyFont="1" applyFill="1" applyBorder="1" applyAlignment="1">
      <alignment horizontal="center"/>
    </xf>
    <xf numFmtId="0" fontId="9" fillId="0" borderId="7" xfId="0" applyFont="1" applyBorder="1" applyAlignment="1">
      <alignment horizontal="left" wrapText="1"/>
    </xf>
    <xf numFmtId="0" fontId="9" fillId="0" borderId="6" xfId="0" applyFont="1" applyBorder="1" applyAlignment="1">
      <alignment horizontal="left" wrapText="1"/>
    </xf>
    <xf numFmtId="0" fontId="9" fillId="0" borderId="5" xfId="0" applyFont="1" applyBorder="1" applyAlignment="1">
      <alignment horizontal="left" wrapText="1"/>
    </xf>
    <xf numFmtId="0" fontId="9" fillId="2" borderId="13" xfId="1" applyFont="1" applyFill="1" applyBorder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9" fillId="0" borderId="2" xfId="0" applyFont="1" applyBorder="1" applyAlignment="1">
      <alignment horizontal="left"/>
    </xf>
  </cellXfs>
  <cellStyles count="3">
    <cellStyle name="Normal" xfId="0" builtinId="0"/>
    <cellStyle name="Normal 2" xfId="2" xr:uid="{76675DB3-D32F-4223-B6BD-05BB416F065B}"/>
    <cellStyle name="Normal_CRITERIOS DE EVALUACION PT DE GB 2" xfId="1" xr:uid="{2AA436AE-72B2-4106-9906-0C7FDF39DF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23974</xdr:colOff>
      <xdr:row>0</xdr:row>
      <xdr:rowOff>172719</xdr:rowOff>
    </xdr:from>
    <xdr:ext cx="2026963" cy="898843"/>
    <xdr:pic>
      <xdr:nvPicPr>
        <xdr:cNvPr id="2" name="Imagen 1">
          <a:extLst>
            <a:ext uri="{FF2B5EF4-FFF2-40B4-BE49-F238E27FC236}">
              <a16:creationId xmlns:a16="http://schemas.microsoft.com/office/drawing/2014/main" id="{F6CB61BE-0AEA-418B-966D-90F04FC5A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74" y="172719"/>
          <a:ext cx="2026963" cy="898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598A2-CD49-45E8-AEED-BD14492F6701}">
  <sheetPr>
    <pageSetUpPr fitToPage="1"/>
  </sheetPr>
  <dimension ref="A1:K34"/>
  <sheetViews>
    <sheetView tabSelected="1" zoomScale="80" zoomScaleNormal="80" workbookViewId="0">
      <selection activeCell="C1" sqref="C1:G1"/>
    </sheetView>
  </sheetViews>
  <sheetFormatPr baseColWidth="10" defaultColWidth="11.42578125" defaultRowHeight="15" x14ac:dyDescent="0.25"/>
  <cols>
    <col min="1" max="1" width="15" customWidth="1"/>
    <col min="2" max="2" width="16.7109375" customWidth="1"/>
    <col min="3" max="3" width="43.140625" customWidth="1"/>
    <col min="4" max="4" width="19.5703125" customWidth="1"/>
    <col min="5" max="5" width="17.7109375" customWidth="1"/>
    <col min="6" max="6" width="15.7109375" customWidth="1"/>
    <col min="7" max="7" width="18" customWidth="1"/>
    <col min="8" max="8" width="19.42578125" customWidth="1"/>
    <col min="9" max="9" width="21.5703125" customWidth="1"/>
  </cols>
  <sheetData>
    <row r="1" spans="1:10" ht="17.25" x14ac:dyDescent="0.3">
      <c r="A1" s="70"/>
      <c r="B1" s="71"/>
      <c r="C1" s="76" t="s">
        <v>0</v>
      </c>
      <c r="D1" s="76"/>
      <c r="E1" s="76"/>
      <c r="F1" s="76"/>
      <c r="G1" s="76"/>
      <c r="H1" s="12" t="s">
        <v>1</v>
      </c>
      <c r="I1" s="11" t="s">
        <v>2</v>
      </c>
    </row>
    <row r="2" spans="1:10" ht="18" thickBot="1" x14ac:dyDescent="0.35">
      <c r="A2" s="72"/>
      <c r="B2" s="73"/>
      <c r="C2" s="77" t="s">
        <v>3</v>
      </c>
      <c r="D2" s="77"/>
      <c r="E2" s="77"/>
      <c r="F2" s="77"/>
      <c r="G2" s="77"/>
      <c r="H2" s="10" t="s">
        <v>4</v>
      </c>
      <c r="I2" s="9" t="s">
        <v>56</v>
      </c>
    </row>
    <row r="3" spans="1:10" ht="27" customHeight="1" thickBot="1" x14ac:dyDescent="0.3">
      <c r="A3" s="72"/>
      <c r="B3" s="73"/>
      <c r="C3" s="78" t="s">
        <v>5</v>
      </c>
      <c r="D3" s="79"/>
      <c r="E3" s="79"/>
      <c r="F3" s="79"/>
      <c r="G3" s="80"/>
      <c r="H3" s="81" t="s">
        <v>6</v>
      </c>
      <c r="I3" s="61">
        <v>46066</v>
      </c>
    </row>
    <row r="4" spans="1:10" ht="17.25" x14ac:dyDescent="0.3">
      <c r="A4" s="72"/>
      <c r="B4" s="73"/>
      <c r="C4" s="8" t="s">
        <v>7</v>
      </c>
      <c r="D4" s="64" t="s">
        <v>8</v>
      </c>
      <c r="E4" s="65"/>
      <c r="F4" s="65"/>
      <c r="G4" s="66"/>
      <c r="H4" s="82"/>
      <c r="I4" s="62"/>
    </row>
    <row r="5" spans="1:10" ht="18" thickBot="1" x14ac:dyDescent="0.35">
      <c r="A5" s="74"/>
      <c r="B5" s="75"/>
      <c r="C5" s="7" t="s">
        <v>9</v>
      </c>
      <c r="D5" s="67" t="s">
        <v>10</v>
      </c>
      <c r="E5" s="68"/>
      <c r="F5" s="68"/>
      <c r="G5" s="69"/>
      <c r="H5" s="83"/>
      <c r="I5" s="63"/>
    </row>
    <row r="6" spans="1:10" ht="16.5" thickBot="1" x14ac:dyDescent="0.3">
      <c r="A6" s="84" t="s">
        <v>11</v>
      </c>
      <c r="B6" s="84"/>
      <c r="C6" s="84"/>
      <c r="D6" s="85" t="s">
        <v>12</v>
      </c>
      <c r="E6" s="85"/>
      <c r="F6" s="85"/>
      <c r="G6" s="86" t="s">
        <v>13</v>
      </c>
      <c r="H6" s="86"/>
      <c r="I6" s="6" t="s">
        <v>12</v>
      </c>
    </row>
    <row r="7" spans="1:10" ht="36" customHeight="1" x14ac:dyDescent="0.25">
      <c r="A7" s="87" t="s">
        <v>14</v>
      </c>
      <c r="B7" s="89" t="s">
        <v>15</v>
      </c>
      <c r="C7" s="91" t="s">
        <v>16</v>
      </c>
      <c r="D7" s="91" t="s">
        <v>17</v>
      </c>
      <c r="E7" s="91" t="s">
        <v>18</v>
      </c>
      <c r="F7" s="91"/>
      <c r="G7" s="91" t="s">
        <v>19</v>
      </c>
      <c r="H7" s="91"/>
      <c r="I7" s="5" t="s">
        <v>20</v>
      </c>
    </row>
    <row r="8" spans="1:10" ht="34.5" customHeight="1" thickBot="1" x14ac:dyDescent="0.3">
      <c r="A8" s="88"/>
      <c r="B8" s="90"/>
      <c r="C8" s="92"/>
      <c r="D8" s="93"/>
      <c r="E8" s="4" t="s">
        <v>21</v>
      </c>
      <c r="F8" s="3" t="s">
        <v>22</v>
      </c>
      <c r="G8" s="4" t="s">
        <v>21</v>
      </c>
      <c r="H8" s="3" t="s">
        <v>22</v>
      </c>
      <c r="I8" s="2" t="s">
        <v>23</v>
      </c>
    </row>
    <row r="9" spans="1:10" ht="20.25" x14ac:dyDescent="0.3">
      <c r="A9" s="15"/>
      <c r="B9" s="16"/>
      <c r="C9" s="17" t="s">
        <v>24</v>
      </c>
      <c r="D9" s="16"/>
      <c r="E9" s="18"/>
      <c r="F9" s="19"/>
      <c r="G9" s="18"/>
      <c r="H9" s="19"/>
      <c r="I9" s="20"/>
    </row>
    <row r="10" spans="1:10" ht="20.25" x14ac:dyDescent="0.3">
      <c r="A10" s="21"/>
      <c r="B10" s="13" t="s">
        <v>25</v>
      </c>
      <c r="C10" s="22" t="s">
        <v>26</v>
      </c>
      <c r="D10" s="23"/>
      <c r="E10" s="24">
        <f>150*9.43</f>
        <v>1414.5</v>
      </c>
      <c r="F10" s="25" t="s">
        <v>27</v>
      </c>
      <c r="G10" s="26"/>
      <c r="H10" s="27"/>
      <c r="I10" s="14"/>
    </row>
    <row r="11" spans="1:10" ht="20.25" x14ac:dyDescent="0.3">
      <c r="A11" s="24"/>
      <c r="B11" s="28" t="s">
        <v>28</v>
      </c>
      <c r="C11" s="29" t="s">
        <v>29</v>
      </c>
      <c r="D11" s="28"/>
      <c r="E11" s="24">
        <f>250*9.43</f>
        <v>2357.5</v>
      </c>
      <c r="F11" s="25" t="s">
        <v>27</v>
      </c>
      <c r="G11" s="26"/>
      <c r="H11" s="30"/>
      <c r="I11" s="14"/>
      <c r="J11">
        <f>20*8</f>
        <v>160</v>
      </c>
    </row>
    <row r="12" spans="1:10" ht="20.25" x14ac:dyDescent="0.3">
      <c r="A12" s="31"/>
      <c r="B12" s="32" t="s">
        <v>30</v>
      </c>
      <c r="C12" s="33" t="s">
        <v>31</v>
      </c>
      <c r="D12" s="34"/>
      <c r="E12" s="24">
        <f>150*9.43</f>
        <v>1414.5</v>
      </c>
      <c r="F12" s="25" t="s">
        <v>27</v>
      </c>
      <c r="G12" s="26"/>
      <c r="H12" s="30"/>
      <c r="I12" s="14"/>
      <c r="J12">
        <f>30*8</f>
        <v>240</v>
      </c>
    </row>
    <row r="13" spans="1:10" ht="20.25" x14ac:dyDescent="0.3">
      <c r="A13" s="37"/>
      <c r="B13" s="13" t="s">
        <v>52</v>
      </c>
      <c r="C13" s="22" t="s">
        <v>53</v>
      </c>
      <c r="D13" s="21" t="s">
        <v>54</v>
      </c>
      <c r="E13" s="60">
        <v>10</v>
      </c>
      <c r="F13" s="25" t="s">
        <v>27</v>
      </c>
      <c r="G13" s="36"/>
      <c r="H13" s="13"/>
      <c r="I13" s="14"/>
    </row>
    <row r="14" spans="1:10" ht="20.25" x14ac:dyDescent="0.3">
      <c r="A14" s="37"/>
      <c r="B14" s="13"/>
      <c r="C14" s="22"/>
      <c r="D14" s="21"/>
      <c r="E14" s="60"/>
      <c r="F14" s="38"/>
      <c r="G14" s="36"/>
      <c r="H14" s="13"/>
      <c r="I14" s="14"/>
    </row>
    <row r="15" spans="1:10" ht="20.25" x14ac:dyDescent="0.3">
      <c r="A15" s="14"/>
      <c r="B15" s="14"/>
      <c r="C15" s="39" t="s">
        <v>32</v>
      </c>
      <c r="D15" s="13"/>
      <c r="E15" s="22"/>
      <c r="F15" s="13"/>
      <c r="G15" s="40"/>
      <c r="H15" s="13"/>
      <c r="I15" s="14"/>
      <c r="J15" s="1">
        <f>SUM(E10:E13)</f>
        <v>5196.5</v>
      </c>
    </row>
    <row r="16" spans="1:10" ht="20.25" x14ac:dyDescent="0.3">
      <c r="A16" s="14"/>
      <c r="B16" s="13"/>
      <c r="C16" s="42"/>
      <c r="D16" s="21"/>
      <c r="E16" s="41"/>
      <c r="F16" s="41"/>
      <c r="G16" s="18"/>
      <c r="H16" s="19"/>
      <c r="I16" s="14"/>
    </row>
    <row r="17" spans="1:11" ht="20.25" x14ac:dyDescent="0.3">
      <c r="A17" s="14"/>
      <c r="B17" s="14"/>
      <c r="C17" s="39" t="s">
        <v>33</v>
      </c>
      <c r="D17" s="22"/>
      <c r="E17" s="22"/>
      <c r="F17" s="13"/>
      <c r="G17" s="40"/>
      <c r="H17" s="13"/>
      <c r="I17" s="20"/>
    </row>
    <row r="18" spans="1:11" ht="20.25" x14ac:dyDescent="0.3">
      <c r="A18" s="13"/>
      <c r="B18" s="13"/>
      <c r="C18" s="22"/>
      <c r="D18" s="28"/>
      <c r="E18" s="24"/>
      <c r="F18" s="43"/>
      <c r="G18" s="40"/>
      <c r="H18" s="14"/>
      <c r="I18" s="20"/>
    </row>
    <row r="19" spans="1:11" ht="21" thickBot="1" x14ac:dyDescent="0.35">
      <c r="A19" s="44"/>
      <c r="B19" s="45"/>
      <c r="C19" s="35"/>
      <c r="D19" s="35"/>
      <c r="E19" s="46"/>
      <c r="F19" s="47"/>
      <c r="G19" s="35"/>
      <c r="H19" s="35"/>
      <c r="I19" s="48"/>
      <c r="K19" s="1"/>
    </row>
    <row r="20" spans="1:11" ht="21" thickBot="1" x14ac:dyDescent="0.35">
      <c r="A20" s="49"/>
      <c r="B20" s="50"/>
      <c r="C20" s="51"/>
      <c r="D20" s="52" t="s">
        <v>21</v>
      </c>
      <c r="E20" s="53" t="s">
        <v>34</v>
      </c>
      <c r="F20" s="54"/>
      <c r="G20" s="51"/>
      <c r="H20" s="51"/>
      <c r="I20" s="55"/>
    </row>
    <row r="21" spans="1:11" ht="20.25" x14ac:dyDescent="0.3">
      <c r="A21" s="94" t="s">
        <v>35</v>
      </c>
      <c r="B21" s="95"/>
      <c r="C21" s="96"/>
      <c r="D21" s="56">
        <v>5000</v>
      </c>
      <c r="E21" s="57" t="s">
        <v>27</v>
      </c>
      <c r="F21" s="97" t="s">
        <v>36</v>
      </c>
      <c r="G21" s="97"/>
      <c r="H21" s="98"/>
      <c r="I21" s="99"/>
      <c r="J21">
        <f>5000/530</f>
        <v>9.433962264150944</v>
      </c>
    </row>
    <row r="22" spans="1:11" ht="20.25" x14ac:dyDescent="0.3">
      <c r="A22" s="100" t="s">
        <v>37</v>
      </c>
      <c r="B22" s="101"/>
      <c r="C22" s="102"/>
      <c r="D22" s="28">
        <v>5</v>
      </c>
      <c r="E22" s="28" t="s">
        <v>38</v>
      </c>
      <c r="F22" s="103" t="s">
        <v>39</v>
      </c>
      <c r="G22" s="103"/>
      <c r="H22" s="104"/>
      <c r="I22" s="105"/>
    </row>
    <row r="23" spans="1:11" ht="20.25" x14ac:dyDescent="0.3">
      <c r="A23" s="100" t="s">
        <v>40</v>
      </c>
      <c r="B23" s="101"/>
      <c r="C23" s="102"/>
      <c r="D23" s="28">
        <v>1</v>
      </c>
      <c r="E23" s="28" t="s">
        <v>41</v>
      </c>
      <c r="F23" s="103" t="s">
        <v>42</v>
      </c>
      <c r="G23" s="103"/>
      <c r="H23" s="104"/>
      <c r="I23" s="105"/>
    </row>
    <row r="24" spans="1:11" ht="20.25" x14ac:dyDescent="0.3">
      <c r="A24" s="100" t="s">
        <v>43</v>
      </c>
      <c r="B24" s="101"/>
      <c r="C24" s="102"/>
      <c r="D24" s="28">
        <v>5000</v>
      </c>
      <c r="E24" s="28" t="s">
        <v>27</v>
      </c>
      <c r="F24" s="116" t="s">
        <v>44</v>
      </c>
      <c r="G24" s="117"/>
      <c r="H24" s="104"/>
      <c r="I24" s="105"/>
    </row>
    <row r="25" spans="1:11" ht="21" thickBot="1" x14ac:dyDescent="0.35">
      <c r="A25" s="106" t="s">
        <v>45</v>
      </c>
      <c r="B25" s="107"/>
      <c r="C25" s="108"/>
      <c r="D25" s="58">
        <f>SUM(E10:E12)-D21</f>
        <v>186.5</v>
      </c>
      <c r="E25" s="59" t="s">
        <v>27</v>
      </c>
      <c r="F25" s="109"/>
      <c r="G25" s="109"/>
      <c r="H25" s="110"/>
      <c r="I25" s="111"/>
    </row>
    <row r="26" spans="1:11" ht="21" thickBot="1" x14ac:dyDescent="0.35">
      <c r="A26" s="118" t="s">
        <v>46</v>
      </c>
      <c r="B26" s="119"/>
      <c r="C26" s="119"/>
      <c r="D26" s="119"/>
      <c r="E26" s="119"/>
      <c r="F26" s="119"/>
      <c r="G26" s="119"/>
      <c r="H26" s="119"/>
      <c r="I26" s="120"/>
    </row>
    <row r="27" spans="1:11" ht="20.25" x14ac:dyDescent="0.3">
      <c r="A27" s="121" t="s">
        <v>47</v>
      </c>
      <c r="B27" s="122"/>
      <c r="C27" s="122"/>
      <c r="D27" s="122"/>
      <c r="E27" s="122"/>
      <c r="F27" s="122"/>
      <c r="G27" s="122"/>
      <c r="H27" s="122"/>
      <c r="I27" s="123"/>
    </row>
    <row r="28" spans="1:11" ht="20.25" x14ac:dyDescent="0.3">
      <c r="A28" s="125" t="s">
        <v>48</v>
      </c>
      <c r="B28" s="126"/>
      <c r="C28" s="126"/>
      <c r="D28" s="126"/>
      <c r="E28" s="126"/>
      <c r="F28" s="126"/>
      <c r="G28" s="126"/>
      <c r="H28" s="126"/>
      <c r="I28" s="127"/>
    </row>
    <row r="29" spans="1:11" ht="20.25" x14ac:dyDescent="0.3">
      <c r="A29" s="125" t="s">
        <v>49</v>
      </c>
      <c r="B29" s="126"/>
      <c r="C29" s="126"/>
      <c r="D29" s="126"/>
      <c r="E29" s="126"/>
      <c r="F29" s="126"/>
      <c r="G29" s="126"/>
      <c r="H29" s="126"/>
      <c r="I29" s="127"/>
    </row>
    <row r="30" spans="1:11" ht="21" thickBot="1" x14ac:dyDescent="0.35">
      <c r="A30" s="128" t="s">
        <v>50</v>
      </c>
      <c r="B30" s="129"/>
      <c r="C30" s="129"/>
      <c r="D30" s="129"/>
      <c r="E30" s="129"/>
      <c r="F30" s="129"/>
      <c r="G30" s="129"/>
      <c r="H30" s="129"/>
      <c r="I30" s="130"/>
    </row>
    <row r="31" spans="1:11" ht="20.25" x14ac:dyDescent="0.3">
      <c r="A31" s="112"/>
      <c r="B31" s="113"/>
      <c r="C31" s="113"/>
      <c r="D31" s="113"/>
      <c r="E31" s="113"/>
      <c r="F31" s="113"/>
      <c r="G31" s="113"/>
      <c r="H31" s="113"/>
      <c r="I31" s="114"/>
    </row>
    <row r="32" spans="1:11" ht="20.25" x14ac:dyDescent="0.3">
      <c r="A32" s="115" t="s">
        <v>51</v>
      </c>
      <c r="B32" s="115"/>
      <c r="C32" s="115"/>
      <c r="D32" s="115"/>
      <c r="E32" s="115"/>
      <c r="F32" s="115"/>
      <c r="G32" s="115"/>
      <c r="H32" s="115"/>
      <c r="I32" s="115"/>
    </row>
    <row r="33" spans="1:9" ht="20.25" x14ac:dyDescent="0.3">
      <c r="A33" s="124" t="s">
        <v>55</v>
      </c>
      <c r="B33" s="124"/>
      <c r="C33" s="124"/>
      <c r="D33" s="124"/>
      <c r="E33" s="124"/>
      <c r="F33" s="124"/>
      <c r="G33" s="124"/>
      <c r="H33" s="124"/>
      <c r="I33" s="124"/>
    </row>
    <row r="34" spans="1:9" ht="20.25" x14ac:dyDescent="0.3">
      <c r="A34" s="124"/>
      <c r="B34" s="124"/>
      <c r="C34" s="124"/>
      <c r="D34" s="124"/>
      <c r="E34" s="124"/>
      <c r="F34" s="124"/>
      <c r="G34" s="124"/>
      <c r="H34" s="124"/>
      <c r="I34" s="124"/>
    </row>
  </sheetData>
  <mergeCells count="41">
    <mergeCell ref="A34:I34"/>
    <mergeCell ref="A29:I29"/>
    <mergeCell ref="A30:I30"/>
    <mergeCell ref="A28:I28"/>
    <mergeCell ref="A33:I33"/>
    <mergeCell ref="A23:C23"/>
    <mergeCell ref="F23:G23"/>
    <mergeCell ref="H23:I23"/>
    <mergeCell ref="A24:C24"/>
    <mergeCell ref="F24:G24"/>
    <mergeCell ref="H24:I24"/>
    <mergeCell ref="A25:C25"/>
    <mergeCell ref="F25:G25"/>
    <mergeCell ref="H25:I25"/>
    <mergeCell ref="A31:I31"/>
    <mergeCell ref="A32:I32"/>
    <mergeCell ref="A26:I26"/>
    <mergeCell ref="A27:I27"/>
    <mergeCell ref="A21:C21"/>
    <mergeCell ref="F21:G21"/>
    <mergeCell ref="H21:I21"/>
    <mergeCell ref="A22:C22"/>
    <mergeCell ref="F22:G22"/>
    <mergeCell ref="H22:I22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54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236AB8A-6901-4735-BFE0-74356310D64C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24A0049E-F5EC-457D-AF0B-8D494CA365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989ECFD-6E7F-42CD-88EF-8952010BA40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Relleno Mantequilla de Mani </vt:lpstr>
      <vt:lpstr>'Relleno Mantequilla de Mani 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Allan Brenes</dc:creator>
  <cp:keywords/>
  <dc:description/>
  <cp:lastModifiedBy>Allan Brenes</cp:lastModifiedBy>
  <cp:revision/>
  <cp:lastPrinted>2026-03-13T22:57:27Z</cp:lastPrinted>
  <dcterms:created xsi:type="dcterms:W3CDTF">2026-02-13T17:57:53Z</dcterms:created>
  <dcterms:modified xsi:type="dcterms:W3CDTF">2026-03-13T22:57:29Z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
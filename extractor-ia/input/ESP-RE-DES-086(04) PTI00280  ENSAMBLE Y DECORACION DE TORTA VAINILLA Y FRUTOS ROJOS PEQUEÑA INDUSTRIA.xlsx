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" documentId="8_{02AA2CA4-4704-4BD7-8CE8-BA02A666106C}" xr6:coauthVersionLast="47" xr6:coauthVersionMax="47" xr10:uidLastSave="{9C805537-0AF8-476B-8CD9-0D1DA051E947}"/>
  <bookViews>
    <workbookView xWindow="-108" yWindow="-108" windowWidth="23256" windowHeight="12456" firstSheet="1" activeTab="1" xr2:uid="{E02D3F20-A958-454A-8770-448C289C9EEC}"/>
  </bookViews>
  <sheets>
    <sheet name="Torta Frutos Rojos Peq" sheetId="2" state="hidden" r:id="rId1"/>
    <sheet name="Torta Frutos Rojos peq 2" sheetId="4" r:id="rId2"/>
    <sheet name="Costo" sheetId="3" state="hidden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4" l="1"/>
  <c r="D32" i="3"/>
  <c r="C32" i="3"/>
  <c r="F32" i="3" s="1"/>
  <c r="B32" i="3"/>
  <c r="D31" i="3"/>
  <c r="C31" i="3"/>
  <c r="F31" i="3" s="1"/>
  <c r="B31" i="3"/>
  <c r="D30" i="3"/>
  <c r="C30" i="3"/>
  <c r="F30" i="3" s="1"/>
  <c r="B30" i="3"/>
  <c r="F29" i="3"/>
  <c r="D29" i="3"/>
  <c r="C29" i="3"/>
  <c r="B29" i="3"/>
  <c r="C28" i="3"/>
  <c r="F28" i="3" s="1"/>
  <c r="D27" i="3"/>
  <c r="C27" i="3"/>
  <c r="F27" i="3" s="1"/>
  <c r="B27" i="3"/>
  <c r="E36" i="3"/>
  <c r="F36" i="3" s="1"/>
  <c r="D36" i="3"/>
  <c r="C36" i="3"/>
  <c r="B36" i="3"/>
  <c r="E35" i="3"/>
  <c r="D35" i="3"/>
  <c r="C35" i="3"/>
  <c r="B35" i="3"/>
  <c r="E34" i="3"/>
  <c r="F34" i="3" s="1"/>
  <c r="D34" i="3"/>
  <c r="C34" i="3"/>
  <c r="B34" i="3"/>
  <c r="E33" i="3"/>
  <c r="D33" i="3"/>
  <c r="C33" i="3"/>
  <c r="B33" i="3"/>
  <c r="D77" i="3"/>
  <c r="D78" i="3" s="1"/>
  <c r="D80" i="3" s="1"/>
  <c r="D75" i="3"/>
  <c r="D73" i="3"/>
  <c r="F69" i="3"/>
  <c r="E55" i="3" s="1"/>
  <c r="D64" i="3"/>
  <c r="D89" i="3" s="1"/>
  <c r="D90" i="3" s="1"/>
  <c r="C55" i="3"/>
  <c r="E53" i="3"/>
  <c r="D53" i="3"/>
  <c r="B53" i="3"/>
  <c r="D50" i="3"/>
  <c r="B50" i="3"/>
  <c r="D49" i="3"/>
  <c r="B49" i="3"/>
  <c r="A45" i="3"/>
  <c r="A54" i="3" s="1"/>
  <c r="C54" i="3" s="1"/>
  <c r="E44" i="3"/>
  <c r="D44" i="3"/>
  <c r="B44" i="3"/>
  <c r="A44" i="3"/>
  <c r="C44" i="3" s="1"/>
  <c r="A43" i="3"/>
  <c r="C43" i="3" s="1"/>
  <c r="A42" i="3"/>
  <c r="C42" i="3" s="1"/>
  <c r="D41" i="3"/>
  <c r="B41" i="3"/>
  <c r="A41" i="3"/>
  <c r="C41" i="3" s="1"/>
  <c r="F41" i="3" s="1"/>
  <c r="D40" i="3"/>
  <c r="B40" i="3"/>
  <c r="A40" i="3"/>
  <c r="A49" i="3" s="1"/>
  <c r="C49" i="3" s="1"/>
  <c r="A39" i="3"/>
  <c r="A48" i="3" s="1"/>
  <c r="C48" i="3" s="1"/>
  <c r="E24" i="3"/>
  <c r="F24" i="3" s="1"/>
  <c r="D24" i="3"/>
  <c r="C24" i="3"/>
  <c r="B24" i="3"/>
  <c r="C23" i="3"/>
  <c r="D22" i="3"/>
  <c r="C22" i="3"/>
  <c r="B22" i="3"/>
  <c r="C21" i="3"/>
  <c r="C20" i="3"/>
  <c r="D19" i="3"/>
  <c r="C19" i="3"/>
  <c r="B19" i="3"/>
  <c r="D18" i="3"/>
  <c r="C18" i="3"/>
  <c r="B18" i="3"/>
  <c r="C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C9" i="3"/>
  <c r="C8" i="3"/>
  <c r="H6" i="3"/>
  <c r="F35" i="3" l="1"/>
  <c r="F33" i="3"/>
  <c r="F11" i="3"/>
  <c r="F12" i="3"/>
  <c r="F13" i="3"/>
  <c r="F10" i="3"/>
  <c r="F14" i="3"/>
  <c r="F55" i="3"/>
  <c r="F9" i="3"/>
  <c r="C77" i="3"/>
  <c r="C89" i="3" s="1"/>
  <c r="E89" i="3" s="1"/>
  <c r="D85" i="3"/>
  <c r="C45" i="3"/>
  <c r="F45" i="3" s="1"/>
  <c r="F23" i="3"/>
  <c r="F22" i="3"/>
  <c r="F44" i="3"/>
  <c r="F21" i="3"/>
  <c r="F20" i="3"/>
  <c r="F42" i="3"/>
  <c r="F19" i="3"/>
  <c r="F8" i="3"/>
  <c r="F18" i="3"/>
  <c r="F49" i="3"/>
  <c r="C40" i="3"/>
  <c r="F40" i="3"/>
  <c r="C39" i="3"/>
  <c r="F39" i="3" s="1"/>
  <c r="F17" i="3"/>
  <c r="F54" i="3"/>
  <c r="F43" i="3"/>
  <c r="F48" i="3"/>
  <c r="A51" i="3"/>
  <c r="C51" i="3" s="1"/>
  <c r="F51" i="3" s="1"/>
  <c r="A53" i="3"/>
  <c r="C53" i="3" s="1"/>
  <c r="F53" i="3" s="1"/>
  <c r="D87" i="3"/>
  <c r="A50" i="3"/>
  <c r="C50" i="3" s="1"/>
  <c r="F50" i="3" s="1"/>
  <c r="A52" i="3"/>
  <c r="C52" i="3" s="1"/>
  <c r="F52" i="3" s="1"/>
  <c r="E77" i="3" l="1"/>
  <c r="F57" i="3"/>
  <c r="C73" i="3" s="1"/>
  <c r="F58" i="3"/>
  <c r="F60" i="3"/>
  <c r="F68" i="3" l="1"/>
  <c r="H57" i="3"/>
  <c r="F2" i="3" s="1"/>
  <c r="E73" i="3"/>
  <c r="C85" i="3"/>
  <c r="E85" i="3" s="1"/>
  <c r="C80" i="3"/>
  <c r="E80" i="3" s="1"/>
  <c r="H58" i="3"/>
  <c r="G2" i="3" s="1"/>
  <c r="F59" i="3"/>
  <c r="H60" i="3"/>
  <c r="C78" i="3"/>
  <c r="G28" i="3" l="1"/>
  <c r="G29" i="3"/>
  <c r="G32" i="3"/>
  <c r="G31" i="3"/>
  <c r="G30" i="3"/>
  <c r="G27" i="3"/>
  <c r="C90" i="3"/>
  <c r="E90" i="3" s="1"/>
  <c r="E78" i="3"/>
  <c r="E82" i="3" s="1"/>
  <c r="O59" i="3"/>
  <c r="H2" i="3"/>
  <c r="H62" i="3"/>
  <c r="H63" i="3" s="1"/>
  <c r="O62" i="3" s="1"/>
  <c r="H59" i="3"/>
  <c r="O58" i="3"/>
  <c r="F67" i="3"/>
  <c r="C75" i="3" l="1"/>
  <c r="E67" i="3"/>
  <c r="F70" i="3"/>
  <c r="O60" i="3"/>
  <c r="O61" i="3" s="1"/>
  <c r="O63" i="3" s="1"/>
  <c r="G67" i="3" l="1"/>
  <c r="G34" i="3"/>
  <c r="G35" i="3"/>
  <c r="G36" i="3"/>
  <c r="G33" i="3"/>
  <c r="O64" i="3"/>
  <c r="O65" i="3" s="1"/>
  <c r="O66" i="3" s="1"/>
  <c r="G70" i="3"/>
  <c r="G12" i="3"/>
  <c r="G22" i="3"/>
  <c r="G23" i="3"/>
  <c r="G9" i="3"/>
  <c r="G39" i="3"/>
  <c r="G49" i="3"/>
  <c r="G45" i="3"/>
  <c r="G11" i="3"/>
  <c r="G8" i="3"/>
  <c r="G20" i="3"/>
  <c r="G21" i="3"/>
  <c r="G44" i="3"/>
  <c r="G55" i="3"/>
  <c r="G24" i="3"/>
  <c r="G69" i="3"/>
  <c r="G42" i="3"/>
  <c r="G41" i="3"/>
  <c r="G18" i="3"/>
  <c r="G40" i="3"/>
  <c r="G13" i="3"/>
  <c r="G19" i="3"/>
  <c r="G10" i="3"/>
  <c r="G17" i="3"/>
  <c r="G14" i="3"/>
  <c r="G52" i="3"/>
  <c r="G48" i="3"/>
  <c r="G51" i="3"/>
  <c r="G57" i="3"/>
  <c r="G53" i="3"/>
  <c r="G43" i="3"/>
  <c r="G50" i="3"/>
  <c r="G54" i="3"/>
  <c r="G60" i="3"/>
  <c r="G58" i="3"/>
  <c r="G68" i="3"/>
  <c r="G59" i="3"/>
  <c r="C87" i="3"/>
  <c r="E87" i="3" s="1"/>
  <c r="E75" i="3"/>
  <c r="P66" i="3" l="1"/>
  <c r="E2" i="3"/>
  <c r="D51" i="2" l="1"/>
</calcChain>
</file>

<file path=xl/sharedStrings.xml><?xml version="1.0" encoding="utf-8"?>
<sst xmlns="http://schemas.openxmlformats.org/spreadsheetml/2006/main" count="504" uniqueCount="186">
  <si>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</si>
  <si>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</si>
  <si>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</si>
  <si>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</si>
  <si>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</si>
  <si>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</si>
  <si>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</si>
  <si>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</si>
  <si>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</si>
  <si>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</si>
  <si>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</si>
  <si>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</si>
  <si>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</si>
  <si>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</si>
  <si>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</si>
  <si>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</si>
  <si>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</si>
  <si>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</si>
  <si>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</si>
  <si>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</si>
  <si>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</si>
  <si>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Unidad</t>
  </si>
  <si>
    <t>1era CAPA RELLENO</t>
  </si>
  <si>
    <t>MANJAR LECHE CONDENSADA (PAQ: 6 K)</t>
  </si>
  <si>
    <t>RELLENO DE LIMON SPOON KILO</t>
  </si>
  <si>
    <t>RELLENO FRAMBUESA Y ARANDANO</t>
  </si>
  <si>
    <t>2nda CAPA RELLENO</t>
  </si>
  <si>
    <t>3era CAPA RELLENO</t>
  </si>
  <si>
    <t>CREMA BEIDGE (KILO)</t>
  </si>
  <si>
    <t>SALSA DE FRAMBUESA Y ARANDANO</t>
  </si>
  <si>
    <t>121603</t>
  </si>
  <si>
    <t>ud</t>
  </si>
  <si>
    <t>703020</t>
  </si>
  <si>
    <t>cm</t>
  </si>
  <si>
    <t>ETIQUETA BLANCA R-153 (UND)</t>
  </si>
  <si>
    <t>0702123</t>
  </si>
  <si>
    <t>ETIPLAST</t>
  </si>
  <si>
    <t>0702007</t>
  </si>
  <si>
    <t>702175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</si>
  <si>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</si>
  <si>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</si>
  <si>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</si>
  <si>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</si>
  <si>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</si>
  <si>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</si>
  <si>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</si>
  <si>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1.- Partir los rosquetes de vainilla a la mitad, utilizar 3 medios discos.</t>
  </si>
  <si>
    <t>2.- Humedecer las 3 tapas de rosquete con mezcla de tres leches.</t>
  </si>
  <si>
    <t>5- Tapar con el ultimo disco de rosquete.</t>
  </si>
  <si>
    <t>6.- Encremar con crema chantily beidge y hacer efecto con la espatula, difuminando la salsa a los lados acorde a la fotografia.</t>
  </si>
  <si>
    <t>CONTROL DE CAMBIOS</t>
  </si>
  <si>
    <t>MP10007</t>
  </si>
  <si>
    <t>SE00008</t>
  </si>
  <si>
    <t>SE00541</t>
  </si>
  <si>
    <t>SE00069</t>
  </si>
  <si>
    <t>SE00542</t>
  </si>
  <si>
    <t>EM10248</t>
  </si>
  <si>
    <t>EM10124</t>
  </si>
  <si>
    <t>EM10011</t>
  </si>
  <si>
    <t>EM10004</t>
  </si>
  <si>
    <t># Código Netsuite</t>
  </si>
  <si>
    <t>SE00254</t>
  </si>
  <si>
    <t>Decoración</t>
  </si>
  <si>
    <t>Decoracion</t>
  </si>
  <si>
    <t>Ensamble</t>
  </si>
  <si>
    <t>LECHES PASTEURIZADA CON AGUA</t>
  </si>
  <si>
    <t>1/4 TAZA</t>
  </si>
  <si>
    <t>2/3 TAZA</t>
  </si>
  <si>
    <t>Empaque</t>
  </si>
  <si>
    <t>Tiempo de Horneo:</t>
  </si>
  <si>
    <t>Horno:</t>
  </si>
  <si>
    <t>Temperatura de Horneo:</t>
  </si>
  <si>
    <t>Otros</t>
  </si>
  <si>
    <t>EM10025</t>
  </si>
  <si>
    <t>ORLA CARTON  8" (100 * PAQ )</t>
  </si>
  <si>
    <t>RAPI BOX</t>
  </si>
  <si>
    <t>UNIVESAL</t>
  </si>
  <si>
    <t>EM10002</t>
  </si>
  <si>
    <t>ETIQ.BLANCA 1 1/4 * 3/4</t>
  </si>
  <si>
    <t>CINTA ADHESIVA TRANSPARENT 2*100 M (UND)</t>
  </si>
  <si>
    <t>ETIQUETA BLANCA 2 5/8X1 15/16 (UND)</t>
  </si>
  <si>
    <t>EM10024</t>
  </si>
  <si>
    <t>ETIQUETA IMP. SPOON MEDIANA V-273 (UND)</t>
  </si>
  <si>
    <t>Etiq.Fecha Vencimiento Blanco</t>
  </si>
  <si>
    <t>ETIPLATS</t>
  </si>
  <si>
    <t>SE00445</t>
  </si>
  <si>
    <t>ROSQUETE VAINILLA DAWN 180G</t>
  </si>
  <si>
    <t>1,5 UND</t>
  </si>
  <si>
    <t>1/3 TAZA</t>
  </si>
  <si>
    <t>ENCREMAR</t>
  </si>
  <si>
    <t>BORDE</t>
  </si>
  <si>
    <t>SE00678</t>
  </si>
  <si>
    <t>Procesado Galleta e vainilla Bañada en Chocolate Blanco</t>
  </si>
  <si>
    <t>3.- Rellenar la primera capa con  1/4 taza de manjar, 1/4  de relleno de limon, 1/3  taza de relleno de frambuesa y moras,y 1/4cucharadas de galleta con chocolate blanco.</t>
  </si>
  <si>
    <t>4.-  Rellenar la segunda capa con 1/4 taza de manjar, 1/4  de relleno de limon, 1/3 taza de relleno de frambuesa y moras, y 1/4 taza galleta con chocolate blanco.</t>
  </si>
  <si>
    <t xml:space="preserve">8.- Tapar y etiquetar </t>
  </si>
  <si>
    <t>Mariela Barrantes Sánchez, Chef</t>
  </si>
  <si>
    <t>MP10109</t>
  </si>
  <si>
    <t>Cereza Roja C/Tallo</t>
  </si>
  <si>
    <t>2 ud</t>
  </si>
  <si>
    <t>7.- Colocar en la parte supeior  la salsa y al costado colocar la galleta con chocolate blanco y dos cerezas</t>
  </si>
  <si>
    <t>EM10026</t>
  </si>
  <si>
    <t>Quequera Base Con Domo 8" Alta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</si>
  <si>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</si>
  <si>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</si>
  <si>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</si>
  <si>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</si>
  <si>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</si>
  <si>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</si>
  <si>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</si>
  <si>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</si>
  <si>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</si>
  <si>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</si>
  <si>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</si>
  <si>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</si>
  <si>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</si>
  <si>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</si>
  <si>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</si>
  <si>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</si>
  <si>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</si>
  <si>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</si>
  <si>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</si>
  <si>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</si>
  <si>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</si>
  <si>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</si>
  <si>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</si>
  <si>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</si>
  <si>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</si>
  <si>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</si>
  <si>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</si>
  <si>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</si>
  <si>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</si>
  <si>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</si>
  <si>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</si>
  <si>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</si>
  <si>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</si>
  <si>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</si>
  <si>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</si>
  <si>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</si>
  <si>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</si>
  <si>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</si>
  <si>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</si>
  <si>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</si>
  <si>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</si>
  <si>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</si>
  <si>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</si>
  <si>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</si>
  <si>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</si>
  <si>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</si>
  <si>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</si>
  <si>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</si>
  <si>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</si>
  <si>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</si>
  <si>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</si>
  <si>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</si>
  <si>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907000310</t>
  </si>
  <si>
    <t xml:space="preserve">UND </t>
  </si>
  <si>
    <t>UND</t>
  </si>
  <si>
    <t>910000003</t>
  </si>
  <si>
    <t>11400066</t>
  </si>
  <si>
    <t>Gramo</t>
  </si>
  <si>
    <t>902000085</t>
  </si>
  <si>
    <t>902000162</t>
  </si>
  <si>
    <t>910000018</t>
  </si>
  <si>
    <t>906000143</t>
  </si>
  <si>
    <t>1950808</t>
  </si>
  <si>
    <t>Und</t>
  </si>
  <si>
    <t>0702069</t>
  </si>
  <si>
    <t>701096</t>
  </si>
  <si>
    <t>702182</t>
  </si>
  <si>
    <t xml:space="preserve"> PTI00280 ENSAMBLE Y DECORACION DE TORTA VAINILLA Y FRUTOS ROJOS PEQUEÑA INDUSTRIA</t>
  </si>
  <si>
    <t>Sebastian Díaz,, Gte Manufactura</t>
  </si>
  <si>
    <t xml:space="preserve">1 cuhcarada </t>
  </si>
  <si>
    <t>PTI00280  ENSAMBLE Y DECORACION DE TORTA VAINILLA Y FRUTOS ROJOS PEQUEÑA INDUSTRIA</t>
  </si>
  <si>
    <t>ESP-RE-DES-086</t>
  </si>
  <si>
    <t>EM10455</t>
  </si>
  <si>
    <t xml:space="preserve">Quequera Rdonda con Base 7" Alta </t>
  </si>
  <si>
    <t xml:space="preserve">Etiqueta Torta Frutos Rojos </t>
  </si>
  <si>
    <t>2, Se agrega brillo, se actualizan datos de receta y se agrega codigos correctos de quequera y etiqueta</t>
  </si>
  <si>
    <t>NUEVO</t>
  </si>
  <si>
    <t>SALSA FRAMBUESA ARANDANO CON BRILLO</t>
  </si>
  <si>
    <t>Revision #3: se unifica el brillo con la salsa.</t>
  </si>
  <si>
    <t>SE00838</t>
  </si>
  <si>
    <t>EM10505</t>
  </si>
  <si>
    <t xml:space="preserve">Revision #4: Actualizacion del codigo de la etiqueta. 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</si>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</sst>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5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i/>
      <sz val="12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name val="Century Gothic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4">
    <xf numFmtId="0" fontId="0" fillId="0" borderId="0" xfId="0"/>
    <xf numFmtId="0" fontId="4" fillId="2" borderId="2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right"/>
    </xf>
    <xf numFmtId="49" fontId="3" fillId="2" borderId="7" xfId="1" applyNumberFormat="1" applyFont="1" applyFill="1" applyBorder="1" applyAlignment="1">
      <alignment horizontal="center"/>
    </xf>
    <xf numFmtId="0" fontId="4" fillId="4" borderId="3" xfId="2" applyFont="1" applyFill="1" applyBorder="1" applyAlignment="1">
      <alignment horizontal="center" vertical="center" wrapText="1"/>
    </xf>
    <xf numFmtId="1" fontId="4" fillId="4" borderId="12" xfId="2" applyNumberFormat="1" applyFont="1" applyFill="1" applyBorder="1" applyAlignment="1">
      <alignment horizontal="center"/>
    </xf>
    <xf numFmtId="1" fontId="4" fillId="4" borderId="12" xfId="2" applyNumberFormat="1" applyFont="1" applyFill="1" applyBorder="1" applyAlignment="1">
      <alignment horizontal="center" wrapText="1"/>
    </xf>
    <xf numFmtId="0" fontId="4" fillId="4" borderId="13" xfId="2" applyFont="1" applyFill="1" applyBorder="1" applyAlignment="1">
      <alignment horizontal="center"/>
    </xf>
    <xf numFmtId="0" fontId="3" fillId="2" borderId="15" xfId="2" applyFont="1" applyFill="1" applyBorder="1" applyAlignment="1">
      <alignment horizontal="center"/>
    </xf>
    <xf numFmtId="0" fontId="3" fillId="4" borderId="20" xfId="2" applyFont="1" applyFill="1" applyBorder="1" applyAlignment="1">
      <alignment horizontal="center"/>
    </xf>
    <xf numFmtId="0" fontId="3" fillId="4" borderId="21" xfId="2" applyFont="1" applyFill="1" applyBorder="1"/>
    <xf numFmtId="0" fontId="4" fillId="4" borderId="21" xfId="2" applyFont="1" applyFill="1" applyBorder="1" applyAlignment="1">
      <alignment horizontal="center"/>
    </xf>
    <xf numFmtId="1" fontId="4" fillId="4" borderId="21" xfId="2" applyNumberFormat="1" applyFont="1" applyFill="1" applyBorder="1" applyAlignment="1">
      <alignment horizontal="center"/>
    </xf>
    <xf numFmtId="164" fontId="3" fillId="4" borderId="21" xfId="2" applyNumberFormat="1" applyFont="1" applyFill="1" applyBorder="1" applyAlignment="1">
      <alignment horizontal="center" wrapText="1"/>
    </xf>
    <xf numFmtId="0" fontId="3" fillId="4" borderId="22" xfId="2" applyFont="1" applyFill="1" applyBorder="1" applyAlignment="1">
      <alignment horizontal="center"/>
    </xf>
    <xf numFmtId="0" fontId="3" fillId="4" borderId="21" xfId="2" applyFont="1" applyFill="1" applyBorder="1" applyAlignment="1">
      <alignment horizontal="center"/>
    </xf>
    <xf numFmtId="0" fontId="3" fillId="2" borderId="25" xfId="1" applyFont="1" applyFill="1" applyBorder="1" applyAlignment="1">
      <alignment horizontal="right"/>
    </xf>
    <xf numFmtId="0" fontId="3" fillId="2" borderId="6" xfId="1" applyFont="1" applyFill="1" applyBorder="1" applyAlignment="1">
      <alignment horizontal="right"/>
    </xf>
    <xf numFmtId="14" fontId="10" fillId="2" borderId="0" xfId="1" applyNumberFormat="1" applyFont="1" applyFill="1" applyAlignment="1">
      <alignment horizontal="center" vertical="center" wrapText="1"/>
    </xf>
    <xf numFmtId="1" fontId="11" fillId="0" borderId="6" xfId="2" applyNumberFormat="1" applyFont="1" applyBorder="1" applyAlignment="1">
      <alignment horizontal="center" wrapText="1"/>
    </xf>
    <xf numFmtId="0" fontId="12" fillId="0" borderId="7" xfId="2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12" fillId="0" borderId="5" xfId="2" applyNumberFormat="1" applyFont="1" applyBorder="1" applyAlignment="1">
      <alignment horizontal="center"/>
    </xf>
    <xf numFmtId="49" fontId="12" fillId="0" borderId="9" xfId="2" applyNumberFormat="1" applyFont="1" applyBorder="1" applyAlignment="1">
      <alignment horizontal="center"/>
    </xf>
    <xf numFmtId="0" fontId="12" fillId="0" borderId="6" xfId="2" applyFont="1" applyBorder="1" applyAlignment="1">
      <alignment horizontal="center"/>
    </xf>
    <xf numFmtId="1" fontId="12" fillId="0" borderId="6" xfId="2" applyNumberFormat="1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14" fillId="5" borderId="6" xfId="2" applyFont="1" applyFill="1" applyBorder="1" applyAlignment="1">
      <alignment vertical="center"/>
    </xf>
    <xf numFmtId="0" fontId="12" fillId="0" borderId="6" xfId="0" applyFont="1" applyBorder="1" applyAlignment="1">
      <alignment horizontal="center"/>
    </xf>
    <xf numFmtId="49" fontId="15" fillId="0" borderId="6" xfId="2" applyNumberFormat="1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6" fillId="0" borderId="6" xfId="0" applyFont="1" applyBorder="1" applyAlignment="1">
      <alignment horizontal="center"/>
    </xf>
    <xf numFmtId="1" fontId="16" fillId="0" borderId="6" xfId="2" applyNumberFormat="1" applyFont="1" applyBorder="1" applyAlignment="1">
      <alignment horizontal="center"/>
    </xf>
    <xf numFmtId="0" fontId="16" fillId="0" borderId="6" xfId="2" applyFont="1" applyBorder="1" applyAlignment="1">
      <alignment horizontal="center"/>
    </xf>
    <xf numFmtId="49" fontId="7" fillId="2" borderId="14" xfId="2" applyNumberFormat="1" applyFont="1" applyFill="1" applyBorder="1" applyAlignment="1">
      <alignment horizontal="center" vertical="center"/>
    </xf>
    <xf numFmtId="49" fontId="7" fillId="2" borderId="0" xfId="2" applyNumberFormat="1" applyFont="1" applyFill="1" applyAlignment="1">
      <alignment horizontal="center" vertical="center"/>
    </xf>
    <xf numFmtId="0" fontId="3" fillId="2" borderId="0" xfId="2" applyFont="1" applyFill="1"/>
    <xf numFmtId="1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 applyAlignment="1">
      <alignment horizontal="center" wrapText="1"/>
    </xf>
    <xf numFmtId="0" fontId="3" fillId="0" borderId="26" xfId="0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16" fillId="0" borderId="9" xfId="2" applyNumberFormat="1" applyFont="1" applyBorder="1" applyAlignment="1">
      <alignment horizontal="center"/>
    </xf>
    <xf numFmtId="49" fontId="16" fillId="0" borderId="6" xfId="2" applyNumberFormat="1" applyFont="1" applyBorder="1"/>
    <xf numFmtId="49" fontId="16" fillId="0" borderId="6" xfId="2" applyNumberFormat="1" applyFont="1" applyBorder="1" applyAlignment="1">
      <alignment horizontal="center"/>
    </xf>
    <xf numFmtId="16" fontId="16" fillId="0" borderId="6" xfId="2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6" xfId="0" applyFont="1" applyBorder="1" applyAlignment="1">
      <alignment horizontal="center" wrapText="1"/>
    </xf>
    <xf numFmtId="1" fontId="13" fillId="0" borderId="6" xfId="2" applyNumberFormat="1" applyFont="1" applyBorder="1" applyAlignment="1">
      <alignment horizontal="center"/>
    </xf>
    <xf numFmtId="12" fontId="16" fillId="0" borderId="6" xfId="2" applyNumberFormat="1" applyFont="1" applyBorder="1" applyAlignment="1">
      <alignment horizontal="center"/>
    </xf>
    <xf numFmtId="1" fontId="16" fillId="5" borderId="6" xfId="0" applyNumberFormat="1" applyFont="1" applyFill="1" applyBorder="1"/>
    <xf numFmtId="0" fontId="16" fillId="5" borderId="6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 wrapText="1"/>
    </xf>
    <xf numFmtId="166" fontId="13" fillId="5" borderId="6" xfId="5" applyNumberFormat="1" applyFont="1" applyFill="1" applyBorder="1" applyAlignment="1">
      <alignment horizontal="center"/>
    </xf>
    <xf numFmtId="1" fontId="16" fillId="0" borderId="25" xfId="2" applyNumberFormat="1" applyFont="1" applyBorder="1" applyAlignment="1">
      <alignment horizontal="center"/>
    </xf>
    <xf numFmtId="0" fontId="16" fillId="0" borderId="25" xfId="2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1" fontId="16" fillId="0" borderId="6" xfId="0" applyNumberFormat="1" applyFont="1" applyBorder="1" applyAlignment="1">
      <alignment horizontal="left" vertical="center"/>
    </xf>
    <xf numFmtId="0" fontId="19" fillId="5" borderId="0" xfId="0" applyFont="1" applyFill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/>
    <xf numFmtId="0" fontId="16" fillId="5" borderId="6" xfId="2" applyFont="1" applyFill="1" applyBorder="1" applyAlignment="1">
      <alignment horizontal="center"/>
    </xf>
    <xf numFmtId="0" fontId="13" fillId="0" borderId="5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14" fillId="0" borderId="6" xfId="2" applyFont="1" applyBorder="1" applyAlignment="1">
      <alignment vertical="center"/>
    </xf>
    <xf numFmtId="0" fontId="13" fillId="0" borderId="6" xfId="2" applyFont="1" applyBorder="1" applyAlignment="1">
      <alignment horizontal="center" vertical="center"/>
    </xf>
    <xf numFmtId="1" fontId="13" fillId="0" borderId="6" xfId="2" applyNumberFormat="1" applyFont="1" applyBorder="1" applyAlignment="1">
      <alignment horizontal="center" wrapText="1"/>
    </xf>
    <xf numFmtId="0" fontId="16" fillId="0" borderId="25" xfId="0" applyFont="1" applyBorder="1" applyAlignment="1">
      <alignment horizontal="center" wrapText="1"/>
    </xf>
    <xf numFmtId="12" fontId="16" fillId="0" borderId="25" xfId="0" applyNumberFormat="1" applyFont="1" applyBorder="1" applyAlignment="1">
      <alignment horizontal="center"/>
    </xf>
    <xf numFmtId="1" fontId="13" fillId="5" borderId="17" xfId="2" applyNumberFormat="1" applyFont="1" applyFill="1" applyBorder="1" applyAlignment="1">
      <alignment horizontal="center" wrapText="1"/>
    </xf>
    <xf numFmtId="1" fontId="16" fillId="0" borderId="6" xfId="2" applyNumberFormat="1" applyFont="1" applyBorder="1" applyAlignment="1">
      <alignment horizontal="center" wrapText="1"/>
    </xf>
    <xf numFmtId="1" fontId="16" fillId="5" borderId="25" xfId="0" applyNumberFormat="1" applyFont="1" applyFill="1" applyBorder="1" applyAlignment="1">
      <alignment horizontal="center" wrapText="1"/>
    </xf>
    <xf numFmtId="1" fontId="16" fillId="5" borderId="6" xfId="2" applyNumberFormat="1" applyFont="1" applyFill="1" applyBorder="1" applyAlignment="1">
      <alignment horizontal="center" wrapText="1"/>
    </xf>
    <xf numFmtId="16" fontId="16" fillId="0" borderId="6" xfId="0" applyNumberFormat="1" applyFont="1" applyBorder="1" applyAlignment="1">
      <alignment horizontal="center"/>
    </xf>
    <xf numFmtId="1" fontId="16" fillId="0" borderId="6" xfId="0" applyNumberFormat="1" applyFont="1" applyBorder="1" applyAlignment="1">
      <alignment horizontal="center" wrapText="1"/>
    </xf>
    <xf numFmtId="49" fontId="13" fillId="0" borderId="4" xfId="2" applyNumberFormat="1" applyFont="1" applyBorder="1" applyAlignment="1">
      <alignment horizontal="center"/>
    </xf>
    <xf numFmtId="49" fontId="13" fillId="0" borderId="32" xfId="2" applyNumberFormat="1" applyFont="1" applyBorder="1" applyAlignment="1">
      <alignment horizontal="center"/>
    </xf>
    <xf numFmtId="0" fontId="13" fillId="0" borderId="9" xfId="2" applyFont="1" applyBorder="1" applyAlignment="1">
      <alignment horizontal="center"/>
    </xf>
    <xf numFmtId="165" fontId="13" fillId="0" borderId="6" xfId="2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8" fillId="0" borderId="6" xfId="6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6" fillId="0" borderId="6" xfId="0" quotePrefix="1" applyFont="1" applyBorder="1" applyAlignment="1">
      <alignment horizontal="center"/>
    </xf>
    <xf numFmtId="0" fontId="16" fillId="0" borderId="9" xfId="3" applyFont="1" applyBorder="1" applyAlignment="1">
      <alignment horizontal="center"/>
    </xf>
    <xf numFmtId="49" fontId="16" fillId="0" borderId="6" xfId="0" applyNumberFormat="1" applyFont="1" applyBorder="1"/>
    <xf numFmtId="1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20" fillId="0" borderId="6" xfId="0" applyFont="1" applyBorder="1"/>
    <xf numFmtId="0" fontId="0" fillId="0" borderId="6" xfId="0" applyBorder="1" applyAlignment="1">
      <alignment horizontal="center"/>
    </xf>
    <xf numFmtId="0" fontId="20" fillId="0" borderId="0" xfId="0" applyFont="1"/>
    <xf numFmtId="0" fontId="15" fillId="5" borderId="0" xfId="0" applyFont="1" applyFill="1" applyAlignment="1">
      <alignment vertical="center"/>
    </xf>
    <xf numFmtId="0" fontId="21" fillId="7" borderId="6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21" fillId="0" borderId="6" xfId="5" applyFont="1" applyFill="1" applyBorder="1" applyAlignment="1">
      <alignment horizontal="center" vertical="center"/>
    </xf>
    <xf numFmtId="43" fontId="21" fillId="0" borderId="0" xfId="5" applyFont="1" applyFill="1" applyBorder="1" applyAlignment="1">
      <alignment horizontal="center" vertical="center"/>
    </xf>
    <xf numFmtId="43" fontId="23" fillId="0" borderId="0" xfId="5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8" fontId="26" fillId="0" borderId="0" xfId="0" applyNumberFormat="1" applyFont="1" applyAlignment="1">
      <alignment horizontal="center" vertical="center" wrapText="1"/>
    </xf>
    <xf numFmtId="0" fontId="21" fillId="8" borderId="45" xfId="0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 wrapText="1"/>
    </xf>
    <xf numFmtId="0" fontId="21" fillId="8" borderId="4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2" fontId="27" fillId="0" borderId="0" xfId="0" applyNumberFormat="1" applyFont="1" applyAlignment="1">
      <alignment horizontal="center"/>
    </xf>
    <xf numFmtId="4" fontId="27" fillId="0" borderId="0" xfId="7" applyNumberFormat="1" applyFont="1" applyFill="1" applyAlignment="1">
      <alignment horizontal="center" vertical="center"/>
    </xf>
    <xf numFmtId="4" fontId="21" fillId="0" borderId="0" xfId="7" applyNumberFormat="1" applyFont="1" applyFill="1" applyAlignment="1">
      <alignment horizontal="center" vertical="center"/>
    </xf>
    <xf numFmtId="10" fontId="21" fillId="0" borderId="0" xfId="4" applyNumberFormat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10" fontId="22" fillId="0" borderId="0" xfId="4" applyNumberFormat="1" applyFont="1" applyFill="1" applyAlignment="1">
      <alignment vertical="center"/>
    </xf>
    <xf numFmtId="0" fontId="15" fillId="0" borderId="0" xfId="0" applyFont="1"/>
    <xf numFmtId="49" fontId="21" fillId="0" borderId="0" xfId="0" applyNumberFormat="1" applyFont="1" applyAlignment="1">
      <alignment horizontal="center"/>
    </xf>
    <xf numFmtId="169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43" fontId="15" fillId="0" borderId="0" xfId="5" applyFont="1" applyFill="1" applyAlignment="1">
      <alignment vertical="center"/>
    </xf>
    <xf numFmtId="49" fontId="28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4" fontId="21" fillId="0" borderId="0" xfId="5" applyNumberFormat="1" applyFont="1" applyFill="1" applyAlignment="1">
      <alignment vertical="center"/>
    </xf>
    <xf numFmtId="43" fontId="29" fillId="0" borderId="0" xfId="5" applyFont="1" applyFill="1" applyAlignment="1">
      <alignment horizontal="center" vertical="center"/>
    </xf>
    <xf numFmtId="10" fontId="22" fillId="8" borderId="48" xfId="4" applyNumberFormat="1" applyFont="1" applyFill="1" applyBorder="1" applyAlignment="1">
      <alignment vertical="center"/>
    </xf>
    <xf numFmtId="0" fontId="15" fillId="8" borderId="21" xfId="0" applyFont="1" applyFill="1" applyBorder="1" applyAlignment="1">
      <alignment vertical="center"/>
    </xf>
    <xf numFmtId="0" fontId="15" fillId="8" borderId="48" xfId="0" applyFont="1" applyFill="1" applyBorder="1" applyAlignment="1">
      <alignment vertical="center"/>
    </xf>
    <xf numFmtId="43" fontId="29" fillId="8" borderId="49" xfId="5" applyFont="1" applyFill="1" applyBorder="1" applyAlignment="1">
      <alignment horizontal="center" vertical="center"/>
    </xf>
    <xf numFmtId="43" fontId="31" fillId="0" borderId="0" xfId="5" applyFont="1" applyFill="1" applyBorder="1" applyAlignment="1">
      <alignment horizontal="right"/>
    </xf>
    <xf numFmtId="0" fontId="15" fillId="8" borderId="49" xfId="0" applyFont="1" applyFill="1" applyBorder="1" applyAlignment="1">
      <alignment vertical="center"/>
    </xf>
    <xf numFmtId="10" fontId="22" fillId="8" borderId="49" xfId="4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0" fontId="30" fillId="0" borderId="0" xfId="0" applyFont="1"/>
    <xf numFmtId="9" fontId="30" fillId="0" borderId="0" xfId="0" applyNumberFormat="1" applyFont="1"/>
    <xf numFmtId="9" fontId="32" fillId="0" borderId="0" xfId="4" applyFont="1" applyFill="1" applyAlignment="1">
      <alignment horizontal="center"/>
    </xf>
    <xf numFmtId="0" fontId="29" fillId="0" borderId="0" xfId="0" applyFont="1" applyAlignment="1">
      <alignment horizontal="right" vertical="center"/>
    </xf>
    <xf numFmtId="4" fontId="29" fillId="0" borderId="0" xfId="5" applyNumberFormat="1" applyFont="1" applyFill="1" applyAlignment="1">
      <alignment vertical="center"/>
    </xf>
    <xf numFmtId="4" fontId="29" fillId="0" borderId="0" xfId="7" applyNumberFormat="1" applyFont="1" applyAlignment="1">
      <alignment horizontal="center" vertical="center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4" fillId="0" borderId="15" xfId="0" applyFont="1" applyBorder="1" applyAlignment="1">
      <alignment horizontal="right"/>
    </xf>
    <xf numFmtId="43" fontId="35" fillId="3" borderId="50" xfId="5" applyFont="1" applyFill="1" applyBorder="1" applyAlignment="1">
      <alignment horizontal="right"/>
    </xf>
    <xf numFmtId="43" fontId="35" fillId="0" borderId="0" xfId="5" applyFont="1" applyFill="1" applyBorder="1" applyAlignment="1">
      <alignment horizontal="right"/>
    </xf>
    <xf numFmtId="43" fontId="21" fillId="0" borderId="6" xfId="5" applyFont="1" applyFill="1" applyBorder="1" applyAlignment="1">
      <alignment vertical="center"/>
    </xf>
    <xf numFmtId="0" fontId="36" fillId="0" borderId="0" xfId="0" applyFont="1" applyAlignment="1">
      <alignment horizontal="left" vertical="center"/>
    </xf>
    <xf numFmtId="4" fontId="29" fillId="0" borderId="0" xfId="7" applyNumberFormat="1" applyFont="1" applyFill="1" applyAlignment="1">
      <alignment horizontal="center" vertical="center"/>
    </xf>
    <xf numFmtId="10" fontId="37" fillId="0" borderId="0" xfId="4" applyNumberFormat="1" applyFont="1" applyFill="1" applyAlignment="1">
      <alignment horizontal="right"/>
    </xf>
    <xf numFmtId="170" fontId="21" fillId="8" borderId="6" xfId="5" applyNumberFormat="1" applyFont="1" applyFill="1" applyBorder="1" applyAlignment="1">
      <alignment vertical="center"/>
    </xf>
    <xf numFmtId="4" fontId="15" fillId="0" borderId="0" xfId="0" applyNumberFormat="1" applyFont="1" applyAlignment="1">
      <alignment horizontal="center" vertical="center"/>
    </xf>
    <xf numFmtId="43" fontId="21" fillId="9" borderId="6" xfId="5" applyFont="1" applyFill="1" applyBorder="1" applyAlignment="1">
      <alignment vertical="center"/>
    </xf>
    <xf numFmtId="167" fontId="38" fillId="0" borderId="0" xfId="0" applyNumberFormat="1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0" fontId="22" fillId="8" borderId="51" xfId="0" applyFont="1" applyFill="1" applyBorder="1" applyAlignment="1">
      <alignment vertical="center"/>
    </xf>
    <xf numFmtId="0" fontId="40" fillId="0" borderId="0" xfId="0" applyFont="1" applyAlignment="1">
      <alignment vertical="center"/>
    </xf>
    <xf numFmtId="2" fontId="37" fillId="0" borderId="0" xfId="5" applyNumberFormat="1" applyFont="1" applyFill="1" applyBorder="1" applyAlignment="1">
      <alignment horizontal="center"/>
    </xf>
    <xf numFmtId="2" fontId="34" fillId="0" borderId="0" xfId="5" applyNumberFormat="1" applyFont="1" applyFill="1" applyBorder="1" applyAlignment="1">
      <alignment horizontal="center"/>
    </xf>
    <xf numFmtId="0" fontId="15" fillId="8" borderId="51" xfId="0" applyFont="1" applyFill="1" applyBorder="1" applyAlignment="1">
      <alignment vertical="center"/>
    </xf>
    <xf numFmtId="10" fontId="15" fillId="0" borderId="0" xfId="4" applyNumberFormat="1" applyFont="1" applyFill="1" applyAlignment="1">
      <alignment vertical="center"/>
    </xf>
    <xf numFmtId="4" fontId="15" fillId="0" borderId="0" xfId="5" applyNumberFormat="1" applyFont="1" applyFill="1" applyAlignment="1">
      <alignment vertical="center"/>
    </xf>
    <xf numFmtId="43" fontId="35" fillId="8" borderId="21" xfId="5" applyFont="1" applyFill="1" applyBorder="1" applyAlignment="1">
      <alignment horizontal="right"/>
    </xf>
    <xf numFmtId="0" fontId="21" fillId="8" borderId="22" xfId="0" applyFont="1" applyFill="1" applyBorder="1" applyAlignment="1">
      <alignment horizontal="right" vertical="center"/>
    </xf>
    <xf numFmtId="10" fontId="41" fillId="0" borderId="0" xfId="5" applyNumberFormat="1" applyFont="1" applyFill="1" applyAlignment="1">
      <alignment vertical="center"/>
    </xf>
    <xf numFmtId="10" fontId="22" fillId="0" borderId="0" xfId="4" applyNumberFormat="1" applyFont="1" applyFill="1" applyBorder="1" applyAlignment="1">
      <alignment vertical="center"/>
    </xf>
    <xf numFmtId="167" fontId="42" fillId="0" borderId="0" xfId="0" applyNumberFormat="1" applyFont="1" applyAlignment="1">
      <alignment horizontal="center" vertical="center"/>
    </xf>
    <xf numFmtId="0" fontId="15" fillId="5" borderId="50" xfId="0" applyFont="1" applyFill="1" applyBorder="1" applyAlignment="1">
      <alignment horizontal="center" vertical="center"/>
    </xf>
    <xf numFmtId="43" fontId="43" fillId="0" borderId="0" xfId="5" applyFont="1" applyFill="1" applyAlignment="1">
      <alignment vertical="center"/>
    </xf>
    <xf numFmtId="4" fontId="44" fillId="0" borderId="0" xfId="7" applyNumberFormat="1" applyFont="1" applyFill="1" applyAlignment="1">
      <alignment horizontal="center" vertical="center" wrapText="1"/>
    </xf>
    <xf numFmtId="9" fontId="15" fillId="0" borderId="0" xfId="5" applyNumberFormat="1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8" fillId="0" borderId="0" xfId="0" applyFont="1" applyAlignment="1">
      <alignment horizontal="right" vertical="center"/>
    </xf>
    <xf numFmtId="4" fontId="28" fillId="0" borderId="0" xfId="5" applyNumberFormat="1" applyFont="1" applyFill="1" applyAlignment="1">
      <alignment vertical="center"/>
    </xf>
    <xf numFmtId="4" fontId="21" fillId="11" borderId="50" xfId="5" applyNumberFormat="1" applyFont="1" applyFill="1" applyBorder="1" applyAlignment="1">
      <alignment horizontal="center" vertical="center"/>
    </xf>
    <xf numFmtId="0" fontId="45" fillId="0" borderId="0" xfId="0" applyFont="1" applyAlignment="1">
      <alignment vertical="center"/>
    </xf>
    <xf numFmtId="43" fontId="45" fillId="0" borderId="0" xfId="5" applyFont="1" applyFill="1" applyAlignment="1">
      <alignment vertical="center"/>
    </xf>
    <xf numFmtId="9" fontId="45" fillId="0" borderId="0" xfId="5" applyNumberFormat="1" applyFont="1" applyFill="1" applyAlignment="1">
      <alignment vertical="center"/>
    </xf>
    <xf numFmtId="4" fontId="21" fillId="0" borderId="0" xfId="5" applyNumberFormat="1" applyFont="1" applyFill="1" applyAlignment="1">
      <alignment horizontal="center" vertical="center"/>
    </xf>
    <xf numFmtId="10" fontId="38" fillId="0" borderId="0" xfId="4" applyNumberFormat="1" applyFont="1" applyFill="1" applyAlignment="1">
      <alignment vertical="center"/>
    </xf>
    <xf numFmtId="43" fontId="38" fillId="0" borderId="0" xfId="5" applyFont="1" applyFill="1" applyBorder="1" applyAlignment="1">
      <alignment vertical="center"/>
    </xf>
    <xf numFmtId="4" fontId="15" fillId="0" borderId="0" xfId="0" applyNumberFormat="1" applyFont="1" applyAlignment="1">
      <alignment horizontal="center"/>
    </xf>
    <xf numFmtId="43" fontId="15" fillId="0" borderId="0" xfId="5" applyFont="1" applyFill="1" applyBorder="1"/>
    <xf numFmtId="10" fontId="38" fillId="0" borderId="0" xfId="4" applyNumberFormat="1" applyFont="1" applyFill="1" applyBorder="1" applyAlignment="1">
      <alignment vertical="center"/>
    </xf>
    <xf numFmtId="0" fontId="38" fillId="0" borderId="0" xfId="0" applyFont="1" applyAlignment="1">
      <alignment horizontal="right"/>
    </xf>
    <xf numFmtId="43" fontId="15" fillId="0" borderId="0" xfId="5" applyFont="1" applyFill="1" applyBorder="1" applyAlignment="1">
      <alignment horizontal="center"/>
    </xf>
    <xf numFmtId="9" fontId="48" fillId="0" borderId="0" xfId="0" applyNumberFormat="1" applyFont="1" applyAlignment="1">
      <alignment horizontal="left"/>
    </xf>
    <xf numFmtId="4" fontId="21" fillId="0" borderId="0" xfId="0" applyNumberFormat="1" applyFont="1" applyAlignment="1">
      <alignment horizontal="center"/>
    </xf>
    <xf numFmtId="167" fontId="21" fillId="0" borderId="0" xfId="0" applyNumberFormat="1" applyFont="1"/>
    <xf numFmtId="0" fontId="16" fillId="0" borderId="5" xfId="2" applyFont="1" applyBorder="1" applyAlignment="1">
      <alignment horizontal="right"/>
    </xf>
    <xf numFmtId="0" fontId="18" fillId="0" borderId="25" xfId="0" applyFont="1" applyBorder="1"/>
    <xf numFmtId="0" fontId="13" fillId="0" borderId="8" xfId="2" applyFont="1" applyBorder="1" applyAlignment="1">
      <alignment horizontal="right" vertical="center"/>
    </xf>
    <xf numFmtId="0" fontId="13" fillId="0" borderId="17" xfId="2" applyFont="1" applyBorder="1" applyAlignment="1">
      <alignment horizontal="center" vertical="center"/>
    </xf>
    <xf numFmtId="0" fontId="13" fillId="0" borderId="17" xfId="2" applyFont="1" applyBorder="1" applyAlignment="1">
      <alignment horizontal="left"/>
    </xf>
    <xf numFmtId="1" fontId="13" fillId="0" borderId="17" xfId="2" applyNumberFormat="1" applyFont="1" applyBorder="1" applyAlignment="1">
      <alignment horizontal="center"/>
    </xf>
    <xf numFmtId="1" fontId="18" fillId="0" borderId="6" xfId="0" applyNumberFormat="1" applyFont="1" applyBorder="1"/>
    <xf numFmtId="0" fontId="16" fillId="0" borderId="6" xfId="2" applyFont="1" applyBorder="1" applyAlignment="1">
      <alignment horizontal="right"/>
    </xf>
    <xf numFmtId="0" fontId="16" fillId="0" borderId="6" xfId="2" applyFont="1" applyBorder="1"/>
    <xf numFmtId="0" fontId="16" fillId="0" borderId="6" xfId="2" applyFont="1" applyBorder="1" applyAlignment="1">
      <alignment horizontal="left" vertical="center"/>
    </xf>
    <xf numFmtId="0" fontId="13" fillId="0" borderId="6" xfId="2" applyFont="1" applyBorder="1" applyAlignment="1">
      <alignment horizontal="right" vertical="center"/>
    </xf>
    <xf numFmtId="0" fontId="13" fillId="0" borderId="6" xfId="2" applyFont="1" applyBorder="1" applyAlignment="1">
      <alignment horizontal="left"/>
    </xf>
    <xf numFmtId="49" fontId="16" fillId="0" borderId="5" xfId="2" applyNumberFormat="1" applyFont="1" applyBorder="1" applyAlignment="1">
      <alignment horizontal="center"/>
    </xf>
    <xf numFmtId="165" fontId="16" fillId="0" borderId="6" xfId="2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" fontId="16" fillId="0" borderId="25" xfId="0" applyNumberFormat="1" applyFont="1" applyBorder="1" applyAlignment="1">
      <alignment horizontal="center"/>
    </xf>
    <xf numFmtId="0" fontId="0" fillId="0" borderId="6" xfId="0" applyBorder="1"/>
    <xf numFmtId="1" fontId="16" fillId="0" borderId="6" xfId="0" applyNumberFormat="1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16" fontId="16" fillId="0" borderId="9" xfId="0" applyNumberFormat="1" applyFont="1" applyBorder="1" applyAlignment="1">
      <alignment horizontal="center"/>
    </xf>
    <xf numFmtId="14" fontId="50" fillId="2" borderId="0" xfId="1" applyNumberFormat="1" applyFont="1" applyFill="1" applyAlignment="1">
      <alignment horizontal="center" vertical="center" wrapText="1"/>
    </xf>
    <xf numFmtId="0" fontId="51" fillId="0" borderId="5" xfId="2" applyFont="1" applyBorder="1" applyAlignment="1">
      <alignment horizontal="center" vertical="center"/>
    </xf>
    <xf numFmtId="0" fontId="51" fillId="0" borderId="9" xfId="2" applyFont="1" applyBorder="1" applyAlignment="1">
      <alignment horizontal="center" vertical="center"/>
    </xf>
    <xf numFmtId="0" fontId="52" fillId="0" borderId="6" xfId="2" applyFont="1" applyBorder="1" applyAlignment="1">
      <alignment vertical="center"/>
    </xf>
    <xf numFmtId="0" fontId="51" fillId="0" borderId="6" xfId="2" applyFont="1" applyBorder="1" applyAlignment="1">
      <alignment horizontal="center" vertical="center"/>
    </xf>
    <xf numFmtId="1" fontId="51" fillId="0" borderId="6" xfId="2" applyNumberFormat="1" applyFont="1" applyBorder="1" applyAlignment="1">
      <alignment horizontal="center"/>
    </xf>
    <xf numFmtId="1" fontId="51" fillId="0" borderId="6" xfId="2" applyNumberFormat="1" applyFont="1" applyBorder="1" applyAlignment="1">
      <alignment horizontal="center" wrapText="1"/>
    </xf>
    <xf numFmtId="0" fontId="53" fillId="0" borderId="7" xfId="2" applyFont="1" applyBorder="1" applyAlignment="1">
      <alignment horizontal="center"/>
    </xf>
    <xf numFmtId="0" fontId="53" fillId="5" borderId="5" xfId="2" applyFont="1" applyFill="1" applyBorder="1" applyAlignment="1">
      <alignment horizontal="right"/>
    </xf>
    <xf numFmtId="0" fontId="54" fillId="5" borderId="6" xfId="0" applyFont="1" applyFill="1" applyBorder="1" applyAlignment="1">
      <alignment horizontal="center"/>
    </xf>
    <xf numFmtId="0" fontId="54" fillId="5" borderId="25" xfId="0" applyFont="1" applyFill="1" applyBorder="1"/>
    <xf numFmtId="0" fontId="53" fillId="5" borderId="6" xfId="2" applyFont="1" applyFill="1" applyBorder="1" applyAlignment="1">
      <alignment horizontal="center"/>
    </xf>
    <xf numFmtId="0" fontId="53" fillId="0" borderId="25" xfId="0" applyFont="1" applyBorder="1" applyAlignment="1">
      <alignment horizontal="center" wrapText="1"/>
    </xf>
    <xf numFmtId="12" fontId="53" fillId="0" borderId="25" xfId="0" applyNumberFormat="1" applyFont="1" applyBorder="1" applyAlignment="1">
      <alignment horizontal="center"/>
    </xf>
    <xf numFmtId="0" fontId="51" fillId="5" borderId="8" xfId="2" applyFont="1" applyFill="1" applyBorder="1" applyAlignment="1">
      <alignment horizontal="right" vertical="center"/>
    </xf>
    <xf numFmtId="0" fontId="51" fillId="5" borderId="17" xfId="2" applyFont="1" applyFill="1" applyBorder="1" applyAlignment="1">
      <alignment horizontal="center" vertical="center"/>
    </xf>
    <xf numFmtId="0" fontId="51" fillId="5" borderId="17" xfId="2" applyFont="1" applyFill="1" applyBorder="1" applyAlignment="1">
      <alignment horizontal="left"/>
    </xf>
    <xf numFmtId="1" fontId="51" fillId="5" borderId="17" xfId="2" applyNumberFormat="1" applyFont="1" applyFill="1" applyBorder="1" applyAlignment="1">
      <alignment horizontal="center"/>
    </xf>
    <xf numFmtId="1" fontId="51" fillId="5" borderId="17" xfId="2" applyNumberFormat="1" applyFont="1" applyFill="1" applyBorder="1" applyAlignment="1">
      <alignment horizontal="center" wrapText="1"/>
    </xf>
    <xf numFmtId="0" fontId="53" fillId="0" borderId="6" xfId="0" applyFont="1" applyBorder="1" applyAlignment="1">
      <alignment horizontal="center"/>
    </xf>
    <xf numFmtId="1" fontId="54" fillId="0" borderId="6" xfId="0" applyNumberFormat="1" applyFont="1" applyBorder="1"/>
    <xf numFmtId="0" fontId="54" fillId="0" borderId="6" xfId="0" applyFont="1" applyBorder="1" applyAlignment="1">
      <alignment horizontal="center"/>
    </xf>
    <xf numFmtId="0" fontId="54" fillId="0" borderId="6" xfId="0" applyFont="1" applyBorder="1"/>
    <xf numFmtId="0" fontId="53" fillId="5" borderId="6" xfId="2" applyFont="1" applyFill="1" applyBorder="1" applyAlignment="1">
      <alignment horizontal="right"/>
    </xf>
    <xf numFmtId="0" fontId="53" fillId="5" borderId="6" xfId="2" applyFont="1" applyFill="1" applyBorder="1"/>
    <xf numFmtId="0" fontId="53" fillId="5" borderId="6" xfId="2" applyFont="1" applyFill="1" applyBorder="1" applyAlignment="1">
      <alignment horizontal="left" vertical="center"/>
    </xf>
    <xf numFmtId="0" fontId="51" fillId="5" borderId="6" xfId="2" applyFont="1" applyFill="1" applyBorder="1" applyAlignment="1">
      <alignment horizontal="right" vertical="center"/>
    </xf>
    <xf numFmtId="0" fontId="51" fillId="5" borderId="6" xfId="2" applyFont="1" applyFill="1" applyBorder="1" applyAlignment="1">
      <alignment horizontal="center" vertical="center"/>
    </xf>
    <xf numFmtId="0" fontId="51" fillId="5" borderId="6" xfId="2" applyFont="1" applyFill="1" applyBorder="1" applyAlignment="1">
      <alignment horizontal="left"/>
    </xf>
    <xf numFmtId="1" fontId="51" fillId="5" borderId="6" xfId="2" applyNumberFormat="1" applyFont="1" applyFill="1" applyBorder="1" applyAlignment="1">
      <alignment horizontal="center"/>
    </xf>
    <xf numFmtId="49" fontId="53" fillId="0" borderId="5" xfId="2" applyNumberFormat="1" applyFont="1" applyBorder="1" applyAlignment="1">
      <alignment horizontal="center"/>
    </xf>
    <xf numFmtId="49" fontId="53" fillId="0" borderId="9" xfId="2" applyNumberFormat="1" applyFont="1" applyBorder="1" applyAlignment="1">
      <alignment horizontal="center"/>
    </xf>
    <xf numFmtId="0" fontId="53" fillId="0" borderId="6" xfId="2" applyFont="1" applyBorder="1" applyAlignment="1">
      <alignment horizontal="center"/>
    </xf>
    <xf numFmtId="165" fontId="53" fillId="0" borderId="6" xfId="2" applyNumberFormat="1" applyFont="1" applyBorder="1" applyAlignment="1">
      <alignment horizontal="center"/>
    </xf>
    <xf numFmtId="1" fontId="53" fillId="0" borderId="6" xfId="2" applyNumberFormat="1" applyFont="1" applyBorder="1" applyAlignment="1">
      <alignment horizontal="center" wrapText="1"/>
    </xf>
    <xf numFmtId="0" fontId="54" fillId="5" borderId="5" xfId="0" applyFont="1" applyFill="1" applyBorder="1" applyAlignment="1">
      <alignment horizontal="center"/>
    </xf>
    <xf numFmtId="0" fontId="54" fillId="5" borderId="24" xfId="0" applyFont="1" applyFill="1" applyBorder="1" applyAlignment="1">
      <alignment horizontal="center"/>
    </xf>
    <xf numFmtId="0" fontId="53" fillId="5" borderId="9" xfId="0" applyFont="1" applyFill="1" applyBorder="1" applyAlignment="1">
      <alignment horizontal="center"/>
    </xf>
    <xf numFmtId="1" fontId="53" fillId="5" borderId="25" xfId="0" applyNumberFormat="1" applyFont="1" applyFill="1" applyBorder="1" applyAlignment="1">
      <alignment horizontal="center"/>
    </xf>
    <xf numFmtId="1" fontId="53" fillId="5" borderId="25" xfId="0" applyNumberFormat="1" applyFont="1" applyFill="1" applyBorder="1" applyAlignment="1">
      <alignment horizontal="center" wrapText="1"/>
    </xf>
    <xf numFmtId="1" fontId="53" fillId="5" borderId="6" xfId="2" applyNumberFormat="1" applyFont="1" applyFill="1" applyBorder="1" applyAlignment="1">
      <alignment horizontal="center"/>
    </xf>
    <xf numFmtId="1" fontId="53" fillId="5" borderId="6" xfId="2" applyNumberFormat="1" applyFont="1" applyFill="1" applyBorder="1" applyAlignment="1">
      <alignment horizontal="center" wrapText="1"/>
    </xf>
    <xf numFmtId="16" fontId="53" fillId="0" borderId="6" xfId="0" applyNumberFormat="1" applyFont="1" applyBorder="1" applyAlignment="1">
      <alignment horizontal="center"/>
    </xf>
    <xf numFmtId="1" fontId="53" fillId="0" borderId="6" xfId="0" applyNumberFormat="1" applyFont="1" applyBorder="1" applyAlignment="1">
      <alignment horizontal="center"/>
    </xf>
    <xf numFmtId="1" fontId="53" fillId="0" borderId="6" xfId="0" applyNumberFormat="1" applyFont="1" applyBorder="1" applyAlignment="1">
      <alignment horizontal="center" wrapText="1"/>
    </xf>
    <xf numFmtId="0" fontId="54" fillId="0" borderId="32" xfId="0" applyFont="1" applyBorder="1" applyAlignment="1">
      <alignment horizontal="center"/>
    </xf>
    <xf numFmtId="49" fontId="51" fillId="0" borderId="4" xfId="2" applyNumberFormat="1" applyFont="1" applyBorder="1" applyAlignment="1">
      <alignment horizontal="center"/>
    </xf>
    <xf numFmtId="0" fontId="52" fillId="5" borderId="6" xfId="2" applyFont="1" applyFill="1" applyBorder="1" applyAlignment="1">
      <alignment vertical="center"/>
    </xf>
    <xf numFmtId="165" fontId="51" fillId="0" borderId="6" xfId="2" applyNumberFormat="1" applyFont="1" applyBorder="1" applyAlignment="1">
      <alignment horizontal="center"/>
    </xf>
    <xf numFmtId="49" fontId="53" fillId="0" borderId="6" xfId="0" applyNumberFormat="1" applyFont="1" applyBorder="1" applyAlignment="1">
      <alignment horizontal="center"/>
    </xf>
    <xf numFmtId="49" fontId="53" fillId="0" borderId="6" xfId="2" applyNumberFormat="1" applyFont="1" applyBorder="1"/>
    <xf numFmtId="49" fontId="53" fillId="0" borderId="6" xfId="2" applyNumberFormat="1" applyFont="1" applyBorder="1" applyAlignment="1">
      <alignment horizontal="center"/>
    </xf>
    <xf numFmtId="1" fontId="53" fillId="0" borderId="6" xfId="2" applyNumberFormat="1" applyFont="1" applyBorder="1" applyAlignment="1">
      <alignment horizontal="center"/>
    </xf>
    <xf numFmtId="166" fontId="51" fillId="5" borderId="6" xfId="8" applyNumberFormat="1" applyFont="1" applyFill="1" applyBorder="1" applyAlignment="1">
      <alignment horizontal="center"/>
    </xf>
    <xf numFmtId="16" fontId="53" fillId="0" borderId="6" xfId="2" applyNumberFormat="1" applyFont="1" applyBorder="1" applyAlignment="1">
      <alignment horizontal="center"/>
    </xf>
    <xf numFmtId="1" fontId="53" fillId="0" borderId="25" xfId="2" applyNumberFormat="1" applyFont="1" applyBorder="1" applyAlignment="1">
      <alignment horizontal="center"/>
    </xf>
    <xf numFmtId="0" fontId="53" fillId="0" borderId="25" xfId="2" applyFont="1" applyBorder="1" applyAlignment="1">
      <alignment horizontal="center"/>
    </xf>
    <xf numFmtId="0" fontId="53" fillId="0" borderId="6" xfId="0" applyFont="1" applyBorder="1" applyAlignment="1">
      <alignment horizontal="center" vertical="center"/>
    </xf>
    <xf numFmtId="0" fontId="53" fillId="0" borderId="6" xfId="0" applyFont="1" applyBorder="1" applyAlignment="1">
      <alignment horizontal="left" vertical="center"/>
    </xf>
    <xf numFmtId="0" fontId="53" fillId="0" borderId="17" xfId="0" applyFont="1" applyBorder="1" applyAlignment="1">
      <alignment horizontal="center"/>
    </xf>
    <xf numFmtId="0" fontId="53" fillId="0" borderId="6" xfId="0" applyFont="1" applyBorder="1" applyAlignment="1">
      <alignment horizontal="center" wrapText="1"/>
    </xf>
    <xf numFmtId="0" fontId="54" fillId="0" borderId="6" xfId="0" applyFont="1" applyBorder="1" applyAlignment="1">
      <alignment horizontal="center" vertical="center"/>
    </xf>
    <xf numFmtId="1" fontId="53" fillId="0" borderId="6" xfId="0" applyNumberFormat="1" applyFont="1" applyBorder="1" applyAlignment="1">
      <alignment horizontal="left" vertical="center"/>
    </xf>
    <xf numFmtId="12" fontId="53" fillId="0" borderId="6" xfId="2" applyNumberFormat="1" applyFont="1" applyBorder="1" applyAlignment="1">
      <alignment horizontal="center"/>
    </xf>
    <xf numFmtId="0" fontId="53" fillId="5" borderId="6" xfId="0" applyFont="1" applyFill="1" applyBorder="1" applyAlignment="1">
      <alignment horizontal="center"/>
    </xf>
    <xf numFmtId="0" fontId="53" fillId="0" borderId="6" xfId="0" quotePrefix="1" applyFont="1" applyBorder="1" applyAlignment="1">
      <alignment horizontal="center"/>
    </xf>
    <xf numFmtId="0" fontId="53" fillId="0" borderId="9" xfId="3" applyFont="1" applyBorder="1" applyAlignment="1">
      <alignment horizontal="center"/>
    </xf>
    <xf numFmtId="0" fontId="54" fillId="0" borderId="6" xfId="0" applyFont="1" applyBorder="1" applyAlignment="1">
      <alignment horizontal="left" vertical="center"/>
    </xf>
    <xf numFmtId="49" fontId="55" fillId="2" borderId="14" xfId="2" applyNumberFormat="1" applyFont="1" applyFill="1" applyBorder="1" applyAlignment="1">
      <alignment horizontal="center" vertical="center"/>
    </xf>
    <xf numFmtId="49" fontId="55" fillId="2" borderId="0" xfId="2" applyNumberFormat="1" applyFont="1" applyFill="1" applyAlignment="1">
      <alignment horizontal="center" vertical="center"/>
    </xf>
    <xf numFmtId="0" fontId="53" fillId="2" borderId="0" xfId="2" applyFont="1" applyFill="1"/>
    <xf numFmtId="1" fontId="53" fillId="2" borderId="0" xfId="2" applyNumberFormat="1" applyFont="1" applyFill="1" applyAlignment="1">
      <alignment horizontal="center"/>
    </xf>
    <xf numFmtId="164" fontId="53" fillId="2" borderId="0" xfId="2" applyNumberFormat="1" applyFont="1" applyFill="1" applyAlignment="1">
      <alignment horizontal="center" wrapText="1"/>
    </xf>
    <xf numFmtId="0" fontId="53" fillId="2" borderId="15" xfId="2" applyFont="1" applyFill="1" applyBorder="1" applyAlignment="1">
      <alignment horizontal="center"/>
    </xf>
    <xf numFmtId="0" fontId="53" fillId="4" borderId="20" xfId="2" applyFont="1" applyFill="1" applyBorder="1" applyAlignment="1">
      <alignment horizontal="center"/>
    </xf>
    <xf numFmtId="0" fontId="53" fillId="4" borderId="21" xfId="2" applyFont="1" applyFill="1" applyBorder="1" applyAlignment="1">
      <alignment horizontal="center"/>
    </xf>
    <xf numFmtId="0" fontId="53" fillId="4" borderId="21" xfId="2" applyFont="1" applyFill="1" applyBorder="1"/>
    <xf numFmtId="0" fontId="51" fillId="4" borderId="21" xfId="2" applyFont="1" applyFill="1" applyBorder="1" applyAlignment="1">
      <alignment horizontal="center"/>
    </xf>
    <xf numFmtId="1" fontId="51" fillId="4" borderId="21" xfId="2" applyNumberFormat="1" applyFont="1" applyFill="1" applyBorder="1" applyAlignment="1">
      <alignment horizontal="center"/>
    </xf>
    <xf numFmtId="164" fontId="53" fillId="4" borderId="21" xfId="2" applyNumberFormat="1" applyFont="1" applyFill="1" applyBorder="1" applyAlignment="1">
      <alignment horizontal="center" wrapText="1"/>
    </xf>
    <xf numFmtId="0" fontId="53" fillId="4" borderId="22" xfId="2" applyFont="1" applyFill="1" applyBorder="1" applyAlignment="1">
      <alignment horizontal="center"/>
    </xf>
    <xf numFmtId="1" fontId="53" fillId="0" borderId="25" xfId="0" applyNumberFormat="1" applyFont="1" applyBorder="1" applyAlignment="1">
      <alignment horizontal="center"/>
    </xf>
    <xf numFmtId="0" fontId="53" fillId="0" borderId="26" xfId="0" applyFont="1" applyBorder="1" applyAlignment="1">
      <alignment horizontal="center"/>
    </xf>
    <xf numFmtId="1" fontId="53" fillId="0" borderId="12" xfId="0" applyNumberFormat="1" applyFont="1" applyBorder="1" applyAlignment="1">
      <alignment horizontal="center"/>
    </xf>
    <xf numFmtId="0" fontId="53" fillId="0" borderId="12" xfId="0" applyFont="1" applyBorder="1" applyAlignment="1">
      <alignment horizontal="center"/>
    </xf>
    <xf numFmtId="49" fontId="51" fillId="0" borderId="6" xfId="2" applyNumberFormat="1" applyFont="1" applyBorder="1" applyAlignment="1">
      <alignment horizontal="center"/>
    </xf>
    <xf numFmtId="0" fontId="53" fillId="5" borderId="19" xfId="2" applyFont="1" applyFill="1" applyBorder="1" applyAlignment="1">
      <alignment horizontal="right"/>
    </xf>
    <xf numFmtId="0" fontId="54" fillId="0" borderId="19" xfId="0" applyFont="1" applyBorder="1" applyAlignment="1">
      <alignment horizontal="center"/>
    </xf>
    <xf numFmtId="49" fontId="53" fillId="0" borderId="19" xfId="0" applyNumberFormat="1" applyFont="1" applyBorder="1" applyAlignment="1">
      <alignment horizontal="center"/>
    </xf>
    <xf numFmtId="0" fontId="54" fillId="0" borderId="19" xfId="6" applyFont="1" applyBorder="1" applyAlignment="1">
      <alignment horizontal="center"/>
    </xf>
    <xf numFmtId="0" fontId="51" fillId="0" borderId="6" xfId="2" applyFont="1" applyBorder="1" applyAlignment="1">
      <alignment horizontal="center"/>
    </xf>
    <xf numFmtId="0" fontId="53" fillId="0" borderId="6" xfId="6" applyFont="1" applyBorder="1" applyAlignment="1">
      <alignment horizontal="center"/>
    </xf>
    <xf numFmtId="0" fontId="53" fillId="0" borderId="0" xfId="6" applyFont="1"/>
    <xf numFmtId="16" fontId="53" fillId="0" borderId="6" xfId="0" applyNumberFormat="1" applyFont="1" applyBorder="1" applyAlignment="1">
      <alignment horizontal="left"/>
    </xf>
    <xf numFmtId="49" fontId="3" fillId="5" borderId="7" xfId="1" applyNumberFormat="1" applyFont="1" applyFill="1" applyBorder="1" applyAlignment="1">
      <alignment horizontal="center"/>
    </xf>
    <xf numFmtId="0" fontId="54" fillId="12" borderId="4" xfId="0" applyFont="1" applyFill="1" applyBorder="1" applyAlignment="1">
      <alignment horizontal="center"/>
    </xf>
    <xf numFmtId="0" fontId="54" fillId="12" borderId="6" xfId="0" applyFont="1" applyFill="1" applyBorder="1" applyAlignment="1">
      <alignment horizontal="center"/>
    </xf>
    <xf numFmtId="0" fontId="54" fillId="12" borderId="6" xfId="0" applyFont="1" applyFill="1" applyBorder="1"/>
    <xf numFmtId="14" fontId="3" fillId="2" borderId="36" xfId="1" applyNumberFormat="1" applyFont="1" applyFill="1" applyBorder="1" applyAlignment="1">
      <alignment horizontal="center" vertical="center" wrapText="1"/>
    </xf>
    <xf numFmtId="14" fontId="3" fillId="2" borderId="18" xfId="1" applyNumberFormat="1" applyFont="1" applyFill="1" applyBorder="1" applyAlignment="1">
      <alignment horizontal="center" vertical="center" wrapText="1"/>
    </xf>
    <xf numFmtId="14" fontId="3" fillId="2" borderId="42" xfId="1" applyNumberFormat="1" applyFont="1" applyFill="1" applyBorder="1" applyAlignment="1">
      <alignment horizontal="center" vertical="center" wrapText="1"/>
    </xf>
    <xf numFmtId="0" fontId="3" fillId="2" borderId="37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19" xfId="1" applyFont="1" applyFill="1" applyBorder="1" applyAlignment="1">
      <alignment horizontal="left"/>
    </xf>
    <xf numFmtId="0" fontId="3" fillId="2" borderId="32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left"/>
    </xf>
    <xf numFmtId="0" fontId="3" fillId="2" borderId="33" xfId="1" applyFont="1" applyFill="1" applyBorder="1" applyAlignment="1">
      <alignment horizontal="center"/>
    </xf>
    <xf numFmtId="0" fontId="3" fillId="2" borderId="34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3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2" borderId="29" xfId="1" applyFont="1" applyFill="1" applyBorder="1" applyAlignment="1">
      <alignment horizontal="center"/>
    </xf>
    <xf numFmtId="0" fontId="8" fillId="2" borderId="35" xfId="1" applyFont="1" applyFill="1" applyBorder="1" applyAlignment="1">
      <alignment horizontal="center"/>
    </xf>
    <xf numFmtId="0" fontId="8" fillId="2" borderId="11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4" fillId="2" borderId="31" xfId="1" applyFont="1" applyFill="1" applyBorder="1" applyAlignment="1">
      <alignment horizontal="right" vertical="top" wrapText="1"/>
    </xf>
    <xf numFmtId="0" fontId="4" fillId="2" borderId="40" xfId="1" applyFont="1" applyFill="1" applyBorder="1" applyAlignment="1">
      <alignment horizontal="right" vertical="top" wrapText="1"/>
    </xf>
    <xf numFmtId="0" fontId="4" fillId="2" borderId="41" xfId="1" applyFont="1" applyFill="1" applyBorder="1" applyAlignment="1">
      <alignment horizontal="right" vertical="top" wrapText="1"/>
    </xf>
    <xf numFmtId="0" fontId="9" fillId="2" borderId="0" xfId="1" applyFont="1" applyFill="1" applyAlignment="1">
      <alignment horizontal="right"/>
    </xf>
    <xf numFmtId="0" fontId="10" fillId="2" borderId="16" xfId="1" applyFont="1" applyFill="1" applyBorder="1" applyAlignment="1">
      <alignment horizontal="center"/>
    </xf>
    <xf numFmtId="0" fontId="9" fillId="2" borderId="0" xfId="1" applyFont="1" applyFill="1"/>
    <xf numFmtId="0" fontId="4" fillId="4" borderId="1" xfId="2" applyFont="1" applyFill="1" applyBorder="1" applyAlignment="1">
      <alignment horizontal="center" vertical="center"/>
    </xf>
    <xf numFmtId="0" fontId="4" fillId="4" borderId="10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0" fontId="4" fillId="4" borderId="10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/>
    </xf>
    <xf numFmtId="0" fontId="4" fillId="4" borderId="12" xfId="2" applyFont="1" applyFill="1" applyBorder="1" applyAlignment="1">
      <alignment horizontal="center" vertical="center"/>
    </xf>
    <xf numFmtId="0" fontId="4" fillId="0" borderId="23" xfId="2" applyFont="1" applyBorder="1" applyAlignment="1">
      <alignment horizontal="right"/>
    </xf>
    <xf numFmtId="0" fontId="4" fillId="0" borderId="30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164" fontId="3" fillId="0" borderId="25" xfId="2" applyNumberFormat="1" applyFont="1" applyBorder="1" applyAlignment="1">
      <alignment horizontal="right"/>
    </xf>
    <xf numFmtId="0" fontId="3" fillId="2" borderId="26" xfId="2" applyFont="1" applyFill="1" applyBorder="1" applyAlignment="1">
      <alignment horizontal="center"/>
    </xf>
    <xf numFmtId="0" fontId="3" fillId="2" borderId="27" xfId="2" applyFont="1" applyFill="1" applyBorder="1" applyAlignment="1">
      <alignment horizontal="center"/>
    </xf>
    <xf numFmtId="0" fontId="4" fillId="0" borderId="4" xfId="2" applyFont="1" applyBorder="1" applyAlignment="1">
      <alignment horizontal="right"/>
    </xf>
    <xf numFmtId="0" fontId="4" fillId="0" borderId="32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164" fontId="3" fillId="0" borderId="19" xfId="2" applyNumberFormat="1" applyFont="1" applyBorder="1" applyAlignment="1">
      <alignment horizontal="center"/>
    </xf>
    <xf numFmtId="164" fontId="3" fillId="0" borderId="28" xfId="2" applyNumberFormat="1" applyFont="1" applyBorder="1" applyAlignment="1">
      <alignment horizontal="center"/>
    </xf>
    <xf numFmtId="0" fontId="4" fillId="0" borderId="23" xfId="2" applyFont="1" applyBorder="1" applyAlignment="1">
      <alignment horizontal="left" wrapText="1"/>
    </xf>
    <xf numFmtId="0" fontId="4" fillId="0" borderId="30" xfId="2" applyFont="1" applyBorder="1" applyAlignment="1">
      <alignment horizontal="left" wrapText="1"/>
    </xf>
    <xf numFmtId="0" fontId="4" fillId="0" borderId="27" xfId="2" applyFont="1" applyBorder="1" applyAlignment="1">
      <alignment horizontal="left" wrapText="1"/>
    </xf>
    <xf numFmtId="164" fontId="3" fillId="0" borderId="19" xfId="2" applyNumberFormat="1" applyFont="1" applyBorder="1" applyAlignment="1">
      <alignment horizontal="right" wrapText="1"/>
    </xf>
    <xf numFmtId="164" fontId="3" fillId="0" borderId="9" xfId="2" applyNumberFormat="1" applyFont="1" applyBorder="1" applyAlignment="1">
      <alignment horizontal="right" wrapText="1"/>
    </xf>
    <xf numFmtId="164" fontId="3" fillId="0" borderId="19" xfId="0" applyNumberFormat="1" applyFont="1" applyBorder="1" applyAlignment="1">
      <alignment horizontal="center" wrapText="1"/>
    </xf>
    <xf numFmtId="164" fontId="3" fillId="0" borderId="28" xfId="0" applyNumberFormat="1" applyFont="1" applyBorder="1" applyAlignment="1">
      <alignment horizontal="center" wrapText="1"/>
    </xf>
    <xf numFmtId="0" fontId="4" fillId="0" borderId="10" xfId="2" applyFont="1" applyBorder="1" applyAlignment="1">
      <alignment horizontal="right"/>
    </xf>
    <xf numFmtId="0" fontId="4" fillId="0" borderId="11" xfId="2" applyFont="1" applyBorder="1" applyAlignment="1">
      <alignment horizontal="right"/>
    </xf>
    <xf numFmtId="0" fontId="4" fillId="0" borderId="12" xfId="2" applyFont="1" applyBorder="1" applyAlignment="1">
      <alignment horizontal="right"/>
    </xf>
    <xf numFmtId="0" fontId="3" fillId="0" borderId="12" xfId="2" applyFont="1" applyBorder="1" applyAlignment="1">
      <alignment horizontal="right"/>
    </xf>
    <xf numFmtId="0" fontId="4" fillId="4" borderId="20" xfId="2" applyFont="1" applyFill="1" applyBorder="1" applyAlignment="1">
      <alignment horizontal="left"/>
    </xf>
    <xf numFmtId="0" fontId="4" fillId="4" borderId="21" xfId="2" applyFont="1" applyFill="1" applyBorder="1" applyAlignment="1">
      <alignment horizontal="left"/>
    </xf>
    <xf numFmtId="0" fontId="4" fillId="4" borderId="22" xfId="2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4" fillId="6" borderId="43" xfId="1" applyFont="1" applyFill="1" applyBorder="1" applyAlignment="1">
      <alignment horizontal="center"/>
    </xf>
    <xf numFmtId="0" fontId="4" fillId="6" borderId="34" xfId="1" applyFont="1" applyFill="1" applyBorder="1" applyAlignment="1">
      <alignment horizontal="center"/>
    </xf>
    <xf numFmtId="0" fontId="3" fillId="2" borderId="44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50" fillId="2" borderId="16" xfId="1" applyFont="1" applyFill="1" applyBorder="1" applyAlignment="1">
      <alignment horizontal="center"/>
    </xf>
    <xf numFmtId="0" fontId="49" fillId="3" borderId="8" xfId="1" applyFont="1" applyFill="1" applyBorder="1" applyAlignment="1">
      <alignment horizontal="center" vertical="center" wrapText="1"/>
    </xf>
    <xf numFmtId="0" fontId="49" fillId="3" borderId="6" xfId="1" applyFont="1" applyFill="1" applyBorder="1" applyAlignment="1">
      <alignment horizontal="center" vertical="center" wrapText="1"/>
    </xf>
    <xf numFmtId="0" fontId="53" fillId="0" borderId="6" xfId="2" applyFont="1" applyBorder="1" applyAlignment="1">
      <alignment horizontal="right"/>
    </xf>
    <xf numFmtId="164" fontId="53" fillId="0" borderId="19" xfId="2" applyNumberFormat="1" applyFont="1" applyBorder="1" applyAlignment="1">
      <alignment horizontal="center"/>
    </xf>
    <xf numFmtId="164" fontId="53" fillId="0" borderId="28" xfId="2" applyNumberFormat="1" applyFont="1" applyBorder="1" applyAlignment="1">
      <alignment horizontal="center"/>
    </xf>
    <xf numFmtId="0" fontId="51" fillId="0" borderId="4" xfId="2" applyFont="1" applyBorder="1" applyAlignment="1">
      <alignment horizontal="right"/>
    </xf>
    <xf numFmtId="0" fontId="51" fillId="0" borderId="32" xfId="2" applyFont="1" applyBorder="1" applyAlignment="1">
      <alignment horizontal="right"/>
    </xf>
    <xf numFmtId="0" fontId="51" fillId="0" borderId="9" xfId="2" applyFont="1" applyBorder="1" applyAlignment="1">
      <alignment horizontal="right"/>
    </xf>
    <xf numFmtId="164" fontId="53" fillId="0" borderId="19" xfId="2" applyNumberFormat="1" applyFont="1" applyBorder="1" applyAlignment="1">
      <alignment horizontal="right" wrapText="1"/>
    </xf>
    <xf numFmtId="164" fontId="53" fillId="0" borderId="9" xfId="2" applyNumberFormat="1" applyFont="1" applyBorder="1" applyAlignment="1">
      <alignment horizontal="right" wrapText="1"/>
    </xf>
    <xf numFmtId="164" fontId="53" fillId="0" borderId="19" xfId="0" applyNumberFormat="1" applyFont="1" applyBorder="1" applyAlignment="1">
      <alignment horizontal="center" wrapText="1"/>
    </xf>
    <xf numFmtId="164" fontId="53" fillId="0" borderId="28" xfId="0" applyNumberFormat="1" applyFont="1" applyBorder="1" applyAlignment="1">
      <alignment horizontal="center" wrapText="1"/>
    </xf>
    <xf numFmtId="0" fontId="51" fillId="0" borderId="23" xfId="2" applyFont="1" applyBorder="1" applyAlignment="1">
      <alignment horizontal="left" wrapText="1"/>
    </xf>
    <xf numFmtId="0" fontId="51" fillId="0" borderId="30" xfId="2" applyFont="1" applyBorder="1" applyAlignment="1">
      <alignment horizontal="left" wrapText="1"/>
    </xf>
    <xf numFmtId="0" fontId="51" fillId="0" borderId="27" xfId="2" applyFont="1" applyBorder="1" applyAlignment="1">
      <alignment horizontal="left" wrapText="1"/>
    </xf>
    <xf numFmtId="0" fontId="51" fillId="4" borderId="20" xfId="2" applyFont="1" applyFill="1" applyBorder="1" applyAlignment="1">
      <alignment horizontal="center"/>
    </xf>
    <xf numFmtId="0" fontId="51" fillId="4" borderId="21" xfId="2" applyFont="1" applyFill="1" applyBorder="1" applyAlignment="1">
      <alignment horizontal="center"/>
    </xf>
    <xf numFmtId="0" fontId="51" fillId="4" borderId="22" xfId="2" applyFont="1" applyFill="1" applyBorder="1" applyAlignment="1">
      <alignment horizontal="center"/>
    </xf>
    <xf numFmtId="0" fontId="51" fillId="0" borderId="10" xfId="2" applyFont="1" applyBorder="1" applyAlignment="1">
      <alignment horizontal="right"/>
    </xf>
    <xf numFmtId="0" fontId="51" fillId="0" borderId="11" xfId="2" applyFont="1" applyBorder="1" applyAlignment="1">
      <alignment horizontal="right"/>
    </xf>
    <xf numFmtId="0" fontId="51" fillId="0" borderId="12" xfId="2" applyFont="1" applyBorder="1" applyAlignment="1">
      <alignment horizontal="right"/>
    </xf>
    <xf numFmtId="0" fontId="53" fillId="0" borderId="12" xfId="2" applyFont="1" applyBorder="1" applyAlignment="1">
      <alignment horizontal="right"/>
    </xf>
    <xf numFmtId="0" fontId="51" fillId="0" borderId="23" xfId="2" applyFont="1" applyBorder="1" applyAlignment="1">
      <alignment horizontal="right"/>
    </xf>
    <xf numFmtId="0" fontId="51" fillId="0" borderId="30" xfId="2" applyFont="1" applyBorder="1" applyAlignment="1">
      <alignment horizontal="right"/>
    </xf>
    <xf numFmtId="0" fontId="51" fillId="0" borderId="24" xfId="2" applyFont="1" applyBorder="1" applyAlignment="1">
      <alignment horizontal="right"/>
    </xf>
    <xf numFmtId="164" fontId="53" fillId="0" borderId="25" xfId="2" applyNumberFormat="1" applyFont="1" applyBorder="1" applyAlignment="1">
      <alignment horizontal="right"/>
    </xf>
    <xf numFmtId="0" fontId="53" fillId="2" borderId="26" xfId="2" applyFont="1" applyFill="1" applyBorder="1" applyAlignment="1">
      <alignment horizontal="center"/>
    </xf>
    <xf numFmtId="0" fontId="53" fillId="2" borderId="27" xfId="2" applyFont="1" applyFill="1" applyBorder="1" applyAlignment="1">
      <alignment horizontal="center"/>
    </xf>
    <xf numFmtId="0" fontId="54" fillId="0" borderId="6" xfId="0" applyFont="1" applyBorder="1" applyAlignment="1">
      <alignment horizontal="left"/>
    </xf>
    <xf numFmtId="0" fontId="53" fillId="2" borderId="6" xfId="1" applyFont="1" applyFill="1" applyBorder="1" applyAlignment="1">
      <alignment horizontal="left"/>
    </xf>
    <xf numFmtId="0" fontId="51" fillId="0" borderId="53" xfId="0" applyFont="1" applyBorder="1" applyAlignment="1">
      <alignment horizontal="left"/>
    </xf>
    <xf numFmtId="0" fontId="51" fillId="0" borderId="54" xfId="0" applyFont="1" applyBorder="1" applyAlignment="1">
      <alignment horizontal="left"/>
    </xf>
    <xf numFmtId="0" fontId="51" fillId="0" borderId="55" xfId="0" applyFont="1" applyBorder="1" applyAlignment="1">
      <alignment horizontal="left"/>
    </xf>
    <xf numFmtId="0" fontId="51" fillId="6" borderId="6" xfId="1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right" vertical="center" wrapText="1"/>
    </xf>
    <xf numFmtId="0" fontId="38" fillId="0" borderId="6" xfId="0" applyFont="1" applyBorder="1" applyAlignment="1">
      <alignment horizontal="right" vertical="center"/>
    </xf>
    <xf numFmtId="0" fontId="39" fillId="0" borderId="14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39" fillId="0" borderId="15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30" fillId="0" borderId="33" xfId="0" applyFont="1" applyBorder="1" applyAlignment="1">
      <alignment horizontal="right"/>
    </xf>
    <xf numFmtId="0" fontId="30" fillId="0" borderId="34" xfId="0" applyFont="1" applyBorder="1" applyAlignment="1">
      <alignment horizontal="right"/>
    </xf>
    <xf numFmtId="0" fontId="15" fillId="0" borderId="6" xfId="0" applyFont="1" applyBorder="1" applyAlignment="1">
      <alignment horizontal="right" vertical="center"/>
    </xf>
    <xf numFmtId="0" fontId="30" fillId="0" borderId="0" xfId="0" applyFont="1" applyAlignment="1">
      <alignment horizontal="right"/>
    </xf>
    <xf numFmtId="0" fontId="29" fillId="0" borderId="0" xfId="0" applyFont="1" applyAlignment="1">
      <alignment horizontal="center" vertical="center"/>
    </xf>
    <xf numFmtId="0" fontId="46" fillId="0" borderId="20" xfId="0" applyFont="1" applyBorder="1" applyAlignment="1">
      <alignment horizontal="right" vertical="center"/>
    </xf>
    <xf numFmtId="0" fontId="46" fillId="0" borderId="21" xfId="0" applyFont="1" applyBorder="1" applyAlignment="1">
      <alignment horizontal="right" vertical="center"/>
    </xf>
    <xf numFmtId="0" fontId="46" fillId="0" borderId="22" xfId="0" applyFont="1" applyBorder="1" applyAlignment="1">
      <alignment horizontal="right" vertical="center"/>
    </xf>
    <xf numFmtId="0" fontId="47" fillId="0" borderId="0" xfId="0" applyFont="1" applyAlignment="1">
      <alignment horizontal="right"/>
    </xf>
    <xf numFmtId="0" fontId="37" fillId="0" borderId="16" xfId="0" applyFont="1" applyBorder="1" applyAlignment="1">
      <alignment horizontal="right"/>
    </xf>
    <xf numFmtId="0" fontId="29" fillId="0" borderId="0" xfId="0" applyFont="1" applyAlignment="1">
      <alignment horizontal="right" vertical="center"/>
    </xf>
    <xf numFmtId="0" fontId="35" fillId="8" borderId="20" xfId="0" applyFont="1" applyFill="1" applyBorder="1" applyAlignment="1">
      <alignment horizontal="right"/>
    </xf>
    <xf numFmtId="0" fontId="35" fillId="8" borderId="21" xfId="0" applyFont="1" applyFill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0" borderId="16" xfId="0" applyFont="1" applyBorder="1" applyAlignment="1">
      <alignment horizontal="right" vertical="center"/>
    </xf>
    <xf numFmtId="0" fontId="21" fillId="0" borderId="52" xfId="0" applyFont="1" applyBorder="1" applyAlignment="1">
      <alignment horizontal="right" vertical="center"/>
    </xf>
    <xf numFmtId="0" fontId="21" fillId="10" borderId="20" xfId="0" applyFont="1" applyFill="1" applyBorder="1" applyAlignment="1">
      <alignment horizontal="right" vertical="center"/>
    </xf>
    <xf numFmtId="0" fontId="21" fillId="10" borderId="21" xfId="0" applyFont="1" applyFill="1" applyBorder="1" applyAlignment="1">
      <alignment horizontal="right" vertical="center"/>
    </xf>
    <xf numFmtId="0" fontId="21" fillId="10" borderId="22" xfId="0" applyFont="1" applyFill="1" applyBorder="1" applyAlignment="1">
      <alignment horizontal="right" vertical="center"/>
    </xf>
    <xf numFmtId="4" fontId="44" fillId="0" borderId="0" xfId="7" applyNumberFormat="1" applyFont="1" applyFill="1" applyAlignment="1">
      <alignment horizontal="center" vertical="center" wrapText="1"/>
    </xf>
  </cellXfs>
  <cellStyles count="9">
    <cellStyle name="Millares" xfId="5" builtinId="3"/>
    <cellStyle name="Millares [0]" xfId="7" builtinId="6"/>
    <cellStyle name="Millares 2" xfId="8" xr:uid="{D80A4653-5495-432D-B6D4-388423396DDE}"/>
    <cellStyle name="Normal" xfId="0" builtinId="0"/>
    <cellStyle name="Normal 2" xfId="2" xr:uid="{8517AAB7-04AD-4838-82C0-DFAB6E09A89B}"/>
    <cellStyle name="Normal 3" xfId="6" xr:uid="{E0475956-9487-4565-A5B9-7E00A3A8294F}"/>
    <cellStyle name="Normal 5" xfId="3" xr:uid="{EE00CCB8-43DF-41F9-92F6-8D0B1DE3F276}"/>
    <cellStyle name="Normal_CRITERIOS DE EVALUACION PT DE GB 2" xfId="1" xr:uid="{BA81C797-3F8D-4E13-80B5-207BDF13BEC7}"/>
    <cellStyle name="Porcentaje 2" xfId="4" xr:uid="{894362EE-E967-4C21-B852-4D660EDD7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154780</xdr:colOff>
      <xdr:row>1</xdr:row>
      <xdr:rowOff>47626</xdr:rowOff>
    </xdr:from>
    <xdr:to>
      <xdr:col>1</xdr:col>
      <xdr:colOff>1049143</xdr:colOff>
      <xdr:row>3</xdr:row>
      <xdr:rowOff>20003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5EC5C42-F178-4102-B54D-2F3328A3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0" y="250032"/>
          <a:ext cx="2134994" cy="964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7AF7-C820-468A-94B9-D6729D12F826}">
  <dimension ref="A1:I64"/>
  <sheetViews>
    <sheetView zoomScale="85" zoomScaleNormal="85" workbookViewId="0">
      <selection activeCell="D20" sqref="D20"/>
    </sheetView>
  </sheetViews>
  <sheetFormatPr baseColWidth="10" defaultRowHeight="14.4" x14ac:dyDescent="0.3"/>
  <cols>
    <col min="3" max="3" width="56.33203125" customWidth="1"/>
    <col min="4" max="4" width="34.33203125" bestFit="1" customWidth="1"/>
    <col min="8" max="8" width="35" customWidth="1"/>
    <col min="9" max="9" width="17.44140625" bestFit="1" customWidth="1"/>
  </cols>
  <sheetData>
    <row r="1" spans="1:9" ht="15.6" x14ac:dyDescent="0.3">
      <c r="A1" s="321"/>
      <c r="B1" s="322"/>
      <c r="C1" s="327" t="s">
        <v>0</v>
      </c>
      <c r="D1" s="327"/>
      <c r="E1" s="327"/>
      <c r="F1" s="327"/>
      <c r="G1" s="327"/>
      <c r="H1" s="1" t="s">
        <v>1</v>
      </c>
      <c r="I1" s="2"/>
    </row>
    <row r="2" spans="1:9" ht="18" customHeight="1" thickBot="1" x14ac:dyDescent="0.35">
      <c r="A2" s="323"/>
      <c r="B2" s="324"/>
      <c r="C2" s="328" t="s">
        <v>2</v>
      </c>
      <c r="D2" s="329"/>
      <c r="E2" s="329"/>
      <c r="F2" s="329"/>
      <c r="G2" s="330"/>
      <c r="H2" s="3" t="s">
        <v>3</v>
      </c>
      <c r="I2" s="4"/>
    </row>
    <row r="3" spans="1:9" ht="31.5" customHeight="1" thickBot="1" x14ac:dyDescent="0.35">
      <c r="A3" s="323"/>
      <c r="B3" s="324"/>
      <c r="C3" s="331" t="s">
        <v>170</v>
      </c>
      <c r="D3" s="332"/>
      <c r="E3" s="332"/>
      <c r="F3" s="332"/>
      <c r="G3" s="332"/>
      <c r="H3" s="333" t="s">
        <v>4</v>
      </c>
      <c r="I3" s="312"/>
    </row>
    <row r="4" spans="1:9" ht="18" customHeight="1" x14ac:dyDescent="0.3">
      <c r="A4" s="323"/>
      <c r="B4" s="324"/>
      <c r="C4" s="17" t="s">
        <v>5</v>
      </c>
      <c r="D4" s="315" t="s">
        <v>96</v>
      </c>
      <c r="E4" s="316"/>
      <c r="F4" s="316"/>
      <c r="G4" s="317"/>
      <c r="H4" s="334"/>
      <c r="I4" s="313"/>
    </row>
    <row r="5" spans="1:9" ht="15" thickBot="1" x14ac:dyDescent="0.35">
      <c r="A5" s="325"/>
      <c r="B5" s="326"/>
      <c r="C5" s="18" t="s">
        <v>6</v>
      </c>
      <c r="D5" s="318" t="s">
        <v>7</v>
      </c>
      <c r="E5" s="319"/>
      <c r="F5" s="319"/>
      <c r="G5" s="320"/>
      <c r="H5" s="335"/>
      <c r="I5" s="314"/>
    </row>
    <row r="6" spans="1:9" ht="18" thickBot="1" x14ac:dyDescent="0.35">
      <c r="A6" s="336" t="s">
        <v>8</v>
      </c>
      <c r="B6" s="336"/>
      <c r="C6" s="336"/>
      <c r="D6" s="337" t="s">
        <v>62</v>
      </c>
      <c r="E6" s="337"/>
      <c r="F6" s="337"/>
      <c r="G6" s="338" t="s">
        <v>9</v>
      </c>
      <c r="H6" s="338"/>
      <c r="I6" s="19" t="s">
        <v>63</v>
      </c>
    </row>
    <row r="7" spans="1:9" ht="25.2" x14ac:dyDescent="0.3">
      <c r="A7" s="339" t="s">
        <v>10</v>
      </c>
      <c r="B7" s="341" t="s">
        <v>60</v>
      </c>
      <c r="C7" s="343" t="s">
        <v>11</v>
      </c>
      <c r="D7" s="343" t="s">
        <v>12</v>
      </c>
      <c r="E7" s="343" t="s">
        <v>13</v>
      </c>
      <c r="F7" s="343"/>
      <c r="G7" s="343" t="s">
        <v>14</v>
      </c>
      <c r="H7" s="343"/>
      <c r="I7" s="5" t="s">
        <v>15</v>
      </c>
    </row>
    <row r="8" spans="1:9" ht="27" thickBot="1" x14ac:dyDescent="0.35">
      <c r="A8" s="340"/>
      <c r="B8" s="342"/>
      <c r="C8" s="344"/>
      <c r="D8" s="344"/>
      <c r="E8" s="6" t="s">
        <v>16</v>
      </c>
      <c r="F8" s="7" t="s">
        <v>17</v>
      </c>
      <c r="G8" s="6" t="s">
        <v>16</v>
      </c>
      <c r="H8" s="7" t="s">
        <v>17</v>
      </c>
      <c r="I8" s="8" t="s">
        <v>18</v>
      </c>
    </row>
    <row r="9" spans="1:9" ht="15.6" x14ac:dyDescent="0.3">
      <c r="A9" s="66"/>
      <c r="B9" s="67"/>
      <c r="C9" s="68" t="s">
        <v>64</v>
      </c>
      <c r="D9" s="69"/>
      <c r="E9" s="51"/>
      <c r="F9" s="70"/>
      <c r="G9" s="51"/>
      <c r="H9" s="70"/>
      <c r="I9" s="21"/>
    </row>
    <row r="10" spans="1:9" ht="18" customHeight="1" x14ac:dyDescent="0.3">
      <c r="A10" s="191">
        <v>907000310</v>
      </c>
      <c r="B10" s="63" t="s">
        <v>85</v>
      </c>
      <c r="C10" s="192" t="s">
        <v>86</v>
      </c>
      <c r="D10" s="36" t="s">
        <v>19</v>
      </c>
      <c r="E10" s="36">
        <v>230</v>
      </c>
      <c r="F10" s="65" t="s">
        <v>20</v>
      </c>
      <c r="G10" s="71"/>
      <c r="H10" s="72" t="s">
        <v>87</v>
      </c>
      <c r="I10" s="21"/>
    </row>
    <row r="11" spans="1:9" ht="15.6" x14ac:dyDescent="0.3">
      <c r="A11" s="191"/>
      <c r="B11" s="63"/>
      <c r="C11" s="192"/>
      <c r="D11" s="36"/>
      <c r="E11" s="36"/>
      <c r="F11" s="65"/>
      <c r="G11" s="71"/>
      <c r="H11" s="72"/>
      <c r="I11" s="21"/>
    </row>
    <row r="12" spans="1:9" ht="15.6" x14ac:dyDescent="0.3">
      <c r="A12" s="193"/>
      <c r="B12" s="194"/>
      <c r="C12" s="195" t="s">
        <v>22</v>
      </c>
      <c r="D12" s="194"/>
      <c r="E12" s="196"/>
      <c r="F12" s="73"/>
      <c r="G12" s="34"/>
      <c r="H12" s="72"/>
      <c r="I12" s="21"/>
    </row>
    <row r="13" spans="1:9" ht="15.6" x14ac:dyDescent="0.3">
      <c r="A13" s="197">
        <v>910000003</v>
      </c>
      <c r="B13" s="63" t="s">
        <v>61</v>
      </c>
      <c r="C13" s="64" t="s">
        <v>65</v>
      </c>
      <c r="D13" s="36" t="s">
        <v>19</v>
      </c>
      <c r="E13" s="36">
        <v>30</v>
      </c>
      <c r="F13" s="65" t="s">
        <v>20</v>
      </c>
      <c r="G13" s="34"/>
      <c r="H13" s="72" t="s">
        <v>66</v>
      </c>
      <c r="I13" s="21"/>
    </row>
    <row r="14" spans="1:9" ht="15.6" x14ac:dyDescent="0.3">
      <c r="A14" s="198">
        <v>11400066</v>
      </c>
      <c r="B14" s="63" t="s">
        <v>51</v>
      </c>
      <c r="C14" s="199" t="s">
        <v>23</v>
      </c>
      <c r="D14" s="36" t="s">
        <v>19</v>
      </c>
      <c r="E14" s="36">
        <v>60</v>
      </c>
      <c r="F14" s="65" t="s">
        <v>20</v>
      </c>
      <c r="G14" s="34"/>
      <c r="H14" s="72" t="s">
        <v>66</v>
      </c>
      <c r="I14" s="21"/>
    </row>
    <row r="15" spans="1:9" ht="15.6" x14ac:dyDescent="0.3">
      <c r="A15" s="198">
        <v>902000085</v>
      </c>
      <c r="B15" s="63" t="s">
        <v>52</v>
      </c>
      <c r="C15" s="199" t="s">
        <v>24</v>
      </c>
      <c r="D15" s="36" t="s">
        <v>19</v>
      </c>
      <c r="E15" s="36">
        <v>65</v>
      </c>
      <c r="F15" s="65" t="s">
        <v>20</v>
      </c>
      <c r="G15" s="34"/>
      <c r="H15" s="72" t="s">
        <v>66</v>
      </c>
      <c r="I15" s="21"/>
    </row>
    <row r="16" spans="1:9" ht="15.6" x14ac:dyDescent="0.3">
      <c r="A16" s="198">
        <v>902000162</v>
      </c>
      <c r="B16" s="36" t="s">
        <v>53</v>
      </c>
      <c r="C16" s="200" t="s">
        <v>25</v>
      </c>
      <c r="D16" s="36" t="s">
        <v>19</v>
      </c>
      <c r="E16" s="36">
        <v>80</v>
      </c>
      <c r="F16" s="65" t="s">
        <v>20</v>
      </c>
      <c r="G16" s="34"/>
      <c r="H16" s="72" t="s">
        <v>88</v>
      </c>
      <c r="I16" s="21"/>
    </row>
    <row r="17" spans="1:9" ht="15.6" x14ac:dyDescent="0.3">
      <c r="A17" s="198"/>
      <c r="B17" s="36" t="s">
        <v>91</v>
      </c>
      <c r="C17" s="199" t="s">
        <v>92</v>
      </c>
      <c r="D17" s="36" t="s">
        <v>19</v>
      </c>
      <c r="E17" s="36">
        <v>35</v>
      </c>
      <c r="F17" s="65" t="s">
        <v>20</v>
      </c>
      <c r="G17" s="34"/>
      <c r="H17" s="72" t="s">
        <v>66</v>
      </c>
      <c r="I17" s="21"/>
    </row>
    <row r="18" spans="1:9" ht="15.6" x14ac:dyDescent="0.3">
      <c r="A18" s="201"/>
      <c r="B18" s="69"/>
      <c r="C18" s="202" t="s">
        <v>26</v>
      </c>
      <c r="D18" s="69"/>
      <c r="E18" s="51"/>
      <c r="F18" s="73"/>
      <c r="G18" s="34"/>
      <c r="H18" s="72"/>
      <c r="I18" s="21"/>
    </row>
    <row r="19" spans="1:9" ht="15.6" x14ac:dyDescent="0.3">
      <c r="A19" s="197">
        <v>910000003</v>
      </c>
      <c r="B19" s="63" t="s">
        <v>61</v>
      </c>
      <c r="C19" s="64" t="s">
        <v>65</v>
      </c>
      <c r="D19" s="36" t="s">
        <v>19</v>
      </c>
      <c r="E19" s="36">
        <v>30</v>
      </c>
      <c r="F19" s="65" t="s">
        <v>20</v>
      </c>
      <c r="G19" s="34"/>
      <c r="H19" s="72" t="s">
        <v>66</v>
      </c>
      <c r="I19" s="21"/>
    </row>
    <row r="20" spans="1:9" ht="15.6" x14ac:dyDescent="0.3">
      <c r="A20" s="198">
        <v>11400066</v>
      </c>
      <c r="B20" s="36" t="s">
        <v>51</v>
      </c>
      <c r="C20" s="199" t="s">
        <v>23</v>
      </c>
      <c r="D20" s="36" t="s">
        <v>19</v>
      </c>
      <c r="E20" s="36">
        <v>60</v>
      </c>
      <c r="F20" s="65" t="s">
        <v>20</v>
      </c>
      <c r="G20" s="34"/>
      <c r="H20" s="72" t="s">
        <v>66</v>
      </c>
      <c r="I20" s="21"/>
    </row>
    <row r="21" spans="1:9" ht="15.6" x14ac:dyDescent="0.3">
      <c r="A21" s="198">
        <v>902000085</v>
      </c>
      <c r="B21" s="63" t="s">
        <v>52</v>
      </c>
      <c r="C21" s="199" t="s">
        <v>24</v>
      </c>
      <c r="D21" s="36" t="s">
        <v>19</v>
      </c>
      <c r="E21" s="36">
        <v>65</v>
      </c>
      <c r="F21" s="65" t="s">
        <v>20</v>
      </c>
      <c r="G21" s="34"/>
      <c r="H21" s="72" t="s">
        <v>66</v>
      </c>
      <c r="I21" s="21"/>
    </row>
    <row r="22" spans="1:9" ht="15.6" x14ac:dyDescent="0.3">
      <c r="A22" s="198">
        <v>902000162</v>
      </c>
      <c r="B22" s="36" t="s">
        <v>53</v>
      </c>
      <c r="C22" s="200" t="s">
        <v>25</v>
      </c>
      <c r="D22" s="36" t="s">
        <v>19</v>
      </c>
      <c r="E22" s="36">
        <v>80</v>
      </c>
      <c r="F22" s="65" t="s">
        <v>20</v>
      </c>
      <c r="G22" s="34"/>
      <c r="H22" s="72" t="s">
        <v>67</v>
      </c>
      <c r="I22" s="21"/>
    </row>
    <row r="23" spans="1:9" ht="15.6" x14ac:dyDescent="0.3">
      <c r="A23" s="198"/>
      <c r="B23" s="36" t="s">
        <v>91</v>
      </c>
      <c r="C23" s="199" t="s">
        <v>92</v>
      </c>
      <c r="D23" s="36" t="s">
        <v>19</v>
      </c>
      <c r="E23" s="36">
        <v>35</v>
      </c>
      <c r="F23" s="65" t="s">
        <v>20</v>
      </c>
      <c r="G23" s="34"/>
      <c r="H23" s="72" t="s">
        <v>66</v>
      </c>
      <c r="I23" s="21"/>
    </row>
    <row r="24" spans="1:9" ht="15.6" x14ac:dyDescent="0.3">
      <c r="A24" s="201"/>
      <c r="B24" s="69"/>
      <c r="C24" s="202" t="s">
        <v>27</v>
      </c>
      <c r="D24" s="69"/>
      <c r="E24" s="51"/>
      <c r="F24" s="73"/>
      <c r="G24" s="34"/>
      <c r="H24" s="72"/>
      <c r="I24" s="21"/>
    </row>
    <row r="25" spans="1:9" ht="15.6" x14ac:dyDescent="0.3">
      <c r="A25" s="197">
        <v>910000003</v>
      </c>
      <c r="B25" s="63" t="s">
        <v>61</v>
      </c>
      <c r="C25" s="64" t="s">
        <v>65</v>
      </c>
      <c r="D25" s="36" t="s">
        <v>19</v>
      </c>
      <c r="E25" s="36">
        <v>30</v>
      </c>
      <c r="F25" s="65" t="s">
        <v>20</v>
      </c>
      <c r="G25" s="51"/>
      <c r="H25" s="72"/>
      <c r="I25" s="21"/>
    </row>
    <row r="26" spans="1:9" ht="15.6" x14ac:dyDescent="0.3">
      <c r="A26" s="203"/>
      <c r="B26" s="45"/>
      <c r="C26" s="202" t="s">
        <v>62</v>
      </c>
      <c r="D26" s="36"/>
      <c r="E26" s="204"/>
      <c r="F26" s="74"/>
      <c r="G26" s="51"/>
      <c r="H26" s="70"/>
      <c r="I26" s="21"/>
    </row>
    <row r="27" spans="1:9" ht="15.6" x14ac:dyDescent="0.3">
      <c r="A27" s="205">
        <v>910000018</v>
      </c>
      <c r="B27" s="206" t="s">
        <v>54</v>
      </c>
      <c r="C27" s="192" t="s">
        <v>28</v>
      </c>
      <c r="D27" s="207" t="s">
        <v>19</v>
      </c>
      <c r="E27" s="208">
        <v>100</v>
      </c>
      <c r="F27" s="75" t="s">
        <v>20</v>
      </c>
      <c r="G27" s="51"/>
      <c r="H27" s="70" t="s">
        <v>89</v>
      </c>
      <c r="I27" s="21"/>
    </row>
    <row r="28" spans="1:9" ht="15.6" x14ac:dyDescent="0.3">
      <c r="A28" s="205">
        <v>906000143</v>
      </c>
      <c r="B28" s="206" t="s">
        <v>55</v>
      </c>
      <c r="C28" s="192" t="s">
        <v>29</v>
      </c>
      <c r="D28" s="207" t="s">
        <v>19</v>
      </c>
      <c r="E28" s="208">
        <v>13</v>
      </c>
      <c r="F28" s="75" t="s">
        <v>20</v>
      </c>
      <c r="G28" s="51"/>
      <c r="H28" s="70" t="s">
        <v>90</v>
      </c>
      <c r="I28" s="21"/>
    </row>
    <row r="29" spans="1:9" ht="15.6" x14ac:dyDescent="0.3">
      <c r="A29" s="205">
        <v>906000143</v>
      </c>
      <c r="B29" s="206" t="s">
        <v>55</v>
      </c>
      <c r="C29" s="192" t="s">
        <v>29</v>
      </c>
      <c r="D29" s="207" t="s">
        <v>19</v>
      </c>
      <c r="E29" s="35">
        <v>60</v>
      </c>
      <c r="F29" s="76" t="s">
        <v>20</v>
      </c>
      <c r="G29" s="51"/>
      <c r="H29" s="70" t="s">
        <v>66</v>
      </c>
      <c r="I29" s="21"/>
    </row>
    <row r="30" spans="1:9" ht="15.6" x14ac:dyDescent="0.3">
      <c r="A30" s="198"/>
      <c r="B30" s="36" t="s">
        <v>91</v>
      </c>
      <c r="C30" s="199" t="s">
        <v>92</v>
      </c>
      <c r="D30" s="36" t="s">
        <v>19</v>
      </c>
      <c r="E30" s="36">
        <v>6</v>
      </c>
      <c r="F30" s="65" t="s">
        <v>20</v>
      </c>
      <c r="G30" s="51"/>
      <c r="H30" s="70"/>
      <c r="I30" s="21"/>
    </row>
    <row r="31" spans="1:9" ht="15.6" x14ac:dyDescent="0.3">
      <c r="A31" s="63"/>
      <c r="B31" s="92" t="s">
        <v>97</v>
      </c>
      <c r="C31" s="209" t="s">
        <v>98</v>
      </c>
      <c r="D31" s="77"/>
      <c r="E31" s="210">
        <v>8</v>
      </c>
      <c r="F31" s="78" t="s">
        <v>20</v>
      </c>
      <c r="G31" s="51"/>
      <c r="H31" s="70" t="s">
        <v>99</v>
      </c>
      <c r="I31" s="21"/>
    </row>
    <row r="32" spans="1:9" ht="15.6" x14ac:dyDescent="0.3">
      <c r="A32" s="211"/>
      <c r="B32" s="212"/>
      <c r="C32" s="209"/>
      <c r="D32" s="213"/>
      <c r="E32" s="210"/>
      <c r="F32" s="78"/>
      <c r="G32" s="51"/>
      <c r="H32" s="70"/>
      <c r="I32" s="21"/>
    </row>
    <row r="33" spans="1:9" ht="15.6" x14ac:dyDescent="0.3">
      <c r="A33" s="79"/>
      <c r="B33" s="80"/>
      <c r="C33" s="29" t="s">
        <v>68</v>
      </c>
      <c r="D33" s="81"/>
      <c r="E33" s="82"/>
      <c r="F33" s="70"/>
      <c r="G33" s="51"/>
      <c r="H33" s="64"/>
      <c r="I33" s="21"/>
    </row>
    <row r="34" spans="1:9" ht="15.6" x14ac:dyDescent="0.3">
      <c r="A34" s="83" t="s">
        <v>30</v>
      </c>
      <c r="B34" s="45" t="s">
        <v>73</v>
      </c>
      <c r="C34" s="46" t="s">
        <v>74</v>
      </c>
      <c r="D34" s="47" t="s">
        <v>75</v>
      </c>
      <c r="E34" s="35">
        <v>1</v>
      </c>
      <c r="F34" s="47" t="s">
        <v>31</v>
      </c>
      <c r="G34" s="64"/>
      <c r="H34" s="56"/>
      <c r="I34" s="21"/>
    </row>
    <row r="35" spans="1:9" ht="15.6" x14ac:dyDescent="0.3">
      <c r="A35" s="84"/>
      <c r="B35" s="92" t="s">
        <v>101</v>
      </c>
      <c r="C35" s="93" t="s">
        <v>102</v>
      </c>
      <c r="D35" s="48" t="s">
        <v>76</v>
      </c>
      <c r="E35" s="57">
        <v>1</v>
      </c>
      <c r="F35" s="58" t="s">
        <v>31</v>
      </c>
      <c r="G35" s="64"/>
      <c r="H35" s="56"/>
      <c r="I35" s="21"/>
    </row>
    <row r="36" spans="1:9" ht="15.6" x14ac:dyDescent="0.3">
      <c r="A36" s="63" t="s">
        <v>32</v>
      </c>
      <c r="B36" s="47" t="s">
        <v>77</v>
      </c>
      <c r="C36" s="46" t="s">
        <v>78</v>
      </c>
      <c r="D36" s="48" t="s">
        <v>36</v>
      </c>
      <c r="E36" s="57">
        <v>1</v>
      </c>
      <c r="F36" s="58" t="s">
        <v>31</v>
      </c>
      <c r="G36" s="64"/>
      <c r="H36" s="56"/>
      <c r="I36" s="21"/>
    </row>
    <row r="37" spans="1:9" ht="15.6" x14ac:dyDescent="0.3">
      <c r="A37" s="47">
        <v>701096</v>
      </c>
      <c r="B37" s="59" t="s">
        <v>57</v>
      </c>
      <c r="C37" s="60" t="s">
        <v>34</v>
      </c>
      <c r="D37" s="34" t="s">
        <v>36</v>
      </c>
      <c r="E37" s="49">
        <v>1</v>
      </c>
      <c r="F37" s="50" t="s">
        <v>31</v>
      </c>
      <c r="G37" s="64"/>
      <c r="H37" s="51"/>
      <c r="I37" s="21"/>
    </row>
    <row r="38" spans="1:9" ht="15.6" x14ac:dyDescent="0.3">
      <c r="A38" s="85" t="s">
        <v>35</v>
      </c>
      <c r="B38" s="59" t="s">
        <v>56</v>
      </c>
      <c r="C38" s="61" t="s">
        <v>79</v>
      </c>
      <c r="D38" s="34" t="s">
        <v>36</v>
      </c>
      <c r="E38" s="34">
        <v>60</v>
      </c>
      <c r="F38" s="50" t="s">
        <v>33</v>
      </c>
      <c r="G38" s="64"/>
      <c r="H38" s="51"/>
      <c r="I38" s="21"/>
    </row>
    <row r="39" spans="1:9" ht="15.6" x14ac:dyDescent="0.3">
      <c r="A39" s="85" t="s">
        <v>37</v>
      </c>
      <c r="B39" s="59" t="s">
        <v>58</v>
      </c>
      <c r="C39" s="61" t="s">
        <v>80</v>
      </c>
      <c r="D39" s="34" t="s">
        <v>36</v>
      </c>
      <c r="E39" s="34">
        <v>1</v>
      </c>
      <c r="F39" s="50" t="s">
        <v>31</v>
      </c>
      <c r="G39" s="64"/>
      <c r="H39" s="52"/>
      <c r="I39" s="21"/>
    </row>
    <row r="40" spans="1:9" ht="15.6" x14ac:dyDescent="0.3">
      <c r="A40" s="85" t="s">
        <v>38</v>
      </c>
      <c r="B40" s="62" t="s">
        <v>81</v>
      </c>
      <c r="C40" s="53" t="s">
        <v>82</v>
      </c>
      <c r="D40" s="54" t="s">
        <v>36</v>
      </c>
      <c r="E40" s="54">
        <v>1</v>
      </c>
      <c r="F40" s="55" t="s">
        <v>31</v>
      </c>
      <c r="G40" s="64"/>
      <c r="H40" s="35"/>
      <c r="I40" s="21"/>
    </row>
    <row r="41" spans="1:9" ht="15.6" x14ac:dyDescent="0.3">
      <c r="A41" s="86"/>
      <c r="B41" s="63" t="s">
        <v>59</v>
      </c>
      <c r="C41" s="64" t="s">
        <v>83</v>
      </c>
      <c r="D41" s="87" t="s">
        <v>84</v>
      </c>
      <c r="E41" s="51">
        <v>1</v>
      </c>
      <c r="F41" s="70" t="s">
        <v>31</v>
      </c>
      <c r="G41" s="64"/>
      <c r="H41" s="35"/>
      <c r="I41" s="21"/>
    </row>
    <row r="42" spans="1:9" ht="15.6" x14ac:dyDescent="0.3">
      <c r="A42" s="83"/>
      <c r="B42" s="88"/>
      <c r="C42" s="77"/>
      <c r="D42" s="89"/>
      <c r="E42" s="90"/>
      <c r="F42" s="35"/>
      <c r="G42" s="91"/>
      <c r="H42" s="70"/>
      <c r="I42" s="21"/>
    </row>
    <row r="43" spans="1:9" ht="15.6" x14ac:dyDescent="0.3">
      <c r="A43" s="32"/>
      <c r="B43" s="32"/>
      <c r="C43" s="33"/>
      <c r="D43" s="30"/>
      <c r="E43" s="27"/>
      <c r="F43" s="22"/>
      <c r="G43" s="35"/>
      <c r="H43" s="20"/>
      <c r="I43" s="21"/>
    </row>
    <row r="44" spans="1:9" ht="15.6" x14ac:dyDescent="0.3">
      <c r="A44" s="23"/>
      <c r="B44" s="24"/>
      <c r="C44" s="31"/>
      <c r="D44" s="25"/>
      <c r="E44" s="25"/>
      <c r="F44" s="26"/>
      <c r="G44" s="36"/>
      <c r="H44" s="36"/>
      <c r="I44" s="21"/>
    </row>
    <row r="45" spans="1:9" ht="15" thickBot="1" x14ac:dyDescent="0.35">
      <c r="A45" s="37"/>
      <c r="B45" s="38"/>
      <c r="C45" s="39"/>
      <c r="D45" s="39"/>
      <c r="E45" s="40"/>
      <c r="F45" s="41"/>
      <c r="G45" s="39"/>
      <c r="H45" s="39"/>
      <c r="I45" s="9"/>
    </row>
    <row r="46" spans="1:9" ht="15" thickBot="1" x14ac:dyDescent="0.35">
      <c r="A46" s="10"/>
      <c r="B46" s="16"/>
      <c r="C46" s="11"/>
      <c r="D46" s="12" t="s">
        <v>16</v>
      </c>
      <c r="E46" s="13" t="s">
        <v>21</v>
      </c>
      <c r="F46" s="14"/>
      <c r="G46" s="11"/>
      <c r="H46" s="11"/>
      <c r="I46" s="15"/>
    </row>
    <row r="47" spans="1:9" x14ac:dyDescent="0.3">
      <c r="A47" s="345" t="s">
        <v>39</v>
      </c>
      <c r="B47" s="346"/>
      <c r="C47" s="347"/>
      <c r="D47" s="28">
        <v>975</v>
      </c>
      <c r="E47" s="42" t="s">
        <v>20</v>
      </c>
      <c r="F47" s="348" t="s">
        <v>69</v>
      </c>
      <c r="G47" s="348"/>
      <c r="H47" s="349"/>
      <c r="I47" s="350"/>
    </row>
    <row r="48" spans="1:9" x14ac:dyDescent="0.3">
      <c r="A48" s="351" t="s">
        <v>40</v>
      </c>
      <c r="B48" s="352"/>
      <c r="C48" s="353"/>
      <c r="D48" s="22">
        <v>5</v>
      </c>
      <c r="E48" s="22" t="s">
        <v>41</v>
      </c>
      <c r="F48" s="354" t="s">
        <v>70</v>
      </c>
      <c r="G48" s="354"/>
      <c r="H48" s="355"/>
      <c r="I48" s="356"/>
    </row>
    <row r="49" spans="1:9" x14ac:dyDescent="0.3">
      <c r="A49" s="351" t="s">
        <v>42</v>
      </c>
      <c r="B49" s="352"/>
      <c r="C49" s="353"/>
      <c r="D49" s="22">
        <v>1</v>
      </c>
      <c r="E49" s="22" t="s">
        <v>31</v>
      </c>
      <c r="F49" s="354" t="s">
        <v>71</v>
      </c>
      <c r="G49" s="354"/>
      <c r="H49" s="355"/>
      <c r="I49" s="356"/>
    </row>
    <row r="50" spans="1:9" x14ac:dyDescent="0.3">
      <c r="A50" s="351" t="s">
        <v>43</v>
      </c>
      <c r="B50" s="352"/>
      <c r="C50" s="353"/>
      <c r="D50" s="27">
        <v>981</v>
      </c>
      <c r="E50" s="22" t="s">
        <v>20</v>
      </c>
      <c r="F50" s="360" t="s">
        <v>72</v>
      </c>
      <c r="G50" s="361"/>
      <c r="H50" s="362"/>
      <c r="I50" s="363"/>
    </row>
    <row r="51" spans="1:9" ht="15" thickBot="1" x14ac:dyDescent="0.35">
      <c r="A51" s="364" t="s">
        <v>44</v>
      </c>
      <c r="B51" s="365"/>
      <c r="C51" s="366"/>
      <c r="D51" s="43">
        <f>SUM(E10:E31)-D47</f>
        <v>12</v>
      </c>
      <c r="E51" s="44" t="s">
        <v>20</v>
      </c>
      <c r="F51" s="367"/>
      <c r="G51" s="367"/>
      <c r="H51" s="355"/>
      <c r="I51" s="356"/>
    </row>
    <row r="52" spans="1:9" ht="15" thickBot="1" x14ac:dyDescent="0.35">
      <c r="A52" s="368" t="s">
        <v>45</v>
      </c>
      <c r="B52" s="369"/>
      <c r="C52" s="369"/>
      <c r="D52" s="369"/>
      <c r="E52" s="369"/>
      <c r="F52" s="369"/>
      <c r="G52" s="369"/>
      <c r="H52" s="369"/>
      <c r="I52" s="370"/>
    </row>
    <row r="53" spans="1:9" ht="18.45" customHeight="1" x14ac:dyDescent="0.3">
      <c r="A53" s="357" t="s">
        <v>46</v>
      </c>
      <c r="B53" s="358"/>
      <c r="C53" s="358"/>
      <c r="D53" s="358"/>
      <c r="E53" s="358"/>
      <c r="F53" s="358"/>
      <c r="G53" s="358"/>
      <c r="H53" s="358"/>
      <c r="I53" s="359"/>
    </row>
    <row r="54" spans="1:9" ht="14.7" customHeight="1" x14ac:dyDescent="0.3">
      <c r="A54" s="357" t="s">
        <v>47</v>
      </c>
      <c r="B54" s="358"/>
      <c r="C54" s="358"/>
      <c r="D54" s="358"/>
      <c r="E54" s="358"/>
      <c r="F54" s="358"/>
      <c r="G54" s="358"/>
      <c r="H54" s="358"/>
      <c r="I54" s="359"/>
    </row>
    <row r="55" spans="1:9" ht="14.7" customHeight="1" x14ac:dyDescent="0.3">
      <c r="A55" s="357" t="s">
        <v>93</v>
      </c>
      <c r="B55" s="358"/>
      <c r="C55" s="358"/>
      <c r="D55" s="358"/>
      <c r="E55" s="358"/>
      <c r="F55" s="358"/>
      <c r="G55" s="358"/>
      <c r="H55" s="358"/>
      <c r="I55" s="359"/>
    </row>
    <row r="56" spans="1:9" ht="14.7" customHeight="1" x14ac:dyDescent="0.3">
      <c r="A56" s="357" t="s">
        <v>94</v>
      </c>
      <c r="B56" s="358"/>
      <c r="C56" s="358"/>
      <c r="D56" s="358"/>
      <c r="E56" s="358"/>
      <c r="F56" s="358"/>
      <c r="G56" s="358"/>
      <c r="H56" s="358"/>
      <c r="I56" s="359"/>
    </row>
    <row r="57" spans="1:9" ht="14.7" customHeight="1" x14ac:dyDescent="0.3">
      <c r="A57" s="357" t="s">
        <v>48</v>
      </c>
      <c r="B57" s="358"/>
      <c r="C57" s="358"/>
      <c r="D57" s="358"/>
      <c r="E57" s="358"/>
      <c r="F57" s="358"/>
      <c r="G57" s="358"/>
      <c r="H57" s="358"/>
      <c r="I57" s="359"/>
    </row>
    <row r="58" spans="1:9" ht="14.7" customHeight="1" x14ac:dyDescent="0.3">
      <c r="A58" s="357" t="s">
        <v>49</v>
      </c>
      <c r="B58" s="358"/>
      <c r="C58" s="358"/>
      <c r="D58" s="358"/>
      <c r="E58" s="358"/>
      <c r="F58" s="358"/>
      <c r="G58" s="358"/>
      <c r="H58" s="358"/>
      <c r="I58" s="359"/>
    </row>
    <row r="59" spans="1:9" ht="18" customHeight="1" x14ac:dyDescent="0.3">
      <c r="A59" s="357" t="s">
        <v>100</v>
      </c>
      <c r="B59" s="358"/>
      <c r="C59" s="358"/>
      <c r="D59" s="358"/>
      <c r="E59" s="358"/>
      <c r="F59" s="358"/>
      <c r="G59" s="358"/>
      <c r="H59" s="358"/>
      <c r="I59" s="359"/>
    </row>
    <row r="60" spans="1:9" x14ac:dyDescent="0.3">
      <c r="A60" s="357" t="s">
        <v>95</v>
      </c>
      <c r="B60" s="358"/>
      <c r="C60" s="358"/>
      <c r="D60" s="358"/>
      <c r="E60" s="358"/>
      <c r="F60" s="358"/>
      <c r="G60" s="358"/>
      <c r="H60" s="358"/>
      <c r="I60" s="359"/>
    </row>
    <row r="61" spans="1:9" ht="15" thickBot="1" x14ac:dyDescent="0.35">
      <c r="A61" s="371"/>
      <c r="B61" s="372"/>
      <c r="C61" s="372"/>
      <c r="D61" s="372"/>
      <c r="E61" s="372"/>
      <c r="F61" s="372"/>
      <c r="G61" s="372"/>
      <c r="H61" s="372"/>
      <c r="I61" s="373"/>
    </row>
    <row r="62" spans="1:9" x14ac:dyDescent="0.3">
      <c r="A62" s="374" t="s">
        <v>50</v>
      </c>
      <c r="B62" s="375"/>
      <c r="C62" s="375"/>
      <c r="D62" s="375"/>
      <c r="E62" s="375"/>
      <c r="F62" s="375"/>
      <c r="G62" s="375"/>
      <c r="H62" s="375"/>
      <c r="I62" s="375"/>
    </row>
    <row r="63" spans="1:9" x14ac:dyDescent="0.3">
      <c r="A63" s="376"/>
      <c r="B63" s="377"/>
      <c r="C63" s="377"/>
      <c r="D63" s="377"/>
      <c r="E63" s="377"/>
      <c r="F63" s="377"/>
      <c r="G63" s="377"/>
      <c r="H63" s="377"/>
      <c r="I63" s="377"/>
    </row>
    <row r="64" spans="1:9" x14ac:dyDescent="0.3">
      <c r="A64" s="376"/>
      <c r="B64" s="377"/>
      <c r="C64" s="377"/>
      <c r="D64" s="377"/>
      <c r="E64" s="377"/>
      <c r="F64" s="377"/>
      <c r="G64" s="377"/>
      <c r="H64" s="377"/>
      <c r="I64" s="377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FE14-15EB-4805-B807-9168AB76306F}">
  <sheetPr>
    <pageSetUpPr fitToPage="1"/>
  </sheetPr>
  <dimension ref="A1:I63"/>
  <sheetViews>
    <sheetView tabSelected="1" zoomScale="80" zoomScaleNormal="80" workbookViewId="0">
      <selection activeCell="B41" sqref="B41"/>
    </sheetView>
  </sheetViews>
  <sheetFormatPr baseColWidth="10" defaultRowHeight="14.4" x14ac:dyDescent="0.3"/>
  <cols>
    <col min="1" max="1" width="18.6640625" customWidth="1"/>
    <col min="2" max="2" width="18.5546875" bestFit="1" customWidth="1"/>
    <col min="3" max="3" width="80.33203125" bestFit="1" customWidth="1"/>
    <col min="4" max="4" width="17.33203125" customWidth="1"/>
    <col min="5" max="5" width="11.6640625" bestFit="1" customWidth="1"/>
    <col min="7" max="7" width="21.6640625" customWidth="1"/>
    <col min="8" max="8" width="20.33203125" customWidth="1"/>
    <col min="9" max="9" width="18.33203125" customWidth="1"/>
  </cols>
  <sheetData>
    <row r="1" spans="1:9" ht="15.6" x14ac:dyDescent="0.3">
      <c r="A1" s="321"/>
      <c r="B1" s="322"/>
      <c r="C1" s="327" t="s">
        <v>0</v>
      </c>
      <c r="D1" s="327"/>
      <c r="E1" s="327"/>
      <c r="F1" s="327"/>
      <c r="G1" s="327"/>
      <c r="H1" s="1" t="s">
        <v>1</v>
      </c>
      <c r="I1" s="2" t="s">
        <v>174</v>
      </c>
    </row>
    <row r="2" spans="1:9" ht="16.2" thickBot="1" x14ac:dyDescent="0.35">
      <c r="A2" s="323"/>
      <c r="B2" s="324"/>
      <c r="C2" s="328" t="s">
        <v>2</v>
      </c>
      <c r="D2" s="329"/>
      <c r="E2" s="329"/>
      <c r="F2" s="329"/>
      <c r="G2" s="330"/>
      <c r="H2" s="3" t="s">
        <v>3</v>
      </c>
      <c r="I2" s="308" t="s">
        <v>185</v>
      </c>
    </row>
    <row r="3" spans="1:9" ht="60.75" customHeight="1" thickBot="1" x14ac:dyDescent="0.35">
      <c r="A3" s="323"/>
      <c r="B3" s="324"/>
      <c r="C3" s="379" t="s">
        <v>173</v>
      </c>
      <c r="D3" s="380"/>
      <c r="E3" s="380"/>
      <c r="F3" s="380"/>
      <c r="G3" s="380"/>
      <c r="H3" s="333" t="s">
        <v>4</v>
      </c>
      <c r="I3" s="312">
        <v>45988</v>
      </c>
    </row>
    <row r="4" spans="1:9" x14ac:dyDescent="0.3">
      <c r="A4" s="323"/>
      <c r="B4" s="324"/>
      <c r="C4" s="17" t="s">
        <v>5</v>
      </c>
      <c r="D4" s="315" t="s">
        <v>96</v>
      </c>
      <c r="E4" s="316"/>
      <c r="F4" s="316"/>
      <c r="G4" s="317"/>
      <c r="H4" s="334"/>
      <c r="I4" s="313"/>
    </row>
    <row r="5" spans="1:9" ht="15" thickBot="1" x14ac:dyDescent="0.35">
      <c r="A5" s="325"/>
      <c r="B5" s="326"/>
      <c r="C5" s="18" t="s">
        <v>6</v>
      </c>
      <c r="D5" s="318" t="s">
        <v>171</v>
      </c>
      <c r="E5" s="319"/>
      <c r="F5" s="319"/>
      <c r="G5" s="320"/>
      <c r="H5" s="335"/>
      <c r="I5" s="314"/>
    </row>
    <row r="6" spans="1:9" ht="24.75" customHeight="1" thickBot="1" x14ac:dyDescent="0.35">
      <c r="A6" s="336" t="s">
        <v>8</v>
      </c>
      <c r="B6" s="336"/>
      <c r="C6" s="336"/>
      <c r="D6" s="378" t="s">
        <v>62</v>
      </c>
      <c r="E6" s="378"/>
      <c r="F6" s="378"/>
      <c r="G6" s="338" t="s">
        <v>9</v>
      </c>
      <c r="H6" s="338"/>
      <c r="I6" s="214" t="s">
        <v>63</v>
      </c>
    </row>
    <row r="7" spans="1:9" ht="28.5" customHeight="1" x14ac:dyDescent="0.3">
      <c r="A7" s="339" t="s">
        <v>10</v>
      </c>
      <c r="B7" s="341" t="s">
        <v>60</v>
      </c>
      <c r="C7" s="343" t="s">
        <v>11</v>
      </c>
      <c r="D7" s="343" t="s">
        <v>12</v>
      </c>
      <c r="E7" s="343" t="s">
        <v>13</v>
      </c>
      <c r="F7" s="343"/>
      <c r="G7" s="343" t="s">
        <v>14</v>
      </c>
      <c r="H7" s="343"/>
      <c r="I7" s="5" t="s">
        <v>15</v>
      </c>
    </row>
    <row r="8" spans="1:9" ht="33" customHeight="1" thickBot="1" x14ac:dyDescent="0.35">
      <c r="A8" s="340"/>
      <c r="B8" s="342"/>
      <c r="C8" s="344"/>
      <c r="D8" s="344"/>
      <c r="E8" s="6" t="s">
        <v>16</v>
      </c>
      <c r="F8" s="7" t="s">
        <v>17</v>
      </c>
      <c r="G8" s="6" t="s">
        <v>16</v>
      </c>
      <c r="H8" s="7" t="s">
        <v>17</v>
      </c>
      <c r="I8" s="8" t="s">
        <v>18</v>
      </c>
    </row>
    <row r="9" spans="1:9" ht="21" x14ac:dyDescent="0.4">
      <c r="A9" s="215"/>
      <c r="B9" s="216"/>
      <c r="C9" s="217" t="s">
        <v>64</v>
      </c>
      <c r="D9" s="218"/>
      <c r="E9" s="219"/>
      <c r="F9" s="220"/>
      <c r="G9" s="219"/>
      <c r="H9" s="220"/>
      <c r="I9" s="221"/>
    </row>
    <row r="10" spans="1:9" ht="20.399999999999999" x14ac:dyDescent="0.35">
      <c r="A10" s="222">
        <v>907000310</v>
      </c>
      <c r="B10" s="223" t="s">
        <v>85</v>
      </c>
      <c r="C10" s="224" t="s">
        <v>86</v>
      </c>
      <c r="D10" s="225" t="s">
        <v>19</v>
      </c>
      <c r="E10" s="225">
        <v>230</v>
      </c>
      <c r="F10" s="225" t="s">
        <v>20</v>
      </c>
      <c r="G10" s="226"/>
      <c r="H10" s="227" t="s">
        <v>87</v>
      </c>
      <c r="I10" s="221"/>
    </row>
    <row r="11" spans="1:9" ht="20.399999999999999" x14ac:dyDescent="0.35">
      <c r="A11" s="222"/>
      <c r="B11" s="223"/>
      <c r="C11" s="224"/>
      <c r="D11" s="225"/>
      <c r="E11" s="225"/>
      <c r="F11" s="225"/>
      <c r="G11" s="226"/>
      <c r="H11" s="227"/>
      <c r="I11" s="221"/>
    </row>
    <row r="12" spans="1:9" ht="21" x14ac:dyDescent="0.4">
      <c r="A12" s="228"/>
      <c r="B12" s="229"/>
      <c r="C12" s="230" t="s">
        <v>22</v>
      </c>
      <c r="D12" s="229"/>
      <c r="E12" s="231"/>
      <c r="F12" s="232"/>
      <c r="G12" s="233"/>
      <c r="H12" s="227"/>
      <c r="I12" s="221"/>
    </row>
    <row r="13" spans="1:9" ht="20.399999999999999" x14ac:dyDescent="0.35">
      <c r="A13" s="234">
        <v>910000003</v>
      </c>
      <c r="B13" s="235" t="s">
        <v>61</v>
      </c>
      <c r="C13" s="236" t="s">
        <v>65</v>
      </c>
      <c r="D13" s="225" t="s">
        <v>19</v>
      </c>
      <c r="E13" s="225">
        <v>30</v>
      </c>
      <c r="F13" s="225" t="s">
        <v>20</v>
      </c>
      <c r="G13" s="233"/>
      <c r="H13" s="227" t="s">
        <v>66</v>
      </c>
      <c r="I13" s="221"/>
    </row>
    <row r="14" spans="1:9" ht="20.399999999999999" x14ac:dyDescent="0.35">
      <c r="A14" s="237">
        <v>11400066</v>
      </c>
      <c r="B14" s="235" t="s">
        <v>51</v>
      </c>
      <c r="C14" s="238" t="s">
        <v>23</v>
      </c>
      <c r="D14" s="225" t="s">
        <v>19</v>
      </c>
      <c r="E14" s="225">
        <v>70</v>
      </c>
      <c r="F14" s="225" t="s">
        <v>20</v>
      </c>
      <c r="G14" s="233"/>
      <c r="H14" s="227" t="s">
        <v>66</v>
      </c>
      <c r="I14" s="221"/>
    </row>
    <row r="15" spans="1:9" ht="20.399999999999999" x14ac:dyDescent="0.35">
      <c r="A15" s="237">
        <v>902000085</v>
      </c>
      <c r="B15" s="235" t="s">
        <v>52</v>
      </c>
      <c r="C15" s="238" t="s">
        <v>24</v>
      </c>
      <c r="D15" s="225" t="s">
        <v>19</v>
      </c>
      <c r="E15" s="225">
        <v>75</v>
      </c>
      <c r="F15" s="225" t="s">
        <v>20</v>
      </c>
      <c r="G15" s="233"/>
      <c r="H15" s="227" t="s">
        <v>66</v>
      </c>
      <c r="I15" s="221"/>
    </row>
    <row r="16" spans="1:9" ht="20.399999999999999" x14ac:dyDescent="0.35">
      <c r="A16" s="237">
        <v>902000162</v>
      </c>
      <c r="B16" s="225" t="s">
        <v>53</v>
      </c>
      <c r="C16" s="239" t="s">
        <v>25</v>
      </c>
      <c r="D16" s="225" t="s">
        <v>19</v>
      </c>
      <c r="E16" s="225">
        <v>80</v>
      </c>
      <c r="F16" s="225" t="s">
        <v>20</v>
      </c>
      <c r="G16" s="233"/>
      <c r="H16" s="227" t="s">
        <v>88</v>
      </c>
      <c r="I16" s="221"/>
    </row>
    <row r="17" spans="1:9" ht="20.399999999999999" x14ac:dyDescent="0.35">
      <c r="A17" s="237"/>
      <c r="B17" s="225" t="s">
        <v>91</v>
      </c>
      <c r="C17" s="238" t="s">
        <v>92</v>
      </c>
      <c r="D17" s="225" t="s">
        <v>19</v>
      </c>
      <c r="E17" s="225">
        <v>30</v>
      </c>
      <c r="F17" s="225" t="s">
        <v>20</v>
      </c>
      <c r="G17" s="233"/>
      <c r="H17" s="227" t="s">
        <v>66</v>
      </c>
      <c r="I17" s="221"/>
    </row>
    <row r="18" spans="1:9" ht="21" x14ac:dyDescent="0.4">
      <c r="A18" s="240"/>
      <c r="B18" s="241"/>
      <c r="C18" s="242" t="s">
        <v>26</v>
      </c>
      <c r="D18" s="241"/>
      <c r="E18" s="243"/>
      <c r="F18" s="232"/>
      <c r="G18" s="233"/>
      <c r="H18" s="227"/>
      <c r="I18" s="221"/>
    </row>
    <row r="19" spans="1:9" ht="20.399999999999999" x14ac:dyDescent="0.35">
      <c r="A19" s="234">
        <v>910000003</v>
      </c>
      <c r="B19" s="235" t="s">
        <v>61</v>
      </c>
      <c r="C19" s="236" t="s">
        <v>65</v>
      </c>
      <c r="D19" s="225" t="s">
        <v>19</v>
      </c>
      <c r="E19" s="225">
        <v>30</v>
      </c>
      <c r="F19" s="225" t="s">
        <v>20</v>
      </c>
      <c r="G19" s="233"/>
      <c r="H19" s="227" t="s">
        <v>66</v>
      </c>
      <c r="I19" s="221"/>
    </row>
    <row r="20" spans="1:9" ht="20.399999999999999" x14ac:dyDescent="0.35">
      <c r="A20" s="237">
        <v>11400066</v>
      </c>
      <c r="B20" s="225" t="s">
        <v>51</v>
      </c>
      <c r="C20" s="238" t="s">
        <v>23</v>
      </c>
      <c r="D20" s="225" t="s">
        <v>19</v>
      </c>
      <c r="E20" s="225">
        <v>70</v>
      </c>
      <c r="F20" s="225" t="s">
        <v>20</v>
      </c>
      <c r="G20" s="233"/>
      <c r="H20" s="227" t="s">
        <v>66</v>
      </c>
      <c r="I20" s="221"/>
    </row>
    <row r="21" spans="1:9" ht="20.399999999999999" x14ac:dyDescent="0.35">
      <c r="A21" s="237">
        <v>902000085</v>
      </c>
      <c r="B21" s="235" t="s">
        <v>52</v>
      </c>
      <c r="C21" s="238" t="s">
        <v>24</v>
      </c>
      <c r="D21" s="225" t="s">
        <v>19</v>
      </c>
      <c r="E21" s="225">
        <v>75</v>
      </c>
      <c r="F21" s="225" t="s">
        <v>20</v>
      </c>
      <c r="G21" s="233"/>
      <c r="H21" s="227" t="s">
        <v>66</v>
      </c>
      <c r="I21" s="221"/>
    </row>
    <row r="22" spans="1:9" ht="20.399999999999999" x14ac:dyDescent="0.35">
      <c r="A22" s="237">
        <v>902000162</v>
      </c>
      <c r="B22" s="225" t="s">
        <v>53</v>
      </c>
      <c r="C22" s="239" t="s">
        <v>25</v>
      </c>
      <c r="D22" s="225" t="s">
        <v>19</v>
      </c>
      <c r="E22" s="225">
        <v>80</v>
      </c>
      <c r="F22" s="225" t="s">
        <v>20</v>
      </c>
      <c r="G22" s="233"/>
      <c r="H22" s="227" t="s">
        <v>88</v>
      </c>
      <c r="I22" s="221"/>
    </row>
    <row r="23" spans="1:9" ht="20.399999999999999" x14ac:dyDescent="0.35">
      <c r="A23" s="237"/>
      <c r="B23" s="225" t="s">
        <v>91</v>
      </c>
      <c r="C23" s="238" t="s">
        <v>92</v>
      </c>
      <c r="D23" s="225" t="s">
        <v>19</v>
      </c>
      <c r="E23" s="225">
        <v>30</v>
      </c>
      <c r="F23" s="225" t="s">
        <v>20</v>
      </c>
      <c r="G23" s="233"/>
      <c r="H23" s="227" t="s">
        <v>66</v>
      </c>
      <c r="I23" s="221"/>
    </row>
    <row r="24" spans="1:9" ht="21" x14ac:dyDescent="0.4">
      <c r="A24" s="240"/>
      <c r="B24" s="241"/>
      <c r="C24" s="242" t="s">
        <v>27</v>
      </c>
      <c r="D24" s="241"/>
      <c r="E24" s="243"/>
      <c r="F24" s="232"/>
      <c r="G24" s="233"/>
      <c r="H24" s="227"/>
      <c r="I24" s="221"/>
    </row>
    <row r="25" spans="1:9" ht="21" x14ac:dyDescent="0.4">
      <c r="A25" s="234">
        <v>910000003</v>
      </c>
      <c r="B25" s="235" t="s">
        <v>61</v>
      </c>
      <c r="C25" s="236" t="s">
        <v>65</v>
      </c>
      <c r="D25" s="225" t="s">
        <v>19</v>
      </c>
      <c r="E25" s="225">
        <v>30</v>
      </c>
      <c r="F25" s="225" t="s">
        <v>20</v>
      </c>
      <c r="G25" s="219"/>
      <c r="H25" s="227"/>
      <c r="I25" s="221"/>
    </row>
    <row r="26" spans="1:9" ht="21" x14ac:dyDescent="0.4">
      <c r="A26" s="244"/>
      <c r="B26" s="245"/>
      <c r="C26" s="242" t="s">
        <v>62</v>
      </c>
      <c r="D26" s="246"/>
      <c r="E26" s="247"/>
      <c r="F26" s="248"/>
      <c r="G26" s="219"/>
      <c r="H26" s="220"/>
      <c r="I26" s="221"/>
    </row>
    <row r="27" spans="1:9" ht="21" x14ac:dyDescent="0.4">
      <c r="A27" s="249">
        <v>910000018</v>
      </c>
      <c r="B27" s="250" t="s">
        <v>54</v>
      </c>
      <c r="C27" s="224" t="s">
        <v>28</v>
      </c>
      <c r="D27" s="251" t="s">
        <v>19</v>
      </c>
      <c r="E27" s="252">
        <v>100</v>
      </c>
      <c r="F27" s="253" t="s">
        <v>20</v>
      </c>
      <c r="G27" s="219"/>
      <c r="H27" s="220" t="s">
        <v>89</v>
      </c>
      <c r="I27" s="221"/>
    </row>
    <row r="28" spans="1:9" ht="21" x14ac:dyDescent="0.4">
      <c r="A28" s="249">
        <v>906000143</v>
      </c>
      <c r="B28" s="250" t="s">
        <v>55</v>
      </c>
      <c r="C28" s="224" t="s">
        <v>29</v>
      </c>
      <c r="D28" s="251" t="s">
        <v>19</v>
      </c>
      <c r="E28" s="252">
        <v>13</v>
      </c>
      <c r="F28" s="253" t="s">
        <v>20</v>
      </c>
      <c r="G28" s="219"/>
      <c r="H28" s="220" t="s">
        <v>90</v>
      </c>
      <c r="I28" s="221"/>
    </row>
    <row r="29" spans="1:9" ht="21" x14ac:dyDescent="0.4">
      <c r="A29" s="309" t="s">
        <v>179</v>
      </c>
      <c r="B29" s="310" t="s">
        <v>182</v>
      </c>
      <c r="C29" s="311" t="s">
        <v>180</v>
      </c>
      <c r="D29" s="278" t="s">
        <v>19</v>
      </c>
      <c r="E29" s="254">
        <v>80</v>
      </c>
      <c r="F29" s="255" t="s">
        <v>20</v>
      </c>
      <c r="G29" s="219"/>
      <c r="H29" s="220" t="s">
        <v>66</v>
      </c>
      <c r="I29" s="221"/>
    </row>
    <row r="30" spans="1:9" ht="21" x14ac:dyDescent="0.4">
      <c r="A30" s="300"/>
      <c r="B30" s="225" t="s">
        <v>91</v>
      </c>
      <c r="C30" s="238" t="s">
        <v>92</v>
      </c>
      <c r="D30" s="225" t="s">
        <v>19</v>
      </c>
      <c r="E30" s="225">
        <v>6</v>
      </c>
      <c r="F30" s="225" t="s">
        <v>20</v>
      </c>
      <c r="G30" s="219"/>
      <c r="H30" s="220" t="s">
        <v>172</v>
      </c>
      <c r="I30" s="221"/>
    </row>
    <row r="31" spans="1:9" ht="21" x14ac:dyDescent="0.4">
      <c r="A31" s="301"/>
      <c r="B31" s="235" t="s">
        <v>97</v>
      </c>
      <c r="C31" s="236" t="s">
        <v>98</v>
      </c>
      <c r="D31" s="256"/>
      <c r="E31" s="257">
        <v>8</v>
      </c>
      <c r="F31" s="258" t="s">
        <v>20</v>
      </c>
      <c r="G31" s="219"/>
      <c r="H31" s="220" t="s">
        <v>99</v>
      </c>
      <c r="I31" s="221"/>
    </row>
    <row r="32" spans="1:9" ht="21" x14ac:dyDescent="0.4">
      <c r="A32" s="259"/>
      <c r="B32" s="235"/>
      <c r="C32" s="236"/>
      <c r="D32" s="256"/>
      <c r="E32" s="257"/>
      <c r="F32" s="258"/>
      <c r="G32" s="219"/>
      <c r="H32" s="220"/>
      <c r="I32" s="221"/>
    </row>
    <row r="33" spans="1:9" ht="21" x14ac:dyDescent="0.4">
      <c r="A33" s="260"/>
      <c r="B33" s="299"/>
      <c r="C33" s="261" t="s">
        <v>68</v>
      </c>
      <c r="D33" s="304"/>
      <c r="E33" s="262"/>
      <c r="F33" s="220"/>
      <c r="G33" s="219"/>
      <c r="H33" s="236"/>
      <c r="I33" s="221"/>
    </row>
    <row r="34" spans="1:9" ht="21" x14ac:dyDescent="0.4">
      <c r="A34" s="302" t="s">
        <v>30</v>
      </c>
      <c r="B34" s="265" t="s">
        <v>73</v>
      </c>
      <c r="C34" s="264" t="s">
        <v>74</v>
      </c>
      <c r="D34" s="265" t="s">
        <v>75</v>
      </c>
      <c r="E34" s="266">
        <v>1</v>
      </c>
      <c r="F34" s="265" t="s">
        <v>31</v>
      </c>
      <c r="G34" s="236"/>
      <c r="H34" s="267"/>
      <c r="I34" s="221"/>
    </row>
    <row r="35" spans="1:9" ht="21" x14ac:dyDescent="0.4">
      <c r="A35" s="303"/>
      <c r="B35" s="305" t="s">
        <v>175</v>
      </c>
      <c r="C35" s="306" t="s">
        <v>176</v>
      </c>
      <c r="D35" s="268"/>
      <c r="E35" s="266">
        <v>1</v>
      </c>
      <c r="F35" s="246" t="s">
        <v>31</v>
      </c>
      <c r="G35" s="236"/>
      <c r="H35" s="267"/>
      <c r="I35" s="221"/>
    </row>
    <row r="36" spans="1:9" ht="21" x14ac:dyDescent="0.4">
      <c r="A36" s="235" t="s">
        <v>32</v>
      </c>
      <c r="B36" s="265" t="s">
        <v>77</v>
      </c>
      <c r="C36" s="264" t="s">
        <v>78</v>
      </c>
      <c r="D36" s="268" t="s">
        <v>36</v>
      </c>
      <c r="E36" s="269">
        <v>1</v>
      </c>
      <c r="F36" s="270" t="s">
        <v>31</v>
      </c>
      <c r="G36" s="236"/>
      <c r="H36" s="267"/>
      <c r="I36" s="221"/>
    </row>
    <row r="37" spans="1:9" ht="21" x14ac:dyDescent="0.4">
      <c r="A37" s="265">
        <v>701096</v>
      </c>
      <c r="B37" s="271" t="s">
        <v>57</v>
      </c>
      <c r="C37" s="272" t="s">
        <v>34</v>
      </c>
      <c r="D37" s="233" t="s">
        <v>36</v>
      </c>
      <c r="E37" s="273">
        <v>1</v>
      </c>
      <c r="F37" s="274" t="s">
        <v>31</v>
      </c>
      <c r="G37" s="236"/>
      <c r="H37" s="219"/>
      <c r="I37" s="221"/>
    </row>
    <row r="38" spans="1:9" ht="21" x14ac:dyDescent="0.4">
      <c r="A38" s="275" t="s">
        <v>35</v>
      </c>
      <c r="B38" s="271" t="s">
        <v>56</v>
      </c>
      <c r="C38" s="276" t="s">
        <v>79</v>
      </c>
      <c r="D38" s="233" t="s">
        <v>36</v>
      </c>
      <c r="E38" s="233">
        <v>60</v>
      </c>
      <c r="F38" s="274" t="s">
        <v>33</v>
      </c>
      <c r="G38" s="236"/>
      <c r="H38" s="219"/>
      <c r="I38" s="221"/>
    </row>
    <row r="39" spans="1:9" ht="20.399999999999999" x14ac:dyDescent="0.35">
      <c r="A39" s="275" t="s">
        <v>37</v>
      </c>
      <c r="B39" s="271" t="s">
        <v>58</v>
      </c>
      <c r="C39" s="276" t="s">
        <v>80</v>
      </c>
      <c r="D39" s="233" t="s">
        <v>36</v>
      </c>
      <c r="E39" s="233">
        <v>1</v>
      </c>
      <c r="F39" s="274" t="s">
        <v>31</v>
      </c>
      <c r="G39" s="236"/>
      <c r="H39" s="277"/>
      <c r="I39" s="221"/>
    </row>
    <row r="40" spans="1:9" ht="21" x14ac:dyDescent="0.4">
      <c r="A40" s="279"/>
      <c r="B40" s="235" t="s">
        <v>59</v>
      </c>
      <c r="C40" s="236" t="s">
        <v>83</v>
      </c>
      <c r="D40" s="280" t="s">
        <v>84</v>
      </c>
      <c r="E40" s="219">
        <v>1</v>
      </c>
      <c r="F40" s="220" t="s">
        <v>31</v>
      </c>
      <c r="G40" s="236"/>
      <c r="H40" s="266"/>
      <c r="I40" s="221"/>
    </row>
    <row r="41" spans="1:9" ht="21" x14ac:dyDescent="0.4">
      <c r="A41" s="263"/>
      <c r="B41" s="263" t="s">
        <v>183</v>
      </c>
      <c r="C41" s="307" t="s">
        <v>177</v>
      </c>
      <c r="D41" s="257"/>
      <c r="E41" s="219">
        <v>1</v>
      </c>
      <c r="F41" s="220" t="s">
        <v>31</v>
      </c>
      <c r="G41" s="236"/>
      <c r="H41" s="220"/>
      <c r="I41" s="221"/>
    </row>
    <row r="42" spans="1:9" ht="21" x14ac:dyDescent="0.4">
      <c r="A42" s="275"/>
      <c r="B42" s="275"/>
      <c r="C42" s="281"/>
      <c r="D42" s="233"/>
      <c r="E42" s="257"/>
      <c r="F42" s="233"/>
      <c r="G42" s="266"/>
      <c r="H42" s="220"/>
      <c r="I42" s="221"/>
    </row>
    <row r="43" spans="1:9" ht="21" thickBot="1" x14ac:dyDescent="0.4">
      <c r="A43" s="282"/>
      <c r="B43" s="283"/>
      <c r="C43" s="284"/>
      <c r="D43" s="284"/>
      <c r="E43" s="285"/>
      <c r="F43" s="286"/>
      <c r="G43" s="284"/>
      <c r="H43" s="284"/>
      <c r="I43" s="287"/>
    </row>
    <row r="44" spans="1:9" ht="21.6" thickBot="1" x14ac:dyDescent="0.45">
      <c r="A44" s="288"/>
      <c r="B44" s="289"/>
      <c r="C44" s="290"/>
      <c r="D44" s="291" t="s">
        <v>16</v>
      </c>
      <c r="E44" s="292" t="s">
        <v>21</v>
      </c>
      <c r="F44" s="293"/>
      <c r="G44" s="290"/>
      <c r="H44" s="290"/>
      <c r="I44" s="294"/>
    </row>
    <row r="45" spans="1:9" ht="21" x14ac:dyDescent="0.4">
      <c r="A45" s="401" t="s">
        <v>39</v>
      </c>
      <c r="B45" s="402"/>
      <c r="C45" s="403"/>
      <c r="D45" s="295">
        <v>975</v>
      </c>
      <c r="E45" s="296" t="s">
        <v>20</v>
      </c>
      <c r="F45" s="404" t="s">
        <v>69</v>
      </c>
      <c r="G45" s="404"/>
      <c r="H45" s="405"/>
      <c r="I45" s="406"/>
    </row>
    <row r="46" spans="1:9" ht="21" x14ac:dyDescent="0.4">
      <c r="A46" s="384" t="s">
        <v>40</v>
      </c>
      <c r="B46" s="385"/>
      <c r="C46" s="386"/>
      <c r="D46" s="233">
        <v>5</v>
      </c>
      <c r="E46" s="233" t="s">
        <v>41</v>
      </c>
      <c r="F46" s="381" t="s">
        <v>70</v>
      </c>
      <c r="G46" s="381"/>
      <c r="H46" s="382"/>
      <c r="I46" s="383"/>
    </row>
    <row r="47" spans="1:9" ht="21" x14ac:dyDescent="0.4">
      <c r="A47" s="384" t="s">
        <v>42</v>
      </c>
      <c r="B47" s="385"/>
      <c r="C47" s="386"/>
      <c r="D47" s="233">
        <v>1</v>
      </c>
      <c r="E47" s="233" t="s">
        <v>31</v>
      </c>
      <c r="F47" s="381" t="s">
        <v>71</v>
      </c>
      <c r="G47" s="381"/>
      <c r="H47" s="382"/>
      <c r="I47" s="383"/>
    </row>
    <row r="48" spans="1:9" ht="21" x14ac:dyDescent="0.4">
      <c r="A48" s="384" t="s">
        <v>43</v>
      </c>
      <c r="B48" s="385"/>
      <c r="C48" s="386"/>
      <c r="D48" s="257">
        <v>975</v>
      </c>
      <c r="E48" s="233" t="s">
        <v>20</v>
      </c>
      <c r="F48" s="387" t="s">
        <v>72</v>
      </c>
      <c r="G48" s="388"/>
      <c r="H48" s="389"/>
      <c r="I48" s="390"/>
    </row>
    <row r="49" spans="1:9" ht="21.6" thickBot="1" x14ac:dyDescent="0.45">
      <c r="A49" s="397" t="s">
        <v>44</v>
      </c>
      <c r="B49" s="398"/>
      <c r="C49" s="399"/>
      <c r="D49" s="297">
        <f>SUM(E10:E31)-D45</f>
        <v>62</v>
      </c>
      <c r="E49" s="298" t="s">
        <v>20</v>
      </c>
      <c r="F49" s="400"/>
      <c r="G49" s="400"/>
      <c r="H49" s="382"/>
      <c r="I49" s="383"/>
    </row>
    <row r="50" spans="1:9" ht="21.6" thickBot="1" x14ac:dyDescent="0.45">
      <c r="A50" s="394" t="s">
        <v>45</v>
      </c>
      <c r="B50" s="395"/>
      <c r="C50" s="395"/>
      <c r="D50" s="395"/>
      <c r="E50" s="395"/>
      <c r="F50" s="395"/>
      <c r="G50" s="395"/>
      <c r="H50" s="395"/>
      <c r="I50" s="396"/>
    </row>
    <row r="51" spans="1:9" ht="21" x14ac:dyDescent="0.4">
      <c r="A51" s="391" t="s">
        <v>46</v>
      </c>
      <c r="B51" s="392"/>
      <c r="C51" s="392"/>
      <c r="D51" s="392"/>
      <c r="E51" s="392"/>
      <c r="F51" s="392"/>
      <c r="G51" s="392"/>
      <c r="H51" s="392"/>
      <c r="I51" s="393"/>
    </row>
    <row r="52" spans="1:9" ht="21" x14ac:dyDescent="0.4">
      <c r="A52" s="391" t="s">
        <v>47</v>
      </c>
      <c r="B52" s="392"/>
      <c r="C52" s="392"/>
      <c r="D52" s="392"/>
      <c r="E52" s="392"/>
      <c r="F52" s="392"/>
      <c r="G52" s="392"/>
      <c r="H52" s="392"/>
      <c r="I52" s="393"/>
    </row>
    <row r="53" spans="1:9" ht="48.75" customHeight="1" x14ac:dyDescent="0.4">
      <c r="A53" s="391" t="s">
        <v>93</v>
      </c>
      <c r="B53" s="392"/>
      <c r="C53" s="392"/>
      <c r="D53" s="392"/>
      <c r="E53" s="392"/>
      <c r="F53" s="392"/>
      <c r="G53" s="392"/>
      <c r="H53" s="392"/>
      <c r="I53" s="393"/>
    </row>
    <row r="54" spans="1:9" ht="45" customHeight="1" x14ac:dyDescent="0.4">
      <c r="A54" s="391" t="s">
        <v>94</v>
      </c>
      <c r="B54" s="392"/>
      <c r="C54" s="392"/>
      <c r="D54" s="392"/>
      <c r="E54" s="392"/>
      <c r="F54" s="392"/>
      <c r="G54" s="392"/>
      <c r="H54" s="392"/>
      <c r="I54" s="393"/>
    </row>
    <row r="55" spans="1:9" ht="21" x14ac:dyDescent="0.4">
      <c r="A55" s="391" t="s">
        <v>48</v>
      </c>
      <c r="B55" s="392"/>
      <c r="C55" s="392"/>
      <c r="D55" s="392"/>
      <c r="E55" s="392"/>
      <c r="F55" s="392"/>
      <c r="G55" s="392"/>
      <c r="H55" s="392"/>
      <c r="I55" s="393"/>
    </row>
    <row r="56" spans="1:9" ht="21" x14ac:dyDescent="0.4">
      <c r="A56" s="391" t="s">
        <v>49</v>
      </c>
      <c r="B56" s="392"/>
      <c r="C56" s="392"/>
      <c r="D56" s="392"/>
      <c r="E56" s="392"/>
      <c r="F56" s="392"/>
      <c r="G56" s="392"/>
      <c r="H56" s="392"/>
      <c r="I56" s="393"/>
    </row>
    <row r="57" spans="1:9" ht="21" x14ac:dyDescent="0.4">
      <c r="A57" s="391" t="s">
        <v>100</v>
      </c>
      <c r="B57" s="392"/>
      <c r="C57" s="392"/>
      <c r="D57" s="392"/>
      <c r="E57" s="392"/>
      <c r="F57" s="392"/>
      <c r="G57" s="392"/>
      <c r="H57" s="392"/>
      <c r="I57" s="393"/>
    </row>
    <row r="58" spans="1:9" ht="21" x14ac:dyDescent="0.4">
      <c r="A58" s="391" t="s">
        <v>95</v>
      </c>
      <c r="B58" s="392"/>
      <c r="C58" s="392"/>
      <c r="D58" s="392"/>
      <c r="E58" s="392"/>
      <c r="F58" s="392"/>
      <c r="G58" s="392"/>
      <c r="H58" s="392"/>
      <c r="I58" s="393"/>
    </row>
    <row r="59" spans="1:9" ht="21" x14ac:dyDescent="0.4">
      <c r="A59" s="409"/>
      <c r="B59" s="410"/>
      <c r="C59" s="410"/>
      <c r="D59" s="410"/>
      <c r="E59" s="410"/>
      <c r="F59" s="410"/>
      <c r="G59" s="410"/>
      <c r="H59" s="410"/>
      <c r="I59" s="411"/>
    </row>
    <row r="60" spans="1:9" ht="21" x14ac:dyDescent="0.4">
      <c r="A60" s="412" t="s">
        <v>50</v>
      </c>
      <c r="B60" s="412"/>
      <c r="C60" s="412"/>
      <c r="D60" s="412"/>
      <c r="E60" s="412"/>
      <c r="F60" s="412"/>
      <c r="G60" s="412"/>
      <c r="H60" s="412"/>
      <c r="I60" s="412"/>
    </row>
    <row r="61" spans="1:9" ht="20.399999999999999" x14ac:dyDescent="0.35">
      <c r="A61" s="408" t="s">
        <v>178</v>
      </c>
      <c r="B61" s="408"/>
      <c r="C61" s="408"/>
      <c r="D61" s="408"/>
      <c r="E61" s="408"/>
      <c r="F61" s="408"/>
      <c r="G61" s="408"/>
      <c r="H61" s="408"/>
      <c r="I61" s="408"/>
    </row>
    <row r="62" spans="1:9" ht="20.399999999999999" x14ac:dyDescent="0.35">
      <c r="A62" s="408" t="s">
        <v>181</v>
      </c>
      <c r="B62" s="408"/>
      <c r="C62" s="408"/>
      <c r="D62" s="408"/>
      <c r="E62" s="408"/>
      <c r="F62" s="408"/>
      <c r="G62" s="408"/>
      <c r="H62" s="408"/>
      <c r="I62" s="408"/>
    </row>
    <row r="63" spans="1:9" ht="20.399999999999999" x14ac:dyDescent="0.35">
      <c r="A63" s="407" t="s">
        <v>184</v>
      </c>
      <c r="B63" s="407"/>
      <c r="C63" s="407"/>
      <c r="D63" s="407"/>
      <c r="E63" s="407"/>
      <c r="F63" s="407"/>
      <c r="G63" s="407"/>
      <c r="H63" s="407"/>
      <c r="I63" s="407"/>
    </row>
  </sheetData>
  <mergeCells count="46">
    <mergeCell ref="A63:I63"/>
    <mergeCell ref="A61:I61"/>
    <mergeCell ref="A62:I62"/>
    <mergeCell ref="A53:I53"/>
    <mergeCell ref="A54:I54"/>
    <mergeCell ref="A55:I55"/>
    <mergeCell ref="A56:I56"/>
    <mergeCell ref="A57:I57"/>
    <mergeCell ref="A58:I58"/>
    <mergeCell ref="A59:I59"/>
    <mergeCell ref="A60:I60"/>
    <mergeCell ref="A45:C45"/>
    <mergeCell ref="F45:G45"/>
    <mergeCell ref="H45:I45"/>
    <mergeCell ref="A46:C46"/>
    <mergeCell ref="F46:G46"/>
    <mergeCell ref="H46:I46"/>
    <mergeCell ref="A52:I52"/>
    <mergeCell ref="A50:I50"/>
    <mergeCell ref="A51:I51"/>
    <mergeCell ref="A49:C49"/>
    <mergeCell ref="F49:G49"/>
    <mergeCell ref="H49:I49"/>
    <mergeCell ref="F47:G47"/>
    <mergeCell ref="H47:I47"/>
    <mergeCell ref="A48:C48"/>
    <mergeCell ref="A47:C47"/>
    <mergeCell ref="F48:G48"/>
    <mergeCell ref="H48:I48"/>
    <mergeCell ref="I3:I5"/>
    <mergeCell ref="D4:G4"/>
    <mergeCell ref="D5:G5"/>
    <mergeCell ref="C3:G3"/>
    <mergeCell ref="H3:H5"/>
    <mergeCell ref="A7:A8"/>
    <mergeCell ref="B7:B8"/>
    <mergeCell ref="A1:B5"/>
    <mergeCell ref="C1:G1"/>
    <mergeCell ref="C2:G2"/>
    <mergeCell ref="A6:C6"/>
    <mergeCell ref="D6:F6"/>
    <mergeCell ref="G6:H6"/>
    <mergeCell ref="E7:F7"/>
    <mergeCell ref="G7:H7"/>
    <mergeCell ref="C7:C8"/>
    <mergeCell ref="D7:D8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56A4-80F4-4345-8F79-570BF002A4A8}">
  <dimension ref="A1:Q95"/>
  <sheetViews>
    <sheetView topLeftCell="A6" workbookViewId="0">
      <selection activeCell="B20" sqref="B20"/>
    </sheetView>
  </sheetViews>
  <sheetFormatPr baseColWidth="10" defaultColWidth="8.44140625" defaultRowHeight="13.2" x14ac:dyDescent="0.3"/>
  <cols>
    <col min="1" max="1" width="10" style="99" bestFit="1" customWidth="1"/>
    <col min="2" max="2" width="44.33203125" style="99" bestFit="1" customWidth="1"/>
    <col min="3" max="3" width="10.44140625" style="99" bestFit="1" customWidth="1"/>
    <col min="4" max="4" width="10.44140625" style="99" customWidth="1"/>
    <col min="5" max="5" width="11" style="99" customWidth="1"/>
    <col min="6" max="6" width="9.5546875" style="99" bestFit="1" customWidth="1"/>
    <col min="7" max="7" width="10.6640625" style="181" customWidth="1"/>
    <col min="8" max="8" width="10.44140625" style="172" bestFit="1" customWidth="1"/>
    <col min="9" max="9" width="4.5546875" style="172" customWidth="1"/>
    <col min="10" max="10" width="1.6640625" style="98" customWidth="1"/>
    <col min="11" max="11" width="7" style="99" bestFit="1" customWidth="1"/>
    <col min="12" max="12" width="6.33203125" style="99" customWidth="1"/>
    <col min="13" max="13" width="20.44140625" style="99" customWidth="1"/>
    <col min="14" max="14" width="6.44140625" style="99" bestFit="1" customWidth="1"/>
    <col min="15" max="16" width="8.44140625" style="99"/>
    <col min="17" max="17" width="3.33203125" style="99" customWidth="1"/>
    <col min="18" max="16384" width="8.44140625" style="99"/>
  </cols>
  <sheetData>
    <row r="1" spans="1:10" ht="27.75" customHeight="1" x14ac:dyDescent="0.3">
      <c r="A1" s="94"/>
      <c r="B1" s="94"/>
      <c r="C1" s="94"/>
      <c r="D1" s="94"/>
      <c r="E1" s="95" t="s">
        <v>103</v>
      </c>
      <c r="F1" s="96" t="s">
        <v>104</v>
      </c>
      <c r="G1" s="96" t="s">
        <v>105</v>
      </c>
      <c r="H1" s="96" t="s">
        <v>106</v>
      </c>
      <c r="I1" s="97"/>
    </row>
    <row r="2" spans="1:10" ht="30.75" customHeight="1" x14ac:dyDescent="0.3">
      <c r="A2" s="94"/>
      <c r="B2" s="94"/>
      <c r="C2" s="94"/>
      <c r="D2" s="94"/>
      <c r="E2" s="100">
        <f>IFERROR(O66,"")</f>
        <v>3977.7708481527707</v>
      </c>
      <c r="F2" s="100">
        <f>IFERROR(H57,"")</f>
        <v>2288.3650000000002</v>
      </c>
      <c r="G2" s="100">
        <f>IFERROR(H58,"")</f>
        <v>479.45057692307688</v>
      </c>
      <c r="H2" s="100">
        <f>IFERROR(H60,"")</f>
        <v>582.29097427928991</v>
      </c>
      <c r="I2" s="101"/>
    </row>
    <row r="3" spans="1:10" ht="15" customHeight="1" x14ac:dyDescent="0.3">
      <c r="A3" s="94"/>
      <c r="B3" s="94"/>
      <c r="C3" s="94"/>
      <c r="D3" s="94"/>
      <c r="E3" s="94"/>
      <c r="F3" s="102"/>
      <c r="G3" s="102"/>
      <c r="H3" s="102"/>
      <c r="I3" s="102"/>
    </row>
    <row r="4" spans="1:10" ht="24.75" customHeight="1" thickBot="1" x14ac:dyDescent="0.35">
      <c r="A4" s="414"/>
      <c r="B4" s="414"/>
      <c r="C4" s="414"/>
      <c r="D4" s="414"/>
      <c r="E4" s="414"/>
      <c r="F4" s="414"/>
      <c r="G4" s="414"/>
      <c r="H4" s="414"/>
      <c r="I4" s="103"/>
    </row>
    <row r="5" spans="1:10" ht="19.5" customHeight="1" thickBot="1" x14ac:dyDescent="0.35">
      <c r="A5" s="415" t="s">
        <v>107</v>
      </c>
      <c r="B5" s="416"/>
      <c r="C5" s="416"/>
      <c r="D5" s="416"/>
      <c r="E5" s="416"/>
      <c r="F5" s="416"/>
      <c r="G5" s="416"/>
      <c r="H5" s="417"/>
      <c r="I5" s="104"/>
    </row>
    <row r="6" spans="1:10" ht="18" thickBot="1" x14ac:dyDescent="0.35">
      <c r="A6" s="104"/>
      <c r="B6" s="104"/>
      <c r="C6" s="104"/>
      <c r="D6" s="104"/>
      <c r="E6" s="104"/>
      <c r="F6" s="418" t="s">
        <v>108</v>
      </c>
      <c r="G6" s="418"/>
      <c r="H6" s="105">
        <f ca="1">TODAY()</f>
        <v>46155</v>
      </c>
      <c r="I6" s="105"/>
    </row>
    <row r="7" spans="1:10" ht="27" thickBot="1" x14ac:dyDescent="0.35">
      <c r="A7" s="106" t="s">
        <v>109</v>
      </c>
      <c r="B7" s="107" t="s">
        <v>110</v>
      </c>
      <c r="C7" s="107" t="s">
        <v>109</v>
      </c>
      <c r="D7" s="108" t="s">
        <v>111</v>
      </c>
      <c r="E7" s="108" t="s">
        <v>112</v>
      </c>
      <c r="F7" s="108" t="s">
        <v>113</v>
      </c>
      <c r="G7" s="108" t="s">
        <v>114</v>
      </c>
      <c r="H7" s="109" t="s">
        <v>115</v>
      </c>
      <c r="I7" s="110"/>
    </row>
    <row r="8" spans="1:10" ht="13.8" x14ac:dyDescent="0.3">
      <c r="A8" s="111">
        <v>120</v>
      </c>
      <c r="B8" s="99" t="s">
        <v>23</v>
      </c>
      <c r="C8" s="112">
        <f>+A8</f>
        <v>120</v>
      </c>
      <c r="D8" s="113" t="s">
        <v>160</v>
      </c>
      <c r="E8" s="113">
        <v>2.56</v>
      </c>
      <c r="F8" s="113">
        <f>IFERROR(C8*E8,"")</f>
        <v>307.2</v>
      </c>
      <c r="G8" s="114">
        <f t="shared" ref="G8:G14" si="0">IFERROR(F8/$F$70,"")</f>
        <v>9.6042532527878546E-2</v>
      </c>
      <c r="H8" s="115" t="s">
        <v>159</v>
      </c>
      <c r="I8" s="115"/>
      <c r="J8" s="116"/>
    </row>
    <row r="9" spans="1:10" ht="13.8" x14ac:dyDescent="0.3">
      <c r="A9" s="111">
        <v>8</v>
      </c>
      <c r="B9" s="99" t="s">
        <v>98</v>
      </c>
      <c r="C9" s="112">
        <f t="shared" ref="C9:C14" si="1">+A9</f>
        <v>8</v>
      </c>
      <c r="D9" s="113" t="s">
        <v>160</v>
      </c>
      <c r="E9" s="113">
        <v>1.97</v>
      </c>
      <c r="F9" s="113">
        <f t="shared" ref="F9:F14" si="2">IFERROR(C9*E9,"")</f>
        <v>15.76</v>
      </c>
      <c r="G9" s="114">
        <f t="shared" si="0"/>
        <v>4.9271820072896034E-3</v>
      </c>
      <c r="H9" s="115" t="s">
        <v>97</v>
      </c>
      <c r="I9" s="115"/>
      <c r="J9" s="116"/>
    </row>
    <row r="10" spans="1:10" ht="13.8" hidden="1" x14ac:dyDescent="0.3">
      <c r="A10" s="111"/>
      <c r="B10" s="99" t="str">
        <f>IFERROR(VLOOKUP(H10,'[1]Consolidado MP Planta'!$A$2:$M$823,3,0),"")</f>
        <v/>
      </c>
      <c r="C10" s="112">
        <f t="shared" si="1"/>
        <v>0</v>
      </c>
      <c r="D10" s="113" t="str">
        <f>IFERROR(VLOOKUP(H10,'[1]Consolidado MP Planta'!$A$2:$M$823,13,0),"")</f>
        <v/>
      </c>
      <c r="E10" s="113" t="str">
        <f>IFERROR(VLOOKUP(H10,'[1]Consolidado MP Planta'!$A$2:$M$823,12,0),"")</f>
        <v/>
      </c>
      <c r="F10" s="113" t="str">
        <f t="shared" si="2"/>
        <v/>
      </c>
      <c r="G10" s="114" t="str">
        <f t="shared" si="0"/>
        <v/>
      </c>
      <c r="H10" s="115"/>
      <c r="I10" s="115"/>
      <c r="J10" s="116"/>
    </row>
    <row r="11" spans="1:10" ht="13.8" hidden="1" x14ac:dyDescent="0.3">
      <c r="A11" s="111"/>
      <c r="B11" s="99" t="str">
        <f>IFERROR(VLOOKUP(H11,'[1]Consolidado MP Planta'!$A$2:$M$823,3,0),"")</f>
        <v/>
      </c>
      <c r="C11" s="112">
        <f t="shared" si="1"/>
        <v>0</v>
      </c>
      <c r="D11" s="113" t="str">
        <f>IFERROR(VLOOKUP(H11,'[1]Consolidado MP Planta'!$A$2:$M$823,13,0),"")</f>
        <v/>
      </c>
      <c r="E11" s="113" t="str">
        <f>IFERROR(VLOOKUP(H11,'[1]Consolidado MP Planta'!$A$2:$M$823,12,0),"")</f>
        <v/>
      </c>
      <c r="F11" s="113" t="str">
        <f t="shared" si="2"/>
        <v/>
      </c>
      <c r="G11" s="114" t="str">
        <f t="shared" si="0"/>
        <v/>
      </c>
      <c r="H11" s="115"/>
      <c r="I11" s="115"/>
      <c r="J11" s="116"/>
    </row>
    <row r="12" spans="1:10" ht="13.8" hidden="1" x14ac:dyDescent="0.3">
      <c r="A12" s="111"/>
      <c r="B12" s="99" t="str">
        <f>IFERROR(VLOOKUP(H12,'[1]Consolidado MP Planta'!$A$2:$M$823,3,0),"")</f>
        <v/>
      </c>
      <c r="C12" s="112">
        <f t="shared" si="1"/>
        <v>0</v>
      </c>
      <c r="D12" s="113" t="str">
        <f>IFERROR(VLOOKUP(H12,'[1]Consolidado MP Planta'!$A$2:$M$823,13,0),"")</f>
        <v/>
      </c>
      <c r="E12" s="113" t="str">
        <f>IFERROR(VLOOKUP(H12,'[1]Consolidado MP Planta'!$A$2:$M$823,12,0),"")</f>
        <v/>
      </c>
      <c r="F12" s="113" t="str">
        <f t="shared" si="2"/>
        <v/>
      </c>
      <c r="G12" s="114" t="str">
        <f t="shared" si="0"/>
        <v/>
      </c>
      <c r="H12" s="115"/>
      <c r="I12" s="115"/>
      <c r="J12" s="116"/>
    </row>
    <row r="13" spans="1:10" ht="13.8" hidden="1" x14ac:dyDescent="0.3">
      <c r="A13" s="111"/>
      <c r="B13" s="99" t="str">
        <f>IFERROR(VLOOKUP(H13,'[1]Consolidado MP Planta'!$A$2:$M$823,3,0),"")</f>
        <v/>
      </c>
      <c r="C13" s="112">
        <f t="shared" si="1"/>
        <v>0</v>
      </c>
      <c r="D13" s="113" t="str">
        <f>IFERROR(VLOOKUP(H13,'[1]Consolidado MP Planta'!$A$2:$M$823,13,0),"")</f>
        <v/>
      </c>
      <c r="E13" s="113" t="str">
        <f>IFERROR(VLOOKUP(H13,'[1]Consolidado MP Planta'!$A$2:$M$823,12,0),"")</f>
        <v/>
      </c>
      <c r="F13" s="113" t="str">
        <f t="shared" si="2"/>
        <v/>
      </c>
      <c r="G13" s="114" t="str">
        <f t="shared" si="0"/>
        <v/>
      </c>
      <c r="H13" s="115"/>
      <c r="I13" s="115"/>
      <c r="J13" s="116"/>
    </row>
    <row r="14" spans="1:10" ht="13.8" hidden="1" x14ac:dyDescent="0.3">
      <c r="A14" s="111"/>
      <c r="B14" s="99" t="str">
        <f>IFERROR(VLOOKUP(H14,'[1]Consolidado MP Planta'!$A$2:$M$823,3,0),"")</f>
        <v/>
      </c>
      <c r="C14" s="112">
        <f t="shared" si="1"/>
        <v>0</v>
      </c>
      <c r="D14" s="113" t="str">
        <f>IFERROR(VLOOKUP(H14,'[1]Consolidado MP Planta'!$A$2:$M$823,13,0),"")</f>
        <v/>
      </c>
      <c r="E14" s="113" t="str">
        <f>IFERROR(VLOOKUP(H14,'[1]Consolidado MP Planta'!$A$2:$M$823,12,0),"")</f>
        <v/>
      </c>
      <c r="F14" s="113" t="str">
        <f t="shared" si="2"/>
        <v/>
      </c>
      <c r="G14" s="114" t="str">
        <f t="shared" si="0"/>
        <v/>
      </c>
      <c r="H14" s="115"/>
      <c r="I14" s="115"/>
      <c r="J14" s="116"/>
    </row>
    <row r="15" spans="1:10" ht="14.4" thickBot="1" x14ac:dyDescent="0.35">
      <c r="A15" s="111"/>
      <c r="B15" s="99" t="str">
        <f>IFERROR(VLOOKUP(H15,[2]Hoja2!$A$2:$G$589,2,0),"")</f>
        <v/>
      </c>
      <c r="C15" s="112"/>
      <c r="D15" s="113"/>
      <c r="E15" s="113"/>
      <c r="F15" s="113"/>
      <c r="G15" s="114"/>
      <c r="H15" s="115"/>
      <c r="I15" s="115"/>
      <c r="J15" s="116"/>
    </row>
    <row r="16" spans="1:10" ht="27" thickBot="1" x14ac:dyDescent="0.35">
      <c r="A16" s="106" t="s">
        <v>109</v>
      </c>
      <c r="B16" s="107" t="s">
        <v>116</v>
      </c>
      <c r="C16" s="107" t="s">
        <v>109</v>
      </c>
      <c r="D16" s="108" t="s">
        <v>111</v>
      </c>
      <c r="E16" s="108" t="s">
        <v>112</v>
      </c>
      <c r="F16" s="108" t="s">
        <v>113</v>
      </c>
      <c r="G16" s="108" t="s">
        <v>114</v>
      </c>
      <c r="H16" s="109" t="s">
        <v>115</v>
      </c>
      <c r="I16" s="110"/>
      <c r="J16" s="116"/>
    </row>
    <row r="17" spans="1:12" ht="13.8" x14ac:dyDescent="0.3">
      <c r="A17" s="111">
        <v>1.5</v>
      </c>
      <c r="B17" s="99" t="s">
        <v>86</v>
      </c>
      <c r="C17" s="112">
        <f>+A17</f>
        <v>1.5</v>
      </c>
      <c r="D17" s="112" t="s">
        <v>156</v>
      </c>
      <c r="E17" s="113">
        <v>338.21</v>
      </c>
      <c r="F17" s="113">
        <f>IFERROR(E17*C17,"")</f>
        <v>507.31499999999994</v>
      </c>
      <c r="G17" s="114">
        <f t="shared" ref="G17:G24" si="3">IFERROR(F17/$F$70,"")</f>
        <v>0.15860617639772365</v>
      </c>
      <c r="H17" s="115" t="s">
        <v>155</v>
      </c>
      <c r="I17" s="115"/>
      <c r="J17" s="116"/>
    </row>
    <row r="18" spans="1:12" ht="13.8" x14ac:dyDescent="0.3">
      <c r="A18" s="111">
        <v>90</v>
      </c>
      <c r="B18" s="99" t="str">
        <f>IFERROR(VLOOKUP(H18,[1]SEMIELABORADOS!$A$2:$M$6000,2,0),"")</f>
        <v>MEZCLA TRES LECHES C/AGUA (KILO)</v>
      </c>
      <c r="C18" s="112">
        <f t="shared" ref="C18:C24" si="4">+A18</f>
        <v>90</v>
      </c>
      <c r="D18" s="112" t="str">
        <f>IFERROR(VLOOKUP(H18,[1]SEMIELABORADOS!$A$2:$M$6000,6,0),"")</f>
        <v>Gramo</v>
      </c>
      <c r="E18" s="113">
        <v>1.1000000000000001</v>
      </c>
      <c r="F18" s="113">
        <f t="shared" ref="F18:F24" si="5">IFERROR(E18*C18,"")</f>
        <v>99.000000000000014</v>
      </c>
      <c r="G18" s="114">
        <f t="shared" si="3"/>
        <v>3.0951206771679618E-2</v>
      </c>
      <c r="H18" s="115" t="s">
        <v>158</v>
      </c>
      <c r="I18" s="115"/>
      <c r="J18" s="116"/>
    </row>
    <row r="19" spans="1:12" ht="13.8" x14ac:dyDescent="0.3">
      <c r="A19" s="111">
        <v>130</v>
      </c>
      <c r="B19" s="99" t="str">
        <f>IFERROR(VLOOKUP(H19,[1]SEMIELABORADOS!$A$2:$M$6000,2,0),"")</f>
        <v>RELLENO DE LIMON SPOON KILO</v>
      </c>
      <c r="C19" s="112">
        <f>+A19</f>
        <v>130</v>
      </c>
      <c r="D19" s="112" t="str">
        <f>IFERROR(VLOOKUP(H19,[1]SEMIELABORADOS!$A$2:$M$6000,6,0),"")</f>
        <v>Gramo</v>
      </c>
      <c r="E19" s="113">
        <v>1.87</v>
      </c>
      <c r="F19" s="113">
        <f>IFERROR(E19*C19,"")</f>
        <v>243.10000000000002</v>
      </c>
      <c r="G19" s="114">
        <f t="shared" si="3"/>
        <v>7.6002407739346606E-2</v>
      </c>
      <c r="H19" s="115" t="s">
        <v>161</v>
      </c>
      <c r="I19" s="115"/>
      <c r="J19" s="116"/>
    </row>
    <row r="20" spans="1:12" ht="13.8" x14ac:dyDescent="0.3">
      <c r="A20" s="111">
        <v>160</v>
      </c>
      <c r="B20" s="99" t="s">
        <v>25</v>
      </c>
      <c r="C20" s="112">
        <f>+A20</f>
        <v>160</v>
      </c>
      <c r="D20" s="112" t="s">
        <v>160</v>
      </c>
      <c r="E20" s="113">
        <v>2.64</v>
      </c>
      <c r="F20" s="113">
        <f>IFERROR(E20*C20,"")</f>
        <v>422.40000000000003</v>
      </c>
      <c r="G20" s="114">
        <f t="shared" si="3"/>
        <v>0.13205848222583302</v>
      </c>
      <c r="H20" s="115" t="s">
        <v>162</v>
      </c>
      <c r="I20" s="115"/>
      <c r="J20" s="116"/>
    </row>
    <row r="21" spans="1:12" ht="13.8" x14ac:dyDescent="0.3">
      <c r="A21" s="111">
        <v>76</v>
      </c>
      <c r="B21" s="99" t="s">
        <v>92</v>
      </c>
      <c r="C21" s="112">
        <f>+A21</f>
        <v>76</v>
      </c>
      <c r="D21" s="112" t="s">
        <v>160</v>
      </c>
      <c r="E21" s="113">
        <v>3.42</v>
      </c>
      <c r="F21" s="113">
        <f>IFERROR(E21*C21,"")</f>
        <v>259.92</v>
      </c>
      <c r="G21" s="114">
        <f t="shared" si="3"/>
        <v>8.1260986506009755E-2</v>
      </c>
      <c r="H21" s="115" t="s">
        <v>91</v>
      </c>
      <c r="I21" s="115"/>
      <c r="J21" s="116"/>
    </row>
    <row r="22" spans="1:12" ht="13.8" x14ac:dyDescent="0.3">
      <c r="A22" s="111">
        <v>100</v>
      </c>
      <c r="B22" s="99" t="str">
        <f>IFERROR(VLOOKUP(H22,[1]SEMIELABORADOS!$A$2:$M$6000,2,0),"")</f>
        <v>CREMA BEIDGE (KILO)</v>
      </c>
      <c r="C22" s="112">
        <f t="shared" si="4"/>
        <v>100</v>
      </c>
      <c r="D22" s="112" t="str">
        <f>IFERROR(VLOOKUP(H22,[1]SEMIELABORADOS!$A$2:$M$6000,6,0),"")</f>
        <v>Gramo</v>
      </c>
      <c r="E22" s="113">
        <v>2.2999999999999998</v>
      </c>
      <c r="F22" s="113">
        <f t="shared" si="5"/>
        <v>229.99999999999997</v>
      </c>
      <c r="G22" s="114">
        <f t="shared" si="3"/>
        <v>7.1906844015013238E-2</v>
      </c>
      <c r="H22" s="115" t="s">
        <v>163</v>
      </c>
      <c r="I22" s="115"/>
      <c r="J22" s="116"/>
    </row>
    <row r="23" spans="1:12" ht="13.8" x14ac:dyDescent="0.3">
      <c r="A23" s="111">
        <v>73</v>
      </c>
      <c r="B23" s="99" t="s">
        <v>29</v>
      </c>
      <c r="C23" s="112">
        <f t="shared" si="4"/>
        <v>73</v>
      </c>
      <c r="D23" s="112" t="s">
        <v>160</v>
      </c>
      <c r="E23" s="113">
        <v>2.79</v>
      </c>
      <c r="F23" s="113">
        <f t="shared" si="5"/>
        <v>203.67000000000002</v>
      </c>
      <c r="G23" s="114">
        <f t="shared" si="3"/>
        <v>6.3675073567555432E-2</v>
      </c>
      <c r="H23" s="115" t="s">
        <v>164</v>
      </c>
      <c r="I23" s="115"/>
      <c r="J23" s="116"/>
    </row>
    <row r="24" spans="1:12" ht="13.8" x14ac:dyDescent="0.3">
      <c r="A24" s="111"/>
      <c r="B24" s="99" t="str">
        <f>IFERROR(VLOOKUP(H24,[1]SEMIELABORADOS!$A$2:$M$6000,2,0),"")</f>
        <v/>
      </c>
      <c r="C24" s="112">
        <f t="shared" si="4"/>
        <v>0</v>
      </c>
      <c r="D24" s="112" t="str">
        <f>IFERROR(VLOOKUP(H24,[1]SEMIELABORADOS!$A$2:$M$6000,6,0),"")</f>
        <v/>
      </c>
      <c r="E24" s="113" t="str">
        <f>IFERROR(VLOOKUP(H24,[1]SEMIELABORADOS!$A$2:$H$65536,8,0),"")</f>
        <v/>
      </c>
      <c r="F24" s="113" t="str">
        <f t="shared" si="5"/>
        <v/>
      </c>
      <c r="G24" s="114" t="str">
        <f t="shared" si="3"/>
        <v/>
      </c>
      <c r="H24" s="115"/>
      <c r="I24" s="115"/>
      <c r="J24" s="116"/>
    </row>
    <row r="25" spans="1:12" ht="14.4" thickBot="1" x14ac:dyDescent="0.35">
      <c r="A25" s="111"/>
      <c r="C25" s="112"/>
      <c r="D25" s="112"/>
      <c r="E25" s="113"/>
      <c r="F25" s="113"/>
      <c r="G25" s="114"/>
      <c r="H25" s="115"/>
      <c r="I25" s="115"/>
      <c r="J25" s="116"/>
    </row>
    <row r="26" spans="1:12" ht="27" thickBot="1" x14ac:dyDescent="0.35">
      <c r="A26" s="106" t="s">
        <v>109</v>
      </c>
      <c r="B26" s="107" t="s">
        <v>117</v>
      </c>
      <c r="C26" s="107" t="s">
        <v>109</v>
      </c>
      <c r="D26" s="108" t="s">
        <v>111</v>
      </c>
      <c r="E26" s="108" t="s">
        <v>112</v>
      </c>
      <c r="F26" s="108" t="s">
        <v>113</v>
      </c>
      <c r="G26" s="108" t="s">
        <v>114</v>
      </c>
      <c r="H26" s="109" t="s">
        <v>115</v>
      </c>
      <c r="I26" s="110"/>
    </row>
    <row r="27" spans="1:12" ht="13.8" x14ac:dyDescent="0.3">
      <c r="A27" s="111">
        <v>1</v>
      </c>
      <c r="B27" s="117" t="str">
        <f>IFERROR(VLOOKUP(H27,'[1]Consolidado MP Planta'!$A$2:$M$823,3,0),"")</f>
        <v>ORLA CARTON  8" DORADA (UND)</v>
      </c>
      <c r="C27" s="112">
        <f t="shared" ref="C27:C32" si="6">+A27</f>
        <v>1</v>
      </c>
      <c r="D27" s="113" t="str">
        <f>IFERROR(VLOOKUP(H27,'[1]Consolidado MP Planta'!$A$2:$M$823,13,0),"")</f>
        <v>Und</v>
      </c>
      <c r="E27" s="113">
        <v>78</v>
      </c>
      <c r="F27" s="113">
        <f t="shared" ref="F27:F32" si="7">IFERROR(C27*E27,"")</f>
        <v>78</v>
      </c>
      <c r="G27" s="114">
        <f t="shared" ref="G27:G32" si="8">IFERROR(F27/$F$68,"")</f>
        <v>1.7042735752382157</v>
      </c>
      <c r="H27" s="118" t="s">
        <v>165</v>
      </c>
      <c r="I27" s="118"/>
      <c r="J27" s="116"/>
      <c r="K27" s="413"/>
      <c r="L27" s="413"/>
    </row>
    <row r="28" spans="1:12" ht="13.8" x14ac:dyDescent="0.3">
      <c r="A28" s="111">
        <v>1</v>
      </c>
      <c r="B28" s="117" t="s">
        <v>102</v>
      </c>
      <c r="C28" s="112">
        <f t="shared" si="6"/>
        <v>1</v>
      </c>
      <c r="D28" s="113" t="s">
        <v>166</v>
      </c>
      <c r="E28" s="113">
        <v>350</v>
      </c>
      <c r="F28" s="113">
        <f t="shared" si="7"/>
        <v>350</v>
      </c>
      <c r="G28" s="114">
        <f t="shared" si="8"/>
        <v>7.6473814273509682</v>
      </c>
      <c r="H28" s="118" t="s">
        <v>101</v>
      </c>
      <c r="I28" s="118"/>
      <c r="J28" s="116"/>
      <c r="K28" s="413"/>
      <c r="L28" s="413"/>
    </row>
    <row r="29" spans="1:12" ht="13.8" x14ac:dyDescent="0.3">
      <c r="A29" s="111">
        <v>1</v>
      </c>
      <c r="B29" s="117" t="str">
        <f>IFERROR(VLOOKUP(H29,'[1]Consolidado MP Planta'!$A$2:$M$823,3,0),"")</f>
        <v>ETIQ.BLANCA 1 1/4 * 3/4 (UND)</v>
      </c>
      <c r="C29" s="112">
        <f t="shared" si="6"/>
        <v>1</v>
      </c>
      <c r="D29" s="113" t="str">
        <f>IFERROR(VLOOKUP(H29,'[1]Consolidado MP Planta'!$A$2:$M$823,13,0),"")</f>
        <v>Und</v>
      </c>
      <c r="E29" s="113">
        <v>0.57999999999999996</v>
      </c>
      <c r="F29" s="113">
        <f t="shared" si="7"/>
        <v>0.57999999999999996</v>
      </c>
      <c r="G29" s="114">
        <f t="shared" si="8"/>
        <v>1.2672803508181603E-2</v>
      </c>
      <c r="H29" s="118" t="s">
        <v>167</v>
      </c>
      <c r="I29" s="118"/>
      <c r="J29" s="116"/>
      <c r="K29" s="413"/>
      <c r="L29" s="413"/>
    </row>
    <row r="30" spans="1:12" ht="13.8" x14ac:dyDescent="0.3">
      <c r="A30" s="111">
        <v>1</v>
      </c>
      <c r="B30" s="117" t="str">
        <f>IFERROR(VLOOKUP(H30,'[1]Consolidado MP Planta'!$A$2:$M$823,3,0),"")</f>
        <v>ETIQUETA BLANCA R-153 (UND)</v>
      </c>
      <c r="C30" s="112">
        <f t="shared" si="6"/>
        <v>1</v>
      </c>
      <c r="D30" s="113" t="str">
        <f>IFERROR(VLOOKUP(H30,'[1]Consolidado MP Planta'!$A$2:$M$823,13,0),"")</f>
        <v>Und</v>
      </c>
      <c r="E30" s="113">
        <v>0.39</v>
      </c>
      <c r="F30" s="113">
        <f t="shared" si="7"/>
        <v>0.39</v>
      </c>
      <c r="G30" s="114">
        <f t="shared" si="8"/>
        <v>8.5213678761910782E-3</v>
      </c>
      <c r="H30" s="118" t="s">
        <v>168</v>
      </c>
      <c r="I30" s="118"/>
      <c r="J30" s="116"/>
      <c r="K30" s="413"/>
      <c r="L30" s="413"/>
    </row>
    <row r="31" spans="1:12" ht="13.8" x14ac:dyDescent="0.3">
      <c r="A31" s="111">
        <v>1</v>
      </c>
      <c r="B31" s="117" t="str">
        <f>IFERROR(VLOOKUP(H31,'[1]Consolidado MP Planta'!$A$2:$M$823,3,0),"")</f>
        <v>ETIQUETA BLANCA 2 5/8X1 15/16 (UND)</v>
      </c>
      <c r="C31" s="112">
        <f t="shared" si="6"/>
        <v>1</v>
      </c>
      <c r="D31" s="113" t="str">
        <f>IFERROR(VLOOKUP(H31,'[1]Consolidado MP Planta'!$A$2:$M$823,13,0),"")</f>
        <v>Und</v>
      </c>
      <c r="E31" s="113">
        <v>2.13</v>
      </c>
      <c r="F31" s="113">
        <f t="shared" si="7"/>
        <v>2.13</v>
      </c>
      <c r="G31" s="114">
        <f t="shared" si="8"/>
        <v>4.6539778400735886E-2</v>
      </c>
      <c r="H31" s="118" t="s">
        <v>35</v>
      </c>
      <c r="I31" s="118"/>
      <c r="J31" s="116"/>
      <c r="K31" s="97"/>
      <c r="L31" s="97"/>
    </row>
    <row r="32" spans="1:12" ht="13.8" x14ac:dyDescent="0.3">
      <c r="A32" s="111">
        <v>1</v>
      </c>
      <c r="B32" s="117" t="str">
        <f>IFERROR(VLOOKUP(H32,'[1]Consolidado MP Planta'!$A$2:$M$823,3,0),"")</f>
        <v>ETIQUETA IMP. SPOON MEDIANA V-273 (UND)</v>
      </c>
      <c r="C32" s="112">
        <f t="shared" si="6"/>
        <v>1</v>
      </c>
      <c r="D32" s="113" t="str">
        <f>IFERROR(VLOOKUP(H32,'[1]Consolidado MP Planta'!$A$2:$M$823,13,0),"")</f>
        <v>Und</v>
      </c>
      <c r="E32" s="113">
        <v>35.9</v>
      </c>
      <c r="F32" s="113">
        <f t="shared" si="7"/>
        <v>35.9</v>
      </c>
      <c r="G32" s="114">
        <f t="shared" si="8"/>
        <v>0.78440283783399922</v>
      </c>
      <c r="H32" s="118" t="s">
        <v>169</v>
      </c>
      <c r="I32" s="118"/>
      <c r="J32" s="116"/>
      <c r="K32" s="97"/>
      <c r="L32" s="97"/>
    </row>
    <row r="33" spans="1:12" ht="13.8" hidden="1" x14ac:dyDescent="0.3">
      <c r="A33" s="111"/>
      <c r="B33" s="117" t="str">
        <f>IFERROR(VLOOKUP(H33,'[1]Consolidado MP Planta'!$A$2:$M$823,3,0),"")</f>
        <v/>
      </c>
      <c r="C33" s="112">
        <f t="shared" ref="C33:C36" si="9">+A33</f>
        <v>0</v>
      </c>
      <c r="D33" s="113" t="str">
        <f>IFERROR(VLOOKUP(H33,'[1]Consolidado MP Planta'!$A$2:$M$823,13,0),"")</f>
        <v/>
      </c>
      <c r="E33" s="113" t="str">
        <f>IFERROR(VLOOKUP(H33,'[1]Consolidado MP Planta'!$A$2:$M$823,12,0),"")</f>
        <v/>
      </c>
      <c r="F33" s="113" t="str">
        <f t="shared" ref="F33:F36" si="10">IFERROR(C33*E33,"")</f>
        <v/>
      </c>
      <c r="G33" s="114" t="str">
        <f t="shared" ref="G33:G36" si="11">IFERROR(F33/$F$70,"")</f>
        <v/>
      </c>
      <c r="H33" s="118"/>
      <c r="I33" s="118"/>
      <c r="J33" s="116"/>
      <c r="K33" s="97"/>
      <c r="L33" s="97"/>
    </row>
    <row r="34" spans="1:12" ht="13.8" hidden="1" x14ac:dyDescent="0.3">
      <c r="A34" s="111"/>
      <c r="B34" s="117" t="str">
        <f>IFERROR(VLOOKUP(H34,'[1]Consolidado MP Planta'!$A$2:$M$823,3,0),"")</f>
        <v/>
      </c>
      <c r="C34" s="112">
        <f t="shared" si="9"/>
        <v>0</v>
      </c>
      <c r="D34" s="113" t="str">
        <f>IFERROR(VLOOKUP(H34,'[1]Consolidado MP Planta'!$A$2:$M$823,13,0),"")</f>
        <v/>
      </c>
      <c r="E34" s="113" t="str">
        <f>IFERROR(VLOOKUP(H34,'[1]Consolidado MP Planta'!$A$2:$M$823,12,0),"")</f>
        <v/>
      </c>
      <c r="F34" s="113" t="str">
        <f t="shared" si="10"/>
        <v/>
      </c>
      <c r="G34" s="114" t="str">
        <f t="shared" si="11"/>
        <v/>
      </c>
      <c r="H34" s="118"/>
      <c r="I34" s="118"/>
      <c r="J34" s="116"/>
      <c r="K34" s="97"/>
      <c r="L34" s="97"/>
    </row>
    <row r="35" spans="1:12" ht="13.8" hidden="1" x14ac:dyDescent="0.3">
      <c r="A35" s="111"/>
      <c r="B35" s="117" t="str">
        <f>IFERROR(VLOOKUP(H35,'[1]Consolidado MP Planta'!$A$2:$M$823,3,0),"")</f>
        <v/>
      </c>
      <c r="C35" s="112">
        <f t="shared" si="9"/>
        <v>0</v>
      </c>
      <c r="D35" s="113" t="str">
        <f>IFERROR(VLOOKUP(H35,'[1]Consolidado MP Planta'!$A$2:$M$823,13,0),"")</f>
        <v/>
      </c>
      <c r="E35" s="113" t="str">
        <f>IFERROR(VLOOKUP(H35,'[1]Consolidado MP Planta'!$A$2:$M$823,12,0),"")</f>
        <v/>
      </c>
      <c r="F35" s="113" t="str">
        <f t="shared" si="10"/>
        <v/>
      </c>
      <c r="G35" s="114" t="str">
        <f t="shared" si="11"/>
        <v/>
      </c>
      <c r="H35" s="118"/>
      <c r="I35" s="118"/>
      <c r="J35" s="116"/>
      <c r="K35" s="119"/>
      <c r="L35" s="120"/>
    </row>
    <row r="36" spans="1:12" ht="13.8" hidden="1" x14ac:dyDescent="0.3">
      <c r="A36" s="111"/>
      <c r="B36" s="117" t="str">
        <f>IFERROR(VLOOKUP(H36,'[1]Consolidado MP Planta'!$A$2:$M$823,3,0),"")</f>
        <v/>
      </c>
      <c r="C36" s="112">
        <f t="shared" si="9"/>
        <v>0</v>
      </c>
      <c r="D36" s="113" t="str">
        <f>IFERROR(VLOOKUP(H36,'[1]Consolidado MP Planta'!$A$2:$M$823,13,0),"")</f>
        <v/>
      </c>
      <c r="E36" s="113" t="str">
        <f>IFERROR(VLOOKUP(H36,'[1]Consolidado MP Planta'!$A$2:$M$823,12,0),"")</f>
        <v/>
      </c>
      <c r="F36" s="113" t="str">
        <f t="shared" si="10"/>
        <v/>
      </c>
      <c r="G36" s="114" t="str">
        <f t="shared" si="11"/>
        <v/>
      </c>
      <c r="H36" s="118"/>
      <c r="I36" s="118"/>
      <c r="J36" s="116"/>
    </row>
    <row r="37" spans="1:12" ht="14.4" thickBot="1" x14ac:dyDescent="0.35">
      <c r="A37" s="111"/>
      <c r="B37" s="117"/>
      <c r="C37" s="112"/>
      <c r="D37" s="113"/>
      <c r="E37" s="113"/>
      <c r="F37" s="113"/>
      <c r="G37" s="114"/>
      <c r="H37" s="118"/>
      <c r="I37" s="118"/>
      <c r="J37" s="116"/>
    </row>
    <row r="38" spans="1:12" ht="27" thickBot="1" x14ac:dyDescent="0.3">
      <c r="A38" s="106" t="s">
        <v>109</v>
      </c>
      <c r="B38" s="107" t="s">
        <v>118</v>
      </c>
      <c r="C38" s="107" t="s">
        <v>109</v>
      </c>
      <c r="D38" s="108" t="s">
        <v>111</v>
      </c>
      <c r="E38" s="108" t="s">
        <v>112</v>
      </c>
      <c r="F38" s="108" t="s">
        <v>113</v>
      </c>
      <c r="G38" s="108" t="s">
        <v>114</v>
      </c>
      <c r="H38" s="109" t="s">
        <v>115</v>
      </c>
      <c r="I38" s="118"/>
      <c r="J38" s="116"/>
    </row>
    <row r="39" spans="1:12" ht="13.8" x14ac:dyDescent="0.3">
      <c r="A39" s="111">
        <f t="shared" ref="A39:A45" si="12">+A17</f>
        <v>1.5</v>
      </c>
      <c r="B39" s="117" t="s">
        <v>86</v>
      </c>
      <c r="C39" s="112">
        <f>+A39</f>
        <v>1.5</v>
      </c>
      <c r="D39" s="113" t="s">
        <v>157</v>
      </c>
      <c r="E39" s="113">
        <v>3.65</v>
      </c>
      <c r="F39" s="113">
        <f>IFERROR(E39*C39,"")</f>
        <v>5.4749999999999996</v>
      </c>
      <c r="G39" s="114">
        <f t="shared" ref="G39:G45" si="13">IFERROR(F39/$F$70,"")</f>
        <v>1.7116955260095543E-3</v>
      </c>
      <c r="H39" s="118" t="s">
        <v>155</v>
      </c>
      <c r="I39" s="118"/>
      <c r="J39" s="116"/>
    </row>
    <row r="40" spans="1:12" ht="13.8" x14ac:dyDescent="0.3">
      <c r="A40" s="111">
        <f t="shared" si="12"/>
        <v>90</v>
      </c>
      <c r="B40" s="117" t="str">
        <f>IFERROR(VLOOKUP(H40,[1]SEMIELABORADOS!$A$2:$M$6000,2,0),"")</f>
        <v>MEZCLA TRES LECHES C/AGUA (KILO)</v>
      </c>
      <c r="C40" s="112">
        <f t="shared" ref="C40:C45" si="14">+A40</f>
        <v>90</v>
      </c>
      <c r="D40" s="113" t="str">
        <f>IFERROR(VLOOKUP(H40,[1]SEMIELABORADOS!$A$2:$M$6000,6,0),"")</f>
        <v>Gramo</v>
      </c>
      <c r="E40" s="113">
        <v>0.01</v>
      </c>
      <c r="F40" s="113">
        <f t="shared" ref="F40:F45" si="15">IFERROR(E40*C40,"")</f>
        <v>0.9</v>
      </c>
      <c r="G40" s="114">
        <f t="shared" si="13"/>
        <v>2.8137460701526919E-4</v>
      </c>
      <c r="H40" s="118" t="s">
        <v>158</v>
      </c>
      <c r="I40" s="118"/>
      <c r="J40" s="116"/>
    </row>
    <row r="41" spans="1:12" ht="13.8" x14ac:dyDescent="0.3">
      <c r="A41" s="111">
        <f t="shared" si="12"/>
        <v>130</v>
      </c>
      <c r="B41" s="117" t="str">
        <f>IFERROR(VLOOKUP(H41,[1]SEMIELABORADOS!$A$2:$M$6000,2,0),"")</f>
        <v>RELLENO DE LIMON SPOON KILO</v>
      </c>
      <c r="C41" s="112">
        <f t="shared" si="14"/>
        <v>130</v>
      </c>
      <c r="D41" s="113" t="str">
        <f>IFERROR(VLOOKUP(H41,[1]SEMIELABORADOS!$A$2:$M$6000,6,0),"")</f>
        <v>Gramo</v>
      </c>
      <c r="E41" s="113">
        <v>0</v>
      </c>
      <c r="F41" s="113">
        <f t="shared" si="15"/>
        <v>0</v>
      </c>
      <c r="G41" s="114">
        <f t="shared" si="13"/>
        <v>0</v>
      </c>
      <c r="H41" s="118" t="s">
        <v>161</v>
      </c>
      <c r="I41" s="118"/>
      <c r="J41" s="116"/>
    </row>
    <row r="42" spans="1:12" ht="13.8" x14ac:dyDescent="0.3">
      <c r="A42" s="111">
        <f t="shared" si="12"/>
        <v>160</v>
      </c>
      <c r="B42" s="117" t="s">
        <v>25</v>
      </c>
      <c r="C42" s="112">
        <f>+A42</f>
        <v>160</v>
      </c>
      <c r="D42" s="113" t="s">
        <v>160</v>
      </c>
      <c r="E42" s="113">
        <v>0.01</v>
      </c>
      <c r="F42" s="113">
        <f>IFERROR(E42*C42,"")</f>
        <v>1.6</v>
      </c>
      <c r="G42" s="114">
        <f t="shared" si="13"/>
        <v>5.0022152358270087E-4</v>
      </c>
      <c r="H42" s="118" t="s">
        <v>162</v>
      </c>
      <c r="I42" s="118"/>
      <c r="J42" s="116"/>
    </row>
    <row r="43" spans="1:12" ht="13.8" x14ac:dyDescent="0.3">
      <c r="A43" s="111">
        <f t="shared" si="12"/>
        <v>76</v>
      </c>
      <c r="B43" s="117" t="s">
        <v>92</v>
      </c>
      <c r="C43" s="112">
        <f>+A43</f>
        <v>76</v>
      </c>
      <c r="D43" s="113" t="s">
        <v>160</v>
      </c>
      <c r="E43" s="113">
        <v>0.03</v>
      </c>
      <c r="F43" s="113">
        <f>IFERROR(E43*C43,"")</f>
        <v>2.2799999999999998</v>
      </c>
      <c r="G43" s="114">
        <f t="shared" si="13"/>
        <v>7.1281567110534859E-4</v>
      </c>
      <c r="H43" s="118" t="s">
        <v>91</v>
      </c>
      <c r="I43" s="118"/>
      <c r="J43" s="116"/>
    </row>
    <row r="44" spans="1:12" ht="13.8" x14ac:dyDescent="0.3">
      <c r="A44" s="111">
        <f t="shared" si="12"/>
        <v>100</v>
      </c>
      <c r="B44" s="117" t="str">
        <f>IFERROR(VLOOKUP(H44,[1]SEMIELABORADOS!$A$2:$M$6000,2,0),"")</f>
        <v>CREMA BEIDGE (KILO)</v>
      </c>
      <c r="C44" s="112">
        <f t="shared" si="14"/>
        <v>100</v>
      </c>
      <c r="D44" s="113" t="str">
        <f>IFERROR(VLOOKUP(H44,[1]SEMIELABORADOS!$A$2:$M$6000,6,0),"")</f>
        <v>Gramo</v>
      </c>
      <c r="E44" s="113">
        <f>IFERROR(VLOOKUP(H44,[1]SEMIELABORADOS!$A$2:$M$65536,10,0),"")</f>
        <v>5.5769230769230759E-5</v>
      </c>
      <c r="F44" s="113">
        <f t="shared" si="15"/>
        <v>5.5769230769230757E-3</v>
      </c>
      <c r="G44" s="114">
        <f t="shared" si="13"/>
        <v>1.7435605990262405E-6</v>
      </c>
      <c r="H44" s="118" t="s">
        <v>163</v>
      </c>
      <c r="I44" s="118"/>
      <c r="J44" s="116"/>
    </row>
    <row r="45" spans="1:12" ht="13.8" x14ac:dyDescent="0.3">
      <c r="A45" s="111">
        <f t="shared" si="12"/>
        <v>73</v>
      </c>
      <c r="B45" s="117" t="s">
        <v>29</v>
      </c>
      <c r="C45" s="112">
        <f t="shared" si="14"/>
        <v>73</v>
      </c>
      <c r="D45" s="113" t="s">
        <v>160</v>
      </c>
      <c r="E45" s="113">
        <v>0.03</v>
      </c>
      <c r="F45" s="113">
        <f t="shared" si="15"/>
        <v>2.19</v>
      </c>
      <c r="G45" s="114">
        <f t="shared" si="13"/>
        <v>6.8467821040382173E-4</v>
      </c>
      <c r="H45" s="118" t="s">
        <v>164</v>
      </c>
      <c r="I45" s="118"/>
      <c r="J45" s="116"/>
    </row>
    <row r="46" spans="1:12" ht="14.4" thickBot="1" x14ac:dyDescent="0.35">
      <c r="A46" s="111"/>
      <c r="B46" s="117"/>
      <c r="C46" s="112"/>
      <c r="D46" s="113"/>
      <c r="E46" s="113"/>
      <c r="F46" s="113"/>
      <c r="G46" s="114"/>
      <c r="H46" s="118"/>
      <c r="I46" s="118"/>
      <c r="J46" s="116"/>
    </row>
    <row r="47" spans="1:12" ht="27" thickBot="1" x14ac:dyDescent="0.35">
      <c r="A47" s="106" t="s">
        <v>109</v>
      </c>
      <c r="B47" s="107" t="s">
        <v>119</v>
      </c>
      <c r="C47" s="107" t="s">
        <v>109</v>
      </c>
      <c r="D47" s="108" t="s">
        <v>111</v>
      </c>
      <c r="E47" s="108" t="s">
        <v>112</v>
      </c>
      <c r="F47" s="108" t="s">
        <v>113</v>
      </c>
      <c r="G47" s="108" t="s">
        <v>114</v>
      </c>
      <c r="H47" s="109" t="s">
        <v>115</v>
      </c>
      <c r="I47" s="110"/>
      <c r="J47" s="116"/>
    </row>
    <row r="48" spans="1:12" ht="13.8" x14ac:dyDescent="0.3">
      <c r="A48" s="111">
        <f>+A39</f>
        <v>1.5</v>
      </c>
      <c r="B48" s="117" t="s">
        <v>86</v>
      </c>
      <c r="C48" s="112">
        <f>+A48</f>
        <v>1.5</v>
      </c>
      <c r="D48" s="113" t="s">
        <v>157</v>
      </c>
      <c r="E48" s="113">
        <v>15.29</v>
      </c>
      <c r="F48" s="113">
        <f>IFERROR(E48*C48,"")</f>
        <v>22.934999999999999</v>
      </c>
      <c r="G48" s="114">
        <f>IFERROR(F48/$F$70,"")</f>
        <v>7.1703629021057768E-3</v>
      </c>
      <c r="H48" s="118" t="s">
        <v>155</v>
      </c>
      <c r="I48" s="110"/>
      <c r="J48" s="116"/>
    </row>
    <row r="49" spans="1:17" ht="13.8" x14ac:dyDescent="0.3">
      <c r="A49" s="111">
        <f t="shared" ref="A49:A54" si="16">+A40</f>
        <v>90</v>
      </c>
      <c r="B49" s="117" t="str">
        <f>IFERROR(VLOOKUP(H49,[1]SEMIELABORADOS!$A$2:$M$6000,2,0),"")</f>
        <v>MEZCLA TRES LECHES C/AGUA (KILO)</v>
      </c>
      <c r="C49" s="112">
        <f t="shared" ref="C49:C54" si="17">+A49</f>
        <v>90</v>
      </c>
      <c r="D49" s="113" t="str">
        <f>IFERROR(VLOOKUP(H49,[1]SEMIELABORADOS!$A$2:$M$6000,6,0),"")</f>
        <v>Gramo</v>
      </c>
      <c r="E49" s="113">
        <v>0.13</v>
      </c>
      <c r="F49" s="113">
        <f t="shared" ref="F49:F54" si="18">IFERROR(E49*C49,"")</f>
        <v>11.700000000000001</v>
      </c>
      <c r="G49" s="114">
        <f t="shared" ref="G49:G54" si="19">IFERROR(F49/$F$70,"")</f>
        <v>3.6578698911985002E-3</v>
      </c>
      <c r="H49" s="118" t="s">
        <v>158</v>
      </c>
      <c r="I49" s="110"/>
      <c r="J49" s="116"/>
      <c r="M49" s="121"/>
    </row>
    <row r="50" spans="1:17" ht="13.8" x14ac:dyDescent="0.3">
      <c r="A50" s="111">
        <f t="shared" si="16"/>
        <v>130</v>
      </c>
      <c r="B50" s="117" t="str">
        <f>IFERROR(VLOOKUP(H50,[1]SEMIELABORADOS!$A$2:$M$6000,2,0),"")</f>
        <v>RELLENO DE LIMON SPOON KILO</v>
      </c>
      <c r="C50" s="112">
        <f t="shared" si="17"/>
        <v>130</v>
      </c>
      <c r="D50" s="113" t="str">
        <f>IFERROR(VLOOKUP(H50,[1]SEMIELABORADOS!$A$2:$M$6000,6,0),"")</f>
        <v>Gramo</v>
      </c>
      <c r="E50" s="113">
        <v>0.34</v>
      </c>
      <c r="F50" s="113">
        <f t="shared" si="18"/>
        <v>44.2</v>
      </c>
      <c r="G50" s="114">
        <f t="shared" si="19"/>
        <v>1.3818619588972111E-2</v>
      </c>
      <c r="H50" s="118" t="s">
        <v>161</v>
      </c>
      <c r="I50" s="110"/>
      <c r="J50" s="116"/>
    </row>
    <row r="51" spans="1:17" ht="13.8" x14ac:dyDescent="0.3">
      <c r="A51" s="111">
        <f t="shared" si="16"/>
        <v>160</v>
      </c>
      <c r="B51" s="117" t="s">
        <v>25</v>
      </c>
      <c r="C51" s="112">
        <f t="shared" si="17"/>
        <v>160</v>
      </c>
      <c r="D51" s="113" t="s">
        <v>160</v>
      </c>
      <c r="E51" s="113">
        <v>0.06</v>
      </c>
      <c r="F51" s="113">
        <f t="shared" si="18"/>
        <v>9.6</v>
      </c>
      <c r="G51" s="114">
        <f t="shared" si="19"/>
        <v>3.0013291414962046E-3</v>
      </c>
      <c r="H51" s="118" t="s">
        <v>162</v>
      </c>
      <c r="I51" s="110"/>
      <c r="J51" s="116"/>
    </row>
    <row r="52" spans="1:17" ht="13.8" x14ac:dyDescent="0.3">
      <c r="A52" s="111">
        <f t="shared" si="16"/>
        <v>76</v>
      </c>
      <c r="B52" s="117" t="s">
        <v>92</v>
      </c>
      <c r="C52" s="112">
        <f t="shared" si="17"/>
        <v>76</v>
      </c>
      <c r="D52" s="113" t="s">
        <v>160</v>
      </c>
      <c r="E52" s="113">
        <v>0.19</v>
      </c>
      <c r="F52" s="113">
        <f t="shared" si="18"/>
        <v>14.44</v>
      </c>
      <c r="G52" s="114">
        <f t="shared" si="19"/>
        <v>4.5144992503338751E-3</v>
      </c>
      <c r="H52" s="118" t="s">
        <v>91</v>
      </c>
      <c r="I52" s="110"/>
      <c r="J52" s="116"/>
    </row>
    <row r="53" spans="1:17" ht="13.8" x14ac:dyDescent="0.3">
      <c r="A53" s="111">
        <f t="shared" si="16"/>
        <v>100</v>
      </c>
      <c r="B53" s="117" t="str">
        <f>IFERROR(VLOOKUP(H53,[1]SEMIELABORADOS!$A$2:$M$6000,2,0),"")</f>
        <v>CREMA BEIDGE (KILO)</v>
      </c>
      <c r="C53" s="112">
        <f t="shared" si="17"/>
        <v>100</v>
      </c>
      <c r="D53" s="113" t="str">
        <f>IFERROR(VLOOKUP(H53,[1]SEMIELABORADOS!$A$2:$M$6000,6,0),"")</f>
        <v>Gramo</v>
      </c>
      <c r="E53" s="113">
        <f>IFERROR(VLOOKUP(H53,[1]SEMIELABORADOS!$A$2:$M$65536,12,0),"")</f>
        <v>0.84195974279289931</v>
      </c>
      <c r="F53" s="113">
        <f t="shared" si="18"/>
        <v>84.195974279289928</v>
      </c>
      <c r="G53" s="114">
        <f t="shared" si="19"/>
        <v>2.6322899083447687E-2</v>
      </c>
      <c r="H53" s="118" t="s">
        <v>163</v>
      </c>
      <c r="I53" s="110"/>
      <c r="J53" s="116"/>
    </row>
    <row r="54" spans="1:17" ht="13.8" x14ac:dyDescent="0.3">
      <c r="A54" s="111">
        <f t="shared" si="16"/>
        <v>73</v>
      </c>
      <c r="B54" s="117" t="s">
        <v>29</v>
      </c>
      <c r="C54" s="112">
        <f t="shared" si="17"/>
        <v>73</v>
      </c>
      <c r="D54" s="113" t="s">
        <v>160</v>
      </c>
      <c r="E54" s="113">
        <v>0.14000000000000001</v>
      </c>
      <c r="F54" s="113">
        <f t="shared" si="18"/>
        <v>10.220000000000001</v>
      </c>
      <c r="G54" s="114">
        <f t="shared" si="19"/>
        <v>3.1951649818845016E-3</v>
      </c>
      <c r="H54" s="117" t="s">
        <v>164</v>
      </c>
      <c r="I54" s="110"/>
      <c r="J54" s="116"/>
    </row>
    <row r="55" spans="1:17" ht="13.8" x14ac:dyDescent="0.3">
      <c r="A55" s="111">
        <v>1</v>
      </c>
      <c r="B55" s="117" t="s">
        <v>120</v>
      </c>
      <c r="C55" s="112">
        <f>+A55</f>
        <v>1</v>
      </c>
      <c r="D55" s="112" t="s">
        <v>121</v>
      </c>
      <c r="E55" s="113">
        <f>+F69</f>
        <v>385</v>
      </c>
      <c r="F55" s="113">
        <f>IFERROR(C55*E55,"")</f>
        <v>385</v>
      </c>
      <c r="G55" s="114">
        <f>IFERROR(F55/$F$70,"")</f>
        <v>0.12036580411208739</v>
      </c>
      <c r="H55" s="122"/>
      <c r="I55" s="122"/>
      <c r="J55" s="116"/>
    </row>
    <row r="56" spans="1:17" ht="14.4" thickBot="1" x14ac:dyDescent="0.35">
      <c r="A56" s="111"/>
      <c r="B56" s="117"/>
      <c r="C56" s="112"/>
      <c r="D56" s="112"/>
      <c r="E56" s="113"/>
      <c r="F56" s="113"/>
      <c r="G56" s="114"/>
      <c r="H56" s="122"/>
      <c r="I56" s="122"/>
      <c r="J56" s="116"/>
    </row>
    <row r="57" spans="1:17" ht="13.8" thickBot="1" x14ac:dyDescent="0.35">
      <c r="A57" s="123"/>
      <c r="B57" s="423" t="s">
        <v>122</v>
      </c>
      <c r="C57" s="423"/>
      <c r="D57" s="423"/>
      <c r="E57" s="423"/>
      <c r="F57" s="125">
        <f>SUM(F8:F14,F17:F24)</f>
        <v>2288.3650000000002</v>
      </c>
      <c r="G57" s="114">
        <f>+F57/$F$70</f>
        <v>0.71543089175832952</v>
      </c>
      <c r="H57" s="126">
        <f>+F57/$D$64</f>
        <v>2288.3650000000002</v>
      </c>
      <c r="I57" s="126"/>
      <c r="J57" s="127"/>
      <c r="K57" s="128"/>
      <c r="L57" s="128"/>
      <c r="M57" s="128"/>
      <c r="N57" s="128"/>
      <c r="O57" s="128"/>
      <c r="P57" s="128"/>
      <c r="Q57" s="129"/>
    </row>
    <row r="58" spans="1:17" x14ac:dyDescent="0.25">
      <c r="A58" s="123"/>
      <c r="B58" s="423" t="s">
        <v>123</v>
      </c>
      <c r="C58" s="423"/>
      <c r="D58" s="423"/>
      <c r="E58" s="423"/>
      <c r="F58" s="125">
        <f>SUM(F27:F36,F39:F45)</f>
        <v>479.45057692307688</v>
      </c>
      <c r="G58" s="114">
        <f>+F58/$F$70</f>
        <v>0.14989468629441652</v>
      </c>
      <c r="H58" s="126">
        <f>+F58/$D$64</f>
        <v>479.45057692307688</v>
      </c>
      <c r="I58" s="126"/>
      <c r="J58" s="130"/>
      <c r="K58" s="424" t="s">
        <v>124</v>
      </c>
      <c r="L58" s="425"/>
      <c r="M58" s="425"/>
      <c r="N58" s="425"/>
      <c r="O58" s="131">
        <f>+F59</f>
        <v>2767.8155769230771</v>
      </c>
      <c r="P58" s="131"/>
      <c r="Q58" s="132"/>
    </row>
    <row r="59" spans="1:17" x14ac:dyDescent="0.25">
      <c r="A59" s="123"/>
      <c r="B59" s="423" t="s">
        <v>125</v>
      </c>
      <c r="C59" s="423"/>
      <c r="D59" s="423"/>
      <c r="E59" s="423"/>
      <c r="F59" s="125">
        <f>+F57+F58</f>
        <v>2767.8155769230771</v>
      </c>
      <c r="G59" s="114">
        <f>+F59/$F$70</f>
        <v>0.86532557805274601</v>
      </c>
      <c r="H59" s="126">
        <f>+F59/$D$64</f>
        <v>2767.8155769230771</v>
      </c>
      <c r="I59" s="126"/>
      <c r="J59" s="133"/>
      <c r="K59" s="134"/>
      <c r="M59" s="135" t="s">
        <v>126</v>
      </c>
      <c r="N59" s="136"/>
      <c r="O59" s="131">
        <f>+H60</f>
        <v>582.29097427928991</v>
      </c>
      <c r="P59" s="131"/>
      <c r="Q59" s="132"/>
    </row>
    <row r="60" spans="1:17" ht="13.8" thickBot="1" x14ac:dyDescent="0.3">
      <c r="A60" s="123"/>
      <c r="B60" s="124"/>
      <c r="C60" s="423" t="s">
        <v>127</v>
      </c>
      <c r="D60" s="423"/>
      <c r="E60" s="423"/>
      <c r="F60" s="125">
        <f>SUM(F48:F55)</f>
        <v>582.29097427928991</v>
      </c>
      <c r="G60" s="114">
        <f>+F60/$F$70</f>
        <v>0.18204654895152603</v>
      </c>
      <c r="H60" s="126">
        <f>+F60/$D$64</f>
        <v>582.29097427928991</v>
      </c>
      <c r="I60" s="126"/>
      <c r="J60" s="133"/>
      <c r="K60" s="134"/>
      <c r="L60" s="134"/>
      <c r="M60" s="134" t="s">
        <v>128</v>
      </c>
      <c r="N60" s="137"/>
      <c r="O60" s="131">
        <f>O58*N60</f>
        <v>0</v>
      </c>
      <c r="P60" s="131"/>
      <c r="Q60" s="132"/>
    </row>
    <row r="61" spans="1:17" ht="13.8" thickBot="1" x14ac:dyDescent="0.25">
      <c r="A61" s="123"/>
      <c r="B61" s="138"/>
      <c r="C61" s="138"/>
      <c r="D61" s="138"/>
      <c r="E61" s="138"/>
      <c r="F61" s="139"/>
      <c r="G61" s="114"/>
      <c r="H61" s="140"/>
      <c r="I61" s="126"/>
      <c r="J61" s="133"/>
      <c r="K61" s="141"/>
      <c r="M61" s="142" t="s">
        <v>129</v>
      </c>
      <c r="N61" s="143"/>
      <c r="O61" s="144">
        <f>SUM(O58:O60)</f>
        <v>3350.106551202367</v>
      </c>
      <c r="P61" s="145"/>
      <c r="Q61" s="132"/>
    </row>
    <row r="62" spans="1:17" x14ac:dyDescent="0.25">
      <c r="B62" s="426" t="s">
        <v>130</v>
      </c>
      <c r="C62" s="426"/>
      <c r="D62" s="146">
        <v>975</v>
      </c>
      <c r="E62" s="147"/>
      <c r="G62" s="114"/>
      <c r="H62" s="140">
        <f>+H60/77</f>
        <v>7.5622204451855835</v>
      </c>
      <c r="I62" s="148"/>
      <c r="J62" s="133"/>
      <c r="K62" s="141"/>
      <c r="L62" s="134"/>
      <c r="M62" s="134" t="s">
        <v>131</v>
      </c>
      <c r="N62" s="149"/>
      <c r="O62" s="131">
        <f>+H63</f>
        <v>627.66429695040347</v>
      </c>
      <c r="P62" s="131"/>
      <c r="Q62" s="132"/>
    </row>
    <row r="63" spans="1:17" x14ac:dyDescent="0.25">
      <c r="B63" s="426" t="s">
        <v>132</v>
      </c>
      <c r="C63" s="426"/>
      <c r="D63" s="150">
        <v>975</v>
      </c>
      <c r="E63" s="147"/>
      <c r="G63" s="114"/>
      <c r="H63" s="140">
        <f>+H62*83</f>
        <v>627.66429695040347</v>
      </c>
      <c r="I63" s="148"/>
      <c r="J63" s="133"/>
      <c r="K63" s="141"/>
      <c r="L63" s="134"/>
      <c r="M63" s="427" t="s">
        <v>129</v>
      </c>
      <c r="N63" s="427"/>
      <c r="O63" s="131">
        <f>SUM(O61:O62)</f>
        <v>3977.7708481527707</v>
      </c>
      <c r="P63" s="131"/>
      <c r="Q63" s="132"/>
    </row>
    <row r="64" spans="1:17" ht="13.8" thickBot="1" x14ac:dyDescent="0.3">
      <c r="B64" s="419" t="s">
        <v>133</v>
      </c>
      <c r="C64" s="419"/>
      <c r="D64" s="146">
        <f>+D62/D63</f>
        <v>1</v>
      </c>
      <c r="E64" s="147"/>
      <c r="F64" s="151"/>
      <c r="G64" s="114"/>
      <c r="H64" s="140"/>
      <c r="I64" s="148"/>
      <c r="J64" s="133"/>
      <c r="K64" s="141"/>
      <c r="L64" s="427"/>
      <c r="M64" s="427"/>
      <c r="N64" s="149"/>
      <c r="O64" s="131">
        <f>+O63*N64</f>
        <v>0</v>
      </c>
      <c r="P64" s="131"/>
      <c r="Q64" s="132"/>
    </row>
    <row r="65" spans="2:17" ht="13.8" thickBot="1" x14ac:dyDescent="0.25">
      <c r="B65" s="419" t="s">
        <v>134</v>
      </c>
      <c r="C65" s="419"/>
      <c r="D65" s="152"/>
      <c r="E65" s="147"/>
      <c r="F65" s="151"/>
      <c r="G65" s="114"/>
      <c r="H65" s="140"/>
      <c r="I65" s="148"/>
      <c r="J65" s="133"/>
      <c r="K65" s="420" t="s">
        <v>135</v>
      </c>
      <c r="L65" s="421"/>
      <c r="M65" s="421"/>
      <c r="N65" s="422"/>
      <c r="O65" s="144">
        <f>SUM(O63:O64)</f>
        <v>3977.7708481527707</v>
      </c>
      <c r="P65" s="153" t="s">
        <v>136</v>
      </c>
      <c r="Q65" s="132"/>
    </row>
    <row r="66" spans="2:17" ht="13.8" thickBot="1" x14ac:dyDescent="0.25">
      <c r="C66" s="123" t="s">
        <v>137</v>
      </c>
      <c r="D66" s="154"/>
      <c r="E66" s="97" t="s">
        <v>138</v>
      </c>
      <c r="F66" s="155" t="s">
        <v>139</v>
      </c>
      <c r="G66" s="114"/>
      <c r="H66" s="140"/>
      <c r="I66" s="148"/>
      <c r="J66" s="156"/>
      <c r="K66" s="157"/>
      <c r="L66" s="433" t="s">
        <v>140</v>
      </c>
      <c r="M66" s="433"/>
      <c r="N66" s="433"/>
      <c r="O66" s="158">
        <f>+O65/D64</f>
        <v>3977.7708481527707</v>
      </c>
      <c r="P66" s="159">
        <f>+O66/D63</f>
        <v>4.0797649724643801</v>
      </c>
      <c r="Q66" s="160"/>
    </row>
    <row r="67" spans="2:17" ht="13.8" thickBot="1" x14ac:dyDescent="0.25">
      <c r="B67" s="434" t="s">
        <v>125</v>
      </c>
      <c r="C67" s="434"/>
      <c r="D67" s="434"/>
      <c r="E67" s="161">
        <f>+F67/F67</f>
        <v>1</v>
      </c>
      <c r="F67" s="162">
        <f>SUM(F59)</f>
        <v>2767.8155769230771</v>
      </c>
      <c r="G67" s="114">
        <f>+F67/$F$70</f>
        <v>0.86532557805274601</v>
      </c>
      <c r="H67" s="140"/>
      <c r="I67" s="148"/>
      <c r="K67" s="435"/>
      <c r="L67" s="436"/>
      <c r="M67" s="436"/>
      <c r="N67" s="436"/>
      <c r="O67" s="163"/>
      <c r="P67" s="164"/>
    </row>
    <row r="68" spans="2:17" ht="13.8" thickBot="1" x14ac:dyDescent="0.35">
      <c r="B68" s="437" t="s">
        <v>141</v>
      </c>
      <c r="C68" s="437"/>
      <c r="D68" s="437"/>
      <c r="E68" s="165">
        <v>0.02</v>
      </c>
      <c r="F68" s="162">
        <f>+F57*E68</f>
        <v>45.767300000000006</v>
      </c>
      <c r="G68" s="114">
        <f>+F68/$F$70</f>
        <v>1.4308617835166591E-2</v>
      </c>
      <c r="H68" s="126"/>
      <c r="I68" s="148"/>
      <c r="J68" s="166"/>
      <c r="O68" s="167"/>
      <c r="P68" s="124"/>
    </row>
    <row r="69" spans="2:17" ht="13.8" thickBot="1" x14ac:dyDescent="0.35">
      <c r="B69" s="438" t="s">
        <v>142</v>
      </c>
      <c r="C69" s="439"/>
      <c r="D69" s="168">
        <v>5</v>
      </c>
      <c r="E69" s="169">
        <v>77</v>
      </c>
      <c r="F69" s="162">
        <f>+E69*D69</f>
        <v>385</v>
      </c>
      <c r="G69" s="114">
        <f>+F69/$F$70</f>
        <v>0.12036580411208739</v>
      </c>
      <c r="H69" s="126"/>
      <c r="I69" s="126"/>
      <c r="J69" s="116"/>
    </row>
    <row r="70" spans="2:17" ht="13.8" thickBot="1" x14ac:dyDescent="0.35">
      <c r="B70" s="440" t="s">
        <v>143</v>
      </c>
      <c r="C70" s="441"/>
      <c r="D70" s="441"/>
      <c r="E70" s="442"/>
      <c r="F70" s="139">
        <f>SUM(F67:F69)</f>
        <v>3198.582876923077</v>
      </c>
      <c r="G70" s="114">
        <f>+F70/$F$70</f>
        <v>1</v>
      </c>
      <c r="H70" s="443"/>
      <c r="I70" s="126"/>
      <c r="J70" s="116"/>
      <c r="M70" s="99" t="s">
        <v>144</v>
      </c>
    </row>
    <row r="71" spans="2:17" x14ac:dyDescent="0.3">
      <c r="C71" s="121"/>
      <c r="D71" s="121"/>
      <c r="E71" s="171"/>
      <c r="F71" s="162"/>
      <c r="G71" s="114"/>
      <c r="H71" s="443"/>
      <c r="I71" s="170"/>
      <c r="J71" s="99"/>
      <c r="M71" s="99" t="s">
        <v>145</v>
      </c>
    </row>
    <row r="72" spans="2:17" ht="13.8" thickBot="1" x14ac:dyDescent="0.35">
      <c r="B72" s="428" t="s">
        <v>146</v>
      </c>
      <c r="C72" s="428"/>
      <c r="D72" s="428"/>
      <c r="E72" s="428"/>
      <c r="F72" s="428"/>
      <c r="G72" s="114"/>
      <c r="H72" s="173"/>
      <c r="I72" s="170"/>
      <c r="J72" s="99"/>
      <c r="M72" s="99" t="s">
        <v>147</v>
      </c>
    </row>
    <row r="73" spans="2:17" ht="13.8" thickBot="1" x14ac:dyDescent="0.35">
      <c r="B73" s="174" t="s">
        <v>148</v>
      </c>
      <c r="C73" s="175">
        <f>+F57</f>
        <v>2288.3650000000002</v>
      </c>
      <c r="D73" s="175">
        <f>+D62</f>
        <v>975</v>
      </c>
      <c r="E73" s="176">
        <f>+C73/D73</f>
        <v>2.3470410256410257</v>
      </c>
      <c r="F73" s="114"/>
      <c r="G73" s="173"/>
      <c r="H73" s="116"/>
      <c r="I73" s="173"/>
      <c r="J73" s="99"/>
    </row>
    <row r="74" spans="2:17" x14ac:dyDescent="0.3">
      <c r="B74" s="177"/>
      <c r="C74" s="178"/>
      <c r="D74" s="179"/>
      <c r="E74" s="162"/>
      <c r="F74" s="114"/>
      <c r="G74" s="173"/>
      <c r="H74" s="116"/>
      <c r="I74" s="116"/>
      <c r="J74" s="99"/>
    </row>
    <row r="75" spans="2:17" x14ac:dyDescent="0.3">
      <c r="B75" s="174" t="s">
        <v>149</v>
      </c>
      <c r="C75" s="175">
        <f>SUM(F67:F68)</f>
        <v>2813.582876923077</v>
      </c>
      <c r="D75" s="175">
        <f>+D62</f>
        <v>975</v>
      </c>
      <c r="E75" s="180">
        <f>+C75/D75</f>
        <v>2.8857260276134125</v>
      </c>
      <c r="F75" s="114"/>
      <c r="G75" s="173"/>
      <c r="H75" s="116"/>
      <c r="I75" s="116"/>
      <c r="J75" s="99"/>
    </row>
    <row r="76" spans="2:17" x14ac:dyDescent="0.3">
      <c r="B76" s="174"/>
      <c r="C76" s="175"/>
      <c r="D76" s="175"/>
      <c r="E76" s="180"/>
      <c r="F76" s="114"/>
      <c r="G76" s="173"/>
      <c r="H76" s="116"/>
      <c r="I76" s="116"/>
      <c r="J76" s="99"/>
    </row>
    <row r="77" spans="2:17" ht="13.8" thickBot="1" x14ac:dyDescent="0.35">
      <c r="B77" s="174" t="s">
        <v>150</v>
      </c>
      <c r="C77" s="175">
        <f>+F69</f>
        <v>385</v>
      </c>
      <c r="D77" s="175">
        <f>+D62</f>
        <v>975</v>
      </c>
      <c r="E77" s="180">
        <f>+C77/D77</f>
        <v>0.39487179487179486</v>
      </c>
      <c r="F77" s="114"/>
      <c r="G77" s="173"/>
      <c r="H77" s="116"/>
      <c r="I77" s="116"/>
      <c r="J77" s="99"/>
    </row>
    <row r="78" spans="2:17" ht="13.8" thickBot="1" x14ac:dyDescent="0.35">
      <c r="B78" s="174" t="s">
        <v>151</v>
      </c>
      <c r="C78" s="175">
        <f>+F60</f>
        <v>582.29097427928991</v>
      </c>
      <c r="D78" s="175">
        <f>+D77</f>
        <v>975</v>
      </c>
      <c r="E78" s="176">
        <f>+C78/D78</f>
        <v>0.59722151208132301</v>
      </c>
      <c r="F78" s="114"/>
      <c r="G78" s="173"/>
      <c r="H78" s="116"/>
      <c r="I78" s="116"/>
      <c r="J78" s="99"/>
    </row>
    <row r="79" spans="2:17" ht="13.8" thickBot="1" x14ac:dyDescent="0.35">
      <c r="B79" s="138"/>
      <c r="C79" s="139"/>
      <c r="D79" s="139"/>
      <c r="E79" s="180"/>
      <c r="F79" s="114"/>
      <c r="G79" s="173"/>
      <c r="H79" s="116"/>
      <c r="I79" s="116"/>
      <c r="J79" s="99"/>
    </row>
    <row r="80" spans="2:17" ht="13.8" thickBot="1" x14ac:dyDescent="0.35">
      <c r="B80" s="174" t="s">
        <v>152</v>
      </c>
      <c r="C80" s="175">
        <f>+F58</f>
        <v>479.45057692307688</v>
      </c>
      <c r="D80" s="175">
        <f>+D78</f>
        <v>975</v>
      </c>
      <c r="E80" s="176">
        <f>+C80/D80</f>
        <v>0.49174418145956605</v>
      </c>
      <c r="F80" s="114"/>
      <c r="G80" s="173"/>
      <c r="H80" s="116"/>
      <c r="I80" s="116"/>
      <c r="J80" s="116"/>
    </row>
    <row r="81" spans="1:10" ht="13.8" thickBot="1" x14ac:dyDescent="0.35">
      <c r="B81" s="138"/>
      <c r="C81" s="139"/>
      <c r="D81" s="139"/>
      <c r="E81" s="180"/>
      <c r="F81" s="114"/>
      <c r="G81" s="173"/>
      <c r="H81" s="116"/>
      <c r="I81" s="116"/>
    </row>
    <row r="82" spans="1:10" ht="13.8" thickBot="1" x14ac:dyDescent="0.35">
      <c r="B82" s="429" t="s">
        <v>153</v>
      </c>
      <c r="C82" s="430"/>
      <c r="D82" s="431"/>
      <c r="E82" s="176">
        <f>+E73+E78</f>
        <v>2.9442625377223486</v>
      </c>
      <c r="G82" s="114"/>
      <c r="H82" s="173"/>
      <c r="I82" s="116"/>
      <c r="J82" s="180"/>
    </row>
    <row r="83" spans="1:10" x14ac:dyDescent="0.3">
      <c r="I83" s="173"/>
      <c r="J83" s="99"/>
    </row>
    <row r="84" spans="1:10" ht="13.8" thickBot="1" x14ac:dyDescent="0.35">
      <c r="B84" s="428" t="s">
        <v>154</v>
      </c>
      <c r="C84" s="428"/>
      <c r="D84" s="428"/>
      <c r="E84" s="428"/>
      <c r="F84" s="428"/>
      <c r="G84" s="114"/>
      <c r="H84" s="173"/>
      <c r="J84" s="99"/>
    </row>
    <row r="85" spans="1:10" ht="13.8" thickBot="1" x14ac:dyDescent="0.35">
      <c r="B85" s="174" t="s">
        <v>148</v>
      </c>
      <c r="C85" s="175">
        <f>+C73</f>
        <v>2288.3650000000002</v>
      </c>
      <c r="D85" s="175">
        <f>+D64</f>
        <v>1</v>
      </c>
      <c r="E85" s="176">
        <f>+C85/D85</f>
        <v>2288.3650000000002</v>
      </c>
      <c r="F85" s="114"/>
      <c r="G85" s="173"/>
      <c r="H85" s="116"/>
      <c r="I85" s="173"/>
      <c r="J85" s="99"/>
    </row>
    <row r="86" spans="1:10" x14ac:dyDescent="0.3">
      <c r="B86" s="177"/>
      <c r="C86" s="178"/>
      <c r="D86" s="179"/>
      <c r="E86" s="162"/>
      <c r="F86" s="114"/>
      <c r="G86" s="173"/>
      <c r="H86" s="116"/>
      <c r="I86" s="116"/>
      <c r="J86" s="99"/>
    </row>
    <row r="87" spans="1:10" x14ac:dyDescent="0.3">
      <c r="B87" s="174" t="s">
        <v>149</v>
      </c>
      <c r="C87" s="175">
        <f>+C75</f>
        <v>2813.582876923077</v>
      </c>
      <c r="D87" s="175">
        <f>+D64</f>
        <v>1</v>
      </c>
      <c r="E87" s="180">
        <f>+C87/D87</f>
        <v>2813.582876923077</v>
      </c>
      <c r="F87" s="114"/>
      <c r="G87" s="173"/>
      <c r="H87" s="116"/>
      <c r="I87" s="116"/>
      <c r="J87" s="99"/>
    </row>
    <row r="88" spans="1:10" x14ac:dyDescent="0.3">
      <c r="B88" s="174"/>
      <c r="C88" s="175"/>
      <c r="D88" s="175"/>
      <c r="E88" s="180"/>
      <c r="F88" s="114"/>
      <c r="G88" s="173"/>
      <c r="H88" s="116"/>
      <c r="I88" s="116"/>
      <c r="J88" s="99"/>
    </row>
    <row r="89" spans="1:10" ht="13.8" thickBot="1" x14ac:dyDescent="0.35">
      <c r="B89" s="174" t="s">
        <v>151</v>
      </c>
      <c r="C89" s="175">
        <f>+C77</f>
        <v>385</v>
      </c>
      <c r="D89" s="175">
        <f>+D64</f>
        <v>1</v>
      </c>
      <c r="E89" s="180">
        <f>+C89/D89</f>
        <v>385</v>
      </c>
      <c r="F89" s="182"/>
      <c r="G89" s="172"/>
      <c r="H89" s="98"/>
      <c r="I89" s="116"/>
    </row>
    <row r="90" spans="1:10" ht="13.8" thickBot="1" x14ac:dyDescent="0.35">
      <c r="B90" s="174" t="s">
        <v>151</v>
      </c>
      <c r="C90" s="175">
        <f>+C78</f>
        <v>582.29097427928991</v>
      </c>
      <c r="D90" s="175">
        <f>+D89</f>
        <v>1</v>
      </c>
      <c r="E90" s="176">
        <f>+C90/D90</f>
        <v>582.29097427928991</v>
      </c>
      <c r="F90" s="181"/>
      <c r="G90" s="172"/>
      <c r="H90" s="98"/>
      <c r="I90" s="98"/>
    </row>
    <row r="91" spans="1:10" x14ac:dyDescent="0.3">
      <c r="I91" s="98"/>
    </row>
    <row r="92" spans="1:10" x14ac:dyDescent="0.25">
      <c r="A92" s="432"/>
      <c r="B92" s="432"/>
      <c r="C92" s="183"/>
      <c r="D92" s="183"/>
      <c r="E92" s="184"/>
      <c r="G92" s="185"/>
    </row>
    <row r="93" spans="1:10" x14ac:dyDescent="0.25">
      <c r="A93" s="117"/>
      <c r="B93" s="186"/>
      <c r="C93" s="187"/>
      <c r="D93" s="187"/>
      <c r="E93" s="188"/>
      <c r="G93" s="185"/>
    </row>
    <row r="94" spans="1:10" x14ac:dyDescent="0.25">
      <c r="A94" s="117"/>
      <c r="B94" s="186"/>
      <c r="C94" s="189"/>
      <c r="D94" s="189"/>
      <c r="E94" s="117"/>
      <c r="G94" s="185"/>
    </row>
    <row r="95" spans="1:10" x14ac:dyDescent="0.25">
      <c r="A95" s="117"/>
      <c r="B95" s="186"/>
      <c r="C95" s="190"/>
      <c r="D95" s="190"/>
      <c r="E95" s="117"/>
      <c r="G95" s="185"/>
    </row>
  </sheetData>
  <mergeCells count="30">
    <mergeCell ref="B72:F72"/>
    <mergeCell ref="B82:D82"/>
    <mergeCell ref="B84:F84"/>
    <mergeCell ref="A92:B92"/>
    <mergeCell ref="L66:N66"/>
    <mergeCell ref="B67:D67"/>
    <mergeCell ref="K67:N67"/>
    <mergeCell ref="B68:D68"/>
    <mergeCell ref="B69:C69"/>
    <mergeCell ref="B70:E70"/>
    <mergeCell ref="H70:H71"/>
    <mergeCell ref="B65:C65"/>
    <mergeCell ref="K65:N65"/>
    <mergeCell ref="K30:L30"/>
    <mergeCell ref="B57:E57"/>
    <mergeCell ref="B58:E58"/>
    <mergeCell ref="K58:N58"/>
    <mergeCell ref="B59:E59"/>
    <mergeCell ref="C60:E60"/>
    <mergeCell ref="B62:C62"/>
    <mergeCell ref="B63:C63"/>
    <mergeCell ref="M63:N63"/>
    <mergeCell ref="B64:C64"/>
    <mergeCell ref="L64:M64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8F91AF4-C41F-49F0-A12D-5761D9B43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C568CC-66DF-4D04-ADFC-C6A937841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188944-16E8-4926-A6A6-C875EE97F86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Torta Frutos Rojos Peq</vt:lpstr>
      <vt:lpstr>Torta Frutos Rojos peq 2</vt:lpstr>
      <vt:lpstr>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2026-03-31T22:42:06Z</cp:lastPrinted>
  <dcterms:created xsi:type="dcterms:W3CDTF">2024-02-20T22:08:44Z</dcterms:created>
  <dcterms:modified xsi:type="dcterms:W3CDTF">2026-05-13T14:39:23Z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
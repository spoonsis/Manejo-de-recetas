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4" documentId="8_{9A253640-7EA9-4654-833C-CD3322E8869D}" xr6:coauthVersionLast="47" xr6:coauthVersionMax="47" xr10:uidLastSave="{86BFC3C2-6F11-4163-A90A-AD8EB8F1FF82}"/>
  <bookViews>
    <workbookView xWindow="-120" yWindow="-120" windowWidth="29040" windowHeight="15840" tabRatio="876" xr2:uid="{4E7F0F57-EF8E-4DB3-A6C6-56DEBA5FC9C0}"/>
  </bookViews>
  <sheets>
    <sheet name="Hoja1" sheetId="11" r:id="rId1"/>
    <sheet name="Costo Mezcla leche coco" sheetId="8" state="hidden" r:id="rId2"/>
    <sheet name="Costo mousse Fudge" sheetId="9" state="hidden" r:id="rId3"/>
    <sheet name="Costo ensamble " sheetId="10" state="hidden" r:id="rId4"/>
  </sheets>
  <externalReferences>
    <externalReference r:id="rId5"/>
    <externalReference r:id="rId6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0" l="1"/>
  <c r="C28" i="10"/>
  <c r="D28" i="10"/>
  <c r="E28" i="10"/>
  <c r="F28" i="10"/>
  <c r="C29" i="10"/>
  <c r="E29" i="10"/>
  <c r="F29" i="10"/>
  <c r="C30" i="10"/>
  <c r="E30" i="10"/>
  <c r="F30" i="10"/>
  <c r="C31" i="10"/>
  <c r="E31" i="10"/>
  <c r="F31" i="10"/>
  <c r="C27" i="10"/>
  <c r="E27" i="10"/>
  <c r="F27" i="10"/>
  <c r="E32" i="10"/>
  <c r="C32" i="10"/>
  <c r="F32" i="10"/>
  <c r="E33" i="10"/>
  <c r="C33" i="10"/>
  <c r="F33" i="10"/>
  <c r="E34" i="10"/>
  <c r="C34" i="10"/>
  <c r="F34" i="10"/>
  <c r="A44" i="10"/>
  <c r="C44" i="10"/>
  <c r="E44" i="10"/>
  <c r="F44" i="10"/>
  <c r="A45" i="10"/>
  <c r="C45" i="10"/>
  <c r="E45" i="10"/>
  <c r="F45" i="10"/>
  <c r="C35" i="10"/>
  <c r="E35" i="10"/>
  <c r="F35" i="10"/>
  <c r="C36" i="10"/>
  <c r="E36" i="10"/>
  <c r="F36" i="10"/>
  <c r="E27" i="8"/>
  <c r="F27" i="8"/>
  <c r="E28" i="8"/>
  <c r="F28" i="8"/>
  <c r="E29" i="8"/>
  <c r="F29" i="8"/>
  <c r="E30" i="8"/>
  <c r="F30" i="8"/>
  <c r="E31" i="8"/>
  <c r="F31" i="8"/>
  <c r="E32" i="8"/>
  <c r="F32" i="8"/>
  <c r="E35" i="8"/>
  <c r="F35" i="8"/>
  <c r="E36" i="8"/>
  <c r="F36" i="8"/>
  <c r="E37" i="8"/>
  <c r="F37" i="8"/>
  <c r="E38" i="8"/>
  <c r="F38" i="8"/>
  <c r="E39" i="8"/>
  <c r="F39" i="8"/>
  <c r="E40" i="8"/>
  <c r="F40" i="8"/>
  <c r="E41" i="8"/>
  <c r="F41" i="8"/>
  <c r="F54" i="8"/>
  <c r="C76" i="8"/>
  <c r="E76" i="8"/>
  <c r="E40" i="10"/>
  <c r="F40" i="10"/>
  <c r="E27" i="9"/>
  <c r="F27" i="9"/>
  <c r="E28" i="9"/>
  <c r="F28" i="9"/>
  <c r="E29" i="9"/>
  <c r="F29" i="9"/>
  <c r="E30" i="9"/>
  <c r="F30" i="9"/>
  <c r="E31" i="9"/>
  <c r="F31" i="9"/>
  <c r="E32" i="9"/>
  <c r="F32" i="9"/>
  <c r="E36" i="9"/>
  <c r="F36" i="9"/>
  <c r="E37" i="9"/>
  <c r="F37" i="9"/>
  <c r="E38" i="9"/>
  <c r="F38" i="9"/>
  <c r="E39" i="9"/>
  <c r="F39" i="9"/>
  <c r="E40" i="9"/>
  <c r="F40" i="9"/>
  <c r="E41" i="9"/>
  <c r="F41" i="9"/>
  <c r="F54" i="9"/>
  <c r="H54" i="9"/>
  <c r="E41" i="10"/>
  <c r="F41" i="10"/>
  <c r="E42" i="10"/>
  <c r="F42" i="10"/>
  <c r="E43" i="10"/>
  <c r="F43" i="10"/>
  <c r="F58" i="10"/>
  <c r="C8" i="10"/>
  <c r="F8" i="10"/>
  <c r="E22" i="10"/>
  <c r="C22" i="10"/>
  <c r="F22" i="10"/>
  <c r="E23" i="10"/>
  <c r="C23" i="10"/>
  <c r="F23" i="10"/>
  <c r="E24" i="10"/>
  <c r="C24" i="10"/>
  <c r="F24" i="10"/>
  <c r="E9" i="10"/>
  <c r="F9" i="10"/>
  <c r="E10" i="10"/>
  <c r="F10" i="10"/>
  <c r="E11" i="10"/>
  <c r="F11" i="10"/>
  <c r="E12" i="10"/>
  <c r="F12" i="10"/>
  <c r="E13" i="10"/>
  <c r="F13" i="10"/>
  <c r="E14" i="10"/>
  <c r="F14" i="10"/>
  <c r="E9" i="8"/>
  <c r="F9" i="8"/>
  <c r="E10" i="8"/>
  <c r="F10" i="8"/>
  <c r="E11" i="8"/>
  <c r="F11" i="8"/>
  <c r="E12" i="8"/>
  <c r="F12" i="8"/>
  <c r="E13" i="8"/>
  <c r="F13" i="8"/>
  <c r="E14" i="8"/>
  <c r="F14" i="8"/>
  <c r="E17" i="8"/>
  <c r="F17" i="8"/>
  <c r="E18" i="8"/>
  <c r="F18" i="8"/>
  <c r="E19" i="8"/>
  <c r="F19" i="8"/>
  <c r="E20" i="8"/>
  <c r="F20" i="8"/>
  <c r="E21" i="8"/>
  <c r="F21" i="8"/>
  <c r="E22" i="8"/>
  <c r="F22" i="8"/>
  <c r="E23" i="8"/>
  <c r="F23" i="8"/>
  <c r="E24" i="8"/>
  <c r="F24" i="8"/>
  <c r="F53" i="8"/>
  <c r="C69" i="8"/>
  <c r="E69" i="8"/>
  <c r="E18" i="10"/>
  <c r="F18" i="10"/>
  <c r="E10" i="9"/>
  <c r="F10" i="9"/>
  <c r="E13" i="9"/>
  <c r="F13" i="9"/>
  <c r="E14" i="9"/>
  <c r="F14" i="9"/>
  <c r="E18" i="9"/>
  <c r="F18" i="9"/>
  <c r="E19" i="9"/>
  <c r="F19" i="9"/>
  <c r="E20" i="9"/>
  <c r="F20" i="9"/>
  <c r="E21" i="9"/>
  <c r="F21" i="9"/>
  <c r="E22" i="9"/>
  <c r="F22" i="9"/>
  <c r="E23" i="9"/>
  <c r="F23" i="9"/>
  <c r="E24" i="9"/>
  <c r="F24" i="9"/>
  <c r="F53" i="9"/>
  <c r="H53" i="9"/>
  <c r="E19" i="10"/>
  <c r="F19" i="10"/>
  <c r="E21" i="10"/>
  <c r="F21" i="10"/>
  <c r="F57" i="10"/>
  <c r="F59" i="10"/>
  <c r="F67" i="10"/>
  <c r="F68" i="10"/>
  <c r="F69" i="10"/>
  <c r="F70" i="10"/>
  <c r="G28" i="10"/>
  <c r="B29" i="10"/>
  <c r="D29" i="10"/>
  <c r="G29" i="10"/>
  <c r="B30" i="10"/>
  <c r="D30" i="10"/>
  <c r="G30" i="10"/>
  <c r="B31" i="10"/>
  <c r="D31" i="10"/>
  <c r="G31" i="10"/>
  <c r="F65" i="9"/>
  <c r="E51" i="9"/>
  <c r="F51" i="9"/>
  <c r="E45" i="9"/>
  <c r="F45" i="9"/>
  <c r="E46" i="9"/>
  <c r="F46" i="9"/>
  <c r="E47" i="9"/>
  <c r="F47" i="9"/>
  <c r="E48" i="9"/>
  <c r="F48" i="9"/>
  <c r="E49" i="9"/>
  <c r="F49" i="9"/>
  <c r="E50" i="9"/>
  <c r="F50" i="9"/>
  <c r="F56" i="9"/>
  <c r="C74" i="9"/>
  <c r="E74" i="9"/>
  <c r="E50" i="10"/>
  <c r="E44" i="8"/>
  <c r="F44" i="8"/>
  <c r="E45" i="8"/>
  <c r="F45" i="8"/>
  <c r="E46" i="8"/>
  <c r="F46" i="8"/>
  <c r="E47" i="8"/>
  <c r="F47" i="8"/>
  <c r="E48" i="8"/>
  <c r="F48" i="8"/>
  <c r="E49" i="8"/>
  <c r="F49" i="8"/>
  <c r="E50" i="8"/>
  <c r="F50" i="8"/>
  <c r="F65" i="8"/>
  <c r="E51" i="8"/>
  <c r="F51" i="8"/>
  <c r="F56" i="8"/>
  <c r="C74" i="8"/>
  <c r="E74" i="8"/>
  <c r="E49" i="10"/>
  <c r="A39" i="10"/>
  <c r="A48" i="10"/>
  <c r="C48" i="10"/>
  <c r="F48" i="10"/>
  <c r="A40" i="10"/>
  <c r="A49" i="10"/>
  <c r="C49" i="10"/>
  <c r="F49" i="10"/>
  <c r="A41" i="10"/>
  <c r="A50" i="10"/>
  <c r="C50" i="10"/>
  <c r="F50" i="10"/>
  <c r="E51" i="10"/>
  <c r="A42" i="10"/>
  <c r="A51" i="10"/>
  <c r="C51" i="10"/>
  <c r="F51" i="10"/>
  <c r="E52" i="10"/>
  <c r="A43" i="10"/>
  <c r="A52" i="10"/>
  <c r="C52" i="10"/>
  <c r="F52" i="10"/>
  <c r="E53" i="10"/>
  <c r="A53" i="10"/>
  <c r="C53" i="10"/>
  <c r="F53" i="10"/>
  <c r="E54" i="10"/>
  <c r="A54" i="10"/>
  <c r="C54" i="10"/>
  <c r="F54" i="10"/>
  <c r="C55" i="10"/>
  <c r="E55" i="10"/>
  <c r="F55" i="10"/>
  <c r="F60" i="10"/>
  <c r="C78" i="10"/>
  <c r="C90" i="10"/>
  <c r="D64" i="10"/>
  <c r="D89" i="10"/>
  <c r="D90" i="10"/>
  <c r="E90" i="10"/>
  <c r="C77" i="10"/>
  <c r="C89" i="10"/>
  <c r="E89" i="10"/>
  <c r="C9" i="10"/>
  <c r="C10" i="10"/>
  <c r="C11" i="10"/>
  <c r="C12" i="10"/>
  <c r="C13" i="10"/>
  <c r="C14" i="10"/>
  <c r="C17" i="10"/>
  <c r="F17" i="10"/>
  <c r="C18" i="10"/>
  <c r="C19" i="10"/>
  <c r="C20" i="10"/>
  <c r="F20" i="10"/>
  <c r="C21" i="10"/>
  <c r="C39" i="10"/>
  <c r="F39" i="10"/>
  <c r="C40" i="10"/>
  <c r="C41" i="10"/>
  <c r="C42" i="10"/>
  <c r="C43" i="10"/>
  <c r="C75" i="10"/>
  <c r="C87" i="10"/>
  <c r="D87" i="10"/>
  <c r="E87" i="10"/>
  <c r="C73" i="10"/>
  <c r="C85" i="10"/>
  <c r="D85" i="10"/>
  <c r="E85" i="10"/>
  <c r="D73" i="10"/>
  <c r="E73" i="10"/>
  <c r="D77" i="10"/>
  <c r="D78" i="10"/>
  <c r="E78" i="10"/>
  <c r="E82" i="10"/>
  <c r="C80" i="10"/>
  <c r="D80" i="10"/>
  <c r="E80" i="10"/>
  <c r="E77" i="10"/>
  <c r="D75" i="10"/>
  <c r="E75" i="10"/>
  <c r="G70" i="10"/>
  <c r="G69" i="10"/>
  <c r="G68" i="10"/>
  <c r="G67" i="10"/>
  <c r="E67" i="10"/>
  <c r="O58" i="10"/>
  <c r="O59" i="10"/>
  <c r="O60" i="10"/>
  <c r="O61" i="10"/>
  <c r="O62" i="10"/>
  <c r="O63" i="10"/>
  <c r="O64" i="10"/>
  <c r="O65" i="10"/>
  <c r="O66" i="10"/>
  <c r="P66" i="10"/>
  <c r="H60" i="10"/>
  <c r="G60" i="10"/>
  <c r="H59" i="10"/>
  <c r="G59" i="10"/>
  <c r="H58" i="10"/>
  <c r="G58" i="10"/>
  <c r="H57" i="10"/>
  <c r="G57" i="10"/>
  <c r="G55" i="10"/>
  <c r="G54" i="10"/>
  <c r="D54" i="10"/>
  <c r="B54" i="10"/>
  <c r="G53" i="10"/>
  <c r="D53" i="10"/>
  <c r="B53" i="10"/>
  <c r="G52" i="10"/>
  <c r="D52" i="10"/>
  <c r="B52" i="10"/>
  <c r="G51" i="10"/>
  <c r="D51" i="10"/>
  <c r="B51" i="10"/>
  <c r="G50" i="10"/>
  <c r="G49" i="10"/>
  <c r="G48" i="10"/>
  <c r="G45" i="10"/>
  <c r="D45" i="10"/>
  <c r="B45" i="10"/>
  <c r="G44" i="10"/>
  <c r="D44" i="10"/>
  <c r="B44" i="10"/>
  <c r="G43" i="10"/>
  <c r="D43" i="10"/>
  <c r="B43" i="10"/>
  <c r="G42" i="10"/>
  <c r="D42" i="10"/>
  <c r="B42" i="10"/>
  <c r="G41" i="10"/>
  <c r="G40" i="10"/>
  <c r="G39" i="10"/>
  <c r="G36" i="10"/>
  <c r="D36" i="10"/>
  <c r="B36" i="10"/>
  <c r="G35" i="10"/>
  <c r="D35" i="10"/>
  <c r="B35" i="10"/>
  <c r="G34" i="10"/>
  <c r="D34" i="10"/>
  <c r="B34" i="10"/>
  <c r="G33" i="10"/>
  <c r="D33" i="10"/>
  <c r="B33" i="10"/>
  <c r="G32" i="10"/>
  <c r="D32" i="10"/>
  <c r="B32" i="10"/>
  <c r="G27" i="10"/>
  <c r="D27" i="10"/>
  <c r="B27" i="10"/>
  <c r="G24" i="10"/>
  <c r="D24" i="10"/>
  <c r="B24" i="10"/>
  <c r="G23" i="10"/>
  <c r="D23" i="10"/>
  <c r="B23" i="10"/>
  <c r="G22" i="10"/>
  <c r="D22" i="10"/>
  <c r="B22" i="10"/>
  <c r="G21" i="10"/>
  <c r="D21" i="10"/>
  <c r="B21" i="10"/>
  <c r="G20" i="10"/>
  <c r="D20" i="10"/>
  <c r="B20" i="10"/>
  <c r="G19" i="10"/>
  <c r="G18" i="10"/>
  <c r="G17" i="10"/>
  <c r="B15" i="10"/>
  <c r="G14" i="10"/>
  <c r="D14" i="10"/>
  <c r="B14" i="10"/>
  <c r="G13" i="10"/>
  <c r="D13" i="10"/>
  <c r="B13" i="10"/>
  <c r="G12" i="10"/>
  <c r="D12" i="10"/>
  <c r="B12" i="10"/>
  <c r="G11" i="10"/>
  <c r="D11" i="10"/>
  <c r="B11" i="10"/>
  <c r="G10" i="10"/>
  <c r="D10" i="10"/>
  <c r="B10" i="10"/>
  <c r="G9" i="10"/>
  <c r="D9" i="10"/>
  <c r="B9" i="10"/>
  <c r="G8" i="10"/>
  <c r="H6" i="10"/>
  <c r="H2" i="10"/>
  <c r="G2" i="10"/>
  <c r="F2" i="10"/>
  <c r="E2" i="10"/>
  <c r="A35" i="9"/>
  <c r="A44" i="9"/>
  <c r="C44" i="9"/>
  <c r="F44" i="9"/>
  <c r="A36" i="9"/>
  <c r="A45" i="9"/>
  <c r="C45" i="9"/>
  <c r="A37" i="9"/>
  <c r="A46" i="9"/>
  <c r="C46" i="9"/>
  <c r="A38" i="9"/>
  <c r="A47" i="9"/>
  <c r="C47" i="9"/>
  <c r="A39" i="9"/>
  <c r="A48" i="9"/>
  <c r="C48" i="9"/>
  <c r="A40" i="9"/>
  <c r="A49" i="9"/>
  <c r="C49" i="9"/>
  <c r="A41" i="9"/>
  <c r="A50" i="9"/>
  <c r="C50" i="9"/>
  <c r="C51" i="9"/>
  <c r="C86" i="9"/>
  <c r="D60" i="9"/>
  <c r="D85" i="9"/>
  <c r="D86" i="9"/>
  <c r="E86" i="9"/>
  <c r="C73" i="9"/>
  <c r="C85" i="9"/>
  <c r="E85" i="9"/>
  <c r="C8" i="9"/>
  <c r="F8" i="9"/>
  <c r="C9" i="9"/>
  <c r="F9" i="9"/>
  <c r="C10" i="9"/>
  <c r="C11" i="9"/>
  <c r="F11" i="9"/>
  <c r="C12" i="9"/>
  <c r="F12" i="9"/>
  <c r="C13" i="9"/>
  <c r="C14" i="9"/>
  <c r="C17" i="9"/>
  <c r="F17" i="9"/>
  <c r="C18" i="9"/>
  <c r="C19" i="9"/>
  <c r="C20" i="9"/>
  <c r="C21" i="9"/>
  <c r="C22" i="9"/>
  <c r="C23" i="9"/>
  <c r="C24" i="9"/>
  <c r="C27" i="9"/>
  <c r="C28" i="9"/>
  <c r="C29" i="9"/>
  <c r="C30" i="9"/>
  <c r="C31" i="9"/>
  <c r="C32" i="9"/>
  <c r="C35" i="9"/>
  <c r="F35" i="9"/>
  <c r="C36" i="9"/>
  <c r="C37" i="9"/>
  <c r="C38" i="9"/>
  <c r="C39" i="9"/>
  <c r="C40" i="9"/>
  <c r="C41" i="9"/>
  <c r="F55" i="9"/>
  <c r="F63" i="9"/>
  <c r="F64" i="9"/>
  <c r="C71" i="9"/>
  <c r="C83" i="9"/>
  <c r="D83" i="9"/>
  <c r="E83" i="9"/>
  <c r="C69" i="9"/>
  <c r="C81" i="9"/>
  <c r="D81" i="9"/>
  <c r="E81" i="9"/>
  <c r="D69" i="9"/>
  <c r="E69" i="9"/>
  <c r="D73" i="9"/>
  <c r="D74" i="9"/>
  <c r="E78" i="9"/>
  <c r="C76" i="9"/>
  <c r="D76" i="9"/>
  <c r="E76" i="9"/>
  <c r="E73" i="9"/>
  <c r="D71" i="9"/>
  <c r="E71" i="9"/>
  <c r="F66" i="9"/>
  <c r="G66" i="9"/>
  <c r="G65" i="9"/>
  <c r="G64" i="9"/>
  <c r="G63" i="9"/>
  <c r="E63" i="9"/>
  <c r="O54" i="9"/>
  <c r="O55" i="9"/>
  <c r="O56" i="9"/>
  <c r="O57" i="9"/>
  <c r="O58" i="9"/>
  <c r="O59" i="9"/>
  <c r="O60" i="9"/>
  <c r="O61" i="9"/>
  <c r="O62" i="9"/>
  <c r="P62" i="9"/>
  <c r="H56" i="9"/>
  <c r="G56" i="9"/>
  <c r="H55" i="9"/>
  <c r="G55" i="9"/>
  <c r="G54" i="9"/>
  <c r="G53" i="9"/>
  <c r="G51" i="9"/>
  <c r="G50" i="9"/>
  <c r="D50" i="9"/>
  <c r="B50" i="9"/>
  <c r="G49" i="9"/>
  <c r="D49" i="9"/>
  <c r="B49" i="9"/>
  <c r="G48" i="9"/>
  <c r="D48" i="9"/>
  <c r="B48" i="9"/>
  <c r="G47" i="9"/>
  <c r="D47" i="9"/>
  <c r="B47" i="9"/>
  <c r="G46" i="9"/>
  <c r="D46" i="9"/>
  <c r="B46" i="9"/>
  <c r="G45" i="9"/>
  <c r="D45" i="9"/>
  <c r="B45" i="9"/>
  <c r="G44" i="9"/>
  <c r="G41" i="9"/>
  <c r="D41" i="9"/>
  <c r="B41" i="9"/>
  <c r="G40" i="9"/>
  <c r="D40" i="9"/>
  <c r="B40" i="9"/>
  <c r="G39" i="9"/>
  <c r="D39" i="9"/>
  <c r="B39" i="9"/>
  <c r="G38" i="9"/>
  <c r="D38" i="9"/>
  <c r="B38" i="9"/>
  <c r="G37" i="9"/>
  <c r="D37" i="9"/>
  <c r="B37" i="9"/>
  <c r="G36" i="9"/>
  <c r="D36" i="9"/>
  <c r="B36" i="9"/>
  <c r="G35" i="9"/>
  <c r="G32" i="9"/>
  <c r="D32" i="9"/>
  <c r="B32" i="9"/>
  <c r="G31" i="9"/>
  <c r="D31" i="9"/>
  <c r="B31" i="9"/>
  <c r="G30" i="9"/>
  <c r="D30" i="9"/>
  <c r="B30" i="9"/>
  <c r="G29" i="9"/>
  <c r="D29" i="9"/>
  <c r="B29" i="9"/>
  <c r="G28" i="9"/>
  <c r="D28" i="9"/>
  <c r="B28" i="9"/>
  <c r="G27" i="9"/>
  <c r="D27" i="9"/>
  <c r="B27" i="9"/>
  <c r="G24" i="9"/>
  <c r="D24" i="9"/>
  <c r="B24" i="9"/>
  <c r="G23" i="9"/>
  <c r="D23" i="9"/>
  <c r="B23" i="9"/>
  <c r="G22" i="9"/>
  <c r="D22" i="9"/>
  <c r="B22" i="9"/>
  <c r="G21" i="9"/>
  <c r="D21" i="9"/>
  <c r="B21" i="9"/>
  <c r="G20" i="9"/>
  <c r="D20" i="9"/>
  <c r="B20" i="9"/>
  <c r="G19" i="9"/>
  <c r="D19" i="9"/>
  <c r="B19" i="9"/>
  <c r="G18" i="9"/>
  <c r="D18" i="9"/>
  <c r="B18" i="9"/>
  <c r="G17" i="9"/>
  <c r="B15" i="9"/>
  <c r="G14" i="9"/>
  <c r="D14" i="9"/>
  <c r="B14" i="9"/>
  <c r="G13" i="9"/>
  <c r="D13" i="9"/>
  <c r="B13" i="9"/>
  <c r="G12" i="9"/>
  <c r="D12" i="9"/>
  <c r="B12" i="9"/>
  <c r="G11" i="9"/>
  <c r="D11" i="9"/>
  <c r="B11" i="9"/>
  <c r="G10" i="9"/>
  <c r="D10" i="9"/>
  <c r="B10" i="9"/>
  <c r="G9" i="9"/>
  <c r="D9" i="9"/>
  <c r="B9" i="9"/>
  <c r="G8" i="9"/>
  <c r="D8" i="9"/>
  <c r="B8" i="9"/>
  <c r="H6" i="9"/>
  <c r="H2" i="9"/>
  <c r="G2" i="9"/>
  <c r="F2" i="9"/>
  <c r="E2" i="9"/>
  <c r="A35" i="8"/>
  <c r="A44" i="8"/>
  <c r="C44" i="8"/>
  <c r="A36" i="8"/>
  <c r="A45" i="8"/>
  <c r="C45" i="8"/>
  <c r="A37" i="8"/>
  <c r="A46" i="8"/>
  <c r="C46" i="8"/>
  <c r="A38" i="8"/>
  <c r="A47" i="8"/>
  <c r="C47" i="8"/>
  <c r="A39" i="8"/>
  <c r="A48" i="8"/>
  <c r="C48" i="8"/>
  <c r="A40" i="8"/>
  <c r="A49" i="8"/>
  <c r="C49" i="8"/>
  <c r="A41" i="8"/>
  <c r="A50" i="8"/>
  <c r="C50" i="8"/>
  <c r="C51" i="8"/>
  <c r="C86" i="8"/>
  <c r="D60" i="8"/>
  <c r="D85" i="8"/>
  <c r="D86" i="8"/>
  <c r="E86" i="8"/>
  <c r="C73" i="8"/>
  <c r="C85" i="8"/>
  <c r="E85" i="8"/>
  <c r="C8" i="8"/>
  <c r="F8" i="8"/>
  <c r="C9" i="8"/>
  <c r="C10" i="8"/>
  <c r="C11" i="8"/>
  <c r="C12" i="8"/>
  <c r="C13" i="8"/>
  <c r="C14" i="8"/>
  <c r="C17" i="8"/>
  <c r="C18" i="8"/>
  <c r="C19" i="8"/>
  <c r="C20" i="8"/>
  <c r="C21" i="8"/>
  <c r="C22" i="8"/>
  <c r="C23" i="8"/>
  <c r="C24" i="8"/>
  <c r="C27" i="8"/>
  <c r="C28" i="8"/>
  <c r="C29" i="8"/>
  <c r="C30" i="8"/>
  <c r="C31" i="8"/>
  <c r="C32" i="8"/>
  <c r="C35" i="8"/>
  <c r="C36" i="8"/>
  <c r="C37" i="8"/>
  <c r="C38" i="8"/>
  <c r="C39" i="8"/>
  <c r="C40" i="8"/>
  <c r="C41" i="8"/>
  <c r="F55" i="8"/>
  <c r="F63" i="8"/>
  <c r="F64" i="8"/>
  <c r="C71" i="8"/>
  <c r="C83" i="8"/>
  <c r="D83" i="8"/>
  <c r="E83" i="8"/>
  <c r="C81" i="8"/>
  <c r="D81" i="8"/>
  <c r="E81" i="8"/>
  <c r="D69" i="8"/>
  <c r="D73" i="8"/>
  <c r="D74" i="8"/>
  <c r="E78" i="8"/>
  <c r="D76" i="8"/>
  <c r="E73" i="8"/>
  <c r="D71" i="8"/>
  <c r="E71" i="8"/>
  <c r="F66" i="8"/>
  <c r="G66" i="8"/>
  <c r="G65" i="8"/>
  <c r="G64" i="8"/>
  <c r="G63" i="8"/>
  <c r="E63" i="8"/>
  <c r="O54" i="8"/>
  <c r="O55" i="8"/>
  <c r="O56" i="8"/>
  <c r="O57" i="8"/>
  <c r="O58" i="8"/>
  <c r="O59" i="8"/>
  <c r="O60" i="8"/>
  <c r="O61" i="8"/>
  <c r="O62" i="8"/>
  <c r="P62" i="8"/>
  <c r="H56" i="8"/>
  <c r="G56" i="8"/>
  <c r="H55" i="8"/>
  <c r="G55" i="8"/>
  <c r="H54" i="8"/>
  <c r="G54" i="8"/>
  <c r="H53" i="8"/>
  <c r="G53" i="8"/>
  <c r="G51" i="8"/>
  <c r="G50" i="8"/>
  <c r="D50" i="8"/>
  <c r="B50" i="8"/>
  <c r="G49" i="8"/>
  <c r="D49" i="8"/>
  <c r="B49" i="8"/>
  <c r="G48" i="8"/>
  <c r="D48" i="8"/>
  <c r="B48" i="8"/>
  <c r="G47" i="8"/>
  <c r="D47" i="8"/>
  <c r="B47" i="8"/>
  <c r="G46" i="8"/>
  <c r="D46" i="8"/>
  <c r="B46" i="8"/>
  <c r="G45" i="8"/>
  <c r="D45" i="8"/>
  <c r="B45" i="8"/>
  <c r="G44" i="8"/>
  <c r="D44" i="8"/>
  <c r="B44" i="8"/>
  <c r="G41" i="8"/>
  <c r="D41" i="8"/>
  <c r="B41" i="8"/>
  <c r="G40" i="8"/>
  <c r="D40" i="8"/>
  <c r="B40" i="8"/>
  <c r="G39" i="8"/>
  <c r="D39" i="8"/>
  <c r="B39" i="8"/>
  <c r="G38" i="8"/>
  <c r="D38" i="8"/>
  <c r="B38" i="8"/>
  <c r="G37" i="8"/>
  <c r="D37" i="8"/>
  <c r="B37" i="8"/>
  <c r="G36" i="8"/>
  <c r="D36" i="8"/>
  <c r="B36" i="8"/>
  <c r="G35" i="8"/>
  <c r="D35" i="8"/>
  <c r="B35" i="8"/>
  <c r="G32" i="8"/>
  <c r="D32" i="8"/>
  <c r="B32" i="8"/>
  <c r="G31" i="8"/>
  <c r="D31" i="8"/>
  <c r="B31" i="8"/>
  <c r="G30" i="8"/>
  <c r="D30" i="8"/>
  <c r="B30" i="8"/>
  <c r="G29" i="8"/>
  <c r="D29" i="8"/>
  <c r="B29" i="8"/>
  <c r="G28" i="8"/>
  <c r="D28" i="8"/>
  <c r="B28" i="8"/>
  <c r="G27" i="8"/>
  <c r="D27" i="8"/>
  <c r="B27" i="8"/>
  <c r="G24" i="8"/>
  <c r="D24" i="8"/>
  <c r="B24" i="8"/>
  <c r="G23" i="8"/>
  <c r="D23" i="8"/>
  <c r="B23" i="8"/>
  <c r="G22" i="8"/>
  <c r="D22" i="8"/>
  <c r="B22" i="8"/>
  <c r="G21" i="8"/>
  <c r="D21" i="8"/>
  <c r="B21" i="8"/>
  <c r="G20" i="8"/>
  <c r="D20" i="8"/>
  <c r="B20" i="8"/>
  <c r="G19" i="8"/>
  <c r="D19" i="8"/>
  <c r="B19" i="8"/>
  <c r="G18" i="8"/>
  <c r="D18" i="8"/>
  <c r="B18" i="8"/>
  <c r="G17" i="8"/>
  <c r="D17" i="8"/>
  <c r="B17" i="8"/>
  <c r="B15" i="8"/>
  <c r="G14" i="8"/>
  <c r="D14" i="8"/>
  <c r="B14" i="8"/>
  <c r="G13" i="8"/>
  <c r="D13" i="8"/>
  <c r="B13" i="8"/>
  <c r="G12" i="8"/>
  <c r="D12" i="8"/>
  <c r="B12" i="8"/>
  <c r="G11" i="8"/>
  <c r="D11" i="8"/>
  <c r="B11" i="8"/>
  <c r="G10" i="8"/>
  <c r="D10" i="8"/>
  <c r="B10" i="8"/>
  <c r="G9" i="8"/>
  <c r="D9" i="8"/>
  <c r="B9" i="8"/>
  <c r="G8" i="8"/>
  <c r="D8" i="8"/>
  <c r="B8" i="8"/>
  <c r="H6" i="8"/>
  <c r="H2" i="8"/>
  <c r="G2" i="8"/>
  <c r="F2" i="8"/>
  <c r="E2" i="8"/>
</calcChain>
</file>

<file path=xl/sharedStrings.xml><?xml version="1.0" encoding="utf-8"?>
<sst xmlns="http://schemas.openxmlformats.org/spreadsheetml/2006/main" count="370" uniqueCount="125">
  <si>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</si>
  <si>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</si>
  <si>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</si>
  <si>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</si>
  <si>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</si>
  <si>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</si>
  <si>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</si>
  <si>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</si>
  <si>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</si>
  <si>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</si>
  <si>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</si>
  <si>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</si>
  <si>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</si>
  <si>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</si>
  <si>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</si>
  <si>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</si>
  <si>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</si>
  <si>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</si>
  <si>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</si>
  <si>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</si>
  <si>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</si>
  <si>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</si>
  <si>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</si>
  <si>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</si>
  <si>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</si>
  <si>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Postres</t>
  </si>
  <si>
    <t>g</t>
  </si>
  <si>
    <t>min</t>
  </si>
  <si>
    <t xml:space="preserve">ud </t>
  </si>
  <si>
    <t>907000001</t>
  </si>
  <si>
    <t>MEZCLA TRES LECHES PASTEURIZADA KILO</t>
  </si>
  <si>
    <t>FAS</t>
  </si>
  <si>
    <t>11400027</t>
  </si>
  <si>
    <t>CREMA BETTERCREAM DOBLE CHOCO (UND:4 K)</t>
  </si>
  <si>
    <t xml:space="preserve">1.- Mezclar las tres leches con la crema doble chocolate y utilizar de inmediato. </t>
  </si>
  <si>
    <t>NUEVO</t>
  </si>
  <si>
    <t>MEZCLA DE LECHES CHOCOLATE</t>
  </si>
  <si>
    <t>MOUSSE FUDGE</t>
  </si>
  <si>
    <t>11400031</t>
  </si>
  <si>
    <t>EMPAQUE FUDGE DE CHOCOLATE SPOON</t>
  </si>
  <si>
    <t>10415</t>
  </si>
  <si>
    <t>0510186</t>
  </si>
  <si>
    <t>1212410</t>
  </si>
  <si>
    <t>11400066</t>
  </si>
  <si>
    <t>MANJAR LECHE CONDENSADA (PAQ: 6 K)</t>
  </si>
  <si>
    <t>EMPAQUE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</si>
  <si>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</si>
  <si>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</si>
  <si>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</si>
  <si>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</si>
  <si>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</si>
  <si>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</si>
  <si>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</si>
  <si>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</si>
  <si>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</si>
  <si>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</si>
  <si>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</si>
  <si>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</si>
  <si>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</si>
  <si>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</si>
  <si>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</si>
  <si>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</si>
  <si>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</si>
  <si>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</si>
  <si>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</si>
  <si>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</si>
  <si>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</si>
  <si>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</si>
  <si>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</si>
  <si>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</si>
  <si>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</si>
  <si>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</si>
  <si>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</si>
  <si>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</si>
  <si>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</si>
  <si>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</si>
  <si>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</si>
  <si>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</si>
  <si>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</si>
  <si>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</si>
  <si>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</si>
  <si>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</si>
  <si>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</si>
  <si>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</si>
  <si>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</si>
  <si>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</si>
  <si>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</si>
  <si>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</si>
  <si>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</si>
  <si>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</si>
  <si>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</si>
  <si>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</si>
  <si>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</si>
  <si>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</si>
  <si>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</si>
  <si>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 xml:space="preserve">UND </t>
  </si>
  <si>
    <t>907000290</t>
  </si>
  <si>
    <t>ROSQUETE EASY CHOCOLATE BC 280 G</t>
  </si>
  <si>
    <t>UND</t>
  </si>
  <si>
    <t>95717</t>
  </si>
  <si>
    <t>908000032</t>
  </si>
  <si>
    <t>701096</t>
  </si>
  <si>
    <t>2172411</t>
  </si>
  <si>
    <t>51400017</t>
  </si>
  <si>
    <t>51400016</t>
  </si>
  <si>
    <t>703020</t>
  </si>
  <si>
    <t>1952874</t>
  </si>
  <si>
    <t>0702123</t>
  </si>
  <si>
    <t>01</t>
  </si>
  <si>
    <t>SE00031</t>
  </si>
  <si>
    <t>MP10006</t>
  </si>
  <si>
    <t>902000152(SE00493) Mezcla de leches chocolate</t>
  </si>
  <si>
    <t>Javier Tong, Chef</t>
  </si>
  <si>
    <t>Esteban Cartin, Gte Manufactura</t>
  </si>
  <si>
    <t># Código Netsuite</t>
  </si>
  <si>
    <t>Ensamble</t>
  </si>
  <si>
    <t>RICH</t>
  </si>
  <si>
    <t>Decoración</t>
  </si>
  <si>
    <t>Empaque</t>
  </si>
  <si>
    <t>Tiempo de Horneo:</t>
  </si>
  <si>
    <t>Horno:</t>
  </si>
  <si>
    <t>Temperatura de Horneo:</t>
  </si>
  <si>
    <t>Otros</t>
  </si>
  <si>
    <t>CONTROL DE CAMBIOS</t>
  </si>
  <si>
    <t>ESP-RE-POF-030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</si>
</sst>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0.0"/>
    <numFmt numFmtId="168" formatCode="[$-409]d\-mmm\-yy;@"/>
    <numFmt numFmtId="169" formatCode="_-* #,##0.0\ _€_-;\-* #,##0.0\ _€_-;_-* &quot;-&quot;??\ _€_-;_-@_-"/>
    <numFmt numFmtId="170" formatCode="_(* #,##0.000_);_(* \(#,##0.000\);_(* &quot;-&quot;??_);_(@_)"/>
  </numFmts>
  <fonts count="50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35" fillId="0" borderId="0"/>
  </cellStyleXfs>
  <cellXfs count="307">
    <xf numFmtId="0" fontId="0" fillId="0" borderId="0" xfId="0"/>
    <xf numFmtId="14" fontId="37" fillId="2" borderId="0" xfId="4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7" fillId="9" borderId="0" xfId="0" applyFont="1" applyFill="1" applyAlignment="1">
      <alignment vertical="center"/>
    </xf>
    <xf numFmtId="0" fontId="8" fillId="10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8" fillId="0" borderId="3" xfId="1" applyFont="1" applyFill="1" applyBorder="1" applyAlignment="1">
      <alignment horizontal="center" vertical="center"/>
    </xf>
    <xf numFmtId="43" fontId="8" fillId="0" borderId="0" xfId="1" applyFont="1" applyFill="1" applyBorder="1" applyAlignment="1">
      <alignment horizontal="center" vertical="center"/>
    </xf>
    <xf numFmtId="43" fontId="10" fillId="0" borderId="0" xfId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8" fontId="13" fillId="0" borderId="0" xfId="0" applyNumberFormat="1" applyFont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" fontId="14" fillId="0" borderId="0" xfId="2" applyNumberFormat="1" applyFont="1" applyFill="1" applyAlignment="1">
      <alignment horizontal="center" vertical="center"/>
    </xf>
    <xf numFmtId="4" fontId="8" fillId="0" borderId="0" xfId="2" applyNumberFormat="1" applyFont="1" applyFill="1" applyAlignment="1">
      <alignment horizontal="center" vertical="center"/>
    </xf>
    <xf numFmtId="10" fontId="8" fillId="0" borderId="0" xfId="5" applyNumberFormat="1" applyFont="1" applyFill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0" fontId="9" fillId="0" borderId="0" xfId="5" applyNumberFormat="1" applyFont="1" applyFill="1" applyAlignment="1">
      <alignment vertical="center"/>
    </xf>
    <xf numFmtId="0" fontId="7" fillId="0" borderId="0" xfId="0" applyFont="1"/>
    <xf numFmtId="49" fontId="8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43" fontId="7" fillId="0" borderId="0" xfId="1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" fontId="8" fillId="0" borderId="0" xfId="1" applyNumberFormat="1" applyFont="1" applyFill="1" applyAlignment="1">
      <alignment vertical="center"/>
    </xf>
    <xf numFmtId="43" fontId="16" fillId="0" borderId="0" xfId="1" applyFont="1" applyFill="1" applyAlignment="1">
      <alignment horizontal="center" vertical="center"/>
    </xf>
    <xf numFmtId="10" fontId="9" fillId="4" borderId="19" xfId="5" applyNumberFormat="1" applyFont="1" applyFill="1" applyBorder="1" applyAlignment="1">
      <alignment vertical="center"/>
    </xf>
    <xf numFmtId="0" fontId="7" fillId="4" borderId="10" xfId="0" applyFont="1" applyFill="1" applyBorder="1" applyAlignment="1">
      <alignment vertical="center"/>
    </xf>
    <xf numFmtId="0" fontId="7" fillId="4" borderId="19" xfId="0" applyFont="1" applyFill="1" applyBorder="1" applyAlignment="1">
      <alignment vertical="center"/>
    </xf>
    <xf numFmtId="43" fontId="16" fillId="4" borderId="20" xfId="1" applyFont="1" applyFill="1" applyBorder="1" applyAlignment="1">
      <alignment horizontal="center" vertical="center"/>
    </xf>
    <xf numFmtId="43" fontId="18" fillId="0" borderId="0" xfId="1" applyFont="1" applyFill="1" applyBorder="1" applyAlignment="1">
      <alignment horizontal="right"/>
    </xf>
    <xf numFmtId="0" fontId="7" fillId="4" borderId="20" xfId="0" applyFont="1" applyFill="1" applyBorder="1" applyAlignment="1">
      <alignment vertical="center"/>
    </xf>
    <xf numFmtId="10" fontId="9" fillId="4" borderId="20" xfId="5" applyNumberFormat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/>
    <xf numFmtId="9" fontId="17" fillId="0" borderId="0" xfId="0" applyNumberFormat="1" applyFont="1"/>
    <xf numFmtId="9" fontId="38" fillId="0" borderId="0" xfId="5" applyFont="1" applyFill="1" applyAlignment="1">
      <alignment horizontal="center"/>
    </xf>
    <xf numFmtId="0" fontId="16" fillId="0" borderId="0" xfId="0" applyFont="1" applyAlignment="1">
      <alignment horizontal="right" vertical="center"/>
    </xf>
    <xf numFmtId="4" fontId="16" fillId="0" borderId="0" xfId="1" applyNumberFormat="1" applyFont="1" applyFill="1" applyAlignment="1">
      <alignment vertical="center"/>
    </xf>
    <xf numFmtId="4" fontId="16" fillId="0" borderId="0" xfId="2" applyNumberFormat="1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8" xfId="0" applyFont="1" applyBorder="1" applyAlignment="1">
      <alignment horizontal="right"/>
    </xf>
    <xf numFmtId="43" fontId="21" fillId="5" borderId="21" xfId="1" applyFont="1" applyFill="1" applyBorder="1" applyAlignment="1">
      <alignment horizontal="right"/>
    </xf>
    <xf numFmtId="43" fontId="21" fillId="0" borderId="0" xfId="1" applyFont="1" applyFill="1" applyBorder="1" applyAlignment="1">
      <alignment horizontal="right"/>
    </xf>
    <xf numFmtId="43" fontId="8" fillId="0" borderId="3" xfId="1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4" fontId="16" fillId="0" borderId="0" xfId="2" applyNumberFormat="1" applyFont="1" applyFill="1" applyAlignment="1">
      <alignment horizontal="center" vertical="center"/>
    </xf>
    <xf numFmtId="10" fontId="23" fillId="0" borderId="0" xfId="5" applyNumberFormat="1" applyFont="1" applyFill="1" applyAlignment="1">
      <alignment horizontal="right"/>
    </xf>
    <xf numFmtId="169" fontId="8" fillId="4" borderId="3" xfId="1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43" fontId="8" fillId="6" borderId="3" xfId="1" applyFont="1" applyFill="1" applyBorder="1" applyAlignment="1">
      <alignment vertical="center"/>
    </xf>
    <xf numFmtId="165" fontId="24" fillId="0" borderId="0" xfId="0" applyNumberFormat="1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9" fillId="4" borderId="22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2" fontId="23" fillId="0" borderId="0" xfId="1" applyNumberFormat="1" applyFont="1" applyFill="1" applyBorder="1" applyAlignment="1">
      <alignment horizontal="center"/>
    </xf>
    <xf numFmtId="2" fontId="20" fillId="0" borderId="0" xfId="1" applyNumberFormat="1" applyFont="1" applyFill="1" applyBorder="1" applyAlignment="1">
      <alignment horizontal="center"/>
    </xf>
    <xf numFmtId="0" fontId="7" fillId="4" borderId="22" xfId="0" applyFont="1" applyFill="1" applyBorder="1" applyAlignment="1">
      <alignment vertical="center"/>
    </xf>
    <xf numFmtId="10" fontId="7" fillId="0" borderId="0" xfId="5" applyNumberFormat="1" applyFont="1" applyFill="1" applyAlignment="1">
      <alignment vertical="center"/>
    </xf>
    <xf numFmtId="4" fontId="7" fillId="0" borderId="0" xfId="1" applyNumberFormat="1" applyFont="1" applyFill="1" applyAlignment="1">
      <alignment vertical="center"/>
    </xf>
    <xf numFmtId="43" fontId="21" fillId="4" borderId="10" xfId="1" applyFont="1" applyFill="1" applyBorder="1" applyAlignment="1">
      <alignment horizontal="right"/>
    </xf>
    <xf numFmtId="0" fontId="8" fillId="4" borderId="11" xfId="0" applyFont="1" applyFill="1" applyBorder="1" applyAlignment="1">
      <alignment horizontal="right" vertical="center"/>
    </xf>
    <xf numFmtId="10" fontId="27" fillId="0" borderId="0" xfId="1" applyNumberFormat="1" applyFont="1" applyFill="1" applyAlignment="1">
      <alignment vertical="center"/>
    </xf>
    <xf numFmtId="10" fontId="9" fillId="0" borderId="0" xfId="5" applyNumberFormat="1" applyFont="1" applyFill="1" applyBorder="1" applyAlignment="1">
      <alignment vertical="center"/>
    </xf>
    <xf numFmtId="165" fontId="28" fillId="0" borderId="0" xfId="0" applyNumberFormat="1" applyFont="1" applyAlignment="1">
      <alignment horizontal="center" vertical="center"/>
    </xf>
    <xf numFmtId="0" fontId="7" fillId="9" borderId="21" xfId="0" applyFont="1" applyFill="1" applyBorder="1" applyAlignment="1">
      <alignment horizontal="center" vertical="center"/>
    </xf>
    <xf numFmtId="43" fontId="29" fillId="0" borderId="0" xfId="1" applyFont="1" applyFill="1" applyAlignment="1">
      <alignment vertical="center"/>
    </xf>
    <xf numFmtId="4" fontId="30" fillId="0" borderId="0" xfId="2" applyNumberFormat="1" applyFont="1" applyFill="1" applyAlignment="1">
      <alignment horizontal="center" vertical="center" wrapText="1"/>
    </xf>
    <xf numFmtId="9" fontId="7" fillId="0" borderId="0" xfId="1" applyNumberFormat="1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15" fillId="0" borderId="0" xfId="1" applyNumberFormat="1" applyFont="1" applyFill="1" applyAlignment="1">
      <alignment vertical="center"/>
    </xf>
    <xf numFmtId="4" fontId="8" fillId="7" borderId="21" xfId="1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43" fontId="31" fillId="0" borderId="0" xfId="1" applyFont="1" applyFill="1" applyAlignment="1">
      <alignment vertical="center"/>
    </xf>
    <xf numFmtId="9" fontId="31" fillId="0" borderId="0" xfId="1" applyNumberFormat="1" applyFont="1" applyFill="1" applyAlignment="1">
      <alignment vertical="center"/>
    </xf>
    <xf numFmtId="4" fontId="8" fillId="0" borderId="0" xfId="1" applyNumberFormat="1" applyFont="1" applyFill="1" applyAlignment="1">
      <alignment horizontal="center" vertical="center"/>
    </xf>
    <xf numFmtId="10" fontId="24" fillId="0" borderId="0" xfId="5" applyNumberFormat="1" applyFont="1" applyFill="1" applyAlignment="1">
      <alignment vertical="center"/>
    </xf>
    <xf numFmtId="43" fontId="24" fillId="0" borderId="0" xfId="1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43" fontId="7" fillId="0" borderId="0" xfId="1" applyFont="1" applyFill="1" applyBorder="1"/>
    <xf numFmtId="10" fontId="24" fillId="0" borderId="0" xfId="5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43" fontId="7" fillId="0" borderId="0" xfId="1" applyFont="1" applyFill="1" applyBorder="1" applyAlignment="1">
      <alignment horizontal="center"/>
    </xf>
    <xf numFmtId="9" fontId="34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5" fontId="8" fillId="0" borderId="0" xfId="0" applyNumberFormat="1" applyFont="1"/>
    <xf numFmtId="0" fontId="41" fillId="2" borderId="1" xfId="4" applyFont="1" applyFill="1" applyBorder="1" applyAlignment="1">
      <alignment horizontal="right"/>
    </xf>
    <xf numFmtId="0" fontId="39" fillId="2" borderId="2" xfId="4" applyFont="1" applyFill="1" applyBorder="1" applyAlignment="1">
      <alignment horizontal="center"/>
    </xf>
    <xf numFmtId="0" fontId="41" fillId="2" borderId="3" xfId="4" applyFont="1" applyFill="1" applyBorder="1" applyAlignment="1">
      <alignment horizontal="right"/>
    </xf>
    <xf numFmtId="49" fontId="39" fillId="2" borderId="4" xfId="4" applyNumberFormat="1" applyFont="1" applyFill="1" applyBorder="1" applyAlignment="1">
      <alignment horizontal="center"/>
    </xf>
    <xf numFmtId="0" fontId="39" fillId="2" borderId="12" xfId="4" applyFont="1" applyFill="1" applyBorder="1" applyAlignment="1">
      <alignment horizontal="right"/>
    </xf>
    <xf numFmtId="0" fontId="39" fillId="2" borderId="3" xfId="4" applyFont="1" applyFill="1" applyBorder="1" applyAlignment="1">
      <alignment horizontal="right"/>
    </xf>
    <xf numFmtId="0" fontId="41" fillId="3" borderId="2" xfId="3" applyFont="1" applyFill="1" applyBorder="1" applyAlignment="1">
      <alignment horizontal="center" vertical="center" wrapText="1"/>
    </xf>
    <xf numFmtId="1" fontId="41" fillId="3" borderId="5" xfId="3" applyNumberFormat="1" applyFont="1" applyFill="1" applyBorder="1" applyAlignment="1">
      <alignment horizontal="center"/>
    </xf>
    <xf numFmtId="1" fontId="41" fillId="3" borderId="5" xfId="3" applyNumberFormat="1" applyFont="1" applyFill="1" applyBorder="1" applyAlignment="1">
      <alignment horizontal="center" wrapText="1"/>
    </xf>
    <xf numFmtId="0" fontId="41" fillId="3" borderId="15" xfId="3" applyFont="1" applyFill="1" applyBorder="1" applyAlignment="1">
      <alignment horizontal="center"/>
    </xf>
    <xf numFmtId="0" fontId="42" fillId="0" borderId="6" xfId="3" applyFont="1" applyBorder="1" applyAlignment="1">
      <alignment horizontal="center" vertical="center"/>
    </xf>
    <xf numFmtId="0" fontId="42" fillId="0" borderId="24" xfId="3" applyFont="1" applyBorder="1" applyAlignment="1">
      <alignment horizontal="center" vertical="center"/>
    </xf>
    <xf numFmtId="0" fontId="43" fillId="0" borderId="3" xfId="3" applyFont="1" applyBorder="1" applyAlignment="1">
      <alignment vertical="center"/>
    </xf>
    <xf numFmtId="0" fontId="42" fillId="0" borderId="3" xfId="3" applyFont="1" applyBorder="1" applyAlignment="1">
      <alignment horizontal="center" vertical="center"/>
    </xf>
    <xf numFmtId="1" fontId="42" fillId="0" borderId="3" xfId="3" applyNumberFormat="1" applyFont="1" applyBorder="1" applyAlignment="1">
      <alignment horizontal="center"/>
    </xf>
    <xf numFmtId="1" fontId="42" fillId="0" borderId="3" xfId="3" applyNumberFormat="1" applyFont="1" applyBorder="1" applyAlignment="1">
      <alignment horizontal="center" wrapText="1"/>
    </xf>
    <xf numFmtId="0" fontId="44" fillId="0" borderId="4" xfId="3" applyFont="1" applyBorder="1" applyAlignment="1">
      <alignment horizontal="center"/>
    </xf>
    <xf numFmtId="49" fontId="31" fillId="0" borderId="3" xfId="3" applyNumberFormat="1" applyFont="1" applyBorder="1" applyAlignment="1">
      <alignment horizontal="center"/>
    </xf>
    <xf numFmtId="0" fontId="31" fillId="0" borderId="3" xfId="3" applyFont="1" applyBorder="1" applyAlignment="1">
      <alignment horizontal="left" wrapText="1"/>
    </xf>
    <xf numFmtId="16" fontId="7" fillId="0" borderId="3" xfId="3" applyNumberFormat="1" applyFont="1" applyBorder="1" applyAlignment="1">
      <alignment horizontal="center"/>
    </xf>
    <xf numFmtId="1" fontId="7" fillId="0" borderId="3" xfId="3" applyNumberFormat="1" applyFont="1" applyBorder="1" applyAlignment="1">
      <alignment horizontal="center"/>
    </xf>
    <xf numFmtId="1" fontId="7" fillId="0" borderId="3" xfId="3" applyNumberFormat="1" applyFont="1" applyBorder="1" applyAlignment="1">
      <alignment horizontal="center" wrapText="1"/>
    </xf>
    <xf numFmtId="0" fontId="39" fillId="0" borderId="12" xfId="0" applyFont="1" applyBorder="1" applyAlignment="1">
      <alignment horizontal="center" wrapText="1"/>
    </xf>
    <xf numFmtId="12" fontId="39" fillId="0" borderId="12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9" borderId="3" xfId="0" applyFill="1" applyBorder="1"/>
    <xf numFmtId="16" fontId="44" fillId="2" borderId="3" xfId="0" applyNumberFormat="1" applyFont="1" applyFill="1" applyBorder="1" applyAlignment="1">
      <alignment horizontal="center"/>
    </xf>
    <xf numFmtId="1" fontId="45" fillId="2" borderId="3" xfId="0" applyNumberFormat="1" applyFont="1" applyFill="1" applyBorder="1" applyAlignment="1">
      <alignment horizontal="center"/>
    </xf>
    <xf numFmtId="1" fontId="44" fillId="2" borderId="3" xfId="0" applyNumberFormat="1" applyFont="1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36" fillId="0" borderId="0" xfId="0" applyFont="1"/>
    <xf numFmtId="0" fontId="39" fillId="0" borderId="3" xfId="0" applyFont="1" applyBorder="1" applyAlignment="1">
      <alignment horizontal="center"/>
    </xf>
    <xf numFmtId="1" fontId="44" fillId="0" borderId="3" xfId="3" applyNumberFormat="1" applyFont="1" applyBorder="1" applyAlignment="1">
      <alignment horizontal="center"/>
    </xf>
    <xf numFmtId="0" fontId="44" fillId="0" borderId="3" xfId="3" applyFont="1" applyBorder="1" applyAlignment="1">
      <alignment horizontal="center"/>
    </xf>
    <xf numFmtId="1" fontId="44" fillId="0" borderId="3" xfId="3" applyNumberFormat="1" applyFont="1" applyBorder="1" applyAlignment="1">
      <alignment horizontal="center" wrapText="1"/>
    </xf>
    <xf numFmtId="1" fontId="0" fillId="0" borderId="3" xfId="0" applyNumberFormat="1" applyBorder="1"/>
    <xf numFmtId="0" fontId="0" fillId="0" borderId="3" xfId="0" applyBorder="1"/>
    <xf numFmtId="0" fontId="39" fillId="9" borderId="3" xfId="3" applyFont="1" applyFill="1" applyBorder="1" applyAlignment="1">
      <alignment horizontal="center"/>
    </xf>
    <xf numFmtId="49" fontId="44" fillId="0" borderId="6" xfId="3" applyNumberFormat="1" applyFont="1" applyBorder="1" applyAlignment="1">
      <alignment horizontal="center"/>
    </xf>
    <xf numFmtId="49" fontId="44" fillId="0" borderId="24" xfId="3" applyNumberFormat="1" applyFont="1" applyBorder="1" applyAlignment="1">
      <alignment horizontal="center"/>
    </xf>
    <xf numFmtId="0" fontId="46" fillId="9" borderId="3" xfId="3" applyFont="1" applyFill="1" applyBorder="1" applyAlignment="1">
      <alignment horizontal="left"/>
    </xf>
    <xf numFmtId="167" fontId="44" fillId="0" borderId="3" xfId="3" applyNumberFormat="1" applyFont="1" applyBorder="1" applyAlignment="1">
      <alignment horizontal="center"/>
    </xf>
    <xf numFmtId="0" fontId="47" fillId="9" borderId="6" xfId="0" applyFont="1" applyFill="1" applyBorder="1" applyAlignment="1">
      <alignment horizontal="center"/>
    </xf>
    <xf numFmtId="0" fontId="47" fillId="9" borderId="23" xfId="0" applyFont="1" applyFill="1" applyBorder="1" applyAlignment="1">
      <alignment horizontal="center"/>
    </xf>
    <xf numFmtId="0" fontId="47" fillId="9" borderId="12" xfId="0" applyFont="1" applyFill="1" applyBorder="1"/>
    <xf numFmtId="0" fontId="39" fillId="9" borderId="24" xfId="0" applyFont="1" applyFill="1" applyBorder="1" applyAlignment="1">
      <alignment horizontal="center"/>
    </xf>
    <xf numFmtId="1" fontId="39" fillId="9" borderId="12" xfId="0" applyNumberFormat="1" applyFont="1" applyFill="1" applyBorder="1" applyAlignment="1">
      <alignment horizontal="center"/>
    </xf>
    <xf numFmtId="1" fontId="39" fillId="9" borderId="12" xfId="0" applyNumberFormat="1" applyFont="1" applyFill="1" applyBorder="1" applyAlignment="1">
      <alignment horizontal="center" wrapText="1"/>
    </xf>
    <xf numFmtId="49" fontId="39" fillId="9" borderId="12" xfId="0" applyNumberFormat="1" applyFont="1" applyFill="1" applyBorder="1" applyAlignment="1">
      <alignment horizontal="center"/>
    </xf>
    <xf numFmtId="1" fontId="39" fillId="9" borderId="3" xfId="3" applyNumberFormat="1" applyFont="1" applyFill="1" applyBorder="1" applyAlignment="1">
      <alignment horizontal="center"/>
    </xf>
    <xf numFmtId="1" fontId="39" fillId="9" borderId="3" xfId="3" applyNumberFormat="1" applyFont="1" applyFill="1" applyBorder="1" applyAlignment="1">
      <alignment horizontal="center" wrapText="1"/>
    </xf>
    <xf numFmtId="1" fontId="39" fillId="9" borderId="3" xfId="0" applyNumberFormat="1" applyFont="1" applyFill="1" applyBorder="1" applyAlignment="1">
      <alignment horizontal="center"/>
    </xf>
    <xf numFmtId="16" fontId="39" fillId="9" borderId="3" xfId="0" applyNumberFormat="1" applyFont="1" applyFill="1" applyBorder="1" applyAlignment="1">
      <alignment horizontal="center"/>
    </xf>
    <xf numFmtId="0" fontId="39" fillId="2" borderId="3" xfId="0" applyFont="1" applyFill="1" applyBorder="1" applyAlignment="1">
      <alignment horizontal="center"/>
    </xf>
    <xf numFmtId="1" fontId="39" fillId="0" borderId="12" xfId="0" applyNumberFormat="1" applyFont="1" applyBorder="1" applyAlignment="1">
      <alignment horizontal="center" wrapText="1"/>
    </xf>
    <xf numFmtId="16" fontId="39" fillId="0" borderId="3" xfId="0" applyNumberFormat="1" applyFont="1" applyBorder="1" applyAlignment="1">
      <alignment horizontal="center"/>
    </xf>
    <xf numFmtId="1" fontId="39" fillId="0" borderId="12" xfId="0" applyNumberFormat="1" applyFont="1" applyBorder="1" applyAlignment="1">
      <alignment horizontal="center"/>
    </xf>
    <xf numFmtId="1" fontId="39" fillId="0" borderId="3" xfId="0" applyNumberFormat="1" applyFont="1" applyBorder="1" applyAlignment="1">
      <alignment horizontal="center"/>
    </xf>
    <xf numFmtId="1" fontId="39" fillId="0" borderId="3" xfId="0" applyNumberFormat="1" applyFont="1" applyBorder="1" applyAlignment="1">
      <alignment horizontal="center" wrapText="1"/>
    </xf>
    <xf numFmtId="49" fontId="42" fillId="0" borderId="33" xfId="3" applyNumberFormat="1" applyFont="1" applyBorder="1" applyAlignment="1">
      <alignment horizontal="center"/>
    </xf>
    <xf numFmtId="49" fontId="42" fillId="0" borderId="26" xfId="3" applyNumberFormat="1" applyFont="1" applyBorder="1" applyAlignment="1">
      <alignment horizontal="center"/>
    </xf>
    <xf numFmtId="0" fontId="48" fillId="9" borderId="3" xfId="3" applyFont="1" applyFill="1" applyBorder="1" applyAlignment="1">
      <alignment vertical="center"/>
    </xf>
    <xf numFmtId="0" fontId="42" fillId="0" borderId="24" xfId="3" applyFont="1" applyBorder="1" applyAlignment="1">
      <alignment horizontal="center"/>
    </xf>
    <xf numFmtId="167" fontId="42" fillId="0" borderId="3" xfId="3" applyNumberFormat="1" applyFont="1" applyBorder="1" applyAlignment="1">
      <alignment horizontal="center"/>
    </xf>
    <xf numFmtId="49" fontId="44" fillId="0" borderId="3" xfId="0" applyNumberFormat="1" applyFont="1" applyBorder="1" applyAlignment="1">
      <alignment horizontal="center"/>
    </xf>
    <xf numFmtId="49" fontId="7" fillId="0" borderId="3" xfId="0" applyNumberFormat="1" applyFont="1" applyBorder="1"/>
    <xf numFmtId="0" fontId="44" fillId="0" borderId="3" xfId="0" applyFont="1" applyBorder="1" applyAlignment="1">
      <alignment horizontal="center"/>
    </xf>
    <xf numFmtId="1" fontId="44" fillId="0" borderId="3" xfId="0" applyNumberFormat="1" applyFont="1" applyBorder="1" applyAlignment="1">
      <alignment horizontal="center"/>
    </xf>
    <xf numFmtId="1" fontId="44" fillId="0" borderId="3" xfId="0" applyNumberFormat="1" applyFont="1" applyBorder="1" applyAlignment="1">
      <alignment horizontal="center" wrapText="1"/>
    </xf>
    <xf numFmtId="170" fontId="41" fillId="9" borderId="3" xfId="1" applyNumberFormat="1" applyFont="1" applyFill="1" applyBorder="1" applyAlignment="1">
      <alignment horizontal="center"/>
    </xf>
    <xf numFmtId="0" fontId="35" fillId="0" borderId="3" xfId="6" applyBorder="1" applyAlignment="1">
      <alignment horizontal="center"/>
    </xf>
    <xf numFmtId="0" fontId="35" fillId="0" borderId="3" xfId="6" applyBorder="1" applyAlignment="1">
      <alignment horizontal="left"/>
    </xf>
    <xf numFmtId="16" fontId="44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44" fillId="0" borderId="3" xfId="3" applyNumberFormat="1" applyFont="1" applyBorder="1" applyAlignment="1">
      <alignment horizontal="center"/>
    </xf>
    <xf numFmtId="0" fontId="45" fillId="0" borderId="3" xfId="0" applyFont="1" applyBorder="1" applyAlignment="1">
      <alignment horizontal="center"/>
    </xf>
    <xf numFmtId="0" fontId="39" fillId="0" borderId="3" xfId="0" quotePrefix="1" applyFont="1" applyBorder="1" applyAlignment="1">
      <alignment horizontal="center"/>
    </xf>
    <xf numFmtId="0" fontId="39" fillId="0" borderId="3" xfId="0" quotePrefix="1" applyFont="1" applyBorder="1"/>
    <xf numFmtId="1" fontId="45" fillId="0" borderId="3" xfId="3" applyNumberFormat="1" applyFont="1" applyBorder="1" applyAlignment="1">
      <alignment horizontal="center"/>
    </xf>
    <xf numFmtId="49" fontId="7" fillId="0" borderId="3" xfId="3" applyNumberFormat="1" applyFont="1" applyBorder="1"/>
    <xf numFmtId="0" fontId="45" fillId="0" borderId="3" xfId="3" applyFont="1" applyBorder="1" applyAlignment="1">
      <alignment horizontal="center"/>
    </xf>
    <xf numFmtId="49" fontId="49" fillId="2" borderId="7" xfId="3" applyNumberFormat="1" applyFont="1" applyFill="1" applyBorder="1" applyAlignment="1">
      <alignment horizontal="center" vertical="center"/>
    </xf>
    <xf numFmtId="49" fontId="49" fillId="2" borderId="0" xfId="3" applyNumberFormat="1" applyFont="1" applyFill="1" applyAlignment="1">
      <alignment horizontal="center" vertical="center"/>
    </xf>
    <xf numFmtId="0" fontId="39" fillId="2" borderId="0" xfId="3" applyFont="1" applyFill="1"/>
    <xf numFmtId="1" fontId="39" fillId="2" borderId="0" xfId="3" applyNumberFormat="1" applyFont="1" applyFill="1" applyAlignment="1">
      <alignment horizontal="center"/>
    </xf>
    <xf numFmtId="166" fontId="39" fillId="2" borderId="0" xfId="3" applyNumberFormat="1" applyFont="1" applyFill="1" applyAlignment="1">
      <alignment horizontal="center" wrapText="1"/>
    </xf>
    <xf numFmtId="0" fontId="39" fillId="2" borderId="8" xfId="3" applyFont="1" applyFill="1" applyBorder="1" applyAlignment="1">
      <alignment horizontal="center"/>
    </xf>
    <xf numFmtId="0" fontId="39" fillId="3" borderId="9" xfId="3" applyFont="1" applyFill="1" applyBorder="1" applyAlignment="1">
      <alignment horizontal="center"/>
    </xf>
    <xf numFmtId="0" fontId="39" fillId="3" borderId="10" xfId="3" applyFont="1" applyFill="1" applyBorder="1" applyAlignment="1">
      <alignment horizontal="center"/>
    </xf>
    <xf numFmtId="0" fontId="39" fillId="3" borderId="10" xfId="3" applyFont="1" applyFill="1" applyBorder="1"/>
    <xf numFmtId="0" fontId="41" fillId="3" borderId="10" xfId="3" applyFont="1" applyFill="1" applyBorder="1" applyAlignment="1">
      <alignment horizontal="center"/>
    </xf>
    <xf numFmtId="1" fontId="41" fillId="3" borderId="10" xfId="3" applyNumberFormat="1" applyFont="1" applyFill="1" applyBorder="1" applyAlignment="1">
      <alignment horizontal="center"/>
    </xf>
    <xf numFmtId="166" fontId="39" fillId="3" borderId="10" xfId="3" applyNumberFormat="1" applyFont="1" applyFill="1" applyBorder="1" applyAlignment="1">
      <alignment horizontal="center" wrapText="1"/>
    </xf>
    <xf numFmtId="0" fontId="39" fillId="3" borderId="11" xfId="3" applyFont="1" applyFill="1" applyBorder="1" applyAlignment="1">
      <alignment horizontal="center"/>
    </xf>
    <xf numFmtId="0" fontId="39" fillId="0" borderId="13" xfId="0" applyFont="1" applyBorder="1" applyAlignment="1">
      <alignment horizontal="center"/>
    </xf>
    <xf numFmtId="1" fontId="39" fillId="0" borderId="5" xfId="0" applyNumberFormat="1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42" fillId="0" borderId="33" xfId="0" applyFont="1" applyBorder="1" applyAlignment="1">
      <alignment horizontal="left"/>
    </xf>
    <xf numFmtId="0" fontId="42" fillId="0" borderId="26" xfId="0" applyFont="1" applyBorder="1" applyAlignment="1">
      <alignment horizontal="left"/>
    </xf>
    <xf numFmtId="0" fontId="42" fillId="0" borderId="34" xfId="0" applyFont="1" applyBorder="1" applyAlignment="1">
      <alignment horizontal="left"/>
    </xf>
    <xf numFmtId="0" fontId="41" fillId="11" borderId="49" xfId="4" applyFont="1" applyFill="1" applyBorder="1" applyAlignment="1">
      <alignment horizontal="center"/>
    </xf>
    <xf numFmtId="0" fontId="41" fillId="11" borderId="39" xfId="4" applyFont="1" applyFill="1" applyBorder="1" applyAlignment="1">
      <alignment horizontal="center"/>
    </xf>
    <xf numFmtId="0" fontId="39" fillId="2" borderId="50" xfId="4" applyFont="1" applyFill="1" applyBorder="1" applyAlignment="1">
      <alignment horizontal="left"/>
    </xf>
    <xf numFmtId="0" fontId="39" fillId="2" borderId="0" xfId="4" applyFont="1" applyFill="1" applyAlignment="1">
      <alignment horizontal="left"/>
    </xf>
    <xf numFmtId="0" fontId="4" fillId="0" borderId="28" xfId="3" applyFont="1" applyBorder="1" applyAlignment="1">
      <alignment horizontal="left" wrapText="1"/>
    </xf>
    <xf numFmtId="0" fontId="4" fillId="0" borderId="29" xfId="3" applyFont="1" applyBorder="1" applyAlignment="1">
      <alignment horizontal="left" wrapText="1"/>
    </xf>
    <xf numFmtId="0" fontId="4" fillId="0" borderId="30" xfId="3" applyFont="1" applyBorder="1" applyAlignment="1">
      <alignment horizontal="left" wrapText="1"/>
    </xf>
    <xf numFmtId="0" fontId="45" fillId="0" borderId="33" xfId="0" applyFont="1" applyBorder="1" applyAlignment="1">
      <alignment horizontal="left" wrapText="1"/>
    </xf>
    <xf numFmtId="0" fontId="45" fillId="0" borderId="26" xfId="0" applyFont="1" applyBorder="1" applyAlignment="1">
      <alignment horizontal="left" wrapText="1"/>
    </xf>
    <xf numFmtId="0" fontId="45" fillId="0" borderId="34" xfId="0" applyFont="1" applyBorder="1" applyAlignment="1">
      <alignment horizontal="left" wrapText="1"/>
    </xf>
    <xf numFmtId="0" fontId="45" fillId="0" borderId="6" xfId="0" applyFont="1" applyBorder="1" applyAlignment="1">
      <alignment horizontal="left" wrapText="1"/>
    </xf>
    <xf numFmtId="0" fontId="45" fillId="0" borderId="24" xfId="0" applyFont="1" applyBorder="1" applyAlignment="1">
      <alignment horizontal="left" wrapText="1"/>
    </xf>
    <xf numFmtId="0" fontId="45" fillId="0" borderId="3" xfId="0" applyFont="1" applyBorder="1" applyAlignment="1">
      <alignment horizontal="left" wrapText="1"/>
    </xf>
    <xf numFmtId="0" fontId="45" fillId="0" borderId="4" xfId="0" applyFont="1" applyBorder="1" applyAlignment="1">
      <alignment horizontal="left" wrapText="1"/>
    </xf>
    <xf numFmtId="0" fontId="41" fillId="0" borderId="28" xfId="3" applyFont="1" applyBorder="1" applyAlignment="1">
      <alignment horizontal="left" wrapText="1"/>
    </xf>
    <xf numFmtId="0" fontId="41" fillId="0" borderId="29" xfId="3" applyFont="1" applyBorder="1" applyAlignment="1">
      <alignment horizontal="left" wrapText="1"/>
    </xf>
    <xf numFmtId="0" fontId="41" fillId="0" borderId="30" xfId="3" applyFont="1" applyBorder="1" applyAlignment="1">
      <alignment horizontal="left" wrapText="1"/>
    </xf>
    <xf numFmtId="0" fontId="41" fillId="0" borderId="33" xfId="3" applyFont="1" applyBorder="1" applyAlignment="1">
      <alignment horizontal="right"/>
    </xf>
    <xf numFmtId="0" fontId="41" fillId="0" borderId="26" xfId="3" applyFont="1" applyBorder="1" applyAlignment="1">
      <alignment horizontal="right"/>
    </xf>
    <xf numFmtId="0" fontId="41" fillId="0" borderId="24" xfId="3" applyFont="1" applyBorder="1" applyAlignment="1">
      <alignment horizontal="right"/>
    </xf>
    <xf numFmtId="0" fontId="39" fillId="0" borderId="3" xfId="3" applyFont="1" applyBorder="1" applyAlignment="1">
      <alignment horizontal="right"/>
    </xf>
    <xf numFmtId="166" fontId="39" fillId="0" borderId="25" xfId="3" applyNumberFormat="1" applyFont="1" applyBorder="1" applyAlignment="1">
      <alignment horizontal="center"/>
    </xf>
    <xf numFmtId="166" fontId="39" fillId="0" borderId="34" xfId="3" applyNumberFormat="1" applyFont="1" applyBorder="1" applyAlignment="1">
      <alignment horizontal="center"/>
    </xf>
    <xf numFmtId="166" fontId="39" fillId="0" borderId="25" xfId="3" applyNumberFormat="1" applyFont="1" applyBorder="1" applyAlignment="1">
      <alignment horizontal="right" wrapText="1"/>
    </xf>
    <xf numFmtId="166" fontId="39" fillId="0" borderId="24" xfId="3" applyNumberFormat="1" applyFont="1" applyBorder="1" applyAlignment="1">
      <alignment horizontal="right" wrapText="1"/>
    </xf>
    <xf numFmtId="166" fontId="39" fillId="0" borderId="25" xfId="0" applyNumberFormat="1" applyFont="1" applyBorder="1" applyAlignment="1">
      <alignment horizontal="center" wrapText="1"/>
    </xf>
    <xf numFmtId="166" fontId="39" fillId="0" borderId="34" xfId="0" applyNumberFormat="1" applyFont="1" applyBorder="1" applyAlignment="1">
      <alignment horizontal="center" wrapText="1"/>
    </xf>
    <xf numFmtId="0" fontId="41" fillId="0" borderId="32" xfId="3" applyFont="1" applyBorder="1" applyAlignment="1">
      <alignment horizontal="right"/>
    </xf>
    <xf numFmtId="0" fontId="41" fillId="0" borderId="36" xfId="3" applyFont="1" applyBorder="1" applyAlignment="1">
      <alignment horizontal="right"/>
    </xf>
    <xf numFmtId="0" fontId="41" fillId="0" borderId="5" xfId="3" applyFont="1" applyBorder="1" applyAlignment="1">
      <alignment horizontal="right"/>
    </xf>
    <xf numFmtId="0" fontId="39" fillId="0" borderId="5" xfId="3" applyFont="1" applyBorder="1" applyAlignment="1">
      <alignment horizontal="right"/>
    </xf>
    <xf numFmtId="0" fontId="41" fillId="3" borderId="9" xfId="3" applyFont="1" applyFill="1" applyBorder="1" applyAlignment="1">
      <alignment horizontal="left"/>
    </xf>
    <xf numFmtId="0" fontId="41" fillId="3" borderId="10" xfId="3" applyFont="1" applyFill="1" applyBorder="1" applyAlignment="1">
      <alignment horizontal="left"/>
    </xf>
    <xf numFmtId="0" fontId="41" fillId="3" borderId="11" xfId="3" applyFont="1" applyFill="1" applyBorder="1" applyAlignment="1">
      <alignment horizontal="left"/>
    </xf>
    <xf numFmtId="0" fontId="41" fillId="0" borderId="28" xfId="3" applyFont="1" applyBorder="1" applyAlignment="1">
      <alignment horizontal="right"/>
    </xf>
    <xf numFmtId="0" fontId="41" fillId="0" borderId="29" xfId="3" applyFont="1" applyBorder="1" applyAlignment="1">
      <alignment horizontal="right"/>
    </xf>
    <xf numFmtId="0" fontId="41" fillId="0" borderId="23" xfId="3" applyFont="1" applyBorder="1" applyAlignment="1">
      <alignment horizontal="right"/>
    </xf>
    <xf numFmtId="166" fontId="39" fillId="0" borderId="12" xfId="3" applyNumberFormat="1" applyFont="1" applyBorder="1" applyAlignment="1">
      <alignment horizontal="right"/>
    </xf>
    <xf numFmtId="0" fontId="39" fillId="2" borderId="13" xfId="3" applyFont="1" applyFill="1" applyBorder="1" applyAlignment="1">
      <alignment horizontal="center"/>
    </xf>
    <xf numFmtId="0" fontId="39" fillId="2" borderId="30" xfId="3" applyFont="1" applyFill="1" applyBorder="1" applyAlignment="1">
      <alignment horizontal="center"/>
    </xf>
    <xf numFmtId="0" fontId="3" fillId="2" borderId="0" xfId="4" applyFont="1" applyFill="1" applyAlignment="1">
      <alignment horizontal="right"/>
    </xf>
    <xf numFmtId="0" fontId="37" fillId="2" borderId="27" xfId="4" applyFont="1" applyFill="1" applyBorder="1" applyAlignment="1">
      <alignment horizontal="center"/>
    </xf>
    <xf numFmtId="0" fontId="3" fillId="2" borderId="0" xfId="4" applyFont="1" applyFill="1"/>
    <xf numFmtId="0" fontId="41" fillId="3" borderId="31" xfId="3" applyFont="1" applyFill="1" applyBorder="1" applyAlignment="1">
      <alignment horizontal="center" vertical="center"/>
    </xf>
    <xf numFmtId="0" fontId="41" fillId="3" borderId="32" xfId="3" applyFont="1" applyFill="1" applyBorder="1" applyAlignment="1">
      <alignment horizontal="center" vertical="center"/>
    </xf>
    <xf numFmtId="0" fontId="41" fillId="3" borderId="31" xfId="3" applyFont="1" applyFill="1" applyBorder="1" applyAlignment="1">
      <alignment horizontal="center" vertical="center" wrapText="1"/>
    </xf>
    <xf numFmtId="0" fontId="41" fillId="3" borderId="32" xfId="3" applyFont="1" applyFill="1" applyBorder="1" applyAlignment="1">
      <alignment horizontal="center" vertical="center" wrapText="1"/>
    </xf>
    <xf numFmtId="0" fontId="41" fillId="3" borderId="1" xfId="3" applyFont="1" applyFill="1" applyBorder="1" applyAlignment="1">
      <alignment horizontal="center" vertical="center"/>
    </xf>
    <xf numFmtId="0" fontId="41" fillId="3" borderId="5" xfId="3" applyFont="1" applyFill="1" applyBorder="1" applyAlignment="1">
      <alignment horizontal="center" vertical="center"/>
    </xf>
    <xf numFmtId="14" fontId="39" fillId="2" borderId="44" xfId="4" applyNumberFormat="1" applyFont="1" applyFill="1" applyBorder="1" applyAlignment="1">
      <alignment horizontal="center" vertical="center" wrapText="1"/>
    </xf>
    <xf numFmtId="14" fontId="39" fillId="2" borderId="48" xfId="4" applyNumberFormat="1" applyFont="1" applyFill="1" applyBorder="1" applyAlignment="1">
      <alignment horizontal="center" vertical="center" wrapText="1"/>
    </xf>
    <xf numFmtId="14" fontId="39" fillId="2" borderId="14" xfId="4" applyNumberFormat="1" applyFont="1" applyFill="1" applyBorder="1" applyAlignment="1">
      <alignment horizontal="center" vertical="center" wrapText="1"/>
    </xf>
    <xf numFmtId="0" fontId="39" fillId="2" borderId="45" xfId="4" applyFont="1" applyFill="1" applyBorder="1" applyAlignment="1">
      <alignment horizontal="left"/>
    </xf>
    <xf numFmtId="0" fontId="39" fillId="2" borderId="46" xfId="4" applyFont="1" applyFill="1" applyBorder="1" applyAlignment="1">
      <alignment horizontal="left"/>
    </xf>
    <xf numFmtId="0" fontId="39" fillId="2" borderId="47" xfId="4" applyFont="1" applyFill="1" applyBorder="1" applyAlignment="1">
      <alignment horizontal="left"/>
    </xf>
    <xf numFmtId="0" fontId="39" fillId="2" borderId="25" xfId="4" applyFont="1" applyFill="1" applyBorder="1" applyAlignment="1">
      <alignment horizontal="left"/>
    </xf>
    <xf numFmtId="0" fontId="39" fillId="2" borderId="26" xfId="4" applyFont="1" applyFill="1" applyBorder="1" applyAlignment="1">
      <alignment horizontal="left"/>
    </xf>
    <xf numFmtId="0" fontId="39" fillId="2" borderId="24" xfId="4" applyFont="1" applyFill="1" applyBorder="1" applyAlignment="1">
      <alignment horizontal="left"/>
    </xf>
    <xf numFmtId="0" fontId="39" fillId="2" borderId="38" xfId="4" applyFont="1" applyFill="1" applyBorder="1" applyAlignment="1">
      <alignment horizontal="center"/>
    </xf>
    <xf numFmtId="0" fontId="39" fillId="2" borderId="39" xfId="4" applyFont="1" applyFill="1" applyBorder="1" applyAlignment="1">
      <alignment horizontal="center"/>
    </xf>
    <xf numFmtId="0" fontId="39" fillId="2" borderId="7" xfId="4" applyFont="1" applyFill="1" applyBorder="1" applyAlignment="1">
      <alignment horizontal="center"/>
    </xf>
    <xf numFmtId="0" fontId="39" fillId="2" borderId="0" xfId="4" applyFont="1" applyFill="1" applyAlignment="1">
      <alignment horizontal="center"/>
    </xf>
    <xf numFmtId="0" fontId="39" fillId="2" borderId="28" xfId="4" applyFont="1" applyFill="1" applyBorder="1" applyAlignment="1">
      <alignment horizontal="center"/>
    </xf>
    <xf numFmtId="0" fontId="39" fillId="2" borderId="29" xfId="4" applyFont="1" applyFill="1" applyBorder="1" applyAlignment="1">
      <alignment horizontal="center"/>
    </xf>
    <xf numFmtId="0" fontId="40" fillId="2" borderId="1" xfId="4" applyFont="1" applyFill="1" applyBorder="1" applyAlignment="1">
      <alignment horizontal="center"/>
    </xf>
    <xf numFmtId="0" fontId="40" fillId="2" borderId="37" xfId="4" applyFont="1" applyFill="1" applyBorder="1" applyAlignment="1">
      <alignment horizontal="center"/>
    </xf>
    <xf numFmtId="0" fontId="40" fillId="2" borderId="42" xfId="4" applyFont="1" applyFill="1" applyBorder="1" applyAlignment="1">
      <alignment horizontal="center"/>
    </xf>
    <xf numFmtId="0" fontId="40" fillId="2" borderId="36" xfId="4" applyFont="1" applyFill="1" applyBorder="1" applyAlignment="1">
      <alignment horizontal="center"/>
    </xf>
    <xf numFmtId="0" fontId="5" fillId="5" borderId="25" xfId="4" applyFont="1" applyFill="1" applyBorder="1" applyAlignment="1">
      <alignment horizontal="center" vertical="center" wrapText="1"/>
    </xf>
    <xf numFmtId="0" fontId="5" fillId="5" borderId="26" xfId="4" applyFont="1" applyFill="1" applyBorder="1" applyAlignment="1">
      <alignment horizontal="center" vertical="center" wrapText="1"/>
    </xf>
    <xf numFmtId="0" fontId="5" fillId="5" borderId="24" xfId="4" applyFont="1" applyFill="1" applyBorder="1" applyAlignment="1">
      <alignment horizontal="center" vertical="center" wrapText="1"/>
    </xf>
    <xf numFmtId="0" fontId="41" fillId="2" borderId="43" xfId="4" applyFont="1" applyFill="1" applyBorder="1" applyAlignment="1">
      <alignment horizontal="right" vertical="top" wrapText="1"/>
    </xf>
    <xf numFmtId="0" fontId="41" fillId="2" borderId="40" xfId="4" applyFont="1" applyFill="1" applyBorder="1" applyAlignment="1">
      <alignment horizontal="right" vertical="top" wrapText="1"/>
    </xf>
    <xf numFmtId="0" fontId="41" fillId="2" borderId="41" xfId="4" applyFont="1" applyFill="1" applyBorder="1" applyAlignment="1">
      <alignment horizontal="right" vertical="top" wrapText="1"/>
    </xf>
    <xf numFmtId="0" fontId="11" fillId="0" borderId="2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7" fillId="0" borderId="38" xfId="0" applyFont="1" applyBorder="1" applyAlignment="1">
      <alignment horizontal="right"/>
    </xf>
    <xf numFmtId="0" fontId="17" fillId="0" borderId="39" xfId="0" applyFont="1" applyBorder="1" applyAlignment="1">
      <alignment horizontal="right"/>
    </xf>
    <xf numFmtId="4" fontId="30" fillId="0" borderId="0" xfId="2" applyNumberFormat="1" applyFont="1" applyFill="1" applyAlignment="1">
      <alignment horizontal="center" vertical="center" wrapText="1"/>
    </xf>
    <xf numFmtId="0" fontId="7" fillId="0" borderId="3" xfId="0" applyFont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24" fillId="0" borderId="3" xfId="0" applyFont="1" applyBorder="1" applyAlignment="1">
      <alignment horizontal="right" vertical="center"/>
    </xf>
    <xf numFmtId="0" fontId="25" fillId="0" borderId="7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8" xfId="0" applyFont="1" applyBorder="1" applyAlignment="1">
      <alignment horizontal="right"/>
    </xf>
    <xf numFmtId="0" fontId="16" fillId="0" borderId="0" xfId="0" applyFont="1" applyAlignment="1">
      <alignment horizontal="center" vertical="center"/>
    </xf>
    <xf numFmtId="0" fontId="32" fillId="0" borderId="9" xfId="0" applyFont="1" applyBorder="1" applyAlignment="1">
      <alignment horizontal="right" vertical="center"/>
    </xf>
    <xf numFmtId="0" fontId="32" fillId="0" borderId="10" xfId="0" applyFont="1" applyBorder="1" applyAlignment="1">
      <alignment horizontal="right" vertical="center"/>
    </xf>
    <xf numFmtId="0" fontId="32" fillId="0" borderId="11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23" fillId="0" borderId="27" xfId="0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1" fillId="4" borderId="9" xfId="0" applyFont="1" applyFill="1" applyBorder="1" applyAlignment="1">
      <alignment horizontal="right"/>
    </xf>
    <xf numFmtId="0" fontId="21" fillId="4" borderId="10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8" fillId="0" borderId="27" xfId="0" applyFont="1" applyBorder="1" applyAlignment="1">
      <alignment horizontal="right" vertical="center"/>
    </xf>
    <xf numFmtId="0" fontId="8" fillId="0" borderId="35" xfId="0" applyFont="1" applyBorder="1" applyAlignment="1">
      <alignment horizontal="right" vertical="center"/>
    </xf>
    <xf numFmtId="0" fontId="8" fillId="8" borderId="9" xfId="0" applyFont="1" applyFill="1" applyBorder="1" applyAlignment="1">
      <alignment horizontal="right" vertical="center"/>
    </xf>
    <xf numFmtId="0" fontId="8" fillId="8" borderId="10" xfId="0" applyFont="1" applyFill="1" applyBorder="1" applyAlignment="1">
      <alignment horizontal="right" vertical="center"/>
    </xf>
    <xf numFmtId="0" fontId="8" fillId="8" borderId="11" xfId="0" applyFont="1" applyFill="1" applyBorder="1" applyAlignment="1">
      <alignment horizontal="right" vertical="center"/>
    </xf>
  </cellXfs>
  <cellStyles count="7">
    <cellStyle name="Millares" xfId="1" builtinId="3"/>
    <cellStyle name="Millares [0]" xfId="2" builtinId="6"/>
    <cellStyle name="Normal" xfId="0" builtinId="0"/>
    <cellStyle name="Normal 2" xfId="3" xr:uid="{CB03D295-7020-476B-90C6-6A39ED5C1E51}"/>
    <cellStyle name="Normal 3" xfId="6" xr:uid="{E51E2D10-CB1F-45E9-9DBC-8D0E634B2C30}"/>
    <cellStyle name="Normal_CRITERIOS DE EVALUACION PT DE GB 2" xfId="4" xr:uid="{7D2688F2-7794-42B7-AE09-51D02EBF1E62}"/>
    <cellStyle name="Porcentaje 2" xfId="5" xr:uid="{8D5DD733-F2EA-4D52-921D-8B17E9B1519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3127</v>
          </cell>
          <cell r="K2">
            <v>454</v>
          </cell>
          <cell r="L2">
            <v>6.8876651982378858</v>
          </cell>
          <cell r="M2" t="str">
            <v>Gramos</v>
          </cell>
        </row>
        <row r="3">
          <cell r="A3" t="str">
            <v>44074</v>
          </cell>
          <cell r="B3" t="str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 t="e">
            <v>#N/A</v>
          </cell>
          <cell r="K3">
            <v>70</v>
          </cell>
          <cell r="L3" t="e">
            <v>#N/A</v>
          </cell>
        </row>
        <row r="4">
          <cell r="A4" t="str">
            <v>56009</v>
          </cell>
          <cell r="B4" t="str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750</v>
          </cell>
          <cell r="K4">
            <v>24</v>
          </cell>
          <cell r="L4">
            <v>31.25</v>
          </cell>
          <cell r="M4" t="str">
            <v>Gramos</v>
          </cell>
        </row>
        <row r="5">
          <cell r="A5" t="str">
            <v>101005</v>
          </cell>
          <cell r="B5" t="str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3000</v>
          </cell>
          <cell r="K5">
            <v>1000</v>
          </cell>
          <cell r="L5">
            <v>3</v>
          </cell>
          <cell r="M5" t="str">
            <v>Gramos</v>
          </cell>
        </row>
        <row r="6">
          <cell r="A6" t="str">
            <v>0101022</v>
          </cell>
          <cell r="B6" t="str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900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 t="str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2210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 t="str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1975</v>
          </cell>
          <cell r="K8">
            <v>1000</v>
          </cell>
          <cell r="L8">
            <v>1.9750000000000001</v>
          </cell>
          <cell r="M8" t="str">
            <v>Gramos</v>
          </cell>
        </row>
        <row r="9">
          <cell r="A9" t="str">
            <v>101040</v>
          </cell>
          <cell r="B9" t="str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1657</v>
          </cell>
          <cell r="K9">
            <v>1000</v>
          </cell>
          <cell r="L9">
            <v>1.657</v>
          </cell>
          <cell r="M9" t="str">
            <v>Gramos</v>
          </cell>
        </row>
        <row r="10">
          <cell r="A10" t="str">
            <v>101043</v>
          </cell>
          <cell r="B10" t="str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2000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 t="str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1795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 t="str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 t="e">
            <v>#N/A</v>
          </cell>
          <cell r="K12">
            <v>1000</v>
          </cell>
          <cell r="L12" t="e">
            <v>#N/A</v>
          </cell>
        </row>
        <row r="13">
          <cell r="A13" t="str">
            <v>101051</v>
          </cell>
          <cell r="B13" t="str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1029</v>
          </cell>
          <cell r="K13">
            <v>1000</v>
          </cell>
          <cell r="L13">
            <v>1.0289999999999999</v>
          </cell>
          <cell r="M13" t="str">
            <v>Gramos</v>
          </cell>
        </row>
        <row r="14">
          <cell r="A14" t="str">
            <v>101055</v>
          </cell>
          <cell r="B14" t="str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1095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 t="str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359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 t="str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687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 t="str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2051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 t="str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1464.7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 t="str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2425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 t="str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1400</v>
          </cell>
          <cell r="K20">
            <v>1000</v>
          </cell>
          <cell r="L20">
            <v>1.4</v>
          </cell>
          <cell r="M20" t="str">
            <v>Gramos</v>
          </cell>
        </row>
        <row r="21">
          <cell r="A21" t="str">
            <v>0101105</v>
          </cell>
          <cell r="B21" t="str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3150</v>
          </cell>
          <cell r="K21">
            <v>1000</v>
          </cell>
          <cell r="L21">
            <v>3.15</v>
          </cell>
          <cell r="M21" t="str">
            <v>Gramos</v>
          </cell>
        </row>
        <row r="22">
          <cell r="A22" t="str">
            <v>0101107</v>
          </cell>
          <cell r="B22" t="str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4812.41</v>
          </cell>
          <cell r="K22">
            <v>2840</v>
          </cell>
          <cell r="L22">
            <v>1.6945105633802817</v>
          </cell>
          <cell r="M22" t="str">
            <v>Gramos</v>
          </cell>
        </row>
        <row r="23">
          <cell r="A23" t="str">
            <v>101115</v>
          </cell>
          <cell r="B23" t="str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1121.7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 t="str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145</v>
          </cell>
          <cell r="K24">
            <v>1</v>
          </cell>
          <cell r="L24">
            <v>145</v>
          </cell>
          <cell r="M24" t="str">
            <v>und</v>
          </cell>
        </row>
        <row r="25">
          <cell r="A25" t="str">
            <v>0101132</v>
          </cell>
          <cell r="B25" t="str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90646.25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 t="str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1057</v>
          </cell>
          <cell r="K26">
            <v>500</v>
          </cell>
          <cell r="L26">
            <v>2.1139999999999999</v>
          </cell>
          <cell r="M26" t="str">
            <v>Gramos</v>
          </cell>
        </row>
        <row r="27">
          <cell r="A27" t="str">
            <v>101150</v>
          </cell>
          <cell r="B27" t="str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893.8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 t="str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3000</v>
          </cell>
          <cell r="K28">
            <v>1000</v>
          </cell>
          <cell r="L28">
            <v>3</v>
          </cell>
          <cell r="M28" t="str">
            <v>Gramos</v>
          </cell>
        </row>
        <row r="29">
          <cell r="A29" t="str">
            <v>0101166</v>
          </cell>
          <cell r="B29" t="str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1584.1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 t="str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680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 t="str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1841</v>
          </cell>
          <cell r="K31">
            <v>1000</v>
          </cell>
          <cell r="L31">
            <v>1.841</v>
          </cell>
          <cell r="M31" t="str">
            <v>Gramos</v>
          </cell>
        </row>
        <row r="32">
          <cell r="A32" t="str">
            <v>0101240</v>
          </cell>
          <cell r="B32" t="str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615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 t="str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1020</v>
          </cell>
          <cell r="K33">
            <v>1000</v>
          </cell>
          <cell r="L33">
            <v>1.02</v>
          </cell>
          <cell r="M33" t="str">
            <v>Gramos</v>
          </cell>
        </row>
        <row r="34">
          <cell r="A34" t="str">
            <v>0101248</v>
          </cell>
          <cell r="B34" t="str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575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 t="str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5251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 t="str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 t="e">
            <v>#N/A</v>
          </cell>
          <cell r="K36">
            <v>200</v>
          </cell>
          <cell r="L36" t="e">
            <v>#N/A</v>
          </cell>
          <cell r="M36" t="str">
            <v>Gramos</v>
          </cell>
        </row>
        <row r="37">
          <cell r="A37" t="str">
            <v>0110060</v>
          </cell>
          <cell r="B37" t="str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 t="str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 t="e">
            <v>#N/A</v>
          </cell>
          <cell r="K38">
            <v>1000</v>
          </cell>
          <cell r="L38" t="e">
            <v>#N/A</v>
          </cell>
          <cell r="M38" t="str">
            <v>Gramos</v>
          </cell>
        </row>
        <row r="39">
          <cell r="A39" t="str">
            <v>0110085</v>
          </cell>
          <cell r="B39" t="str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 t="e">
            <v>#N/A</v>
          </cell>
          <cell r="K39">
            <v>1000</v>
          </cell>
          <cell r="L39" t="e">
            <v>#N/A</v>
          </cell>
          <cell r="M39" t="str">
            <v>Gramos</v>
          </cell>
        </row>
        <row r="40">
          <cell r="A40" t="str">
            <v>0110086</v>
          </cell>
          <cell r="B40" t="str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5500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 t="str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17623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 t="str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28716</v>
          </cell>
          <cell r="K42">
            <v>50</v>
          </cell>
          <cell r="L42">
            <v>574.32000000000005</v>
          </cell>
          <cell r="M42" t="str">
            <v>UND</v>
          </cell>
        </row>
        <row r="43">
          <cell r="A43" t="str">
            <v>176799</v>
          </cell>
          <cell r="B43" t="str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 t="e">
            <v>#N/A</v>
          </cell>
          <cell r="K43">
            <v>141</v>
          </cell>
          <cell r="L43" t="e">
            <v>#N/A</v>
          </cell>
          <cell r="M43" t="str">
            <v>Gramos</v>
          </cell>
        </row>
        <row r="44">
          <cell r="A44" t="str">
            <v>0210047</v>
          </cell>
          <cell r="B44" t="str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6295</v>
          </cell>
          <cell r="K44">
            <v>1000</v>
          </cell>
          <cell r="L44">
            <v>6.2949999999999999</v>
          </cell>
          <cell r="M44" t="str">
            <v>Gramos</v>
          </cell>
        </row>
        <row r="45">
          <cell r="A45" t="str">
            <v>210060</v>
          </cell>
          <cell r="B45" t="str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2395</v>
          </cell>
          <cell r="K45">
            <v>1000</v>
          </cell>
          <cell r="L45">
            <v>2.395</v>
          </cell>
          <cell r="M45" t="str">
            <v>Gramos</v>
          </cell>
        </row>
        <row r="46">
          <cell r="A46" t="str">
            <v>210069</v>
          </cell>
          <cell r="B46" t="str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3495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 t="str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 t="e">
            <v>#N/A</v>
          </cell>
          <cell r="K47">
            <v>1000</v>
          </cell>
          <cell r="L47" t="e">
            <v>#N/A</v>
          </cell>
          <cell r="M47" t="str">
            <v>Gramos</v>
          </cell>
        </row>
        <row r="48">
          <cell r="A48" t="str">
            <v>0210076</v>
          </cell>
          <cell r="B48" t="str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4590</v>
          </cell>
          <cell r="K48">
            <v>1000</v>
          </cell>
          <cell r="L48">
            <v>4.59</v>
          </cell>
          <cell r="M48" t="str">
            <v>Gramos</v>
          </cell>
        </row>
        <row r="49">
          <cell r="A49" t="str">
            <v>0210093</v>
          </cell>
          <cell r="B49" t="str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 t="e">
            <v>#N/A</v>
          </cell>
          <cell r="K49">
            <v>1000</v>
          </cell>
          <cell r="L49" t="e">
            <v>#N/A</v>
          </cell>
          <cell r="M49" t="str">
            <v>Gramos</v>
          </cell>
        </row>
        <row r="50">
          <cell r="A50" t="str">
            <v>0210096</v>
          </cell>
          <cell r="B50" t="str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3595</v>
          </cell>
          <cell r="K50">
            <v>1000</v>
          </cell>
          <cell r="L50">
            <v>3.5950000000000002</v>
          </cell>
          <cell r="M50" t="str">
            <v>Gramos</v>
          </cell>
        </row>
        <row r="51">
          <cell r="A51" t="str">
            <v>0210101</v>
          </cell>
          <cell r="B51" t="str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4395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 t="str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3975</v>
          </cell>
          <cell r="K52">
            <v>1000</v>
          </cell>
          <cell r="L52">
            <v>3.9750000000000001</v>
          </cell>
          <cell r="M52" t="str">
            <v>Gramos</v>
          </cell>
        </row>
        <row r="53">
          <cell r="A53" t="str">
            <v>210107</v>
          </cell>
          <cell r="B53" t="str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3795</v>
          </cell>
          <cell r="K53">
            <v>1000</v>
          </cell>
          <cell r="L53">
            <v>3.7949999999999999</v>
          </cell>
          <cell r="M53" t="str">
            <v>Gramos</v>
          </cell>
        </row>
        <row r="54">
          <cell r="A54" t="str">
            <v>0210108</v>
          </cell>
          <cell r="B54" t="str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4095</v>
          </cell>
          <cell r="K54">
            <v>1000</v>
          </cell>
          <cell r="L54">
            <v>4.0949999999999998</v>
          </cell>
          <cell r="M54" t="str">
            <v>Gramos</v>
          </cell>
        </row>
        <row r="55">
          <cell r="A55" t="str">
            <v>0210117</v>
          </cell>
          <cell r="B55" t="str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2480</v>
          </cell>
          <cell r="K55">
            <v>1000</v>
          </cell>
          <cell r="L55">
            <v>2.48</v>
          </cell>
          <cell r="M55" t="str">
            <v>Gramos</v>
          </cell>
        </row>
        <row r="56">
          <cell r="A56" t="str">
            <v>0212254</v>
          </cell>
          <cell r="B56" t="str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1895</v>
          </cell>
          <cell r="K56">
            <v>1000</v>
          </cell>
          <cell r="L56">
            <v>1.895</v>
          </cell>
          <cell r="M56" t="str">
            <v>Gramos</v>
          </cell>
        </row>
        <row r="57">
          <cell r="A57" t="str">
            <v>0212275</v>
          </cell>
          <cell r="B57" t="str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4990</v>
          </cell>
          <cell r="K57">
            <v>1000</v>
          </cell>
          <cell r="L57">
            <v>4.99</v>
          </cell>
          <cell r="M57" t="str">
            <v>Gramos</v>
          </cell>
        </row>
        <row r="58">
          <cell r="A58" t="str">
            <v>0310107</v>
          </cell>
          <cell r="B58" t="str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75611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 t="str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7774</v>
          </cell>
          <cell r="K59">
            <v>1000</v>
          </cell>
          <cell r="L59">
            <v>7.774</v>
          </cell>
          <cell r="M59" t="str">
            <v>Gramos</v>
          </cell>
        </row>
        <row r="60">
          <cell r="A60" t="str">
            <v>0310115</v>
          </cell>
          <cell r="B60" t="str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18359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 t="str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11305</v>
          </cell>
          <cell r="K61">
            <v>1000</v>
          </cell>
          <cell r="L61">
            <v>11.305</v>
          </cell>
          <cell r="M61" t="str">
            <v>Gramos</v>
          </cell>
        </row>
        <row r="62">
          <cell r="A62" t="str">
            <v>0310120</v>
          </cell>
          <cell r="B62" t="str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4085.71</v>
          </cell>
          <cell r="K62">
            <v>1000</v>
          </cell>
          <cell r="L62">
            <v>4.0857099999999997</v>
          </cell>
          <cell r="M62" t="str">
            <v>Gramos</v>
          </cell>
        </row>
        <row r="63">
          <cell r="A63" t="str">
            <v>0310145</v>
          </cell>
          <cell r="B63" t="str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65957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 t="str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9110</v>
          </cell>
          <cell r="K64">
            <v>4000</v>
          </cell>
          <cell r="L64">
            <v>2.2774999999999999</v>
          </cell>
          <cell r="M64" t="str">
            <v>Gramos</v>
          </cell>
        </row>
        <row r="65">
          <cell r="A65" t="str">
            <v>10100307</v>
          </cell>
          <cell r="B65" t="str">
            <v>5620</v>
          </cell>
          <cell r="C65" t="str">
            <v>TRES LECHES LA LECHERA (UND: 900 ML)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2015</v>
          </cell>
          <cell r="K65">
            <v>900</v>
          </cell>
          <cell r="L65">
            <v>2.2388888888888889</v>
          </cell>
          <cell r="M65" t="str">
            <v>Gramos</v>
          </cell>
        </row>
        <row r="66">
          <cell r="A66" t="str">
            <v>0312277</v>
          </cell>
          <cell r="B66" t="str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4378</v>
          </cell>
          <cell r="K66">
            <v>500</v>
          </cell>
          <cell r="L66">
            <v>8.7560000000000002</v>
          </cell>
          <cell r="M66" t="str">
            <v>Mililitros</v>
          </cell>
        </row>
        <row r="67">
          <cell r="A67" t="str">
            <v>0312278</v>
          </cell>
          <cell r="B67" t="str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 t="e">
            <v>#N/A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 t="str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 t="e">
            <v>#N/A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 t="str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16070.8</v>
          </cell>
          <cell r="K69">
            <v>5000</v>
          </cell>
          <cell r="L69">
            <v>3.2141599999999997</v>
          </cell>
          <cell r="M69" t="str">
            <v>Gramos</v>
          </cell>
        </row>
        <row r="70">
          <cell r="A70" t="str">
            <v>410127</v>
          </cell>
          <cell r="B70" t="str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 t="e">
            <v>#N/A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 t="str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7341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 t="str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3867</v>
          </cell>
          <cell r="J72">
            <v>3867</v>
          </cell>
          <cell r="K72">
            <v>1000</v>
          </cell>
          <cell r="L72">
            <v>3.867</v>
          </cell>
          <cell r="M72" t="str">
            <v>Gramos</v>
          </cell>
        </row>
        <row r="73">
          <cell r="A73" t="str">
            <v>0410152</v>
          </cell>
          <cell r="B73" t="str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 t="e">
            <v>#N/A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 t="str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 t="e">
            <v>#N/A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 t="str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3500</v>
          </cell>
          <cell r="K75">
            <v>1000</v>
          </cell>
          <cell r="L75">
            <v>3.5</v>
          </cell>
          <cell r="M75" t="str">
            <v>Gramos</v>
          </cell>
        </row>
        <row r="76">
          <cell r="A76" t="str">
            <v>0410172</v>
          </cell>
          <cell r="B76" t="str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 t="e">
            <v>#N/A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 t="str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 t="e">
            <v>#N/A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 t="str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 t="e">
            <v>#N/A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 t="str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 t="e">
            <v>#N/A</v>
          </cell>
          <cell r="K79">
            <v>395</v>
          </cell>
          <cell r="L79" t="e">
            <v>#N/A</v>
          </cell>
          <cell r="M79" t="str">
            <v>Gramos</v>
          </cell>
        </row>
        <row r="80">
          <cell r="A80" t="str">
            <v>0510051</v>
          </cell>
          <cell r="B80" t="str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49237</v>
          </cell>
          <cell r="K80">
            <v>9520</v>
          </cell>
          <cell r="L80">
            <v>5.1719537815126051</v>
          </cell>
          <cell r="M80" t="str">
            <v>Gramos</v>
          </cell>
        </row>
        <row r="81">
          <cell r="A81" t="str">
            <v>510100</v>
          </cell>
          <cell r="B81" t="str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10515.04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 t="str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13601.1</v>
          </cell>
          <cell r="K82">
            <v>25000</v>
          </cell>
          <cell r="L82">
            <v>0.54404399999999997</v>
          </cell>
          <cell r="M82" t="str">
            <v>Gramos</v>
          </cell>
        </row>
        <row r="83">
          <cell r="A83" t="str">
            <v>510109</v>
          </cell>
          <cell r="B83" t="str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 t="e">
            <v>#N/A</v>
          </cell>
          <cell r="K83">
            <v>5000</v>
          </cell>
          <cell r="L83" t="e">
            <v>#N/A</v>
          </cell>
          <cell r="M83" t="str">
            <v>Gramos</v>
          </cell>
        </row>
        <row r="84">
          <cell r="A84" t="str">
            <v>510115</v>
          </cell>
          <cell r="B84" t="str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 t="e">
            <v>#N/A</v>
          </cell>
          <cell r="K84">
            <v>1000</v>
          </cell>
          <cell r="L84" t="e">
            <v>#N/A</v>
          </cell>
          <cell r="M84" t="str">
            <v>Gramos</v>
          </cell>
        </row>
        <row r="85">
          <cell r="A85" t="str">
            <v>0510146</v>
          </cell>
          <cell r="B85" t="str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 t="e">
            <v>#N/A</v>
          </cell>
          <cell r="K85">
            <v>1000</v>
          </cell>
          <cell r="L85" t="e">
            <v>#N/A</v>
          </cell>
          <cell r="M85" t="str">
            <v>Gramos</v>
          </cell>
        </row>
        <row r="86">
          <cell r="A86" t="str">
            <v>510148</v>
          </cell>
          <cell r="B86" t="str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64673</v>
          </cell>
          <cell r="K86">
            <v>11340</v>
          </cell>
          <cell r="L86">
            <v>5.7030864197530864</v>
          </cell>
          <cell r="M86" t="str">
            <v>Gramos</v>
          </cell>
        </row>
        <row r="87">
          <cell r="A87" t="str">
            <v>510149</v>
          </cell>
          <cell r="B87" t="str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64635</v>
          </cell>
          <cell r="K87">
            <v>12000</v>
          </cell>
          <cell r="L87">
            <v>5.3862500000000004</v>
          </cell>
          <cell r="M87" t="str">
            <v>Gramos</v>
          </cell>
        </row>
        <row r="88">
          <cell r="A88" t="str">
            <v>510151</v>
          </cell>
          <cell r="B88" t="str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18888</v>
          </cell>
          <cell r="K88">
            <v>21600</v>
          </cell>
          <cell r="L88">
            <v>0.87444444444444447</v>
          </cell>
          <cell r="M88" t="str">
            <v>Gramos</v>
          </cell>
        </row>
        <row r="89">
          <cell r="A89" t="str">
            <v>510157</v>
          </cell>
          <cell r="B89" t="str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1788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 t="str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30250</v>
          </cell>
          <cell r="K90">
            <v>10000</v>
          </cell>
          <cell r="L90">
            <v>3.0249999999999999</v>
          </cell>
          <cell r="M90" t="str">
            <v>Gramos</v>
          </cell>
        </row>
        <row r="91">
          <cell r="A91" t="str">
            <v>510173</v>
          </cell>
          <cell r="B91" t="str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45578</v>
          </cell>
          <cell r="J91">
            <v>53681</v>
          </cell>
          <cell r="K91">
            <v>11340</v>
          </cell>
          <cell r="L91">
            <v>4.7337742504409173</v>
          </cell>
          <cell r="M91" t="str">
            <v>Gramos</v>
          </cell>
        </row>
        <row r="92">
          <cell r="A92" t="str">
            <v>510174</v>
          </cell>
          <cell r="B92" t="str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3460</v>
          </cell>
          <cell r="J92">
            <v>3930</v>
          </cell>
          <cell r="K92">
            <v>1000</v>
          </cell>
          <cell r="L92">
            <v>3.93</v>
          </cell>
          <cell r="M92" t="str">
            <v>Gramos</v>
          </cell>
        </row>
        <row r="93">
          <cell r="A93" t="str">
            <v>510179</v>
          </cell>
          <cell r="B93" t="str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4340</v>
          </cell>
          <cell r="J93">
            <v>4336.28</v>
          </cell>
          <cell r="K93">
            <v>1000</v>
          </cell>
          <cell r="L93">
            <v>4.3362799999999995</v>
          </cell>
          <cell r="M93" t="str">
            <v>Gramos</v>
          </cell>
        </row>
        <row r="94">
          <cell r="A94" t="str">
            <v>0510181</v>
          </cell>
          <cell r="B94" t="str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 t="e">
            <v>#N/A</v>
          </cell>
          <cell r="K94">
            <v>1000</v>
          </cell>
          <cell r="L94" t="e">
            <v>#N/A</v>
          </cell>
          <cell r="M94" t="str">
            <v>Gramos</v>
          </cell>
        </row>
        <row r="95">
          <cell r="A95" t="str">
            <v>0510185</v>
          </cell>
          <cell r="B95" t="str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19500</v>
          </cell>
          <cell r="K95">
            <v>10000</v>
          </cell>
          <cell r="L95">
            <v>1.95</v>
          </cell>
          <cell r="M95" t="str">
            <v>Gramos</v>
          </cell>
        </row>
        <row r="96">
          <cell r="A96" t="str">
            <v>0510186</v>
          </cell>
          <cell r="B96" t="str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9071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 t="str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14073.74</v>
          </cell>
          <cell r="K97">
            <v>25000</v>
          </cell>
          <cell r="L97">
            <v>0.56294959999999994</v>
          </cell>
          <cell r="M97" t="str">
            <v>Gramos</v>
          </cell>
        </row>
        <row r="98">
          <cell r="A98" t="str">
            <v>0510190</v>
          </cell>
          <cell r="B98" t="str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2975.52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 t="str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10239.379999999999</v>
          </cell>
          <cell r="K99">
            <v>800</v>
          </cell>
          <cell r="L99">
            <v>12.799225</v>
          </cell>
          <cell r="M99" t="str">
            <v>Gramos</v>
          </cell>
        </row>
        <row r="100">
          <cell r="A100" t="str">
            <v>0510200</v>
          </cell>
          <cell r="B100" t="str">
            <v>5672</v>
          </cell>
          <cell r="C100" t="str">
            <v>PASAS (CAJAS:13.6KG)</v>
          </cell>
          <cell r="D100" t="str">
            <v>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37290</v>
          </cell>
          <cell r="J100">
            <v>40935</v>
          </cell>
          <cell r="K100">
            <v>13600</v>
          </cell>
          <cell r="L100">
            <v>3.0099264705882351</v>
          </cell>
          <cell r="M100" t="str">
            <v>Gramos</v>
          </cell>
        </row>
        <row r="101">
          <cell r="A101" t="str">
            <v>510207</v>
          </cell>
          <cell r="B101" t="str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 t="e">
            <v>#N/A</v>
          </cell>
          <cell r="K101">
            <v>1000</v>
          </cell>
          <cell r="L101" t="e">
            <v>#N/A</v>
          </cell>
          <cell r="M101" t="str">
            <v>Gramos</v>
          </cell>
        </row>
        <row r="102">
          <cell r="A102" t="str">
            <v>510215</v>
          </cell>
          <cell r="B102" t="str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32329</v>
          </cell>
          <cell r="K102">
            <v>25000</v>
          </cell>
          <cell r="L102">
            <v>1.2931600000000001</v>
          </cell>
          <cell r="M102" t="str">
            <v>Gramos</v>
          </cell>
        </row>
        <row r="103">
          <cell r="A103" t="str">
            <v>0510240</v>
          </cell>
          <cell r="B103" t="str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42009</v>
          </cell>
          <cell r="K103">
            <v>22680</v>
          </cell>
          <cell r="L103">
            <v>1.8522486772486773</v>
          </cell>
          <cell r="M103" t="str">
            <v>Gramos</v>
          </cell>
        </row>
        <row r="104">
          <cell r="A104" t="str">
            <v>0510258</v>
          </cell>
          <cell r="B104" t="str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33250</v>
          </cell>
          <cell r="K104">
            <v>25000</v>
          </cell>
          <cell r="L104">
            <v>1.33</v>
          </cell>
          <cell r="M104" t="str">
            <v>Gramos</v>
          </cell>
        </row>
        <row r="105">
          <cell r="A105" t="str">
            <v>0510262</v>
          </cell>
          <cell r="B105" t="str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231.2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 t="str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1700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 t="str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109180</v>
          </cell>
          <cell r="K107">
            <v>20000</v>
          </cell>
          <cell r="L107">
            <v>5.4589999999999996</v>
          </cell>
          <cell r="M107" t="str">
            <v>Gramos</v>
          </cell>
        </row>
        <row r="108">
          <cell r="A108" t="str">
            <v>0510285</v>
          </cell>
          <cell r="B108" t="str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 t="e">
            <v>#N/A</v>
          </cell>
          <cell r="K108">
            <v>22670</v>
          </cell>
          <cell r="L108" t="e">
            <v>#N/A</v>
          </cell>
          <cell r="M108" t="str">
            <v>Gramos</v>
          </cell>
        </row>
        <row r="109">
          <cell r="A109" t="str">
            <v>0510287</v>
          </cell>
          <cell r="B109" t="str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19750</v>
          </cell>
          <cell r="K109">
            <v>10000</v>
          </cell>
          <cell r="L109">
            <v>1.9750000000000001</v>
          </cell>
          <cell r="M109" t="str">
            <v>Gramos</v>
          </cell>
        </row>
        <row r="110">
          <cell r="A110" t="str">
            <v>0510294</v>
          </cell>
          <cell r="B110" t="str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9332.8799999999992</v>
          </cell>
          <cell r="K110">
            <v>1000</v>
          </cell>
          <cell r="L110">
            <v>9.3328799999999994</v>
          </cell>
          <cell r="M110" t="str">
            <v>Gramos</v>
          </cell>
        </row>
        <row r="111">
          <cell r="A111" t="str">
            <v>0510298</v>
          </cell>
          <cell r="B111" t="str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1019.49</v>
          </cell>
          <cell r="J111">
            <v>1175</v>
          </cell>
          <cell r="K111">
            <v>1000</v>
          </cell>
          <cell r="L111">
            <v>1.175</v>
          </cell>
          <cell r="M111" t="str">
            <v>Gramos</v>
          </cell>
        </row>
        <row r="112">
          <cell r="A112" t="str">
            <v>510301</v>
          </cell>
          <cell r="B112" t="str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19517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 t="str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21982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 t="str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2092.58</v>
          </cell>
          <cell r="K114">
            <v>1000</v>
          </cell>
          <cell r="L114">
            <v>2.0925799999999999</v>
          </cell>
          <cell r="M114" t="str">
            <v>Gramos</v>
          </cell>
        </row>
        <row r="115">
          <cell r="A115" t="str">
            <v>510414</v>
          </cell>
          <cell r="B115" t="str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1327.4333329999999</v>
          </cell>
          <cell r="K115">
            <v>500</v>
          </cell>
          <cell r="L115">
            <v>2.6548666659999998</v>
          </cell>
          <cell r="M115" t="str">
            <v>Gramos</v>
          </cell>
        </row>
        <row r="116">
          <cell r="A116" t="str">
            <v>0512255</v>
          </cell>
          <cell r="B116" t="str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132334.38</v>
          </cell>
          <cell r="J116">
            <v>136021</v>
          </cell>
          <cell r="K116">
            <v>25000</v>
          </cell>
          <cell r="L116">
            <v>5.4408399999999997</v>
          </cell>
          <cell r="M116" t="str">
            <v>Gramos</v>
          </cell>
        </row>
        <row r="117">
          <cell r="A117" t="str">
            <v>512261</v>
          </cell>
          <cell r="B117" t="str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19301.21</v>
          </cell>
          <cell r="J117">
            <v>19301</v>
          </cell>
          <cell r="K117">
            <v>2500</v>
          </cell>
          <cell r="L117">
            <v>7.7203999999999997</v>
          </cell>
          <cell r="M117" t="str">
            <v>Gramos</v>
          </cell>
        </row>
        <row r="118">
          <cell r="A118" t="str">
            <v>0512262</v>
          </cell>
          <cell r="B118" t="str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4766.87</v>
          </cell>
          <cell r="J118">
            <v>4860</v>
          </cell>
          <cell r="K118">
            <v>2500</v>
          </cell>
          <cell r="L118">
            <v>1.944</v>
          </cell>
          <cell r="M118" t="str">
            <v>Gramos</v>
          </cell>
        </row>
        <row r="119">
          <cell r="A119" t="str">
            <v>0512319</v>
          </cell>
          <cell r="B119" t="str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4458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 t="str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1783.73</v>
          </cell>
          <cell r="J120">
            <v>4581</v>
          </cell>
          <cell r="K120">
            <v>2500</v>
          </cell>
          <cell r="L120">
            <v>1.8324</v>
          </cell>
          <cell r="M120" t="str">
            <v>Gramos</v>
          </cell>
        </row>
        <row r="121">
          <cell r="A121" t="str">
            <v>0610212</v>
          </cell>
          <cell r="B121" t="str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3060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 t="str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 t="e">
            <v>#N/A</v>
          </cell>
          <cell r="K122">
            <v>454</v>
          </cell>
          <cell r="L122" t="e">
            <v>#N/A</v>
          </cell>
          <cell r="M122" t="str">
            <v>Gramos</v>
          </cell>
        </row>
        <row r="123">
          <cell r="A123" t="str">
            <v>610220</v>
          </cell>
          <cell r="B123" t="str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1960</v>
          </cell>
          <cell r="K123">
            <v>1000</v>
          </cell>
          <cell r="L123">
            <v>1.96</v>
          </cell>
          <cell r="M123" t="str">
            <v>Gramos</v>
          </cell>
        </row>
        <row r="124">
          <cell r="A124" t="str">
            <v>610223</v>
          </cell>
          <cell r="B124" t="str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6718</v>
          </cell>
          <cell r="K124">
            <v>780</v>
          </cell>
          <cell r="L124">
            <v>8.6128205128205124</v>
          </cell>
          <cell r="M124" t="str">
            <v>Gramos</v>
          </cell>
        </row>
        <row r="125">
          <cell r="A125" t="str">
            <v>0610236</v>
          </cell>
          <cell r="B125" t="str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30207.3</v>
          </cell>
          <cell r="K125">
            <v>5000</v>
          </cell>
          <cell r="L125">
            <v>6.0414599999999998</v>
          </cell>
          <cell r="M125" t="str">
            <v>Gramos</v>
          </cell>
        </row>
        <row r="126">
          <cell r="A126" t="str">
            <v>0610244</v>
          </cell>
          <cell r="B126" t="str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2899</v>
          </cell>
          <cell r="K126">
            <v>340</v>
          </cell>
          <cell r="L126">
            <v>8.5264705882352949</v>
          </cell>
          <cell r="M126" t="str">
            <v>Gramos</v>
          </cell>
        </row>
        <row r="127">
          <cell r="A127" t="str">
            <v>0610250</v>
          </cell>
          <cell r="B127" t="str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48000</v>
          </cell>
          <cell r="K127">
            <v>15000</v>
          </cell>
          <cell r="L127">
            <v>3.2</v>
          </cell>
          <cell r="M127" t="str">
            <v>Gramos</v>
          </cell>
        </row>
        <row r="128">
          <cell r="A128" t="str">
            <v>0610253</v>
          </cell>
          <cell r="B128" t="str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3868</v>
          </cell>
          <cell r="K128">
            <v>480</v>
          </cell>
          <cell r="L128">
            <v>8.0583333333333336</v>
          </cell>
          <cell r="M128" t="str">
            <v>Gramos</v>
          </cell>
        </row>
        <row r="129">
          <cell r="A129" t="str">
            <v>0610254</v>
          </cell>
          <cell r="B129" t="str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47385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 t="str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42298.38</v>
          </cell>
          <cell r="K130">
            <v>3000</v>
          </cell>
          <cell r="L130">
            <v>14.099459999999999</v>
          </cell>
          <cell r="M130" t="str">
            <v>Gramos</v>
          </cell>
        </row>
        <row r="131">
          <cell r="A131" t="str">
            <v>701096</v>
          </cell>
          <cell r="B131" t="str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0.39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 t="str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200</v>
          </cell>
          <cell r="K132">
            <v>900</v>
          </cell>
          <cell r="L132">
            <v>0.22222222222222221</v>
          </cell>
          <cell r="M132" t="str">
            <v>Und</v>
          </cell>
        </row>
        <row r="133">
          <cell r="A133" t="str">
            <v>0702008</v>
          </cell>
          <cell r="B133" t="str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200</v>
          </cell>
          <cell r="K133">
            <v>900</v>
          </cell>
          <cell r="L133">
            <v>0.22222222222222221</v>
          </cell>
          <cell r="M133" t="str">
            <v>Und</v>
          </cell>
        </row>
        <row r="134">
          <cell r="A134" t="str">
            <v>0702009</v>
          </cell>
          <cell r="B134" t="str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200</v>
          </cell>
          <cell r="K134">
            <v>900</v>
          </cell>
          <cell r="L134">
            <v>0.22222222222222221</v>
          </cell>
          <cell r="M134" t="str">
            <v>Und</v>
          </cell>
        </row>
        <row r="135">
          <cell r="A135" t="str">
            <v>0702010</v>
          </cell>
          <cell r="B135" t="str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200</v>
          </cell>
          <cell r="K135">
            <v>900</v>
          </cell>
          <cell r="L135">
            <v>0.22222222222222221</v>
          </cell>
          <cell r="M135" t="str">
            <v>Und</v>
          </cell>
        </row>
        <row r="136">
          <cell r="A136" t="str">
            <v>0702011</v>
          </cell>
          <cell r="B136" t="str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200</v>
          </cell>
          <cell r="K136">
            <v>900</v>
          </cell>
          <cell r="L136">
            <v>0.22222222222222221</v>
          </cell>
          <cell r="M136" t="str">
            <v>Und</v>
          </cell>
        </row>
        <row r="137">
          <cell r="A137" t="str">
            <v>0702012</v>
          </cell>
          <cell r="B137" t="str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200</v>
          </cell>
          <cell r="K137">
            <v>900</v>
          </cell>
          <cell r="L137">
            <v>0.22222222222222221</v>
          </cell>
          <cell r="M137" t="str">
            <v>Und</v>
          </cell>
        </row>
        <row r="138">
          <cell r="A138" t="str">
            <v>0702030</v>
          </cell>
          <cell r="B138" t="str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157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 t="str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47.024999999999999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 t="str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47.024999999999999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 t="str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47.03</v>
          </cell>
          <cell r="K141">
            <v>1</v>
          </cell>
          <cell r="L141">
            <v>47.03</v>
          </cell>
          <cell r="M141" t="str">
            <v>Und</v>
          </cell>
        </row>
        <row r="142">
          <cell r="A142" t="str">
            <v>0702053</v>
          </cell>
          <cell r="B142" t="str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170</v>
          </cell>
          <cell r="K142">
            <v>900</v>
          </cell>
          <cell r="L142">
            <v>0.18888888888888888</v>
          </cell>
          <cell r="M142" t="str">
            <v>Und</v>
          </cell>
        </row>
        <row r="143">
          <cell r="A143" t="str">
            <v>0702056</v>
          </cell>
          <cell r="B143" t="str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 t="str">
            <v>Und</v>
          </cell>
        </row>
        <row r="144">
          <cell r="A144" t="str">
            <v>0702057</v>
          </cell>
          <cell r="B144" t="str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 t="str">
            <v>Und</v>
          </cell>
        </row>
        <row r="145">
          <cell r="A145" t="str">
            <v>0702058</v>
          </cell>
          <cell r="B145" t="str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 t="e">
            <v>#N/A</v>
          </cell>
          <cell r="K145">
            <v>900</v>
          </cell>
          <cell r="L145" t="e">
            <v>#N/A</v>
          </cell>
          <cell r="M145" t="str">
            <v>Und</v>
          </cell>
        </row>
        <row r="146">
          <cell r="A146" t="str">
            <v>0702059</v>
          </cell>
          <cell r="B146" t="str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 t="e">
            <v>#N/A</v>
          </cell>
          <cell r="K146">
            <v>900</v>
          </cell>
          <cell r="L146" t="e">
            <v>#N/A</v>
          </cell>
          <cell r="M146" t="str">
            <v>Und</v>
          </cell>
        </row>
        <row r="147">
          <cell r="A147" t="str">
            <v>0702067</v>
          </cell>
          <cell r="B147" t="str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1.7949999999999999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 t="str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0.57999999999999996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 t="str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 t="e">
            <v>#N/A</v>
          </cell>
          <cell r="K149">
            <v>1</v>
          </cell>
          <cell r="L149" t="e">
            <v>#N/A</v>
          </cell>
          <cell r="M149" t="str">
            <v>Und</v>
          </cell>
        </row>
        <row r="150">
          <cell r="A150" t="str">
            <v>0702077</v>
          </cell>
          <cell r="B150" t="str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12.188000000000001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 t="str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5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 t="str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2.1280000000000001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 t="str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 t="e">
            <v>#N/A</v>
          </cell>
          <cell r="K153">
            <v>1</v>
          </cell>
          <cell r="L153" t="e">
            <v>#N/A</v>
          </cell>
        </row>
        <row r="154">
          <cell r="A154" t="str">
            <v>0702137</v>
          </cell>
          <cell r="B154" t="str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 t="e">
            <v>#N/A</v>
          </cell>
          <cell r="K154">
            <v>1</v>
          </cell>
          <cell r="L154" t="e">
            <v>#N/A</v>
          </cell>
        </row>
        <row r="155">
          <cell r="A155" t="str">
            <v>0702147</v>
          </cell>
          <cell r="B155" t="str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 t="e">
            <v>#N/A</v>
          </cell>
          <cell r="K155">
            <v>1</v>
          </cell>
          <cell r="L155" t="e">
            <v>#N/A</v>
          </cell>
        </row>
        <row r="156">
          <cell r="A156" t="str">
            <v>0702148</v>
          </cell>
          <cell r="B156" t="str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 t="e">
            <v>#N/A</v>
          </cell>
          <cell r="K156">
            <v>1</v>
          </cell>
          <cell r="L156" t="e">
            <v>#N/A</v>
          </cell>
        </row>
        <row r="157">
          <cell r="A157" t="str">
            <v>0702155</v>
          </cell>
          <cell r="B157" t="str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551</v>
          </cell>
          <cell r="K157">
            <v>1000</v>
          </cell>
          <cell r="L157">
            <v>0.55100000000000005</v>
          </cell>
          <cell r="M157" t="str">
            <v>Und</v>
          </cell>
        </row>
        <row r="158">
          <cell r="A158" t="str">
            <v>0702167</v>
          </cell>
          <cell r="B158" t="str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 t="e">
            <v>#N/A</v>
          </cell>
          <cell r="K158">
            <v>1000</v>
          </cell>
          <cell r="L158" t="e">
            <v>#N/A</v>
          </cell>
          <cell r="M158" t="str">
            <v>und</v>
          </cell>
        </row>
        <row r="159">
          <cell r="A159" t="str">
            <v>0702169</v>
          </cell>
          <cell r="B159" t="str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15</v>
          </cell>
          <cell r="K159">
            <v>1</v>
          </cell>
          <cell r="L159">
            <v>15</v>
          </cell>
          <cell r="M159" t="str">
            <v>Und</v>
          </cell>
        </row>
        <row r="160">
          <cell r="A160" t="str">
            <v>702174</v>
          </cell>
          <cell r="B160" t="str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6000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 t="str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47.024999999999999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 t="str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32.49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 t="str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1750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 t="str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 t="e">
            <v>#N/A</v>
          </cell>
          <cell r="K164">
            <v>1</v>
          </cell>
          <cell r="L164" t="e">
            <v>#N/A</v>
          </cell>
          <cell r="M164" t="str">
            <v>Gramos</v>
          </cell>
        </row>
        <row r="165">
          <cell r="A165" t="str">
            <v>0710261</v>
          </cell>
          <cell r="B165" t="str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610</v>
          </cell>
          <cell r="K165">
            <v>790</v>
          </cell>
          <cell r="L165">
            <v>0.77215189873417722</v>
          </cell>
          <cell r="M165" t="str">
            <v>Gramos</v>
          </cell>
        </row>
        <row r="166">
          <cell r="A166" t="str">
            <v>0710262</v>
          </cell>
          <cell r="B166" t="str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6860.7</v>
          </cell>
          <cell r="K166">
            <v>5000</v>
          </cell>
          <cell r="L166">
            <v>1.3721399999999999</v>
          </cell>
          <cell r="M166" t="str">
            <v>Gramos</v>
          </cell>
        </row>
        <row r="167">
          <cell r="A167" t="str">
            <v>0710282</v>
          </cell>
          <cell r="B167" t="str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2000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 t="str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 t="e">
            <v>#N/A</v>
          </cell>
          <cell r="K168">
            <v>36</v>
          </cell>
          <cell r="L168" t="e">
            <v>#N/A</v>
          </cell>
          <cell r="M168" t="str">
            <v>und</v>
          </cell>
        </row>
        <row r="169">
          <cell r="A169" t="str">
            <v>710295</v>
          </cell>
          <cell r="B169" t="str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8091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 t="str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 t="e">
            <v>#N/A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 t="str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 t="e">
            <v>#N/A</v>
          </cell>
          <cell r="K171">
            <v>8.61</v>
          </cell>
          <cell r="L171" t="e">
            <v>#N/A</v>
          </cell>
          <cell r="M171" t="str">
            <v>Und</v>
          </cell>
        </row>
        <row r="172">
          <cell r="A172" t="str">
            <v>0810288</v>
          </cell>
          <cell r="B172" t="str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7697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 t="str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 t="e">
            <v>#N/A</v>
          </cell>
          <cell r="K173">
            <v>1</v>
          </cell>
          <cell r="L173" t="e">
            <v>#N/A</v>
          </cell>
          <cell r="M173" t="str">
            <v>Cm</v>
          </cell>
        </row>
        <row r="174">
          <cell r="A174" t="str">
            <v>0906036</v>
          </cell>
          <cell r="B174" t="str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 t="str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3150</v>
          </cell>
          <cell r="K175">
            <v>10</v>
          </cell>
          <cell r="L175">
            <v>315</v>
          </cell>
          <cell r="M175" t="str">
            <v>Gramos</v>
          </cell>
        </row>
        <row r="176">
          <cell r="A176" t="str">
            <v>910311</v>
          </cell>
          <cell r="B176" t="str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 t="e">
            <v>#N/A</v>
          </cell>
          <cell r="K176">
            <v>5000</v>
          </cell>
          <cell r="L176" t="e">
            <v>#N/A</v>
          </cell>
          <cell r="M176" t="str">
            <v>Mililitros</v>
          </cell>
        </row>
        <row r="177">
          <cell r="A177" t="str">
            <v>0910322</v>
          </cell>
          <cell r="B177" t="str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3230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 t="str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10787</v>
          </cell>
          <cell r="K178">
            <v>3785</v>
          </cell>
          <cell r="L178">
            <v>2.8499339498018492</v>
          </cell>
          <cell r="M178" t="str">
            <v>Mililitros</v>
          </cell>
        </row>
        <row r="179">
          <cell r="A179" t="str">
            <v>0910341</v>
          </cell>
          <cell r="B179" t="str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7581</v>
          </cell>
          <cell r="K179">
            <v>3700</v>
          </cell>
          <cell r="L179">
            <v>2.0489189189189188</v>
          </cell>
          <cell r="M179" t="str">
            <v>Mililitros</v>
          </cell>
        </row>
        <row r="180">
          <cell r="A180" t="str">
            <v>0910351</v>
          </cell>
          <cell r="B180" t="str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6488.05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 t="str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26981.75</v>
          </cell>
          <cell r="K181">
            <v>5000</v>
          </cell>
          <cell r="L181">
            <v>5.39635</v>
          </cell>
          <cell r="M181" t="str">
            <v>Gramos</v>
          </cell>
        </row>
        <row r="182">
          <cell r="A182" t="str">
            <v>1010009</v>
          </cell>
          <cell r="B182" t="str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11231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 t="str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1691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 t="str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15869</v>
          </cell>
          <cell r="K184">
            <v>1000</v>
          </cell>
          <cell r="L184" t="e">
            <v>#DIV/0!</v>
          </cell>
          <cell r="M184" t="str">
            <v>Und</v>
          </cell>
        </row>
        <row r="185">
          <cell r="A185" t="str">
            <v>1012301</v>
          </cell>
          <cell r="B185" t="str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 t="e">
            <v>#N/A</v>
          </cell>
          <cell r="K185">
            <v>5000</v>
          </cell>
          <cell r="L185" t="e">
            <v>#N/A</v>
          </cell>
          <cell r="M185" t="str">
            <v>Mililitros</v>
          </cell>
        </row>
        <row r="186">
          <cell r="A186" t="str">
            <v>1012341</v>
          </cell>
          <cell r="B186" t="str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15950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 t="str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16689</v>
          </cell>
          <cell r="K187">
            <v>5000</v>
          </cell>
          <cell r="L187">
            <v>3.3378000000000001</v>
          </cell>
          <cell r="M187" t="str">
            <v>Mililitros</v>
          </cell>
        </row>
        <row r="188">
          <cell r="A188" t="str">
            <v>1058121</v>
          </cell>
          <cell r="B188" t="str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 t="e">
            <v>#N/A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 t="str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20768</v>
          </cell>
          <cell r="K189">
            <v>250</v>
          </cell>
          <cell r="L189">
            <v>83.072000000000003</v>
          </cell>
          <cell r="M189" t="str">
            <v>Mililitros</v>
          </cell>
        </row>
        <row r="190">
          <cell r="A190" t="str">
            <v>1110354</v>
          </cell>
          <cell r="B190" t="str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7127</v>
          </cell>
          <cell r="K190">
            <v>944</v>
          </cell>
          <cell r="L190">
            <v>7.5497881355932206</v>
          </cell>
          <cell r="M190" t="str">
            <v>Gramos</v>
          </cell>
        </row>
        <row r="191">
          <cell r="A191" t="str">
            <v>1110377</v>
          </cell>
          <cell r="B191" t="str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 t="e">
            <v>#N/A</v>
          </cell>
          <cell r="K191">
            <v>2980</v>
          </cell>
          <cell r="L191" t="e">
            <v>#N/A</v>
          </cell>
          <cell r="M191" t="str">
            <v>Mililitros</v>
          </cell>
        </row>
        <row r="192">
          <cell r="A192" t="str">
            <v>1110378</v>
          </cell>
          <cell r="B192" t="str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6500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 t="str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 t="e">
            <v>#N/A</v>
          </cell>
          <cell r="K193">
            <v>3785</v>
          </cell>
          <cell r="L193" t="e">
            <v>#N/A</v>
          </cell>
          <cell r="M193" t="str">
            <v>Gramos</v>
          </cell>
        </row>
        <row r="194">
          <cell r="A194" t="str">
            <v>1110386</v>
          </cell>
          <cell r="B194" t="str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 t="e">
            <v>#N/A</v>
          </cell>
          <cell r="K194">
            <v>2232</v>
          </cell>
          <cell r="L194" t="e">
            <v>#N/A</v>
          </cell>
          <cell r="M194" t="str">
            <v>Gramos</v>
          </cell>
        </row>
        <row r="195">
          <cell r="A195" t="str">
            <v>1110393</v>
          </cell>
          <cell r="B195" t="str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4224</v>
          </cell>
          <cell r="K195">
            <v>1600</v>
          </cell>
          <cell r="L195">
            <v>2.64</v>
          </cell>
          <cell r="M195" t="str">
            <v>Gramos</v>
          </cell>
        </row>
        <row r="196">
          <cell r="A196" t="str">
            <v>1110406</v>
          </cell>
          <cell r="B196" t="str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4857</v>
          </cell>
          <cell r="K196">
            <v>1000</v>
          </cell>
          <cell r="L196">
            <v>4.8570000000000002</v>
          </cell>
          <cell r="M196" t="str">
            <v>Mililitros</v>
          </cell>
        </row>
        <row r="197">
          <cell r="A197" t="str">
            <v>1110407</v>
          </cell>
          <cell r="B197" t="str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1969</v>
          </cell>
          <cell r="K197">
            <v>1000</v>
          </cell>
          <cell r="L197">
            <v>1.9690000000000001</v>
          </cell>
          <cell r="M197" t="str">
            <v>Mililitros</v>
          </cell>
        </row>
        <row r="198">
          <cell r="A198" t="str">
            <v>1110408</v>
          </cell>
          <cell r="B198" t="str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1692</v>
          </cell>
          <cell r="K198">
            <v>1000</v>
          </cell>
          <cell r="L198">
            <v>1.6919999999999999</v>
          </cell>
          <cell r="M198" t="str">
            <v>Gramos</v>
          </cell>
        </row>
        <row r="199">
          <cell r="A199" t="str">
            <v>1110414</v>
          </cell>
          <cell r="B199" t="str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1467</v>
          </cell>
          <cell r="K199">
            <v>1000</v>
          </cell>
          <cell r="L199">
            <v>1.4670000000000001</v>
          </cell>
          <cell r="M199" t="str">
            <v>Mililitros</v>
          </cell>
        </row>
        <row r="200">
          <cell r="A200" t="str">
            <v>1110415</v>
          </cell>
          <cell r="B200" t="str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1430</v>
          </cell>
          <cell r="K200">
            <v>1000</v>
          </cell>
          <cell r="L200">
            <v>1.43</v>
          </cell>
          <cell r="M200" t="str">
            <v>Gramos</v>
          </cell>
        </row>
        <row r="201">
          <cell r="A201" t="str">
            <v>1110418</v>
          </cell>
          <cell r="B201" t="str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 t="e">
            <v>#N/A</v>
          </cell>
          <cell r="K201">
            <v>820</v>
          </cell>
          <cell r="L201" t="e">
            <v>#N/A</v>
          </cell>
          <cell r="M201" t="str">
            <v>Gramos</v>
          </cell>
        </row>
        <row r="202">
          <cell r="A202" t="str">
            <v>1110419</v>
          </cell>
          <cell r="B202" t="str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 t="e">
            <v>#N/A</v>
          </cell>
          <cell r="K202">
            <v>700</v>
          </cell>
          <cell r="L202" t="e">
            <v>#N/A</v>
          </cell>
          <cell r="M202" t="str">
            <v>Gramos</v>
          </cell>
        </row>
        <row r="203">
          <cell r="A203" t="str">
            <v>1112431</v>
          </cell>
          <cell r="B203" t="str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9403</v>
          </cell>
          <cell r="K203">
            <v>4500</v>
          </cell>
          <cell r="L203">
            <v>2.0895555555555556</v>
          </cell>
          <cell r="M203" t="str">
            <v>Gramos</v>
          </cell>
        </row>
        <row r="204">
          <cell r="A204" t="str">
            <v>1112441</v>
          </cell>
          <cell r="B204" t="str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10060</v>
          </cell>
          <cell r="K204">
            <v>1700</v>
          </cell>
          <cell r="L204">
            <v>5.9176470588235297</v>
          </cell>
          <cell r="M204" t="str">
            <v>Gramos</v>
          </cell>
        </row>
        <row r="205">
          <cell r="A205" t="str">
            <v>1112444</v>
          </cell>
          <cell r="B205" t="str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2129</v>
          </cell>
          <cell r="K205">
            <v>2200</v>
          </cell>
          <cell r="L205">
            <v>0.96772727272727277</v>
          </cell>
          <cell r="M205" t="str">
            <v>Gramos</v>
          </cell>
        </row>
        <row r="206">
          <cell r="A206" t="str">
            <v>1160001</v>
          </cell>
          <cell r="B206" t="str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3644.34</v>
          </cell>
          <cell r="K206">
            <v>1000</v>
          </cell>
          <cell r="L206">
            <v>3.6443400000000001</v>
          </cell>
          <cell r="M206" t="str">
            <v>Gramos</v>
          </cell>
        </row>
        <row r="207">
          <cell r="A207" t="str">
            <v>1200003</v>
          </cell>
          <cell r="B207" t="str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9243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 t="str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22450</v>
          </cell>
          <cell r="K208">
            <v>5000</v>
          </cell>
          <cell r="L208">
            <v>4.49</v>
          </cell>
          <cell r="M208" t="str">
            <v>Gramos</v>
          </cell>
        </row>
        <row r="209">
          <cell r="A209" t="str">
            <v>1210387</v>
          </cell>
          <cell r="B209" t="str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15867</v>
          </cell>
          <cell r="K209">
            <v>4500</v>
          </cell>
          <cell r="L209">
            <v>3.5259999999999998</v>
          </cell>
          <cell r="M209" t="str">
            <v>Gramos</v>
          </cell>
        </row>
        <row r="210">
          <cell r="A210" t="str">
            <v>10100289</v>
          </cell>
          <cell r="B210" t="str">
            <v>5526</v>
          </cell>
          <cell r="C210" t="str">
            <v>MARGARINA BAKER TABLETA (CAJA: 25 K)</v>
          </cell>
          <cell r="D210" t="str">
            <v>10100289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32325</v>
          </cell>
          <cell r="K210">
            <v>25000</v>
          </cell>
          <cell r="L210">
            <v>1.2929999999999999</v>
          </cell>
          <cell r="M210" t="str">
            <v>Gramos</v>
          </cell>
        </row>
        <row r="211">
          <cell r="A211" t="str">
            <v>10100295</v>
          </cell>
          <cell r="B211" t="str">
            <v>17272</v>
          </cell>
          <cell r="C211" t="str">
            <v xml:space="preserve">COBERTURA CHOCOLATE BLANCO (PAQ:1 K) </v>
          </cell>
          <cell r="D211" t="str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 t="e">
            <v>#N/A</v>
          </cell>
          <cell r="K211">
            <v>1000</v>
          </cell>
          <cell r="L211" t="e">
            <v>#N/A</v>
          </cell>
          <cell r="M211" t="str">
            <v>Gramos</v>
          </cell>
        </row>
        <row r="212">
          <cell r="A212" t="str">
            <v>1210396</v>
          </cell>
          <cell r="B212" t="str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9380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 t="str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 t="e">
            <v>#N/A</v>
          </cell>
          <cell r="K213">
            <v>1000</v>
          </cell>
          <cell r="L213" t="e">
            <v>#N/A</v>
          </cell>
          <cell r="M213" t="str">
            <v>Gramos</v>
          </cell>
        </row>
        <row r="214">
          <cell r="A214" t="str">
            <v>1210399</v>
          </cell>
          <cell r="B214" t="str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 t="e">
            <v>#N/A</v>
          </cell>
          <cell r="K214">
            <v>1000</v>
          </cell>
          <cell r="L214" t="e">
            <v>#N/A</v>
          </cell>
          <cell r="M214" t="str">
            <v>Gramos</v>
          </cell>
        </row>
        <row r="215">
          <cell r="A215" t="str">
            <v>1210401</v>
          </cell>
          <cell r="B215" t="str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31744</v>
          </cell>
          <cell r="K215">
            <v>25000</v>
          </cell>
          <cell r="L215">
            <v>1.26976</v>
          </cell>
          <cell r="M215" t="str">
            <v>Gramos</v>
          </cell>
        </row>
        <row r="216">
          <cell r="A216" t="str">
            <v>1210402</v>
          </cell>
          <cell r="B216" t="str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 t="e">
            <v>#N/A</v>
          </cell>
          <cell r="K216">
            <v>12500</v>
          </cell>
          <cell r="L216" t="e">
            <v>#N/A</v>
          </cell>
          <cell r="M216" t="str">
            <v>Gramos</v>
          </cell>
        </row>
        <row r="217">
          <cell r="A217" t="str">
            <v>1210405</v>
          </cell>
          <cell r="B217" t="str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2499</v>
          </cell>
          <cell r="K217">
            <v>1000</v>
          </cell>
          <cell r="L217">
            <v>2.4990000000000001</v>
          </cell>
          <cell r="M217" t="str">
            <v>Gramos</v>
          </cell>
        </row>
        <row r="218">
          <cell r="A218" t="str">
            <v>1210413</v>
          </cell>
          <cell r="B218" t="str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1631.8</v>
          </cell>
          <cell r="K218">
            <v>465</v>
          </cell>
          <cell r="L218">
            <v>3.509247311827957</v>
          </cell>
          <cell r="M218" t="str">
            <v>Gramos</v>
          </cell>
        </row>
        <row r="219">
          <cell r="A219" t="str">
            <v>1210420</v>
          </cell>
          <cell r="B219" t="str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1728</v>
          </cell>
          <cell r="K219">
            <v>1000</v>
          </cell>
          <cell r="L219">
            <v>1.728</v>
          </cell>
          <cell r="M219" t="str">
            <v>Gramos</v>
          </cell>
        </row>
        <row r="220">
          <cell r="A220" t="str">
            <v>1210428</v>
          </cell>
          <cell r="B220" t="str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6057</v>
          </cell>
          <cell r="K220">
            <v>4500</v>
          </cell>
          <cell r="L220" t="e">
            <v>#DIV/0!</v>
          </cell>
          <cell r="M220" t="str">
            <v>Gramos</v>
          </cell>
        </row>
        <row r="221">
          <cell r="A221" t="str">
            <v>1210437</v>
          </cell>
          <cell r="B221" t="str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 t="e">
            <v>#N/A</v>
          </cell>
          <cell r="K221">
            <v>1000</v>
          </cell>
          <cell r="L221" t="e">
            <v>#N/A</v>
          </cell>
          <cell r="M221" t="str">
            <v>Gramos</v>
          </cell>
        </row>
        <row r="222">
          <cell r="A222" t="str">
            <v>1210441</v>
          </cell>
          <cell r="B222" t="str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26215</v>
          </cell>
          <cell r="K222">
            <v>13600</v>
          </cell>
          <cell r="L222">
            <v>1.9275735294117646</v>
          </cell>
          <cell r="M222" t="str">
            <v>Gramos</v>
          </cell>
        </row>
        <row r="223">
          <cell r="A223" t="str">
            <v>1210443</v>
          </cell>
          <cell r="B223" t="str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 t="e">
            <v>#N/A</v>
          </cell>
          <cell r="K223">
            <v>2000</v>
          </cell>
          <cell r="L223" t="e">
            <v>#N/A</v>
          </cell>
          <cell r="M223" t="str">
            <v>Gramos</v>
          </cell>
        </row>
        <row r="224">
          <cell r="A224" t="str">
            <v>1210445</v>
          </cell>
          <cell r="B224" t="str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433431.12959999999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 t="str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 t="e">
            <v>#N/A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 t="str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 t="e">
            <v>#N/A</v>
          </cell>
          <cell r="K226">
            <v>750</v>
          </cell>
          <cell r="L226" t="e">
            <v>#N/A</v>
          </cell>
          <cell r="M226" t="str">
            <v>Gramos</v>
          </cell>
        </row>
        <row r="227">
          <cell r="A227" t="str">
            <v>1210461</v>
          </cell>
          <cell r="B227" t="str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18000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 t="str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10080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 t="str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23000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 t="str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 t="e">
            <v>#N/A</v>
          </cell>
          <cell r="K230">
            <v>150</v>
          </cell>
          <cell r="L230" t="e">
            <v>#N/A</v>
          </cell>
          <cell r="M230" t="str">
            <v>Und</v>
          </cell>
        </row>
        <row r="231">
          <cell r="A231" t="str">
            <v>1210482</v>
          </cell>
          <cell r="B231" t="str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17000</v>
          </cell>
          <cell r="K231">
            <v>10000</v>
          </cell>
          <cell r="L231">
            <v>1.7</v>
          </cell>
          <cell r="M231" t="str">
            <v>Gramos</v>
          </cell>
        </row>
        <row r="232">
          <cell r="A232" t="str">
            <v>1210492</v>
          </cell>
          <cell r="B232" t="str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5535.96</v>
          </cell>
          <cell r="K232">
            <v>2000</v>
          </cell>
          <cell r="L232">
            <v>2.7679800000000001</v>
          </cell>
          <cell r="M232" t="str">
            <v>Gramos</v>
          </cell>
        </row>
        <row r="233">
          <cell r="A233" t="str">
            <v>1210494</v>
          </cell>
          <cell r="B233" t="str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 t="e">
            <v>#N/A</v>
          </cell>
          <cell r="K233">
            <v>25</v>
          </cell>
          <cell r="L233" t="e">
            <v>#N/A</v>
          </cell>
          <cell r="M233" t="str">
            <v>Gramos</v>
          </cell>
        </row>
        <row r="234">
          <cell r="A234" t="str">
            <v>1210495</v>
          </cell>
          <cell r="B234" t="str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12946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 t="str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 t="e">
            <v>#N/A</v>
          </cell>
          <cell r="K235">
            <v>240</v>
          </cell>
          <cell r="L235" t="e">
            <v>#N/A</v>
          </cell>
          <cell r="M235" t="str">
            <v>Gramos</v>
          </cell>
        </row>
        <row r="236">
          <cell r="A236" t="str">
            <v>1210497</v>
          </cell>
          <cell r="B236" t="str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 t="e">
            <v>#N/A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 t="str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36849.300000000003</v>
          </cell>
          <cell r="K237">
            <v>1000</v>
          </cell>
          <cell r="L237">
            <v>36.849299999999999</v>
          </cell>
          <cell r="M237" t="str">
            <v>Gramos</v>
          </cell>
        </row>
        <row r="238">
          <cell r="A238" t="str">
            <v>1212412</v>
          </cell>
          <cell r="B238" t="str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45154.55</v>
          </cell>
          <cell r="K238">
            <v>5000</v>
          </cell>
          <cell r="L238">
            <v>9.0309100000000004</v>
          </cell>
          <cell r="M238" t="str">
            <v>Gramos</v>
          </cell>
        </row>
        <row r="239">
          <cell r="A239" t="str">
            <v>1212437</v>
          </cell>
          <cell r="B239" t="str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69530</v>
          </cell>
          <cell r="K239">
            <v>17000</v>
          </cell>
          <cell r="L239">
            <v>4.09</v>
          </cell>
          <cell r="M239" t="str">
            <v>Gramos</v>
          </cell>
        </row>
        <row r="240">
          <cell r="A240" t="str">
            <v>1212438</v>
          </cell>
          <cell r="B240" t="str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135625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 t="str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 t="e">
            <v>#N/A</v>
          </cell>
          <cell r="K241">
            <v>150</v>
          </cell>
          <cell r="L241" t="e">
            <v>#N/A</v>
          </cell>
          <cell r="M241" t="str">
            <v>Und</v>
          </cell>
        </row>
        <row r="242">
          <cell r="A242" t="str">
            <v>1700001</v>
          </cell>
          <cell r="B242" t="str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26466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 t="str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 t="e">
            <v>#N/A</v>
          </cell>
          <cell r="K243">
            <v>1000</v>
          </cell>
          <cell r="L243" t="e">
            <v>#N/A</v>
          </cell>
          <cell r="M243" t="str">
            <v>Gramos</v>
          </cell>
        </row>
        <row r="244">
          <cell r="A244" t="str">
            <v>1730579</v>
          </cell>
          <cell r="B244" t="str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3695</v>
          </cell>
          <cell r="K244">
            <v>1000</v>
          </cell>
          <cell r="L244">
            <v>3.6949999999999998</v>
          </cell>
          <cell r="M244" t="str">
            <v>Gramos</v>
          </cell>
        </row>
        <row r="245">
          <cell r="A245" t="str">
            <v>1730580</v>
          </cell>
          <cell r="B245" t="str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4195</v>
          </cell>
          <cell r="K245">
            <v>1000</v>
          </cell>
          <cell r="L245">
            <v>4.1950000000000003</v>
          </cell>
          <cell r="M245" t="str">
            <v>Gramos</v>
          </cell>
        </row>
        <row r="246">
          <cell r="A246" t="str">
            <v>1730588</v>
          </cell>
          <cell r="B246" t="str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5690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 t="str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1850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 t="str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3990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 t="str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 t="e">
            <v>#N/A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 t="str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 t="e">
            <v>#N/A</v>
          </cell>
          <cell r="K250">
            <v>3785</v>
          </cell>
          <cell r="L250" t="e">
            <v>#N/A</v>
          </cell>
          <cell r="M250" t="str">
            <v>Und</v>
          </cell>
        </row>
        <row r="251">
          <cell r="A251" t="str">
            <v>1730616</v>
          </cell>
          <cell r="B251" t="str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923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 t="str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1384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 t="str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2080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 t="str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 t="e">
            <v>#N/A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 t="str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 t="e">
            <v>#N/A</v>
          </cell>
          <cell r="K255">
            <v>1000</v>
          </cell>
          <cell r="L255" t="e">
            <v>#N/A</v>
          </cell>
          <cell r="M255" t="str">
            <v>Gramos</v>
          </cell>
        </row>
        <row r="256">
          <cell r="A256" t="str">
            <v>1730660</v>
          </cell>
          <cell r="B256" t="str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12950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 t="str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3228.98</v>
          </cell>
          <cell r="K257">
            <v>460</v>
          </cell>
          <cell r="L257">
            <v>7.0195217391304352</v>
          </cell>
          <cell r="M257" t="str">
            <v>Gramos</v>
          </cell>
        </row>
        <row r="258">
          <cell r="A258" t="str">
            <v>1730670</v>
          </cell>
          <cell r="B258" t="str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</v>
          </cell>
          <cell r="K258">
            <v>100</v>
          </cell>
          <cell r="L258">
            <v>70</v>
          </cell>
          <cell r="M258" t="str">
            <v>Gramos</v>
          </cell>
        </row>
        <row r="259">
          <cell r="A259" t="str">
            <v>1840640</v>
          </cell>
          <cell r="B259" t="str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1800</v>
          </cell>
          <cell r="K259">
            <v>150</v>
          </cell>
          <cell r="L259">
            <v>12</v>
          </cell>
          <cell r="M259" t="str">
            <v>Gramos</v>
          </cell>
        </row>
        <row r="260">
          <cell r="A260" t="str">
            <v>1900001</v>
          </cell>
          <cell r="B260" t="str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112.5</v>
          </cell>
          <cell r="K260">
            <v>25000</v>
          </cell>
          <cell r="L260">
            <v>4.4999999999999997E-3</v>
          </cell>
          <cell r="M260" t="str">
            <v>Gramos</v>
          </cell>
        </row>
        <row r="261">
          <cell r="A261" t="str">
            <v>1950387</v>
          </cell>
          <cell r="B261" t="str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28400</v>
          </cell>
          <cell r="K261">
            <v>3785</v>
          </cell>
          <cell r="L261" t="e">
            <v>#DIV/0!</v>
          </cell>
          <cell r="M261" t="str">
            <v>Und</v>
          </cell>
        </row>
        <row r="262">
          <cell r="A262" t="str">
            <v>1950409</v>
          </cell>
          <cell r="B262" t="str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6300</v>
          </cell>
          <cell r="K262">
            <v>100</v>
          </cell>
          <cell r="L262">
            <v>63</v>
          </cell>
          <cell r="M262" t="str">
            <v>Gramos</v>
          </cell>
        </row>
        <row r="263">
          <cell r="A263" t="str">
            <v>1950672</v>
          </cell>
          <cell r="B263" t="str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44045</v>
          </cell>
          <cell r="K263">
            <v>200</v>
          </cell>
          <cell r="L263">
            <v>220.22499999999999</v>
          </cell>
          <cell r="M263" t="str">
            <v>Und</v>
          </cell>
        </row>
        <row r="264">
          <cell r="A264" t="str">
            <v>1950682</v>
          </cell>
          <cell r="B264" t="str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52551</v>
          </cell>
          <cell r="K264">
            <v>200</v>
          </cell>
          <cell r="L264">
            <v>262.755</v>
          </cell>
          <cell r="M264" t="str">
            <v>Und</v>
          </cell>
        </row>
        <row r="265">
          <cell r="A265" t="str">
            <v>1950692</v>
          </cell>
          <cell r="B265" t="str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127</v>
          </cell>
          <cell r="K265">
            <v>1</v>
          </cell>
          <cell r="L265">
            <v>127</v>
          </cell>
          <cell r="M265" t="str">
            <v>Und</v>
          </cell>
        </row>
        <row r="266">
          <cell r="A266" t="str">
            <v>1950693</v>
          </cell>
          <cell r="B266" t="str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125</v>
          </cell>
          <cell r="K266">
            <v>1</v>
          </cell>
          <cell r="L266">
            <v>125</v>
          </cell>
          <cell r="M266" t="str">
            <v>Und</v>
          </cell>
        </row>
        <row r="267">
          <cell r="A267" t="str">
            <v>1950699</v>
          </cell>
          <cell r="B267" t="str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128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 t="str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1800</v>
          </cell>
          <cell r="K268">
            <v>125</v>
          </cell>
          <cell r="L268">
            <v>14.4</v>
          </cell>
          <cell r="M268" t="str">
            <v>Und</v>
          </cell>
        </row>
        <row r="269">
          <cell r="A269" t="str">
            <v>1950703</v>
          </cell>
          <cell r="B269" t="str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 t="e">
            <v>#N/A</v>
          </cell>
          <cell r="K269">
            <v>100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 t="str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1500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 t="str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1800</v>
          </cell>
          <cell r="K271">
            <v>200</v>
          </cell>
          <cell r="L271">
            <v>9</v>
          </cell>
          <cell r="M271" t="str">
            <v>Und</v>
          </cell>
        </row>
        <row r="272">
          <cell r="A272" t="str">
            <v>1950708</v>
          </cell>
          <cell r="B272" t="str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1800</v>
          </cell>
          <cell r="K272">
            <v>42</v>
          </cell>
          <cell r="L272">
            <v>42.857142857142854</v>
          </cell>
          <cell r="M272" t="str">
            <v>Und</v>
          </cell>
        </row>
        <row r="273">
          <cell r="A273" t="str">
            <v>1950715</v>
          </cell>
          <cell r="B273" t="str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 t="e">
            <v>#N/A</v>
          </cell>
          <cell r="K273">
            <v>500</v>
          </cell>
          <cell r="L273" t="e">
            <v>#N/A</v>
          </cell>
          <cell r="M273" t="str">
            <v>Und</v>
          </cell>
        </row>
        <row r="274">
          <cell r="A274" t="str">
            <v>1950716</v>
          </cell>
          <cell r="B274" t="str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27654</v>
          </cell>
          <cell r="K274">
            <v>200</v>
          </cell>
          <cell r="L274">
            <v>138.27000000000001</v>
          </cell>
          <cell r="M274" t="str">
            <v>Und</v>
          </cell>
        </row>
        <row r="275">
          <cell r="A275" t="str">
            <v>1950725</v>
          </cell>
          <cell r="B275" t="str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 t="e">
            <v>#N/A</v>
          </cell>
          <cell r="K275">
            <v>1</v>
          </cell>
          <cell r="L275" t="e">
            <v>#N/A</v>
          </cell>
          <cell r="M275" t="str">
            <v>Und</v>
          </cell>
        </row>
        <row r="276">
          <cell r="A276" t="str">
            <v>1950729</v>
          </cell>
          <cell r="B276" t="str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4700</v>
          </cell>
          <cell r="K276">
            <v>100</v>
          </cell>
          <cell r="L276">
            <v>47</v>
          </cell>
          <cell r="M276" t="str">
            <v>Und</v>
          </cell>
        </row>
        <row r="277">
          <cell r="A277" t="str">
            <v>1950730</v>
          </cell>
          <cell r="B277" t="str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2885</v>
          </cell>
          <cell r="K277">
            <v>100</v>
          </cell>
          <cell r="L277">
            <v>28.85</v>
          </cell>
          <cell r="M277" t="str">
            <v>Und</v>
          </cell>
        </row>
        <row r="278">
          <cell r="A278" t="str">
            <v>1950731</v>
          </cell>
          <cell r="B278" t="str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9300</v>
          </cell>
          <cell r="K278">
            <v>1000</v>
          </cell>
          <cell r="L278">
            <v>9.3000000000000007</v>
          </cell>
          <cell r="M278" t="str">
            <v>Und</v>
          </cell>
        </row>
        <row r="279">
          <cell r="A279" t="str">
            <v>1950732</v>
          </cell>
          <cell r="B279" t="str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9300</v>
          </cell>
          <cell r="K279">
            <v>1</v>
          </cell>
          <cell r="L279">
            <v>9300</v>
          </cell>
          <cell r="M279" t="str">
            <v>Und</v>
          </cell>
        </row>
        <row r="280">
          <cell r="A280" t="str">
            <v>1950733</v>
          </cell>
          <cell r="B280" t="str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3484.88</v>
          </cell>
          <cell r="K280">
            <v>500</v>
          </cell>
          <cell r="L280">
            <v>6.96976</v>
          </cell>
          <cell r="M280" t="str">
            <v>Und</v>
          </cell>
        </row>
        <row r="281">
          <cell r="A281" t="str">
            <v>1950735</v>
          </cell>
          <cell r="B281" t="str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10901</v>
          </cell>
          <cell r="K281">
            <v>1000</v>
          </cell>
          <cell r="L281">
            <v>10.901</v>
          </cell>
          <cell r="M281" t="str">
            <v>Und</v>
          </cell>
        </row>
        <row r="282">
          <cell r="A282" t="str">
            <v>1959752</v>
          </cell>
          <cell r="B282" t="str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2425</v>
          </cell>
          <cell r="K282">
            <v>100</v>
          </cell>
          <cell r="L282">
            <v>24.25</v>
          </cell>
          <cell r="M282" t="str">
            <v>Und</v>
          </cell>
        </row>
        <row r="283">
          <cell r="A283" t="str">
            <v>1950756</v>
          </cell>
          <cell r="B283" t="str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268.21600000000001</v>
          </cell>
          <cell r="K283">
            <v>1</v>
          </cell>
          <cell r="L283">
            <v>268.21600000000001</v>
          </cell>
          <cell r="M283" t="str">
            <v>Und</v>
          </cell>
        </row>
        <row r="284">
          <cell r="A284" t="str">
            <v>1950767</v>
          </cell>
          <cell r="B284" t="str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 t="e">
            <v>#N/A</v>
          </cell>
          <cell r="K284">
            <v>10000</v>
          </cell>
          <cell r="L284" t="e">
            <v>#N/A</v>
          </cell>
          <cell r="M284" t="str">
            <v>Cm</v>
          </cell>
        </row>
        <row r="285">
          <cell r="A285" t="str">
            <v>1950769</v>
          </cell>
          <cell r="B285" t="str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 t="e">
            <v>#N/A</v>
          </cell>
          <cell r="K285">
            <v>1</v>
          </cell>
          <cell r="L285" t="e">
            <v>#N/A</v>
          </cell>
          <cell r="M285" t="str">
            <v>Und</v>
          </cell>
        </row>
        <row r="286">
          <cell r="A286" t="str">
            <v>1950771</v>
          </cell>
          <cell r="B286" t="str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 t="e">
            <v>#N/A</v>
          </cell>
          <cell r="K286">
            <v>500</v>
          </cell>
          <cell r="L286" t="e">
            <v>#N/A</v>
          </cell>
          <cell r="M286" t="str">
            <v>Und</v>
          </cell>
        </row>
        <row r="287">
          <cell r="A287" t="str">
            <v>1950786</v>
          </cell>
          <cell r="B287" t="str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2150</v>
          </cell>
          <cell r="K287">
            <v>1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 t="str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 t="e">
            <v>#N/A</v>
          </cell>
          <cell r="K288">
            <v>50</v>
          </cell>
          <cell r="L288" t="e">
            <v>#N/A</v>
          </cell>
          <cell r="M288" t="str">
            <v>Und</v>
          </cell>
        </row>
        <row r="289">
          <cell r="A289" t="str">
            <v>1950808</v>
          </cell>
          <cell r="B289" t="str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89</v>
          </cell>
          <cell r="K289">
            <v>1</v>
          </cell>
          <cell r="L289">
            <v>89</v>
          </cell>
          <cell r="M289" t="str">
            <v>Und</v>
          </cell>
        </row>
        <row r="290">
          <cell r="A290" t="str">
            <v>1950811</v>
          </cell>
          <cell r="B290" t="str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189</v>
          </cell>
          <cell r="K290">
            <v>1</v>
          </cell>
          <cell r="L290">
            <v>189</v>
          </cell>
          <cell r="M290" t="str">
            <v>Und</v>
          </cell>
        </row>
        <row r="291">
          <cell r="A291" t="str">
            <v>1950818</v>
          </cell>
          <cell r="B291" t="str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56388</v>
          </cell>
          <cell r="K291">
            <v>50</v>
          </cell>
          <cell r="L291">
            <v>1127.76</v>
          </cell>
          <cell r="M291" t="str">
            <v>Und</v>
          </cell>
        </row>
        <row r="292">
          <cell r="A292" t="str">
            <v>1950829</v>
          </cell>
          <cell r="B292" t="str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262</v>
          </cell>
          <cell r="K292">
            <v>1</v>
          </cell>
          <cell r="L292">
            <v>262</v>
          </cell>
          <cell r="M292" t="str">
            <v>Und</v>
          </cell>
        </row>
        <row r="293">
          <cell r="A293" t="str">
            <v>1950837</v>
          </cell>
          <cell r="B293" t="str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6300</v>
          </cell>
          <cell r="K293">
            <v>100</v>
          </cell>
          <cell r="L293">
            <v>63</v>
          </cell>
          <cell r="M293" t="str">
            <v>Und</v>
          </cell>
        </row>
        <row r="294">
          <cell r="A294" t="str">
            <v>1950853</v>
          </cell>
          <cell r="B294" t="str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45650</v>
          </cell>
          <cell r="K294">
            <v>1000</v>
          </cell>
          <cell r="L294">
            <v>45.65</v>
          </cell>
          <cell r="M294" t="str">
            <v>Und</v>
          </cell>
        </row>
        <row r="295">
          <cell r="A295" t="str">
            <v>1950854</v>
          </cell>
          <cell r="B295" t="str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43450</v>
          </cell>
          <cell r="K295">
            <v>2000</v>
          </cell>
          <cell r="L295">
            <v>21.725000000000001</v>
          </cell>
          <cell r="M295" t="str">
            <v>Und</v>
          </cell>
        </row>
        <row r="296">
          <cell r="A296" t="str">
            <v>1950865</v>
          </cell>
          <cell r="B296" t="str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 t="e">
            <v>#N/A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 t="str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4874.5600000000004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 t="str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20840</v>
          </cell>
          <cell r="K298">
            <v>250</v>
          </cell>
          <cell r="L298">
            <v>83.36</v>
          </cell>
          <cell r="M298" t="str">
            <v>Und</v>
          </cell>
        </row>
        <row r="299">
          <cell r="A299" t="str">
            <v>1950887</v>
          </cell>
          <cell r="B299" t="str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 t="e">
            <v>#N/A</v>
          </cell>
          <cell r="K299">
            <v>1</v>
          </cell>
          <cell r="L299" t="e">
            <v>#N/A</v>
          </cell>
          <cell r="M299" t="str">
            <v>Und</v>
          </cell>
        </row>
        <row r="300">
          <cell r="A300" t="str">
            <v>1950888</v>
          </cell>
          <cell r="B300" t="str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 t="e">
            <v>#N/A</v>
          </cell>
          <cell r="K300">
            <v>1</v>
          </cell>
          <cell r="L300" t="e">
            <v>#N/A</v>
          </cell>
          <cell r="M300" t="str">
            <v>Gramos</v>
          </cell>
        </row>
        <row r="301">
          <cell r="A301" t="str">
            <v>1950895</v>
          </cell>
          <cell r="B301" t="str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4874</v>
          </cell>
          <cell r="K301">
            <v>334</v>
          </cell>
          <cell r="L301">
            <v>14.592814371257486</v>
          </cell>
          <cell r="M301" t="str">
            <v>Unidades</v>
          </cell>
        </row>
        <row r="302">
          <cell r="A302" t="str">
            <v>1950896</v>
          </cell>
          <cell r="B302" t="str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 t="e">
            <v>#N/A</v>
          </cell>
          <cell r="K302">
            <v>500</v>
          </cell>
          <cell r="L302" t="e">
            <v>#N/A</v>
          </cell>
          <cell r="M302" t="str">
            <v>Und</v>
          </cell>
        </row>
        <row r="303">
          <cell r="A303" t="str">
            <v>1950904</v>
          </cell>
          <cell r="B303" t="str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1800</v>
          </cell>
          <cell r="K303">
            <v>334</v>
          </cell>
          <cell r="L303">
            <v>5.3892215568862278</v>
          </cell>
          <cell r="M303" t="str">
            <v>Und</v>
          </cell>
        </row>
        <row r="304">
          <cell r="A304" t="str">
            <v>1950909</v>
          </cell>
          <cell r="B304" t="str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37860</v>
          </cell>
          <cell r="K304">
            <v>200</v>
          </cell>
          <cell r="L304">
            <v>189.3</v>
          </cell>
          <cell r="M304" t="str">
            <v>Und</v>
          </cell>
        </row>
        <row r="305">
          <cell r="A305" t="str">
            <v>1950914</v>
          </cell>
          <cell r="B305" t="str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91.6</v>
          </cell>
          <cell r="K305">
            <v>1</v>
          </cell>
          <cell r="L305">
            <v>91.6</v>
          </cell>
          <cell r="M305" t="str">
            <v>Und</v>
          </cell>
        </row>
        <row r="306">
          <cell r="A306" t="str">
            <v>1950921</v>
          </cell>
          <cell r="B306" t="str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 t="e">
            <v>#N/A</v>
          </cell>
          <cell r="K306">
            <v>100</v>
          </cell>
          <cell r="L306" t="e">
            <v>#N/A</v>
          </cell>
          <cell r="M306" t="str">
            <v>Und</v>
          </cell>
        </row>
        <row r="307">
          <cell r="A307" t="str">
            <v>1950928</v>
          </cell>
          <cell r="B307" t="str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1800</v>
          </cell>
          <cell r="K307">
            <v>40</v>
          </cell>
          <cell r="L307">
            <v>45</v>
          </cell>
          <cell r="M307" t="str">
            <v>Und</v>
          </cell>
        </row>
        <row r="308">
          <cell r="A308" t="str">
            <v>1950942</v>
          </cell>
          <cell r="B308" t="str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39</v>
          </cell>
          <cell r="K308">
            <v>1</v>
          </cell>
          <cell r="L308">
            <v>39</v>
          </cell>
          <cell r="M308" t="str">
            <v>Und</v>
          </cell>
        </row>
        <row r="309">
          <cell r="A309" t="str">
            <v>1950959</v>
          </cell>
          <cell r="B309" t="str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1547.6</v>
          </cell>
          <cell r="K309">
            <v>20</v>
          </cell>
          <cell r="L309">
            <v>77.38</v>
          </cell>
          <cell r="M309" t="str">
            <v>Und</v>
          </cell>
        </row>
        <row r="310">
          <cell r="A310" t="str">
            <v>1952378</v>
          </cell>
          <cell r="B310" t="str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 t="e">
            <v>#N/A</v>
          </cell>
          <cell r="K310">
            <v>480</v>
          </cell>
          <cell r="L310" t="e">
            <v>#N/A</v>
          </cell>
          <cell r="M310" t="str">
            <v>Gramos</v>
          </cell>
        </row>
        <row r="311">
          <cell r="A311" t="str">
            <v>1952400</v>
          </cell>
          <cell r="B311" t="str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4860</v>
          </cell>
          <cell r="K311">
            <v>1000</v>
          </cell>
          <cell r="L311">
            <v>4.8600000000000003</v>
          </cell>
          <cell r="M311" t="str">
            <v>Und</v>
          </cell>
        </row>
        <row r="312">
          <cell r="A312" t="str">
            <v>1952409</v>
          </cell>
          <cell r="B312" t="str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97.5</v>
          </cell>
          <cell r="K312">
            <v>1</v>
          </cell>
          <cell r="L312">
            <v>97.5</v>
          </cell>
          <cell r="M312" t="str">
            <v>Und</v>
          </cell>
        </row>
        <row r="313">
          <cell r="A313" t="str">
            <v>1952410</v>
          </cell>
          <cell r="B313" t="str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67</v>
          </cell>
          <cell r="K313">
            <v>1</v>
          </cell>
          <cell r="L313">
            <v>67</v>
          </cell>
          <cell r="M313" t="str">
            <v>Und</v>
          </cell>
        </row>
        <row r="314">
          <cell r="A314" t="str">
            <v>1952432</v>
          </cell>
          <cell r="B314" t="str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98.072000000000003</v>
          </cell>
          <cell r="K314">
            <v>1</v>
          </cell>
          <cell r="L314">
            <v>98.072000000000003</v>
          </cell>
          <cell r="M314" t="str">
            <v>Und</v>
          </cell>
        </row>
        <row r="315">
          <cell r="A315" t="str">
            <v>1952434</v>
          </cell>
          <cell r="B315" t="str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578</v>
          </cell>
          <cell r="K315">
            <v>1</v>
          </cell>
          <cell r="L315">
            <v>578</v>
          </cell>
          <cell r="M315" t="str">
            <v>Und</v>
          </cell>
        </row>
        <row r="316">
          <cell r="A316" t="str">
            <v>1952445</v>
          </cell>
          <cell r="B316" t="str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215</v>
          </cell>
          <cell r="K316">
            <v>1</v>
          </cell>
          <cell r="L316">
            <v>215</v>
          </cell>
          <cell r="M316" t="str">
            <v>Und</v>
          </cell>
        </row>
        <row r="317">
          <cell r="A317" t="str">
            <v>1952826</v>
          </cell>
          <cell r="B317" t="str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 t="e">
            <v>#N/A</v>
          </cell>
          <cell r="K317">
            <v>100</v>
          </cell>
          <cell r="L317" t="e">
            <v>#N/A</v>
          </cell>
          <cell r="M317" t="str">
            <v>Und</v>
          </cell>
        </row>
        <row r="318">
          <cell r="A318" t="str">
            <v>1952831</v>
          </cell>
          <cell r="B318" t="str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 t="e">
            <v>#N/A</v>
          </cell>
          <cell r="K318">
            <v>100</v>
          </cell>
          <cell r="L318" t="e">
            <v>#N/A</v>
          </cell>
          <cell r="M318" t="str">
            <v>Und</v>
          </cell>
        </row>
        <row r="319">
          <cell r="A319" t="str">
            <v>1952851</v>
          </cell>
          <cell r="B319" t="str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 t="e">
            <v>#N/A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 t="str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 t="e">
            <v>#N/A</v>
          </cell>
          <cell r="K320">
            <v>378</v>
          </cell>
          <cell r="L320" t="e">
            <v>#N/A</v>
          </cell>
          <cell r="M320" t="str">
            <v>Und</v>
          </cell>
        </row>
        <row r="321">
          <cell r="A321" t="str">
            <v>1952871</v>
          </cell>
          <cell r="B321" t="str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536</v>
          </cell>
          <cell r="K321">
            <v>1</v>
          </cell>
          <cell r="L321">
            <v>536</v>
          </cell>
          <cell r="M321" t="str">
            <v>Und</v>
          </cell>
        </row>
        <row r="322">
          <cell r="A322" t="str">
            <v>1952873</v>
          </cell>
          <cell r="B322" t="str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 t="e">
            <v>#N/A</v>
          </cell>
          <cell r="K322">
            <v>600</v>
          </cell>
          <cell r="L322" t="e">
            <v>#N/A</v>
          </cell>
          <cell r="M322" t="str">
            <v>Und</v>
          </cell>
        </row>
        <row r="323">
          <cell r="A323" t="str">
            <v>1952874</v>
          </cell>
          <cell r="B323" t="str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89</v>
          </cell>
          <cell r="K323">
            <v>1</v>
          </cell>
          <cell r="L323">
            <v>89</v>
          </cell>
          <cell r="M323" t="str">
            <v>Und</v>
          </cell>
        </row>
        <row r="324">
          <cell r="A324" t="str">
            <v>1952875</v>
          </cell>
          <cell r="B324" t="str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127</v>
          </cell>
          <cell r="K324">
            <v>1</v>
          </cell>
          <cell r="L324">
            <v>127</v>
          </cell>
          <cell r="M324" t="str">
            <v>Und</v>
          </cell>
        </row>
        <row r="325">
          <cell r="A325" t="str">
            <v>1952910</v>
          </cell>
          <cell r="B325" t="str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658</v>
          </cell>
          <cell r="K325">
            <v>1</v>
          </cell>
          <cell r="L325">
            <v>658</v>
          </cell>
          <cell r="M325" t="str">
            <v>Und</v>
          </cell>
        </row>
        <row r="326">
          <cell r="A326" t="str">
            <v>1952912</v>
          </cell>
          <cell r="B326" t="str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13210</v>
          </cell>
          <cell r="K326">
            <v>200</v>
          </cell>
          <cell r="L326">
            <v>66.05</v>
          </cell>
          <cell r="M326" t="str">
            <v>Und</v>
          </cell>
        </row>
        <row r="327">
          <cell r="A327" t="str">
            <v>1952915</v>
          </cell>
          <cell r="B327" t="str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 t="e">
            <v>#N/A</v>
          </cell>
          <cell r="K327">
            <v>1500</v>
          </cell>
          <cell r="L327" t="e">
            <v>#N/A</v>
          </cell>
          <cell r="M327" t="str">
            <v>Und</v>
          </cell>
        </row>
        <row r="328">
          <cell r="A328" t="str">
            <v>1952919</v>
          </cell>
          <cell r="B328" t="str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382</v>
          </cell>
          <cell r="K328">
            <v>1</v>
          </cell>
          <cell r="L328">
            <v>382</v>
          </cell>
          <cell r="M328" t="str">
            <v>Und</v>
          </cell>
        </row>
        <row r="329">
          <cell r="A329" t="str">
            <v>2000001</v>
          </cell>
          <cell r="B329" t="str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18395</v>
          </cell>
          <cell r="K329">
            <v>900</v>
          </cell>
          <cell r="L329">
            <v>20.43888888888889</v>
          </cell>
          <cell r="M329" t="str">
            <v>Und</v>
          </cell>
        </row>
        <row r="330">
          <cell r="A330" t="str">
            <v>2000002</v>
          </cell>
          <cell r="B330" t="str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112635.6</v>
          </cell>
          <cell r="K330">
            <v>13600</v>
          </cell>
          <cell r="L330">
            <v>8.2820294117647055</v>
          </cell>
          <cell r="M330" t="str">
            <v>Gramos</v>
          </cell>
        </row>
        <row r="331">
          <cell r="A331" t="str">
            <v>2001001</v>
          </cell>
          <cell r="B331" t="str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600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 t="str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1903</v>
          </cell>
          <cell r="K332">
            <v>1000</v>
          </cell>
          <cell r="L332">
            <v>1.903</v>
          </cell>
          <cell r="M332" t="str">
            <v>Gramos</v>
          </cell>
        </row>
        <row r="333">
          <cell r="A333" t="str">
            <v>2172411</v>
          </cell>
          <cell r="B333" t="str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25.8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 t="str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3405</v>
          </cell>
          <cell r="K334">
            <v>1000</v>
          </cell>
          <cell r="L334">
            <v>3.4049999999999998</v>
          </cell>
          <cell r="M334" t="str">
            <v>Gramos</v>
          </cell>
        </row>
        <row r="335">
          <cell r="A335" t="str">
            <v>5000001</v>
          </cell>
          <cell r="B335" t="str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4700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 t="str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22680</v>
          </cell>
          <cell r="K336">
            <v>350</v>
          </cell>
          <cell r="L336">
            <v>64.8</v>
          </cell>
          <cell r="M336" t="str">
            <v>Und</v>
          </cell>
        </row>
        <row r="337">
          <cell r="A337" t="str">
            <v>10100003</v>
          </cell>
          <cell r="B337" t="str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3200</v>
          </cell>
          <cell r="K337">
            <v>2500</v>
          </cell>
          <cell r="L337">
            <v>1.28</v>
          </cell>
          <cell r="M337" t="str">
            <v>Gramos</v>
          </cell>
        </row>
        <row r="338">
          <cell r="A338" t="str">
            <v>10100033</v>
          </cell>
          <cell r="B338" t="str">
            <v>11351</v>
          </cell>
          <cell r="C338" t="str">
            <v>MOSTAZA DE DIJON (UND:850ML)</v>
          </cell>
          <cell r="D338" t="str">
            <v>10100033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21/03/2020</v>
          </cell>
          <cell r="I338">
            <v>4151.3999999999996</v>
          </cell>
          <cell r="J338" t="e">
            <v>#N/A</v>
          </cell>
          <cell r="K338">
            <v>850</v>
          </cell>
          <cell r="L338" t="e">
            <v>#N/A</v>
          </cell>
          <cell r="M338" t="str">
            <v>Mililitros</v>
          </cell>
        </row>
        <row r="339">
          <cell r="A339" t="str">
            <v>10100039</v>
          </cell>
          <cell r="B339" t="str">
            <v>8030</v>
          </cell>
          <cell r="C339" t="str">
            <v>CHIPS CHOCOLATE AMARGO (PAQ: 2,5 k)</v>
          </cell>
          <cell r="D339" t="str">
            <v>10100039</v>
          </cell>
          <cell r="E339" t="str">
            <v>MATERIAS PRIMAS PLANTA</v>
          </cell>
          <cell r="F339" t="str">
            <v>1 PAQUETE</v>
          </cell>
          <cell r="G339">
            <v>500</v>
          </cell>
          <cell r="H339" t="str">
            <v>12/05/2020</v>
          </cell>
          <cell r="I339">
            <v>15230</v>
          </cell>
          <cell r="J339">
            <v>15230</v>
          </cell>
          <cell r="K339">
            <v>2500</v>
          </cell>
          <cell r="L339">
            <v>6.0919999999999996</v>
          </cell>
          <cell r="M339" t="str">
            <v>Gramos</v>
          </cell>
        </row>
        <row r="340">
          <cell r="A340">
            <v>10100041</v>
          </cell>
          <cell r="B340" t="str">
            <v>5299</v>
          </cell>
          <cell r="C340" t="str">
            <v>GARBANZOS (UND:3 K)</v>
          </cell>
          <cell r="D340" t="str">
            <v>10100041</v>
          </cell>
          <cell r="E340" t="str">
            <v>MATERIAS PRIMAS PLANTA</v>
          </cell>
          <cell r="F340" t="str">
            <v>1 UND</v>
          </cell>
          <cell r="G340">
            <v>500</v>
          </cell>
          <cell r="H340" t="str">
            <v>12/06/2020</v>
          </cell>
          <cell r="I340">
            <v>3461</v>
          </cell>
          <cell r="J340">
            <v>2783</v>
          </cell>
          <cell r="K340">
            <v>3000</v>
          </cell>
          <cell r="L340">
            <v>0.92766666666666664</v>
          </cell>
          <cell r="M340" t="str">
            <v>Gramos</v>
          </cell>
        </row>
        <row r="341">
          <cell r="A341" t="str">
            <v>10100045</v>
          </cell>
          <cell r="B341" t="str">
            <v>5304</v>
          </cell>
          <cell r="C341" t="str">
            <v>AZUCAR CARAMELO (PAQ:0.5 K)</v>
          </cell>
          <cell r="D341" t="str">
            <v>10100045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686</v>
          </cell>
          <cell r="J341">
            <v>748</v>
          </cell>
          <cell r="K341">
            <v>500</v>
          </cell>
          <cell r="L341">
            <v>1.496</v>
          </cell>
          <cell r="M341" t="str">
            <v>Gramos</v>
          </cell>
        </row>
        <row r="342">
          <cell r="A342" t="str">
            <v>10100046</v>
          </cell>
          <cell r="B342" t="str">
            <v>5630</v>
          </cell>
          <cell r="C342" t="str">
            <v>POLVO HORNEAR FLEISHMAN (PAQ:2.5 K)</v>
          </cell>
          <cell r="D342" t="str">
            <v>10100046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2238</v>
          </cell>
          <cell r="J342">
            <v>2238</v>
          </cell>
          <cell r="K342">
            <v>2500</v>
          </cell>
          <cell r="L342">
            <v>0.8952</v>
          </cell>
          <cell r="M342" t="str">
            <v>Gramos</v>
          </cell>
        </row>
        <row r="343">
          <cell r="A343" t="str">
            <v>10100047</v>
          </cell>
          <cell r="B343" t="str">
            <v>12770</v>
          </cell>
          <cell r="C343" t="str">
            <v>SIROPE CHOCO. LIQUIDO (UND: 680 g)</v>
          </cell>
          <cell r="D343" t="str">
            <v>10100047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04/01/2020</v>
          </cell>
          <cell r="I343" t="e">
            <v>#N/A</v>
          </cell>
          <cell r="J343" t="e">
            <v>#N/A</v>
          </cell>
          <cell r="K343">
            <v>680</v>
          </cell>
          <cell r="L343" t="e">
            <v>#N/A</v>
          </cell>
          <cell r="M343" t="str">
            <v>Gramos</v>
          </cell>
        </row>
        <row r="344">
          <cell r="A344" t="str">
            <v>10100048</v>
          </cell>
          <cell r="B344" t="str">
            <v>5312</v>
          </cell>
          <cell r="C344" t="str">
            <v>SIROPE KARO DARK (UND: 3.78 K)</v>
          </cell>
          <cell r="D344" t="str">
            <v>10100048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15/06/2020</v>
          </cell>
          <cell r="I344">
            <v>9861.5</v>
          </cell>
          <cell r="J344">
            <v>11706.75</v>
          </cell>
          <cell r="K344">
            <v>3780</v>
          </cell>
          <cell r="L344">
            <v>3.0970238095238094</v>
          </cell>
          <cell r="M344" t="str">
            <v>Mililitros</v>
          </cell>
        </row>
        <row r="345">
          <cell r="A345" t="str">
            <v>10100049</v>
          </cell>
          <cell r="B345" t="str">
            <v>12773</v>
          </cell>
          <cell r="C345" t="str">
            <v>ACEITE LIBRE TRANS INOLAS (UND:15.88 L)</v>
          </cell>
          <cell r="D345" t="str">
            <v>10100049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08/06/2020</v>
          </cell>
          <cell r="I345">
            <v>17014</v>
          </cell>
          <cell r="J345">
            <v>22457</v>
          </cell>
          <cell r="K345">
            <v>15880</v>
          </cell>
          <cell r="L345">
            <v>1.414168765743073</v>
          </cell>
          <cell r="M345" t="str">
            <v>Mililitros</v>
          </cell>
        </row>
        <row r="346">
          <cell r="A346" t="str">
            <v>10100050</v>
          </cell>
          <cell r="B346" t="str">
            <v>5524</v>
          </cell>
          <cell r="C346" t="str">
            <v>ACEITE CAPULLO RBD (UND:17  L)</v>
          </cell>
          <cell r="D346" t="str">
            <v>10100050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15/06/2020</v>
          </cell>
          <cell r="I346">
            <v>21354</v>
          </cell>
          <cell r="J346">
            <v>20348</v>
          </cell>
          <cell r="K346">
            <v>17000</v>
          </cell>
          <cell r="L346">
            <v>1.1969411764705882</v>
          </cell>
          <cell r="M346" t="str">
            <v>Mililitros</v>
          </cell>
        </row>
        <row r="347">
          <cell r="A347" t="str">
            <v>10100051</v>
          </cell>
          <cell r="B347" t="str">
            <v>5313</v>
          </cell>
          <cell r="C347" t="str">
            <v>SALSA CHINA GALON</v>
          </cell>
          <cell r="D347" t="str">
            <v>10100051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19/03/2020</v>
          </cell>
          <cell r="I347">
            <v>3396</v>
          </cell>
          <cell r="J347" t="e">
            <v>#N/A</v>
          </cell>
          <cell r="K347">
            <v>3785</v>
          </cell>
          <cell r="L347" t="e">
            <v>#N/A</v>
          </cell>
          <cell r="M347" t="str">
            <v>Mililitros</v>
          </cell>
        </row>
        <row r="348">
          <cell r="A348" t="str">
            <v>10100053</v>
          </cell>
          <cell r="B348" t="str">
            <v>5315</v>
          </cell>
          <cell r="C348" t="str">
            <v>SALSA TOMATE BANQUETE (PAQ:2 Kg)</v>
          </cell>
          <cell r="D348" t="str">
            <v>10100053</v>
          </cell>
          <cell r="E348" t="str">
            <v>MATERIAS PRIMAS PLANTA</v>
          </cell>
          <cell r="F348" t="str">
            <v>1 PAQUETE</v>
          </cell>
          <cell r="G348">
            <v>500</v>
          </cell>
          <cell r="H348" t="str">
            <v>01/06/2020</v>
          </cell>
          <cell r="I348">
            <v>1552</v>
          </cell>
          <cell r="J348">
            <v>1574</v>
          </cell>
          <cell r="K348">
            <v>2000</v>
          </cell>
          <cell r="L348">
            <v>0.78700000000000003</v>
          </cell>
          <cell r="M348" t="str">
            <v>Gramos</v>
          </cell>
        </row>
        <row r="349">
          <cell r="A349" t="str">
            <v>10100067</v>
          </cell>
          <cell r="B349" t="str">
            <v>5241</v>
          </cell>
          <cell r="C349" t="str">
            <v>MAÍZ DULCE GALON (1.800K= DRENADO)</v>
          </cell>
          <cell r="D349" t="str">
            <v>10100067</v>
          </cell>
          <cell r="E349" t="str">
            <v>MATERIAS PRIMAS PLANTA</v>
          </cell>
          <cell r="F349" t="str">
            <v>1 UND</v>
          </cell>
          <cell r="G349">
            <v>500</v>
          </cell>
          <cell r="H349" t="str">
            <v>04/06/2020</v>
          </cell>
          <cell r="I349">
            <v>2729</v>
          </cell>
          <cell r="J349">
            <v>2938</v>
          </cell>
          <cell r="K349">
            <v>1800</v>
          </cell>
          <cell r="L349">
            <v>1.6322222222222222</v>
          </cell>
          <cell r="M349" t="str">
            <v>Gramos</v>
          </cell>
        </row>
        <row r="350">
          <cell r="A350" t="str">
            <v>10100068</v>
          </cell>
          <cell r="B350" t="str">
            <v>5285</v>
          </cell>
          <cell r="C350" t="str">
            <v>PAPITA RAYADA (PAQ:1.5 KILOS)</v>
          </cell>
          <cell r="D350" t="str">
            <v>10100068</v>
          </cell>
          <cell r="E350" t="str">
            <v>MATERIAS PRIMAS PLANTA</v>
          </cell>
          <cell r="F350" t="str">
            <v>1 PAQUETE</v>
          </cell>
          <cell r="G350">
            <v>500</v>
          </cell>
          <cell r="H350" t="str">
            <v>05/06/2020</v>
          </cell>
          <cell r="I350">
            <v>15600</v>
          </cell>
          <cell r="J350">
            <v>13520</v>
          </cell>
          <cell r="K350">
            <v>1500</v>
          </cell>
          <cell r="L350">
            <v>9.0133333333333336</v>
          </cell>
          <cell r="M350" t="str">
            <v>Gramos</v>
          </cell>
        </row>
        <row r="351">
          <cell r="A351" t="str">
            <v>10100082</v>
          </cell>
          <cell r="B351" t="str">
            <v>11295</v>
          </cell>
          <cell r="C351" t="str">
            <v>MAIZ DULCE ENTERO (UND:425g)</v>
          </cell>
          <cell r="D351" t="str">
            <v>10100082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10/02/2020</v>
          </cell>
          <cell r="I351" t="e">
            <v>#N/A</v>
          </cell>
          <cell r="J351" t="e">
            <v>#N/A</v>
          </cell>
          <cell r="K351">
            <v>425</v>
          </cell>
          <cell r="L351" t="e">
            <v>#N/A</v>
          </cell>
          <cell r="M351" t="str">
            <v>Gramos</v>
          </cell>
        </row>
        <row r="352">
          <cell r="A352" t="str">
            <v>10100088</v>
          </cell>
          <cell r="B352" t="str">
            <v>5234</v>
          </cell>
          <cell r="C352" t="str">
            <v>VINAGRE BALSAMICO TINTO (UND:250 ML)**</v>
          </cell>
          <cell r="D352" t="str">
            <v>10100088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28/01/2020</v>
          </cell>
          <cell r="I352">
            <v>2542.11</v>
          </cell>
          <cell r="J352">
            <v>2669</v>
          </cell>
          <cell r="K352">
            <v>250</v>
          </cell>
          <cell r="L352">
            <v>10.676</v>
          </cell>
          <cell r="M352" t="str">
            <v>Mililitros</v>
          </cell>
        </row>
        <row r="353">
          <cell r="A353" t="str">
            <v>10100089</v>
          </cell>
          <cell r="B353" t="str">
            <v>5239</v>
          </cell>
          <cell r="C353" t="str">
            <v>CHILE MORRON LATA (UND:390g) *</v>
          </cell>
          <cell r="D353" t="str">
            <v>10100089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13/06/2020</v>
          </cell>
          <cell r="I353">
            <v>1684.21</v>
          </cell>
          <cell r="J353">
            <v>1873</v>
          </cell>
          <cell r="K353">
            <v>390</v>
          </cell>
          <cell r="L353">
            <v>4.8025641025641024</v>
          </cell>
          <cell r="M353" t="str">
            <v>Mililitros</v>
          </cell>
        </row>
        <row r="354">
          <cell r="A354" t="str">
            <v>10100098</v>
          </cell>
          <cell r="B354" t="str">
            <v>12654</v>
          </cell>
          <cell r="C354" t="str">
            <v>SAL REFINADA (PAQ:500g)</v>
          </cell>
          <cell r="D354" t="str">
            <v>10100098</v>
          </cell>
          <cell r="E354" t="str">
            <v>MATERIAS PRIMAS PLANTA</v>
          </cell>
          <cell r="F354" t="str">
            <v>1 PAQUETE</v>
          </cell>
          <cell r="G354">
            <v>500</v>
          </cell>
          <cell r="H354" t="str">
            <v>08/06/2020</v>
          </cell>
          <cell r="I354">
            <v>237.916666666667</v>
          </cell>
          <cell r="J354">
            <v>309.29166666666703</v>
          </cell>
          <cell r="K354">
            <v>500</v>
          </cell>
          <cell r="L354">
            <v>0.61858333333333404</v>
          </cell>
          <cell r="M354" t="str">
            <v>Gramos</v>
          </cell>
        </row>
        <row r="355">
          <cell r="A355" t="str">
            <v>10100103</v>
          </cell>
          <cell r="B355" t="str">
            <v>5528</v>
          </cell>
          <cell r="C355" t="str">
            <v>ACEITE EXTRA VIRGEN FILIPPO (UND:250 ML)</v>
          </cell>
          <cell r="D355" t="str">
            <v>10100103</v>
          </cell>
          <cell r="E355" t="str">
            <v>MATERIAS PRIMAS PLANTA</v>
          </cell>
          <cell r="F355" t="str">
            <v>1 UND</v>
          </cell>
          <cell r="G355">
            <v>500</v>
          </cell>
          <cell r="H355" t="str">
            <v>13/06/2020</v>
          </cell>
          <cell r="I355">
            <v>1902.3</v>
          </cell>
          <cell r="J355">
            <v>2000</v>
          </cell>
          <cell r="K355">
            <v>250</v>
          </cell>
          <cell r="L355">
            <v>8</v>
          </cell>
          <cell r="M355" t="str">
            <v>Gramos</v>
          </cell>
        </row>
        <row r="356">
          <cell r="A356" t="str">
            <v>10100104</v>
          </cell>
          <cell r="B356" t="str">
            <v>7104</v>
          </cell>
          <cell r="C356" t="str">
            <v>TORTILLA MISION CONG 10.5 (PA:12 UND)</v>
          </cell>
          <cell r="D356" t="str">
            <v>10100104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30/03/2020</v>
          </cell>
          <cell r="I356">
            <v>81.710833333333298</v>
          </cell>
          <cell r="J356" t="e">
            <v>#N/A</v>
          </cell>
          <cell r="K356">
            <v>1</v>
          </cell>
          <cell r="L356" t="e">
            <v>#N/A</v>
          </cell>
          <cell r="M356" t="str">
            <v>UND</v>
          </cell>
        </row>
        <row r="357">
          <cell r="A357" t="str">
            <v>10100107</v>
          </cell>
          <cell r="B357" t="str">
            <v>11492</v>
          </cell>
          <cell r="C357" t="str">
            <v>TORTILLA (PAQ:50 UND)</v>
          </cell>
          <cell r="D357" t="str">
            <v>10100107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16/06/2020</v>
          </cell>
          <cell r="I357">
            <v>1050</v>
          </cell>
          <cell r="J357">
            <v>1150</v>
          </cell>
          <cell r="K357">
            <v>50</v>
          </cell>
          <cell r="L357">
            <v>23</v>
          </cell>
          <cell r="M357" t="str">
            <v>UND</v>
          </cell>
        </row>
        <row r="358">
          <cell r="A358" t="str">
            <v>10100108</v>
          </cell>
          <cell r="B358" t="str">
            <v>11495</v>
          </cell>
          <cell r="C358" t="str">
            <v>EQUAL SUCRALOSA (CAJA=2000/UND)</v>
          </cell>
          <cell r="D358" t="str">
            <v>10100108</v>
          </cell>
          <cell r="E358" t="str">
            <v>MATERIAS PRIMAS PLANTA</v>
          </cell>
          <cell r="F358" t="str">
            <v>1 CAJA</v>
          </cell>
          <cell r="G358">
            <v>500</v>
          </cell>
          <cell r="H358" t="str">
            <v>24/03/2020</v>
          </cell>
          <cell r="I358">
            <v>11945.85</v>
          </cell>
          <cell r="J358" t="e">
            <v>#N/A</v>
          </cell>
          <cell r="K358">
            <v>2000</v>
          </cell>
          <cell r="L358" t="e">
            <v>#N/A</v>
          </cell>
          <cell r="M358" t="str">
            <v>Mililitros</v>
          </cell>
        </row>
        <row r="359">
          <cell r="A359" t="str">
            <v>10100109</v>
          </cell>
          <cell r="B359" t="str">
            <v>5549</v>
          </cell>
          <cell r="C359" t="str">
            <v>PAN MOLIDO PAQ (250g)</v>
          </cell>
          <cell r="D359" t="str">
            <v>10100109</v>
          </cell>
          <cell r="E359" t="str">
            <v>MATERIAS PRIMAS PLANTA</v>
          </cell>
          <cell r="F359" t="str">
            <v>1 PAQUETE</v>
          </cell>
          <cell r="G359">
            <v>500</v>
          </cell>
          <cell r="H359" t="str">
            <v>18/05/2020</v>
          </cell>
          <cell r="I359" t="e">
            <v>#N/A</v>
          </cell>
          <cell r="J359" t="e">
            <v>#N/A</v>
          </cell>
          <cell r="K359">
            <v>250</v>
          </cell>
          <cell r="L359" t="e">
            <v>#N/A</v>
          </cell>
          <cell r="M359" t="str">
            <v>Mililitros</v>
          </cell>
        </row>
        <row r="360">
          <cell r="A360" t="str">
            <v>10100116</v>
          </cell>
          <cell r="B360" t="str">
            <v>12620</v>
          </cell>
          <cell r="C360" t="str">
            <v>ACEITUNA VERDE C/PIMIENTO (UND:180g)</v>
          </cell>
          <cell r="D360" t="str">
            <v>10100116</v>
          </cell>
          <cell r="E360" t="str">
            <v>MATERIAS PRIMAS PLANTA</v>
          </cell>
          <cell r="F360" t="str">
            <v>1 UND</v>
          </cell>
          <cell r="G360">
            <v>500</v>
          </cell>
          <cell r="H360" t="str">
            <v>19/05/2020</v>
          </cell>
          <cell r="I360">
            <v>495.83333333333297</v>
          </cell>
          <cell r="J360">
            <v>520.66666666666697</v>
          </cell>
          <cell r="K360">
            <v>180</v>
          </cell>
          <cell r="L360">
            <v>2.8925925925925942</v>
          </cell>
          <cell r="M360" t="str">
            <v>Gramos</v>
          </cell>
        </row>
        <row r="361">
          <cell r="A361" t="str">
            <v>10100121</v>
          </cell>
          <cell r="B361" t="str">
            <v>9623</v>
          </cell>
          <cell r="C361" t="str">
            <v>DULCE GRANULADO (UND=900GR)</v>
          </cell>
          <cell r="D361" t="str">
            <v>10100121</v>
          </cell>
          <cell r="E361" t="str">
            <v>MATERIAS PRIMAS PLANTA</v>
          </cell>
          <cell r="F361" t="str">
            <v>1 UNIDAD</v>
          </cell>
          <cell r="G361">
            <v>500</v>
          </cell>
          <cell r="H361" t="str">
            <v>10/12/2019</v>
          </cell>
          <cell r="I361">
            <v>1190</v>
          </cell>
          <cell r="J361">
            <v>1190</v>
          </cell>
          <cell r="K361">
            <v>900</v>
          </cell>
          <cell r="L361">
            <v>1.3222222222222222</v>
          </cell>
          <cell r="M361" t="str">
            <v>Gramos</v>
          </cell>
        </row>
        <row r="362">
          <cell r="A362" t="str">
            <v>10100122</v>
          </cell>
          <cell r="B362" t="str">
            <v>11609</v>
          </cell>
          <cell r="C362" t="str">
            <v>CANELA EN POLVO BADIA (UND: 1.82 K)</v>
          </cell>
          <cell r="D362" t="str">
            <v>10100122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28/05/2020</v>
          </cell>
          <cell r="I362">
            <v>10961</v>
          </cell>
          <cell r="J362">
            <v>13676</v>
          </cell>
          <cell r="K362">
            <v>1820</v>
          </cell>
          <cell r="L362">
            <v>7.5142857142857142</v>
          </cell>
          <cell r="M362" t="str">
            <v>Gramos</v>
          </cell>
        </row>
        <row r="363">
          <cell r="A363" t="str">
            <v>10100124</v>
          </cell>
          <cell r="B363" t="str">
            <v>11610</v>
          </cell>
          <cell r="C363" t="str">
            <v>BIDON DE AGUA UND</v>
          </cell>
          <cell r="D363" t="str">
            <v>10100124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15/06/2020</v>
          </cell>
          <cell r="I363">
            <v>2654.86</v>
          </cell>
          <cell r="J363">
            <v>3200</v>
          </cell>
          <cell r="K363">
            <v>1820</v>
          </cell>
          <cell r="L363" t="e">
            <v>#DIV/0!</v>
          </cell>
          <cell r="M363" t="str">
            <v>Gramos</v>
          </cell>
        </row>
        <row r="364">
          <cell r="A364" t="str">
            <v>10100125</v>
          </cell>
          <cell r="B364" t="str">
            <v>5320</v>
          </cell>
          <cell r="C364" t="str">
            <v>PASTA TOMATE OLD CALI (UND:3.14 K)</v>
          </cell>
          <cell r="D364" t="str">
            <v>10100125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02/06/2020</v>
          </cell>
          <cell r="I364">
            <v>3375</v>
          </cell>
          <cell r="J364">
            <v>4477</v>
          </cell>
          <cell r="K364">
            <v>3140</v>
          </cell>
          <cell r="L364">
            <v>1.425796178343949</v>
          </cell>
          <cell r="M364" t="str">
            <v>Gramos</v>
          </cell>
        </row>
        <row r="365">
          <cell r="A365" t="str">
            <v>10100131</v>
          </cell>
          <cell r="B365" t="str">
            <v>12477</v>
          </cell>
          <cell r="C365" t="str">
            <v>PAN TOAST ARTESANAL BRUCHETAS (PAQ)</v>
          </cell>
          <cell r="D365" t="str">
            <v>10100131</v>
          </cell>
          <cell r="E365" t="str">
            <v>MATERIAS PRIMAS PLANTA</v>
          </cell>
          <cell r="F365" t="str">
            <v>1 PAQUETE</v>
          </cell>
          <cell r="G365">
            <v>500</v>
          </cell>
          <cell r="H365" t="str">
            <v>15/06/2020</v>
          </cell>
          <cell r="I365">
            <v>923</v>
          </cell>
          <cell r="J365" t="e">
            <v>#N/A</v>
          </cell>
          <cell r="K365">
            <v>3140</v>
          </cell>
          <cell r="L365" t="e">
            <v>#N/A</v>
          </cell>
          <cell r="M365" t="str">
            <v>Gramos</v>
          </cell>
        </row>
        <row r="366">
          <cell r="A366" t="str">
            <v>10100132</v>
          </cell>
          <cell r="B366" t="str">
            <v>12585</v>
          </cell>
          <cell r="C366" t="str">
            <v>CHIPS RAICES EXOTICAS (CAJA:40 UND)</v>
          </cell>
          <cell r="D366" t="str">
            <v>10100132</v>
          </cell>
          <cell r="E366" t="str">
            <v>MATERIAS PRIMAS PLANTA</v>
          </cell>
          <cell r="F366" t="str">
            <v>1 CAJA</v>
          </cell>
          <cell r="G366">
            <v>500</v>
          </cell>
          <cell r="H366" t="str">
            <v>25/03/2020</v>
          </cell>
          <cell r="I366" t="e">
            <v>#N/A</v>
          </cell>
          <cell r="J366" t="e">
            <v>#N/A</v>
          </cell>
          <cell r="K366">
            <v>40</v>
          </cell>
          <cell r="L366" t="e">
            <v>#N/A</v>
          </cell>
          <cell r="M366" t="str">
            <v>Mililitros</v>
          </cell>
        </row>
        <row r="367">
          <cell r="A367" t="str">
            <v>10100135</v>
          </cell>
          <cell r="B367" t="str">
            <v>11762</v>
          </cell>
          <cell r="C367" t="str">
            <v>FIDEOS TORNILLITO (PAQ:1 K)</v>
          </cell>
          <cell r="D367" t="str">
            <v>10100135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01/06/2020</v>
          </cell>
          <cell r="I367">
            <v>1655</v>
          </cell>
          <cell r="J367">
            <v>1821</v>
          </cell>
          <cell r="K367">
            <v>1000</v>
          </cell>
          <cell r="L367">
            <v>1.821</v>
          </cell>
          <cell r="M367"/>
        </row>
        <row r="368">
          <cell r="A368" t="str">
            <v>10100145</v>
          </cell>
          <cell r="B368" t="str">
            <v>12434</v>
          </cell>
          <cell r="C368" t="str">
            <v>JALEA DE GUAYABA (PAQ:200g)</v>
          </cell>
          <cell r="D368" t="str">
            <v>10100145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16/06/2020</v>
          </cell>
          <cell r="I368">
            <v>550</v>
          </cell>
          <cell r="J368">
            <v>550</v>
          </cell>
          <cell r="K368">
            <v>200</v>
          </cell>
          <cell r="L368">
            <v>2.75</v>
          </cell>
          <cell r="M368" t="str">
            <v>Gramos</v>
          </cell>
        </row>
        <row r="369">
          <cell r="A369" t="str">
            <v>10100153</v>
          </cell>
          <cell r="B369" t="str">
            <v>12517</v>
          </cell>
          <cell r="C369" t="str">
            <v>DEDOS DE SEÑORA DIVELLA (PAQ)</v>
          </cell>
          <cell r="D369" t="str">
            <v>10100153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18/01/2020</v>
          </cell>
          <cell r="I369">
            <v>2680</v>
          </cell>
          <cell r="J369" t="e">
            <v>#N/A</v>
          </cell>
          <cell r="K369">
            <v>48</v>
          </cell>
          <cell r="L369" t="e">
            <v>#N/A</v>
          </cell>
          <cell r="M369" t="str">
            <v>und</v>
          </cell>
        </row>
        <row r="370">
          <cell r="A370" t="str">
            <v>10100155</v>
          </cell>
          <cell r="B370" t="str">
            <v>12939</v>
          </cell>
          <cell r="C370" t="str">
            <v>WAFLE LUTOSA (PAQ: 70g)</v>
          </cell>
          <cell r="D370" t="str">
            <v>10100155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15/06/2020</v>
          </cell>
          <cell r="I370" t="e">
            <v>#N/A</v>
          </cell>
          <cell r="J370">
            <v>393.75</v>
          </cell>
          <cell r="K370">
            <v>70</v>
          </cell>
          <cell r="L370">
            <v>5.625</v>
          </cell>
          <cell r="M370" t="str">
            <v>und</v>
          </cell>
        </row>
        <row r="371">
          <cell r="A371" t="str">
            <v>10100157</v>
          </cell>
          <cell r="B371" t="str">
            <v>13063</v>
          </cell>
          <cell r="C371" t="str">
            <v>SALSA HOISIN (UND:2.27 K)</v>
          </cell>
          <cell r="D371" t="str">
            <v>10100157</v>
          </cell>
          <cell r="E371" t="str">
            <v>MATERIAS PRIMAS PLANTA</v>
          </cell>
          <cell r="F371" t="str">
            <v>1 UND</v>
          </cell>
          <cell r="G371">
            <v>500</v>
          </cell>
          <cell r="H371" t="str">
            <v>24/03/2020</v>
          </cell>
          <cell r="I371">
            <v>4950</v>
          </cell>
          <cell r="J371" t="e">
            <v>#N/A</v>
          </cell>
          <cell r="K371">
            <v>2270</v>
          </cell>
          <cell r="L371" t="e">
            <v>#N/A</v>
          </cell>
          <cell r="M371" t="str">
            <v>Gramos</v>
          </cell>
        </row>
        <row r="372">
          <cell r="A372" t="str">
            <v>10100163</v>
          </cell>
          <cell r="B372" t="str">
            <v>14393</v>
          </cell>
          <cell r="C372" t="str">
            <v>ARROZ PRECOCIDO MI SABOR (SACO:50K)</v>
          </cell>
          <cell r="D372" t="str">
            <v>10100163</v>
          </cell>
          <cell r="E372" t="str">
            <v>MATERIAS PRIMAS PLANTA</v>
          </cell>
          <cell r="F372" t="str">
            <v>1 SACO</v>
          </cell>
          <cell r="G372">
            <v>500</v>
          </cell>
          <cell r="H372" t="str">
            <v>05/06/2020</v>
          </cell>
          <cell r="I372">
            <v>35050.199999999997</v>
          </cell>
          <cell r="J372" t="e">
            <v>#N/A</v>
          </cell>
          <cell r="K372">
            <v>50000</v>
          </cell>
          <cell r="L372" t="e">
            <v>#N/A</v>
          </cell>
          <cell r="M372" t="str">
            <v>Gramos</v>
          </cell>
        </row>
        <row r="373">
          <cell r="A373" t="str">
            <v>10100164</v>
          </cell>
          <cell r="B373" t="str">
            <v>14394</v>
          </cell>
          <cell r="C373" t="str">
            <v>MELOCOTON CUBOS MONACO (UND:3 K)</v>
          </cell>
          <cell r="D373" t="str">
            <v>10100164</v>
          </cell>
          <cell r="E373" t="str">
            <v>MATERIAS PRIMAS PLANTA</v>
          </cell>
          <cell r="F373" t="str">
            <v>1 UND</v>
          </cell>
          <cell r="G373">
            <v>500</v>
          </cell>
          <cell r="H373" t="str">
            <v>28/05/2020</v>
          </cell>
          <cell r="I373" t="e">
            <v>#N/A</v>
          </cell>
          <cell r="J373">
            <v>3554</v>
          </cell>
          <cell r="K373">
            <v>1800</v>
          </cell>
          <cell r="L373">
            <v>1.9744444444444444</v>
          </cell>
          <cell r="M373" t="str">
            <v>Gramos</v>
          </cell>
        </row>
        <row r="374">
          <cell r="A374" t="str">
            <v>10100165</v>
          </cell>
          <cell r="B374" t="str">
            <v>14395</v>
          </cell>
          <cell r="C374" t="str">
            <v>FLAT BREAD REDONDO (PAQ:12 UND)</v>
          </cell>
          <cell r="D374" t="str">
            <v>10100165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08/02/2020</v>
          </cell>
          <cell r="I374" t="e">
            <v>#N/A</v>
          </cell>
          <cell r="J374" t="e">
            <v>#N/A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10100171</v>
          </cell>
          <cell r="B375" t="str">
            <v>14743</v>
          </cell>
          <cell r="C375" t="str">
            <v>LECHE CONDENSADA COCINADA ( PAQ:4 K)</v>
          </cell>
          <cell r="D375" t="str">
            <v>10100171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15/02/2020</v>
          </cell>
          <cell r="I375">
            <v>10076</v>
          </cell>
          <cell r="J375">
            <v>10028</v>
          </cell>
          <cell r="K375">
            <v>4000</v>
          </cell>
          <cell r="L375">
            <v>2.5070000000000001</v>
          </cell>
          <cell r="M375" t="str">
            <v>Gramos</v>
          </cell>
        </row>
        <row r="376">
          <cell r="A376" t="str">
            <v>10100172</v>
          </cell>
          <cell r="B376" t="str">
            <v>14845</v>
          </cell>
          <cell r="C376" t="str">
            <v>CHOP SUEY VIGUI 860 G (BULTO:6 UND)</v>
          </cell>
          <cell r="D376" t="str">
            <v>10100172</v>
          </cell>
          <cell r="E376" t="str">
            <v>MATERIAS PRIMAS PLANTA</v>
          </cell>
          <cell r="F376" t="str">
            <v>1 BULTO</v>
          </cell>
          <cell r="G376">
            <v>500</v>
          </cell>
          <cell r="H376" t="str">
            <v>17/03/2020</v>
          </cell>
          <cell r="I376">
            <v>21501</v>
          </cell>
          <cell r="J376" t="e">
            <v>#N/A</v>
          </cell>
          <cell r="K376">
            <v>5160</v>
          </cell>
          <cell r="L376" t="e">
            <v>#N/A</v>
          </cell>
          <cell r="M376" t="str">
            <v>Gramos</v>
          </cell>
        </row>
        <row r="377">
          <cell r="A377" t="str">
            <v>10100173</v>
          </cell>
          <cell r="B377" t="str">
            <v>14895</v>
          </cell>
          <cell r="C377" t="str">
            <v>MOSTAZA HELLMANNS (UND: 4 K)</v>
          </cell>
          <cell r="D377" t="str">
            <v>10100173</v>
          </cell>
          <cell r="E377" t="str">
            <v>MATERIAS PRIMAS PLANTA</v>
          </cell>
          <cell r="F377" t="str">
            <v>1 UND</v>
          </cell>
          <cell r="G377">
            <v>500</v>
          </cell>
          <cell r="H377" t="str">
            <v>12/06/2020</v>
          </cell>
          <cell r="I377">
            <v>6196</v>
          </cell>
          <cell r="J377">
            <v>6493</v>
          </cell>
          <cell r="K377">
            <v>4000</v>
          </cell>
          <cell r="L377">
            <v>1.6232500000000001</v>
          </cell>
          <cell r="M377" t="str">
            <v>Gramos</v>
          </cell>
        </row>
        <row r="378">
          <cell r="A378" t="str">
            <v>10100174</v>
          </cell>
          <cell r="B378" t="str">
            <v>14987</v>
          </cell>
          <cell r="C378" t="str">
            <v>FRIJOL NEGRO TIO PELON (BULTO:15/800 G)</v>
          </cell>
          <cell r="D378" t="str">
            <v>10100174</v>
          </cell>
          <cell r="E378" t="str">
            <v>MATERIAS PRIMAS PLANTA</v>
          </cell>
          <cell r="F378" t="str">
            <v>1 BULTO</v>
          </cell>
          <cell r="G378">
            <v>500</v>
          </cell>
          <cell r="H378" t="str">
            <v>15/06/2020</v>
          </cell>
          <cell r="I378">
            <v>13881</v>
          </cell>
          <cell r="J378">
            <v>15269</v>
          </cell>
          <cell r="K378">
            <v>12000</v>
          </cell>
          <cell r="L378">
            <v>1.2724166666666668</v>
          </cell>
          <cell r="M378" t="str">
            <v>Gramos</v>
          </cell>
        </row>
        <row r="379">
          <cell r="A379" t="str">
            <v>10100175</v>
          </cell>
          <cell r="B379" t="str">
            <v>15008</v>
          </cell>
          <cell r="C379" t="str">
            <v>SALSITA TOMATE CON CARNE (PAQ:8 UND)</v>
          </cell>
          <cell r="D379" t="str">
            <v>10100175</v>
          </cell>
          <cell r="E379" t="str">
            <v>MATERIAS PRIMAS PLANTA</v>
          </cell>
          <cell r="F379" t="str">
            <v>1 PAQUETE</v>
          </cell>
          <cell r="G379">
            <v>500</v>
          </cell>
          <cell r="H379" t="str">
            <v>21/03/2020</v>
          </cell>
          <cell r="I379" t="e">
            <v>#N/A</v>
          </cell>
          <cell r="J379" t="e">
            <v>#N/A</v>
          </cell>
          <cell r="K379">
            <v>12000</v>
          </cell>
          <cell r="L379" t="e">
            <v>#N/A</v>
          </cell>
          <cell r="M379" t="str">
            <v>Gramos</v>
          </cell>
        </row>
        <row r="380">
          <cell r="A380" t="str">
            <v>10100178</v>
          </cell>
          <cell r="B380" t="str">
            <v>15112</v>
          </cell>
          <cell r="C380" t="str">
            <v>CHILE ROJO TRITURADO (UND:368G)</v>
          </cell>
          <cell r="D380" t="str">
            <v>10100178</v>
          </cell>
          <cell r="E380" t="str">
            <v>MATERIAS PRIMAS PLANTA</v>
          </cell>
          <cell r="F380" t="str">
            <v>1 UND</v>
          </cell>
          <cell r="G380">
            <v>500</v>
          </cell>
          <cell r="H380" t="str">
            <v>14/12/2019</v>
          </cell>
          <cell r="I380">
            <v>2496</v>
          </cell>
          <cell r="J380">
            <v>2217</v>
          </cell>
          <cell r="K380">
            <v>368</v>
          </cell>
          <cell r="L380">
            <v>6.0244565217391308</v>
          </cell>
          <cell r="M380" t="str">
            <v>Gramos</v>
          </cell>
        </row>
        <row r="381">
          <cell r="A381" t="str">
            <v>10100180</v>
          </cell>
          <cell r="B381" t="str">
            <v>15119</v>
          </cell>
          <cell r="C381" t="str">
            <v>BASE ADEREZO ITALIANO (SACO: 25 KG)</v>
          </cell>
          <cell r="D381" t="str">
            <v>10100180</v>
          </cell>
          <cell r="E381" t="str">
            <v>MATERIAS PRIMAS PLANTA</v>
          </cell>
          <cell r="F381" t="str">
            <v>1 SACO</v>
          </cell>
          <cell r="G381">
            <v>500</v>
          </cell>
          <cell r="H381" t="str">
            <v>17/03/2020</v>
          </cell>
          <cell r="I381">
            <v>59242</v>
          </cell>
          <cell r="J381" t="e">
            <v>#N/A</v>
          </cell>
          <cell r="K381">
            <v>25000</v>
          </cell>
          <cell r="L381" t="e">
            <v>#N/A</v>
          </cell>
          <cell r="M381" t="str">
            <v>Gramos</v>
          </cell>
        </row>
        <row r="382">
          <cell r="A382" t="str">
            <v>10100181</v>
          </cell>
          <cell r="B382" t="str">
            <v>15120</v>
          </cell>
          <cell r="C382" t="str">
            <v>VINAGRE SINTETICO CLARO (GALON)</v>
          </cell>
          <cell r="D382" t="str">
            <v>10100181</v>
          </cell>
          <cell r="E382" t="str">
            <v>MATERIAS PRIMAS PLANTA</v>
          </cell>
          <cell r="F382" t="str">
            <v xml:space="preserve">1 GALON </v>
          </cell>
          <cell r="G382">
            <v>500</v>
          </cell>
          <cell r="H382" t="str">
            <v>16/03/2020</v>
          </cell>
          <cell r="I382">
            <v>1215</v>
          </cell>
          <cell r="J382" t="e">
            <v>#N/A</v>
          </cell>
          <cell r="K382">
            <v>3785</v>
          </cell>
          <cell r="L382" t="e">
            <v>#N/A</v>
          </cell>
          <cell r="M382" t="str">
            <v>Gramos</v>
          </cell>
        </row>
        <row r="383">
          <cell r="A383" t="str">
            <v>10100182</v>
          </cell>
          <cell r="B383" t="str">
            <v>15121</v>
          </cell>
          <cell r="C383" t="str">
            <v>MEZCLA ADEREZO AJO (PAQ:25 K)</v>
          </cell>
          <cell r="D383" t="str">
            <v>10100182</v>
          </cell>
          <cell r="E383" t="str">
            <v>MATERIAS PRIMAS PLANTA</v>
          </cell>
          <cell r="F383" t="str">
            <v>1 PAQUETE</v>
          </cell>
          <cell r="G383">
            <v>500</v>
          </cell>
          <cell r="H383" t="str">
            <v>05/02/2020</v>
          </cell>
          <cell r="I383" t="e">
            <v>#N/A</v>
          </cell>
          <cell r="J383" t="e">
            <v>#N/A</v>
          </cell>
          <cell r="K383">
            <v>25000</v>
          </cell>
          <cell r="L383" t="e">
            <v>#N/A</v>
          </cell>
          <cell r="M383" t="str">
            <v>und</v>
          </cell>
        </row>
        <row r="384">
          <cell r="A384" t="str">
            <v>10100183</v>
          </cell>
          <cell r="B384" t="str">
            <v>15122</v>
          </cell>
          <cell r="C384" t="str">
            <v>ADEREZO MAYONESA (UND 10 K)</v>
          </cell>
          <cell r="D384" t="str">
            <v>10100183</v>
          </cell>
          <cell r="E384" t="str">
            <v>MATERIAS PRIMAS PLANTA</v>
          </cell>
          <cell r="F384" t="str">
            <v>1 UND</v>
          </cell>
          <cell r="G384">
            <v>500</v>
          </cell>
          <cell r="H384" t="str">
            <v>19/03/2020</v>
          </cell>
          <cell r="I384" t="e">
            <v>#N/A</v>
          </cell>
          <cell r="J384" t="e">
            <v>#N/A</v>
          </cell>
          <cell r="K384">
            <v>10000</v>
          </cell>
          <cell r="L384" t="e">
            <v>#N/A</v>
          </cell>
          <cell r="M384" t="str">
            <v>Gramos</v>
          </cell>
        </row>
        <row r="385">
          <cell r="A385" t="str">
            <v>10100184</v>
          </cell>
          <cell r="B385" t="str">
            <v>15123</v>
          </cell>
          <cell r="C385" t="str">
            <v>PLATANO VERDE PELADO (PAQ: 2 K)</v>
          </cell>
          <cell r="D385" t="str">
            <v>10100184</v>
          </cell>
          <cell r="E385" t="str">
            <v>MATERIAS PRIMAS PLANTA</v>
          </cell>
          <cell r="F385" t="str">
            <v>1 PAQUETE</v>
          </cell>
          <cell r="G385">
            <v>500</v>
          </cell>
          <cell r="H385" t="str">
            <v>21/05/2020</v>
          </cell>
          <cell r="I385" t="e">
            <v>#N/A</v>
          </cell>
          <cell r="J385" t="e">
            <v>#N/A</v>
          </cell>
          <cell r="K385">
            <v>2000</v>
          </cell>
          <cell r="L385" t="e">
            <v>#N/A</v>
          </cell>
          <cell r="M385" t="str">
            <v>Gramos</v>
          </cell>
        </row>
        <row r="386">
          <cell r="A386" t="str">
            <v>10100185</v>
          </cell>
          <cell r="B386" t="str">
            <v>15124</v>
          </cell>
          <cell r="C386" t="str">
            <v>SALSA TOMATE ROSTIPOLLOS (UND: 4 K)</v>
          </cell>
          <cell r="D386" t="str">
            <v>10100185</v>
          </cell>
          <cell r="E386" t="str">
            <v>MATERIAS PRIMAS PLANTA</v>
          </cell>
          <cell r="F386" t="str">
            <v>1 UND</v>
          </cell>
          <cell r="G386">
            <v>500</v>
          </cell>
          <cell r="H386" t="str">
            <v>23/04/2020</v>
          </cell>
          <cell r="I386">
            <v>2353</v>
          </cell>
          <cell r="J386" t="e">
            <v>#N/A</v>
          </cell>
          <cell r="K386">
            <v>4000</v>
          </cell>
          <cell r="L386" t="e">
            <v>#N/A</v>
          </cell>
        </row>
        <row r="387">
          <cell r="A387" t="str">
            <v>10100186</v>
          </cell>
          <cell r="B387" t="str">
            <v>15125</v>
          </cell>
          <cell r="C387" t="str">
            <v>PRESERVANTE T (PAQ: 5 KILO)</v>
          </cell>
          <cell r="D387" t="str">
            <v>10100186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 t="e">
            <v>#N/A</v>
          </cell>
          <cell r="K387">
            <v>5000</v>
          </cell>
          <cell r="L387" t="e">
            <v>#N/A</v>
          </cell>
          <cell r="M387" t="str">
            <v>Gramos</v>
          </cell>
        </row>
        <row r="388">
          <cell r="A388" t="str">
            <v>10100187</v>
          </cell>
          <cell r="B388" t="str">
            <v>15126</v>
          </cell>
          <cell r="C388" t="str">
            <v>CMC AMTEX (PAQ: KILO)</v>
          </cell>
          <cell r="D388" t="str">
            <v>10100187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 t="e">
            <v>#N/A</v>
          </cell>
          <cell r="K388">
            <v>1000</v>
          </cell>
          <cell r="L388" t="e">
            <v>#N/A</v>
          </cell>
        </row>
        <row r="389">
          <cell r="A389" t="str">
            <v>10100188</v>
          </cell>
          <cell r="B389" t="str">
            <v>15129</v>
          </cell>
          <cell r="C389" t="str">
            <v>YUCA EN TROZO (PAQ:3 K)</v>
          </cell>
          <cell r="D389" t="str">
            <v>10100188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13/06/2020</v>
          </cell>
          <cell r="I389">
            <v>3450</v>
          </cell>
          <cell r="J389" t="e">
            <v>#N/A</v>
          </cell>
          <cell r="K389">
            <v>3000</v>
          </cell>
          <cell r="L389" t="e">
            <v>#N/A</v>
          </cell>
          <cell r="M389" t="str">
            <v>Gramos</v>
          </cell>
        </row>
        <row r="390">
          <cell r="A390" t="str">
            <v>10100189</v>
          </cell>
          <cell r="B390" t="str">
            <v>15130</v>
          </cell>
          <cell r="C390" t="str">
            <v>CLORURO DE CALCIO (PAQ: KILO)</v>
          </cell>
          <cell r="D390" t="str">
            <v>10100189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10/06/2020</v>
          </cell>
          <cell r="I390" t="e">
            <v>#N/A</v>
          </cell>
          <cell r="J390" t="e">
            <v>#N/A</v>
          </cell>
          <cell r="K390">
            <v>1000</v>
          </cell>
          <cell r="L390" t="e">
            <v>#N/A</v>
          </cell>
          <cell r="M390" t="str">
            <v>Gramos</v>
          </cell>
        </row>
        <row r="391">
          <cell r="A391" t="str">
            <v>10100190</v>
          </cell>
          <cell r="B391" t="str">
            <v>15131</v>
          </cell>
          <cell r="C391" t="str">
            <v>LIMON MANDARINA (GALON)</v>
          </cell>
          <cell r="D391" t="str">
            <v>10100190</v>
          </cell>
          <cell r="E391" t="str">
            <v>MATERIAS PRIMAS PLANTA</v>
          </cell>
          <cell r="F391" t="str">
            <v xml:space="preserve">1 GALON </v>
          </cell>
          <cell r="G391">
            <v>500</v>
          </cell>
          <cell r="H391" t="str">
            <v>06/06/2020</v>
          </cell>
          <cell r="I391">
            <v>4000</v>
          </cell>
          <cell r="J391" t="e">
            <v>#N/A</v>
          </cell>
          <cell r="K391">
            <v>3785</v>
          </cell>
          <cell r="L391" t="e">
            <v>#N/A</v>
          </cell>
        </row>
        <row r="392">
          <cell r="A392" t="str">
            <v>10100191</v>
          </cell>
          <cell r="B392" t="str">
            <v>15132</v>
          </cell>
          <cell r="C392" t="str">
            <v>SORBATO DE POTASIO (PAQ: KILO)</v>
          </cell>
          <cell r="D392" t="str">
            <v>10100191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27/03/2020</v>
          </cell>
          <cell r="I392">
            <v>4415.5</v>
          </cell>
          <cell r="J392" t="e">
            <v>#N/A</v>
          </cell>
          <cell r="K392">
            <v>1000</v>
          </cell>
          <cell r="L392" t="e">
            <v>#N/A</v>
          </cell>
          <cell r="M392" t="str">
            <v>Gramos</v>
          </cell>
        </row>
        <row r="393">
          <cell r="A393" t="str">
            <v>10100193</v>
          </cell>
          <cell r="B393" t="str">
            <v>15138</v>
          </cell>
          <cell r="C393" t="str">
            <v>CONSOME POLLO MAGGI (PAQ:1K)</v>
          </cell>
          <cell r="D393" t="str">
            <v>10100193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21/05/2020</v>
          </cell>
          <cell r="I393">
            <v>3398</v>
          </cell>
          <cell r="J393" t="e">
            <v>#N/A</v>
          </cell>
          <cell r="K393">
            <v>1000</v>
          </cell>
          <cell r="L393" t="e">
            <v>#N/A</v>
          </cell>
        </row>
        <row r="394">
          <cell r="A394" t="str">
            <v>10100194</v>
          </cell>
          <cell r="B394" t="str">
            <v>15139</v>
          </cell>
          <cell r="C394" t="str">
            <v>NATILLA CREMOSITA 18% CON SAL(PAQ:300 G)</v>
          </cell>
          <cell r="D394" t="str">
            <v>10100194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15/06/2020</v>
          </cell>
          <cell r="I394" t="e">
            <v>#N/A</v>
          </cell>
          <cell r="J394" t="e">
            <v>#N/A</v>
          </cell>
          <cell r="K394">
            <v>300</v>
          </cell>
          <cell r="L394" t="e">
            <v>#N/A</v>
          </cell>
          <cell r="M394" t="str">
            <v>Gramos</v>
          </cell>
        </row>
        <row r="395">
          <cell r="A395" t="str">
            <v>10100195</v>
          </cell>
          <cell r="B395" t="str">
            <v>15140</v>
          </cell>
          <cell r="C395" t="str">
            <v>QUESO MOLIDO (PAQ:1 K)</v>
          </cell>
          <cell r="D395" t="str">
            <v>10100195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26/05/2020</v>
          </cell>
          <cell r="I395" t="e">
            <v>#N/A</v>
          </cell>
          <cell r="J395" t="e">
            <v>#N/A</v>
          </cell>
          <cell r="K395">
            <v>1000</v>
          </cell>
          <cell r="L395" t="e">
            <v>#N/A</v>
          </cell>
          <cell r="M395" t="str">
            <v>Gramos</v>
          </cell>
        </row>
        <row r="396">
          <cell r="A396" t="str">
            <v>10100197</v>
          </cell>
          <cell r="B396" t="str">
            <v>15142</v>
          </cell>
          <cell r="C396" t="str">
            <v>ARROZ PRECOC 95%TIO PELON (BULT:10/1.8K)</v>
          </cell>
          <cell r="D396" t="str">
            <v>10100197</v>
          </cell>
          <cell r="E396" t="str">
            <v>MATERIAS PRIMAS PLANTA</v>
          </cell>
          <cell r="F396" t="str">
            <v>1 BULTO</v>
          </cell>
          <cell r="G396">
            <v>500</v>
          </cell>
          <cell r="H396" t="str">
            <v>16/01/2020</v>
          </cell>
          <cell r="I396">
            <v>18503.636363599999</v>
          </cell>
          <cell r="J396" t="e">
            <v>#N/A</v>
          </cell>
          <cell r="K396">
            <v>18000</v>
          </cell>
          <cell r="L396" t="e">
            <v>#N/A</v>
          </cell>
          <cell r="M396" t="str">
            <v>Gramos</v>
          </cell>
        </row>
        <row r="397">
          <cell r="A397" t="str">
            <v>10100198</v>
          </cell>
          <cell r="B397" t="str">
            <v>15143</v>
          </cell>
          <cell r="C397" t="str">
            <v>CURCUMA POLVO (PAQ: 1 K)</v>
          </cell>
          <cell r="D397" t="str">
            <v>10100198</v>
          </cell>
          <cell r="E397" t="str">
            <v>MATERIAS PRIMAS PLANTA</v>
          </cell>
          <cell r="F397" t="str">
            <v>1 PAQUETE</v>
          </cell>
          <cell r="G397">
            <v>500</v>
          </cell>
          <cell r="H397" t="str">
            <v>17/01/2020</v>
          </cell>
          <cell r="I397" t="e">
            <v>#N/A</v>
          </cell>
          <cell r="J397" t="e">
            <v>#N/A</v>
          </cell>
          <cell r="K397">
            <v>1000</v>
          </cell>
          <cell r="L397" t="e">
            <v>#N/A</v>
          </cell>
          <cell r="M397" t="str">
            <v>Gramos</v>
          </cell>
        </row>
        <row r="398">
          <cell r="A398" t="str">
            <v>10100199</v>
          </cell>
          <cell r="B398" t="str">
            <v>15144</v>
          </cell>
          <cell r="C398" t="str">
            <v>PECHUGA VENTANITA CONCASA (KILO)</v>
          </cell>
          <cell r="D398" t="str">
            <v>10100199</v>
          </cell>
          <cell r="E398" t="str">
            <v>MATERIAS PRIMAS PLANTA</v>
          </cell>
          <cell r="F398" t="str">
            <v xml:space="preserve">1 KILO </v>
          </cell>
          <cell r="G398">
            <v>500</v>
          </cell>
          <cell r="H398" t="str">
            <v>15/06/2020</v>
          </cell>
          <cell r="I398">
            <v>4000.82</v>
          </cell>
          <cell r="J398" t="e">
            <v>#N/A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10100200</v>
          </cell>
          <cell r="B399" t="str">
            <v>15145</v>
          </cell>
          <cell r="C399" t="str">
            <v>MUSLO VENTANITA CONCASA (KILO)</v>
          </cell>
          <cell r="D399" t="str">
            <v>10100200</v>
          </cell>
          <cell r="E399" t="str">
            <v>MATERIAS PRIMAS PLANTA</v>
          </cell>
          <cell r="F399" t="str">
            <v xml:space="preserve">1 KILO  </v>
          </cell>
          <cell r="G399">
            <v>500</v>
          </cell>
          <cell r="H399" t="str">
            <v>15/06/2020</v>
          </cell>
          <cell r="I399">
            <v>4000</v>
          </cell>
          <cell r="J399" t="e">
            <v>#N/A</v>
          </cell>
          <cell r="K399">
            <v>1000</v>
          </cell>
          <cell r="L399" t="e">
            <v>#N/A</v>
          </cell>
          <cell r="M399" t="str">
            <v>Gramos</v>
          </cell>
        </row>
        <row r="400">
          <cell r="A400" t="str">
            <v>10100201</v>
          </cell>
          <cell r="B400" t="str">
            <v>15146</v>
          </cell>
          <cell r="C400" t="str">
            <v>COND FRIJOL MOLIDO GRIFF RP 4K(CJ:4 UND)</v>
          </cell>
          <cell r="D400" t="str">
            <v>10100201</v>
          </cell>
          <cell r="E400" t="str">
            <v>MATERIAS PRIMAS PLANTA</v>
          </cell>
          <cell r="F400" t="str">
            <v>1 CAJA</v>
          </cell>
          <cell r="G400">
            <v>500</v>
          </cell>
          <cell r="H400" t="str">
            <v>15/06/2020</v>
          </cell>
          <cell r="I400" t="e">
            <v>#N/A</v>
          </cell>
          <cell r="J400" t="e">
            <v>#N/A</v>
          </cell>
          <cell r="K400">
            <v>1000</v>
          </cell>
          <cell r="L400" t="e">
            <v>#N/A</v>
          </cell>
          <cell r="M400" t="str">
            <v>Gramos</v>
          </cell>
        </row>
        <row r="401">
          <cell r="A401" t="str">
            <v>10100202</v>
          </cell>
          <cell r="B401" t="str">
            <v>15148</v>
          </cell>
          <cell r="C401" t="str">
            <v>HARINA PALATINA CORRIENTE (SACO:25 K)</v>
          </cell>
          <cell r="D401" t="str">
            <v>10100202</v>
          </cell>
          <cell r="E401" t="str">
            <v>MATERIAS PRIMAS PLANTA</v>
          </cell>
          <cell r="F401" t="str">
            <v>1 SACO</v>
          </cell>
          <cell r="G401">
            <v>500</v>
          </cell>
          <cell r="H401" t="str">
            <v>13/06/2020</v>
          </cell>
          <cell r="I401">
            <v>11386.01</v>
          </cell>
          <cell r="J401" t="e">
            <v>#N/A</v>
          </cell>
          <cell r="K401">
            <v>25000</v>
          </cell>
          <cell r="L401" t="e">
            <v>#N/A</v>
          </cell>
          <cell r="M401" t="str">
            <v>Gramos</v>
          </cell>
        </row>
        <row r="402">
          <cell r="A402" t="str">
            <v>10100203</v>
          </cell>
          <cell r="B402" t="str">
            <v>15149</v>
          </cell>
          <cell r="C402" t="str">
            <v>GALLETA MARIA EN POLVO (PAQ:KILO)</v>
          </cell>
          <cell r="D402" t="str">
            <v>10100203</v>
          </cell>
          <cell r="E402" t="str">
            <v>MATERIAS PRIMAS PLANTA</v>
          </cell>
          <cell r="F402" t="str">
            <v>1 PAQUETE</v>
          </cell>
          <cell r="G402">
            <v>500</v>
          </cell>
          <cell r="H402" t="str">
            <v>19/03/2020</v>
          </cell>
          <cell r="I402">
            <v>3211</v>
          </cell>
          <cell r="J402" t="e">
            <v>#N/A</v>
          </cell>
          <cell r="K402">
            <v>1000</v>
          </cell>
          <cell r="L402" t="e">
            <v>#N/A</v>
          </cell>
          <cell r="M402" t="str">
            <v>Gramos</v>
          </cell>
        </row>
        <row r="403">
          <cell r="A403" t="str">
            <v>10100204</v>
          </cell>
          <cell r="B403" t="str">
            <v>15151</v>
          </cell>
          <cell r="C403" t="str">
            <v>QUESO CREMA IN LINE (UND: 210 G)</v>
          </cell>
          <cell r="D403" t="str">
            <v>10100204</v>
          </cell>
          <cell r="E403" t="str">
            <v>MATERIAS PRIMAS PLANTA</v>
          </cell>
          <cell r="F403" t="str">
            <v>1 UND</v>
          </cell>
          <cell r="G403">
            <v>500</v>
          </cell>
          <cell r="H403" t="str">
            <v>18/04/2020</v>
          </cell>
          <cell r="I403">
            <v>1056</v>
          </cell>
          <cell r="J403" t="e">
            <v>#N/A</v>
          </cell>
          <cell r="K403">
            <v>210</v>
          </cell>
          <cell r="L403" t="e">
            <v>#N/A</v>
          </cell>
          <cell r="M403" t="str">
            <v>Gramos</v>
          </cell>
        </row>
        <row r="404">
          <cell r="A404" t="str">
            <v>10100205</v>
          </cell>
          <cell r="B404" t="str">
            <v>15152</v>
          </cell>
          <cell r="C404" t="str">
            <v>CREMA DULCE (GALON) DPR</v>
          </cell>
          <cell r="D404" t="str">
            <v>10100205</v>
          </cell>
          <cell r="E404" t="str">
            <v>MATERIAS PRIMAS PLANTA</v>
          </cell>
          <cell r="F404" t="str">
            <v xml:space="preserve">1 GALON </v>
          </cell>
          <cell r="G404">
            <v>500</v>
          </cell>
          <cell r="H404" t="str">
            <v>11/06/2020</v>
          </cell>
          <cell r="I404">
            <v>9809</v>
          </cell>
          <cell r="J404" t="e">
            <v>#N/A</v>
          </cell>
          <cell r="K404">
            <v>3785</v>
          </cell>
          <cell r="L404" t="e">
            <v>#N/A</v>
          </cell>
          <cell r="M404" t="str">
            <v>Mililitros</v>
          </cell>
        </row>
        <row r="405">
          <cell r="A405" t="str">
            <v>10100206</v>
          </cell>
          <cell r="B405" t="str">
            <v>15153</v>
          </cell>
          <cell r="C405" t="str">
            <v>SUSTITUTO SUCRALOSA (PAQ: 5 KILOS)</v>
          </cell>
          <cell r="D405" t="str">
            <v>10100206</v>
          </cell>
          <cell r="E405" t="str">
            <v>MATERIAS PRIMAS PLANTA</v>
          </cell>
          <cell r="F405" t="str">
            <v>1 PAQUETE</v>
          </cell>
          <cell r="G405">
            <v>500</v>
          </cell>
          <cell r="H405" t="str">
            <v>27/03/2020</v>
          </cell>
          <cell r="I405" t="e">
            <v>#N/A</v>
          </cell>
          <cell r="J405" t="e">
            <v>#N/A</v>
          </cell>
          <cell r="K405">
            <v>5000</v>
          </cell>
          <cell r="L405" t="e">
            <v>#N/A</v>
          </cell>
          <cell r="M405" t="str">
            <v>Mililitros</v>
          </cell>
        </row>
        <row r="406">
          <cell r="A406" t="str">
            <v>10100207</v>
          </cell>
          <cell r="B406" t="str">
            <v>15154</v>
          </cell>
          <cell r="C406" t="str">
            <v>LECHE DESCREMADA TB DOS PINOS(CAJA:12 L)</v>
          </cell>
          <cell r="D406" t="str">
            <v>10100207</v>
          </cell>
          <cell r="E406" t="str">
            <v>MATERIAS PRIMAS PLANTA</v>
          </cell>
          <cell r="F406" t="str">
            <v>1 CAJA</v>
          </cell>
          <cell r="G406">
            <v>500</v>
          </cell>
          <cell r="H406" t="str">
            <v>18/04/2020</v>
          </cell>
          <cell r="I406">
            <v>9320.5400000000009</v>
          </cell>
          <cell r="J406" t="e">
            <v>#N/A</v>
          </cell>
          <cell r="K406">
            <v>5000</v>
          </cell>
          <cell r="L406" t="e">
            <v>#N/A</v>
          </cell>
          <cell r="M406" t="str">
            <v>Mililitros</v>
          </cell>
        </row>
        <row r="407">
          <cell r="A407" t="str">
            <v>10100208</v>
          </cell>
          <cell r="B407" t="str">
            <v>15155</v>
          </cell>
          <cell r="C407" t="str">
            <v>MARACUYA (KILO)</v>
          </cell>
          <cell r="D407" t="str">
            <v>10100208</v>
          </cell>
          <cell r="E407" t="str">
            <v>MATERIAS PRIMAS PLANTA</v>
          </cell>
          <cell r="F407" t="str">
            <v xml:space="preserve">1 KILO </v>
          </cell>
          <cell r="G407">
            <v>500</v>
          </cell>
          <cell r="H407" t="str">
            <v>06/04/2020</v>
          </cell>
          <cell r="I407">
            <v>2465</v>
          </cell>
          <cell r="J407" t="e">
            <v>#N/A</v>
          </cell>
          <cell r="K407">
            <v>1000</v>
          </cell>
          <cell r="L407" t="e">
            <v>#N/A</v>
          </cell>
          <cell r="M407" t="str">
            <v>Gramos</v>
          </cell>
        </row>
        <row r="408">
          <cell r="A408" t="str">
            <v>10100211</v>
          </cell>
          <cell r="B408" t="str">
            <v>15177</v>
          </cell>
          <cell r="C408" t="str">
            <v>MANTECA CLOVER GRUESA 460G (CJ:40 UND)</v>
          </cell>
          <cell r="D408" t="str">
            <v>10100211</v>
          </cell>
          <cell r="E408" t="str">
            <v>MATERIAS PRIMAS PLANTA</v>
          </cell>
          <cell r="F408" t="str">
            <v>1 CAJA</v>
          </cell>
          <cell r="G408">
            <v>500</v>
          </cell>
          <cell r="H408" t="str">
            <v>28/05/2020</v>
          </cell>
          <cell r="I408" t="e">
            <v>#N/A</v>
          </cell>
          <cell r="J408" t="e">
            <v>#N/A</v>
          </cell>
          <cell r="K408">
            <v>40</v>
          </cell>
          <cell r="L408" t="e">
            <v>#N/A</v>
          </cell>
          <cell r="M408" t="str">
            <v>Gramos</v>
          </cell>
        </row>
        <row r="409">
          <cell r="A409" t="str">
            <v>10100212</v>
          </cell>
          <cell r="B409" t="str">
            <v>15188</v>
          </cell>
          <cell r="C409" t="str">
            <v>CEBOLLA ROSTI (PAQ: 2.5K)</v>
          </cell>
          <cell r="D409" t="str">
            <v>10100212</v>
          </cell>
          <cell r="E409" t="str">
            <v>MATERIAS PRIMAS PLANTA</v>
          </cell>
          <cell r="F409" t="str">
            <v>1 PAQUETE</v>
          </cell>
          <cell r="G409">
            <v>500</v>
          </cell>
          <cell r="H409" t="str">
            <v>16/06/2020</v>
          </cell>
          <cell r="I409" t="e">
            <v>#N/A</v>
          </cell>
          <cell r="J409" t="e">
            <v>#N/A</v>
          </cell>
          <cell r="K409">
            <v>2500</v>
          </cell>
          <cell r="L409" t="e">
            <v>#N/A</v>
          </cell>
          <cell r="M409" t="str">
            <v>Gramos</v>
          </cell>
        </row>
        <row r="410">
          <cell r="A410" t="str">
            <v>10100213</v>
          </cell>
          <cell r="B410" t="str">
            <v>15189</v>
          </cell>
          <cell r="C410" t="str">
            <v>VINAGRE DULCE GRIFF RP 4 K (CAJA:4 UND)</v>
          </cell>
          <cell r="D410" t="str">
            <v>10100213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>
            <v>11616</v>
          </cell>
          <cell r="J410" t="e">
            <v>#N/A</v>
          </cell>
          <cell r="K410">
            <v>2500</v>
          </cell>
          <cell r="L410" t="e">
            <v>#N/A</v>
          </cell>
          <cell r="M410" t="str">
            <v>Gramos</v>
          </cell>
        </row>
        <row r="411">
          <cell r="A411" t="str">
            <v>10100214</v>
          </cell>
          <cell r="B411" t="str">
            <v>15234</v>
          </cell>
          <cell r="C411" t="str">
            <v>VINAGRE PICANTE GRIFF RP 4K(CAJA:4 UND )</v>
          </cell>
          <cell r="D411" t="str">
            <v>10100214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 t="e">
            <v>#N/A</v>
          </cell>
          <cell r="J411" t="e">
            <v>#N/A</v>
          </cell>
          <cell r="K411">
            <v>1000</v>
          </cell>
          <cell r="L411" t="e">
            <v>#N/A</v>
          </cell>
          <cell r="M411" t="str">
            <v>Gramos</v>
          </cell>
        </row>
        <row r="412">
          <cell r="A412" t="str">
            <v>10100215</v>
          </cell>
          <cell r="B412" t="str">
            <v>15244</v>
          </cell>
          <cell r="C412" t="str">
            <v>COCO DESHIDRATADO MEDIO (PAQ: KILO)</v>
          </cell>
          <cell r="D412" t="str">
            <v>10100215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22/02/2020</v>
          </cell>
          <cell r="I412">
            <v>2742</v>
          </cell>
          <cell r="J412" t="e">
            <v>#N/A</v>
          </cell>
          <cell r="K412">
            <v>1000</v>
          </cell>
          <cell r="L412" t="e">
            <v>#N/A</v>
          </cell>
          <cell r="M412" t="str">
            <v>Gramos</v>
          </cell>
        </row>
        <row r="413">
          <cell r="A413" t="str">
            <v>10100217</v>
          </cell>
          <cell r="B413" t="str">
            <v>15248</v>
          </cell>
          <cell r="C413" t="str">
            <v>CONDIMENTO CAJUN (PAQ:1 K)</v>
          </cell>
          <cell r="D413" t="str">
            <v>10100217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17/01/2020</v>
          </cell>
          <cell r="I413" t="e">
            <v>#N/A</v>
          </cell>
          <cell r="J413" t="e">
            <v>#N/A</v>
          </cell>
          <cell r="K413">
            <v>1000</v>
          </cell>
          <cell r="L413" t="e">
            <v>#N/A</v>
          </cell>
          <cell r="M413" t="str">
            <v>Gramos</v>
          </cell>
        </row>
        <row r="414">
          <cell r="A414" t="str">
            <v>10100218</v>
          </cell>
          <cell r="B414" t="str">
            <v>15252</v>
          </cell>
          <cell r="C414" t="str">
            <v>QUESO SEMIDURO DADOS RD (KILO)</v>
          </cell>
          <cell r="D414" t="str">
            <v>10100218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15/06/2020</v>
          </cell>
          <cell r="I414" t="e">
            <v>#N/A</v>
          </cell>
          <cell r="J414" t="e">
            <v>#N/A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10100219</v>
          </cell>
          <cell r="B415" t="str">
            <v>15281</v>
          </cell>
          <cell r="C415" t="str">
            <v>POLLO LOMITO S/R FCO (30 KG)</v>
          </cell>
          <cell r="D415" t="str">
            <v>10100219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04/06/2020</v>
          </cell>
          <cell r="I415" t="e">
            <v>#N/A</v>
          </cell>
          <cell r="J415" t="e">
            <v>#N/A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10100220</v>
          </cell>
          <cell r="B416" t="str">
            <v>15282</v>
          </cell>
          <cell r="C416" t="str">
            <v>SALSA POLLO ROSTI GRIFF RP 6K (CJ:2 UND)</v>
          </cell>
          <cell r="D416" t="str">
            <v>10100220</v>
          </cell>
          <cell r="E416" t="str">
            <v>MATERIAS PRIMAS PLANTA</v>
          </cell>
          <cell r="F416" t="str">
            <v>1 CAJA</v>
          </cell>
          <cell r="G416">
            <v>500</v>
          </cell>
          <cell r="H416" t="str">
            <v>25/05/2020</v>
          </cell>
          <cell r="I416" t="e">
            <v>#N/A</v>
          </cell>
          <cell r="J416" t="e">
            <v>#N/A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10100221</v>
          </cell>
          <cell r="B417" t="str">
            <v>15283</v>
          </cell>
          <cell r="C417" t="str">
            <v>SALSA SOYA KIKOMAN (GALON)</v>
          </cell>
          <cell r="D417" t="str">
            <v>10100221</v>
          </cell>
          <cell r="E417" t="str">
            <v>MATERIAS PRIMAS PLANTA</v>
          </cell>
          <cell r="F417" t="str">
            <v xml:space="preserve">1 GALON </v>
          </cell>
          <cell r="G417">
            <v>500</v>
          </cell>
          <cell r="H417" t="str">
            <v>23/01/2020</v>
          </cell>
          <cell r="I417" t="e">
            <v>#N/A</v>
          </cell>
          <cell r="J417" t="e">
            <v>#N/A</v>
          </cell>
          <cell r="K417">
            <v>3785</v>
          </cell>
          <cell r="L417" t="e">
            <v>#N/A</v>
          </cell>
          <cell r="M417" t="str">
            <v>Gramos</v>
          </cell>
        </row>
        <row r="418">
          <cell r="A418" t="str">
            <v>10100222</v>
          </cell>
          <cell r="B418" t="str">
            <v>15284</v>
          </cell>
          <cell r="C418" t="str">
            <v>MAICENA DURYEA (PAQ: 2.3 K)</v>
          </cell>
          <cell r="D418" t="str">
            <v>10100222</v>
          </cell>
          <cell r="E418" t="str">
            <v>MATERIAS PRIMAS PLANTA</v>
          </cell>
          <cell r="F418" t="str">
            <v>1 PAQUETE</v>
          </cell>
          <cell r="G418">
            <v>500</v>
          </cell>
          <cell r="H418" t="str">
            <v>27/03/2020</v>
          </cell>
          <cell r="I418">
            <v>4995</v>
          </cell>
          <cell r="J418" t="e">
            <v>#N/A</v>
          </cell>
          <cell r="K418">
            <v>2300</v>
          </cell>
          <cell r="L418" t="e">
            <v>#N/A</v>
          </cell>
          <cell r="M418" t="str">
            <v>Mililitros</v>
          </cell>
        </row>
        <row r="419">
          <cell r="A419" t="str">
            <v>10100223</v>
          </cell>
          <cell r="B419" t="str">
            <v>15285</v>
          </cell>
          <cell r="C419" t="str">
            <v>ADEREZO JENGIBRE C/AJONJOLI (UND:3.78 K)</v>
          </cell>
          <cell r="D419" t="str">
            <v>10100223</v>
          </cell>
          <cell r="E419" t="str">
            <v>MATERIAS PRIMAS PLANTA</v>
          </cell>
          <cell r="F419" t="str">
            <v>1 UND</v>
          </cell>
          <cell r="G419">
            <v>500</v>
          </cell>
          <cell r="H419" t="str">
            <v>30/05/2020</v>
          </cell>
          <cell r="I419" t="e">
            <v>#N/A</v>
          </cell>
          <cell r="J419" t="e">
            <v>#N/A</v>
          </cell>
          <cell r="K419">
            <v>3780</v>
          </cell>
          <cell r="L419" t="e">
            <v>#N/A</v>
          </cell>
          <cell r="M419" t="str">
            <v>Gramos</v>
          </cell>
        </row>
        <row r="420">
          <cell r="A420" t="str">
            <v>10100224</v>
          </cell>
          <cell r="B420" t="str">
            <v>15305</v>
          </cell>
          <cell r="C420" t="str">
            <v>REPOLLO VERDE GRANEL (KILO)</v>
          </cell>
          <cell r="D420" t="str">
            <v>10100224</v>
          </cell>
          <cell r="E420" t="str">
            <v>MATERIAS PRIMAS PLANTA</v>
          </cell>
          <cell r="F420" t="str">
            <v xml:space="preserve">1 KILO </v>
          </cell>
          <cell r="G420">
            <v>500</v>
          </cell>
          <cell r="H420" t="str">
            <v>16/06/2020</v>
          </cell>
          <cell r="I420">
            <v>600</v>
          </cell>
          <cell r="J420" t="e">
            <v>#N/A</v>
          </cell>
          <cell r="K420">
            <v>1000</v>
          </cell>
          <cell r="L420" t="e">
            <v>#N/A</v>
          </cell>
          <cell r="M420" t="str">
            <v>Gramos</v>
          </cell>
        </row>
        <row r="421">
          <cell r="A421" t="str">
            <v>10100225</v>
          </cell>
          <cell r="B421" t="str">
            <v>15309</v>
          </cell>
          <cell r="C421" t="str">
            <v>ACEITE POMACE 90% CANOLA OLIVA (GALON)</v>
          </cell>
          <cell r="D421" t="str">
            <v>10100225</v>
          </cell>
          <cell r="E421" t="str">
            <v>MATERIAS PRIMAS PLANTA</v>
          </cell>
          <cell r="F421" t="str">
            <v xml:space="preserve">1 GALON </v>
          </cell>
          <cell r="G421">
            <v>500</v>
          </cell>
          <cell r="H421" t="str">
            <v>28/05/2020</v>
          </cell>
          <cell r="I421">
            <v>8428</v>
          </cell>
          <cell r="J421" t="e">
            <v>#N/A</v>
          </cell>
          <cell r="K421">
            <v>3785</v>
          </cell>
          <cell r="L421" t="e">
            <v>#N/A</v>
          </cell>
          <cell r="M421" t="str">
            <v>Gramos</v>
          </cell>
        </row>
        <row r="422">
          <cell r="A422" t="str">
            <v>10100226</v>
          </cell>
          <cell r="B422" t="str">
            <v>15322</v>
          </cell>
          <cell r="C422" t="str">
            <v>PANKO COSTRA DE PAN (PAQ:20 LB)</v>
          </cell>
          <cell r="D422" t="str">
            <v>10100226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17/01/2020</v>
          </cell>
          <cell r="I422" t="e">
            <v>#N/A</v>
          </cell>
          <cell r="J422" t="e">
            <v>#N/A</v>
          </cell>
          <cell r="K422">
            <v>3785</v>
          </cell>
          <cell r="L422" t="e">
            <v>#N/A</v>
          </cell>
          <cell r="M422" t="str">
            <v>Gramos</v>
          </cell>
        </row>
        <row r="423">
          <cell r="A423" t="str">
            <v>10100227</v>
          </cell>
          <cell r="B423" t="str">
            <v>15325</v>
          </cell>
          <cell r="C423" t="str">
            <v>ROSA JAMAICA (PAQ:KILO)</v>
          </cell>
          <cell r="D423" t="str">
            <v>10100227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02/05/2020</v>
          </cell>
          <cell r="I423">
            <v>7500</v>
          </cell>
          <cell r="J423" t="e">
            <v>#N/A</v>
          </cell>
          <cell r="K423">
            <v>1000</v>
          </cell>
          <cell r="L423" t="e">
            <v>#N/A</v>
          </cell>
          <cell r="M423" t="str">
            <v>Gramos</v>
          </cell>
        </row>
        <row r="424">
          <cell r="A424" t="str">
            <v>10100229</v>
          </cell>
          <cell r="B424" t="str">
            <v>15328</v>
          </cell>
          <cell r="C424" t="str">
            <v>NEGRO B100 ESPECIAL (BULTO:36 PAQ)</v>
          </cell>
          <cell r="D424" t="str">
            <v>10100229</v>
          </cell>
          <cell r="E424" t="str">
            <v>MATERIAS PRIMAS PLANTA</v>
          </cell>
          <cell r="F424" t="str">
            <v>1 BULTO</v>
          </cell>
          <cell r="G424">
            <v>500</v>
          </cell>
          <cell r="H424" t="str">
            <v>13/05/2020</v>
          </cell>
          <cell r="I424">
            <v>41400</v>
          </cell>
          <cell r="J424">
            <v>41400</v>
          </cell>
          <cell r="K424">
            <v>1000</v>
          </cell>
          <cell r="L424" t="e">
            <v>#DIV/0!</v>
          </cell>
          <cell r="M424" t="str">
            <v>Gramos</v>
          </cell>
        </row>
        <row r="425">
          <cell r="A425" t="str">
            <v>10100230</v>
          </cell>
          <cell r="B425" t="str">
            <v>15334</v>
          </cell>
          <cell r="C425" t="str">
            <v>FRESA CONGELADA BEGRO (PAQ:1 K)</v>
          </cell>
          <cell r="D425" t="str">
            <v>10100230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08/06/2020</v>
          </cell>
          <cell r="I425">
            <v>1940</v>
          </cell>
          <cell r="J425">
            <v>2225</v>
          </cell>
          <cell r="K425">
            <v>1000</v>
          </cell>
          <cell r="L425">
            <v>2.2250000000000001</v>
          </cell>
          <cell r="M425" t="str">
            <v>Gramos</v>
          </cell>
        </row>
        <row r="426">
          <cell r="A426" t="str">
            <v>10100235</v>
          </cell>
          <cell r="B426" t="str">
            <v>15344</v>
          </cell>
          <cell r="C426" t="str">
            <v>QUESO MOZA RALLADO CONGEL PIZZA (PAQ:2K)</v>
          </cell>
          <cell r="D426" t="str">
            <v>10100235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01/06/2020</v>
          </cell>
          <cell r="I426">
            <v>9356.44</v>
          </cell>
          <cell r="J426" t="e">
            <v>#N/A</v>
          </cell>
          <cell r="K426">
            <v>2000</v>
          </cell>
          <cell r="L426" t="e">
            <v>#N/A</v>
          </cell>
          <cell r="M426" t="str">
            <v>Gramos</v>
          </cell>
        </row>
        <row r="427">
          <cell r="A427" t="str">
            <v>10100237</v>
          </cell>
          <cell r="B427" t="str">
            <v>15361</v>
          </cell>
          <cell r="C427" t="str">
            <v>PREMEZCLA CHOCOLATE RICHS (SACO:30 LB)</v>
          </cell>
          <cell r="D427" t="str">
            <v>10100237</v>
          </cell>
          <cell r="E427" t="str">
            <v>MATERIAS PRIMAS PLANTA</v>
          </cell>
          <cell r="F427" t="str">
            <v>1 SACO</v>
          </cell>
          <cell r="G427">
            <v>500</v>
          </cell>
          <cell r="H427" t="str">
            <v>08/06/2020</v>
          </cell>
          <cell r="I427">
            <v>28976</v>
          </cell>
          <cell r="J427" t="e">
            <v>#N/A</v>
          </cell>
          <cell r="K427">
            <v>2000</v>
          </cell>
          <cell r="L427" t="e">
            <v>#N/A</v>
          </cell>
          <cell r="M427" t="str">
            <v>Gramos</v>
          </cell>
        </row>
        <row r="428">
          <cell r="A428" t="str">
            <v>10100238</v>
          </cell>
          <cell r="B428" t="str">
            <v>15366</v>
          </cell>
          <cell r="C428" t="str">
            <v>COBERTURA DONA CHOCOLAT RICH (UND:23 LB)</v>
          </cell>
          <cell r="D428" t="str">
            <v>10100238</v>
          </cell>
          <cell r="E428" t="str">
            <v>MATERIAS PRIMAS PLANTA</v>
          </cell>
          <cell r="F428" t="str">
            <v>1 UND</v>
          </cell>
          <cell r="G428">
            <v>500</v>
          </cell>
          <cell r="H428" t="str">
            <v>10/06/2020</v>
          </cell>
          <cell r="I428">
            <v>30491</v>
          </cell>
          <cell r="J428" t="e">
            <v>#N/A</v>
          </cell>
          <cell r="K428">
            <v>10432</v>
          </cell>
          <cell r="L428" t="e">
            <v>#N/A</v>
          </cell>
          <cell r="M428" t="str">
            <v>Gramos</v>
          </cell>
        </row>
        <row r="429">
          <cell r="A429" t="str">
            <v>10100239</v>
          </cell>
          <cell r="B429" t="str">
            <v>15370</v>
          </cell>
          <cell r="C429" t="str">
            <v>TOMATE SALSA (KILO)</v>
          </cell>
          <cell r="D429" t="str">
            <v>10100239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26/03/2020</v>
          </cell>
          <cell r="I429">
            <v>1100</v>
          </cell>
          <cell r="J429" t="e">
            <v>#N/A</v>
          </cell>
          <cell r="K429">
            <v>1000</v>
          </cell>
          <cell r="L429" t="e">
            <v>#N/A</v>
          </cell>
          <cell r="M429" t="str">
            <v>Gramos</v>
          </cell>
        </row>
        <row r="430">
          <cell r="A430" t="str">
            <v>10100241</v>
          </cell>
          <cell r="B430" t="str">
            <v>15372</v>
          </cell>
          <cell r="C430" t="str">
            <v>APIO GRANEL (KILO)</v>
          </cell>
          <cell r="D430" t="str">
            <v>10100241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13/06/2020</v>
          </cell>
          <cell r="I430">
            <v>1000</v>
          </cell>
          <cell r="J430" t="e">
            <v>#N/A</v>
          </cell>
          <cell r="K430">
            <v>1000</v>
          </cell>
          <cell r="L430" t="e">
            <v>#N/A</v>
          </cell>
          <cell r="M430" t="str">
            <v>Gramos</v>
          </cell>
        </row>
        <row r="431">
          <cell r="A431" t="str">
            <v>10100242</v>
          </cell>
          <cell r="B431" t="str">
            <v>15377</v>
          </cell>
          <cell r="C431" t="str">
            <v>SALSA INGLESA DEL LLANO (GALON)</v>
          </cell>
          <cell r="D431" t="str">
            <v>10100242</v>
          </cell>
          <cell r="E431" t="str">
            <v>MATERIAS PRIMAS PLANTA</v>
          </cell>
          <cell r="F431" t="str">
            <v xml:space="preserve">1 GALON </v>
          </cell>
          <cell r="G431">
            <v>500</v>
          </cell>
          <cell r="H431" t="str">
            <v>16/04/2020</v>
          </cell>
          <cell r="I431">
            <v>4419.3999999999996</v>
          </cell>
          <cell r="J431" t="e">
            <v>#N/A</v>
          </cell>
          <cell r="K431">
            <v>3785</v>
          </cell>
          <cell r="L431" t="e">
            <v>#N/A</v>
          </cell>
          <cell r="M431" t="str">
            <v>Mililitros</v>
          </cell>
        </row>
        <row r="432">
          <cell r="A432" t="str">
            <v>10100243</v>
          </cell>
          <cell r="B432" t="str">
            <v>15379</v>
          </cell>
          <cell r="C432" t="str">
            <v>BATTER ZFC (PAQ: 1 K)</v>
          </cell>
          <cell r="D432" t="str">
            <v>10100243</v>
          </cell>
          <cell r="E432" t="str">
            <v>MATERIAS PRIMAS PLANTA</v>
          </cell>
          <cell r="F432" t="str">
            <v>1 PAQUETE</v>
          </cell>
          <cell r="G432">
            <v>500</v>
          </cell>
          <cell r="H432" t="str">
            <v>21/01/2020</v>
          </cell>
          <cell r="I432" t="e">
            <v>#N/A</v>
          </cell>
          <cell r="J432" t="e">
            <v>#N/A</v>
          </cell>
          <cell r="K432">
            <v>1000</v>
          </cell>
          <cell r="L432" t="e">
            <v>#N/A</v>
          </cell>
          <cell r="M432" t="str">
            <v>Mililitros</v>
          </cell>
        </row>
        <row r="433">
          <cell r="A433" t="str">
            <v>10100244</v>
          </cell>
          <cell r="B433" t="str">
            <v>15380</v>
          </cell>
          <cell r="C433" t="str">
            <v>EMPANIZADOR ROSTIPOLLOS (UND: 25 K)</v>
          </cell>
          <cell r="D433" t="str">
            <v>10100244</v>
          </cell>
          <cell r="E433" t="str">
            <v>MATERIAS PRIMAS PLANTA</v>
          </cell>
          <cell r="F433" t="str">
            <v>1 UND</v>
          </cell>
          <cell r="G433">
            <v>500</v>
          </cell>
          <cell r="H433" t="str">
            <v>25/05/2020</v>
          </cell>
          <cell r="I433" t="e">
            <v>#N/A</v>
          </cell>
          <cell r="J433" t="e">
            <v>#N/A</v>
          </cell>
          <cell r="K433">
            <v>25000</v>
          </cell>
          <cell r="L433" t="e">
            <v>#N/A</v>
          </cell>
          <cell r="M433" t="str">
            <v>Mililitros</v>
          </cell>
        </row>
        <row r="434">
          <cell r="A434" t="str">
            <v>10100245</v>
          </cell>
          <cell r="B434" t="str">
            <v>15387</v>
          </cell>
          <cell r="C434" t="str">
            <v>PREMEZCLA VAINILLA RICHS (SACO:30 LBS)</v>
          </cell>
          <cell r="D434" t="str">
            <v>10100245</v>
          </cell>
          <cell r="E434" t="str">
            <v>MATERIAS PRIMAS PLANTA</v>
          </cell>
          <cell r="F434" t="str">
            <v>1 SACO</v>
          </cell>
          <cell r="G434">
            <v>500</v>
          </cell>
          <cell r="H434" t="str">
            <v>18/05/2020</v>
          </cell>
          <cell r="I434">
            <v>24010</v>
          </cell>
          <cell r="J434" t="e">
            <v>#N/A</v>
          </cell>
          <cell r="K434">
            <v>25000</v>
          </cell>
          <cell r="L434" t="e">
            <v>#N/A</v>
          </cell>
          <cell r="M434" t="str">
            <v>Gramos</v>
          </cell>
        </row>
        <row r="435">
          <cell r="A435" t="str">
            <v>10100249</v>
          </cell>
          <cell r="B435" t="str">
            <v>15402</v>
          </cell>
          <cell r="C435" t="str">
            <v>SALSA BARBACOA CHIPOTLE MIEL (UND:3.7 K)</v>
          </cell>
          <cell r="D435" t="str">
            <v>10100249</v>
          </cell>
          <cell r="E435" t="str">
            <v>MATERIAS PRIMAS PLANTA</v>
          </cell>
          <cell r="F435" t="str">
            <v>1 UND</v>
          </cell>
          <cell r="G435">
            <v>500</v>
          </cell>
          <cell r="H435" t="str">
            <v>28/01/2020</v>
          </cell>
          <cell r="I435">
            <v>9429</v>
          </cell>
          <cell r="J435" t="e">
            <v>#N/A</v>
          </cell>
          <cell r="K435">
            <v>3700</v>
          </cell>
          <cell r="L435" t="e">
            <v>#N/A</v>
          </cell>
          <cell r="M435" t="str">
            <v>Gramos</v>
          </cell>
        </row>
        <row r="436">
          <cell r="A436" t="str">
            <v>10100250</v>
          </cell>
          <cell r="B436" t="str">
            <v>15436</v>
          </cell>
          <cell r="C436" t="str">
            <v>PAPA TOSTADA KITTY (PAQ: 1 K)</v>
          </cell>
          <cell r="D436" t="str">
            <v>10100250</v>
          </cell>
          <cell r="E436" t="str">
            <v>MATERIAS PRIMAS PLANTA</v>
          </cell>
          <cell r="F436" t="str">
            <v>1 PAQUETE</v>
          </cell>
          <cell r="G436">
            <v>500</v>
          </cell>
          <cell r="H436" t="str">
            <v>30/12/2019</v>
          </cell>
          <cell r="I436">
            <v>5777.3329999999996</v>
          </cell>
          <cell r="J436" t="e">
            <v>#N/A</v>
          </cell>
          <cell r="K436">
            <v>1000</v>
          </cell>
          <cell r="L436" t="e">
            <v>#N/A</v>
          </cell>
          <cell r="M436" t="str">
            <v>Unidad</v>
          </cell>
        </row>
        <row r="437">
          <cell r="A437" t="str">
            <v>10100252</v>
          </cell>
          <cell r="B437" t="str">
            <v>15479</v>
          </cell>
          <cell r="C437" t="str">
            <v>TORTILLA TRIGO MISION 12" CON (CJ:6 PAQ)</v>
          </cell>
          <cell r="D437" t="str">
            <v>10100252</v>
          </cell>
          <cell r="E437" t="str">
            <v>MATERIAS PRIMAS PLANTA</v>
          </cell>
          <cell r="F437" t="str">
            <v>1 CAJA</v>
          </cell>
          <cell r="G437">
            <v>500</v>
          </cell>
          <cell r="H437" t="str">
            <v>26/02/2020</v>
          </cell>
          <cell r="I437">
            <v>6050</v>
          </cell>
          <cell r="J437">
            <v>9252</v>
          </cell>
          <cell r="K437">
            <v>60</v>
          </cell>
          <cell r="L437">
            <v>154.19999999999999</v>
          </cell>
          <cell r="M437" t="str">
            <v>Unidad</v>
          </cell>
        </row>
        <row r="438">
          <cell r="A438" t="str">
            <v>10100253</v>
          </cell>
          <cell r="B438" t="str">
            <v>15538</v>
          </cell>
          <cell r="C438" t="str">
            <v>LENTEJAS ( PAQ:1 K)</v>
          </cell>
          <cell r="D438" t="str">
            <v>10100253</v>
          </cell>
          <cell r="E438" t="str">
            <v>MATERIAS PRIMAS PLANTA</v>
          </cell>
          <cell r="F438" t="str">
            <v xml:space="preserve">1 PAQUETE </v>
          </cell>
          <cell r="G438">
            <v>500</v>
          </cell>
          <cell r="H438" t="str">
            <v>29/04/2020</v>
          </cell>
          <cell r="I438">
            <v>1250</v>
          </cell>
          <cell r="J438">
            <v>1406</v>
          </cell>
          <cell r="K438">
            <v>1000</v>
          </cell>
          <cell r="L438">
            <v>1.4059999999999999</v>
          </cell>
          <cell r="M438" t="str">
            <v>Unidad</v>
          </cell>
        </row>
        <row r="439">
          <cell r="A439" t="str">
            <v>10100255</v>
          </cell>
          <cell r="B439" t="str">
            <v>15609</v>
          </cell>
          <cell r="C439" t="str">
            <v>PAPA GAJO CASCARA HIERBA (CAJA:4/2.5k)</v>
          </cell>
          <cell r="D439" t="str">
            <v>10100255</v>
          </cell>
          <cell r="E439" t="str">
            <v>MATERIAS PRIMAS PLANTA</v>
          </cell>
          <cell r="F439" t="str">
            <v>1 CAJA</v>
          </cell>
          <cell r="G439">
            <v>500</v>
          </cell>
          <cell r="H439" t="str">
            <v>19/12/2019</v>
          </cell>
          <cell r="I439">
            <v>19540</v>
          </cell>
          <cell r="J439" t="e">
            <v>#N/A</v>
          </cell>
          <cell r="K439">
            <v>10000</v>
          </cell>
          <cell r="L439" t="e">
            <v>#N/A</v>
          </cell>
          <cell r="M439" t="str">
            <v>Gramos</v>
          </cell>
        </row>
        <row r="440">
          <cell r="A440" t="str">
            <v>10100256</v>
          </cell>
          <cell r="B440" t="str">
            <v>15823</v>
          </cell>
          <cell r="C440" t="str">
            <v>FRIJOLES MOLIDOS SADE (PAQ: 4 K)</v>
          </cell>
          <cell r="D440" t="str">
            <v>10100256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09/06/2020</v>
          </cell>
          <cell r="I440" t="e">
            <v>#N/A</v>
          </cell>
          <cell r="J440" t="e">
            <v>#N/A</v>
          </cell>
          <cell r="K440">
            <v>4000</v>
          </cell>
          <cell r="L440" t="e">
            <v>#N/A</v>
          </cell>
          <cell r="M440" t="str">
            <v>Gramos</v>
          </cell>
        </row>
        <row r="441">
          <cell r="A441" t="str">
            <v>10100259</v>
          </cell>
          <cell r="B441" t="str">
            <v>15846</v>
          </cell>
          <cell r="C441" t="str">
            <v>CHAYOTE TIERNO CUBO (PAQ:2K)</v>
          </cell>
          <cell r="D441" t="str">
            <v>10100259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16/06/2020</v>
          </cell>
          <cell r="I441" t="e">
            <v>#N/A</v>
          </cell>
          <cell r="J441" t="e">
            <v>#N/A</v>
          </cell>
          <cell r="K441">
            <v>2000</v>
          </cell>
          <cell r="L441" t="e">
            <v>#N/A</v>
          </cell>
          <cell r="M441" t="str">
            <v>Unidad</v>
          </cell>
        </row>
        <row r="442">
          <cell r="A442" t="str">
            <v>10100260</v>
          </cell>
          <cell r="B442" t="str">
            <v>15847</v>
          </cell>
          <cell r="C442" t="str">
            <v>HIERBA BUENA GRANEL (KILO)</v>
          </cell>
          <cell r="D442" t="str">
            <v>10100260</v>
          </cell>
          <cell r="E442" t="str">
            <v>MATERIAS PRIMAS PLANTA</v>
          </cell>
          <cell r="F442" t="str">
            <v>1 KILO</v>
          </cell>
          <cell r="G442">
            <v>500</v>
          </cell>
          <cell r="H442" t="str">
            <v>09/05/2020</v>
          </cell>
          <cell r="I442">
            <v>6000</v>
          </cell>
          <cell r="J442" t="e">
            <v>#N/A</v>
          </cell>
          <cell r="K442">
            <v>1000</v>
          </cell>
          <cell r="L442" t="e">
            <v>#N/A</v>
          </cell>
          <cell r="M442" t="str">
            <v>Gramos</v>
          </cell>
        </row>
        <row r="443">
          <cell r="A443" t="str">
            <v>10100261</v>
          </cell>
          <cell r="B443" t="str">
            <v>15848</v>
          </cell>
          <cell r="C443" t="str">
            <v>GARBANZO MFS (PAQ:KILO)</v>
          </cell>
          <cell r="D443" t="str">
            <v>10100261</v>
          </cell>
          <cell r="E443" t="str">
            <v>MATERIAS PRIMAS PLANTA</v>
          </cell>
          <cell r="F443" t="str">
            <v>1 PAQUETE</v>
          </cell>
          <cell r="G443">
            <v>500</v>
          </cell>
          <cell r="H443" t="str">
            <v>15/06/2020</v>
          </cell>
          <cell r="I443" t="e">
            <v>#N/A</v>
          </cell>
          <cell r="J443" t="e">
            <v>#N/A</v>
          </cell>
          <cell r="K443">
            <v>1000</v>
          </cell>
          <cell r="L443" t="e">
            <v>#N/A</v>
          </cell>
          <cell r="M443" t="str">
            <v>Gramos</v>
          </cell>
        </row>
        <row r="444">
          <cell r="A444" t="str">
            <v>10100262</v>
          </cell>
          <cell r="B444" t="str">
            <v>15849</v>
          </cell>
          <cell r="C444" t="str">
            <v>YOGURT NATURAL (UND:500 G)</v>
          </cell>
          <cell r="D444" t="str">
            <v>10100262</v>
          </cell>
          <cell r="E444" t="str">
            <v>MATERIAS PRIMAS PLANTA</v>
          </cell>
          <cell r="F444" t="str">
            <v>1 UND</v>
          </cell>
          <cell r="G444">
            <v>500</v>
          </cell>
          <cell r="H444" t="str">
            <v>15/06/2020</v>
          </cell>
          <cell r="I444">
            <v>1167</v>
          </cell>
          <cell r="J444" t="e">
            <v>#N/A</v>
          </cell>
          <cell r="K444">
            <v>500</v>
          </cell>
          <cell r="L444" t="e">
            <v>#N/A</v>
          </cell>
          <cell r="M444" t="str">
            <v>Gramos</v>
          </cell>
        </row>
        <row r="445">
          <cell r="A445" t="str">
            <v>10100263</v>
          </cell>
          <cell r="B445" t="str">
            <v>15850</v>
          </cell>
          <cell r="C445" t="str">
            <v>CHILE DULCE JULIANO (PAQ:KILO)</v>
          </cell>
          <cell r="D445" t="str">
            <v>10100263</v>
          </cell>
          <cell r="E445" t="str">
            <v>MATERIAS PRIMAS PLANTA</v>
          </cell>
          <cell r="F445" t="str">
            <v>1 PAQUETE</v>
          </cell>
          <cell r="G445">
            <v>500</v>
          </cell>
          <cell r="H445" t="str">
            <v>17/01/2020</v>
          </cell>
          <cell r="I445">
            <v>2295</v>
          </cell>
          <cell r="J445">
            <v>2295</v>
          </cell>
          <cell r="K445">
            <v>1000</v>
          </cell>
          <cell r="L445">
            <v>2.2949999999999999</v>
          </cell>
          <cell r="M445" t="str">
            <v>Gramos</v>
          </cell>
        </row>
        <row r="446">
          <cell r="A446" t="str">
            <v>10100264</v>
          </cell>
          <cell r="B446" t="str">
            <v>15854</v>
          </cell>
          <cell r="C446" t="str">
            <v>LIMON MESINO (GALON)</v>
          </cell>
          <cell r="D446" t="str">
            <v>10100264</v>
          </cell>
          <cell r="E446" t="str">
            <v>MATERIAS PRIMAS PLANTA</v>
          </cell>
          <cell r="F446" t="str">
            <v xml:space="preserve">1 GALON </v>
          </cell>
          <cell r="G446">
            <v>500</v>
          </cell>
          <cell r="H446" t="str">
            <v>21/04/2020</v>
          </cell>
          <cell r="I446">
            <v>4000</v>
          </cell>
          <cell r="J446" t="e">
            <v>#N/A</v>
          </cell>
          <cell r="K446">
            <v>3785</v>
          </cell>
          <cell r="L446" t="e">
            <v>#N/A</v>
          </cell>
          <cell r="M446" t="str">
            <v>Mililitros</v>
          </cell>
        </row>
        <row r="447">
          <cell r="A447" t="str">
            <v>10100270</v>
          </cell>
          <cell r="B447" t="str">
            <v>15919</v>
          </cell>
          <cell r="C447" t="str">
            <v>TABASCO BANQUETE (UND: 1/2 GALON)</v>
          </cell>
          <cell r="D447" t="str">
            <v>10100270</v>
          </cell>
          <cell r="E447" t="str">
            <v>MATERIAS PRIMAS PLANTA</v>
          </cell>
          <cell r="F447" t="str">
            <v>1 UND</v>
          </cell>
          <cell r="G447">
            <v>500</v>
          </cell>
          <cell r="H447" t="str">
            <v>18/05/2020</v>
          </cell>
          <cell r="I447">
            <v>3841</v>
          </cell>
          <cell r="J447">
            <v>3956</v>
          </cell>
          <cell r="K447">
            <v>1892.5</v>
          </cell>
          <cell r="L447">
            <v>2.0903566710700132</v>
          </cell>
          <cell r="M447" t="str">
            <v>Mililitros</v>
          </cell>
        </row>
        <row r="448">
          <cell r="A448" t="str">
            <v>10100271</v>
          </cell>
          <cell r="B448" t="str">
            <v>15978</v>
          </cell>
          <cell r="C448" t="str">
            <v>FRIJOL TIERNO RP (PAQ:1 KG)</v>
          </cell>
          <cell r="D448" t="str">
            <v>10100270</v>
          </cell>
          <cell r="E448" t="str">
            <v>MATERIAS PRIMAS PLANTA</v>
          </cell>
          <cell r="F448" t="str">
            <v>1 PAQUETE</v>
          </cell>
          <cell r="G448">
            <v>500</v>
          </cell>
          <cell r="H448" t="str">
            <v>05/06/2020</v>
          </cell>
          <cell r="I448" t="e">
            <v>#N/A</v>
          </cell>
          <cell r="J448" t="e">
            <v>#N/A</v>
          </cell>
          <cell r="K448">
            <v>1000</v>
          </cell>
          <cell r="L448" t="e">
            <v>#N/A</v>
          </cell>
          <cell r="M448" t="str">
            <v>Mililitros</v>
          </cell>
        </row>
        <row r="449">
          <cell r="A449" t="str">
            <v>10100272</v>
          </cell>
          <cell r="B449" t="str">
            <v>16084</v>
          </cell>
          <cell r="C449" t="str">
            <v>ADEREZO RANCH (UND)</v>
          </cell>
          <cell r="D449" t="str">
            <v>10100272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24/03/2020</v>
          </cell>
          <cell r="I449">
            <v>5625</v>
          </cell>
          <cell r="J449">
            <v>5625</v>
          </cell>
          <cell r="K449">
            <v>1</v>
          </cell>
          <cell r="L449">
            <v>5625</v>
          </cell>
          <cell r="M449"/>
        </row>
        <row r="450">
          <cell r="A450" t="str">
            <v>10100273</v>
          </cell>
          <cell r="B450" t="str">
            <v>16085</v>
          </cell>
          <cell r="C450" t="str">
            <v>ADEREZO MOSTAZA MIEL (UND)</v>
          </cell>
          <cell r="D450" t="str">
            <v>10100273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03/03/2020</v>
          </cell>
          <cell r="I450" t="e">
            <v>#N/A</v>
          </cell>
          <cell r="J450" t="e">
            <v>#N/A</v>
          </cell>
          <cell r="K450">
            <v>1</v>
          </cell>
          <cell r="L450" t="e">
            <v>#N/A</v>
          </cell>
          <cell r="M450" t="str">
            <v>Mililitros</v>
          </cell>
        </row>
        <row r="451">
          <cell r="A451" t="str">
            <v>10100274</v>
          </cell>
          <cell r="B451" t="str">
            <v>16086</v>
          </cell>
          <cell r="C451" t="str">
            <v>ADEREZO MIL ISLAS (UND)</v>
          </cell>
          <cell r="D451" t="str">
            <v>10100274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14/03/2020</v>
          </cell>
          <cell r="I451">
            <v>5099</v>
          </cell>
          <cell r="J451">
            <v>5099</v>
          </cell>
          <cell r="K451">
            <v>1</v>
          </cell>
          <cell r="L451">
            <v>5099</v>
          </cell>
          <cell r="M451" t="str">
            <v>Unidad</v>
          </cell>
        </row>
        <row r="452">
          <cell r="A452" t="str">
            <v>10100275</v>
          </cell>
          <cell r="B452" t="str">
            <v>16087</v>
          </cell>
          <cell r="C452" t="str">
            <v>ADEREZO ITALIANO CREMOSO (UND)</v>
          </cell>
          <cell r="D452" t="str">
            <v>10100275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19/03/2020</v>
          </cell>
          <cell r="I452">
            <v>6334</v>
          </cell>
          <cell r="J452">
            <v>8610</v>
          </cell>
          <cell r="K452">
            <v>1</v>
          </cell>
          <cell r="L452">
            <v>8610</v>
          </cell>
        </row>
        <row r="453">
          <cell r="A453" t="str">
            <v>10100276</v>
          </cell>
          <cell r="B453" t="str">
            <v>16088</v>
          </cell>
          <cell r="C453" t="str">
            <v>ADEREZO CESAR (UND)</v>
          </cell>
          <cell r="D453" t="str">
            <v>10100276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07/03/2020</v>
          </cell>
          <cell r="I453">
            <v>5626</v>
          </cell>
          <cell r="J453">
            <v>5626</v>
          </cell>
          <cell r="K453">
            <v>1</v>
          </cell>
          <cell r="L453">
            <v>5626</v>
          </cell>
          <cell r="M453" t="str">
            <v>Gramos</v>
          </cell>
        </row>
        <row r="454">
          <cell r="A454" t="str">
            <v>10100278</v>
          </cell>
          <cell r="B454" t="str">
            <v>16138</v>
          </cell>
          <cell r="C454" t="str">
            <v>ARROZ LUISINA 95% PRECOCIDO (BULTO:20 K)</v>
          </cell>
          <cell r="D454" t="str">
            <v>10100278</v>
          </cell>
          <cell r="E454" t="str">
            <v>MATERIAS PRIMAS PLANTA</v>
          </cell>
          <cell r="F454" t="str">
            <v>1 BULTO</v>
          </cell>
          <cell r="G454">
            <v>500</v>
          </cell>
          <cell r="H454" t="str">
            <v>20/02/2020</v>
          </cell>
          <cell r="I454" t="e">
            <v>#N/A</v>
          </cell>
          <cell r="J454" t="e">
            <v>#N/A</v>
          </cell>
          <cell r="K454">
            <v>20000</v>
          </cell>
          <cell r="L454" t="e">
            <v>#N/A</v>
          </cell>
          <cell r="M454" t="str">
            <v>Gramos</v>
          </cell>
        </row>
        <row r="455">
          <cell r="A455" t="str">
            <v>10100279</v>
          </cell>
          <cell r="B455" t="str">
            <v>16467</v>
          </cell>
          <cell r="C455" t="str">
            <v>ADEREZO MAYONESA DELGA-C  (PAQ:400 GR)</v>
          </cell>
          <cell r="D455" t="str">
            <v>10100279</v>
          </cell>
          <cell r="E455" t="str">
            <v>MATERIAS PRIMAS PLANTA</v>
          </cell>
          <cell r="F455" t="str">
            <v>1 PAQUETE</v>
          </cell>
          <cell r="G455">
            <v>500</v>
          </cell>
          <cell r="H455" t="str">
            <v>16/04/2020</v>
          </cell>
          <cell r="I455">
            <v>1088.4614999999999</v>
          </cell>
          <cell r="J455" t="e">
            <v>#N/A</v>
          </cell>
          <cell r="K455">
            <v>400</v>
          </cell>
          <cell r="L455" t="e">
            <v>#N/A</v>
          </cell>
          <cell r="M455" t="str">
            <v>Gramos</v>
          </cell>
        </row>
        <row r="456">
          <cell r="A456" t="str">
            <v>10100280</v>
          </cell>
          <cell r="B456" t="str">
            <v>16550</v>
          </cell>
          <cell r="C456" t="str">
            <v>SALSITA TOMATE CON CARNE (UND:106 G)</v>
          </cell>
          <cell r="D456" t="str">
            <v>10100280</v>
          </cell>
          <cell r="E456" t="str">
            <v>MATERIAS PRIMAS PLANTA</v>
          </cell>
          <cell r="F456" t="str">
            <v>1 UNIDAD</v>
          </cell>
          <cell r="G456">
            <v>500</v>
          </cell>
          <cell r="H456" t="str">
            <v>03/06/2020</v>
          </cell>
          <cell r="I456" t="e">
            <v>#N/A</v>
          </cell>
          <cell r="J456" t="e">
            <v>#N/A</v>
          </cell>
          <cell r="K456">
            <v>106</v>
          </cell>
          <cell r="L456" t="e">
            <v>#N/A</v>
          </cell>
          <cell r="M456" t="str">
            <v>Gramos</v>
          </cell>
        </row>
        <row r="457">
          <cell r="A457" t="str">
            <v>10200001</v>
          </cell>
          <cell r="B457" t="str">
            <v>11477</v>
          </cell>
          <cell r="C457" t="str">
            <v>SIROPE DE KOLA (GALON)</v>
          </cell>
          <cell r="D457" t="str">
            <v>10200001</v>
          </cell>
          <cell r="E457" t="str">
            <v>MATERIAS PRIMAS PLANTA</v>
          </cell>
          <cell r="F457" t="str">
            <v>1 GALON</v>
          </cell>
          <cell r="G457">
            <v>500</v>
          </cell>
          <cell r="H457" t="str">
            <v>15/06/2020</v>
          </cell>
          <cell r="I457">
            <v>2931</v>
          </cell>
          <cell r="J457">
            <v>2772</v>
          </cell>
          <cell r="K457">
            <v>3785</v>
          </cell>
          <cell r="L457">
            <v>0.73236459709379131</v>
          </cell>
          <cell r="M457" t="str">
            <v>Mililitros</v>
          </cell>
        </row>
        <row r="458">
          <cell r="A458" t="str">
            <v>10200012</v>
          </cell>
          <cell r="B458" t="str">
            <v>5343</v>
          </cell>
          <cell r="C458" t="str">
            <v>TE CHAI ESPECIES (PAQ:800g)</v>
          </cell>
          <cell r="D458" t="str">
            <v>10200012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24/03/2020</v>
          </cell>
          <cell r="I458">
            <v>4971.33</v>
          </cell>
          <cell r="J458">
            <v>4971.33</v>
          </cell>
          <cell r="K458">
            <v>800</v>
          </cell>
          <cell r="L458">
            <v>6.2141624999999996</v>
          </cell>
          <cell r="M458" t="str">
            <v>Mililitros</v>
          </cell>
        </row>
        <row r="459">
          <cell r="A459" t="str">
            <v>10200018</v>
          </cell>
          <cell r="B459" t="str">
            <v>9991</v>
          </cell>
          <cell r="C459" t="str">
            <v>AGUA EMBOT SPOON (PAQ:20 UND)</v>
          </cell>
          <cell r="D459" t="str">
            <v>10200018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30/04/2020</v>
          </cell>
          <cell r="I459">
            <v>4680</v>
          </cell>
          <cell r="J459">
            <v>4680</v>
          </cell>
          <cell r="K459">
            <v>800</v>
          </cell>
          <cell r="L459" t="e">
            <v>#DIV/0!</v>
          </cell>
          <cell r="M459" t="str">
            <v>Mililitros</v>
          </cell>
        </row>
        <row r="460">
          <cell r="A460" t="str">
            <v>10200022</v>
          </cell>
          <cell r="B460" t="str">
            <v>12578</v>
          </cell>
          <cell r="C460" t="str">
            <v>TE PALACIO ROYAL"ARANDANO" (PAQ:12 UND)</v>
          </cell>
          <cell r="D460" t="str">
            <v>10200022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19/05/2020</v>
          </cell>
          <cell r="I460">
            <v>2142</v>
          </cell>
          <cell r="J460">
            <v>2420.52</v>
          </cell>
          <cell r="K460">
            <v>3785</v>
          </cell>
          <cell r="L460" t="e">
            <v>#DIV/0!</v>
          </cell>
          <cell r="M460" t="str">
            <v>Gramos</v>
          </cell>
        </row>
        <row r="461">
          <cell r="A461" t="str">
            <v>10200023</v>
          </cell>
          <cell r="B461" t="str">
            <v>12579</v>
          </cell>
          <cell r="C461" t="str">
            <v>TE ON THE BEACH "VERDE" (PAQ=12 UND)</v>
          </cell>
          <cell r="D461" t="str">
            <v>10200023</v>
          </cell>
          <cell r="E461" t="str">
            <v>MATERIAS PRIMAS PLANTA</v>
          </cell>
          <cell r="F461" t="str">
            <v>1 PAQ</v>
          </cell>
          <cell r="G461">
            <v>500</v>
          </cell>
          <cell r="H461" t="str">
            <v>24/03/2020</v>
          </cell>
          <cell r="I461">
            <v>2142</v>
          </cell>
          <cell r="J461" t="e">
            <v>#N/A</v>
          </cell>
          <cell r="K461">
            <v>3785</v>
          </cell>
          <cell r="L461" t="e">
            <v>#N/A</v>
          </cell>
          <cell r="M461" t="str">
            <v>Mililitros</v>
          </cell>
        </row>
        <row r="462">
          <cell r="A462" t="str">
            <v>10200024</v>
          </cell>
          <cell r="B462" t="str">
            <v>12580</v>
          </cell>
          <cell r="C462" t="str">
            <v>TE MENTA DEGESTIVA (PAQ:12 UND)</v>
          </cell>
          <cell r="D462" t="str">
            <v>10200024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2420.52</v>
          </cell>
          <cell r="K462">
            <v>1000</v>
          </cell>
          <cell r="L462" t="e">
            <v>#DIV/0!</v>
          </cell>
        </row>
        <row r="463">
          <cell r="A463" t="str">
            <v>10200025</v>
          </cell>
          <cell r="B463" t="str">
            <v>12581</v>
          </cell>
          <cell r="C463" t="str">
            <v>TE SPICY CHAI (PAQ:12 UND)</v>
          </cell>
          <cell r="D463" t="str">
            <v>10200025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07/02/2020</v>
          </cell>
          <cell r="I463" t="e">
            <v>#N/A</v>
          </cell>
          <cell r="J463" t="e">
            <v>#N/A</v>
          </cell>
          <cell r="K463">
            <v>1</v>
          </cell>
          <cell r="L463" t="e">
            <v>#N/A</v>
          </cell>
        </row>
        <row r="464">
          <cell r="A464" t="str">
            <v>10200026</v>
          </cell>
          <cell r="B464" t="str">
            <v>12582</v>
          </cell>
          <cell r="C464" t="str">
            <v>TE BED TIME "MANZANILLA" (PAQ:12 UND)</v>
          </cell>
          <cell r="D464" t="str">
            <v>10200026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12/06/2020</v>
          </cell>
          <cell r="I464">
            <v>2142</v>
          </cell>
          <cell r="J464">
            <v>2420.52</v>
          </cell>
          <cell r="K464">
            <v>1</v>
          </cell>
          <cell r="L464" t="e">
            <v>#DIV/0!</v>
          </cell>
        </row>
        <row r="465">
          <cell r="A465" t="str">
            <v>10200027</v>
          </cell>
          <cell r="B465" t="str">
            <v>12583</v>
          </cell>
          <cell r="C465" t="str">
            <v>TE GINGER FRESH (PAQ:12 UND)</v>
          </cell>
          <cell r="D465" t="str">
            <v>10200027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24/03/2020</v>
          </cell>
          <cell r="I465">
            <v>2142</v>
          </cell>
          <cell r="J465">
            <v>2420.52</v>
          </cell>
          <cell r="K465">
            <v>1</v>
          </cell>
          <cell r="L465" t="e">
            <v>#DIV/0!</v>
          </cell>
        </row>
        <row r="466">
          <cell r="A466" t="str">
            <v>10200028</v>
          </cell>
          <cell r="B466" t="str">
            <v>12584</v>
          </cell>
          <cell r="C466" t="str">
            <v>TE MAGIC TEA "AZUL" (PAQ:12 UND)</v>
          </cell>
          <cell r="D466" t="str">
            <v>10200028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28/01/2020</v>
          </cell>
          <cell r="I466">
            <v>2142</v>
          </cell>
          <cell r="J466">
            <v>2983.2</v>
          </cell>
          <cell r="K466">
            <v>1</v>
          </cell>
          <cell r="L466" t="e">
            <v>#DIV/0!</v>
          </cell>
        </row>
        <row r="467">
          <cell r="A467" t="str">
            <v>10200029</v>
          </cell>
          <cell r="B467" t="str">
            <v>12587</v>
          </cell>
          <cell r="C467" t="str">
            <v>LECHE SABORIZADA FRAPPE MIX (PAQ: 1 K)</v>
          </cell>
          <cell r="D467" t="str">
            <v>10200029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24/03/2020</v>
          </cell>
          <cell r="I467">
            <v>5500</v>
          </cell>
          <cell r="J467">
            <v>5500</v>
          </cell>
          <cell r="K467">
            <v>1000</v>
          </cell>
          <cell r="L467">
            <v>5.5</v>
          </cell>
        </row>
        <row r="468">
          <cell r="A468" t="str">
            <v>10200030</v>
          </cell>
          <cell r="B468" t="str">
            <v>12416</v>
          </cell>
          <cell r="C468" t="str">
            <v>BASE LECHE  MILK SHAKE (PAQ:1 K)</v>
          </cell>
          <cell r="D468" t="str">
            <v>10200030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16/12/2019</v>
          </cell>
          <cell r="I468">
            <v>6500</v>
          </cell>
          <cell r="J468">
            <v>6500</v>
          </cell>
          <cell r="K468">
            <v>1000</v>
          </cell>
          <cell r="L468">
            <v>6.5</v>
          </cell>
          <cell r="M468" t="str">
            <v>Gramos</v>
          </cell>
        </row>
        <row r="469">
          <cell r="A469" t="str">
            <v>10200088</v>
          </cell>
          <cell r="B469" t="str">
            <v>5346</v>
          </cell>
          <cell r="C469" t="str">
            <v>RON ABUELO RESERVA (UND: LITRO)</v>
          </cell>
          <cell r="D469" t="str">
            <v>10200088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20/05/2020</v>
          </cell>
          <cell r="I469">
            <v>10200</v>
          </cell>
          <cell r="J469">
            <v>10610</v>
          </cell>
          <cell r="K469">
            <v>1000</v>
          </cell>
          <cell r="L469">
            <v>10.61</v>
          </cell>
          <cell r="M469" t="str">
            <v>Mililitros</v>
          </cell>
        </row>
        <row r="470">
          <cell r="A470" t="str">
            <v>10200090</v>
          </cell>
          <cell r="B470" t="str">
            <v>14379</v>
          </cell>
          <cell r="C470" t="str">
            <v>CERVEZA AMBAR (UND: 350 ML)</v>
          </cell>
          <cell r="D470" t="str">
            <v>10200090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02/12/2019</v>
          </cell>
          <cell r="I470" t="e">
            <v>#N/A</v>
          </cell>
          <cell r="J470" t="e">
            <v>#N/A</v>
          </cell>
          <cell r="K470">
            <v>350</v>
          </cell>
          <cell r="L470" t="e">
            <v>#N/A</v>
          </cell>
          <cell r="M470" t="str">
            <v>Mililitros</v>
          </cell>
        </row>
        <row r="471">
          <cell r="A471" t="str">
            <v>10300001</v>
          </cell>
          <cell r="B471" t="str">
            <v>7048</v>
          </cell>
          <cell r="C471" t="str">
            <v>JARRETE PICADO KILO</v>
          </cell>
          <cell r="D471" t="str">
            <v>10300001</v>
          </cell>
          <cell r="E471" t="str">
            <v>MATERIAS PRIMAS PLANTA</v>
          </cell>
          <cell r="F471" t="str">
            <v>1 KILO</v>
          </cell>
          <cell r="G471">
            <v>500</v>
          </cell>
          <cell r="H471" t="str">
            <v>13/06/2020</v>
          </cell>
          <cell r="I471">
            <v>859</v>
          </cell>
          <cell r="J471">
            <v>1295</v>
          </cell>
          <cell r="K471">
            <v>1000</v>
          </cell>
          <cell r="L471">
            <v>1.2949999999999999</v>
          </cell>
          <cell r="M471" t="str">
            <v>Gramos</v>
          </cell>
        </row>
        <row r="472">
          <cell r="A472" t="str">
            <v>10300002</v>
          </cell>
          <cell r="B472" t="str">
            <v>11813</v>
          </cell>
          <cell r="C472" t="str">
            <v>JAMON PAVO PECHUGA (UND:3.1 K)</v>
          </cell>
          <cell r="D472" t="str">
            <v>10300002</v>
          </cell>
          <cell r="E472" t="str">
            <v>MATERIAS PRIMAS PLANTA</v>
          </cell>
          <cell r="F472" t="str">
            <v>1 UND</v>
          </cell>
          <cell r="G472">
            <v>500</v>
          </cell>
          <cell r="H472" t="str">
            <v>13/06/2020</v>
          </cell>
          <cell r="I472">
            <v>8376.3906666599996</v>
          </cell>
          <cell r="J472" t="e">
            <v>#N/A</v>
          </cell>
          <cell r="K472">
            <v>3100</v>
          </cell>
          <cell r="L472" t="e">
            <v>#N/A</v>
          </cell>
          <cell r="M472" t="str">
            <v>Gramos</v>
          </cell>
        </row>
        <row r="473">
          <cell r="A473" t="str">
            <v>10300003</v>
          </cell>
          <cell r="B473" t="str">
            <v>5368</v>
          </cell>
          <cell r="C473" t="str">
            <v>JAMON COCIDO EN TROZOS (PAQ:500g)</v>
          </cell>
          <cell r="D473" t="str">
            <v>10300003</v>
          </cell>
          <cell r="E473" t="str">
            <v>MATERIAS PRIMAS PLANTA</v>
          </cell>
          <cell r="F473" t="str">
            <v>1 PAQUETE</v>
          </cell>
          <cell r="G473">
            <v>500</v>
          </cell>
          <cell r="H473" t="str">
            <v>19/05/2020</v>
          </cell>
          <cell r="I473">
            <v>1950</v>
          </cell>
          <cell r="J473" t="e">
            <v>#N/A</v>
          </cell>
          <cell r="K473">
            <v>500</v>
          </cell>
          <cell r="L473" t="e">
            <v>#N/A</v>
          </cell>
          <cell r="M473" t="str">
            <v>Gramos</v>
          </cell>
        </row>
        <row r="474">
          <cell r="A474" t="str">
            <v>10300004</v>
          </cell>
          <cell r="B474" t="str">
            <v>11803</v>
          </cell>
          <cell r="C474" t="str">
            <v>CARNE MOLIDA DE POLLO (KILO)</v>
          </cell>
          <cell r="D474" t="str">
            <v>10300004</v>
          </cell>
          <cell r="E474" t="str">
            <v>MATERIAS PRIMAS PLANTA</v>
          </cell>
          <cell r="F474" t="str">
            <v>1 KILO</v>
          </cell>
          <cell r="G474">
            <v>500</v>
          </cell>
          <cell r="H474" t="str">
            <v>24/12/2019</v>
          </cell>
          <cell r="I474">
            <v>2800</v>
          </cell>
          <cell r="J474" t="e">
            <v>#N/A</v>
          </cell>
          <cell r="K474">
            <v>1000</v>
          </cell>
          <cell r="L474" t="e">
            <v>#N/A</v>
          </cell>
          <cell r="M474" t="str">
            <v>Gramos</v>
          </cell>
        </row>
        <row r="475">
          <cell r="A475" t="str">
            <v>10300006</v>
          </cell>
          <cell r="B475" t="str">
            <v>7044</v>
          </cell>
          <cell r="C475" t="str">
            <v>CARNE ANALOGA RES (CAJA:13.6 Kg)</v>
          </cell>
          <cell r="D475" t="str">
            <v>10300006</v>
          </cell>
          <cell r="E475" t="str">
            <v>MATERIAS PRIMAS PLANTA</v>
          </cell>
          <cell r="F475" t="str">
            <v>1 CAJA</v>
          </cell>
          <cell r="G475">
            <v>500</v>
          </cell>
          <cell r="H475" t="str">
            <v>24/03/2020</v>
          </cell>
          <cell r="I475" t="e">
            <v>#N/A</v>
          </cell>
          <cell r="J475">
            <v>112908.6</v>
          </cell>
          <cell r="K475">
            <v>13600</v>
          </cell>
          <cell r="L475">
            <v>8.3021029411764715</v>
          </cell>
          <cell r="M475" t="str">
            <v>Gramos</v>
          </cell>
        </row>
        <row r="476">
          <cell r="A476" t="str">
            <v>10300007</v>
          </cell>
          <cell r="B476" t="str">
            <v>12057</v>
          </cell>
          <cell r="C476" t="str">
            <v>JAMON COCIDO (PAQ:250g)</v>
          </cell>
          <cell r="D476" t="str">
            <v>10300007</v>
          </cell>
          <cell r="E476" t="str">
            <v>MATERIAS PRIMAS PLANTA</v>
          </cell>
          <cell r="F476" t="str">
            <v>1 PAQUETE</v>
          </cell>
          <cell r="G476">
            <v>500</v>
          </cell>
          <cell r="H476" t="str">
            <v>28/05/2020</v>
          </cell>
          <cell r="I476">
            <v>750</v>
          </cell>
          <cell r="J476">
            <v>750</v>
          </cell>
          <cell r="K476">
            <v>250</v>
          </cell>
          <cell r="L476">
            <v>3</v>
          </cell>
          <cell r="M476" t="str">
            <v>Gramos</v>
          </cell>
        </row>
        <row r="477">
          <cell r="A477" t="str">
            <v>10300010</v>
          </cell>
          <cell r="B477" t="str">
            <v>11355</v>
          </cell>
          <cell r="C477" t="str">
            <v>BISTEC ESO. TP MILANESA (KILO)</v>
          </cell>
          <cell r="D477" t="str">
            <v>10300010</v>
          </cell>
          <cell r="E477" t="str">
            <v>MATERIAS PRIMAS PLANTA</v>
          </cell>
          <cell r="F477" t="str">
            <v>1 KILO</v>
          </cell>
          <cell r="G477">
            <v>500</v>
          </cell>
          <cell r="H477" t="str">
            <v>06/04/2020</v>
          </cell>
          <cell r="I477" t="e">
            <v>#N/A</v>
          </cell>
          <cell r="J477" t="e">
            <v>#N/A</v>
          </cell>
          <cell r="K477">
            <v>1000</v>
          </cell>
          <cell r="L477" t="e">
            <v>#N/A</v>
          </cell>
          <cell r="M477" t="str">
            <v>Gramos</v>
          </cell>
        </row>
        <row r="478">
          <cell r="A478" t="str">
            <v>10300019</v>
          </cell>
          <cell r="B478" t="str">
            <v>5367</v>
          </cell>
          <cell r="C478" t="str">
            <v>TOCINETA(PAQ:2 KILOS)</v>
          </cell>
          <cell r="D478" t="str">
            <v>10300019</v>
          </cell>
          <cell r="E478" t="str">
            <v>MATERIAS PRIMAS PLANTA</v>
          </cell>
          <cell r="F478" t="str">
            <v>1 PAQUETE</v>
          </cell>
          <cell r="G478">
            <v>500</v>
          </cell>
          <cell r="H478" t="str">
            <v>13/06/2020</v>
          </cell>
          <cell r="I478">
            <v>9982</v>
          </cell>
          <cell r="J478">
            <v>6045</v>
          </cell>
          <cell r="K478">
            <v>2000</v>
          </cell>
          <cell r="L478">
            <v>3.0225</v>
          </cell>
          <cell r="M478" t="str">
            <v>Gramos</v>
          </cell>
        </row>
        <row r="479">
          <cell r="A479" t="str">
            <v>10300020</v>
          </cell>
          <cell r="B479" t="str">
            <v>11214</v>
          </cell>
          <cell r="C479" t="str">
            <v>CARNITAS PORK (KILO)</v>
          </cell>
          <cell r="D479" t="str">
            <v>10300020</v>
          </cell>
          <cell r="E479" t="str">
            <v>MATERIAS PRIMAS PLANTA</v>
          </cell>
          <cell r="F479" t="str">
            <v>1 KILO</v>
          </cell>
          <cell r="G479">
            <v>500</v>
          </cell>
          <cell r="H479" t="str">
            <v>03/12/2019</v>
          </cell>
          <cell r="I479">
            <v>6455</v>
          </cell>
          <cell r="J479" t="e">
            <v>#N/A</v>
          </cell>
          <cell r="K479">
            <v>1000</v>
          </cell>
          <cell r="L479" t="e">
            <v>#N/A</v>
          </cell>
          <cell r="M479" t="str">
            <v>Gramos</v>
          </cell>
        </row>
        <row r="480">
          <cell r="A480" t="str">
            <v>10300028</v>
          </cell>
          <cell r="B480" t="str">
            <v>12589</v>
          </cell>
          <cell r="C480" t="str">
            <v>CARNE PARA MECHAR TD KILO</v>
          </cell>
          <cell r="D480" t="str">
            <v>10300028</v>
          </cell>
          <cell r="E480" t="str">
            <v>MATERIAS PRIMAS PLANTA</v>
          </cell>
          <cell r="F480" t="str">
            <v xml:space="preserve">1 KILO </v>
          </cell>
          <cell r="G480">
            <v>500</v>
          </cell>
          <cell r="H480" t="str">
            <v>11/06/2020</v>
          </cell>
          <cell r="I480">
            <v>3747.06</v>
          </cell>
          <cell r="J480">
            <v>4430</v>
          </cell>
          <cell r="K480">
            <v>1000</v>
          </cell>
          <cell r="L480">
            <v>4.43</v>
          </cell>
          <cell r="M480" t="str">
            <v>Gramos</v>
          </cell>
        </row>
        <row r="481">
          <cell r="A481" t="str">
            <v>10300029</v>
          </cell>
          <cell r="B481" t="str">
            <v>12766</v>
          </cell>
          <cell r="C481" t="str">
            <v>MARISCADA ECONOMICA (PAQ:1 KILO)</v>
          </cell>
          <cell r="D481" t="str">
            <v>10300029</v>
          </cell>
          <cell r="E481" t="str">
            <v>MATERIAS PRIMAS PLANTA</v>
          </cell>
          <cell r="F481" t="str">
            <v>1 PAQUETE</v>
          </cell>
          <cell r="G481">
            <v>500</v>
          </cell>
          <cell r="H481" t="str">
            <v>05/03/2020</v>
          </cell>
          <cell r="I481">
            <v>4700</v>
          </cell>
          <cell r="J481" t="e">
            <v>#N/A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10300030</v>
          </cell>
          <cell r="B482" t="str">
            <v>12921</v>
          </cell>
          <cell r="C482" t="str">
            <v>BISTEC BOLITA TENDER Y MARINADO KILO</v>
          </cell>
          <cell r="D482" t="str">
            <v>10300030</v>
          </cell>
          <cell r="E482" t="str">
            <v>MATERIAS PRIMAS PLANTA</v>
          </cell>
          <cell r="F482" t="str">
            <v xml:space="preserve">1 KILO  </v>
          </cell>
          <cell r="G482">
            <v>500</v>
          </cell>
          <cell r="H482" t="str">
            <v>01/04/2020</v>
          </cell>
          <cell r="I482" t="e">
            <v>#N/A</v>
          </cell>
          <cell r="J482" t="e">
            <v>#N/A</v>
          </cell>
          <cell r="K482">
            <v>1000</v>
          </cell>
          <cell r="L482" t="e">
            <v>#N/A</v>
          </cell>
          <cell r="M482" t="str">
            <v>Gramos</v>
          </cell>
        </row>
        <row r="483">
          <cell r="A483" t="str">
            <v>10300032</v>
          </cell>
          <cell r="B483" t="str">
            <v>14046</v>
          </cell>
          <cell r="C483" t="str">
            <v>MUSLITO DE MUSLO KILO</v>
          </cell>
          <cell r="D483" t="str">
            <v>10300032</v>
          </cell>
          <cell r="E483" t="str">
            <v>MATERIAS PRIMAS PLANTA</v>
          </cell>
          <cell r="F483" t="str">
            <v>1 KILO</v>
          </cell>
          <cell r="G483">
            <v>500</v>
          </cell>
          <cell r="H483" t="str">
            <v>20/05/2020</v>
          </cell>
          <cell r="I483">
            <v>2295</v>
          </cell>
          <cell r="J483">
            <v>2565</v>
          </cell>
          <cell r="K483">
            <v>1000</v>
          </cell>
          <cell r="L483">
            <v>2.5649999999999999</v>
          </cell>
          <cell r="M483" t="str">
            <v>Gramos</v>
          </cell>
        </row>
        <row r="484">
          <cell r="A484" t="str">
            <v>10300033</v>
          </cell>
          <cell r="B484" t="str">
            <v>14565</v>
          </cell>
          <cell r="C484" t="str">
            <v>JAMON SERRANO (PAQ:250 G)</v>
          </cell>
          <cell r="D484" t="str">
            <v>10300033</v>
          </cell>
          <cell r="E484" t="str">
            <v>MATERIAS PRIMAS PLANTA</v>
          </cell>
          <cell r="F484" t="str">
            <v>1 PAQUETE</v>
          </cell>
          <cell r="G484">
            <v>500</v>
          </cell>
          <cell r="H484" t="str">
            <v>10/06/2020</v>
          </cell>
          <cell r="I484" t="e">
            <v>#N/A</v>
          </cell>
          <cell r="J484" t="e">
            <v>#N/A</v>
          </cell>
          <cell r="K484">
            <v>250</v>
          </cell>
          <cell r="L484" t="e">
            <v>#N/A</v>
          </cell>
          <cell r="M484" t="str">
            <v>Gramos</v>
          </cell>
        </row>
        <row r="485">
          <cell r="A485" t="str">
            <v>10300034</v>
          </cell>
          <cell r="B485" t="str">
            <v>14724</v>
          </cell>
          <cell r="C485" t="str">
            <v>CESINA TROZOS ( KILO)</v>
          </cell>
          <cell r="D485" t="str">
            <v>10300034</v>
          </cell>
          <cell r="E485" t="str">
            <v>MATERIAS PRIMAS PLANTA</v>
          </cell>
          <cell r="F485" t="str">
            <v xml:space="preserve">1 KILO </v>
          </cell>
          <cell r="G485">
            <v>500</v>
          </cell>
          <cell r="H485" t="str">
            <v>02/01/2020</v>
          </cell>
          <cell r="I485" t="e">
            <v>#N/A</v>
          </cell>
          <cell r="J485" t="e">
            <v>#N/A</v>
          </cell>
          <cell r="K485">
            <v>1000</v>
          </cell>
          <cell r="L485" t="e">
            <v>#N/A</v>
          </cell>
          <cell r="M485" t="str">
            <v>Gramos</v>
          </cell>
        </row>
        <row r="486">
          <cell r="A486" t="str">
            <v>10300035</v>
          </cell>
          <cell r="B486" t="str">
            <v>14896</v>
          </cell>
          <cell r="C486" t="str">
            <v>JAMON COCIDO DELIKA GI (PAQ:250 G)</v>
          </cell>
          <cell r="D486" t="str">
            <v>10300035</v>
          </cell>
          <cell r="E486" t="str">
            <v>MATERIAS PRIMAS PLANTA</v>
          </cell>
          <cell r="F486" t="str">
            <v>1 PAQUETE</v>
          </cell>
          <cell r="G486">
            <v>500</v>
          </cell>
          <cell r="H486" t="str">
            <v>12/06/2020</v>
          </cell>
          <cell r="I486">
            <v>1294.6500000000001</v>
          </cell>
          <cell r="J486">
            <v>1430.1</v>
          </cell>
          <cell r="K486">
            <v>250</v>
          </cell>
          <cell r="L486">
            <v>5.7203999999999997</v>
          </cell>
          <cell r="M486" t="str">
            <v>Gramos</v>
          </cell>
        </row>
        <row r="487">
          <cell r="A487" t="str">
            <v>10300036</v>
          </cell>
          <cell r="B487" t="str">
            <v>15411</v>
          </cell>
          <cell r="C487" t="str">
            <v>ATUN LIGHT LOMO TROZOS AGUA(UND:170 G)</v>
          </cell>
          <cell r="D487" t="str">
            <v>10300036</v>
          </cell>
          <cell r="E487" t="str">
            <v>MATERIAS PRIMAS PLANTA</v>
          </cell>
          <cell r="F487" t="str">
            <v>1 UND</v>
          </cell>
          <cell r="G487">
            <v>500</v>
          </cell>
          <cell r="H487" t="str">
            <v>04/02/2020</v>
          </cell>
          <cell r="I487" t="e">
            <v>#N/A</v>
          </cell>
          <cell r="J487" t="e">
            <v>#N/A</v>
          </cell>
          <cell r="K487">
            <v>170</v>
          </cell>
          <cell r="L487" t="e">
            <v>#N/A</v>
          </cell>
          <cell r="M487" t="str">
            <v>Gramos</v>
          </cell>
        </row>
        <row r="488">
          <cell r="A488" t="str">
            <v>10300038</v>
          </cell>
          <cell r="B488" t="str">
            <v>15543</v>
          </cell>
          <cell r="C488" t="str">
            <v>ROAF BEEF REBANADO (PAQ:1 K)</v>
          </cell>
          <cell r="D488" t="str">
            <v>10300038</v>
          </cell>
          <cell r="E488" t="str">
            <v>MATERIAS PRIMAS PLANTA</v>
          </cell>
          <cell r="F488" t="str">
            <v>1 PAQUETE</v>
          </cell>
          <cell r="G488">
            <v>500</v>
          </cell>
          <cell r="H488" t="str">
            <v>13/06/2020</v>
          </cell>
          <cell r="I488">
            <v>5835</v>
          </cell>
          <cell r="J488" t="e">
            <v>#N/A</v>
          </cell>
          <cell r="K488">
            <v>1000</v>
          </cell>
          <cell r="L488" t="e">
            <v>#N/A</v>
          </cell>
          <cell r="M488" t="str">
            <v>Gramos</v>
          </cell>
        </row>
        <row r="489">
          <cell r="A489" t="str">
            <v>10300039</v>
          </cell>
          <cell r="B489" t="str">
            <v>15606</v>
          </cell>
          <cell r="C489" t="str">
            <v>FILET TRUCHA PORCIONES (KILO)</v>
          </cell>
          <cell r="D489" t="str">
            <v>10300039</v>
          </cell>
          <cell r="E489" t="str">
            <v>MATERIAS PRIMAS PLANTA</v>
          </cell>
          <cell r="F489" t="str">
            <v xml:space="preserve">1 KILO  </v>
          </cell>
          <cell r="G489">
            <v>500</v>
          </cell>
          <cell r="H489" t="str">
            <v>15/06/2020</v>
          </cell>
          <cell r="I489" t="e">
            <v>#N/A</v>
          </cell>
          <cell r="J489" t="e">
            <v>#N/A</v>
          </cell>
          <cell r="K489">
            <v>1000</v>
          </cell>
          <cell r="L489" t="e">
            <v>#N/A</v>
          </cell>
          <cell r="M489" t="str">
            <v>Gramos</v>
          </cell>
        </row>
        <row r="490">
          <cell r="A490" t="str">
            <v>10300040</v>
          </cell>
          <cell r="B490" t="str">
            <v>15607</v>
          </cell>
          <cell r="C490" t="str">
            <v>MORTADELITA CUADRADA MIXTA (PAQ:400 G)</v>
          </cell>
          <cell r="D490" t="str">
            <v>10300040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19/12/2019</v>
          </cell>
          <cell r="I490">
            <v>1042</v>
          </cell>
          <cell r="J490" t="e">
            <v>#N/A</v>
          </cell>
          <cell r="K490">
            <v>400</v>
          </cell>
          <cell r="L490" t="e">
            <v>#N/A</v>
          </cell>
          <cell r="M490" t="str">
            <v>Gramos</v>
          </cell>
        </row>
        <row r="491">
          <cell r="A491" t="str">
            <v>10300041</v>
          </cell>
          <cell r="B491" t="str">
            <v>15807</v>
          </cell>
          <cell r="C491" t="str">
            <v>JAMON DE PAVO LIGHT (PAQ:250 G)</v>
          </cell>
          <cell r="D491" t="str">
            <v>10300041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18/01/2020</v>
          </cell>
          <cell r="I491">
            <v>2.968</v>
          </cell>
          <cell r="J491" t="e">
            <v>#N/A</v>
          </cell>
          <cell r="K491">
            <v>250</v>
          </cell>
          <cell r="L491" t="e">
            <v>#N/A</v>
          </cell>
          <cell r="M491" t="str">
            <v>Gramos</v>
          </cell>
        </row>
        <row r="492">
          <cell r="A492" t="str">
            <v>10300042</v>
          </cell>
          <cell r="B492" t="str">
            <v>15884</v>
          </cell>
          <cell r="C492" t="str">
            <v>MUSLO DE POLLO ENTERO (KILO)</v>
          </cell>
          <cell r="D492" t="str">
            <v>10300042</v>
          </cell>
          <cell r="E492" t="str">
            <v>MATERIAS PRIMAS PLANTA</v>
          </cell>
          <cell r="F492" t="str">
            <v>1 KILO</v>
          </cell>
          <cell r="G492">
            <v>500</v>
          </cell>
          <cell r="H492" t="str">
            <v>04/06/2020</v>
          </cell>
          <cell r="I492">
            <v>1450</v>
          </cell>
          <cell r="J492">
            <v>1570</v>
          </cell>
          <cell r="K492">
            <v>1000</v>
          </cell>
          <cell r="L492">
            <v>1.57</v>
          </cell>
          <cell r="M492" t="str">
            <v>Gramos</v>
          </cell>
        </row>
        <row r="493">
          <cell r="A493" t="str">
            <v>10300043</v>
          </cell>
          <cell r="B493" t="str">
            <v>15911</v>
          </cell>
          <cell r="C493" t="str">
            <v>CHORIZO COCIDO DE CERDO (PAQ: 600 G)</v>
          </cell>
          <cell r="D493" t="str">
            <v>10300043</v>
          </cell>
          <cell r="E493" t="str">
            <v>MATERIAS PRIMAS PLANTA</v>
          </cell>
          <cell r="F493" t="str">
            <v>1 PAQUETE</v>
          </cell>
          <cell r="G493">
            <v>500</v>
          </cell>
          <cell r="H493" t="str">
            <v>13/06/2020</v>
          </cell>
          <cell r="I493" t="e">
            <v>#N/A</v>
          </cell>
          <cell r="J493" t="e">
            <v>#N/A</v>
          </cell>
          <cell r="K493">
            <v>600</v>
          </cell>
          <cell r="L493" t="e">
            <v>#N/A</v>
          </cell>
          <cell r="M493" t="str">
            <v>Gramos</v>
          </cell>
        </row>
        <row r="494">
          <cell r="A494" t="str">
            <v>10400001</v>
          </cell>
          <cell r="B494" t="str">
            <v>10292</v>
          </cell>
          <cell r="C494" t="str">
            <v>COLORANTE GEL ELECTRIC GREEN (UD=130ml)</v>
          </cell>
          <cell r="D494" t="str">
            <v>10400001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10400002</v>
          </cell>
          <cell r="B495" t="str">
            <v>10069</v>
          </cell>
          <cell r="C495" t="str">
            <v>COLORANTE GEL ELECTRIC PURPLE (UND=4.5)</v>
          </cell>
          <cell r="D495" t="str">
            <v>10400002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10400003</v>
          </cell>
          <cell r="B496" t="str">
            <v>9704</v>
          </cell>
          <cell r="C496" t="str">
            <v>COLORANTE GEL ELECTRIC BLUE (UND=130ml)</v>
          </cell>
          <cell r="D496" t="str">
            <v>10400003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10400004</v>
          </cell>
          <cell r="B497" t="str">
            <v>9605</v>
          </cell>
          <cell r="C497" t="str">
            <v>COLORANTE GEL MINT GREEN (UND)</v>
          </cell>
          <cell r="D497" t="str">
            <v>10400004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2400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10400005</v>
          </cell>
          <cell r="B498" t="str">
            <v>10068</v>
          </cell>
          <cell r="C498" t="str">
            <v>COLORANTE GEL ELECTRIC PINK (UND=4.5 OZ)</v>
          </cell>
          <cell r="D498" t="str">
            <v>10400005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24/03/2020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10400006</v>
          </cell>
          <cell r="B499" t="str">
            <v>9706</v>
          </cell>
          <cell r="C499" t="str">
            <v>COLORANTE GEL LEMON YELLOW UND 130 ML</v>
          </cell>
          <cell r="D499" t="str">
            <v>10400006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03/06/2020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10400007</v>
          </cell>
          <cell r="B500" t="str">
            <v>9705</v>
          </cell>
          <cell r="C500" t="str">
            <v>COLORANTE GEL ELECTRIC ORANGE (UND=130m)</v>
          </cell>
          <cell r="D500" t="str">
            <v>10400007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25/05/2020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10400008</v>
          </cell>
          <cell r="B501" t="str">
            <v>9602</v>
          </cell>
          <cell r="C501" t="str">
            <v>COLORANTE GEL EGG YELLOW  (UND= 130 ML)</v>
          </cell>
          <cell r="D501" t="str">
            <v>10400008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03/06/2020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10400009</v>
          </cell>
          <cell r="B502" t="str">
            <v>10301</v>
          </cell>
          <cell r="C502" t="str">
            <v>COLORANTE GEL SUPER RED</v>
          </cell>
          <cell r="D502" t="str">
            <v>10400009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13/05/2020</v>
          </cell>
          <cell r="I502">
            <v>2400</v>
          </cell>
          <cell r="J502">
            <v>2400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10400011</v>
          </cell>
          <cell r="B503" t="str">
            <v>16479</v>
          </cell>
          <cell r="C503" t="str">
            <v>COLORANTE ARTIFICIAL ROSADO F225 (LITRO)</v>
          </cell>
          <cell r="D503" t="str">
            <v>10400011</v>
          </cell>
          <cell r="E503" t="str">
            <v>MATERIAS PRIMAS PLANTA</v>
          </cell>
          <cell r="F503" t="str">
            <v>1 LITRO</v>
          </cell>
          <cell r="G503">
            <v>500</v>
          </cell>
          <cell r="H503" t="str">
            <v>28/05/2020</v>
          </cell>
          <cell r="I503">
            <v>5935.78</v>
          </cell>
          <cell r="J503">
            <v>6148.9</v>
          </cell>
          <cell r="K503">
            <v>1000</v>
          </cell>
          <cell r="L503">
            <v>6.1488999999999994</v>
          </cell>
          <cell r="M503" t="str">
            <v>Mililitros</v>
          </cell>
        </row>
        <row r="504">
          <cell r="A504" t="str">
            <v>10500001</v>
          </cell>
          <cell r="B504" t="str">
            <v>11212</v>
          </cell>
          <cell r="C504" t="str">
            <v>CLAVO DE OLOR MOLIDO KG</v>
          </cell>
          <cell r="D504" t="str">
            <v>10500001</v>
          </cell>
          <cell r="E504" t="str">
            <v>MATERIAS PRIMAS PLANTA</v>
          </cell>
          <cell r="F504" t="str">
            <v>1 KILO</v>
          </cell>
          <cell r="G504">
            <v>500</v>
          </cell>
          <cell r="H504" t="str">
            <v>05/03/2020</v>
          </cell>
          <cell r="I504">
            <v>28940.63</v>
          </cell>
          <cell r="J504" t="e">
            <v>#N/A</v>
          </cell>
          <cell r="K504">
            <v>1000</v>
          </cell>
          <cell r="L504" t="e">
            <v>#N/A</v>
          </cell>
          <cell r="M504" t="str">
            <v>Gramos</v>
          </cell>
        </row>
        <row r="505">
          <cell r="A505" t="str">
            <v>10500016</v>
          </cell>
          <cell r="B505" t="str">
            <v>5398</v>
          </cell>
          <cell r="C505" t="str">
            <v>HOJA DE LAUREL (UND:43g)</v>
          </cell>
          <cell r="D505" t="str">
            <v>10500016</v>
          </cell>
          <cell r="E505" t="str">
            <v>MATERIAS PRIMAS PLANTA</v>
          </cell>
          <cell r="F505" t="str">
            <v>1 UND</v>
          </cell>
          <cell r="G505">
            <v>500</v>
          </cell>
          <cell r="H505" t="str">
            <v>25/05/2020</v>
          </cell>
          <cell r="I505">
            <v>2252</v>
          </cell>
          <cell r="J505">
            <v>2497</v>
          </cell>
          <cell r="K505">
            <v>43</v>
          </cell>
          <cell r="L505">
            <v>58.069767441860463</v>
          </cell>
          <cell r="M505" t="str">
            <v>Gramos</v>
          </cell>
        </row>
        <row r="506">
          <cell r="A506" t="str">
            <v>10700008</v>
          </cell>
          <cell r="B506" t="str">
            <v>8136</v>
          </cell>
          <cell r="C506" t="str">
            <v>CONFITE PALITO CHOCOLATE (PAQ:680 G)</v>
          </cell>
          <cell r="D506" t="str">
            <v>10700008</v>
          </cell>
          <cell r="E506" t="str">
            <v>MATERIAS PRIMAS PLANTA</v>
          </cell>
          <cell r="F506" t="str">
            <v>1 PAQUETE</v>
          </cell>
          <cell r="G506">
            <v>500</v>
          </cell>
          <cell r="H506" t="str">
            <v>12/06/2020</v>
          </cell>
          <cell r="I506">
            <v>1810</v>
          </cell>
          <cell r="J506">
            <v>1973</v>
          </cell>
          <cell r="K506">
            <v>680</v>
          </cell>
          <cell r="L506">
            <v>2.901470588235294</v>
          </cell>
          <cell r="M506" t="str">
            <v>Gramos</v>
          </cell>
        </row>
        <row r="507">
          <cell r="A507" t="str">
            <v>10700013</v>
          </cell>
          <cell r="B507" t="str">
            <v>9472</v>
          </cell>
          <cell r="C507" t="str">
            <v>STICK DORADO (CAJA:100 UND)</v>
          </cell>
          <cell r="D507" t="str">
            <v>10700013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25/05/2020</v>
          </cell>
          <cell r="I507">
            <v>5838</v>
          </cell>
          <cell r="J507">
            <v>5838</v>
          </cell>
          <cell r="K507">
            <v>100</v>
          </cell>
          <cell r="L507">
            <v>58.38</v>
          </cell>
          <cell r="M507" t="str">
            <v>Und</v>
          </cell>
        </row>
        <row r="508">
          <cell r="A508" t="str">
            <v>10700015</v>
          </cell>
          <cell r="B508" t="str">
            <v>9600</v>
          </cell>
          <cell r="C508" t="str">
            <v>CHOCOLATE ESTRELLA DORADA (CAJA:215 UN)</v>
          </cell>
          <cell r="D508" t="str">
            <v>10700015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01/06/2020</v>
          </cell>
          <cell r="I508">
            <v>15265</v>
          </cell>
          <cell r="J508">
            <v>15265</v>
          </cell>
          <cell r="K508">
            <v>215</v>
          </cell>
          <cell r="L508">
            <v>71</v>
          </cell>
          <cell r="M508" t="str">
            <v>Und</v>
          </cell>
        </row>
        <row r="509">
          <cell r="A509" t="str">
            <v>10700023</v>
          </cell>
          <cell r="B509" t="str">
            <v>14214</v>
          </cell>
          <cell r="C509" t="str">
            <v>CHOCOLATE CORAZON GRANDE ORO(CJ:215 UND)</v>
          </cell>
          <cell r="D509" t="str">
            <v>10700023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03/12/2019</v>
          </cell>
          <cell r="I509" t="e">
            <v>#N/A</v>
          </cell>
          <cell r="J509" t="e">
            <v>#N/A</v>
          </cell>
          <cell r="K509">
            <v>215</v>
          </cell>
          <cell r="L509" t="e">
            <v>#N/A</v>
          </cell>
          <cell r="M509" t="str">
            <v>Und</v>
          </cell>
        </row>
        <row r="510">
          <cell r="A510" t="str">
            <v>10700026</v>
          </cell>
          <cell r="B510" t="str">
            <v>12988</v>
          </cell>
          <cell r="C510" t="str">
            <v>PLACA DE FONDANT (PAQ:10 UND)</v>
          </cell>
          <cell r="D510" t="str">
            <v>10700026</v>
          </cell>
          <cell r="E510" t="str">
            <v>MATERIAS PRIMAS PLANTA</v>
          </cell>
          <cell r="F510" t="str">
            <v>1 PAQUETE</v>
          </cell>
          <cell r="G510">
            <v>500</v>
          </cell>
          <cell r="H510" t="str">
            <v>15/06/2020</v>
          </cell>
          <cell r="I510">
            <v>700</v>
          </cell>
          <cell r="J510">
            <v>700</v>
          </cell>
          <cell r="K510">
            <v>215</v>
          </cell>
          <cell r="L510" t="e">
            <v>#DIV/0!</v>
          </cell>
          <cell r="M510" t="str">
            <v>Und</v>
          </cell>
        </row>
        <row r="511">
          <cell r="A511" t="str">
            <v>10700029</v>
          </cell>
          <cell r="B511" t="str">
            <v>14303</v>
          </cell>
          <cell r="C511" t="str">
            <v>CHOCOLATE CORAZON ROJO PASION (CAJA:200)</v>
          </cell>
          <cell r="D511" t="str">
            <v>10700029</v>
          </cell>
          <cell r="E511" t="str">
            <v>MATERIAS PRIMAS PLANTA</v>
          </cell>
          <cell r="F511" t="str">
            <v>1 CAJA</v>
          </cell>
          <cell r="G511">
            <v>500</v>
          </cell>
          <cell r="H511" t="str">
            <v>11/02/2020</v>
          </cell>
          <cell r="I511">
            <v>8000</v>
          </cell>
          <cell r="J511" t="e">
            <v>#N/A</v>
          </cell>
          <cell r="K511">
            <v>200</v>
          </cell>
          <cell r="L511" t="e">
            <v>#N/A</v>
          </cell>
          <cell r="M511" t="str">
            <v>Und</v>
          </cell>
        </row>
        <row r="512">
          <cell r="A512" t="str">
            <v>10700032</v>
          </cell>
          <cell r="B512" t="str">
            <v>15413</v>
          </cell>
          <cell r="C512" t="str">
            <v>MERENGUE  POLVO MERCK BAKE (PAQ:2.27 K)</v>
          </cell>
          <cell r="D512" t="str">
            <v>10700032</v>
          </cell>
          <cell r="E512" t="str">
            <v>MATERIAS PRIMAS PLANTA</v>
          </cell>
          <cell r="F512" t="str">
            <v>1 PAQUETE</v>
          </cell>
          <cell r="G512">
            <v>500</v>
          </cell>
          <cell r="H512" t="str">
            <v>01/02/2020</v>
          </cell>
          <cell r="I512" t="e">
            <v>#N/A</v>
          </cell>
          <cell r="J512" t="e">
            <v>#N/A</v>
          </cell>
          <cell r="K512">
            <v>2270</v>
          </cell>
          <cell r="L512" t="e">
            <v>#N/A</v>
          </cell>
          <cell r="M512" t="str">
            <v>Gramos</v>
          </cell>
        </row>
        <row r="513">
          <cell r="A513" t="str">
            <v>10700033</v>
          </cell>
          <cell r="B513" t="str">
            <v>15654</v>
          </cell>
          <cell r="C513" t="str">
            <v>CHOCOLATE KIT KAT (CAJA:24 X41.5 G)</v>
          </cell>
          <cell r="D513" t="str">
            <v>10700033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04/04/2020</v>
          </cell>
          <cell r="I513" t="e">
            <v>#N/A</v>
          </cell>
          <cell r="J513" t="e">
            <v>#N/A</v>
          </cell>
          <cell r="K513">
            <v>996</v>
          </cell>
          <cell r="L513" t="e">
            <v>#N/A</v>
          </cell>
          <cell r="M513" t="str">
            <v>Gramos</v>
          </cell>
        </row>
        <row r="514">
          <cell r="A514" t="str">
            <v>10700034</v>
          </cell>
          <cell r="B514" t="str">
            <v>15871</v>
          </cell>
          <cell r="C514" t="str">
            <v>MINI PERLAS COMBINADAS (CAJA: 312 UND)</v>
          </cell>
          <cell r="D514" t="str">
            <v>10700034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31/01/2020</v>
          </cell>
          <cell r="I514" t="e">
            <v>#N/A</v>
          </cell>
          <cell r="J514" t="e">
            <v>#N/A</v>
          </cell>
          <cell r="K514">
            <v>312</v>
          </cell>
          <cell r="L514" t="e">
            <v>#N/A</v>
          </cell>
          <cell r="M514" t="str">
            <v>Und</v>
          </cell>
        </row>
        <row r="515">
          <cell r="A515" t="str">
            <v>10700035</v>
          </cell>
          <cell r="B515" t="str">
            <v>15872</v>
          </cell>
          <cell r="C515" t="str">
            <v>DOYPACK FUDGE (UND:650 G)</v>
          </cell>
          <cell r="D515" t="str">
            <v>10700035</v>
          </cell>
          <cell r="E515" t="str">
            <v>MATERIAS PRIMAS PLANTA</v>
          </cell>
          <cell r="F515" t="str">
            <v>1 UND</v>
          </cell>
          <cell r="G515">
            <v>500</v>
          </cell>
          <cell r="H515" t="str">
            <v>16/06/2020</v>
          </cell>
          <cell r="I515" t="e">
            <v>#N/A</v>
          </cell>
          <cell r="J515" t="e">
            <v>#N/A</v>
          </cell>
          <cell r="K515">
            <v>650</v>
          </cell>
          <cell r="L515" t="e">
            <v>#N/A</v>
          </cell>
          <cell r="M515" t="str">
            <v>Und</v>
          </cell>
        </row>
        <row r="516">
          <cell r="A516" t="str">
            <v>10700036</v>
          </cell>
          <cell r="B516" t="str">
            <v>15873</v>
          </cell>
          <cell r="C516" t="str">
            <v>CHOCOLATE CORAZON MINI COMB (CJ:1500 UD)</v>
          </cell>
          <cell r="D516" t="str">
            <v>10700036</v>
          </cell>
          <cell r="E516" t="str">
            <v>MATERIAS PRIMAS PLANTA</v>
          </cell>
          <cell r="F516" t="str">
            <v>1 CAJA</v>
          </cell>
          <cell r="G516">
            <v>500</v>
          </cell>
          <cell r="H516" t="str">
            <v>11/02/2020</v>
          </cell>
          <cell r="I516" t="e">
            <v>#N/A</v>
          </cell>
          <cell r="J516" t="e">
            <v>#N/A</v>
          </cell>
          <cell r="K516">
            <v>1500</v>
          </cell>
          <cell r="L516" t="e">
            <v>#N/A</v>
          </cell>
          <cell r="M516" t="str">
            <v>Mililitros</v>
          </cell>
        </row>
        <row r="517">
          <cell r="A517" t="str">
            <v>10700037</v>
          </cell>
          <cell r="B517" t="str">
            <v>16025</v>
          </cell>
          <cell r="C517" t="str">
            <v>CHOCOLATE HERSHEYS ALMENDRA GIGANT (UND)</v>
          </cell>
          <cell r="D517" t="str">
            <v>10700037</v>
          </cell>
          <cell r="E517" t="str">
            <v>MATERIAS PRIMAS PLANTA</v>
          </cell>
          <cell r="F517" t="str">
            <v>1 UND</v>
          </cell>
          <cell r="G517">
            <v>500</v>
          </cell>
          <cell r="H517" t="str">
            <v>27/03/2020</v>
          </cell>
          <cell r="I517" t="e">
            <v>#N/A</v>
          </cell>
          <cell r="J517" t="e">
            <v>#N/A</v>
          </cell>
          <cell r="K517">
            <v>1500</v>
          </cell>
          <cell r="L517" t="e">
            <v>#N/A</v>
          </cell>
          <cell r="M517" t="str">
            <v>Mililitros</v>
          </cell>
        </row>
        <row r="518">
          <cell r="A518" t="str">
            <v>10700038</v>
          </cell>
          <cell r="B518" t="str">
            <v>16026</v>
          </cell>
          <cell r="C518" t="str">
            <v xml:space="preserve">CHOCOLATE SURTIDO GALLITO (CAJA: 330 G) </v>
          </cell>
          <cell r="D518" t="str">
            <v>10700038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16/03/2020</v>
          </cell>
          <cell r="I518" t="e">
            <v>#N/A</v>
          </cell>
          <cell r="J518" t="e">
            <v>#N/A</v>
          </cell>
          <cell r="K518">
            <v>330</v>
          </cell>
          <cell r="L518" t="e">
            <v>#N/A</v>
          </cell>
          <cell r="M518" t="str">
            <v>Gramos</v>
          </cell>
        </row>
        <row r="519">
          <cell r="A519" t="str">
            <v>10700040</v>
          </cell>
          <cell r="B519" t="str">
            <v>16619</v>
          </cell>
          <cell r="C519" t="str">
            <v>MONEDA CHOCOLATE SPOON ( CAJA:25 UND)</v>
          </cell>
          <cell r="D519" t="str">
            <v>10700040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13/06/2020</v>
          </cell>
          <cell r="I519" t="e">
            <v>#N/A</v>
          </cell>
          <cell r="J519" t="e">
            <v>#N/A</v>
          </cell>
          <cell r="K519">
            <v>25</v>
          </cell>
          <cell r="L519" t="e">
            <v>#N/A</v>
          </cell>
          <cell r="M519" t="str">
            <v>Gramos</v>
          </cell>
        </row>
        <row r="520">
          <cell r="A520" t="str">
            <v>10900004</v>
          </cell>
          <cell r="B520" t="str">
            <v>9416</v>
          </cell>
          <cell r="C520" t="str">
            <v>OLLA DE CARNE MIXTO (PAQ:1KILO)</v>
          </cell>
          <cell r="D520" t="str">
            <v>10900004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08/06/2020</v>
          </cell>
          <cell r="I520">
            <v>1900</v>
          </cell>
          <cell r="J520" t="e">
            <v>#N/A</v>
          </cell>
          <cell r="K520">
            <v>1000</v>
          </cell>
          <cell r="L520" t="e">
            <v>#N/A</v>
          </cell>
          <cell r="M520" t="str">
            <v>Gramos</v>
          </cell>
        </row>
        <row r="521">
          <cell r="A521" t="str">
            <v>10900005</v>
          </cell>
          <cell r="B521" t="str">
            <v>11342</v>
          </cell>
          <cell r="C521" t="str">
            <v>MENTA EN RAMAS (PAQ:100g)</v>
          </cell>
          <cell r="D521" t="str">
            <v>10900005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15/06/2020</v>
          </cell>
          <cell r="I521">
            <v>536.5</v>
          </cell>
          <cell r="J521">
            <v>536.5</v>
          </cell>
          <cell r="K521">
            <v>100</v>
          </cell>
          <cell r="L521">
            <v>5.3650000000000002</v>
          </cell>
          <cell r="M521" t="str">
            <v>Gramos</v>
          </cell>
        </row>
        <row r="522">
          <cell r="A522" t="str">
            <v>10900020</v>
          </cell>
          <cell r="B522" t="str">
            <v>10261</v>
          </cell>
          <cell r="C522" t="str">
            <v>ZANAHORIA EN TROZOS (PAQ=2Kg)</v>
          </cell>
          <cell r="D522" t="str">
            <v>10900020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30/05/2020</v>
          </cell>
          <cell r="I522">
            <v>2307</v>
          </cell>
          <cell r="J522">
            <v>2307</v>
          </cell>
          <cell r="K522">
            <v>2000</v>
          </cell>
          <cell r="L522">
            <v>1.1535</v>
          </cell>
          <cell r="M522" t="str">
            <v>Gramos</v>
          </cell>
        </row>
        <row r="523">
          <cell r="A523" t="str">
            <v>10900021</v>
          </cell>
          <cell r="B523" t="str">
            <v>10262</v>
          </cell>
          <cell r="C523" t="str">
            <v>AYOTE SAZON PELADO EN TROZOS (PAQ: 2Kg)</v>
          </cell>
          <cell r="D523" t="str">
            <v>10900021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13/06/2020</v>
          </cell>
          <cell r="I523">
            <v>3241</v>
          </cell>
          <cell r="J523">
            <v>3241</v>
          </cell>
          <cell r="K523">
            <v>2000</v>
          </cell>
          <cell r="L523">
            <v>1.6205000000000001</v>
          </cell>
          <cell r="M523" t="str">
            <v>Gramos</v>
          </cell>
        </row>
        <row r="524">
          <cell r="A524" t="str">
            <v>10900022</v>
          </cell>
          <cell r="B524" t="str">
            <v>10263</v>
          </cell>
          <cell r="C524" t="str">
            <v>CHAYOTE TIERNO EN TROZOS (PAQ:2 KILOS)</v>
          </cell>
          <cell r="D524" t="str">
            <v>10900022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06/06/2020</v>
          </cell>
          <cell r="I524">
            <v>2518</v>
          </cell>
          <cell r="J524" t="e">
            <v>#N/A</v>
          </cell>
          <cell r="K524">
            <v>2000</v>
          </cell>
          <cell r="L524" t="e">
            <v>#N/A</v>
          </cell>
          <cell r="M524" t="str">
            <v>Gramos</v>
          </cell>
        </row>
        <row r="525">
          <cell r="A525" t="str">
            <v>10900023</v>
          </cell>
          <cell r="B525" t="str">
            <v>10260</v>
          </cell>
          <cell r="C525" t="str">
            <v xml:space="preserve">PAPA EN TROZOS (PAQ: 2 K) </v>
          </cell>
          <cell r="D525" t="str">
            <v>10900023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13/06/2020</v>
          </cell>
          <cell r="I525">
            <v>3641</v>
          </cell>
          <cell r="J525">
            <v>3641</v>
          </cell>
          <cell r="K525">
            <v>2000</v>
          </cell>
          <cell r="L525">
            <v>1.8205</v>
          </cell>
          <cell r="M525" t="str">
            <v>Gramos</v>
          </cell>
        </row>
        <row r="526">
          <cell r="A526" t="str">
            <v>10900024</v>
          </cell>
          <cell r="B526" t="str">
            <v>9425</v>
          </cell>
          <cell r="C526" t="str">
            <v>YUCA EN TROZOS (PAQ: 2K)</v>
          </cell>
          <cell r="D526" t="str">
            <v>10900024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3450</v>
          </cell>
          <cell r="J526">
            <v>3450</v>
          </cell>
          <cell r="K526">
            <v>2000</v>
          </cell>
          <cell r="L526">
            <v>1.7250000000000001</v>
          </cell>
          <cell r="M526" t="str">
            <v>Gramos</v>
          </cell>
        </row>
        <row r="527">
          <cell r="A527" t="str">
            <v>10900025</v>
          </cell>
          <cell r="B527" t="str">
            <v>9426</v>
          </cell>
          <cell r="C527" t="str">
            <v>CAMOTE EN TROZOS (PAQ: 2K)</v>
          </cell>
          <cell r="D527" t="str">
            <v>10900025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4150</v>
          </cell>
          <cell r="J527" t="e">
            <v>#N/A</v>
          </cell>
          <cell r="K527">
            <v>2000</v>
          </cell>
          <cell r="L527" t="e">
            <v>#N/A</v>
          </cell>
          <cell r="M527" t="str">
            <v>Gramos</v>
          </cell>
        </row>
        <row r="528">
          <cell r="A528" t="str">
            <v>10900026</v>
          </cell>
          <cell r="B528" t="str">
            <v>9427</v>
          </cell>
          <cell r="C528" t="str">
            <v>ELOTE BLANCO EN TROZOS (PAQ:2K)</v>
          </cell>
          <cell r="D528" t="str">
            <v>10900026</v>
          </cell>
          <cell r="E528" t="str">
            <v>MATERIAS PRIMAS PLANTA</v>
          </cell>
          <cell r="F528" t="str">
            <v>1 UND</v>
          </cell>
          <cell r="G528">
            <v>500</v>
          </cell>
          <cell r="H528" t="str">
            <v>06/06/2020</v>
          </cell>
          <cell r="I528">
            <v>3651</v>
          </cell>
          <cell r="J528" t="e">
            <v>#N/A</v>
          </cell>
          <cell r="K528">
            <v>2000</v>
          </cell>
          <cell r="L528" t="e">
            <v>#N/A</v>
          </cell>
          <cell r="M528" t="str">
            <v>Gramos</v>
          </cell>
        </row>
        <row r="529">
          <cell r="A529" t="str">
            <v>10900029</v>
          </cell>
          <cell r="B529" t="str">
            <v>5509</v>
          </cell>
          <cell r="C529" t="str">
            <v>ZANAHORIA TIRAS (PAQ:500g)</v>
          </cell>
          <cell r="D529" t="str">
            <v>10900029</v>
          </cell>
          <cell r="E529" t="str">
            <v>MATERIAS PRIMAS PLANTA</v>
          </cell>
          <cell r="F529" t="str">
            <v>1 PAQUETE</v>
          </cell>
          <cell r="G529">
            <v>500</v>
          </cell>
          <cell r="H529" t="str">
            <v>15/06/2020</v>
          </cell>
          <cell r="I529">
            <v>428</v>
          </cell>
          <cell r="J529">
            <v>428</v>
          </cell>
          <cell r="K529">
            <v>500</v>
          </cell>
          <cell r="L529">
            <v>0.85599999999999998</v>
          </cell>
          <cell r="M529" t="str">
            <v>Gramos</v>
          </cell>
        </row>
        <row r="530">
          <cell r="A530" t="str">
            <v>10900032</v>
          </cell>
          <cell r="B530" t="str">
            <v>5424</v>
          </cell>
          <cell r="C530" t="str">
            <v>FRESA ENTERA (UND:300 g)</v>
          </cell>
          <cell r="D530" t="str">
            <v>10900032</v>
          </cell>
          <cell r="E530" t="str">
            <v>MATERIAS PRIMAS PLANTA</v>
          </cell>
          <cell r="F530" t="str">
            <v>1 UND</v>
          </cell>
          <cell r="G530">
            <v>500</v>
          </cell>
          <cell r="H530" t="str">
            <v>15/06/2020</v>
          </cell>
          <cell r="I530">
            <v>875</v>
          </cell>
          <cell r="J530">
            <v>875</v>
          </cell>
          <cell r="K530">
            <v>300</v>
          </cell>
          <cell r="L530">
            <v>2.9166666666666665</v>
          </cell>
          <cell r="M530" t="str">
            <v>Gramos</v>
          </cell>
        </row>
        <row r="531">
          <cell r="A531" t="str">
            <v>10900033</v>
          </cell>
          <cell r="B531" t="str">
            <v>5470</v>
          </cell>
          <cell r="C531" t="str">
            <v>ELOTE MINI (PAQ:200g)</v>
          </cell>
          <cell r="D531" t="str">
            <v>10900033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28/05/2020</v>
          </cell>
          <cell r="I531">
            <v>780</v>
          </cell>
          <cell r="J531" t="e">
            <v>#N/A</v>
          </cell>
          <cell r="K531">
            <v>200</v>
          </cell>
          <cell r="L531" t="e">
            <v>#N/A</v>
          </cell>
          <cell r="M531" t="str">
            <v>Gramos</v>
          </cell>
        </row>
        <row r="532">
          <cell r="A532" t="str">
            <v>10900034</v>
          </cell>
          <cell r="B532" t="str">
            <v>5478</v>
          </cell>
          <cell r="C532" t="str">
            <v>ALBAHACA (PAQ: 100g)</v>
          </cell>
          <cell r="D532" t="str">
            <v>10900034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521.20000000000005</v>
          </cell>
          <cell r="J532">
            <v>521.20000000000005</v>
          </cell>
          <cell r="K532">
            <v>100</v>
          </cell>
          <cell r="L532">
            <v>5.2120000000000006</v>
          </cell>
          <cell r="M532" t="str">
            <v>Gramos</v>
          </cell>
        </row>
        <row r="533">
          <cell r="A533" t="str">
            <v>10900036</v>
          </cell>
          <cell r="B533" t="str">
            <v>5499</v>
          </cell>
          <cell r="C533" t="str">
            <v>LECHUGA AMERICANA ENTERA (PAQ:500g)</v>
          </cell>
          <cell r="D533" t="str">
            <v>10900036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1046.5</v>
          </cell>
          <cell r="J533">
            <v>1046.5</v>
          </cell>
          <cell r="K533">
            <v>500</v>
          </cell>
          <cell r="L533">
            <v>2.093</v>
          </cell>
          <cell r="M533" t="str">
            <v>Gramos</v>
          </cell>
        </row>
        <row r="534">
          <cell r="A534" t="str">
            <v>10900037</v>
          </cell>
          <cell r="B534" t="str">
            <v>5469</v>
          </cell>
          <cell r="C534" t="str">
            <v>VAINICA BABY (PAQ:200g)</v>
          </cell>
          <cell r="D534" t="str">
            <v>10900037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30/05/2020</v>
          </cell>
          <cell r="I534">
            <v>580</v>
          </cell>
          <cell r="J534" t="e">
            <v>#N/A</v>
          </cell>
          <cell r="K534">
            <v>200</v>
          </cell>
          <cell r="L534" t="e">
            <v>#N/A</v>
          </cell>
          <cell r="M534" t="str">
            <v>Gramos</v>
          </cell>
        </row>
        <row r="535">
          <cell r="A535" t="str">
            <v>10900040</v>
          </cell>
          <cell r="B535" t="str">
            <v>5452</v>
          </cell>
          <cell r="C535" t="str">
            <v>PEREJIL (PAQUETE: 32 gr)</v>
          </cell>
          <cell r="D535" t="str">
            <v>10900040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308</v>
          </cell>
          <cell r="J535">
            <v>308</v>
          </cell>
          <cell r="K535">
            <v>32</v>
          </cell>
          <cell r="L535">
            <v>9.625</v>
          </cell>
          <cell r="M535" t="str">
            <v>Gramos</v>
          </cell>
        </row>
        <row r="536">
          <cell r="A536" t="str">
            <v>10900041</v>
          </cell>
          <cell r="B536" t="str">
            <v>5489</v>
          </cell>
          <cell r="C536" t="str">
            <v>REPOLLO MORADO RALLADO (PAQ:250g)</v>
          </cell>
          <cell r="D536" t="str">
            <v>10900041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449.1</v>
          </cell>
          <cell r="J536">
            <v>399</v>
          </cell>
          <cell r="K536">
            <v>250</v>
          </cell>
          <cell r="L536">
            <v>1.5960000000000001</v>
          </cell>
          <cell r="M536" t="str">
            <v>Gramos</v>
          </cell>
        </row>
        <row r="537">
          <cell r="A537" t="str">
            <v>10900042</v>
          </cell>
          <cell r="B537" t="str">
            <v>5477</v>
          </cell>
          <cell r="C537" t="str">
            <v>HIERBA BUENA (PAQ:100g)</v>
          </cell>
          <cell r="D537" t="str">
            <v>10900042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907.8</v>
          </cell>
          <cell r="J537">
            <v>907.8</v>
          </cell>
          <cell r="K537">
            <v>100</v>
          </cell>
          <cell r="L537">
            <v>9.0779999999999994</v>
          </cell>
          <cell r="M537" t="str">
            <v>Gramos</v>
          </cell>
        </row>
        <row r="538">
          <cell r="A538" t="str">
            <v>10900043</v>
          </cell>
          <cell r="B538" t="str">
            <v>5468</v>
          </cell>
          <cell r="C538" t="str">
            <v>TOMATE CHERRY (PAQ:200g)</v>
          </cell>
          <cell r="D538" t="str">
            <v>10900043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450</v>
          </cell>
          <cell r="J538">
            <v>500</v>
          </cell>
          <cell r="K538">
            <v>200</v>
          </cell>
          <cell r="L538">
            <v>2.5</v>
          </cell>
        </row>
        <row r="539">
          <cell r="A539" t="str">
            <v>10900047</v>
          </cell>
          <cell r="B539" t="str">
            <v>5459</v>
          </cell>
          <cell r="C539" t="str">
            <v>ALFALFA (PAQ:150g)</v>
          </cell>
          <cell r="D539" t="str">
            <v>10900047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750</v>
          </cell>
          <cell r="J539">
            <v>950</v>
          </cell>
          <cell r="K539">
            <v>150</v>
          </cell>
          <cell r="L539">
            <v>6.333333333333333</v>
          </cell>
          <cell r="M539" t="str">
            <v>Gramos</v>
          </cell>
        </row>
        <row r="540">
          <cell r="A540" t="str">
            <v>10900051</v>
          </cell>
          <cell r="B540" t="str">
            <v>11353</v>
          </cell>
          <cell r="C540" t="str">
            <v>AGUACATE KILO</v>
          </cell>
          <cell r="D540" t="str">
            <v>10900051</v>
          </cell>
          <cell r="E540" t="str">
            <v>MATERIAS PRIMAS PLANTA</v>
          </cell>
          <cell r="F540" t="str">
            <v>1 KILO</v>
          </cell>
          <cell r="G540">
            <v>500</v>
          </cell>
          <cell r="H540" t="str">
            <v>15/06/2020</v>
          </cell>
          <cell r="I540">
            <v>2200</v>
          </cell>
          <cell r="J540">
            <v>2200</v>
          </cell>
          <cell r="K540">
            <v>1000</v>
          </cell>
          <cell r="L540">
            <v>2.2000000000000002</v>
          </cell>
          <cell r="M540" t="str">
            <v>Gramos</v>
          </cell>
        </row>
        <row r="541">
          <cell r="A541" t="str">
            <v>10900057</v>
          </cell>
          <cell r="B541" t="str">
            <v>12159</v>
          </cell>
          <cell r="C541" t="str">
            <v>ZUQUINI MINI (PAQ:200g)</v>
          </cell>
          <cell r="D541" t="str">
            <v>10900057</v>
          </cell>
          <cell r="E541" t="str">
            <v>MATERIAS PRIMAS PLANTA</v>
          </cell>
          <cell r="F541" t="str">
            <v>1 PAQUETE</v>
          </cell>
          <cell r="G541">
            <v>500</v>
          </cell>
          <cell r="H541" t="str">
            <v>16/06/2020</v>
          </cell>
          <cell r="I541">
            <v>400</v>
          </cell>
          <cell r="J541">
            <v>500</v>
          </cell>
          <cell r="K541">
            <v>200</v>
          </cell>
          <cell r="L541">
            <v>2.5</v>
          </cell>
          <cell r="M541" t="str">
            <v>Gramos</v>
          </cell>
        </row>
        <row r="542">
          <cell r="A542" t="str">
            <v>10900059</v>
          </cell>
          <cell r="B542" t="str">
            <v>5490</v>
          </cell>
          <cell r="C542" t="str">
            <v>RABANO (PAQ:125g)</v>
          </cell>
          <cell r="D542" t="str">
            <v>10900059</v>
          </cell>
          <cell r="E542" t="str">
            <v>MATERIAS PRIMAS PLANTA</v>
          </cell>
          <cell r="F542" t="str">
            <v xml:space="preserve">1 KILO </v>
          </cell>
          <cell r="G542">
            <v>500</v>
          </cell>
          <cell r="H542" t="str">
            <v>15/06/2020</v>
          </cell>
          <cell r="I542">
            <v>1149</v>
          </cell>
          <cell r="J542">
            <v>1149</v>
          </cell>
          <cell r="K542">
            <v>1000</v>
          </cell>
          <cell r="L542">
            <v>1.149</v>
          </cell>
          <cell r="M542" t="str">
            <v>Gramos</v>
          </cell>
        </row>
        <row r="543">
          <cell r="A543" t="str">
            <v>10900060</v>
          </cell>
          <cell r="B543" t="str">
            <v>8109</v>
          </cell>
          <cell r="C543" t="str">
            <v>CEREZA ROJA C/TALLO MARASCH (UND:GALON)</v>
          </cell>
          <cell r="D543" t="str">
            <v>10900060</v>
          </cell>
          <cell r="E543" t="str">
            <v>MATERIAS PRIMAS PLANTA</v>
          </cell>
          <cell r="F543" t="str">
            <v>1 UND</v>
          </cell>
          <cell r="G543">
            <v>500</v>
          </cell>
          <cell r="H543" t="str">
            <v>08/06/2020</v>
          </cell>
          <cell r="I543">
            <v>11277</v>
          </cell>
          <cell r="J543">
            <v>13830</v>
          </cell>
          <cell r="K543">
            <v>3785</v>
          </cell>
          <cell r="L543">
            <v>3.6538969616908852</v>
          </cell>
          <cell r="M543" t="str">
            <v>Gramos</v>
          </cell>
        </row>
        <row r="544">
          <cell r="A544" t="str">
            <v>10900062</v>
          </cell>
          <cell r="B544" t="str">
            <v>11812</v>
          </cell>
          <cell r="C544" t="str">
            <v>PLATANO MADURO KILO</v>
          </cell>
          <cell r="D544" t="str">
            <v>10900062</v>
          </cell>
          <cell r="E544" t="str">
            <v>MATERIAS PRIMAS PLANTA</v>
          </cell>
          <cell r="F544" t="str">
            <v xml:space="preserve">1 KILO </v>
          </cell>
          <cell r="G544">
            <v>500</v>
          </cell>
          <cell r="H544" t="str">
            <v>13/06/2020</v>
          </cell>
          <cell r="I544">
            <v>700</v>
          </cell>
          <cell r="J544">
            <v>700</v>
          </cell>
          <cell r="K544">
            <v>1000</v>
          </cell>
          <cell r="L544">
            <v>0.7</v>
          </cell>
          <cell r="M544" t="str">
            <v>Gramos</v>
          </cell>
        </row>
        <row r="545">
          <cell r="A545" t="str">
            <v>10900066</v>
          </cell>
          <cell r="B545" t="str">
            <v>12599</v>
          </cell>
          <cell r="C545" t="str">
            <v>PIÑA PICADA (PAQ:1 kg)</v>
          </cell>
          <cell r="D545" t="str">
            <v>10900066</v>
          </cell>
          <cell r="E545" t="str">
            <v>MATERIAS PRIMAS PLANTA</v>
          </cell>
          <cell r="F545" t="str">
            <v>1 PAQUETE</v>
          </cell>
          <cell r="G545">
            <v>500</v>
          </cell>
          <cell r="H545" t="str">
            <v>23/03/2020</v>
          </cell>
          <cell r="I545">
            <v>1950</v>
          </cell>
          <cell r="J545" t="e">
            <v>#N/A</v>
          </cell>
          <cell r="K545">
            <v>1000</v>
          </cell>
          <cell r="L545" t="e">
            <v>#N/A</v>
          </cell>
          <cell r="M545" t="str">
            <v>Gramos</v>
          </cell>
        </row>
        <row r="546">
          <cell r="A546" t="str">
            <v>11000006</v>
          </cell>
          <cell r="B546" t="str">
            <v>14894</v>
          </cell>
          <cell r="C546" t="str">
            <v>ORLA 6.5'' (UND)</v>
          </cell>
          <cell r="D546" t="str">
            <v>11000006</v>
          </cell>
          <cell r="E546" t="str">
            <v>EMPAQUES PLANTA</v>
          </cell>
          <cell r="F546" t="str">
            <v>1 UND</v>
          </cell>
          <cell r="G546">
            <v>500</v>
          </cell>
          <cell r="H546" t="str">
            <v>13/03/2020</v>
          </cell>
          <cell r="I546">
            <v>76</v>
          </cell>
          <cell r="J546">
            <v>76</v>
          </cell>
          <cell r="K546">
            <v>1</v>
          </cell>
          <cell r="L546">
            <v>76</v>
          </cell>
          <cell r="M546" t="str">
            <v>Gramos</v>
          </cell>
        </row>
        <row r="547">
          <cell r="A547" t="str">
            <v>11100002</v>
          </cell>
          <cell r="B547" t="str">
            <v>12716</v>
          </cell>
          <cell r="C547" t="str">
            <v>MARGARINA LIQUIDA 17.5LB (CAJA:2 UND)</v>
          </cell>
          <cell r="D547" t="str">
            <v>11100002</v>
          </cell>
          <cell r="E547" t="str">
            <v>MATERIAS PRIMAS PLANTA</v>
          </cell>
          <cell r="F547" t="str">
            <v>1 CAJA</v>
          </cell>
          <cell r="G547">
            <v>500</v>
          </cell>
          <cell r="H547" t="str">
            <v>07/01/2020</v>
          </cell>
          <cell r="I547" t="e">
            <v>#N/A</v>
          </cell>
          <cell r="J547" t="e">
            <v>#N/A</v>
          </cell>
          <cell r="K547">
            <v>0</v>
          </cell>
          <cell r="L547" t="e">
            <v>#N/A</v>
          </cell>
          <cell r="M547" t="str">
            <v>Gramos</v>
          </cell>
        </row>
        <row r="548">
          <cell r="A548" t="str">
            <v>11100006</v>
          </cell>
          <cell r="B548" t="str">
            <v>11434</v>
          </cell>
          <cell r="C548" t="str">
            <v>MANTEQUILLA BLISTER 7g  (CAJA:120 UND)</v>
          </cell>
          <cell r="D548" t="str">
            <v>11100006</v>
          </cell>
          <cell r="E548" t="str">
            <v>MATERIAS PRIMAS PLANTA</v>
          </cell>
          <cell r="F548" t="str">
            <v xml:space="preserve">1 CAJA </v>
          </cell>
          <cell r="G548">
            <v>500</v>
          </cell>
          <cell r="H548" t="str">
            <v>20/03/2020</v>
          </cell>
          <cell r="I548">
            <v>6880</v>
          </cell>
          <cell r="J548">
            <v>7875</v>
          </cell>
          <cell r="K548">
            <v>120</v>
          </cell>
          <cell r="L548">
            <v>65.625</v>
          </cell>
          <cell r="M548" t="str">
            <v>Und</v>
          </cell>
        </row>
        <row r="549">
          <cell r="A549" t="str">
            <v>11200004</v>
          </cell>
          <cell r="B549" t="str">
            <v>11440</v>
          </cell>
          <cell r="C549" t="str">
            <v>PAN TRENZA(PAQ:10 UND)</v>
          </cell>
          <cell r="D549" t="str">
            <v>11200004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12/06/2020</v>
          </cell>
          <cell r="I549">
            <v>2050</v>
          </cell>
          <cell r="J549">
            <v>2050</v>
          </cell>
          <cell r="K549">
            <v>10</v>
          </cell>
          <cell r="L549">
            <v>205</v>
          </cell>
          <cell r="M549" t="str">
            <v>Und</v>
          </cell>
        </row>
        <row r="550">
          <cell r="A550" t="str">
            <v>11200005</v>
          </cell>
          <cell r="B550" t="str">
            <v>11441</v>
          </cell>
          <cell r="C550" t="str">
            <v>PAN BAGUETTINO (PAQ:20 UND)</v>
          </cell>
          <cell r="D550" t="str">
            <v>11200005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2400</v>
          </cell>
          <cell r="J550">
            <v>2400</v>
          </cell>
          <cell r="K550">
            <v>20</v>
          </cell>
          <cell r="L550">
            <v>120</v>
          </cell>
          <cell r="M550" t="str">
            <v>Und</v>
          </cell>
        </row>
        <row r="551">
          <cell r="A551" t="str">
            <v>11200019</v>
          </cell>
          <cell r="B551" t="str">
            <v>5573</v>
          </cell>
          <cell r="C551" t="str">
            <v>PAN MINI BAGUET (PAQ:5 UND)</v>
          </cell>
          <cell r="D551" t="str">
            <v>11200019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950</v>
          </cell>
          <cell r="J551">
            <v>950</v>
          </cell>
          <cell r="K551">
            <v>5</v>
          </cell>
          <cell r="L551">
            <v>190</v>
          </cell>
          <cell r="M551" t="str">
            <v>Und</v>
          </cell>
        </row>
        <row r="552">
          <cell r="A552" t="str">
            <v>11200041</v>
          </cell>
          <cell r="B552" t="str">
            <v>5572</v>
          </cell>
          <cell r="C552" t="str">
            <v>CONCHA PIZZA (PAQ:5 UND)</v>
          </cell>
          <cell r="D552" t="str">
            <v>11200041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845</v>
          </cell>
          <cell r="J552">
            <v>625</v>
          </cell>
          <cell r="K552">
            <v>5</v>
          </cell>
          <cell r="L552">
            <v>125</v>
          </cell>
          <cell r="M552" t="str">
            <v>Und</v>
          </cell>
        </row>
        <row r="553">
          <cell r="A553" t="str">
            <v>11200043</v>
          </cell>
          <cell r="B553" t="str">
            <v>11326</v>
          </cell>
          <cell r="C553" t="str">
            <v>PREMEZCLA TEGRAL QQ VAINILLA (SACO:25K)</v>
          </cell>
          <cell r="D553" t="str">
            <v>11200043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24875</v>
          </cell>
          <cell r="J553">
            <v>27125</v>
          </cell>
          <cell r="K553">
            <v>25000</v>
          </cell>
          <cell r="L553">
            <v>1.085</v>
          </cell>
          <cell r="M553" t="str">
            <v>Gramos</v>
          </cell>
        </row>
        <row r="554">
          <cell r="A554" t="str">
            <v>11200048</v>
          </cell>
          <cell r="B554" t="str">
            <v>12603</v>
          </cell>
          <cell r="C554" t="str">
            <v>PREMEZCLA TEGRAL QQ CHOCOLATE (SACO:20K)</v>
          </cell>
          <cell r="D554" t="str">
            <v>11200048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25100</v>
          </cell>
          <cell r="J554">
            <v>28300</v>
          </cell>
          <cell r="K554">
            <v>20000</v>
          </cell>
          <cell r="L554">
            <v>1.415</v>
          </cell>
          <cell r="M554" t="str">
            <v>Gramos</v>
          </cell>
        </row>
        <row r="555">
          <cell r="A555" t="str">
            <v>11200058</v>
          </cell>
          <cell r="B555" t="str">
            <v>14508</v>
          </cell>
          <cell r="C555" t="str">
            <v>PAN ARABE BLANCO 15 CM (PAQ:5 UND)</v>
          </cell>
          <cell r="D555" t="str">
            <v>11200058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15/06/2020</v>
          </cell>
          <cell r="I555">
            <v>910</v>
          </cell>
          <cell r="J555">
            <v>910</v>
          </cell>
          <cell r="K555">
            <v>5</v>
          </cell>
          <cell r="L555">
            <v>182</v>
          </cell>
          <cell r="M555" t="str">
            <v>Gramos</v>
          </cell>
        </row>
        <row r="556">
          <cell r="A556" t="str">
            <v>11200060</v>
          </cell>
          <cell r="B556" t="str">
            <v>14555</v>
          </cell>
          <cell r="C556" t="str">
            <v>PAN BRIOCHE (PAQ= 20 UND)</v>
          </cell>
          <cell r="D556" t="str">
            <v>11200060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07/01/2020</v>
          </cell>
          <cell r="I556" t="e">
            <v>#N/A</v>
          </cell>
          <cell r="J556" t="e">
            <v>#N/A</v>
          </cell>
          <cell r="K556">
            <v>20</v>
          </cell>
          <cell r="L556" t="e">
            <v>#N/A</v>
          </cell>
          <cell r="M556" t="str">
            <v>Gramos</v>
          </cell>
        </row>
        <row r="557">
          <cell r="A557" t="str">
            <v>11200063</v>
          </cell>
          <cell r="B557" t="str">
            <v>15186</v>
          </cell>
          <cell r="C557" t="str">
            <v>PAN CIABATTA 16 CM (PAQ:10 UND)</v>
          </cell>
          <cell r="D557" t="str">
            <v>11200063</v>
          </cell>
          <cell r="E557" t="str">
            <v>MATERIAS PRIMAS PLANTA</v>
          </cell>
          <cell r="F557" t="str">
            <v xml:space="preserve">1 PAQUETE  </v>
          </cell>
          <cell r="G557">
            <v>500</v>
          </cell>
          <cell r="H557" t="str">
            <v>15/06/2020</v>
          </cell>
          <cell r="I557">
            <v>2200</v>
          </cell>
          <cell r="J557">
            <v>2200</v>
          </cell>
          <cell r="K557">
            <v>10</v>
          </cell>
          <cell r="L557">
            <v>220</v>
          </cell>
          <cell r="M557" t="str">
            <v>Gramos</v>
          </cell>
        </row>
        <row r="558">
          <cell r="A558" t="str">
            <v>11200064</v>
          </cell>
          <cell r="B558" t="str">
            <v>15550</v>
          </cell>
          <cell r="C558" t="str">
            <v>HARINA TRIGO NACARINA (SACO: 25 K)</v>
          </cell>
          <cell r="D558" t="str">
            <v>11200064</v>
          </cell>
          <cell r="E558" t="str">
            <v>MATERIAS PRIMAS PLANTA</v>
          </cell>
          <cell r="F558" t="str">
            <v>1 SACO</v>
          </cell>
          <cell r="G558">
            <v>500</v>
          </cell>
          <cell r="H558" t="str">
            <v>12/06/2020</v>
          </cell>
          <cell r="I558">
            <v>13486</v>
          </cell>
          <cell r="J558">
            <v>15733</v>
          </cell>
          <cell r="K558">
            <v>25000</v>
          </cell>
          <cell r="L558">
            <v>0.62931999999999999</v>
          </cell>
          <cell r="M558" t="str">
            <v>Gramos</v>
          </cell>
        </row>
        <row r="559">
          <cell r="A559" t="str">
            <v>11200065</v>
          </cell>
          <cell r="B559" t="str">
            <v>15852</v>
          </cell>
          <cell r="C559" t="str">
            <v>BAGUETTE FRANCES LAPIZ (CAJA:17 UND)</v>
          </cell>
          <cell r="D559" t="str">
            <v>11200065</v>
          </cell>
          <cell r="E559" t="str">
            <v>MATERIAS PRIMAS PLANTA</v>
          </cell>
          <cell r="F559" t="str">
            <v>1 CAJA</v>
          </cell>
          <cell r="G559">
            <v>500</v>
          </cell>
          <cell r="H559" t="str">
            <v>02/06/2020</v>
          </cell>
          <cell r="I559">
            <v>6480</v>
          </cell>
          <cell r="J559" t="e">
            <v>#N/A</v>
          </cell>
          <cell r="K559">
            <v>25000</v>
          </cell>
          <cell r="L559" t="e">
            <v>#N/A</v>
          </cell>
          <cell r="M559" t="str">
            <v>Gramos</v>
          </cell>
        </row>
        <row r="560">
          <cell r="A560" t="str">
            <v>11200066</v>
          </cell>
          <cell r="B560" t="str">
            <v>15882</v>
          </cell>
          <cell r="C560" t="str">
            <v>PREMEZCLA RED VELVET (SACO:25 K)</v>
          </cell>
          <cell r="D560" t="str">
            <v>11200066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15/02/2020</v>
          </cell>
          <cell r="I560" t="e">
            <v>#N/A</v>
          </cell>
          <cell r="J560" t="e">
            <v>#N/A</v>
          </cell>
          <cell r="K560">
            <v>25000</v>
          </cell>
          <cell r="L560" t="e">
            <v>#N/A</v>
          </cell>
          <cell r="M560" t="str">
            <v>Gramos</v>
          </cell>
        </row>
        <row r="561">
          <cell r="A561" t="str">
            <v>11200067</v>
          </cell>
          <cell r="B561" t="str">
            <v>15895</v>
          </cell>
          <cell r="C561" t="str">
            <v>PREMEZCLA PUDING CAKE PILLSB (SC:22.6 K)</v>
          </cell>
          <cell r="D561" t="str">
            <v>11200067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11/05/2020</v>
          </cell>
          <cell r="I561">
            <v>27590</v>
          </cell>
          <cell r="J561">
            <v>33162</v>
          </cell>
          <cell r="K561">
            <v>22600</v>
          </cell>
          <cell r="L561">
            <v>1.4673451327433629</v>
          </cell>
          <cell r="M561"/>
        </row>
        <row r="562">
          <cell r="A562" t="str">
            <v>11200068</v>
          </cell>
          <cell r="B562" t="str">
            <v>15913</v>
          </cell>
          <cell r="C562" t="str">
            <v xml:space="preserve">PAN FOCACCIA ( PAQ:10 UND) </v>
          </cell>
          <cell r="D562" t="str">
            <v>11200068</v>
          </cell>
          <cell r="E562" t="str">
            <v>MATERIAS PRIMAS PLANTA</v>
          </cell>
          <cell r="F562" t="str">
            <v>1 PAQUETE</v>
          </cell>
          <cell r="G562">
            <v>500</v>
          </cell>
          <cell r="H562" t="str">
            <v>15/06/2020</v>
          </cell>
          <cell r="I562" t="e">
            <v>#N/A</v>
          </cell>
          <cell r="J562" t="e">
            <v>#N/A</v>
          </cell>
          <cell r="K562">
            <v>10</v>
          </cell>
          <cell r="L562" t="e">
            <v>#N/A</v>
          </cell>
          <cell r="M562" t="str">
            <v>Und</v>
          </cell>
        </row>
        <row r="563">
          <cell r="A563" t="str">
            <v>11300001</v>
          </cell>
          <cell r="B563" t="str">
            <v>7092</v>
          </cell>
          <cell r="C563" t="str">
            <v>CLARA HUEVO PASTE DEB-EL (CAJA:2.267 K)</v>
          </cell>
          <cell r="D563" t="str">
            <v>11300001</v>
          </cell>
          <cell r="E563" t="str">
            <v>MATERIAS PRIMAS PLANTA</v>
          </cell>
          <cell r="F563" t="str">
            <v>1 Uds.</v>
          </cell>
          <cell r="G563">
            <v>500</v>
          </cell>
          <cell r="H563" t="str">
            <v>15/06/2020</v>
          </cell>
          <cell r="I563" t="e">
            <v>#N/A</v>
          </cell>
          <cell r="J563" t="e">
            <v>#N/A</v>
          </cell>
          <cell r="K563">
            <v>2267</v>
          </cell>
          <cell r="L563" t="e">
            <v>#N/A</v>
          </cell>
          <cell r="M563" t="str">
            <v>Gramos</v>
          </cell>
        </row>
        <row r="564">
          <cell r="A564" t="str">
            <v>11300005</v>
          </cell>
          <cell r="B564" t="str">
            <v>5579</v>
          </cell>
          <cell r="C564" t="str">
            <v>HUEVOS EN CARTON (30UNID)</v>
          </cell>
          <cell r="D564" t="str">
            <v>11300005</v>
          </cell>
          <cell r="E564" t="str">
            <v>MATERIAS PRIMAS PLANTA</v>
          </cell>
          <cell r="F564" t="str">
            <v>1 CARTON</v>
          </cell>
          <cell r="G564">
            <v>500</v>
          </cell>
          <cell r="H564" t="str">
            <v>15/06/2020</v>
          </cell>
          <cell r="I564">
            <v>2310.375</v>
          </cell>
          <cell r="J564">
            <v>2335.0574761980001</v>
          </cell>
          <cell r="K564">
            <v>30</v>
          </cell>
          <cell r="L564">
            <v>77.835249206600011</v>
          </cell>
          <cell r="M564" t="str">
            <v>Gramos</v>
          </cell>
        </row>
        <row r="565">
          <cell r="A565" t="str">
            <v>11300009</v>
          </cell>
          <cell r="B565" t="str">
            <v>15167</v>
          </cell>
          <cell r="C565" t="str">
            <v xml:space="preserve">CLARA DE HUEVO (CAJA:5 K) </v>
          </cell>
          <cell r="D565" t="str">
            <v>11300009</v>
          </cell>
          <cell r="E565" t="str">
            <v>MATERIAS PRIMAS PLANTA</v>
          </cell>
          <cell r="F565" t="str">
            <v>1 CAJA</v>
          </cell>
          <cell r="G565">
            <v>500</v>
          </cell>
          <cell r="H565" t="str">
            <v>21/02/2020</v>
          </cell>
          <cell r="I565">
            <v>9250</v>
          </cell>
          <cell r="J565">
            <v>10000</v>
          </cell>
          <cell r="K565">
            <v>5000</v>
          </cell>
          <cell r="L565">
            <v>2</v>
          </cell>
          <cell r="M565" t="str">
            <v>Gramos</v>
          </cell>
        </row>
        <row r="566">
          <cell r="A566" t="str">
            <v>11300010</v>
          </cell>
          <cell r="B566" t="str">
            <v>15597</v>
          </cell>
          <cell r="C566" t="str">
            <v>HUEVO DURO (PAQ:4 UND)</v>
          </cell>
          <cell r="D566" t="str">
            <v>11300010</v>
          </cell>
          <cell r="E566" t="str">
            <v>MATERIAS PRIMAS PLANTA</v>
          </cell>
          <cell r="F566" t="str">
            <v>1 PAQUETE</v>
          </cell>
          <cell r="G566">
            <v>500</v>
          </cell>
          <cell r="H566" t="str">
            <v>15/06/2020</v>
          </cell>
          <cell r="I566">
            <v>680</v>
          </cell>
          <cell r="J566">
            <v>680</v>
          </cell>
          <cell r="K566">
            <v>4</v>
          </cell>
          <cell r="L566">
            <v>170</v>
          </cell>
          <cell r="M566" t="str">
            <v>Gramos</v>
          </cell>
        </row>
        <row r="567">
          <cell r="A567" t="str">
            <v>11300011</v>
          </cell>
          <cell r="B567" t="str">
            <v>16203</v>
          </cell>
          <cell r="C567" t="str">
            <v>YEMA DE HUEVO (UND: 8.34 K)</v>
          </cell>
          <cell r="D567" t="str">
            <v>11300011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05/03/2020</v>
          </cell>
          <cell r="I567" t="e">
            <v>#N/A</v>
          </cell>
          <cell r="J567">
            <v>18500</v>
          </cell>
          <cell r="K567">
            <v>8340</v>
          </cell>
          <cell r="L567">
            <v>2.2182254196642686</v>
          </cell>
          <cell r="M567" t="str">
            <v>Gramos</v>
          </cell>
        </row>
        <row r="568">
          <cell r="A568" t="str">
            <v>11400014</v>
          </cell>
          <cell r="B568" t="str">
            <v>5605</v>
          </cell>
          <cell r="C568" t="str">
            <v>YOGURTH IN LINE NATURAL (UND:500g)</v>
          </cell>
          <cell r="D568" t="str">
            <v>11400014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05/05/2020</v>
          </cell>
          <cell r="I568" t="e">
            <v>#N/A</v>
          </cell>
          <cell r="J568" t="e">
            <v>#N/A</v>
          </cell>
          <cell r="K568">
            <v>500</v>
          </cell>
          <cell r="L568" t="e">
            <v>#N/A</v>
          </cell>
          <cell r="M568" t="str">
            <v>Gramos</v>
          </cell>
        </row>
        <row r="569">
          <cell r="A569" t="str">
            <v>11400015</v>
          </cell>
          <cell r="B569" t="str">
            <v>5606</v>
          </cell>
          <cell r="C569" t="str">
            <v>QUESO GOUDA (PAQ:160g)</v>
          </cell>
          <cell r="D569" t="str">
            <v>11400015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2039</v>
          </cell>
          <cell r="J569">
            <v>2080</v>
          </cell>
          <cell r="K569">
            <v>160</v>
          </cell>
          <cell r="L569">
            <v>13</v>
          </cell>
          <cell r="M569" t="str">
            <v>Gramos</v>
          </cell>
        </row>
        <row r="570">
          <cell r="A570" t="str">
            <v>11400024</v>
          </cell>
          <cell r="B570" t="str">
            <v>5590</v>
          </cell>
          <cell r="C570" t="str">
            <v>QUESO TURRIALBA (PAQ: 3 K)</v>
          </cell>
          <cell r="D570" t="str">
            <v>11400024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9124</v>
          </cell>
          <cell r="J570">
            <v>9124</v>
          </cell>
          <cell r="K570">
            <v>3000</v>
          </cell>
          <cell r="L570">
            <v>3.0413333333333332</v>
          </cell>
          <cell r="M570" t="str">
            <v>Gramos</v>
          </cell>
        </row>
        <row r="571">
          <cell r="A571" t="str">
            <v>11400027</v>
          </cell>
          <cell r="B571" t="str">
            <v>5596</v>
          </cell>
          <cell r="C571" t="str">
            <v>CREMA BETTERCREAM DOBLE CHOCO (UND:4 K)</v>
          </cell>
          <cell r="D571" t="str">
            <v>11400027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9152</v>
          </cell>
          <cell r="J571">
            <v>9892</v>
          </cell>
          <cell r="K571">
            <v>4000</v>
          </cell>
          <cell r="L571">
            <v>2.4729999999999999</v>
          </cell>
          <cell r="M571" t="str">
            <v>Gramos</v>
          </cell>
        </row>
        <row r="572">
          <cell r="A572" t="str">
            <v>11400029</v>
          </cell>
          <cell r="B572" t="str">
            <v>5598</v>
          </cell>
          <cell r="C572" t="str">
            <v>CREMA BETTER DULCE LECHE RICH (UND:4 K)</v>
          </cell>
          <cell r="D572" t="str">
            <v>11400029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9838</v>
          </cell>
          <cell r="J572">
            <v>10362</v>
          </cell>
          <cell r="K572">
            <v>4000</v>
          </cell>
          <cell r="L572">
            <v>2.5905</v>
          </cell>
          <cell r="M572" t="str">
            <v>Gramos</v>
          </cell>
        </row>
        <row r="573">
          <cell r="A573" t="str">
            <v>11400031</v>
          </cell>
          <cell r="B573" t="str">
            <v>5600</v>
          </cell>
          <cell r="C573" t="str">
            <v>CREMA PRESTIGE GRAND (UND:4 K) *</v>
          </cell>
          <cell r="D573" t="str">
            <v>11400031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6966</v>
          </cell>
          <cell r="J573">
            <v>7938</v>
          </cell>
          <cell r="K573">
            <v>4000</v>
          </cell>
          <cell r="L573">
            <v>1.9844999999999999</v>
          </cell>
          <cell r="M573" t="str">
            <v>Gramos</v>
          </cell>
        </row>
        <row r="574">
          <cell r="A574" t="str">
            <v>11400032</v>
          </cell>
          <cell r="B574" t="str">
            <v>5601</v>
          </cell>
          <cell r="C574" t="str">
            <v>LECHE CONDENSADA NEST CHILE  (PAQ:4.5 K)</v>
          </cell>
          <cell r="D574" t="str">
            <v>11400032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9273</v>
          </cell>
          <cell r="J574">
            <v>7692</v>
          </cell>
          <cell r="K574">
            <v>4500</v>
          </cell>
          <cell r="L574">
            <v>1.7093333333333334</v>
          </cell>
          <cell r="M574" t="str">
            <v>Gramos</v>
          </cell>
        </row>
        <row r="575">
          <cell r="A575" t="str">
            <v>11400036</v>
          </cell>
          <cell r="B575" t="str">
            <v>5616</v>
          </cell>
          <cell r="C575" t="str">
            <v>QUESO FETTA (PAQ:200g)</v>
          </cell>
          <cell r="D575" t="str">
            <v>11400036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2945</v>
          </cell>
          <cell r="J575">
            <v>3090</v>
          </cell>
          <cell r="K575">
            <v>200</v>
          </cell>
          <cell r="L575">
            <v>15.45</v>
          </cell>
          <cell r="M575" t="str">
            <v>Gramos</v>
          </cell>
        </row>
        <row r="576">
          <cell r="A576" t="str">
            <v>11400038</v>
          </cell>
          <cell r="B576" t="str">
            <v>5619</v>
          </cell>
          <cell r="C576" t="str">
            <v>LECHE COND COCINADA (CAJA:18.96 K)</v>
          </cell>
          <cell r="D576" t="str">
            <v>11400038</v>
          </cell>
          <cell r="E576" t="str">
            <v>MATERIAS PRIMAS PLANTA</v>
          </cell>
          <cell r="F576" t="str">
            <v>1 CAJA</v>
          </cell>
          <cell r="G576">
            <v>500</v>
          </cell>
          <cell r="H576" t="str">
            <v>15/06/2020</v>
          </cell>
          <cell r="I576">
            <v>43392</v>
          </cell>
          <cell r="J576">
            <v>45840</v>
          </cell>
          <cell r="K576">
            <v>18960</v>
          </cell>
          <cell r="L576">
            <v>2.4177215189873418</v>
          </cell>
          <cell r="M576" t="str">
            <v>Gramos</v>
          </cell>
        </row>
        <row r="577">
          <cell r="A577" t="str">
            <v>11400040</v>
          </cell>
          <cell r="B577" t="str">
            <v>11364</v>
          </cell>
          <cell r="C577" t="str">
            <v>YOGURT BATIDO NATURAL (UND:1 K)</v>
          </cell>
          <cell r="D577" t="str">
            <v>11400040</v>
          </cell>
          <cell r="E577" t="str">
            <v>MATERIAS PRIMAS PLANTA</v>
          </cell>
          <cell r="F577" t="str">
            <v>1 UND</v>
          </cell>
          <cell r="G577">
            <v>500</v>
          </cell>
          <cell r="H577" t="str">
            <v>03/06/2020</v>
          </cell>
          <cell r="I577">
            <v>1750</v>
          </cell>
          <cell r="J577">
            <v>1750</v>
          </cell>
          <cell r="K577">
            <v>1000</v>
          </cell>
          <cell r="L577">
            <v>1.75</v>
          </cell>
          <cell r="M577" t="str">
            <v>Gramos</v>
          </cell>
        </row>
        <row r="578">
          <cell r="A578" t="str">
            <v>11400045</v>
          </cell>
          <cell r="B578" t="str">
            <v>12901</v>
          </cell>
          <cell r="C578" t="str">
            <v>QUESO RALLADO RICO DOS PINO SP (PAQ:2 K)</v>
          </cell>
          <cell r="D578" t="str">
            <v>11400045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6825</v>
          </cell>
          <cell r="J578">
            <v>6825</v>
          </cell>
          <cell r="K578">
            <v>2000</v>
          </cell>
          <cell r="L578">
            <v>3.4125000000000001</v>
          </cell>
          <cell r="M578" t="str">
            <v>Gramos</v>
          </cell>
        </row>
        <row r="579">
          <cell r="A579" t="str">
            <v>11400046</v>
          </cell>
          <cell r="B579" t="str">
            <v>14097</v>
          </cell>
          <cell r="C579" t="str">
            <v>LECHE CONDENSADA (PAQ:11 K)</v>
          </cell>
          <cell r="D579" t="str">
            <v>11400046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21499</v>
          </cell>
          <cell r="J579">
            <v>17833</v>
          </cell>
          <cell r="K579">
            <v>11000</v>
          </cell>
          <cell r="L579">
            <v>1.6211818181818183</v>
          </cell>
          <cell r="M579" t="str">
            <v>Gramos</v>
          </cell>
        </row>
        <row r="580">
          <cell r="A580" t="str">
            <v>11400047</v>
          </cell>
          <cell r="B580" t="str">
            <v>14289</v>
          </cell>
          <cell r="C580" t="str">
            <v>LECHE 2% PASTEURIZADA (UND)</v>
          </cell>
          <cell r="D580" t="str">
            <v>11400047</v>
          </cell>
          <cell r="E580" t="str">
            <v>MATERIAS PRIMAS PLANTA</v>
          </cell>
          <cell r="F580" t="str">
            <v>1 UND</v>
          </cell>
          <cell r="G580">
            <v>500</v>
          </cell>
          <cell r="H580" t="str">
            <v>15/06/2020</v>
          </cell>
          <cell r="I580">
            <v>2031</v>
          </cell>
          <cell r="J580">
            <v>2031</v>
          </cell>
          <cell r="K580">
            <v>3785</v>
          </cell>
          <cell r="L580">
            <v>0.53659180977542931</v>
          </cell>
          <cell r="M580" t="str">
            <v>Mililitros</v>
          </cell>
        </row>
        <row r="581">
          <cell r="A581" t="str">
            <v>11400048</v>
          </cell>
          <cell r="B581" t="str">
            <v>14290</v>
          </cell>
          <cell r="C581" t="str">
            <v>QUESO AMERI CHEESE NESTLE (PAQ:52 UND)</v>
          </cell>
          <cell r="D581" t="str">
            <v>11400048</v>
          </cell>
          <cell r="E581" t="str">
            <v>MATERIAS PRIMAS PLANTA</v>
          </cell>
          <cell r="F581" t="str">
            <v>1 PAQUETE</v>
          </cell>
          <cell r="G581">
            <v>500</v>
          </cell>
          <cell r="H581" t="str">
            <v>28/05/2020</v>
          </cell>
          <cell r="I581">
            <v>3705</v>
          </cell>
          <cell r="J581" t="e">
            <v>#N/A</v>
          </cell>
          <cell r="K581">
            <v>52</v>
          </cell>
          <cell r="L581" t="e">
            <v>#N/A</v>
          </cell>
          <cell r="M581" t="str">
            <v>Und</v>
          </cell>
        </row>
        <row r="582">
          <cell r="A582" t="str">
            <v>11400051</v>
          </cell>
          <cell r="B582" t="str">
            <v>15513</v>
          </cell>
          <cell r="C582" t="str">
            <v>CREMA PRESTIGE GRAND (UND:1 K)</v>
          </cell>
          <cell r="D582" t="str">
            <v>11400051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12/06/2020</v>
          </cell>
          <cell r="I582">
            <v>2271.3333333333298</v>
          </cell>
          <cell r="J582">
            <v>2350.5833333333298</v>
          </cell>
          <cell r="K582">
            <v>1000</v>
          </cell>
          <cell r="L582">
            <v>2.3505833333333297</v>
          </cell>
          <cell r="M582" t="str">
            <v>Gramos</v>
          </cell>
        </row>
        <row r="583">
          <cell r="A583" t="str">
            <v>11400053</v>
          </cell>
          <cell r="B583" t="str">
            <v>15608</v>
          </cell>
          <cell r="C583" t="str">
            <v>SALSA QUESO CHEDDAR SYSCO (UND:3.03 K)</v>
          </cell>
          <cell r="D583" t="str">
            <v>11400053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06/03/2020</v>
          </cell>
          <cell r="I583">
            <v>5805</v>
          </cell>
          <cell r="J583">
            <v>6057</v>
          </cell>
          <cell r="K583">
            <v>3030</v>
          </cell>
          <cell r="L583">
            <v>1.999009900990099</v>
          </cell>
          <cell r="M583" t="str">
            <v>Gramos</v>
          </cell>
        </row>
        <row r="584">
          <cell r="A584" t="str">
            <v>11400054</v>
          </cell>
          <cell r="B584" t="str">
            <v>15634</v>
          </cell>
          <cell r="C584" t="str">
            <v>QUESO BOCCOCINI (PAQ:250 G)</v>
          </cell>
          <cell r="D584" t="str">
            <v>11400054</v>
          </cell>
          <cell r="E584" t="str">
            <v>MATERIAS PRIMAS PLANTA</v>
          </cell>
          <cell r="F584" t="str">
            <v>1 PAQUETE</v>
          </cell>
          <cell r="G584">
            <v>500</v>
          </cell>
          <cell r="H584" t="str">
            <v>14/05/2020</v>
          </cell>
          <cell r="I584" t="e">
            <v>#N/A</v>
          </cell>
          <cell r="J584" t="e">
            <v>#N/A</v>
          </cell>
          <cell r="K584">
            <v>250</v>
          </cell>
          <cell r="L584" t="e">
            <v>#N/A</v>
          </cell>
          <cell r="M584" t="str">
            <v>Gramos</v>
          </cell>
        </row>
        <row r="585">
          <cell r="A585" t="str">
            <v>11400057</v>
          </cell>
          <cell r="B585" t="str">
            <v>16027</v>
          </cell>
          <cell r="C585" t="str">
            <v>MARGARINA INDUSTRIAL OLMECA (CAJA:25 K)</v>
          </cell>
          <cell r="D585" t="str">
            <v>11400057</v>
          </cell>
          <cell r="E585" t="str">
            <v>MATERIAS PRIMAS PLANTA</v>
          </cell>
          <cell r="F585" t="str">
            <v>1 CAJA</v>
          </cell>
          <cell r="G585">
            <v>500</v>
          </cell>
          <cell r="H585" t="str">
            <v>19/05/2020</v>
          </cell>
          <cell r="I585" t="e">
            <v>#N/A</v>
          </cell>
          <cell r="J585">
            <v>19695</v>
          </cell>
          <cell r="K585">
            <v>25000</v>
          </cell>
          <cell r="L585">
            <v>0.78779999999999994</v>
          </cell>
          <cell r="M585" t="str">
            <v>Gramos</v>
          </cell>
        </row>
        <row r="586">
          <cell r="A586" t="str">
            <v>11400058</v>
          </cell>
          <cell r="B586" t="str">
            <v>16285</v>
          </cell>
          <cell r="C586" t="str">
            <v xml:space="preserve">QUESO RICOTTA (PAQ:500 GR) </v>
          </cell>
          <cell r="D586" t="str">
            <v>11400058</v>
          </cell>
          <cell r="E586" t="str">
            <v>MATERIAS PRIMAS PLANTA</v>
          </cell>
          <cell r="F586" t="str">
            <v>1 PAQUETE</v>
          </cell>
          <cell r="G586">
            <v>500</v>
          </cell>
          <cell r="H586" t="str">
            <v>02/03/2020</v>
          </cell>
          <cell r="I586" t="e">
            <v>#N/A</v>
          </cell>
          <cell r="J586" t="e">
            <v>#N/A</v>
          </cell>
          <cell r="K586">
            <v>500</v>
          </cell>
          <cell r="L586" t="e">
            <v>#N/A</v>
          </cell>
          <cell r="M586" t="str">
            <v>Gramos</v>
          </cell>
        </row>
        <row r="587">
          <cell r="A587" t="str">
            <v>11700002</v>
          </cell>
          <cell r="B587" t="str">
            <v>8031</v>
          </cell>
          <cell r="C587" t="str">
            <v>DULCE LECHE LA CIABATA (UND:5 K )</v>
          </cell>
          <cell r="D587" t="str">
            <v>11700002</v>
          </cell>
          <cell r="E587" t="str">
            <v>MATERIAS PRIMAS PLANTA</v>
          </cell>
          <cell r="F587" t="str">
            <v>1 UND</v>
          </cell>
          <cell r="G587">
            <v>500</v>
          </cell>
          <cell r="H587" t="str">
            <v>13/06/2020</v>
          </cell>
          <cell r="I587">
            <v>7365</v>
          </cell>
          <cell r="J587">
            <v>8005</v>
          </cell>
          <cell r="K587">
            <v>5000</v>
          </cell>
          <cell r="L587">
            <v>1.601</v>
          </cell>
          <cell r="M587" t="str">
            <v>Gramos</v>
          </cell>
        </row>
        <row r="588">
          <cell r="A588" t="str">
            <v>11800012</v>
          </cell>
          <cell r="B588" t="str">
            <v>14247</v>
          </cell>
          <cell r="C588" t="str">
            <v>SABORIZANTE NARANJA A-0191 KILO</v>
          </cell>
          <cell r="D588" t="str">
            <v>11800012</v>
          </cell>
          <cell r="E588" t="str">
            <v>MATERIAS PRIMAS PLANTA</v>
          </cell>
          <cell r="F588" t="str">
            <v xml:space="preserve">1 KILO   </v>
          </cell>
          <cell r="G588">
            <v>500</v>
          </cell>
          <cell r="H588" t="str">
            <v>30/03/2020</v>
          </cell>
          <cell r="I588">
            <v>20686.18</v>
          </cell>
          <cell r="J588">
            <v>20687</v>
          </cell>
          <cell r="K588">
            <v>1000</v>
          </cell>
          <cell r="L588">
            <v>20.687000000000001</v>
          </cell>
          <cell r="M588" t="str">
            <v>Gramos</v>
          </cell>
        </row>
        <row r="589">
          <cell r="A589" t="str">
            <v>11900001</v>
          </cell>
          <cell r="B589" t="str">
            <v>9601</v>
          </cell>
          <cell r="C589" t="str">
            <v>NUEZ PECANA QUEBRADURA (CAJA:10 Kg)</v>
          </cell>
          <cell r="D589" t="str">
            <v>11900001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08/06/2020</v>
          </cell>
          <cell r="I589">
            <v>104876</v>
          </cell>
          <cell r="J589">
            <v>170</v>
          </cell>
          <cell r="K589">
            <v>10000</v>
          </cell>
          <cell r="L589">
            <v>1.7000000000000001E-2</v>
          </cell>
          <cell r="M589" t="str">
            <v>Gramos</v>
          </cell>
        </row>
        <row r="590">
          <cell r="A590" t="str">
            <v>11900010</v>
          </cell>
          <cell r="B590" t="str">
            <v>11431</v>
          </cell>
          <cell r="C590" t="str">
            <v>NUEZ PECANA PICADA (CAJA:13.6KG)</v>
          </cell>
          <cell r="D590" t="str">
            <v>11900010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05/05/2020</v>
          </cell>
          <cell r="I590" t="e">
            <v>#N/A</v>
          </cell>
          <cell r="J590" t="e">
            <v>#N/A</v>
          </cell>
          <cell r="K590">
            <v>13600</v>
          </cell>
          <cell r="L590" t="e">
            <v>#N/A</v>
          </cell>
          <cell r="M590" t="str">
            <v>Gramos</v>
          </cell>
        </row>
        <row r="591">
          <cell r="A591" t="str">
            <v>11900016</v>
          </cell>
          <cell r="B591" t="str">
            <v>15551</v>
          </cell>
          <cell r="C591" t="str">
            <v>AJONJOLI NEGRO (UND:454 G)</v>
          </cell>
          <cell r="D591" t="str">
            <v>11900016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2893</v>
          </cell>
          <cell r="J591" t="e">
            <v>#N/A</v>
          </cell>
          <cell r="K591">
            <v>454</v>
          </cell>
          <cell r="L591" t="e">
            <v>#N/A</v>
          </cell>
          <cell r="M591" t="str">
            <v>Gramos</v>
          </cell>
        </row>
        <row r="592">
          <cell r="A592" t="str">
            <v>12000003</v>
          </cell>
          <cell r="B592" t="str">
            <v>9618</v>
          </cell>
          <cell r="C592" t="str">
            <v>CREMA VERSATIE (UND: L)</v>
          </cell>
          <cell r="D592" t="str">
            <v>12000003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1780</v>
          </cell>
          <cell r="J592">
            <v>1844</v>
          </cell>
          <cell r="K592">
            <v>1000</v>
          </cell>
          <cell r="L592">
            <v>1.8440000000000001</v>
          </cell>
          <cell r="M592" t="str">
            <v>Mililitros</v>
          </cell>
        </row>
        <row r="593">
          <cell r="A593" t="str">
            <v>12100006</v>
          </cell>
          <cell r="B593" t="str">
            <v>8134</v>
          </cell>
          <cell r="C593" t="str">
            <v>CHOCOLATE GUAYABITA (PAQ=36 UND)</v>
          </cell>
          <cell r="D593" t="str">
            <v>12100006</v>
          </cell>
          <cell r="E593" t="str">
            <v>MATERIAS PRIMAS PLANTA</v>
          </cell>
          <cell r="F593" t="str">
            <v>1 PAQ</v>
          </cell>
          <cell r="G593">
            <v>500</v>
          </cell>
          <cell r="H593" t="str">
            <v>30/03/2020</v>
          </cell>
          <cell r="I593">
            <v>1809</v>
          </cell>
          <cell r="J593">
            <v>1836</v>
          </cell>
          <cell r="K593">
            <v>1000</v>
          </cell>
          <cell r="L593" t="e">
            <v>#DIV/0!</v>
          </cell>
          <cell r="M593" t="str">
            <v>Mililitros</v>
          </cell>
        </row>
        <row r="594">
          <cell r="A594" t="str">
            <v>12300004</v>
          </cell>
          <cell r="B594" t="str">
            <v>12690</v>
          </cell>
          <cell r="C594" t="str">
            <v>PURE PAPA KFC 24/22.05OZ (CAJA)</v>
          </cell>
          <cell r="D594" t="str">
            <v>12300004</v>
          </cell>
          <cell r="E594" t="str">
            <v>MATERIAS PRIMAS PLANTA</v>
          </cell>
          <cell r="F594" t="str">
            <v>1 CAJA</v>
          </cell>
          <cell r="G594">
            <v>500</v>
          </cell>
          <cell r="H594" t="str">
            <v>02/06/2020</v>
          </cell>
          <cell r="I594" t="e">
            <v>#N/A</v>
          </cell>
          <cell r="J594" t="e">
            <v>#N/A</v>
          </cell>
          <cell r="K594">
            <v>3785</v>
          </cell>
          <cell r="L594" t="e">
            <v>#N/A</v>
          </cell>
          <cell r="M594" t="str">
            <v>Mililitros</v>
          </cell>
        </row>
        <row r="595">
          <cell r="A595" t="str">
            <v>12300005</v>
          </cell>
          <cell r="B595" t="str">
            <v>5280</v>
          </cell>
          <cell r="C595" t="str">
            <v>SALSA AJI AMARILLO (UND:160 ML)</v>
          </cell>
          <cell r="D595" t="str">
            <v>12300005</v>
          </cell>
          <cell r="E595" t="str">
            <v>MATERIAS PRIMAS PLANTA</v>
          </cell>
          <cell r="F595" t="str">
            <v>1 UND</v>
          </cell>
          <cell r="G595">
            <v>500</v>
          </cell>
          <cell r="H595" t="str">
            <v>18/05/2020</v>
          </cell>
          <cell r="I595">
            <v>1206.1300000000001</v>
          </cell>
          <cell r="J595">
            <v>1206.1300000000001</v>
          </cell>
          <cell r="K595">
            <v>160</v>
          </cell>
          <cell r="L595">
            <v>7.5383125000000009</v>
          </cell>
          <cell r="M595" t="str">
            <v>Und</v>
          </cell>
        </row>
        <row r="596">
          <cell r="A596" t="str">
            <v>19508791</v>
          </cell>
          <cell r="B596" t="str">
            <v>12759</v>
          </cell>
          <cell r="C596" t="str">
            <v>BANDEJA PLAST 3 DIV (CAJA:250 UND)</v>
          </cell>
          <cell r="D596" t="str">
            <v>19508791</v>
          </cell>
          <cell r="E596" t="str">
            <v>EMPAQUES PLANTA</v>
          </cell>
          <cell r="F596" t="str">
            <v>1 CAJA</v>
          </cell>
          <cell r="G596">
            <v>500</v>
          </cell>
          <cell r="H596" t="str">
            <v>03/06/2020</v>
          </cell>
          <cell r="I596" t="e">
            <v>#N/A</v>
          </cell>
          <cell r="J596" t="e">
            <v>#N/A</v>
          </cell>
          <cell r="K596">
            <v>250</v>
          </cell>
          <cell r="L596" t="e">
            <v>#N/A</v>
          </cell>
          <cell r="M596" t="str">
            <v>Gramos</v>
          </cell>
        </row>
        <row r="597">
          <cell r="A597" t="str">
            <v>20200036</v>
          </cell>
          <cell r="B597" t="str">
            <v>12480</v>
          </cell>
          <cell r="C597" t="str">
            <v>GALLETA PARA DECORAR MENU INFANTIL</v>
          </cell>
          <cell r="D597" t="str">
            <v>20200036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15/06/2020</v>
          </cell>
          <cell r="I597">
            <v>625</v>
          </cell>
          <cell r="J597">
            <v>625</v>
          </cell>
          <cell r="K597">
            <v>250</v>
          </cell>
          <cell r="L597" t="e">
            <v>#DIV/0!</v>
          </cell>
          <cell r="M597" t="str">
            <v>Gramos</v>
          </cell>
        </row>
        <row r="598">
          <cell r="A598" t="str">
            <v>20300005</v>
          </cell>
          <cell r="B598" t="str">
            <v>11503</v>
          </cell>
          <cell r="C598" t="str">
            <v>CUP CAKE FONDANT  (UND)</v>
          </cell>
          <cell r="D598" t="str">
            <v>20300005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13/06/2020</v>
          </cell>
          <cell r="I598">
            <v>500</v>
          </cell>
          <cell r="J598">
            <v>500</v>
          </cell>
          <cell r="K598">
            <v>1</v>
          </cell>
          <cell r="L598">
            <v>500</v>
          </cell>
        </row>
        <row r="599">
          <cell r="A599" t="str">
            <v>20300007</v>
          </cell>
          <cell r="B599" t="str">
            <v>12615</v>
          </cell>
          <cell r="C599" t="str">
            <v>CUCHARA CHOCOLATE BELGA (CAJA:20 UND)</v>
          </cell>
          <cell r="D599" t="str">
            <v>20300007</v>
          </cell>
          <cell r="E599" t="str">
            <v>MATERIAS PRIMAS PLANTA</v>
          </cell>
          <cell r="F599" t="str">
            <v>1 CAJA</v>
          </cell>
          <cell r="G599">
            <v>500</v>
          </cell>
          <cell r="H599" t="str">
            <v>12/06/2020</v>
          </cell>
          <cell r="I599">
            <v>13000</v>
          </cell>
          <cell r="J599" t="e">
            <v>#N/A</v>
          </cell>
          <cell r="K599">
            <v>20</v>
          </cell>
          <cell r="L599" t="e">
            <v>#N/A</v>
          </cell>
        </row>
        <row r="600">
          <cell r="A600" t="str">
            <v>20300008</v>
          </cell>
          <cell r="B600" t="str">
            <v>12481</v>
          </cell>
          <cell r="C600" t="str">
            <v>GALLETA DE FIGURA BOLSA</v>
          </cell>
          <cell r="D600" t="str">
            <v>20300008</v>
          </cell>
          <cell r="E600" t="str">
            <v>MATERIAS PRIMAS PLANTA</v>
          </cell>
          <cell r="F600" t="str">
            <v>1 UND</v>
          </cell>
          <cell r="G600">
            <v>500</v>
          </cell>
          <cell r="H600" t="str">
            <v>13/06/2020</v>
          </cell>
          <cell r="I600" t="e">
            <v>#N/A</v>
          </cell>
          <cell r="J600" t="e">
            <v>#N/A</v>
          </cell>
          <cell r="K600">
            <v>20</v>
          </cell>
          <cell r="L600" t="e">
            <v>#N/A</v>
          </cell>
        </row>
        <row r="601">
          <cell r="A601" t="str">
            <v>20400022</v>
          </cell>
          <cell r="B601" t="str">
            <v>11409</v>
          </cell>
          <cell r="C601" t="str">
            <v>CAJETA GRANDE (CAJA:6 UND)</v>
          </cell>
          <cell r="D601" t="str">
            <v>20400022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16/06/2020</v>
          </cell>
          <cell r="I601" t="e">
            <v>#N/A</v>
          </cell>
          <cell r="J601" t="e">
            <v>#N/A</v>
          </cell>
          <cell r="K601">
            <v>5000</v>
          </cell>
          <cell r="L601" t="e">
            <v>#N/A</v>
          </cell>
          <cell r="M601" t="str">
            <v>Gramos</v>
          </cell>
        </row>
        <row r="602">
          <cell r="A602" t="str">
            <v>20400051</v>
          </cell>
          <cell r="B602" t="str">
            <v>13081</v>
          </cell>
          <cell r="C602" t="str">
            <v>CROCANTE DE NUEZ (CAJA:6 UND)</v>
          </cell>
          <cell r="D602" t="str">
            <v>20400051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15/06/2020</v>
          </cell>
          <cell r="I602">
            <v>3510</v>
          </cell>
          <cell r="J602">
            <v>3510</v>
          </cell>
          <cell r="K602">
            <v>1000</v>
          </cell>
          <cell r="L602" t="e">
            <v>#DIV/0!</v>
          </cell>
          <cell r="M602" t="str">
            <v>Gramos</v>
          </cell>
        </row>
        <row r="603">
          <cell r="A603" t="str">
            <v>20400118</v>
          </cell>
          <cell r="B603" t="str">
            <v>16622</v>
          </cell>
          <cell r="C603" t="str">
            <v>EMPANIZADOR DE POLLO (PAQ:KILO) COMEDOR</v>
          </cell>
          <cell r="D603" t="str">
            <v>20400118</v>
          </cell>
          <cell r="E603" t="str">
            <v>MATERIAS PRIMAS PLANTA</v>
          </cell>
          <cell r="F603" t="str">
            <v>1 PAQUETE</v>
          </cell>
          <cell r="G603">
            <v>500</v>
          </cell>
          <cell r="H603" t="str">
            <v>05/06/2020</v>
          </cell>
          <cell r="I603">
            <v>2057</v>
          </cell>
          <cell r="J603" t="e">
            <v>#N/A</v>
          </cell>
          <cell r="K603">
            <v>1000</v>
          </cell>
          <cell r="L603" t="e">
            <v>#N/A</v>
          </cell>
          <cell r="M603" t="str">
            <v>Gramos</v>
          </cell>
        </row>
        <row r="604">
          <cell r="A604" t="str">
            <v>20400120</v>
          </cell>
          <cell r="B604" t="str">
            <v>16632</v>
          </cell>
          <cell r="C604" t="str">
            <v>CHOCO SNICKERS ALMENDRA (CJ:24 Paq)COMED</v>
          </cell>
          <cell r="D604" t="str">
            <v>20400120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11216</v>
          </cell>
          <cell r="J604" t="e">
            <v>#N/A</v>
          </cell>
          <cell r="K604">
            <v>1000</v>
          </cell>
          <cell r="L604" t="e">
            <v>#N/A</v>
          </cell>
          <cell r="M604" t="str">
            <v>Gramos</v>
          </cell>
        </row>
        <row r="605">
          <cell r="A605" t="str">
            <v>20400121</v>
          </cell>
          <cell r="B605" t="str">
            <v>16633</v>
          </cell>
          <cell r="C605" t="str">
            <v>CHOCOLATE SNICKERS (CAJA:48 PAQ) COMEDOR</v>
          </cell>
          <cell r="D605" t="str">
            <v>20400121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22567</v>
          </cell>
          <cell r="J605" t="e">
            <v>#N/A</v>
          </cell>
          <cell r="K605">
            <v>454</v>
          </cell>
          <cell r="L605" t="e">
            <v>#N/A</v>
          </cell>
          <cell r="M605" t="str">
            <v>Gramos</v>
          </cell>
        </row>
        <row r="606">
          <cell r="A606" t="str">
            <v>20400122</v>
          </cell>
          <cell r="B606" t="str">
            <v>16634</v>
          </cell>
          <cell r="C606" t="str">
            <v>CHOCOLATE M&amp;M ( CAJA:36 PAQ ) COMEDOR</v>
          </cell>
          <cell r="D606" t="str">
            <v>20400122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 t="e">
            <v>#N/A</v>
          </cell>
          <cell r="J606" t="e">
            <v>#N/A</v>
          </cell>
          <cell r="K606">
            <v>1000</v>
          </cell>
          <cell r="L606" t="e">
            <v>#N/A</v>
          </cell>
          <cell r="M606" t="str">
            <v>Mililitros</v>
          </cell>
        </row>
        <row r="607">
          <cell r="A607" t="str">
            <v>20400123</v>
          </cell>
          <cell r="B607" t="str">
            <v>16635</v>
          </cell>
          <cell r="C607" t="str">
            <v>CHOCOLATE M&amp;M PEANUT (CJ:48 PAQ ) COMEDO</v>
          </cell>
          <cell r="D607" t="str">
            <v>20400123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>
            <v>22567</v>
          </cell>
          <cell r="J607" t="e">
            <v>#N/A</v>
          </cell>
          <cell r="K607">
            <v>1000</v>
          </cell>
          <cell r="L607" t="e">
            <v>#N/A</v>
          </cell>
          <cell r="M607" t="str">
            <v>Mililitros</v>
          </cell>
        </row>
        <row r="608">
          <cell r="A608" t="str">
            <v>20400124</v>
          </cell>
          <cell r="B608" t="str">
            <v>16636</v>
          </cell>
          <cell r="C608" t="str">
            <v>MAYONESA ( UNIDAD ) COMEDOR</v>
          </cell>
          <cell r="D608" t="str">
            <v>20400124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8074</v>
          </cell>
          <cell r="J608">
            <v>6227</v>
          </cell>
          <cell r="L608" t="e">
            <v>#DIV/0!</v>
          </cell>
        </row>
        <row r="609">
          <cell r="A609" t="str">
            <v>20400125</v>
          </cell>
          <cell r="B609" t="str">
            <v>16637</v>
          </cell>
          <cell r="C609" t="str">
            <v>CHILERA ( UNIDAD ) COMEDOR</v>
          </cell>
          <cell r="D609" t="str">
            <v>20400125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2657</v>
          </cell>
          <cell r="J609">
            <v>2737</v>
          </cell>
          <cell r="K609">
            <v>160</v>
          </cell>
          <cell r="L609" t="e">
            <v>#DIV/0!</v>
          </cell>
        </row>
        <row r="610">
          <cell r="A610" t="str">
            <v>20400134</v>
          </cell>
          <cell r="B610" t="str">
            <v>16646</v>
          </cell>
          <cell r="C610" t="str">
            <v>PLATANO VERDE LIMON PRO (PAQ:24 UND)COME</v>
          </cell>
          <cell r="D610" t="str">
            <v>20400134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09/06/2020</v>
          </cell>
          <cell r="I610" t="e">
            <v>#N/A</v>
          </cell>
          <cell r="J610" t="e">
            <v>#N/A</v>
          </cell>
          <cell r="K610">
            <v>24</v>
          </cell>
          <cell r="L610" t="e">
            <v>#N/A</v>
          </cell>
        </row>
        <row r="611">
          <cell r="A611" t="str">
            <v>20400135</v>
          </cell>
          <cell r="B611" t="str">
            <v>16647</v>
          </cell>
          <cell r="C611" t="str">
            <v>PLATANO MADURO NAT PRO (PAQ:24 UND)COMED</v>
          </cell>
          <cell r="D611" t="str">
            <v>20400135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 t="e">
            <v>#N/A</v>
          </cell>
          <cell r="K611">
            <v>24</v>
          </cell>
          <cell r="L611" t="e">
            <v>#N/A</v>
          </cell>
        </row>
        <row r="612">
          <cell r="A612" t="str">
            <v>20400136</v>
          </cell>
          <cell r="B612" t="str">
            <v>16648</v>
          </cell>
          <cell r="C612" t="str">
            <v>YUCA CREMA Y CEBOLLA (PAQ:24 UND)COMEDOR</v>
          </cell>
          <cell r="D612" t="str">
            <v>20400136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 t="e">
            <v>#N/A</v>
          </cell>
          <cell r="K612">
            <v>24</v>
          </cell>
          <cell r="L612" t="e">
            <v>#N/A</v>
          </cell>
        </row>
        <row r="613">
          <cell r="A613" t="str">
            <v>20400137</v>
          </cell>
          <cell r="B613" t="str">
            <v>16649</v>
          </cell>
          <cell r="C613" t="str">
            <v>YUCA CON SAL (PAQ: 24 UND) COMEDOR</v>
          </cell>
          <cell r="D613" t="str">
            <v>20400137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08/06/2020</v>
          </cell>
          <cell r="I613" t="e">
            <v>#N/A</v>
          </cell>
          <cell r="J613" t="e">
            <v>#N/A</v>
          </cell>
          <cell r="K613">
            <v>24</v>
          </cell>
          <cell r="L613" t="e">
            <v>#N/A</v>
          </cell>
        </row>
        <row r="614">
          <cell r="A614" t="str">
            <v>50100028</v>
          </cell>
          <cell r="B614" t="str">
            <v>15349</v>
          </cell>
          <cell r="C614" t="str">
            <v>BANDEJA ALUM 34*25 108 ONZ 394 (CJ:100)</v>
          </cell>
          <cell r="D614" t="str">
            <v>50100028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30/05/2020</v>
          </cell>
          <cell r="I614">
            <v>38609</v>
          </cell>
          <cell r="J614" t="e">
            <v>#N/A</v>
          </cell>
          <cell r="K614">
            <v>100</v>
          </cell>
          <cell r="L614" t="e">
            <v>#N/A</v>
          </cell>
        </row>
        <row r="615">
          <cell r="A615" t="str">
            <v>50100031</v>
          </cell>
          <cell r="B615" t="str">
            <v>15825</v>
          </cell>
          <cell r="C615" t="str">
            <v>RECIPIENTE DELI DARNEL 24OZ (CAJA:225 U)</v>
          </cell>
          <cell r="D615" t="str">
            <v>50100031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05/05/2020</v>
          </cell>
          <cell r="I615">
            <v>25300</v>
          </cell>
          <cell r="J615" t="e">
            <v>#N/A</v>
          </cell>
          <cell r="K615">
            <v>225</v>
          </cell>
          <cell r="L615" t="e">
            <v>#N/A</v>
          </cell>
        </row>
        <row r="616">
          <cell r="A616" t="str">
            <v>50100035</v>
          </cell>
          <cell r="B616" t="str">
            <v>15893</v>
          </cell>
          <cell r="C616" t="str">
            <v>TAPA CONT ALUMINIO 16 ONZ (CAJA:500 UND)</v>
          </cell>
          <cell r="D616" t="str">
            <v>50100035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 t="e">
            <v>#N/A</v>
          </cell>
          <cell r="K616">
            <v>500</v>
          </cell>
          <cell r="L616" t="e">
            <v>#N/A</v>
          </cell>
        </row>
        <row r="617">
          <cell r="A617" t="str">
            <v>50100036</v>
          </cell>
          <cell r="B617" t="str">
            <v>15894</v>
          </cell>
          <cell r="C617" t="str">
            <v>MOLDE ALUMINIO 16 ONZ (CAJA:500 UND)</v>
          </cell>
          <cell r="D617" t="str">
            <v>50100036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 t="e">
            <v>#N/A</v>
          </cell>
          <cell r="K617">
            <v>500</v>
          </cell>
          <cell r="L617" t="e">
            <v>#N/A</v>
          </cell>
        </row>
        <row r="618">
          <cell r="A618" t="str">
            <v>50100037</v>
          </cell>
          <cell r="B618" t="str">
            <v>16462</v>
          </cell>
          <cell r="C618" t="str">
            <v>MOLDE ALUMINIO RED 2058 (CAJA:500 UND)</v>
          </cell>
          <cell r="D618" t="str">
            <v>50100037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13/06/2020</v>
          </cell>
          <cell r="I618">
            <v>34500</v>
          </cell>
          <cell r="J618">
            <v>135</v>
          </cell>
          <cell r="K618">
            <v>1</v>
          </cell>
          <cell r="L618">
            <v>135</v>
          </cell>
        </row>
        <row r="619">
          <cell r="A619" t="str">
            <v>50100038</v>
          </cell>
          <cell r="B619" t="str">
            <v>16465</v>
          </cell>
          <cell r="C619" t="str">
            <v>TAPA MOLDE ALUMINIO RED 2058 (CAJA:500u)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15/06/2020</v>
          </cell>
          <cell r="I619">
            <v>15750</v>
          </cell>
          <cell r="J619">
            <v>40.31</v>
          </cell>
          <cell r="K619">
            <v>1</v>
          </cell>
          <cell r="L619">
            <v>40.31</v>
          </cell>
        </row>
        <row r="620">
          <cell r="A620" t="str">
            <v>50200002</v>
          </cell>
          <cell r="B620" t="str">
            <v>16480</v>
          </cell>
          <cell r="C620" t="str">
            <v>BANDEJA ALUMINIO 18X14 (CAJA: 600 UND)</v>
          </cell>
          <cell r="D620" t="str">
            <v>50200002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85</v>
          </cell>
          <cell r="J620" t="e">
            <v>#N/A</v>
          </cell>
          <cell r="K620">
            <v>600</v>
          </cell>
          <cell r="L620" t="e">
            <v>#N/A</v>
          </cell>
        </row>
        <row r="621">
          <cell r="A621" t="str">
            <v>50200003</v>
          </cell>
          <cell r="B621" t="str">
            <v>16482</v>
          </cell>
          <cell r="C621" t="str">
            <v>TAPA ALUMINIO 18X14 (CAJA: 600 UND)</v>
          </cell>
          <cell r="D621" t="str">
            <v>50200003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73</v>
          </cell>
          <cell r="J621" t="e">
            <v>#N/A</v>
          </cell>
          <cell r="K621">
            <v>600</v>
          </cell>
          <cell r="L621" t="e">
            <v>#N/A</v>
          </cell>
          <cell r="M621" t="str">
            <v>Und</v>
          </cell>
        </row>
        <row r="622">
          <cell r="A622" t="str">
            <v>50400003</v>
          </cell>
          <cell r="B622" t="str">
            <v>11379</v>
          </cell>
          <cell r="C622" t="str">
            <v>CAJA MUSMANNI #2 (UND)</v>
          </cell>
          <cell r="D622" t="str">
            <v>50400003</v>
          </cell>
          <cell r="E622" t="str">
            <v>EMPAQUES PLANTA</v>
          </cell>
          <cell r="F622" t="str">
            <v>1 UND</v>
          </cell>
          <cell r="G622">
            <v>500</v>
          </cell>
          <cell r="H622" t="str">
            <v>10/06/2020</v>
          </cell>
          <cell r="I622">
            <v>205</v>
          </cell>
          <cell r="J622">
            <v>225</v>
          </cell>
          <cell r="K622">
            <v>1</v>
          </cell>
          <cell r="L622">
            <v>225</v>
          </cell>
          <cell r="M622" t="str">
            <v>Und</v>
          </cell>
        </row>
        <row r="623">
          <cell r="A623" t="str">
            <v>50400014</v>
          </cell>
          <cell r="B623" t="str">
            <v>15527</v>
          </cell>
          <cell r="C623" t="str">
            <v>CAJA PEQUEÑA OFFICE BREAK (CAJA:625 UND)</v>
          </cell>
          <cell r="D623" t="str">
            <v>50400014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43437.5</v>
          </cell>
          <cell r="J623">
            <v>47812.5</v>
          </cell>
          <cell r="K623">
            <v>625</v>
          </cell>
          <cell r="L623">
            <v>76.5</v>
          </cell>
          <cell r="M623" t="str">
            <v>Und</v>
          </cell>
        </row>
        <row r="624">
          <cell r="A624" t="str">
            <v>50400015</v>
          </cell>
          <cell r="B624" t="str">
            <v>15528</v>
          </cell>
          <cell r="C624" t="str">
            <v>CAJA MEDIANA OFFICE BREAK (CAJA:400 UND)</v>
          </cell>
          <cell r="D624" t="str">
            <v>50400015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15/06/2020</v>
          </cell>
          <cell r="I624">
            <v>34000</v>
          </cell>
          <cell r="J624">
            <v>38800</v>
          </cell>
          <cell r="K624">
            <v>400</v>
          </cell>
          <cell r="L624">
            <v>97</v>
          </cell>
          <cell r="M624" t="str">
            <v>Und</v>
          </cell>
        </row>
        <row r="625">
          <cell r="A625" t="str">
            <v>50400016</v>
          </cell>
          <cell r="B625" t="str">
            <v>15529</v>
          </cell>
          <cell r="C625" t="str">
            <v>CAJA GRANDE OFFICE BREAK (CAJA:280 UND)</v>
          </cell>
          <cell r="D625" t="str">
            <v>50400016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08/05/2020</v>
          </cell>
          <cell r="I625">
            <v>32760</v>
          </cell>
          <cell r="J625" t="e">
            <v>#N/A</v>
          </cell>
          <cell r="K625">
            <v>280</v>
          </cell>
          <cell r="L625" t="e">
            <v>#N/A</v>
          </cell>
          <cell r="M625" t="str">
            <v>Und</v>
          </cell>
        </row>
        <row r="626">
          <cell r="A626" t="str">
            <v>50400017</v>
          </cell>
          <cell r="B626" t="str">
            <v>15530</v>
          </cell>
          <cell r="C626" t="str">
            <v>CAJA PORCION OFFICE BREAK (CAJA:950 UND)</v>
          </cell>
          <cell r="D626" t="str">
            <v>50400017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27/05/2020</v>
          </cell>
          <cell r="I626">
            <v>56050</v>
          </cell>
          <cell r="J626">
            <v>62700</v>
          </cell>
          <cell r="K626">
            <v>950</v>
          </cell>
          <cell r="L626">
            <v>66</v>
          </cell>
          <cell r="M626"/>
        </row>
        <row r="627">
          <cell r="A627" t="str">
            <v>50500003</v>
          </cell>
          <cell r="B627" t="str">
            <v>12118</v>
          </cell>
          <cell r="C627" t="str">
            <v>CANDELA CARITAS COLORES (UND)</v>
          </cell>
          <cell r="D627" t="str">
            <v>50500003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23/05/2020</v>
          </cell>
          <cell r="I627">
            <v>765</v>
          </cell>
          <cell r="J627">
            <v>765</v>
          </cell>
          <cell r="K627">
            <v>1</v>
          </cell>
          <cell r="L627">
            <v>765</v>
          </cell>
          <cell r="M627" t="str">
            <v>Und</v>
          </cell>
        </row>
        <row r="628">
          <cell r="A628" t="str">
            <v>50500004</v>
          </cell>
          <cell r="B628" t="str">
            <v>12119</v>
          </cell>
          <cell r="C628" t="str">
            <v>CANDELA GLOBOS SURTIDO COLORES (UND)</v>
          </cell>
          <cell r="D628" t="str">
            <v>50500004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725</v>
          </cell>
          <cell r="J628">
            <v>725</v>
          </cell>
          <cell r="K628">
            <v>1</v>
          </cell>
          <cell r="L628">
            <v>725</v>
          </cell>
        </row>
        <row r="629">
          <cell r="A629" t="str">
            <v>50500005</v>
          </cell>
          <cell r="B629" t="str">
            <v>12120</v>
          </cell>
          <cell r="C629" t="str">
            <v>CANDELA FELIZ ESCARCHA SURTIDA (UND)</v>
          </cell>
          <cell r="D629" t="str">
            <v>50500005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08/06/2020</v>
          </cell>
          <cell r="I629">
            <v>750</v>
          </cell>
          <cell r="J629">
            <v>750</v>
          </cell>
          <cell r="K629">
            <v>1</v>
          </cell>
          <cell r="L629" t="e">
            <v>#DIV/0!</v>
          </cell>
        </row>
        <row r="630">
          <cell r="A630" t="str">
            <v>50600003</v>
          </cell>
          <cell r="B630" t="str">
            <v>15524</v>
          </cell>
          <cell r="C630" t="str">
            <v>CAPSULA # 5 BLANCA (PAQ:1000 UND)</v>
          </cell>
          <cell r="D630" t="str">
            <v>50600003</v>
          </cell>
          <cell r="E630" t="str">
            <v>EMPAQUES PLANTA</v>
          </cell>
          <cell r="F630" t="str">
            <v>1 PAQUETE</v>
          </cell>
          <cell r="G630">
            <v>500</v>
          </cell>
          <cell r="H630" t="str">
            <v>27/12/2019</v>
          </cell>
          <cell r="I630">
            <v>8600</v>
          </cell>
          <cell r="J630">
            <v>8600</v>
          </cell>
          <cell r="K630">
            <v>1000</v>
          </cell>
          <cell r="L630">
            <v>8.6</v>
          </cell>
          <cell r="M630" t="str">
            <v>Und</v>
          </cell>
        </row>
        <row r="631">
          <cell r="A631" t="str">
            <v>50700006</v>
          </cell>
          <cell r="B631" t="str">
            <v>11250</v>
          </cell>
          <cell r="C631" t="str">
            <v xml:space="preserve">CONTENEDOR FOAM KFC 8OZ (CAJA:1000 UND) </v>
          </cell>
          <cell r="D631" t="str">
            <v>50700006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26392</v>
          </cell>
          <cell r="J631" t="e">
            <v>#N/A</v>
          </cell>
          <cell r="K631">
            <v>1000</v>
          </cell>
          <cell r="L631" t="e">
            <v>#N/A</v>
          </cell>
          <cell r="M631" t="str">
            <v>Und</v>
          </cell>
        </row>
        <row r="632">
          <cell r="A632" t="str">
            <v>50700007</v>
          </cell>
          <cell r="B632" t="str">
            <v>12723</v>
          </cell>
          <cell r="C632" t="str">
            <v>TAPA PLAST CONT KFC 4-8-16OZ (CAJA:1000)</v>
          </cell>
          <cell r="D632" t="str">
            <v>50700007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10/06/2020</v>
          </cell>
          <cell r="I632">
            <v>15140</v>
          </cell>
          <cell r="J632" t="e">
            <v>#N/A</v>
          </cell>
          <cell r="K632">
            <v>1000</v>
          </cell>
          <cell r="L632" t="e">
            <v>#N/A</v>
          </cell>
          <cell r="M632" t="str">
            <v>Und</v>
          </cell>
        </row>
        <row r="633">
          <cell r="A633" t="str">
            <v>50700016</v>
          </cell>
          <cell r="B633" t="str">
            <v>5810</v>
          </cell>
          <cell r="C633" t="str">
            <v>CONT.24 ONZ.TAPA PLANA (CAJA:200 UND)</v>
          </cell>
          <cell r="D633" t="str">
            <v>50700016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14/02/2020</v>
          </cell>
          <cell r="I633" t="e">
            <v>#N/A</v>
          </cell>
          <cell r="J633" t="e">
            <v>#N/A</v>
          </cell>
          <cell r="K633">
            <v>200</v>
          </cell>
          <cell r="L633" t="e">
            <v>#N/A</v>
          </cell>
          <cell r="M633" t="str">
            <v>Und</v>
          </cell>
        </row>
        <row r="634">
          <cell r="A634" t="str">
            <v>50700028</v>
          </cell>
          <cell r="B634" t="str">
            <v>13581</v>
          </cell>
          <cell r="C634" t="str">
            <v>CONTENEDOR PLAS SUFLE 1 OZ (PAQ:200 UND)</v>
          </cell>
          <cell r="D634" t="str">
            <v>50700028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15/06/2020</v>
          </cell>
          <cell r="I634">
            <v>1320.32</v>
          </cell>
          <cell r="J634" t="e">
            <v>#N/A</v>
          </cell>
          <cell r="K634">
            <v>200</v>
          </cell>
          <cell r="L634" t="e">
            <v>#N/A</v>
          </cell>
          <cell r="M634" t="str">
            <v>Und</v>
          </cell>
        </row>
        <row r="635">
          <cell r="A635" t="str">
            <v>50700029</v>
          </cell>
          <cell r="B635" t="str">
            <v>14055</v>
          </cell>
          <cell r="C635" t="str">
            <v>CONTENEDOR SUFLE 2 ONZ (PAQ:200 UND)</v>
          </cell>
          <cell r="D635" t="str">
            <v>50700029</v>
          </cell>
          <cell r="E635" t="str">
            <v>EMPAQUES PLANTA</v>
          </cell>
          <cell r="F635" t="str">
            <v>1 PAQUETE</v>
          </cell>
          <cell r="G635">
            <v>500</v>
          </cell>
          <cell r="H635" t="str">
            <v>21/05/2020</v>
          </cell>
          <cell r="I635">
            <v>1615.9166666666699</v>
          </cell>
          <cell r="J635" t="e">
            <v>#N/A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50700039</v>
          </cell>
          <cell r="B636" t="str">
            <v>15135</v>
          </cell>
          <cell r="C636" t="str">
            <v>TAPA UNIVERL POLI BOTE 16PP (CJ:500 UND)</v>
          </cell>
          <cell r="D636" t="str">
            <v>50700039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12/06/2020</v>
          </cell>
          <cell r="I636">
            <v>10825.22</v>
          </cell>
          <cell r="J636" t="e">
            <v>#N/A</v>
          </cell>
          <cell r="K636">
            <v>500</v>
          </cell>
          <cell r="L636" t="e">
            <v>#N/A</v>
          </cell>
          <cell r="M636" t="str">
            <v>Und</v>
          </cell>
        </row>
        <row r="637">
          <cell r="A637" t="str">
            <v>50700040</v>
          </cell>
          <cell r="B637" t="str">
            <v>15136</v>
          </cell>
          <cell r="C637" t="str">
            <v>CONTENEDOR PLAST 4 OZ (CAJA: 15 PAQ)</v>
          </cell>
          <cell r="D637" t="str">
            <v>50700040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19/03/2020</v>
          </cell>
          <cell r="I637">
            <v>51805</v>
          </cell>
          <cell r="J637">
            <v>47090</v>
          </cell>
          <cell r="K637">
            <v>200</v>
          </cell>
          <cell r="L637" t="e">
            <v>#DIV/0!</v>
          </cell>
          <cell r="M637" t="str">
            <v>Und</v>
          </cell>
        </row>
        <row r="638">
          <cell r="A638" t="str">
            <v>50700042</v>
          </cell>
          <cell r="B638" t="str">
            <v>15147</v>
          </cell>
          <cell r="C638" t="str">
            <v>CONT COSTILLA BASE DOMO OP3 (CJ:250 UND)</v>
          </cell>
          <cell r="D638" t="str">
            <v>50700042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04/06/2020</v>
          </cell>
          <cell r="I638">
            <v>23825.1</v>
          </cell>
          <cell r="J638" t="e">
            <v>#N/A</v>
          </cell>
          <cell r="K638">
            <v>250</v>
          </cell>
          <cell r="L638" t="e">
            <v>#N/A</v>
          </cell>
          <cell r="M638" t="str">
            <v>Und</v>
          </cell>
        </row>
        <row r="639">
          <cell r="A639" t="str">
            <v>50700043</v>
          </cell>
          <cell r="B639" t="str">
            <v>15157</v>
          </cell>
          <cell r="C639" t="str">
            <v>BISAGRA P/PASTEL ROSCA (CAJA: 180 UND)</v>
          </cell>
          <cell r="D639" t="str">
            <v>50700043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21/05/2020</v>
          </cell>
          <cell r="I639">
            <v>39375.800000000003</v>
          </cell>
          <cell r="J639" t="e">
            <v>#N/A</v>
          </cell>
          <cell r="K639">
            <v>180</v>
          </cell>
          <cell r="L639" t="e">
            <v>#N/A</v>
          </cell>
        </row>
        <row r="640">
          <cell r="A640" t="str">
            <v>50700044</v>
          </cell>
          <cell r="B640" t="str">
            <v>15311</v>
          </cell>
          <cell r="C640" t="str">
            <v>CONTENEDOR POLIPROP 8 ONZ (CJ:500 UND)</v>
          </cell>
          <cell r="D640" t="str">
            <v>50700044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12/06/2020</v>
          </cell>
          <cell r="I640">
            <v>16576.87</v>
          </cell>
          <cell r="J640" t="e">
            <v>#N/A</v>
          </cell>
          <cell r="K640">
            <v>500</v>
          </cell>
          <cell r="L640" t="e">
            <v>#N/A</v>
          </cell>
        </row>
        <row r="641">
          <cell r="A641" t="str">
            <v>50700045</v>
          </cell>
          <cell r="B641" t="str">
            <v>15390</v>
          </cell>
          <cell r="C641" t="str">
            <v>BISAGRA 6 MANTECADA 24*16*8 (CJ:250 UND)</v>
          </cell>
          <cell r="D641" t="str">
            <v>50700045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20/02/2020</v>
          </cell>
          <cell r="I641" t="e">
            <v>#N/A</v>
          </cell>
          <cell r="J641" t="e">
            <v>#N/A</v>
          </cell>
          <cell r="K641">
            <v>250</v>
          </cell>
          <cell r="L641" t="e">
            <v>#N/A</v>
          </cell>
          <cell r="M641" t="str">
            <v>Und</v>
          </cell>
        </row>
        <row r="642">
          <cell r="A642" t="str">
            <v>51000003</v>
          </cell>
          <cell r="B642" t="str">
            <v>9473</v>
          </cell>
          <cell r="C642" t="str">
            <v>ORLA 14.5" (UND)</v>
          </cell>
          <cell r="D642" t="str">
            <v>51000003</v>
          </cell>
          <cell r="E642" t="str">
            <v>EMPAQUES PLANTA</v>
          </cell>
          <cell r="F642" t="str">
            <v>1 UND</v>
          </cell>
          <cell r="G642">
            <v>500</v>
          </cell>
          <cell r="H642" t="str">
            <v>20/03/2020</v>
          </cell>
          <cell r="I642">
            <v>305</v>
          </cell>
          <cell r="J642" t="e">
            <v>#N/A</v>
          </cell>
          <cell r="K642">
            <v>1</v>
          </cell>
          <cell r="L642" t="e">
            <v>#N/A</v>
          </cell>
          <cell r="M642" t="str">
            <v>Und</v>
          </cell>
        </row>
        <row r="643">
          <cell r="A643" t="str">
            <v>51100018</v>
          </cell>
          <cell r="B643" t="str">
            <v>14562</v>
          </cell>
          <cell r="C643" t="str">
            <v>PAPEL ENCERADO 12X12 (PAQ:1000 UND)</v>
          </cell>
          <cell r="D643" t="str">
            <v>51100018</v>
          </cell>
          <cell r="E643" t="str">
            <v>EMPAQUES PLANTA</v>
          </cell>
          <cell r="F643" t="str">
            <v>1 PAQUETE</v>
          </cell>
          <cell r="G643">
            <v>500</v>
          </cell>
          <cell r="H643" t="str">
            <v>19/05/2020</v>
          </cell>
          <cell r="I643">
            <v>14092.2</v>
          </cell>
          <cell r="J643" t="e">
            <v>#N/A</v>
          </cell>
          <cell r="K643">
            <v>1000</v>
          </cell>
          <cell r="L643" t="e">
            <v>#N/A</v>
          </cell>
          <cell r="M643" t="str">
            <v>Und</v>
          </cell>
        </row>
        <row r="644">
          <cell r="A644" t="str">
            <v>51400001</v>
          </cell>
          <cell r="B644" t="str">
            <v>10089</v>
          </cell>
          <cell r="C644" t="str">
            <v>QUEQUERA RECTANGULAR 1/2 (CAJA:35 UND)</v>
          </cell>
          <cell r="D644" t="str">
            <v>51400001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05/06/2020</v>
          </cell>
          <cell r="I644">
            <v>42933</v>
          </cell>
          <cell r="J644">
            <v>52728</v>
          </cell>
          <cell r="K644">
            <v>35</v>
          </cell>
          <cell r="L644">
            <v>1506.5142857142857</v>
          </cell>
          <cell r="M644" t="str">
            <v>Und</v>
          </cell>
        </row>
        <row r="645">
          <cell r="A645" t="str">
            <v>51400015</v>
          </cell>
          <cell r="B645" t="str">
            <v>12720</v>
          </cell>
          <cell r="C645" t="str">
            <v>QUEQUERA CHILENA (CAJA:50 UND)</v>
          </cell>
          <cell r="D645" t="str">
            <v>51400015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10/06/2020</v>
          </cell>
          <cell r="I645">
            <v>25542</v>
          </cell>
          <cell r="J645">
            <v>29627</v>
          </cell>
          <cell r="K645">
            <v>50</v>
          </cell>
          <cell r="L645">
            <v>592.54</v>
          </cell>
          <cell r="M645" t="str">
            <v>Und</v>
          </cell>
        </row>
        <row r="646">
          <cell r="A646" t="str">
            <v>51400016</v>
          </cell>
          <cell r="B646" t="str">
            <v>12721</v>
          </cell>
          <cell r="C646" t="str">
            <v>DOMO QUEQUERA 8" ALTA (CAJA:100 UND)</v>
          </cell>
          <cell r="D646" t="str">
            <v>51400016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12/06/2020</v>
          </cell>
          <cell r="I646">
            <v>18595</v>
          </cell>
          <cell r="J646">
            <v>23733</v>
          </cell>
          <cell r="K646">
            <v>100</v>
          </cell>
          <cell r="L646">
            <v>237.33</v>
          </cell>
          <cell r="M646" t="str">
            <v>Und</v>
          </cell>
        </row>
        <row r="647">
          <cell r="A647" t="str">
            <v>51400017</v>
          </cell>
          <cell r="B647" t="str">
            <v>12722</v>
          </cell>
          <cell r="C647" t="str">
            <v>BASE QUEQUERA 8" ALTA (CAJA:200 UND)</v>
          </cell>
          <cell r="D647" t="str">
            <v>51400017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08/06/2020</v>
          </cell>
          <cell r="I647">
            <v>22127</v>
          </cell>
          <cell r="J647">
            <v>26583</v>
          </cell>
          <cell r="K647">
            <v>200</v>
          </cell>
          <cell r="L647">
            <v>132.91499999999999</v>
          </cell>
          <cell r="M647" t="str">
            <v>Und</v>
          </cell>
        </row>
        <row r="648">
          <cell r="A648" t="str">
            <v>51400020</v>
          </cell>
          <cell r="B648" t="str">
            <v>14983</v>
          </cell>
          <cell r="C648" t="str">
            <v>BURBUJA I-3 ALTA (CAJA:250 UND)</v>
          </cell>
          <cell r="D648" t="str">
            <v>51400020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7528.32</v>
          </cell>
          <cell r="J648">
            <v>7528.32</v>
          </cell>
          <cell r="K648">
            <v>250</v>
          </cell>
          <cell r="L648">
            <v>30.11328</v>
          </cell>
          <cell r="M648" t="str">
            <v>Und</v>
          </cell>
        </row>
        <row r="649">
          <cell r="A649" t="str">
            <v>51400021</v>
          </cell>
          <cell r="B649" t="str">
            <v>15022</v>
          </cell>
          <cell r="C649" t="str">
            <v>QUEQUERA RED C/BASE ALTA 9" (CAJA:100 U)</v>
          </cell>
          <cell r="D649" t="str">
            <v>51400021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12/06/2020</v>
          </cell>
          <cell r="I649">
            <v>36645</v>
          </cell>
          <cell r="J649">
            <v>38742</v>
          </cell>
          <cell r="K649">
            <v>100</v>
          </cell>
          <cell r="L649">
            <v>387.42</v>
          </cell>
          <cell r="M649" t="str">
            <v>Und</v>
          </cell>
        </row>
        <row r="650">
          <cell r="A650" t="str">
            <v>51400022</v>
          </cell>
          <cell r="B650" t="str">
            <v>15028</v>
          </cell>
          <cell r="C650" t="str">
            <v>BOWL FIBRA 24 ONZ COMPOST (PAQ:125 UND)</v>
          </cell>
          <cell r="D650" t="str">
            <v>51400022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27/05/2020</v>
          </cell>
          <cell r="I650">
            <v>23.75</v>
          </cell>
          <cell r="J650">
            <v>16766.137500000001</v>
          </cell>
          <cell r="K650">
            <v>125</v>
          </cell>
          <cell r="L650">
            <v>134.12909999999999</v>
          </cell>
          <cell r="M650" t="str">
            <v>Und</v>
          </cell>
        </row>
        <row r="651">
          <cell r="A651" t="str">
            <v>51400023</v>
          </cell>
          <cell r="B651" t="str">
            <v>15029</v>
          </cell>
          <cell r="C651" t="str">
            <v>BOWL FIBRA 32 ONZ COMPOST (PAQ:125 UND)</v>
          </cell>
          <cell r="D651" t="str">
            <v>51400023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29/05/2020</v>
          </cell>
          <cell r="I651">
            <v>25.5</v>
          </cell>
          <cell r="J651">
            <v>17564.525000000001</v>
          </cell>
          <cell r="K651">
            <v>125</v>
          </cell>
          <cell r="L651">
            <v>140.5162</v>
          </cell>
          <cell r="M651" t="str">
            <v>Und</v>
          </cell>
        </row>
        <row r="652">
          <cell r="A652" t="str">
            <v>51400024</v>
          </cell>
          <cell r="B652" t="str">
            <v>15030</v>
          </cell>
          <cell r="C652" t="str">
            <v>TAPA  BOWL 16/24/32 ONZ (PAQ:125 UND)</v>
          </cell>
          <cell r="D652" t="str">
            <v>51400024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08/06/2020</v>
          </cell>
          <cell r="I652">
            <v>17.125</v>
          </cell>
          <cell r="J652">
            <v>12774.2</v>
          </cell>
          <cell r="K652">
            <v>125</v>
          </cell>
          <cell r="L652">
            <v>102.1936</v>
          </cell>
          <cell r="M652" t="str">
            <v>Und</v>
          </cell>
        </row>
        <row r="653">
          <cell r="A653" t="str">
            <v>51400025</v>
          </cell>
          <cell r="B653" t="str">
            <v>15031</v>
          </cell>
          <cell r="C653" t="str">
            <v>BANDEJA FIBRA 2 DIVISIONES (PAQ:50 UND)</v>
          </cell>
          <cell r="D653" t="str">
            <v>51400025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9.4</v>
          </cell>
          <cell r="J653" t="e">
            <v>#N/A</v>
          </cell>
          <cell r="K653">
            <v>50</v>
          </cell>
          <cell r="L653" t="e">
            <v>#N/A</v>
          </cell>
          <cell r="M653"/>
        </row>
        <row r="654">
          <cell r="A654" t="str">
            <v>51400026</v>
          </cell>
          <cell r="B654" t="str">
            <v>15032</v>
          </cell>
          <cell r="C654" t="str">
            <v>BANDEJA FIBRA 3 DIVISIONES (PAQ:50 UND)</v>
          </cell>
          <cell r="D654" t="str">
            <v>51400026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11/06/2020</v>
          </cell>
          <cell r="I654">
            <v>11.15</v>
          </cell>
          <cell r="J654">
            <v>7983.875</v>
          </cell>
          <cell r="K654">
            <v>50</v>
          </cell>
          <cell r="L654">
            <v>159.67750000000001</v>
          </cell>
          <cell r="M654" t="str">
            <v>Und</v>
          </cell>
        </row>
        <row r="655">
          <cell r="A655" t="str">
            <v>51400027</v>
          </cell>
          <cell r="B655" t="str">
            <v>15033</v>
          </cell>
          <cell r="C655" t="str">
            <v>TAPA BOWL SOPA 8 ONZ (PAQ:50 UND)</v>
          </cell>
          <cell r="D655" t="str">
            <v>51400027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09/06/2020</v>
          </cell>
          <cell r="I655">
            <v>4.8499999999999996</v>
          </cell>
          <cell r="J655">
            <v>3526.105</v>
          </cell>
          <cell r="K655">
            <v>50</v>
          </cell>
          <cell r="L655">
            <v>70.522099999999995</v>
          </cell>
        </row>
        <row r="656">
          <cell r="A656" t="str">
            <v>51400028</v>
          </cell>
          <cell r="B656" t="str">
            <v>15034</v>
          </cell>
          <cell r="C656" t="str">
            <v>BOWL FIBRA SOPA 16 ONZ (PAQ:50 UND)</v>
          </cell>
          <cell r="D656" t="str">
            <v>51400028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27/03/2020</v>
          </cell>
          <cell r="I656">
            <v>7.65</v>
          </cell>
          <cell r="J656">
            <v>7345.165</v>
          </cell>
          <cell r="K656">
            <v>50</v>
          </cell>
          <cell r="L656">
            <v>146.9033</v>
          </cell>
        </row>
        <row r="657">
          <cell r="A657" t="str">
            <v>51400029</v>
          </cell>
          <cell r="B657" t="str">
            <v>15035</v>
          </cell>
          <cell r="C657" t="str">
            <v>BOWL FIBRA 16 ONZ COMPOST (PAQ:125 UND)</v>
          </cell>
          <cell r="D657" t="str">
            <v>51400029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03/06/2020</v>
          </cell>
          <cell r="I657">
            <v>16.5</v>
          </cell>
          <cell r="J657" t="e">
            <v>#N/A</v>
          </cell>
          <cell r="K657">
            <v>125</v>
          </cell>
          <cell r="L657" t="e">
            <v>#N/A</v>
          </cell>
          <cell r="M657" t="str">
            <v>Und</v>
          </cell>
        </row>
        <row r="658">
          <cell r="A658" t="str">
            <v>51400030</v>
          </cell>
          <cell r="B658" t="str">
            <v>15036</v>
          </cell>
          <cell r="C658" t="str">
            <v>TAPA FIBRA BANDEJA 2 DIV (PAQ:50 UND)</v>
          </cell>
          <cell r="D658" t="str">
            <v>51400030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11/06/2020</v>
          </cell>
          <cell r="I658">
            <v>7.85</v>
          </cell>
          <cell r="J658" t="e">
            <v>#N/A</v>
          </cell>
          <cell r="K658">
            <v>50</v>
          </cell>
          <cell r="L658" t="e">
            <v>#N/A</v>
          </cell>
        </row>
        <row r="659">
          <cell r="A659" t="str">
            <v>51400031</v>
          </cell>
          <cell r="B659" t="str">
            <v>15037</v>
          </cell>
          <cell r="C659" t="str">
            <v>TAPA FIBRA BANDEJA 3 DIV  (PAQ:50 UND)</v>
          </cell>
          <cell r="D659" t="str">
            <v>51400031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13/06/2020</v>
          </cell>
          <cell r="I659">
            <v>9.75</v>
          </cell>
          <cell r="J659">
            <v>7345.165</v>
          </cell>
          <cell r="K659">
            <v>50</v>
          </cell>
          <cell r="L659">
            <v>146.9033</v>
          </cell>
          <cell r="M659" t="str">
            <v>Und</v>
          </cell>
        </row>
        <row r="660">
          <cell r="A660" t="str">
            <v>51400032</v>
          </cell>
          <cell r="B660" t="str">
            <v>15038</v>
          </cell>
          <cell r="C660" t="str">
            <v>BOWL FIBRA SOPA 12 ONZ (PAQ:50 UND)</v>
          </cell>
          <cell r="D660" t="str">
            <v>51400032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08/06/2020</v>
          </cell>
          <cell r="I660">
            <v>6.85</v>
          </cell>
          <cell r="J660" t="e">
            <v>#N/A</v>
          </cell>
          <cell r="K660">
            <v>50</v>
          </cell>
          <cell r="L660" t="e">
            <v>#N/A</v>
          </cell>
          <cell r="M660" t="str">
            <v>Und</v>
          </cell>
        </row>
        <row r="661">
          <cell r="A661" t="str">
            <v>51400033</v>
          </cell>
          <cell r="B661" t="str">
            <v>15039</v>
          </cell>
          <cell r="C661" t="str">
            <v>TAPA BOWL SOPA 12/16/32 ONZ (PAQ:50 UND)</v>
          </cell>
          <cell r="D661" t="str">
            <v>51400033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09/06/2020</v>
          </cell>
          <cell r="I661">
            <v>94.147000000000006</v>
          </cell>
          <cell r="J661" t="e">
            <v>#N/A</v>
          </cell>
          <cell r="K661">
            <v>50</v>
          </cell>
          <cell r="L661" t="e">
            <v>#N/A</v>
          </cell>
          <cell r="M661" t="str">
            <v>Und</v>
          </cell>
        </row>
        <row r="662">
          <cell r="A662" t="str">
            <v>51400034</v>
          </cell>
          <cell r="B662" t="str">
            <v>15040</v>
          </cell>
          <cell r="C662" t="str">
            <v>BOWL FIBRA SOPA 8 ONZ (PAQ:50 UND)</v>
          </cell>
          <cell r="D662" t="str">
            <v>51400034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5.35</v>
          </cell>
          <cell r="J662">
            <v>3526.105</v>
          </cell>
          <cell r="K662">
            <v>50</v>
          </cell>
          <cell r="L662">
            <v>70.522099999999995</v>
          </cell>
          <cell r="M662" t="str">
            <v>Und</v>
          </cell>
        </row>
        <row r="663">
          <cell r="A663" t="str">
            <v>51400035</v>
          </cell>
          <cell r="B663" t="str">
            <v>15369</v>
          </cell>
          <cell r="C663" t="str">
            <v>QUEQUERA PLAST RED 12" ALTA (CJ:50 UND)</v>
          </cell>
          <cell r="D663" t="str">
            <v>51400035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08/06/2020</v>
          </cell>
          <cell r="I663">
            <v>52578</v>
          </cell>
          <cell r="J663" t="e">
            <v>#N/A</v>
          </cell>
          <cell r="K663">
            <v>50</v>
          </cell>
          <cell r="L663" t="e">
            <v>#N/A</v>
          </cell>
          <cell r="M663" t="str">
            <v>Und</v>
          </cell>
        </row>
        <row r="664">
          <cell r="A664" t="str">
            <v>51400036</v>
          </cell>
          <cell r="B664" t="str">
            <v>15383</v>
          </cell>
          <cell r="C664" t="str">
            <v>QUEQUERA PLAST RECT 48*13*11 (CJ:25 UND)</v>
          </cell>
          <cell r="D664" t="str">
            <v>51400036</v>
          </cell>
          <cell r="E664" t="str">
            <v>EMPAQUES PLANTA</v>
          </cell>
          <cell r="F664" t="str">
            <v>1 CAJA</v>
          </cell>
          <cell r="G664">
            <v>500</v>
          </cell>
          <cell r="H664" t="str">
            <v>21/03/2020</v>
          </cell>
          <cell r="I664">
            <v>34082</v>
          </cell>
          <cell r="J664" t="e">
            <v>#N/A</v>
          </cell>
          <cell r="K664">
            <v>25</v>
          </cell>
          <cell r="L664" t="e">
            <v>#N/A</v>
          </cell>
          <cell r="M664" t="str">
            <v>Und</v>
          </cell>
        </row>
        <row r="665">
          <cell r="A665" t="str">
            <v>51500012</v>
          </cell>
          <cell r="B665" t="str">
            <v>12129</v>
          </cell>
          <cell r="C665" t="str">
            <v>VASO BIODEGRADABLE 12 ONZ (PAQ:25 UND)</v>
          </cell>
          <cell r="D665" t="str">
            <v>51500012</v>
          </cell>
          <cell r="E665" t="str">
            <v>EMPAQUES PLANTA</v>
          </cell>
          <cell r="F665" t="str">
            <v>1 PAQUETE</v>
          </cell>
          <cell r="G665">
            <v>500</v>
          </cell>
          <cell r="H665" t="str">
            <v>10/06/2020</v>
          </cell>
          <cell r="I665">
            <v>1510.35</v>
          </cell>
          <cell r="J665">
            <v>1795.9</v>
          </cell>
          <cell r="K665">
            <v>25</v>
          </cell>
          <cell r="L665">
            <v>71.835999999999999</v>
          </cell>
          <cell r="M665" t="str">
            <v>Und</v>
          </cell>
        </row>
        <row r="666">
          <cell r="A666" t="str">
            <v>51500013</v>
          </cell>
          <cell r="B666" t="str">
            <v>12130</v>
          </cell>
          <cell r="C666" t="str">
            <v>TAPA VASO BIODEGR 12,16 onz (PAQ:50 UND)</v>
          </cell>
          <cell r="D666" t="str">
            <v>51500013</v>
          </cell>
          <cell r="E666" t="str">
            <v>EMPAQUES PLANTA</v>
          </cell>
          <cell r="F666" t="str">
            <v>1 PAQ</v>
          </cell>
          <cell r="G666">
            <v>500</v>
          </cell>
          <cell r="H666" t="str">
            <v>21/05/2020</v>
          </cell>
          <cell r="I666">
            <v>924</v>
          </cell>
          <cell r="J666">
            <v>1303.25</v>
          </cell>
          <cell r="K666">
            <v>50</v>
          </cell>
          <cell r="L666">
            <v>26.065000000000001</v>
          </cell>
        </row>
        <row r="667">
          <cell r="A667" t="str">
            <v>51500014</v>
          </cell>
          <cell r="B667" t="str">
            <v>12131</v>
          </cell>
          <cell r="C667" t="str">
            <v>VASO BIODEGRADABLE 8 onz (PAQ:25 UND)</v>
          </cell>
          <cell r="D667" t="str">
            <v>51500014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15/06/2020</v>
          </cell>
          <cell r="I667">
            <v>1703.25</v>
          </cell>
          <cell r="J667">
            <v>1835.05</v>
          </cell>
          <cell r="K667">
            <v>25</v>
          </cell>
          <cell r="L667">
            <v>73.402000000000001</v>
          </cell>
        </row>
        <row r="668">
          <cell r="A668" t="str">
            <v>51500015</v>
          </cell>
          <cell r="B668" t="str">
            <v>12132</v>
          </cell>
          <cell r="C668" t="str">
            <v>TAPA VASO BIO 8 ONZ (PAQ:50 UND)</v>
          </cell>
          <cell r="D668" t="str">
            <v>51500015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04/06/2020</v>
          </cell>
          <cell r="I668">
            <v>990.1</v>
          </cell>
          <cell r="J668">
            <v>1073.2</v>
          </cell>
          <cell r="K668">
            <v>50</v>
          </cell>
          <cell r="L668">
            <v>21.464000000000002</v>
          </cell>
        </row>
        <row r="669">
          <cell r="A669" t="str">
            <v>51500032</v>
          </cell>
          <cell r="B669" t="str">
            <v>14054</v>
          </cell>
          <cell r="C669" t="str">
            <v>TAPA SUFLE 1,5-2-2,5 (PAQ:100 UND)</v>
          </cell>
          <cell r="D669" t="str">
            <v>51500032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30/04/2020</v>
          </cell>
          <cell r="I669">
            <v>824.04166666666697</v>
          </cell>
          <cell r="J669" t="e">
            <v>#N/A</v>
          </cell>
          <cell r="K669">
            <v>100</v>
          </cell>
          <cell r="L669" t="e">
            <v>#N/A</v>
          </cell>
        </row>
        <row r="670">
          <cell r="A670" t="str">
            <v>51500033</v>
          </cell>
          <cell r="B670" t="str">
            <v>15232</v>
          </cell>
          <cell r="C670" t="str">
            <v>VASO PLASTICO FABRIK 9 ONZ (CAJA:20 PAQ)</v>
          </cell>
          <cell r="D670" t="str">
            <v>51500033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07/05/2020</v>
          </cell>
          <cell r="I670" t="e">
            <v>#N/A</v>
          </cell>
          <cell r="J670" t="e">
            <v>#N/A</v>
          </cell>
          <cell r="K670">
            <v>50</v>
          </cell>
          <cell r="L670" t="e">
            <v>#N/A</v>
          </cell>
        </row>
        <row r="671">
          <cell r="A671" t="str">
            <v>51500034</v>
          </cell>
          <cell r="B671" t="str">
            <v>15233</v>
          </cell>
          <cell r="C671" t="str">
            <v>TAPA PLAST DOMO SUND POLAR 9 (CJ:10 PAQ)</v>
          </cell>
          <cell r="D671" t="str">
            <v>51500034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04/05/2020</v>
          </cell>
          <cell r="I671" t="e">
            <v>#N/A</v>
          </cell>
          <cell r="J671" t="e">
            <v>#N/A</v>
          </cell>
          <cell r="K671">
            <v>100</v>
          </cell>
          <cell r="L671" t="e">
            <v>#N/A</v>
          </cell>
        </row>
        <row r="672">
          <cell r="A672" t="str">
            <v>51500035</v>
          </cell>
          <cell r="B672" t="str">
            <v>15350</v>
          </cell>
          <cell r="C672" t="str">
            <v>TAPA DOMO PLAST BAND ALUM 394 (CJ:100)</v>
          </cell>
          <cell r="D672" t="str">
            <v>51500035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27/04/2020</v>
          </cell>
          <cell r="I672">
            <v>25840</v>
          </cell>
          <cell r="J672" t="e">
            <v>#N/A</v>
          </cell>
          <cell r="K672">
            <v>100</v>
          </cell>
          <cell r="L672" t="e">
            <v>#N/A</v>
          </cell>
        </row>
        <row r="673">
          <cell r="A673" t="str">
            <v>51500036</v>
          </cell>
          <cell r="B673" t="str">
            <v>15853</v>
          </cell>
          <cell r="C673" t="str">
            <v xml:space="preserve">TAPA PLAN S/HOYO 9/12/20 (CJ:10 PAQ ) </v>
          </cell>
          <cell r="D673" t="str">
            <v>51500036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30/04/2020</v>
          </cell>
          <cell r="I673" t="e">
            <v>#N/A</v>
          </cell>
          <cell r="J673" t="e">
            <v>#N/A</v>
          </cell>
          <cell r="K673">
            <v>50</v>
          </cell>
          <cell r="L673" t="e">
            <v>#N/A</v>
          </cell>
        </row>
        <row r="674">
          <cell r="A674" t="str">
            <v>51600004</v>
          </cell>
          <cell r="B674" t="str">
            <v>9469</v>
          </cell>
          <cell r="C674" t="str">
            <v>LAZOS ROJOS (UND)</v>
          </cell>
          <cell r="D674" t="str">
            <v>51600004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03/06/2020</v>
          </cell>
          <cell r="I674">
            <v>20</v>
          </cell>
          <cell r="J674">
            <v>62</v>
          </cell>
          <cell r="K674">
            <v>1</v>
          </cell>
          <cell r="L674">
            <v>62</v>
          </cell>
        </row>
        <row r="675">
          <cell r="A675" t="str">
            <v>51600006</v>
          </cell>
          <cell r="B675" t="str">
            <v>11828</v>
          </cell>
          <cell r="C675" t="str">
            <v>ROLLO CINTA RASO 45 MTS COLOR ORO (UND)</v>
          </cell>
          <cell r="D675" t="str">
            <v>51600006</v>
          </cell>
          <cell r="E675" t="str">
            <v>EMPAQUES PLANTA</v>
          </cell>
          <cell r="F675" t="str">
            <v>1 UND</v>
          </cell>
          <cell r="G675">
            <v>500</v>
          </cell>
          <cell r="H675" t="str">
            <v>06/01/2020</v>
          </cell>
          <cell r="I675" t="e">
            <v>#N/A</v>
          </cell>
          <cell r="J675" t="e">
            <v>#N/A</v>
          </cell>
          <cell r="K675">
            <v>50</v>
          </cell>
          <cell r="L675" t="e">
            <v>#N/A</v>
          </cell>
        </row>
        <row r="676">
          <cell r="A676" t="str">
            <v>51600014</v>
          </cell>
          <cell r="B676" t="str">
            <v>9667</v>
          </cell>
          <cell r="C676" t="str">
            <v>ROLLO DE CINTA DE RASO DE 45MTS COLOR FU</v>
          </cell>
          <cell r="D676" t="str">
            <v>51600014</v>
          </cell>
          <cell r="E676" t="str">
            <v>EMPAQUES PLANTA</v>
          </cell>
          <cell r="F676" t="str">
            <v>1 ROLLO</v>
          </cell>
          <cell r="G676">
            <v>500</v>
          </cell>
          <cell r="H676" t="str">
            <v>23/03/2020</v>
          </cell>
          <cell r="I676" t="e">
            <v>#N/A</v>
          </cell>
          <cell r="J676" t="e">
            <v>#N/A</v>
          </cell>
          <cell r="K676">
            <v>45000</v>
          </cell>
          <cell r="L676" t="e">
            <v>#N/A</v>
          </cell>
        </row>
        <row r="677">
          <cell r="A677" t="str">
            <v>51600015</v>
          </cell>
          <cell r="B677" t="str">
            <v>13573</v>
          </cell>
          <cell r="C677" t="str">
            <v>CINTA TRANS 1X40 (DELGADA)</v>
          </cell>
          <cell r="D677" t="str">
            <v>51600015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07/02/2020</v>
          </cell>
          <cell r="I677" t="e">
            <v>#N/A</v>
          </cell>
          <cell r="J677" t="e">
            <v>#N/A</v>
          </cell>
          <cell r="K677">
            <v>50</v>
          </cell>
          <cell r="L677" t="e">
            <v>#N/A</v>
          </cell>
        </row>
        <row r="678">
          <cell r="A678" t="str">
            <v>51600022</v>
          </cell>
          <cell r="B678" t="str">
            <v>15567</v>
          </cell>
          <cell r="C678" t="str">
            <v>ROLLO SELLO SEGURIDAD ROJO (ROLLO)</v>
          </cell>
          <cell r="D678" t="str">
            <v>51600022</v>
          </cell>
          <cell r="E678" t="str">
            <v>ETIQUETAS PLANTA</v>
          </cell>
          <cell r="F678" t="str">
            <v>1 ROLLO</v>
          </cell>
          <cell r="G678">
            <v>500</v>
          </cell>
          <cell r="H678" t="str">
            <v>12/06/2020</v>
          </cell>
          <cell r="I678">
            <v>12500</v>
          </cell>
          <cell r="J678">
            <v>12500</v>
          </cell>
          <cell r="K678">
            <v>45000</v>
          </cell>
          <cell r="L678" t="e">
            <v>#DIV/0!</v>
          </cell>
        </row>
        <row r="679">
          <cell r="A679" t="str">
            <v>51600026</v>
          </cell>
          <cell r="B679" t="str">
            <v>16289</v>
          </cell>
          <cell r="C679" t="str">
            <v>BANDEJA FIBRA 10X7.5X1.5 (PAQ:50 UND)</v>
          </cell>
          <cell r="D679" t="str">
            <v>51600026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01/06/2020</v>
          </cell>
          <cell r="I679">
            <v>10.75</v>
          </cell>
          <cell r="J679" t="e">
            <v>#N/A</v>
          </cell>
          <cell r="K679">
            <v>50</v>
          </cell>
          <cell r="L679" t="e">
            <v>#N/A</v>
          </cell>
        </row>
        <row r="680">
          <cell r="A680" t="str">
            <v>51600027</v>
          </cell>
          <cell r="B680" t="str">
            <v>16292</v>
          </cell>
          <cell r="C680" t="str">
            <v>TAPA TRANSPARENT 10X7.5X1.5 (PAQ:50 UND)</v>
          </cell>
          <cell r="D680" t="str">
            <v>51600027</v>
          </cell>
          <cell r="E680" t="str">
            <v>EMPAQUES PLANTA</v>
          </cell>
          <cell r="F680" t="str">
            <v>1 PAQUETE</v>
          </cell>
          <cell r="G680">
            <v>500</v>
          </cell>
          <cell r="H680" t="str">
            <v>17/03/2020</v>
          </cell>
          <cell r="I680">
            <v>16.149999999999999</v>
          </cell>
          <cell r="J680">
            <v>11816.135</v>
          </cell>
          <cell r="K680">
            <v>50</v>
          </cell>
          <cell r="L680">
            <v>236.3227</v>
          </cell>
        </row>
        <row r="681">
          <cell r="A681" t="str">
            <v>60100001</v>
          </cell>
          <cell r="B681" t="str">
            <v>10459</v>
          </cell>
          <cell r="C681" t="str">
            <v>ETIQUETA LOGO MUSMANNI (UND)</v>
          </cell>
          <cell r="D681" t="str">
            <v>60100001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21/05/2020</v>
          </cell>
          <cell r="I681">
            <v>5</v>
          </cell>
          <cell r="J681">
            <v>5</v>
          </cell>
          <cell r="K681">
            <v>1</v>
          </cell>
          <cell r="L681">
            <v>5</v>
          </cell>
        </row>
        <row r="682">
          <cell r="A682" t="str">
            <v>60100007</v>
          </cell>
          <cell r="B682" t="str">
            <v>10898</v>
          </cell>
          <cell r="C682" t="str">
            <v>ETiQUETA BLANCA  R-17 (UND)</v>
          </cell>
          <cell r="D682" t="str">
            <v>60100007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02/01/2020</v>
          </cell>
          <cell r="I682">
            <v>3.2</v>
          </cell>
          <cell r="J682">
            <v>3.2</v>
          </cell>
          <cell r="K682">
            <v>1</v>
          </cell>
          <cell r="L682">
            <v>3.2</v>
          </cell>
          <cell r="M682" t="str">
            <v>Und</v>
          </cell>
        </row>
        <row r="683">
          <cell r="A683" t="str">
            <v>60100010</v>
          </cell>
          <cell r="B683" t="str">
            <v>11570</v>
          </cell>
          <cell r="C683" t="str">
            <v>ETIQUETA ROJA LETRA ALERJENO (UND)</v>
          </cell>
          <cell r="D683" t="str">
            <v>60100010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02/06/2020</v>
          </cell>
          <cell r="I683">
            <v>3.6</v>
          </cell>
          <cell r="J683">
            <v>3.6</v>
          </cell>
          <cell r="K683">
            <v>1</v>
          </cell>
          <cell r="L683">
            <v>3.6</v>
          </cell>
          <cell r="M683" t="str">
            <v>Und</v>
          </cell>
        </row>
        <row r="684">
          <cell r="A684" t="str">
            <v>60100011</v>
          </cell>
          <cell r="B684" t="str">
            <v>11571</v>
          </cell>
          <cell r="C684" t="str">
            <v>ETIQ TORTA GENERICA BUCCA GRANDE (UND)</v>
          </cell>
          <cell r="D684" t="str">
            <v>60100011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15/05/2020</v>
          </cell>
          <cell r="I684">
            <v>43.5</v>
          </cell>
          <cell r="J684">
            <v>43.5</v>
          </cell>
          <cell r="K684">
            <v>1</v>
          </cell>
          <cell r="L684">
            <v>43.5</v>
          </cell>
          <cell r="M684" t="str">
            <v>Und</v>
          </cell>
        </row>
        <row r="685">
          <cell r="A685" t="str">
            <v>60100013</v>
          </cell>
          <cell r="B685" t="str">
            <v>12920</v>
          </cell>
          <cell r="C685" t="str">
            <v>ETIQ CIRCULO BUCCA DULCE (UND)</v>
          </cell>
          <cell r="D685" t="str">
            <v>60100013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17/01/2020</v>
          </cell>
          <cell r="I685">
            <v>3.5</v>
          </cell>
          <cell r="J685">
            <v>3.5</v>
          </cell>
          <cell r="K685">
            <v>1</v>
          </cell>
          <cell r="L685">
            <v>3.5</v>
          </cell>
          <cell r="M685" t="str">
            <v>Und</v>
          </cell>
        </row>
        <row r="686">
          <cell r="A686" t="str">
            <v>60100014</v>
          </cell>
          <cell r="B686" t="str">
            <v>9489</v>
          </cell>
          <cell r="C686" t="str">
            <v>ETIQUETA LOGO SPOON DORADO (ROLLO:1000)</v>
          </cell>
          <cell r="D686" t="str">
            <v>60100014</v>
          </cell>
          <cell r="E686" t="str">
            <v>ETIQUETAS PLANTA</v>
          </cell>
          <cell r="F686" t="str">
            <v>1 ROLLO</v>
          </cell>
          <cell r="G686">
            <v>500</v>
          </cell>
          <cell r="H686" t="str">
            <v>04/02/2020</v>
          </cell>
          <cell r="I686">
            <v>6000</v>
          </cell>
          <cell r="J686">
            <v>6000</v>
          </cell>
          <cell r="K686">
            <v>1000</v>
          </cell>
          <cell r="L686">
            <v>6</v>
          </cell>
          <cell r="M686" t="str">
            <v>Und</v>
          </cell>
        </row>
        <row r="687">
          <cell r="A687" t="str">
            <v>60100023</v>
          </cell>
          <cell r="B687" t="str">
            <v>9210</v>
          </cell>
          <cell r="C687" t="str">
            <v>ETIQ APP SPOONERS CARD CUADRADA (UND)</v>
          </cell>
          <cell r="D687" t="str">
            <v>60100023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5.6</v>
          </cell>
          <cell r="J687">
            <v>5.6</v>
          </cell>
          <cell r="K687">
            <v>1</v>
          </cell>
          <cell r="L687">
            <v>5.6</v>
          </cell>
          <cell r="M687" t="str">
            <v>Und</v>
          </cell>
        </row>
        <row r="688">
          <cell r="A688" t="str">
            <v>60100024</v>
          </cell>
          <cell r="B688" t="str">
            <v>9211</v>
          </cell>
          <cell r="C688" t="str">
            <v>ETIQ CIRCULO APP SPOONERS CARD (UND)</v>
          </cell>
          <cell r="D688" t="str">
            <v>60100024</v>
          </cell>
          <cell r="E688" t="str">
            <v>ETIQUETAS PLANTA</v>
          </cell>
          <cell r="F688" t="str">
            <v>1 UND</v>
          </cell>
          <cell r="G688">
            <v>500</v>
          </cell>
          <cell r="H688" t="str">
            <v>02/06/2020</v>
          </cell>
          <cell r="I688">
            <v>4</v>
          </cell>
          <cell r="J688">
            <v>4</v>
          </cell>
          <cell r="K688">
            <v>1</v>
          </cell>
          <cell r="L688">
            <v>4</v>
          </cell>
          <cell r="M688" t="str">
            <v>Und</v>
          </cell>
        </row>
        <row r="689">
          <cell r="A689" t="str">
            <v>60100026</v>
          </cell>
          <cell r="B689" t="str">
            <v>11509</v>
          </cell>
          <cell r="C689" t="str">
            <v>LOGO OVALADO SPOON GRANDE (ROLLO:1000 U)</v>
          </cell>
          <cell r="D689" t="str">
            <v>60100026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12/06/2020</v>
          </cell>
          <cell r="I689">
            <v>3961</v>
          </cell>
          <cell r="J689">
            <v>2405</v>
          </cell>
          <cell r="K689">
            <v>1000</v>
          </cell>
          <cell r="L689">
            <v>2.4049999999999998</v>
          </cell>
          <cell r="M689" t="str">
            <v>Und</v>
          </cell>
        </row>
        <row r="690">
          <cell r="A690" t="str">
            <v>60100027</v>
          </cell>
          <cell r="B690" t="str">
            <v>11511</v>
          </cell>
          <cell r="C690" t="str">
            <v>LOGO OVALADO SPOON PEQ  (ROLLO:1000 U)</v>
          </cell>
          <cell r="D690" t="str">
            <v>60100027</v>
          </cell>
          <cell r="E690" t="str">
            <v>ETIQUETAS PLANTA</v>
          </cell>
          <cell r="F690" t="str">
            <v>1 ROLLO</v>
          </cell>
          <cell r="G690">
            <v>500</v>
          </cell>
          <cell r="H690" t="str">
            <v>15/06/2020</v>
          </cell>
          <cell r="I690">
            <v>992</v>
          </cell>
          <cell r="J690">
            <v>992</v>
          </cell>
          <cell r="K690">
            <v>1000</v>
          </cell>
          <cell r="L690">
            <v>0.99199999999999999</v>
          </cell>
          <cell r="M690" t="str">
            <v>Und</v>
          </cell>
        </row>
        <row r="691">
          <cell r="A691" t="str">
            <v>60100044</v>
          </cell>
          <cell r="B691" t="str">
            <v>15128</v>
          </cell>
          <cell r="C691" t="str">
            <v>ETIQUETA RP CIRCULO (UND)</v>
          </cell>
          <cell r="D691" t="str">
            <v>60100044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06/02/2020</v>
          </cell>
          <cell r="I691">
            <v>4.0179999999999998</v>
          </cell>
          <cell r="J691" t="e">
            <v>#N/A</v>
          </cell>
          <cell r="K691">
            <v>1</v>
          </cell>
          <cell r="L691" t="e">
            <v>#N/A</v>
          </cell>
          <cell r="M691" t="str">
            <v>Und</v>
          </cell>
        </row>
        <row r="692">
          <cell r="A692" t="str">
            <v>60100046</v>
          </cell>
          <cell r="B692" t="str">
            <v>15481</v>
          </cell>
          <cell r="C692" t="str">
            <v>ETIQUETA ROMPOPE (UND)</v>
          </cell>
          <cell r="D692" t="str">
            <v>60100046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18/12/2019</v>
          </cell>
          <cell r="I692">
            <v>94</v>
          </cell>
          <cell r="J692">
            <v>111.25</v>
          </cell>
          <cell r="K692">
            <v>1</v>
          </cell>
          <cell r="L692">
            <v>111.25</v>
          </cell>
          <cell r="M692" t="str">
            <v>Und</v>
          </cell>
        </row>
        <row r="693">
          <cell r="A693" t="str">
            <v>60100047</v>
          </cell>
          <cell r="B693" t="str">
            <v>15611</v>
          </cell>
          <cell r="C693" t="str">
            <v>ETIQUETA TE CHAI FRENTE (UND)</v>
          </cell>
          <cell r="D693" t="str">
            <v>60100047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42</v>
          </cell>
          <cell r="J693" t="e">
            <v>#N/A</v>
          </cell>
          <cell r="K693">
            <v>1</v>
          </cell>
          <cell r="L693" t="e">
            <v>#N/A</v>
          </cell>
          <cell r="M693" t="str">
            <v>Und</v>
          </cell>
        </row>
        <row r="694">
          <cell r="A694" t="str">
            <v>60100048</v>
          </cell>
          <cell r="B694" t="str">
            <v>15612</v>
          </cell>
          <cell r="C694" t="str">
            <v>ETIQUETA TE CHAI REVERSO (UND)</v>
          </cell>
          <cell r="D694" t="str">
            <v>60100048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09/12/2019</v>
          </cell>
          <cell r="I694">
            <v>39</v>
          </cell>
          <cell r="J694" t="e">
            <v>#N/A</v>
          </cell>
          <cell r="K694">
            <v>1</v>
          </cell>
          <cell r="L694" t="e">
            <v>#N/A</v>
          </cell>
          <cell r="M694" t="str">
            <v>Und</v>
          </cell>
        </row>
        <row r="695">
          <cell r="A695" t="str">
            <v>60100049</v>
          </cell>
          <cell r="B695" t="str">
            <v>16178</v>
          </cell>
          <cell r="C695" t="str">
            <v>ETIQUETA DATA VARIABLE (UND)</v>
          </cell>
          <cell r="D695" t="str">
            <v>60100049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7.0144399999999996</v>
          </cell>
          <cell r="J695" t="e">
            <v>#N/A</v>
          </cell>
          <cell r="K695">
            <v>1</v>
          </cell>
          <cell r="L695" t="e">
            <v>#N/A</v>
          </cell>
          <cell r="M695" t="str">
            <v>Und</v>
          </cell>
        </row>
        <row r="696">
          <cell r="A696" t="str">
            <v>60100050</v>
          </cell>
          <cell r="B696" t="str">
            <v>16179</v>
          </cell>
          <cell r="C696" t="str">
            <v>ETIQUETA TE LLEVA A LA PLAYA (UND)</v>
          </cell>
          <cell r="D696" t="str">
            <v>60100050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28/02/2020</v>
          </cell>
          <cell r="I696">
            <v>5.8</v>
          </cell>
          <cell r="J696" t="e">
            <v>#N/A</v>
          </cell>
          <cell r="K696">
            <v>1</v>
          </cell>
          <cell r="L696" t="e">
            <v>#N/A</v>
          </cell>
        </row>
        <row r="697">
          <cell r="A697" t="str">
            <v>60100051</v>
          </cell>
          <cell r="B697" t="str">
            <v>16441</v>
          </cell>
          <cell r="C697" t="str">
            <v xml:space="preserve">ETIQ. JUNTOS A LA DISTANCIA(ROLLO:500 U </v>
          </cell>
          <cell r="D697" t="str">
            <v>60100051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02/06/2020</v>
          </cell>
          <cell r="I697">
            <v>8800</v>
          </cell>
          <cell r="J697" t="e">
            <v>#N/A</v>
          </cell>
          <cell r="K697">
            <v>500</v>
          </cell>
          <cell r="L697" t="e">
            <v>#N/A</v>
          </cell>
        </row>
        <row r="698">
          <cell r="A698" t="str">
            <v>60100052</v>
          </cell>
          <cell r="B698" t="str">
            <v>16442</v>
          </cell>
          <cell r="C698" t="str">
            <v>ETIQ. PRONTO VOLVEREMOS JUNTOS (ROLLO)</v>
          </cell>
          <cell r="D698" t="str">
            <v>60100052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12/05/2020</v>
          </cell>
          <cell r="I698">
            <v>3000</v>
          </cell>
          <cell r="J698" t="e">
            <v>#N/A</v>
          </cell>
          <cell r="K698">
            <v>1</v>
          </cell>
          <cell r="L698" t="e">
            <v>#N/A</v>
          </cell>
          <cell r="M698" t="str">
            <v>Und</v>
          </cell>
        </row>
        <row r="699">
          <cell r="A699" t="str">
            <v>60100053</v>
          </cell>
          <cell r="B699" t="str">
            <v>16443</v>
          </cell>
          <cell r="C699" t="str">
            <v>ETIQ. DESINFECTAR CELULAR (ROLLO: 500 U)</v>
          </cell>
          <cell r="D699" t="str">
            <v>60100053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 t="e">
            <v>#N/A</v>
          </cell>
          <cell r="K699">
            <v>500</v>
          </cell>
          <cell r="L699" t="e">
            <v>#N/A</v>
          </cell>
          <cell r="M699" t="str">
            <v>Und</v>
          </cell>
        </row>
        <row r="700">
          <cell r="A700" t="str">
            <v>60100054</v>
          </cell>
          <cell r="B700" t="str">
            <v>16444</v>
          </cell>
          <cell r="C700" t="str">
            <v>ETIQ. RECUERDE LAVAR MANOS (ROLLO:500 U)</v>
          </cell>
          <cell r="D700" t="str">
            <v>60100054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11/05/2020</v>
          </cell>
          <cell r="I700">
            <v>5.8</v>
          </cell>
          <cell r="J700" t="e">
            <v>#N/A</v>
          </cell>
          <cell r="K700">
            <v>500</v>
          </cell>
          <cell r="L700" t="e">
            <v>#N/A</v>
          </cell>
          <cell r="M700" t="str">
            <v>Und</v>
          </cell>
        </row>
        <row r="701">
          <cell r="A701" t="str">
            <v>60100055</v>
          </cell>
          <cell r="B701" t="str">
            <v>16500</v>
          </cell>
          <cell r="C701" t="str">
            <v>STICKER TORTA KAHLUA (ROLLO: 1000 UND)</v>
          </cell>
          <cell r="D701" t="str">
            <v>60100055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08/05/2020</v>
          </cell>
          <cell r="I701">
            <v>16000</v>
          </cell>
          <cell r="J701" t="e">
            <v>#N/A</v>
          </cell>
          <cell r="K701">
            <v>1000</v>
          </cell>
          <cell r="L701" t="e">
            <v>#N/A</v>
          </cell>
          <cell r="M701" t="str">
            <v>Und</v>
          </cell>
        </row>
        <row r="702">
          <cell r="A702" t="str">
            <v>101000015</v>
          </cell>
          <cell r="B702" t="str">
            <v>5245</v>
          </cell>
          <cell r="C702" t="str">
            <v>AZUCAR REFINADA VICTORIA (PAQ:1 K)</v>
          </cell>
          <cell r="D702" t="str">
            <v>101000015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09/06/2020</v>
          </cell>
          <cell r="I702">
            <v>691.16666666666697</v>
          </cell>
          <cell r="J702">
            <v>691.16666666667004</v>
          </cell>
          <cell r="K702">
            <v>1000</v>
          </cell>
          <cell r="L702">
            <v>0.69116666666667004</v>
          </cell>
          <cell r="M702" t="str">
            <v>Gramos</v>
          </cell>
        </row>
        <row r="703">
          <cell r="A703" t="str">
            <v>101000073</v>
          </cell>
          <cell r="B703" t="str">
            <v>5303</v>
          </cell>
          <cell r="C703" t="str">
            <v>AZUCAR GLASS MOLIDA (PAQ: 4 K)</v>
          </cell>
          <cell r="D703" t="str">
            <v>101000073</v>
          </cell>
          <cell r="E703" t="str">
            <v>MATERIAS PRIMAS PLANTA</v>
          </cell>
          <cell r="F703" t="str">
            <v>1 PAQUETE</v>
          </cell>
          <cell r="G703">
            <v>500</v>
          </cell>
          <cell r="H703" t="str">
            <v>15/06/2020</v>
          </cell>
          <cell r="I703">
            <v>6526</v>
          </cell>
          <cell r="J703">
            <v>7093</v>
          </cell>
          <cell r="K703">
            <v>4000</v>
          </cell>
          <cell r="L703">
            <v>1.77325</v>
          </cell>
          <cell r="M703" t="str">
            <v>Gramos</v>
          </cell>
        </row>
        <row r="704">
          <cell r="A704" t="str">
            <v>101000104</v>
          </cell>
          <cell r="B704" t="str">
            <v>7077</v>
          </cell>
          <cell r="C704" t="str">
            <v>SALSA OSTION PANDA (UND:5LBS)</v>
          </cell>
          <cell r="D704" t="str">
            <v>101000104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24/03/2020</v>
          </cell>
          <cell r="I704">
            <v>4995</v>
          </cell>
          <cell r="J704" t="e">
            <v>#N/A</v>
          </cell>
          <cell r="K704">
            <v>2268</v>
          </cell>
          <cell r="L704" t="e">
            <v>#N/A</v>
          </cell>
          <cell r="M704" t="str">
            <v>Mililitros</v>
          </cell>
        </row>
        <row r="705">
          <cell r="A705" t="str">
            <v>101000114</v>
          </cell>
          <cell r="B705" t="str">
            <v>7087</v>
          </cell>
          <cell r="C705" t="str">
            <v>MAIZ DULCE GALON MONACO (UND:2.5K)</v>
          </cell>
          <cell r="D705" t="str">
            <v>101000114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28/01/2020</v>
          </cell>
          <cell r="I705" t="e">
            <v>#N/A</v>
          </cell>
          <cell r="J705" t="e">
            <v>#N/A</v>
          </cell>
          <cell r="K705">
            <v>2500</v>
          </cell>
          <cell r="L705" t="e">
            <v>#N/A</v>
          </cell>
          <cell r="M705" t="str">
            <v>Gramos</v>
          </cell>
        </row>
        <row r="706">
          <cell r="A706" t="str">
            <v>102000024</v>
          </cell>
          <cell r="B706" t="str">
            <v>5353</v>
          </cell>
          <cell r="C706" t="str">
            <v>MEZCLA BEBIDA MARACUYA (UND:946ML)</v>
          </cell>
          <cell r="D706" t="str">
            <v>102000024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04/02/2020</v>
          </cell>
          <cell r="I706">
            <v>3164</v>
          </cell>
          <cell r="J706" t="e">
            <v>#N/A</v>
          </cell>
          <cell r="K706">
            <v>946</v>
          </cell>
          <cell r="L706" t="e">
            <v>#N/A</v>
          </cell>
          <cell r="M706" t="str">
            <v>Mililitros</v>
          </cell>
        </row>
        <row r="707">
          <cell r="A707" t="str">
            <v>102000028</v>
          </cell>
          <cell r="B707" t="str">
            <v>5357</v>
          </cell>
          <cell r="C707" t="str">
            <v>JUGO DE NARANJA NATURAL (UND:3.785 L)</v>
          </cell>
          <cell r="D707" t="str">
            <v>102000028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15/06/2020</v>
          </cell>
          <cell r="I707">
            <v>4170</v>
          </cell>
          <cell r="J707">
            <v>4170</v>
          </cell>
          <cell r="K707">
            <v>3785</v>
          </cell>
          <cell r="L707">
            <v>1.1017173051519153</v>
          </cell>
          <cell r="M707" t="str">
            <v>Mililitros</v>
          </cell>
        </row>
        <row r="708">
          <cell r="A708" t="str">
            <v>102000035</v>
          </cell>
          <cell r="B708" t="str">
            <v>12925</v>
          </cell>
          <cell r="C708" t="str">
            <v>JUGO LIMON (UND=930 ml)</v>
          </cell>
          <cell r="D708" t="str">
            <v>102000035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10/06/2020</v>
          </cell>
          <cell r="I708">
            <v>1495.44</v>
          </cell>
          <cell r="J708">
            <v>1495.44</v>
          </cell>
          <cell r="K708">
            <v>930</v>
          </cell>
          <cell r="L708">
            <v>1.6080000000000001</v>
          </cell>
          <cell r="M708" t="str">
            <v>Mililitros</v>
          </cell>
        </row>
        <row r="709">
          <cell r="A709" t="str">
            <v>102000037</v>
          </cell>
          <cell r="B709" t="str">
            <v>15159</v>
          </cell>
          <cell r="C709" t="str">
            <v xml:space="preserve">TE FRIO MELOCOTON (CAJA: 6 PAQ) </v>
          </cell>
          <cell r="D709" t="str">
            <v>102000037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>
            <v>9553</v>
          </cell>
          <cell r="J709">
            <v>9553</v>
          </cell>
          <cell r="K709">
            <v>3785</v>
          </cell>
          <cell r="L709" t="e">
            <v>#DIV/0!</v>
          </cell>
          <cell r="M709" t="str">
            <v>Mililitros</v>
          </cell>
        </row>
        <row r="710">
          <cell r="A710" t="str">
            <v>102000038</v>
          </cell>
          <cell r="B710" t="str">
            <v>15160</v>
          </cell>
          <cell r="C710" t="str">
            <v>TE VERDE DE MANZANA (CAJA: 8 PAQ)</v>
          </cell>
          <cell r="D710" t="str">
            <v>102000038</v>
          </cell>
          <cell r="E710" t="str">
            <v>MATERIAS PRIMAS PLANTA</v>
          </cell>
          <cell r="F710" t="str">
            <v>1 CAJA</v>
          </cell>
          <cell r="G710">
            <v>500</v>
          </cell>
          <cell r="H710" t="str">
            <v>15/06/2020</v>
          </cell>
          <cell r="I710" t="e">
            <v>#N/A</v>
          </cell>
          <cell r="J710" t="e">
            <v>#N/A</v>
          </cell>
          <cell r="K710">
            <v>930</v>
          </cell>
          <cell r="L710" t="e">
            <v>#N/A</v>
          </cell>
          <cell r="M710"/>
        </row>
        <row r="711">
          <cell r="A711" t="str">
            <v>102000039</v>
          </cell>
          <cell r="B711" t="str">
            <v>15504</v>
          </cell>
          <cell r="C711" t="str">
            <v>ROMPOPE SPOON (UND:510 G)</v>
          </cell>
          <cell r="D711" t="str">
            <v>102000039</v>
          </cell>
          <cell r="E711" t="str">
            <v>MATERIAS PRIMAS PLANTA</v>
          </cell>
          <cell r="F711" t="str">
            <v>1 UND</v>
          </cell>
          <cell r="G711">
            <v>500</v>
          </cell>
          <cell r="H711" t="str">
            <v>20/12/2019</v>
          </cell>
          <cell r="I711">
            <v>2460</v>
          </cell>
          <cell r="J711">
            <v>3320</v>
          </cell>
          <cell r="K711">
            <v>510</v>
          </cell>
          <cell r="L711">
            <v>6.5098039215686274</v>
          </cell>
          <cell r="M711" t="str">
            <v>Mililitros</v>
          </cell>
        </row>
        <row r="712">
          <cell r="A712" t="str">
            <v>102000040</v>
          </cell>
          <cell r="B712" t="str">
            <v>15624</v>
          </cell>
          <cell r="C712" t="str">
            <v>TE MATCHA NARANJA (PAQ: 20/50 G)</v>
          </cell>
          <cell r="D712" t="str">
            <v>102000040</v>
          </cell>
          <cell r="E712" t="str">
            <v>MATERIAS PRIMAS PLANTA</v>
          </cell>
          <cell r="F712" t="str">
            <v>1 PAQ</v>
          </cell>
          <cell r="G712">
            <v>500</v>
          </cell>
          <cell r="H712" t="str">
            <v>18/03/2020</v>
          </cell>
          <cell r="I712" t="e">
            <v>#N/A</v>
          </cell>
          <cell r="J712" t="e">
            <v>#N/A</v>
          </cell>
          <cell r="K712">
            <v>500</v>
          </cell>
          <cell r="L712" t="e">
            <v>#N/A</v>
          </cell>
        </row>
        <row r="713">
          <cell r="A713" t="str">
            <v>102000041</v>
          </cell>
          <cell r="B713" t="str">
            <v>15625</v>
          </cell>
          <cell r="C713" t="str">
            <v>TE FRIO LIMON (PAQ:500 G)</v>
          </cell>
          <cell r="D713" t="str">
            <v>102000041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19/05/2020</v>
          </cell>
          <cell r="I713">
            <v>1650</v>
          </cell>
          <cell r="J713" t="e">
            <v>#N/A</v>
          </cell>
          <cell r="K713">
            <v>500</v>
          </cell>
          <cell r="L713" t="e">
            <v>#N/A</v>
          </cell>
          <cell r="M713"/>
        </row>
        <row r="714">
          <cell r="A714" t="str">
            <v>102000046</v>
          </cell>
          <cell r="B714" t="str">
            <v>15630</v>
          </cell>
          <cell r="C714" t="str">
            <v>BEBIDA TE CHAI (PAQ: 300 G)</v>
          </cell>
          <cell r="D714" t="str">
            <v>102000046</v>
          </cell>
          <cell r="E714" t="str">
            <v>MATERIAS PRIMAS PLANTA</v>
          </cell>
          <cell r="F714" t="str">
            <v>1 PAQUETE</v>
          </cell>
          <cell r="G714">
            <v>500</v>
          </cell>
          <cell r="H714" t="str">
            <v>05/06/2020</v>
          </cell>
          <cell r="I714">
            <v>2445</v>
          </cell>
          <cell r="J714">
            <v>2445</v>
          </cell>
          <cell r="K714">
            <v>300</v>
          </cell>
          <cell r="L714">
            <v>8.15</v>
          </cell>
          <cell r="M714" t="str">
            <v>Gramos</v>
          </cell>
        </row>
        <row r="715">
          <cell r="A715" t="str">
            <v>102000048</v>
          </cell>
          <cell r="B715" t="str">
            <v>15881</v>
          </cell>
          <cell r="C715" t="str">
            <v>PIPA (UND)</v>
          </cell>
          <cell r="D715" t="str">
            <v>102000048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19/03/2020</v>
          </cell>
          <cell r="I715" t="e">
            <v>#N/A</v>
          </cell>
          <cell r="J715" t="e">
            <v>#N/A</v>
          </cell>
          <cell r="K715">
            <v>500</v>
          </cell>
          <cell r="L715" t="e">
            <v>#N/A</v>
          </cell>
          <cell r="M715" t="str">
            <v>Mililitros</v>
          </cell>
        </row>
        <row r="716">
          <cell r="A716" t="str">
            <v>102000049</v>
          </cell>
          <cell r="B716" t="str">
            <v>16321</v>
          </cell>
          <cell r="C716" t="str">
            <v>KAHLUA LICOR DE CAFÉ (UND: 750 ML)</v>
          </cell>
          <cell r="D716" t="str">
            <v>102000049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01/06/2020</v>
          </cell>
          <cell r="I716">
            <v>7457</v>
          </cell>
          <cell r="J716">
            <v>7457</v>
          </cell>
          <cell r="K716">
            <v>750</v>
          </cell>
          <cell r="L716">
            <v>9.9426666666666659</v>
          </cell>
          <cell r="M716" t="str">
            <v>Mililitros</v>
          </cell>
        </row>
        <row r="717">
          <cell r="A717" t="str">
            <v>102000051</v>
          </cell>
          <cell r="B717" t="str">
            <v>16466</v>
          </cell>
          <cell r="C717" t="str">
            <v>SIROPE CHOCOLATE HERSHEYS (UND:7.5 LBS)</v>
          </cell>
          <cell r="D717" t="str">
            <v>102000051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05/05/2020</v>
          </cell>
          <cell r="I717" t="e">
            <v>#N/A</v>
          </cell>
          <cell r="J717" t="e">
            <v>#N/A</v>
          </cell>
          <cell r="K717">
            <v>1000</v>
          </cell>
          <cell r="L717" t="e">
            <v>#N/A</v>
          </cell>
          <cell r="M717" t="str">
            <v>Gramos</v>
          </cell>
        </row>
        <row r="718">
          <cell r="A718" t="str">
            <v>102000052</v>
          </cell>
          <cell r="B718" t="str">
            <v>16488</v>
          </cell>
          <cell r="C718" t="str">
            <v>JUGO DE NARANJA 100% NATURAL (UND)</v>
          </cell>
          <cell r="D718" t="str">
            <v>102000052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04/05/2020</v>
          </cell>
          <cell r="I718" t="e">
            <v>#N/A</v>
          </cell>
          <cell r="J718" t="e">
            <v>#N/A</v>
          </cell>
          <cell r="K718">
            <v>750</v>
          </cell>
          <cell r="L718" t="e">
            <v>#N/A</v>
          </cell>
          <cell r="M718" t="str">
            <v>Mililitros</v>
          </cell>
        </row>
        <row r="719">
          <cell r="A719" t="str">
            <v>103000001</v>
          </cell>
          <cell r="B719" t="str">
            <v>5358</v>
          </cell>
          <cell r="C719" t="str">
            <v>SALMON EN MEDALLON KILO</v>
          </cell>
          <cell r="D719" t="str">
            <v>103000001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15/06/2020</v>
          </cell>
          <cell r="I719">
            <v>7189.56</v>
          </cell>
          <cell r="J719">
            <v>9332.7199999999993</v>
          </cell>
          <cell r="K719">
            <v>1000</v>
          </cell>
          <cell r="L719">
            <v>9.3327200000000001</v>
          </cell>
          <cell r="M719" t="str">
            <v>Gramos</v>
          </cell>
        </row>
        <row r="720">
          <cell r="A720" t="str">
            <v>103000021</v>
          </cell>
          <cell r="B720" t="str">
            <v>5378</v>
          </cell>
          <cell r="C720" t="str">
            <v>CARNE OSOBUCO PICADO (KILO)</v>
          </cell>
          <cell r="D720" t="str">
            <v>103000021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06/06/2020</v>
          </cell>
          <cell r="I720">
            <v>2995</v>
          </cell>
          <cell r="J720" t="e">
            <v>#N/A</v>
          </cell>
          <cell r="K720">
            <v>1000</v>
          </cell>
          <cell r="L720" t="e">
            <v>#N/A</v>
          </cell>
          <cell r="M720" t="str">
            <v>Gramos</v>
          </cell>
        </row>
        <row r="721">
          <cell r="A721" t="str">
            <v>103000027</v>
          </cell>
          <cell r="B721" t="str">
            <v>13164</v>
          </cell>
          <cell r="C721" t="str">
            <v>CHORIZO PASTA KILO</v>
          </cell>
          <cell r="D721" t="str">
            <v>103000027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13/06/2020</v>
          </cell>
          <cell r="I721">
            <v>2050</v>
          </cell>
          <cell r="J721" t="e">
            <v>#N/A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103000035</v>
          </cell>
          <cell r="B722" t="str">
            <v>14621</v>
          </cell>
          <cell r="C722" t="str">
            <v>ALBONDIGA ITAL COC 1.5 ONZ (1/4.53K)</v>
          </cell>
          <cell r="D722" t="str">
            <v>103000035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11/02/2020</v>
          </cell>
          <cell r="I722" t="e">
            <v>#N/A</v>
          </cell>
          <cell r="J722" t="e">
            <v>#N/A</v>
          </cell>
          <cell r="K722">
            <v>1000</v>
          </cell>
          <cell r="L722" t="e">
            <v>#N/A</v>
          </cell>
          <cell r="M722" t="str">
            <v>Gramos</v>
          </cell>
        </row>
        <row r="723">
          <cell r="A723" t="str">
            <v>103000036</v>
          </cell>
          <cell r="B723" t="str">
            <v>5393</v>
          </cell>
          <cell r="C723" t="str">
            <v>FILET TILAPIA (5-7 ONZ P/KILO)</v>
          </cell>
          <cell r="D723" t="str">
            <v>103000036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30/04/2020</v>
          </cell>
          <cell r="I723" t="e">
            <v>#N/A</v>
          </cell>
          <cell r="J723" t="e">
            <v>#N/A</v>
          </cell>
          <cell r="K723">
            <v>1000</v>
          </cell>
          <cell r="L723" t="e">
            <v>#N/A</v>
          </cell>
          <cell r="M723" t="str">
            <v>Gramos</v>
          </cell>
        </row>
        <row r="724">
          <cell r="A724" t="str">
            <v>105000001</v>
          </cell>
          <cell r="B724" t="str">
            <v>5405</v>
          </cell>
          <cell r="C724" t="str">
            <v>CURRY POLVO (UND:454 G)</v>
          </cell>
          <cell r="D724" t="str">
            <v>105000001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28/04/2020</v>
          </cell>
          <cell r="I724">
            <v>2763</v>
          </cell>
          <cell r="J724">
            <v>3136</v>
          </cell>
          <cell r="K724">
            <v>454</v>
          </cell>
          <cell r="L724">
            <v>6.9074889867841414</v>
          </cell>
          <cell r="M724" t="str">
            <v>Gramos</v>
          </cell>
        </row>
        <row r="725">
          <cell r="A725" t="str">
            <v>105000002</v>
          </cell>
          <cell r="B725" t="str">
            <v>5399</v>
          </cell>
          <cell r="C725" t="str">
            <v>OREGANO (UND: 156 G)</v>
          </cell>
          <cell r="D725" t="str">
            <v>105000002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28/05/2020</v>
          </cell>
          <cell r="I725">
            <v>1879</v>
          </cell>
          <cell r="J725">
            <v>2017</v>
          </cell>
          <cell r="K725">
            <v>156</v>
          </cell>
          <cell r="L725">
            <v>12.929487179487179</v>
          </cell>
          <cell r="M725" t="str">
            <v>Gramos</v>
          </cell>
        </row>
        <row r="726">
          <cell r="A726" t="str">
            <v>105000003</v>
          </cell>
          <cell r="B726" t="str">
            <v>5400</v>
          </cell>
          <cell r="C726" t="str">
            <v>PEREJIL SECO (UND:57 G)</v>
          </cell>
          <cell r="D726" t="str">
            <v>105000003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01/06/2020</v>
          </cell>
          <cell r="I726">
            <v>1411.53</v>
          </cell>
          <cell r="J726">
            <v>1845</v>
          </cell>
          <cell r="K726">
            <v>57</v>
          </cell>
          <cell r="L726">
            <v>32.368421052631582</v>
          </cell>
          <cell r="M726" t="str">
            <v>Gramos</v>
          </cell>
        </row>
        <row r="727">
          <cell r="A727" t="str">
            <v>105000007</v>
          </cell>
          <cell r="B727" t="str">
            <v>5407</v>
          </cell>
          <cell r="C727" t="str">
            <v>PIMIENTA NEGRA MOLIDA (UND:510 G)</v>
          </cell>
          <cell r="D727" t="str">
            <v>105000007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19/03/2020</v>
          </cell>
          <cell r="I727">
            <v>7486</v>
          </cell>
          <cell r="J727">
            <v>7511</v>
          </cell>
          <cell r="K727">
            <v>510</v>
          </cell>
          <cell r="L727">
            <v>14.727450980392156</v>
          </cell>
          <cell r="M727" t="str">
            <v>Gramos</v>
          </cell>
        </row>
        <row r="728">
          <cell r="A728" t="str">
            <v>10100311</v>
          </cell>
          <cell r="B728" t="str">
            <v>7070</v>
          </cell>
          <cell r="C728" t="str">
            <v>CANELA EN ASTILLAS BADIA ( UND: 340,2 G)</v>
          </cell>
          <cell r="D728" t="str">
            <v>105000008</v>
          </cell>
          <cell r="E728" t="str">
            <v>MATERIAS PRIMAS PLANTA</v>
          </cell>
          <cell r="F728" t="str">
            <v>1 PAQUETE</v>
          </cell>
          <cell r="G728">
            <v>500</v>
          </cell>
          <cell r="H728" t="str">
            <v>05/06/2020</v>
          </cell>
          <cell r="I728">
            <v>4836.3</v>
          </cell>
          <cell r="J728">
            <v>3236</v>
          </cell>
          <cell r="K728">
            <v>340</v>
          </cell>
          <cell r="L728">
            <v>9.5176470588235293</v>
          </cell>
          <cell r="M728" t="str">
            <v>Gramos</v>
          </cell>
        </row>
        <row r="729">
          <cell r="A729" t="str">
            <v>105000009</v>
          </cell>
          <cell r="B729" t="str">
            <v>5412</v>
          </cell>
          <cell r="C729" t="str">
            <v>ACHIOTE (UND:850g)</v>
          </cell>
          <cell r="D729" t="str">
            <v>105000009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05/06/2020</v>
          </cell>
          <cell r="I729">
            <v>3137</v>
          </cell>
          <cell r="J729">
            <v>3778</v>
          </cell>
          <cell r="K729">
            <v>850</v>
          </cell>
          <cell r="L729">
            <v>4.4447058823529408</v>
          </cell>
          <cell r="M729" t="str">
            <v>Gramos</v>
          </cell>
        </row>
        <row r="730">
          <cell r="A730" t="str">
            <v>105000029</v>
          </cell>
          <cell r="B730" t="str">
            <v>10237</v>
          </cell>
          <cell r="C730" t="str">
            <v>CONSOME CONCEN. DE RES (UND:2 K)</v>
          </cell>
          <cell r="D730" t="str">
            <v>105000029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28/05/2020</v>
          </cell>
          <cell r="I730">
            <v>5988</v>
          </cell>
          <cell r="J730">
            <v>6228</v>
          </cell>
          <cell r="K730">
            <v>2000</v>
          </cell>
          <cell r="L730">
            <v>3.1139999999999999</v>
          </cell>
          <cell r="M730" t="str">
            <v>Gramos</v>
          </cell>
        </row>
        <row r="731">
          <cell r="A731" t="str">
            <v>105000046</v>
          </cell>
          <cell r="B731" t="str">
            <v>15114</v>
          </cell>
          <cell r="C731" t="str">
            <v>JENGIBRE MOLIDO (UND:354 G)</v>
          </cell>
          <cell r="D731" t="str">
            <v>105000046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07/05/2020</v>
          </cell>
          <cell r="I731">
            <v>6125</v>
          </cell>
          <cell r="J731">
            <v>6089</v>
          </cell>
          <cell r="K731">
            <v>354</v>
          </cell>
          <cell r="L731">
            <v>17.200564971751412</v>
          </cell>
          <cell r="M731" t="str">
            <v>Gramos</v>
          </cell>
        </row>
        <row r="732">
          <cell r="A732" t="str">
            <v>105000047</v>
          </cell>
          <cell r="B732" t="str">
            <v>15115</v>
          </cell>
          <cell r="C732" t="str">
            <v>CLAVOS DE OLOR MOLIDO (UND:453G)</v>
          </cell>
          <cell r="D732" t="str">
            <v>105000047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10/12/2019</v>
          </cell>
          <cell r="I732" t="e">
            <v>#N/A</v>
          </cell>
          <cell r="J732" t="e">
            <v>#N/A</v>
          </cell>
          <cell r="K732">
            <v>453</v>
          </cell>
          <cell r="L732" t="e">
            <v>#N/A</v>
          </cell>
          <cell r="M732" t="str">
            <v>Gramos</v>
          </cell>
        </row>
        <row r="733">
          <cell r="A733" t="str">
            <v>105000048</v>
          </cell>
          <cell r="B733" t="str">
            <v>16318</v>
          </cell>
          <cell r="C733" t="str">
            <v>AJO EN POLVO BADIA (UND:1.8 K)</v>
          </cell>
          <cell r="D733" t="str">
            <v>105000048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24/03/2020</v>
          </cell>
          <cell r="I733" t="e">
            <v>#N/A</v>
          </cell>
          <cell r="J733" t="e">
            <v>#N/A</v>
          </cell>
          <cell r="K733">
            <v>1800</v>
          </cell>
          <cell r="L733" t="e">
            <v>#N/A</v>
          </cell>
          <cell r="M733" t="str">
            <v>Gramos</v>
          </cell>
        </row>
        <row r="734">
          <cell r="A734" t="str">
            <v>105000049</v>
          </cell>
          <cell r="B734" t="str">
            <v>16484</v>
          </cell>
          <cell r="C734" t="str">
            <v>PIMIENTA EN SOBRES (PAQ:1000 UND)</v>
          </cell>
          <cell r="D734" t="str">
            <v>105000049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06/05/2020</v>
          </cell>
          <cell r="I734" t="e">
            <v>#N/A</v>
          </cell>
          <cell r="J734" t="e">
            <v>#N/A</v>
          </cell>
          <cell r="K734">
            <v>1000</v>
          </cell>
          <cell r="L734" t="e">
            <v>#N/A</v>
          </cell>
          <cell r="M734" t="str">
            <v>Gramos</v>
          </cell>
        </row>
        <row r="735">
          <cell r="A735" t="str">
            <v>105000050</v>
          </cell>
          <cell r="B735" t="str">
            <v>16486</v>
          </cell>
          <cell r="C735" t="str">
            <v>SAL EN SOBRES (PAQ:1000 UND)</v>
          </cell>
          <cell r="D735" t="str">
            <v>105000050</v>
          </cell>
          <cell r="E735" t="str">
            <v>MATERIAS PRIMAS PLANTA</v>
          </cell>
          <cell r="F735" t="str">
            <v>1 PAQUETE</v>
          </cell>
          <cell r="G735">
            <v>500</v>
          </cell>
          <cell r="H735" t="str">
            <v>12/06/2020</v>
          </cell>
          <cell r="I735" t="e">
            <v>#N/A</v>
          </cell>
          <cell r="J735" t="e">
            <v>#N/A</v>
          </cell>
          <cell r="K735">
            <v>1000</v>
          </cell>
          <cell r="L735" t="e">
            <v>#N/A</v>
          </cell>
          <cell r="M735" t="str">
            <v>Gramos</v>
          </cell>
        </row>
        <row r="736">
          <cell r="A736" t="str">
            <v>106000001</v>
          </cell>
          <cell r="B736" t="str">
            <v>5415</v>
          </cell>
          <cell r="C736" t="str">
            <v>HIGOS EN ALMIBAR (UND:23 K)</v>
          </cell>
          <cell r="D736" t="str">
            <v>106000001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11/12/2019</v>
          </cell>
          <cell r="I736">
            <v>48300</v>
          </cell>
          <cell r="J736">
            <v>50600</v>
          </cell>
          <cell r="K736">
            <v>23000</v>
          </cell>
          <cell r="L736">
            <v>2.2000000000000002</v>
          </cell>
          <cell r="M736" t="str">
            <v>Gramos</v>
          </cell>
        </row>
        <row r="737">
          <cell r="A737" t="str">
            <v>106000007</v>
          </cell>
          <cell r="B737" t="str">
            <v>16293</v>
          </cell>
          <cell r="C737" t="str">
            <v>CHIVERRE CONSERVA (UND:25 K)</v>
          </cell>
          <cell r="D737" t="str">
            <v>106000007</v>
          </cell>
          <cell r="E737" t="str">
            <v>MATERIAS PRIMAS PLANTA</v>
          </cell>
          <cell r="F737" t="str">
            <v>1 UND</v>
          </cell>
          <cell r="G737">
            <v>500</v>
          </cell>
          <cell r="H737" t="str">
            <v>12/03/2020</v>
          </cell>
          <cell r="I737">
            <v>55000</v>
          </cell>
          <cell r="J737" t="e">
            <v>#N/A</v>
          </cell>
          <cell r="K737">
            <v>25000</v>
          </cell>
          <cell r="L737" t="e">
            <v>#N/A</v>
          </cell>
          <cell r="M737" t="str">
            <v>Gramos</v>
          </cell>
        </row>
        <row r="738">
          <cell r="A738" t="str">
            <v>107000012</v>
          </cell>
          <cell r="B738" t="str">
            <v>8693</v>
          </cell>
          <cell r="C738" t="str">
            <v>CONFITILLO CORAZON MAVALERIO (PAQ:150G)</v>
          </cell>
          <cell r="D738" t="str">
            <v>107000012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13/02/2020</v>
          </cell>
          <cell r="I738">
            <v>875.5</v>
          </cell>
          <cell r="J738" t="e">
            <v>#N/A</v>
          </cell>
          <cell r="K738">
            <v>150</v>
          </cell>
          <cell r="L738" t="e">
            <v>#N/A</v>
          </cell>
          <cell r="M738" t="str">
            <v>Gramos</v>
          </cell>
        </row>
        <row r="739">
          <cell r="A739" t="str">
            <v>109000106</v>
          </cell>
          <cell r="B739" t="str">
            <v>9364</v>
          </cell>
          <cell r="C739" t="str">
            <v>FRESAS CONGEL  BEGRO (PAQ: 1 K)</v>
          </cell>
          <cell r="D739" t="str">
            <v>109000106</v>
          </cell>
          <cell r="E739" t="str">
            <v>MATERIAS PRIMAS PLANTA</v>
          </cell>
          <cell r="F739" t="str">
            <v>1 PAQ</v>
          </cell>
          <cell r="G739">
            <v>500</v>
          </cell>
          <cell r="H739" t="str">
            <v>12/06/2020</v>
          </cell>
          <cell r="I739">
            <v>1940</v>
          </cell>
          <cell r="J739" t="e">
            <v>#N/A</v>
          </cell>
          <cell r="K739">
            <v>1000</v>
          </cell>
          <cell r="L739" t="e">
            <v>#N/A</v>
          </cell>
          <cell r="M739" t="str">
            <v>Gramos</v>
          </cell>
        </row>
        <row r="740">
          <cell r="A740" t="str">
            <v>109000121</v>
          </cell>
          <cell r="B740" t="str">
            <v>15410</v>
          </cell>
          <cell r="C740" t="str">
            <v>TOMATE DESHIDRATADO SECO (UND: 800 G)</v>
          </cell>
          <cell r="D740" t="str">
            <v>109000121</v>
          </cell>
          <cell r="E740" t="str">
            <v>MATERIAS PRIMAS PLANTA</v>
          </cell>
          <cell r="F740" t="str">
            <v>1 UND</v>
          </cell>
          <cell r="G740">
            <v>500</v>
          </cell>
          <cell r="H740" t="str">
            <v>14/01/2020</v>
          </cell>
          <cell r="I740" t="e">
            <v>#N/A</v>
          </cell>
          <cell r="J740" t="e">
            <v>#N/A</v>
          </cell>
          <cell r="K740">
            <v>800</v>
          </cell>
          <cell r="L740" t="e">
            <v>#N/A</v>
          </cell>
          <cell r="M740" t="str">
            <v>Gramos</v>
          </cell>
        </row>
        <row r="741">
          <cell r="A741" t="str">
            <v>109000122</v>
          </cell>
          <cell r="B741" t="str">
            <v>15868</v>
          </cell>
          <cell r="C741" t="str">
            <v>RELLENO PULPA DE PIÑA (KILO)</v>
          </cell>
          <cell r="D741" t="str">
            <v>109000122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27/05/2020</v>
          </cell>
          <cell r="I741" t="e">
            <v>#N/A</v>
          </cell>
          <cell r="J741" t="e">
            <v>#N/A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109000123</v>
          </cell>
          <cell r="B742" t="str">
            <v>15869</v>
          </cell>
          <cell r="C742" t="str">
            <v>RELLENO PULPA DE GUANABANA (KILO)</v>
          </cell>
          <cell r="D742" t="str">
            <v>109000123</v>
          </cell>
          <cell r="E742" t="str">
            <v>MATERIAS PRIMAS PLANTA</v>
          </cell>
          <cell r="F742" t="str">
            <v>1 KILOGramos</v>
          </cell>
          <cell r="G742">
            <v>500</v>
          </cell>
          <cell r="H742" t="str">
            <v>20/05/2020</v>
          </cell>
          <cell r="I742" t="e">
            <v>#N/A</v>
          </cell>
          <cell r="J742" t="e">
            <v>#N/A</v>
          </cell>
          <cell r="K742">
            <v>1000</v>
          </cell>
          <cell r="L742" t="e">
            <v>#N/A</v>
          </cell>
          <cell r="M742" t="str">
            <v>Gramos</v>
          </cell>
        </row>
        <row r="743">
          <cell r="A743" t="str">
            <v>109000124</v>
          </cell>
          <cell r="B743" t="str">
            <v>15927</v>
          </cell>
          <cell r="C743" t="str">
            <v>PITAHAYA INPAK (PAQ: 3 KILOS)</v>
          </cell>
          <cell r="D743" t="str">
            <v>109000124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 t="e">
            <v>#N/A</v>
          </cell>
          <cell r="K743">
            <v>3000</v>
          </cell>
          <cell r="L743" t="e">
            <v>#N/A</v>
          </cell>
          <cell r="M743" t="str">
            <v>Gramos</v>
          </cell>
        </row>
        <row r="744">
          <cell r="A744" t="str">
            <v>109000125</v>
          </cell>
          <cell r="B744" t="str">
            <v>15928</v>
          </cell>
          <cell r="C744" t="str">
            <v>MARACUYA ( PAQ: 3 KILOS)</v>
          </cell>
          <cell r="D744" t="str">
            <v>0159281</v>
          </cell>
          <cell r="E744" t="str">
            <v>MATERIAS PRIMAS PLANTA</v>
          </cell>
          <cell r="F744" t="str">
            <v>1 PAQUETE</v>
          </cell>
          <cell r="G744">
            <v>500</v>
          </cell>
          <cell r="H744" t="str">
            <v>30/01/2020</v>
          </cell>
          <cell r="I744" t="e">
            <v>#N/A</v>
          </cell>
          <cell r="J744" t="e">
            <v>#N/A</v>
          </cell>
          <cell r="K744">
            <v>3000</v>
          </cell>
          <cell r="L744" t="e">
            <v>#N/A</v>
          </cell>
          <cell r="M744" t="str">
            <v>Gramos</v>
          </cell>
        </row>
        <row r="745">
          <cell r="A745" t="str">
            <v>109000127</v>
          </cell>
          <cell r="B745" t="str">
            <v>16666</v>
          </cell>
          <cell r="C745" t="str">
            <v>MELOCOTON EN CUBOS COUNTREE (UND:3 K)</v>
          </cell>
          <cell r="D745" t="str">
            <v>109000127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15/06/2020</v>
          </cell>
          <cell r="I745">
            <v>3338</v>
          </cell>
          <cell r="J745">
            <v>3741</v>
          </cell>
          <cell r="K745">
            <v>1800</v>
          </cell>
          <cell r="L745">
            <v>2.0783333333333331</v>
          </cell>
          <cell r="M745" t="str">
            <v>Gramos</v>
          </cell>
        </row>
        <row r="746">
          <cell r="A746" t="str">
            <v>111000002</v>
          </cell>
          <cell r="B746" t="str">
            <v>5522</v>
          </cell>
          <cell r="C746" t="str">
            <v xml:space="preserve">ACEITE DE SESAMO (UND:1656 ml) </v>
          </cell>
          <cell r="D746" t="str">
            <v>111000002</v>
          </cell>
          <cell r="E746" t="str">
            <v>MATERIAS PRIMAS PLANTA</v>
          </cell>
          <cell r="F746" t="str">
            <v>1 UND</v>
          </cell>
          <cell r="G746">
            <v>500</v>
          </cell>
          <cell r="H746" t="str">
            <v>10/06/2020</v>
          </cell>
          <cell r="I746">
            <v>13178.8</v>
          </cell>
          <cell r="J746">
            <v>13178.8</v>
          </cell>
          <cell r="K746">
            <v>1656</v>
          </cell>
          <cell r="L746">
            <v>7.9582125603864728</v>
          </cell>
          <cell r="M746" t="str">
            <v>Gramos</v>
          </cell>
        </row>
        <row r="747">
          <cell r="A747" t="str">
            <v>112000004</v>
          </cell>
          <cell r="B747" t="str">
            <v>5537</v>
          </cell>
          <cell r="C747" t="str">
            <v>GALLETA OREO TROZOS (PAQ:1.13 K)</v>
          </cell>
          <cell r="D747" t="str">
            <v>112000004</v>
          </cell>
          <cell r="E747" t="str">
            <v>MATERIAS PRIMAS PLANTA</v>
          </cell>
          <cell r="F747" t="str">
            <v>1 PAQUETE</v>
          </cell>
          <cell r="G747">
            <v>500</v>
          </cell>
          <cell r="H747" t="str">
            <v>12/05/2020</v>
          </cell>
          <cell r="I747" t="e">
            <v>#N/A</v>
          </cell>
          <cell r="J747" t="e">
            <v>#N/A</v>
          </cell>
          <cell r="K747">
            <v>1130</v>
          </cell>
          <cell r="L747" t="e">
            <v>#N/A</v>
          </cell>
          <cell r="M747" t="str">
            <v>Gramos</v>
          </cell>
        </row>
        <row r="748">
          <cell r="A748" t="str">
            <v>112000009</v>
          </cell>
          <cell r="B748" t="str">
            <v>5542</v>
          </cell>
          <cell r="C748" t="str">
            <v>MASECA GRANEL (SACO:20 K)</v>
          </cell>
          <cell r="D748" t="str">
            <v>112000009</v>
          </cell>
          <cell r="E748" t="str">
            <v>MATERIAS PRIMAS PLANTA</v>
          </cell>
          <cell r="F748" t="str">
            <v xml:space="preserve">1 SACO </v>
          </cell>
          <cell r="G748">
            <v>500</v>
          </cell>
          <cell r="H748" t="str">
            <v>15/01/2020</v>
          </cell>
          <cell r="I748">
            <v>30890</v>
          </cell>
          <cell r="J748">
            <v>12896.4</v>
          </cell>
          <cell r="K748">
            <v>20000</v>
          </cell>
          <cell r="L748">
            <v>0.64481999999999995</v>
          </cell>
          <cell r="M748" t="str">
            <v>Gramos</v>
          </cell>
        </row>
        <row r="749">
          <cell r="A749" t="str">
            <v>112000047</v>
          </cell>
          <cell r="B749" t="str">
            <v>7074</v>
          </cell>
          <cell r="C749" t="str">
            <v>EMPANIZADOR PANKO (PAQ: 3 K)</v>
          </cell>
          <cell r="D749" t="str">
            <v>112000047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28/02/2020</v>
          </cell>
          <cell r="I749">
            <v>15946.32</v>
          </cell>
          <cell r="J749">
            <v>17541</v>
          </cell>
          <cell r="K749">
            <v>3000</v>
          </cell>
          <cell r="L749">
            <v>5.8470000000000004</v>
          </cell>
          <cell r="M749" t="str">
            <v>Gramos</v>
          </cell>
        </row>
        <row r="750">
          <cell r="A750" t="str">
            <v>112000061</v>
          </cell>
          <cell r="B750" t="str">
            <v>14101</v>
          </cell>
          <cell r="C750" t="str">
            <v>PAN MUFFIN 70G (PAQ:6 UND)</v>
          </cell>
          <cell r="D750" t="str">
            <v>112000061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15/06/2020</v>
          </cell>
          <cell r="I750">
            <v>1140</v>
          </cell>
          <cell r="J750">
            <v>1050</v>
          </cell>
          <cell r="K750">
            <v>6</v>
          </cell>
          <cell r="L750">
            <v>175</v>
          </cell>
          <cell r="M750" t="str">
            <v>Gramos</v>
          </cell>
        </row>
        <row r="751">
          <cell r="A751" t="str">
            <v>112000065</v>
          </cell>
          <cell r="B751" t="str">
            <v>15821</v>
          </cell>
          <cell r="C751" t="str">
            <v>PANINI PARRILADA 8" (PAQ:10 UND)</v>
          </cell>
          <cell r="D751" t="str">
            <v>112000065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13/01/2020</v>
          </cell>
          <cell r="I751" t="e">
            <v>#N/A</v>
          </cell>
          <cell r="J751" t="e">
            <v>#N/A</v>
          </cell>
          <cell r="K751">
            <v>10</v>
          </cell>
          <cell r="L751" t="e">
            <v>#N/A</v>
          </cell>
          <cell r="M751" t="str">
            <v>Gramos</v>
          </cell>
        </row>
        <row r="752">
          <cell r="A752" t="str">
            <v>114000002</v>
          </cell>
          <cell r="B752" t="str">
            <v>5584</v>
          </cell>
          <cell r="C752" t="str">
            <v>LECHE HOMOGENIZ TB 3.5%  (CAJA:12 UND)</v>
          </cell>
          <cell r="D752" t="str">
            <v>0310108</v>
          </cell>
          <cell r="E752" t="str">
            <v>MATERIAS PRIMAS PLANTA</v>
          </cell>
          <cell r="F752" t="str">
            <v>1 CAJA</v>
          </cell>
          <cell r="G752">
            <v>500</v>
          </cell>
          <cell r="H752" t="str">
            <v>08/06/2020</v>
          </cell>
          <cell r="I752">
            <v>7867</v>
          </cell>
          <cell r="J752">
            <v>7867</v>
          </cell>
          <cell r="K752">
            <v>12000</v>
          </cell>
          <cell r="L752">
            <v>0.6555833333333333</v>
          </cell>
          <cell r="M752" t="str">
            <v>Mililitros</v>
          </cell>
        </row>
        <row r="753">
          <cell r="A753" t="str">
            <v>114000017</v>
          </cell>
          <cell r="B753" t="str">
            <v>5599</v>
          </cell>
          <cell r="C753" t="str">
            <v>BETTERCREAM CHOCOLATE (UND:4 Kg)</v>
          </cell>
          <cell r="D753" t="str">
            <v>114000017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12/06/2020</v>
          </cell>
          <cell r="I753">
            <v>8906</v>
          </cell>
          <cell r="J753">
            <v>9369</v>
          </cell>
          <cell r="K753">
            <v>4000</v>
          </cell>
          <cell r="L753">
            <v>2.3422499999999999</v>
          </cell>
          <cell r="M753" t="str">
            <v>Gramos</v>
          </cell>
        </row>
        <row r="754">
          <cell r="A754" t="str">
            <v>116000009</v>
          </cell>
          <cell r="B754" t="str">
            <v>9534</v>
          </cell>
          <cell r="C754" t="str">
            <v>PRESERVANTE OPTIFORM PD4 (UND:25K)</v>
          </cell>
          <cell r="D754" t="str">
            <v>116000009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05/06/2020</v>
          </cell>
          <cell r="I754">
            <v>49853</v>
          </cell>
          <cell r="J754">
            <v>51409</v>
          </cell>
          <cell r="K754">
            <v>25000</v>
          </cell>
          <cell r="L754">
            <v>2.0563600000000002</v>
          </cell>
          <cell r="M754" t="str">
            <v>Gramos</v>
          </cell>
        </row>
        <row r="755">
          <cell r="A755" t="str">
            <v>118000004</v>
          </cell>
          <cell r="B755" t="str">
            <v>5655</v>
          </cell>
          <cell r="C755" t="str">
            <v>VAINILLA OSCURA (UND: 3.78 L)</v>
          </cell>
          <cell r="D755" t="str">
            <v>118000004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03/06/2020</v>
          </cell>
          <cell r="I755">
            <v>3900</v>
          </cell>
          <cell r="J755">
            <v>3900</v>
          </cell>
          <cell r="K755">
            <v>3780</v>
          </cell>
          <cell r="L755">
            <v>1.0317460317460319</v>
          </cell>
          <cell r="M755" t="str">
            <v>Mililitros</v>
          </cell>
        </row>
        <row r="756">
          <cell r="A756" t="str">
            <v>118000007</v>
          </cell>
          <cell r="B756" t="str">
            <v>7062</v>
          </cell>
          <cell r="C756" t="str">
            <v>SABORIZANTE MELO (KILO)</v>
          </cell>
          <cell r="D756" t="str">
            <v>118000007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7795</v>
          </cell>
          <cell r="J756">
            <v>9410</v>
          </cell>
          <cell r="K756">
            <v>1000</v>
          </cell>
          <cell r="L756">
            <v>9.41</v>
          </cell>
          <cell r="M756" t="str">
            <v>Gramos</v>
          </cell>
        </row>
        <row r="757">
          <cell r="A757" t="str">
            <v>118000014</v>
          </cell>
          <cell r="B757" t="str">
            <v>9606</v>
          </cell>
          <cell r="C757" t="str">
            <v>SABORIZANTE MENTA (KILO)</v>
          </cell>
          <cell r="D757" t="str">
            <v>118000014</v>
          </cell>
          <cell r="E757" t="str">
            <v>MATERIAS PRIMAS PLANTA</v>
          </cell>
          <cell r="F757" t="str">
            <v xml:space="preserve">1 KILO </v>
          </cell>
          <cell r="G757">
            <v>500</v>
          </cell>
          <cell r="H757" t="str">
            <v>07/02/2020</v>
          </cell>
          <cell r="I757">
            <v>20470.53</v>
          </cell>
          <cell r="J757">
            <v>20470.53</v>
          </cell>
          <cell r="K757">
            <v>1000</v>
          </cell>
          <cell r="L757">
            <v>20.47053</v>
          </cell>
          <cell r="M757" t="str">
            <v>Gramos</v>
          </cell>
        </row>
        <row r="758">
          <cell r="A758" t="str">
            <v>118000017</v>
          </cell>
          <cell r="B758" t="str">
            <v>16320</v>
          </cell>
          <cell r="C758" t="str">
            <v>SABORIZANTE RON (UND)</v>
          </cell>
          <cell r="D758" t="str">
            <v>118000017</v>
          </cell>
          <cell r="E758" t="str">
            <v>MATERIAS PRIMAS PLANTA</v>
          </cell>
          <cell r="F758" t="str">
            <v>1 UNIDAD</v>
          </cell>
          <cell r="G758">
            <v>500</v>
          </cell>
          <cell r="H758" t="str">
            <v>29/05/2020</v>
          </cell>
          <cell r="I758">
            <v>8372.98</v>
          </cell>
          <cell r="J758" t="e">
            <v>#N/A</v>
          </cell>
          <cell r="K758">
            <v>1000</v>
          </cell>
          <cell r="L758" t="e">
            <v>#N/A</v>
          </cell>
          <cell r="M758" t="str">
            <v>Gramos</v>
          </cell>
        </row>
        <row r="759">
          <cell r="A759" t="str">
            <v>119000012</v>
          </cell>
          <cell r="B759" t="str">
            <v>5668</v>
          </cell>
          <cell r="C759" t="str">
            <v>MACADAMIA ENTERA (PAQ=1 KILO)</v>
          </cell>
          <cell r="D759" t="str">
            <v>119000012</v>
          </cell>
          <cell r="E759" t="str">
            <v>MATERIAS PRIMAS PLANTA</v>
          </cell>
          <cell r="F759" t="str">
            <v>1 PAQUETE</v>
          </cell>
          <cell r="G759">
            <v>500</v>
          </cell>
          <cell r="H759" t="str">
            <v>15/06/2020</v>
          </cell>
          <cell r="I759" t="e">
            <v>#N/A</v>
          </cell>
          <cell r="J759" t="e">
            <v>#N/A</v>
          </cell>
          <cell r="K759">
            <v>1000</v>
          </cell>
          <cell r="L759" t="e">
            <v>#N/A</v>
          </cell>
          <cell r="M759" t="str">
            <v>Gramos</v>
          </cell>
        </row>
        <row r="760">
          <cell r="A760" t="str">
            <v>119000026</v>
          </cell>
          <cell r="B760" t="str">
            <v>14850</v>
          </cell>
          <cell r="C760" t="str">
            <v>SEMILLA DE AMAPOLA (UND: 566 G)</v>
          </cell>
          <cell r="D760" t="str">
            <v>119000026</v>
          </cell>
          <cell r="E760" t="str">
            <v>MATERIAS PRIMAS PLANTA</v>
          </cell>
          <cell r="F760" t="str">
            <v>1 Uds.</v>
          </cell>
          <cell r="G760">
            <v>500</v>
          </cell>
          <cell r="H760" t="str">
            <v>15/06/2020</v>
          </cell>
          <cell r="I760">
            <v>5188</v>
          </cell>
          <cell r="J760" t="e">
            <v>#N/A</v>
          </cell>
          <cell r="K760">
            <v>566</v>
          </cell>
          <cell r="L760" t="e">
            <v>#N/A</v>
          </cell>
          <cell r="M760" t="str">
            <v>Gramos</v>
          </cell>
        </row>
        <row r="761">
          <cell r="A761" t="str">
            <v>120000012</v>
          </cell>
          <cell r="B761" t="str">
            <v>10290</v>
          </cell>
          <cell r="C761" t="str">
            <v>ARO CHOCOLATE BLANCO (CAJA:150 UND)</v>
          </cell>
          <cell r="D761" t="str">
            <v>120000012</v>
          </cell>
          <cell r="E761" t="str">
            <v>MATERIAS PRIMAS PLANTA</v>
          </cell>
          <cell r="F761" t="str">
            <v>1 CAJA</v>
          </cell>
          <cell r="G761">
            <v>500</v>
          </cell>
          <cell r="H761" t="str">
            <v>03/12/2019</v>
          </cell>
          <cell r="I761" t="e">
            <v>#N/A</v>
          </cell>
          <cell r="J761" t="e">
            <v>#N/A</v>
          </cell>
          <cell r="K761">
            <v>150</v>
          </cell>
          <cell r="L761" t="e">
            <v>#N/A</v>
          </cell>
          <cell r="M761" t="str">
            <v>Gramos</v>
          </cell>
        </row>
        <row r="762">
          <cell r="A762" t="str">
            <v>120000017</v>
          </cell>
          <cell r="B762" t="str">
            <v>14824</v>
          </cell>
          <cell r="C762" t="str">
            <v>GALLETA DE CHOCOLATE (PAQ:3 UND)</v>
          </cell>
          <cell r="D762" t="str">
            <v>120000017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 t="e">
            <v>#N/A</v>
          </cell>
          <cell r="K762">
            <v>566</v>
          </cell>
          <cell r="L762" t="e">
            <v>#N/A</v>
          </cell>
          <cell r="M762" t="str">
            <v>Gramos</v>
          </cell>
        </row>
        <row r="763">
          <cell r="A763" t="str">
            <v>120000018</v>
          </cell>
          <cell r="B763" t="str">
            <v>14825</v>
          </cell>
          <cell r="C763" t="str">
            <v>GALLETA DE CRAMBERRY (PAQ:5 UND)</v>
          </cell>
          <cell r="D763" t="str">
            <v>120000018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13/05/2020</v>
          </cell>
          <cell r="I763" t="e">
            <v>#N/A</v>
          </cell>
          <cell r="J763" t="e">
            <v>#N/A</v>
          </cell>
          <cell r="K763">
            <v>150</v>
          </cell>
          <cell r="L763" t="e">
            <v>#N/A</v>
          </cell>
          <cell r="M763" t="str">
            <v>Gramos</v>
          </cell>
        </row>
        <row r="764">
          <cell r="A764" t="str">
            <v>120000019</v>
          </cell>
          <cell r="B764" t="str">
            <v>14826</v>
          </cell>
          <cell r="C764" t="str">
            <v>GALLETA DE CANELA (PAQ:4 UND)</v>
          </cell>
          <cell r="D764" t="str">
            <v>120000019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05/06/2020</v>
          </cell>
          <cell r="I764" t="e">
            <v>#N/A</v>
          </cell>
          <cell r="J764" t="e">
            <v>#N/A</v>
          </cell>
          <cell r="K764">
            <v>20000</v>
          </cell>
          <cell r="L764" t="e">
            <v>#N/A</v>
          </cell>
          <cell r="M764" t="str">
            <v>Gramos</v>
          </cell>
        </row>
        <row r="765">
          <cell r="A765" t="str">
            <v>120000022</v>
          </cell>
          <cell r="B765" t="str">
            <v>15912</v>
          </cell>
          <cell r="C765" t="str">
            <v>GALLETA OREO ( PAQ: 126 G)</v>
          </cell>
          <cell r="D765" t="str">
            <v>120000022</v>
          </cell>
          <cell r="E765" t="str">
            <v>MATERIAS PRIMAS PLANTA</v>
          </cell>
          <cell r="F765" t="str">
            <v>1 PAQUETE</v>
          </cell>
          <cell r="G765">
            <v>500</v>
          </cell>
          <cell r="H765" t="str">
            <v>21/05/2020</v>
          </cell>
          <cell r="I765" t="e">
            <v>#N/A</v>
          </cell>
          <cell r="J765" t="e">
            <v>#N/A</v>
          </cell>
          <cell r="K765">
            <v>126</v>
          </cell>
          <cell r="L765" t="e">
            <v>#N/A</v>
          </cell>
          <cell r="M765" t="str">
            <v>Gramos</v>
          </cell>
        </row>
        <row r="766">
          <cell r="A766" t="str">
            <v>120000023</v>
          </cell>
          <cell r="B766" t="str">
            <v>16424</v>
          </cell>
          <cell r="C766" t="str">
            <v>HELADO VAINILLA CARAMELO 1/4 GALON</v>
          </cell>
          <cell r="D766" t="str">
            <v>120000023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16/04/2020</v>
          </cell>
          <cell r="I766" t="e">
            <v>#N/A</v>
          </cell>
          <cell r="J766" t="e">
            <v>#N/A</v>
          </cell>
          <cell r="K766">
            <v>6</v>
          </cell>
          <cell r="L766" t="e">
            <v>#N/A</v>
          </cell>
          <cell r="M766" t="str">
            <v>Gramos</v>
          </cell>
        </row>
        <row r="767">
          <cell r="A767" t="str">
            <v>203000096</v>
          </cell>
          <cell r="B767" t="str">
            <v>12763</v>
          </cell>
          <cell r="C767" t="str">
            <v>TARJETA CARTULINA CUCHARA BELGA</v>
          </cell>
          <cell r="D767" t="str">
            <v>203000096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03/02/2020</v>
          </cell>
          <cell r="I767" t="e">
            <v>#N/A</v>
          </cell>
          <cell r="J767" t="e">
            <v>#N/A</v>
          </cell>
          <cell r="K767">
            <v>126</v>
          </cell>
          <cell r="L767" t="e">
            <v>#N/A</v>
          </cell>
          <cell r="M767" t="str">
            <v>Gramos</v>
          </cell>
        </row>
        <row r="768">
          <cell r="A768" t="str">
            <v>207000001</v>
          </cell>
          <cell r="B768" t="str">
            <v>11323</v>
          </cell>
          <cell r="C768" t="str">
            <v>BATIDO DE PIÑA,PEPINO Y ALBAHACA (UND)</v>
          </cell>
          <cell r="D768" t="str">
            <v>207000001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 t="e">
            <v>#N/A</v>
          </cell>
          <cell r="K768">
            <v>12000</v>
          </cell>
          <cell r="L768" t="e">
            <v>#N/A</v>
          </cell>
          <cell r="M768" t="str">
            <v>Mililitros</v>
          </cell>
        </row>
        <row r="769">
          <cell r="A769" t="str">
            <v>207000002</v>
          </cell>
          <cell r="B769" t="str">
            <v>11324</v>
          </cell>
          <cell r="C769" t="str">
            <v>BATIDO DE MORA Y JENJIBRE (UND)</v>
          </cell>
          <cell r="D769" t="str">
            <v>207000002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05/06/2020</v>
          </cell>
          <cell r="I769">
            <v>515</v>
          </cell>
          <cell r="J769" t="e">
            <v>#N/A</v>
          </cell>
          <cell r="K769">
            <v>4000</v>
          </cell>
          <cell r="L769" t="e">
            <v>#N/A</v>
          </cell>
          <cell r="M769" t="str">
            <v>Gramos</v>
          </cell>
        </row>
        <row r="770">
          <cell r="A770" t="str">
            <v>207000003</v>
          </cell>
          <cell r="B770" t="str">
            <v>11325</v>
          </cell>
          <cell r="C770" t="str">
            <v>BATIDO MANGO, NARANJA Y MARACUYA (UND)</v>
          </cell>
          <cell r="D770" t="str">
            <v>207000003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13/06/2020</v>
          </cell>
          <cell r="I770">
            <v>515</v>
          </cell>
          <cell r="J770" t="e">
            <v>#N/A</v>
          </cell>
          <cell r="K770">
            <v>25000</v>
          </cell>
          <cell r="L770" t="e">
            <v>#N/A</v>
          </cell>
          <cell r="M770" t="str">
            <v>Gramos</v>
          </cell>
        </row>
        <row r="771">
          <cell r="A771" t="str">
            <v>401000002</v>
          </cell>
          <cell r="B771" t="str">
            <v>5679</v>
          </cell>
          <cell r="C771" t="str">
            <v>BOLSA TRANSPARENTE 6X6X4 KILO</v>
          </cell>
          <cell r="D771" t="str">
            <v>401000002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04/05/2020</v>
          </cell>
          <cell r="I771">
            <v>1400</v>
          </cell>
          <cell r="J771">
            <v>1800</v>
          </cell>
          <cell r="K771">
            <v>430</v>
          </cell>
          <cell r="L771">
            <v>4.1860465116279073</v>
          </cell>
          <cell r="M771" t="str">
            <v>Und</v>
          </cell>
        </row>
        <row r="772">
          <cell r="A772" t="str">
            <v>401000003</v>
          </cell>
          <cell r="B772" t="str">
            <v>5680</v>
          </cell>
          <cell r="C772" t="str">
            <v>BOLSA TRANSPARENTE 6X8X4 KILO</v>
          </cell>
          <cell r="D772" t="str">
            <v>401000003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23/03/2020</v>
          </cell>
          <cell r="I772">
            <v>1400</v>
          </cell>
          <cell r="J772">
            <v>1800</v>
          </cell>
          <cell r="K772">
            <v>340</v>
          </cell>
          <cell r="L772">
            <v>5.2941176470588234</v>
          </cell>
          <cell r="M772" t="str">
            <v>Und</v>
          </cell>
        </row>
        <row r="773">
          <cell r="A773" t="str">
            <v>401000004</v>
          </cell>
          <cell r="B773" t="str">
            <v>5681</v>
          </cell>
          <cell r="C773" t="str">
            <v>BOLSA TRANSPARENTE 7X9X4 KILO</v>
          </cell>
          <cell r="D773" t="str">
            <v>401000004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27/01/2020</v>
          </cell>
          <cell r="I773">
            <v>1400</v>
          </cell>
          <cell r="J773">
            <v>1800</v>
          </cell>
          <cell r="K773">
            <v>250</v>
          </cell>
          <cell r="L773">
            <v>7.2</v>
          </cell>
          <cell r="M773" t="str">
            <v>Und</v>
          </cell>
        </row>
        <row r="774">
          <cell r="A774" t="str">
            <v>401000005</v>
          </cell>
          <cell r="B774" t="str">
            <v>5682</v>
          </cell>
          <cell r="C774" t="str">
            <v>BOLSA TRANSPARENTE 8X10X4 KILO</v>
          </cell>
          <cell r="D774" t="str">
            <v>401000005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07/02/2020</v>
          </cell>
          <cell r="I774" t="e">
            <v>#N/A</v>
          </cell>
          <cell r="J774">
            <v>1400</v>
          </cell>
          <cell r="K774">
            <v>196</v>
          </cell>
          <cell r="L774">
            <v>7.1428571428571432</v>
          </cell>
          <cell r="M774" t="str">
            <v>Und</v>
          </cell>
        </row>
        <row r="775">
          <cell r="A775" t="str">
            <v>401000006</v>
          </cell>
          <cell r="B775" t="str">
            <v>5683</v>
          </cell>
          <cell r="C775" t="str">
            <v>BOLSA TRANSPARENTE 10X12X4 KILO</v>
          </cell>
          <cell r="D775" t="str">
            <v>401000006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1400</v>
          </cell>
          <cell r="K775">
            <v>126</v>
          </cell>
          <cell r="L775">
            <v>11.111111111111111</v>
          </cell>
          <cell r="M775" t="str">
            <v>Und</v>
          </cell>
        </row>
        <row r="776">
          <cell r="A776" t="str">
            <v>503000036</v>
          </cell>
          <cell r="B776" t="str">
            <v>14741</v>
          </cell>
          <cell r="C776" t="str">
            <v>BICARBONATO DE SODIO (PAQ:2.5 K)</v>
          </cell>
          <cell r="D776" t="str">
            <v>503000036</v>
          </cell>
          <cell r="E776" t="str">
            <v>MATERIAS PRIMAS PLANTA</v>
          </cell>
          <cell r="F776" t="str">
            <v>1 PAQUETE</v>
          </cell>
          <cell r="G776">
            <v>500</v>
          </cell>
          <cell r="H776" t="str">
            <v>21/03/2020</v>
          </cell>
          <cell r="I776">
            <v>1766.45</v>
          </cell>
          <cell r="J776">
            <v>2410.86</v>
          </cell>
          <cell r="K776">
            <v>2500</v>
          </cell>
          <cell r="L776">
            <v>0.96434400000000009</v>
          </cell>
          <cell r="M776" t="str">
            <v>Gramos</v>
          </cell>
        </row>
        <row r="777">
          <cell r="A777" t="str">
            <v>510000013</v>
          </cell>
          <cell r="B777" t="str">
            <v>8045</v>
          </cell>
          <cell r="C777" t="str">
            <v>ORLA 13" C163 (UND)</v>
          </cell>
          <cell r="D777" t="str">
            <v>510000013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17/03/2020</v>
          </cell>
          <cell r="I777">
            <v>230</v>
          </cell>
          <cell r="J777" t="e">
            <v>#N/A</v>
          </cell>
          <cell r="K777">
            <v>1</v>
          </cell>
          <cell r="L777" t="e">
            <v>#N/A</v>
          </cell>
          <cell r="M777" t="str">
            <v>Gramos</v>
          </cell>
        </row>
        <row r="778">
          <cell r="A778" t="str">
            <v>510000014</v>
          </cell>
          <cell r="B778" t="str">
            <v>15367</v>
          </cell>
          <cell r="C778" t="str">
            <v>BASE CARTON ALUMINIO REDONDA # 12 (UND)</v>
          </cell>
          <cell r="D778" t="str">
            <v>510000014</v>
          </cell>
          <cell r="E778" t="str">
            <v>EMPAQUES PLANTA</v>
          </cell>
          <cell r="F778" t="str">
            <v>1 UND</v>
          </cell>
          <cell r="G778">
            <v>500</v>
          </cell>
          <cell r="H778" t="str">
            <v>28/01/2020</v>
          </cell>
          <cell r="I778" t="e">
            <v>#N/A</v>
          </cell>
          <cell r="J778" t="e">
            <v>#N/A</v>
          </cell>
          <cell r="K778">
            <v>1</v>
          </cell>
          <cell r="L778" t="e">
            <v>#N/A</v>
          </cell>
          <cell r="M778" t="str">
            <v>Gramos</v>
          </cell>
        </row>
        <row r="779">
          <cell r="A779" t="str">
            <v>510000015</v>
          </cell>
          <cell r="B779" t="str">
            <v>15384</v>
          </cell>
          <cell r="C779" t="str">
            <v>BASE RECTAGULAR GRANDE (UND)</v>
          </cell>
          <cell r="D779" t="str">
            <v>510000015</v>
          </cell>
          <cell r="E779" t="str">
            <v>EMPAQUES PLANTA</v>
          </cell>
          <cell r="F779" t="str">
            <v xml:space="preserve">1 UND </v>
          </cell>
          <cell r="G779">
            <v>500</v>
          </cell>
          <cell r="H779" t="str">
            <v>28/01/2020</v>
          </cell>
          <cell r="I779" t="e">
            <v>#N/A</v>
          </cell>
          <cell r="J779" t="e">
            <v>#N/A</v>
          </cell>
          <cell r="K779">
            <v>1</v>
          </cell>
          <cell r="L779" t="e">
            <v>#N/A</v>
          </cell>
          <cell r="M779" t="str">
            <v>Gramos</v>
          </cell>
        </row>
        <row r="780">
          <cell r="A780" t="str">
            <v>510000016</v>
          </cell>
          <cell r="B780" t="str">
            <v>15385</v>
          </cell>
          <cell r="C780" t="str">
            <v>CARTON RECTA PEQ 1/2 QUEQUE CRISTAL(UND)</v>
          </cell>
          <cell r="D780" t="str">
            <v>510000016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>
            <v>180</v>
          </cell>
          <cell r="J780" t="e">
            <v>#N/A</v>
          </cell>
          <cell r="K780">
            <v>1</v>
          </cell>
          <cell r="L780" t="e">
            <v>#N/A</v>
          </cell>
          <cell r="M780" t="str">
            <v>Gramos</v>
          </cell>
        </row>
        <row r="781">
          <cell r="A781" t="str">
            <v>512000001</v>
          </cell>
          <cell r="B781" t="str">
            <v>5845</v>
          </cell>
          <cell r="C781" t="str">
            <v>PLASTICO P PALETIZAR 18X1500</v>
          </cell>
          <cell r="D781" t="str">
            <v>512000001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4800</v>
          </cell>
          <cell r="J781">
            <v>5900</v>
          </cell>
          <cell r="K781">
            <v>15000</v>
          </cell>
          <cell r="L781">
            <v>0.39333333333333331</v>
          </cell>
          <cell r="M781" t="str">
            <v>Centimetros</v>
          </cell>
        </row>
        <row r="782">
          <cell r="A782" t="str">
            <v>512000002</v>
          </cell>
          <cell r="B782" t="str">
            <v>5846</v>
          </cell>
          <cell r="C782" t="str">
            <v>PLASTICO  AUTOAD (UND: 18 * 2000 M)</v>
          </cell>
          <cell r="D782" t="str">
            <v>51200002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12/06/2020</v>
          </cell>
          <cell r="I782">
            <v>11857</v>
          </cell>
          <cell r="J782">
            <v>11857</v>
          </cell>
          <cell r="K782">
            <v>20000</v>
          </cell>
          <cell r="L782">
            <v>0.59284999999999999</v>
          </cell>
          <cell r="M782" t="str">
            <v>Centimetros</v>
          </cell>
        </row>
        <row r="783">
          <cell r="A783" t="str">
            <v>515000012</v>
          </cell>
          <cell r="B783" t="str">
            <v>5874</v>
          </cell>
          <cell r="C783" t="str">
            <v>VASO CARTON NESCAFE 8OZ (PAQ:50 UND)</v>
          </cell>
          <cell r="D783" t="str">
            <v>515000012</v>
          </cell>
          <cell r="E783" t="str">
            <v>EMPAQUES PLANTA</v>
          </cell>
          <cell r="F783" t="str">
            <v>1 PAQUETE</v>
          </cell>
          <cell r="G783">
            <v>500</v>
          </cell>
          <cell r="H783" t="str">
            <v>22/02/2020</v>
          </cell>
          <cell r="I783" t="e">
            <v>#N/A</v>
          </cell>
          <cell r="J783" t="e">
            <v>#N/A</v>
          </cell>
          <cell r="K783">
            <v>50</v>
          </cell>
          <cell r="L783" t="e">
            <v>#N/A</v>
          </cell>
          <cell r="M783" t="str">
            <v>Centimetros</v>
          </cell>
        </row>
        <row r="784">
          <cell r="A784" t="str">
            <v>516000002</v>
          </cell>
          <cell r="B784" t="str">
            <v>8074</v>
          </cell>
          <cell r="C784" t="str">
            <v>LAMINA ACETATO (UND)</v>
          </cell>
          <cell r="D784" t="str">
            <v>516000002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26/12/2019</v>
          </cell>
          <cell r="I784">
            <v>100</v>
          </cell>
          <cell r="J784" t="e">
            <v>#N/A</v>
          </cell>
          <cell r="K784">
            <v>1</v>
          </cell>
          <cell r="L784" t="e">
            <v>#N/A</v>
          </cell>
          <cell r="M784" t="str">
            <v>Centimetros</v>
          </cell>
        </row>
        <row r="785">
          <cell r="A785" t="str">
            <v>906000010</v>
          </cell>
          <cell r="B785" t="str">
            <v>11228</v>
          </cell>
          <cell r="C785" t="str">
            <v>PREMEZCLA CHOCOMIX (SACO:25k)</v>
          </cell>
          <cell r="D785" t="str">
            <v>906000010</v>
          </cell>
          <cell r="E785" t="str">
            <v>MATERIAS PRIMAS PLANTA</v>
          </cell>
          <cell r="F785" t="str">
            <v>1 SACO</v>
          </cell>
          <cell r="G785">
            <v>500</v>
          </cell>
          <cell r="H785" t="str">
            <v>13/06/2020</v>
          </cell>
          <cell r="I785">
            <v>35505</v>
          </cell>
          <cell r="J785">
            <v>38592</v>
          </cell>
          <cell r="K785">
            <v>25000</v>
          </cell>
          <cell r="L785">
            <v>1.5436799999999999</v>
          </cell>
          <cell r="M785" t="str">
            <v>Gramos</v>
          </cell>
        </row>
        <row r="786">
          <cell r="A786" t="str">
            <v>403000007</v>
          </cell>
          <cell r="B786" t="str">
            <v>5717</v>
          </cell>
          <cell r="C786" t="str">
            <v>GUANTE LATEX CORRIENTE (CAJA:100 UND)</v>
          </cell>
          <cell r="D786" t="str">
            <v>516000002</v>
          </cell>
          <cell r="E786" t="str">
            <v>ASEO</v>
          </cell>
          <cell r="F786" t="str">
            <v>1 CAJA</v>
          </cell>
          <cell r="G786">
            <v>500</v>
          </cell>
          <cell r="H786" t="str">
            <v>26/12/2019</v>
          </cell>
          <cell r="I786">
            <v>4295</v>
          </cell>
          <cell r="J786" t="e">
            <v>#N/A</v>
          </cell>
          <cell r="K786">
            <v>100</v>
          </cell>
          <cell r="L786" t="e">
            <v>#N/A</v>
          </cell>
          <cell r="M786" t="str">
            <v>Und</v>
          </cell>
        </row>
        <row r="787">
          <cell r="A787" t="str">
            <v>10415</v>
          </cell>
          <cell r="B787" t="str">
            <v/>
          </cell>
          <cell r="C787" t="str">
            <v>AGUA PLANTA</v>
          </cell>
          <cell r="D787" t="str">
            <v>906000010</v>
          </cell>
          <cell r="E787" t="str">
            <v>MATERIAS PRIMAS PLANTA</v>
          </cell>
          <cell r="F787" t="str">
            <v>LITRO</v>
          </cell>
          <cell r="G787">
            <v>500</v>
          </cell>
          <cell r="H787" t="str">
            <v>13/06/2020</v>
          </cell>
          <cell r="I787">
            <v>100</v>
          </cell>
          <cell r="J787" t="e">
            <v>#N/A</v>
          </cell>
          <cell r="K787">
            <v>1000</v>
          </cell>
          <cell r="L787">
            <v>0.1</v>
          </cell>
          <cell r="M787" t="str">
            <v>Mililitros</v>
          </cell>
        </row>
        <row r="788">
          <cell r="A788" t="str">
            <v>10416</v>
          </cell>
          <cell r="B788" t="str">
            <v/>
          </cell>
          <cell r="C788" t="str">
            <v>MANO OBRA</v>
          </cell>
          <cell r="D788" t="str">
            <v>401000002</v>
          </cell>
          <cell r="E788" t="str">
            <v>MANO OBRA</v>
          </cell>
          <cell r="F788" t="str">
            <v>Minuto</v>
          </cell>
          <cell r="G788">
            <v>500</v>
          </cell>
          <cell r="H788" t="str">
            <v>04/05/2020</v>
          </cell>
          <cell r="I788">
            <v>56</v>
          </cell>
          <cell r="J788">
            <v>56</v>
          </cell>
          <cell r="K788">
            <v>1</v>
          </cell>
          <cell r="L788">
            <v>56</v>
          </cell>
          <cell r="M788" t="str">
            <v>Minutos</v>
          </cell>
        </row>
        <row r="789">
          <cell r="A789" t="str">
            <v>1210415</v>
          </cell>
          <cell r="B789" t="str">
            <v>11830</v>
          </cell>
          <cell r="C789" t="str">
            <v>PABILO ROJO</v>
          </cell>
          <cell r="D789" t="str">
            <v>401000003</v>
          </cell>
          <cell r="E789" t="str">
            <v>EMPAQUES PLANTA</v>
          </cell>
          <cell r="F789" t="str">
            <v>UND</v>
          </cell>
          <cell r="G789">
            <v>500</v>
          </cell>
          <cell r="H789" t="str">
            <v>23/03/2020</v>
          </cell>
          <cell r="I789">
            <v>8990</v>
          </cell>
          <cell r="J789" t="e">
            <v>#N/A</v>
          </cell>
          <cell r="K789">
            <v>14000</v>
          </cell>
          <cell r="L789" t="e">
            <v>#N/A</v>
          </cell>
          <cell r="M789" t="str">
            <v>Centimetros</v>
          </cell>
        </row>
        <row r="790">
          <cell r="A790" t="str">
            <v>18406411</v>
          </cell>
          <cell r="B790" t="str">
            <v/>
          </cell>
          <cell r="C790" t="str">
            <v>CLORO 5% MFS (UND:GL)</v>
          </cell>
          <cell r="D790" t="str">
            <v>401000004</v>
          </cell>
          <cell r="E790" t="str">
            <v>MATERIAS PRIMAS PLANTA</v>
          </cell>
          <cell r="F790" t="str">
            <v>Minuto</v>
          </cell>
          <cell r="G790">
            <v>500</v>
          </cell>
          <cell r="H790" t="str">
            <v>27/01/2020</v>
          </cell>
          <cell r="I790" t="e">
            <v>#N/A</v>
          </cell>
          <cell r="J790" t="e">
            <v>#N/A</v>
          </cell>
          <cell r="K790">
            <v>3785</v>
          </cell>
          <cell r="L790" t="e">
            <v>#N/A</v>
          </cell>
          <cell r="M790" t="str">
            <v>Mililitros</v>
          </cell>
        </row>
        <row r="791">
          <cell r="A791" t="str">
            <v>1010339</v>
          </cell>
          <cell r="B791" t="str">
            <v/>
          </cell>
          <cell r="C791" t="str">
            <v xml:space="preserve">TRIPLE SEC </v>
          </cell>
          <cell r="D791" t="str">
            <v>401000005</v>
          </cell>
          <cell r="E791" t="str">
            <v>MATERIAS PRIMAS PLANTA</v>
          </cell>
          <cell r="F791" t="str">
            <v>UND</v>
          </cell>
          <cell r="G791">
            <v>500</v>
          </cell>
          <cell r="H791" t="str">
            <v>07/02/2020</v>
          </cell>
          <cell r="I791">
            <v>5600</v>
          </cell>
          <cell r="J791">
            <v>5600</v>
          </cell>
          <cell r="K791">
            <v>750</v>
          </cell>
          <cell r="L791">
            <v>7.4666666666666668</v>
          </cell>
          <cell r="M791" t="str">
            <v>Mililitros</v>
          </cell>
        </row>
        <row r="792">
          <cell r="A792" t="str">
            <v>10100285</v>
          </cell>
          <cell r="B792" t="str">
            <v/>
          </cell>
          <cell r="C792" t="str">
            <v>MERMELADA DE NARANJA SMUCKER (UND:361 G)</v>
          </cell>
          <cell r="D792" t="str">
            <v>401000006</v>
          </cell>
          <cell r="E792" t="str">
            <v>MATERIAS PRIMAS PLANTA</v>
          </cell>
          <cell r="F792" t="str">
            <v>UND</v>
          </cell>
          <cell r="G792">
            <v>500</v>
          </cell>
          <cell r="H792" t="str">
            <v>27/01/2020</v>
          </cell>
          <cell r="I792">
            <v>2323</v>
          </cell>
          <cell r="J792" t="e">
            <v>#N/A</v>
          </cell>
          <cell r="K792">
            <v>361</v>
          </cell>
          <cell r="L792" t="e">
            <v>#N/A</v>
          </cell>
          <cell r="M792" t="str">
            <v>Gramos</v>
          </cell>
        </row>
        <row r="793">
          <cell r="A793" t="str">
            <v>512316</v>
          </cell>
          <cell r="B793" t="str">
            <v/>
          </cell>
          <cell r="C793" t="str">
            <v>CAFÉ INSTANTANEO (PAQ: 500 G)</v>
          </cell>
          <cell r="D793" t="str">
            <v>503000036</v>
          </cell>
          <cell r="E793" t="str">
            <v>MATERIAS PRIMAS PLANTA</v>
          </cell>
          <cell r="F793" t="str">
            <v>PAQUETE</v>
          </cell>
          <cell r="G793">
            <v>500</v>
          </cell>
          <cell r="H793" t="str">
            <v>21/03/2020</v>
          </cell>
          <cell r="I793">
            <v>8555</v>
          </cell>
          <cell r="J793">
            <v>8983</v>
          </cell>
          <cell r="K793">
            <v>500</v>
          </cell>
          <cell r="L793">
            <v>17.966000000000001</v>
          </cell>
          <cell r="M793" t="str">
            <v>Gramos</v>
          </cell>
        </row>
        <row r="794">
          <cell r="A794" t="str">
            <v>0702007</v>
          </cell>
          <cell r="B794" t="str">
            <v/>
          </cell>
          <cell r="C794" t="str">
            <v>ETIQ.FECHA VENCIMIENTO BLANCO (ROLLO)</v>
          </cell>
          <cell r="D794" t="str">
            <v>510000013</v>
          </cell>
          <cell r="E794" t="str">
            <v>EMPAQUES PLANTA</v>
          </cell>
          <cell r="F794" t="str">
            <v>rollo</v>
          </cell>
          <cell r="G794">
            <v>500</v>
          </cell>
          <cell r="H794" t="str">
            <v>17/03/2020</v>
          </cell>
          <cell r="I794">
            <v>205</v>
          </cell>
          <cell r="J794">
            <v>200</v>
          </cell>
          <cell r="K794">
            <v>900</v>
          </cell>
          <cell r="L794">
            <v>0.22222222222222221</v>
          </cell>
          <cell r="M794" t="str">
            <v>Gramos</v>
          </cell>
        </row>
        <row r="795">
          <cell r="A795" t="str">
            <v>109000137</v>
          </cell>
          <cell r="B795" t="str">
            <v/>
          </cell>
          <cell r="C795" t="str">
            <v>TOMATE PELADO ENTERO (UND: 2.89 K)</v>
          </cell>
          <cell r="D795" t="str">
            <v>109000137</v>
          </cell>
          <cell r="E795" t="str">
            <v>MATERIAS PRIMAS PLANTA</v>
          </cell>
          <cell r="F795" t="str">
            <v>PAQUETE</v>
          </cell>
          <cell r="G795">
            <v>500</v>
          </cell>
          <cell r="H795" t="str">
            <v>28/01/2020</v>
          </cell>
          <cell r="I795">
            <v>2728</v>
          </cell>
          <cell r="J795">
            <v>2728</v>
          </cell>
          <cell r="K795">
            <v>2890</v>
          </cell>
          <cell r="L795">
            <v>0.94394463667820072</v>
          </cell>
          <cell r="M795" t="str">
            <v>Gramos</v>
          </cell>
        </row>
        <row r="796">
          <cell r="A796" t="str">
            <v>10300049</v>
          </cell>
          <cell r="B796" t="str">
            <v/>
          </cell>
          <cell r="C796" t="str">
            <v>CARNE MOLIDA 80-20 (KILO)</v>
          </cell>
          <cell r="D796" t="str">
            <v>10300049</v>
          </cell>
          <cell r="E796" t="str">
            <v>EMPAQUES PLANTA</v>
          </cell>
          <cell r="F796" t="str">
            <v xml:space="preserve">1 UND </v>
          </cell>
          <cell r="G796">
            <v>500</v>
          </cell>
          <cell r="H796" t="str">
            <v>28/01/2020</v>
          </cell>
          <cell r="I796">
            <v>3195</v>
          </cell>
          <cell r="J796">
            <v>3395</v>
          </cell>
          <cell r="K796">
            <v>1000</v>
          </cell>
          <cell r="L796">
            <v>3.395</v>
          </cell>
          <cell r="M796" t="str">
            <v>Gramos</v>
          </cell>
        </row>
        <row r="797">
          <cell r="A797" t="str">
            <v>112000050</v>
          </cell>
          <cell r="B797" t="str">
            <v/>
          </cell>
          <cell r="C797" t="str">
            <v>GALLETA CHOCOLATE (PAQ:KG)</v>
          </cell>
          <cell r="D797" t="str">
            <v>112000050</v>
          </cell>
          <cell r="E797" t="str">
            <v>EMPAQUES PLANTA</v>
          </cell>
          <cell r="F797" t="str">
            <v>1 UND</v>
          </cell>
          <cell r="G797">
            <v>500</v>
          </cell>
          <cell r="H797" t="str">
            <v>28/01/2020</v>
          </cell>
          <cell r="I797">
            <v>3135</v>
          </cell>
          <cell r="J797">
            <v>3449</v>
          </cell>
          <cell r="K797">
            <v>1000</v>
          </cell>
          <cell r="L797">
            <v>3.4489999999999998</v>
          </cell>
          <cell r="M797" t="str">
            <v>Gramos</v>
          </cell>
        </row>
        <row r="798">
          <cell r="A798" t="str">
            <v>11400062</v>
          </cell>
          <cell r="B798" t="str">
            <v/>
          </cell>
          <cell r="C798" t="str">
            <v>LECHE CONDENSADA UNTABLE (PAQ:4.5 K)</v>
          </cell>
          <cell r="D798" t="str">
            <v>11400062</v>
          </cell>
          <cell r="E798" t="str">
            <v>EMPAQUES PLANTA</v>
          </cell>
          <cell r="F798" t="str">
            <v>1 UND</v>
          </cell>
          <cell r="G798">
            <v>500</v>
          </cell>
          <cell r="H798" t="str">
            <v>12/06/2020</v>
          </cell>
          <cell r="I798">
            <v>11910</v>
          </cell>
          <cell r="J798">
            <v>11910</v>
          </cell>
          <cell r="K798">
            <v>4500</v>
          </cell>
          <cell r="L798">
            <v>2.6466666666666665</v>
          </cell>
          <cell r="M798" t="str">
            <v>Gramos</v>
          </cell>
        </row>
        <row r="799">
          <cell r="A799" t="str">
            <v>51600043</v>
          </cell>
          <cell r="B799" t="str">
            <v/>
          </cell>
          <cell r="C799" t="str">
            <v>BOLSA DOYPACK KRAFT 11X19 (UND)</v>
          </cell>
          <cell r="D799" t="str">
            <v>51600043</v>
          </cell>
          <cell r="E799" t="str">
            <v>EMPAQUES PLANTA</v>
          </cell>
          <cell r="F799" t="str">
            <v>1 UND</v>
          </cell>
          <cell r="G799">
            <v>500</v>
          </cell>
          <cell r="H799" t="str">
            <v>12/06/2020</v>
          </cell>
          <cell r="I799">
            <v>98.76</v>
          </cell>
          <cell r="J799" t="e">
            <v>#N/A</v>
          </cell>
          <cell r="K799">
            <v>1</v>
          </cell>
          <cell r="L799" t="e">
            <v>#N/A</v>
          </cell>
          <cell r="M799" t="str">
            <v>Und</v>
          </cell>
        </row>
        <row r="800">
          <cell r="A800" t="str">
            <v>401000005</v>
          </cell>
          <cell r="B800" t="str">
            <v/>
          </cell>
          <cell r="C800" t="str">
            <v>BOLSA TRANSPARENTE 8X10X4 KILO</v>
          </cell>
          <cell r="D800" t="str">
            <v>401000005</v>
          </cell>
          <cell r="E800" t="str">
            <v>EMPAQUES PLANTA</v>
          </cell>
          <cell r="F800" t="str">
            <v>1 PAQUETE</v>
          </cell>
          <cell r="G800">
            <v>500</v>
          </cell>
          <cell r="H800" t="str">
            <v>22/02/2020</v>
          </cell>
          <cell r="I800">
            <v>1400</v>
          </cell>
          <cell r="J800" t="e">
            <v>#N/A</v>
          </cell>
          <cell r="K800">
            <v>196</v>
          </cell>
          <cell r="L800" t="e">
            <v>#N/A</v>
          </cell>
          <cell r="M800" t="str">
            <v>Und</v>
          </cell>
        </row>
        <row r="801">
          <cell r="A801" t="str">
            <v>10200019</v>
          </cell>
          <cell r="B801" t="str">
            <v/>
          </cell>
          <cell r="C801" t="str">
            <v>RON PLATA ESPECIAL (UND: LITRO)</v>
          </cell>
          <cell r="D801" t="str">
            <v>10200019</v>
          </cell>
          <cell r="E801" t="str">
            <v>EMPAQUES PLANTA</v>
          </cell>
          <cell r="F801" t="str">
            <v>1 UND</v>
          </cell>
          <cell r="G801">
            <v>500</v>
          </cell>
          <cell r="H801" t="str">
            <v>26/12/2019</v>
          </cell>
          <cell r="I801">
            <v>5720</v>
          </cell>
          <cell r="J801">
            <v>6500</v>
          </cell>
          <cell r="K801">
            <v>1000</v>
          </cell>
          <cell r="L801">
            <v>6.5</v>
          </cell>
          <cell r="M801" t="str">
            <v>Mililitros</v>
          </cell>
        </row>
        <row r="802">
          <cell r="A802" t="str">
            <v>11400061</v>
          </cell>
          <cell r="B802" t="str">
            <v/>
          </cell>
          <cell r="C802" t="str">
            <v>CREMA ROSSANA (351g)</v>
          </cell>
          <cell r="D802" t="str">
            <v>11400061</v>
          </cell>
          <cell r="E802" t="str">
            <v>MATERIAS PRIMAS PLANTA</v>
          </cell>
          <cell r="F802" t="str">
            <v>1 SACO</v>
          </cell>
          <cell r="G802">
            <v>500</v>
          </cell>
          <cell r="H802" t="str">
            <v>13/06/2020</v>
          </cell>
          <cell r="I802">
            <v>1345</v>
          </cell>
          <cell r="J802">
            <v>1345</v>
          </cell>
          <cell r="K802">
            <v>200</v>
          </cell>
          <cell r="L802">
            <v>6.7249999999999996</v>
          </cell>
          <cell r="M802" t="str">
            <v>Gramos</v>
          </cell>
        </row>
        <row r="803">
          <cell r="A803" t="str">
            <v>11200007</v>
          </cell>
          <cell r="B803" t="str">
            <v/>
          </cell>
          <cell r="C803" t="str">
            <v>PREMEZCLA DAWN BROWNIE (SACO=22.68K)</v>
          </cell>
          <cell r="D803" t="str">
            <v>11200007</v>
          </cell>
          <cell r="E803" t="str">
            <v>MATERIAS PRIMAS PLANTA</v>
          </cell>
          <cell r="F803" t="str">
            <v>1 CAJA</v>
          </cell>
          <cell r="G803">
            <v>500</v>
          </cell>
          <cell r="H803" t="str">
            <v>27/01/2020</v>
          </cell>
          <cell r="I803">
            <v>40000</v>
          </cell>
          <cell r="J803" t="e">
            <v>#N/A</v>
          </cell>
          <cell r="K803">
            <v>22680</v>
          </cell>
          <cell r="L803" t="e">
            <v>#N/A</v>
          </cell>
          <cell r="M803" t="str">
            <v>Gramos</v>
          </cell>
        </row>
        <row r="804">
          <cell r="A804" t="str">
            <v>118000018</v>
          </cell>
          <cell r="B804" t="str">
            <v/>
          </cell>
          <cell r="C804" t="str">
            <v xml:space="preserve">SABORIZANTE AVELLANA 1595 </v>
          </cell>
          <cell r="D804" t="str">
            <v>118000018</v>
          </cell>
          <cell r="E804" t="str">
            <v>ASEO</v>
          </cell>
          <cell r="F804" t="str">
            <v>1 CAJA</v>
          </cell>
          <cell r="G804">
            <v>500</v>
          </cell>
          <cell r="H804" t="str">
            <v>07/02/2020</v>
          </cell>
          <cell r="I804">
            <v>10974</v>
          </cell>
          <cell r="J804">
            <v>11219.43</v>
          </cell>
          <cell r="K804">
            <v>1000</v>
          </cell>
          <cell r="L804">
            <v>11.219430000000001</v>
          </cell>
          <cell r="M804" t="str">
            <v>Gramos</v>
          </cell>
        </row>
        <row r="805">
          <cell r="A805" t="str">
            <v>51600042</v>
          </cell>
          <cell r="B805" t="str">
            <v/>
          </cell>
          <cell r="C805" t="str">
            <v>CHOCOLATE LOGO ROSSANA UND</v>
          </cell>
          <cell r="D805" t="str">
            <v>51600042</v>
          </cell>
          <cell r="E805" t="str">
            <v>MATERIAS PRIMAS PLANTA</v>
          </cell>
          <cell r="F805" t="str">
            <v>LITRO</v>
          </cell>
          <cell r="G805">
            <v>500</v>
          </cell>
          <cell r="H805" t="str">
            <v>27/01/2020</v>
          </cell>
          <cell r="I805">
            <v>9750</v>
          </cell>
          <cell r="J805">
            <v>9750</v>
          </cell>
          <cell r="K805">
            <v>50</v>
          </cell>
          <cell r="L805">
            <v>195</v>
          </cell>
          <cell r="M805" t="str">
            <v>UND</v>
          </cell>
        </row>
        <row r="806">
          <cell r="A806" t="str">
            <v>11400063</v>
          </cell>
          <cell r="B806" t="str">
            <v/>
          </cell>
          <cell r="C806" t="str">
            <v>MEZCLA QUESO UNIVERSAL</v>
          </cell>
          <cell r="D806" t="str">
            <v>11400063</v>
          </cell>
          <cell r="E806" t="str">
            <v>MANO OBRA</v>
          </cell>
          <cell r="F806" t="str">
            <v>Minuto</v>
          </cell>
          <cell r="G806">
            <v>500</v>
          </cell>
          <cell r="H806" t="str">
            <v>21/03/2020</v>
          </cell>
          <cell r="I806">
            <v>3456</v>
          </cell>
          <cell r="J806">
            <v>3174</v>
          </cell>
          <cell r="K806">
            <v>1000</v>
          </cell>
          <cell r="L806">
            <v>3.1739999999999999</v>
          </cell>
          <cell r="M806" t="str">
            <v>Gramos</v>
          </cell>
        </row>
        <row r="807">
          <cell r="A807" t="str">
            <v>109000131</v>
          </cell>
          <cell r="B807" t="str">
            <v/>
          </cell>
          <cell r="C807" t="str">
            <v>FRUTOS DEL BOSQUE (PAQ: 500 G)</v>
          </cell>
          <cell r="D807" t="str">
            <v>109000131</v>
          </cell>
          <cell r="E807" t="str">
            <v>EMPAQUES PLANTA</v>
          </cell>
          <cell r="F807" t="str">
            <v>UND</v>
          </cell>
          <cell r="G807">
            <v>500</v>
          </cell>
          <cell r="H807" t="str">
            <v>17/03/2020</v>
          </cell>
          <cell r="I807">
            <v>951</v>
          </cell>
          <cell r="J807">
            <v>951</v>
          </cell>
          <cell r="K807">
            <v>500</v>
          </cell>
          <cell r="L807">
            <v>1.9019999999999999</v>
          </cell>
          <cell r="M807" t="str">
            <v>Gramos</v>
          </cell>
        </row>
        <row r="808">
          <cell r="A808" t="str">
            <v>11400060</v>
          </cell>
          <cell r="B808" t="str">
            <v/>
          </cell>
          <cell r="C808" t="str">
            <v>CREMA PASTELERA (UND: 1 KILO)</v>
          </cell>
          <cell r="D808" t="str">
            <v>11400060</v>
          </cell>
          <cell r="E808" t="str">
            <v>MATERIAS PRIMAS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1750</v>
          </cell>
          <cell r="J808">
            <v>1780</v>
          </cell>
          <cell r="K808">
            <v>1000</v>
          </cell>
          <cell r="L808">
            <v>1.78</v>
          </cell>
          <cell r="M808" t="str">
            <v>Gramos</v>
          </cell>
        </row>
        <row r="809">
          <cell r="A809" t="str">
            <v>503000006</v>
          </cell>
          <cell r="B809" t="str">
            <v/>
          </cell>
          <cell r="C809" t="str">
            <v>BOLSA AL VACIO 10X15 UND</v>
          </cell>
          <cell r="D809" t="str">
            <v>503000006</v>
          </cell>
          <cell r="E809" t="str">
            <v>MATERIAS PRIMAS PLANTA</v>
          </cell>
          <cell r="F809" t="str">
            <v>UND</v>
          </cell>
          <cell r="G809">
            <v>500</v>
          </cell>
          <cell r="H809" t="str">
            <v>28/01/2020</v>
          </cell>
          <cell r="I809">
            <v>83</v>
          </cell>
          <cell r="J809">
            <v>83</v>
          </cell>
          <cell r="K809">
            <v>1</v>
          </cell>
          <cell r="L809">
            <v>83</v>
          </cell>
          <cell r="M809" t="str">
            <v>Und</v>
          </cell>
        </row>
        <row r="810">
          <cell r="A810" t="str">
            <v>10100161</v>
          </cell>
          <cell r="B810" t="str">
            <v/>
          </cell>
          <cell r="C810" t="str">
            <v>MERMELADA NARANJA UJARRAS (UND: 4.5 K)</v>
          </cell>
          <cell r="D810" t="str">
            <v>10100161</v>
          </cell>
          <cell r="E810" t="str">
            <v>EMPAQUES PLANTA</v>
          </cell>
          <cell r="F810" t="str">
            <v>CAJA</v>
          </cell>
          <cell r="G810">
            <v>500</v>
          </cell>
          <cell r="H810" t="str">
            <v>28/01/2020</v>
          </cell>
          <cell r="I810">
            <v>20298</v>
          </cell>
          <cell r="J810">
            <v>7500</v>
          </cell>
          <cell r="K810">
            <v>4500</v>
          </cell>
          <cell r="L810">
            <v>1.6666666666666667</v>
          </cell>
          <cell r="M810" t="str">
            <v>Und</v>
          </cell>
        </row>
        <row r="811">
          <cell r="A811" t="str">
            <v>50400012</v>
          </cell>
          <cell r="B811" t="str">
            <v/>
          </cell>
          <cell r="C811" t="str">
            <v>CAJA QUEQUE NAVIDEÑO 700g (UNIDAD)</v>
          </cell>
          <cell r="D811" t="str">
            <v>50400012</v>
          </cell>
          <cell r="E811" t="str">
            <v>MATERIAS PRIMAS PLANTA</v>
          </cell>
          <cell r="F811" t="str">
            <v>PAQUETE</v>
          </cell>
          <cell r="G811">
            <v>500</v>
          </cell>
          <cell r="H811" t="str">
            <v>12/06/2020</v>
          </cell>
          <cell r="I811">
            <v>11233</v>
          </cell>
          <cell r="J811">
            <v>584.33204999999998</v>
          </cell>
          <cell r="K811">
            <v>2500</v>
          </cell>
          <cell r="L811" t="e">
            <v>#DIV/0!</v>
          </cell>
          <cell r="M811" t="str">
            <v>Und</v>
          </cell>
        </row>
        <row r="812">
          <cell r="A812" t="str">
            <v>11000008</v>
          </cell>
          <cell r="B812" t="str">
            <v/>
          </cell>
          <cell r="C812" t="str">
            <v>ORLA NAVIDEÑA GRANDE (UND)</v>
          </cell>
          <cell r="D812" t="str">
            <v>11000008</v>
          </cell>
          <cell r="E812" t="str">
            <v>MATERIAS PRIMAS PLANTA</v>
          </cell>
          <cell r="F812" t="str">
            <v>UND</v>
          </cell>
          <cell r="G812">
            <v>500</v>
          </cell>
          <cell r="H812" t="str">
            <v>12/06/2020</v>
          </cell>
          <cell r="I812">
            <v>140</v>
          </cell>
          <cell r="J812">
            <v>105</v>
          </cell>
          <cell r="K812">
            <v>1</v>
          </cell>
          <cell r="L812">
            <v>105</v>
          </cell>
          <cell r="M812" t="str">
            <v>und</v>
          </cell>
        </row>
        <row r="813">
          <cell r="A813" t="str">
            <v>1952393</v>
          </cell>
          <cell r="B813" t="str">
            <v/>
          </cell>
          <cell r="C813" t="str">
            <v>BOLSA AL VACIO 8*10 ( 100 * PAQ )</v>
          </cell>
          <cell r="D813" t="str">
            <v>1952393</v>
          </cell>
          <cell r="E813" t="str">
            <v>MATERIAS PRIMAS PLANTA</v>
          </cell>
          <cell r="F813" t="str">
            <v>PAQUETE</v>
          </cell>
          <cell r="G813">
            <v>500</v>
          </cell>
          <cell r="H813" t="str">
            <v>22/02/2020</v>
          </cell>
          <cell r="I813">
            <v>39</v>
          </cell>
          <cell r="J813" t="e">
            <v>#N/A</v>
          </cell>
          <cell r="K813">
            <v>1</v>
          </cell>
          <cell r="L813" t="e">
            <v>#N/A</v>
          </cell>
          <cell r="M813" t="str">
            <v>und</v>
          </cell>
        </row>
        <row r="814">
          <cell r="A814" t="str">
            <v>11000007</v>
          </cell>
          <cell r="B814" t="str">
            <v/>
          </cell>
          <cell r="C814" t="str">
            <v>ORLA NAVIDEÑA PEQUEÑA (UND)</v>
          </cell>
          <cell r="D814" t="str">
            <v>11000007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57</v>
          </cell>
          <cell r="J814" t="e">
            <v>#N/A</v>
          </cell>
          <cell r="K814">
            <v>1</v>
          </cell>
          <cell r="L814" t="e">
            <v>#N/A</v>
          </cell>
          <cell r="M814" t="str">
            <v>und</v>
          </cell>
        </row>
        <row r="815">
          <cell r="A815" t="str">
            <v>50400031</v>
          </cell>
          <cell r="B815" t="str">
            <v/>
          </cell>
          <cell r="C815" t="str">
            <v>CAJA NAVIDEÑA PEQ</v>
          </cell>
          <cell r="D815" t="str">
            <v>50400031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566</v>
          </cell>
          <cell r="J815">
            <v>584.33204999999998</v>
          </cell>
          <cell r="K815">
            <v>1</v>
          </cell>
          <cell r="L815">
            <v>584.33204999999998</v>
          </cell>
          <cell r="M815" t="str">
            <v>und</v>
          </cell>
        </row>
        <row r="816">
          <cell r="A816" t="str">
            <v>10100284</v>
          </cell>
          <cell r="B816" t="str">
            <v/>
          </cell>
          <cell r="C816" t="str">
            <v>CHILE MORRON ASADO (UND:2.9 K)</v>
          </cell>
          <cell r="D816" t="str">
            <v>10100284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5450</v>
          </cell>
          <cell r="J816" t="e">
            <v>#N/A</v>
          </cell>
          <cell r="K816">
            <v>2900</v>
          </cell>
          <cell r="L816" t="e">
            <v>#N/A</v>
          </cell>
          <cell r="M816" t="str">
            <v>Gramos</v>
          </cell>
        </row>
        <row r="817">
          <cell r="A817" t="str">
            <v>1110372</v>
          </cell>
          <cell r="B817" t="str">
            <v/>
          </cell>
          <cell r="C817" t="str">
            <v>MANTEQUILLA MANI (2.27 Kg)</v>
          </cell>
          <cell r="D817" t="str">
            <v>1110372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7736</v>
          </cell>
          <cell r="J817">
            <v>10045</v>
          </cell>
          <cell r="K817">
            <v>2270</v>
          </cell>
          <cell r="L817">
            <v>4.4251101321585899</v>
          </cell>
          <cell r="M817" t="str">
            <v>Gramos</v>
          </cell>
        </row>
        <row r="818">
          <cell r="A818" t="str">
            <v>109000136</v>
          </cell>
          <cell r="B818" t="str">
            <v/>
          </cell>
          <cell r="C818" t="str">
            <v>BANANO CONGELADO (PAQ: 3 KILOS)</v>
          </cell>
          <cell r="D818" t="str">
            <v>109000136</v>
          </cell>
          <cell r="E818" t="str">
            <v>MATERIAS PRIMAS PLANTA</v>
          </cell>
          <cell r="F818" t="str">
            <v>LITRO</v>
          </cell>
          <cell r="I818">
            <v>3000</v>
          </cell>
          <cell r="J818">
            <v>3000</v>
          </cell>
          <cell r="K818">
            <v>3000</v>
          </cell>
          <cell r="L818">
            <v>1</v>
          </cell>
          <cell r="M818" t="str">
            <v>Gramos</v>
          </cell>
        </row>
        <row r="819">
          <cell r="A819" t="str">
            <v>50100056</v>
          </cell>
          <cell r="B819" t="str">
            <v/>
          </cell>
          <cell r="C819" t="str">
            <v>CONTENEDOR PLASTICO FABRIKA 8oz/1/500</v>
          </cell>
          <cell r="D819" t="str">
            <v>50100056</v>
          </cell>
          <cell r="E819" t="str">
            <v>MANO OBRA</v>
          </cell>
          <cell r="F819" t="str">
            <v>Minuto</v>
          </cell>
          <cell r="I819">
            <v>24912</v>
          </cell>
          <cell r="J819">
            <v>25635</v>
          </cell>
          <cell r="K819">
            <v>500</v>
          </cell>
          <cell r="L819">
            <v>51.27</v>
          </cell>
          <cell r="M819" t="str">
            <v>und</v>
          </cell>
        </row>
        <row r="820">
          <cell r="A820" t="str">
            <v>50100055</v>
          </cell>
          <cell r="B820" t="str">
            <v/>
          </cell>
          <cell r="C820" t="str">
            <v>TAPA PLAST CONTENEDOR FABRIKA 8/16OZ/500</v>
          </cell>
          <cell r="D820" t="str">
            <v>50100055</v>
          </cell>
          <cell r="E820" t="str">
            <v>EMPAQUES PLANTA</v>
          </cell>
          <cell r="F820" t="str">
            <v>UND</v>
          </cell>
          <cell r="I820">
            <v>18041</v>
          </cell>
          <cell r="J820">
            <v>20443</v>
          </cell>
          <cell r="K820">
            <v>500</v>
          </cell>
          <cell r="L820">
            <v>40.886000000000003</v>
          </cell>
          <cell r="M820" t="str">
            <v>und</v>
          </cell>
        </row>
        <row r="821">
          <cell r="A821" t="str">
            <v>106000006</v>
          </cell>
          <cell r="B821" t="str">
            <v/>
          </cell>
          <cell r="C821" t="str">
            <v>ENCURTIDO EN MOSTAZA (UND:960 G)</v>
          </cell>
          <cell r="D821" t="str">
            <v>106000006</v>
          </cell>
          <cell r="E821" t="str">
            <v>MATERIAS PRIMAS PLANTA</v>
          </cell>
          <cell r="F821" t="str">
            <v>UND</v>
          </cell>
          <cell r="I821">
            <v>2590</v>
          </cell>
          <cell r="J821">
            <v>2590</v>
          </cell>
          <cell r="K821">
            <v>960</v>
          </cell>
          <cell r="L821">
            <v>2.6979166666666665</v>
          </cell>
          <cell r="M821" t="str">
            <v>Gramos</v>
          </cell>
        </row>
        <row r="822">
          <cell r="A822" t="str">
            <v>50700018</v>
          </cell>
          <cell r="B822" t="str">
            <v/>
          </cell>
          <cell r="C822" t="str">
            <v>COMBO PACK DOBLE USO 8 onz (CAJA:200 UN)</v>
          </cell>
          <cell r="D822" t="str">
            <v>50700018</v>
          </cell>
          <cell r="E822" t="str">
            <v>MATERIAS PRIMAS PLANTA</v>
          </cell>
          <cell r="F822" t="str">
            <v>UND</v>
          </cell>
          <cell r="I822">
            <v>13985</v>
          </cell>
          <cell r="J822">
            <v>14720</v>
          </cell>
          <cell r="K822">
            <v>200</v>
          </cell>
          <cell r="L822">
            <v>73.599999999999994</v>
          </cell>
          <cell r="M822" t="str">
            <v>und</v>
          </cell>
        </row>
        <row r="823">
          <cell r="A823" t="str">
            <v>60100062</v>
          </cell>
          <cell r="B823" t="str">
            <v/>
          </cell>
          <cell r="C823" t="str">
            <v>ETIQUETA GALLETA MEDIA LUNA DARK ( UND)</v>
          </cell>
          <cell r="D823" t="str">
            <v>60100062</v>
          </cell>
          <cell r="E823"/>
          <cell r="F823"/>
          <cell r="G823"/>
          <cell r="I823">
            <v>42.5</v>
          </cell>
          <cell r="J823" t="e">
            <v>#N/A</v>
          </cell>
          <cell r="K823">
            <v>1</v>
          </cell>
          <cell r="L823" t="e">
            <v>#N/A</v>
          </cell>
          <cell r="M823" t="str">
            <v>und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1801.8158173406098</v>
          </cell>
          <cell r="H2">
            <v>1.8018158173406098</v>
          </cell>
          <cell r="I2">
            <v>15.79491665813682</v>
          </cell>
          <cell r="J2">
            <v>1.5794916658136822E-2</v>
          </cell>
          <cell r="K2">
            <v>327.16993211977439</v>
          </cell>
          <cell r="L2">
            <v>0.32716993211977441</v>
          </cell>
          <cell r="M2">
            <v>2144.7806661185209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1785.0928417233581</v>
          </cell>
          <cell r="H3">
            <v>1.785092841723358</v>
          </cell>
          <cell r="I3">
            <v>15.790891179982301</v>
          </cell>
          <cell r="J3">
            <v>1.5790891179982301E-2</v>
          </cell>
          <cell r="K3">
            <v>324.15907192260124</v>
          </cell>
          <cell r="L3">
            <v>0.32415907192260124</v>
          </cell>
          <cell r="M3">
            <v>2125.0428048259419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1765.8568497404979</v>
          </cell>
          <cell r="H4">
            <v>1.7658568497404978</v>
          </cell>
          <cell r="I4">
            <v>16.410705586718251</v>
          </cell>
          <cell r="J4">
            <v>1.6410705586718251E-2</v>
          </cell>
          <cell r="K4">
            <v>320.8081599588989</v>
          </cell>
          <cell r="L4">
            <v>0.32080815995889889</v>
          </cell>
          <cell r="M4">
            <v>2103.0757152861152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 t="e">
            <v>#N/A</v>
          </cell>
          <cell r="H5" t="e">
            <v>#N/A</v>
          </cell>
          <cell r="I5">
            <v>1.1569600000000003E-2</v>
          </cell>
          <cell r="J5">
            <v>1.1569600000000004E-5</v>
          </cell>
          <cell r="K5" t="e">
            <v>#N/A</v>
          </cell>
          <cell r="L5" t="e">
            <v>#N/A</v>
          </cell>
          <cell r="M5" t="e">
            <v>#N/A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3220.5305587559437</v>
          </cell>
          <cell r="H6">
            <v>3.2205305587559439</v>
          </cell>
          <cell r="I6">
            <v>3.5294067063096075</v>
          </cell>
          <cell r="J6">
            <v>3.5294067063096077E-3</v>
          </cell>
          <cell r="K6">
            <v>580.33079378320554</v>
          </cell>
          <cell r="L6">
            <v>0.58033079378320551</v>
          </cell>
          <cell r="M6">
            <v>3804.3907592454589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  <cell r="H7" t="e">
            <v>#N/A</v>
          </cell>
          <cell r="I7">
            <v>5.1985134476190478</v>
          </cell>
          <cell r="J7">
            <v>5.1985134476190478E-3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2385.3119310848506</v>
          </cell>
          <cell r="H8">
            <v>2.3853119310848507</v>
          </cell>
          <cell r="I8" t="e">
            <v>#N/A</v>
          </cell>
          <cell r="J8" t="e">
            <v>#N/A</v>
          </cell>
          <cell r="K8" t="e">
            <v>#N/A</v>
          </cell>
          <cell r="L8" t="e">
            <v>#N/A</v>
          </cell>
          <cell r="M8" t="e">
            <v>#N/A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1357.0186274509804</v>
          </cell>
          <cell r="H9">
            <v>1.3570186274509803</v>
          </cell>
          <cell r="I9">
            <v>7.7820665857826832</v>
          </cell>
          <cell r="J9">
            <v>7.7820665857826835E-3</v>
          </cell>
          <cell r="K9">
            <v>245.66412492661735</v>
          </cell>
          <cell r="L9">
            <v>0.24566412492661735</v>
          </cell>
          <cell r="M9">
            <v>1610.4648189633806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1702.5465739368374</v>
          </cell>
          <cell r="H10">
            <v>1.7025465739368373</v>
          </cell>
          <cell r="I10">
            <v>1.6084444444444446</v>
          </cell>
          <cell r="J10">
            <v>1.6084444444444445E-3</v>
          </cell>
          <cell r="K10">
            <v>306.74790330863073</v>
          </cell>
          <cell r="L10">
            <v>0.30674790330863072</v>
          </cell>
          <cell r="M10">
            <v>2010.9029216899125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  <cell r="H11">
            <v>0.63005903283234044</v>
          </cell>
          <cell r="I11">
            <v>7.2189858941756668</v>
          </cell>
          <cell r="J11">
            <v>7.2189858941756665E-3</v>
          </cell>
          <cell r="K11">
            <v>114.71004337077291</v>
          </cell>
          <cell r="L11">
            <v>0.11471004337077291</v>
          </cell>
          <cell r="M11">
            <v>751.98806209728912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1005.7789137025864</v>
          </cell>
          <cell r="H12">
            <v>1.0057789137025863</v>
          </cell>
          <cell r="I12">
            <v>2.3834222222222223</v>
          </cell>
          <cell r="J12">
            <v>2.3834222222222225E-3</v>
          </cell>
          <cell r="K12">
            <v>181.46922046646552</v>
          </cell>
          <cell r="L12">
            <v>0.18146922046646552</v>
          </cell>
          <cell r="M12">
            <v>1189.631556391274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1133.1329247633332</v>
          </cell>
          <cell r="H13">
            <v>1.1331329247633333</v>
          </cell>
          <cell r="I13">
            <v>47.325229205170857</v>
          </cell>
          <cell r="J13">
            <v>4.7325229205170856E-2</v>
          </cell>
          <cell r="K13">
            <v>212.48246771433074</v>
          </cell>
          <cell r="L13">
            <v>0.21248246771433074</v>
          </cell>
          <cell r="M13">
            <v>1392.9406216828349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2028.5014584023868</v>
          </cell>
          <cell r="H14">
            <v>2.0285014584023866</v>
          </cell>
          <cell r="I14">
            <v>2.423304975509152</v>
          </cell>
          <cell r="J14">
            <v>2.423304975509152E-3</v>
          </cell>
          <cell r="K14">
            <v>365.56645740802128</v>
          </cell>
          <cell r="L14">
            <v>0.36556645740802129</v>
          </cell>
          <cell r="M14">
            <v>2396.491220785917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904.82589638808327</v>
          </cell>
          <cell r="H15">
            <v>0.90482589638808331</v>
          </cell>
          <cell r="I15">
            <v>4.737632815671307</v>
          </cell>
          <cell r="J15">
            <v>4.7376328156713068E-3</v>
          </cell>
          <cell r="K15">
            <v>163.72143525667582</v>
          </cell>
          <cell r="L15">
            <v>0.16372143525667582</v>
          </cell>
          <cell r="M15">
            <v>1073.2849644604303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 t="e">
            <v>#N/A</v>
          </cell>
          <cell r="H16" t="e">
            <v>#N/A</v>
          </cell>
          <cell r="I16">
            <v>11.280886143749999</v>
          </cell>
          <cell r="J16">
            <v>1.1280886143749998E-2</v>
          </cell>
          <cell r="K16" t="e">
            <v>#N/A</v>
          </cell>
          <cell r="L16" t="e">
            <v>#N/A</v>
          </cell>
          <cell r="M16" t="e">
            <v>#N/A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4832.2</v>
          </cell>
          <cell r="H17">
            <v>4.8321999999999994</v>
          </cell>
          <cell r="I17">
            <v>46.743326679973386</v>
          </cell>
          <cell r="J17">
            <v>4.6743326679973385E-2</v>
          </cell>
          <cell r="K17">
            <v>878.2097988023952</v>
          </cell>
          <cell r="L17">
            <v>0.87820979880239525</v>
          </cell>
          <cell r="M17">
            <v>5757.1531254823685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994.68330672748016</v>
          </cell>
          <cell r="H18">
            <v>0.99468330672748018</v>
          </cell>
          <cell r="I18">
            <v>6.1995861311710803</v>
          </cell>
          <cell r="J18">
            <v>6.1995861311710801E-3</v>
          </cell>
          <cell r="K18">
            <v>180.15892071455721</v>
          </cell>
          <cell r="L18">
            <v>0.18015892071455722</v>
          </cell>
          <cell r="M18">
            <v>1181.0418135732084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  <cell r="H19" t="e">
            <v>#N/A</v>
          </cell>
          <cell r="I19" t="e">
            <v>#N/A</v>
          </cell>
          <cell r="J19" t="e">
            <v>#N/A</v>
          </cell>
          <cell r="K19" t="e">
            <v>#N/A</v>
          </cell>
          <cell r="L19" t="e">
            <v>#N/A</v>
          </cell>
          <cell r="M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1521.7016801299508</v>
          </cell>
          <cell r="H20">
            <v>1.5217016801299508</v>
          </cell>
          <cell r="I20">
            <v>4.9659439496379933</v>
          </cell>
          <cell r="J20">
            <v>4.9659439496379937E-3</v>
          </cell>
          <cell r="K20">
            <v>274.80017233432596</v>
          </cell>
          <cell r="L20">
            <v>0.27480017233432597</v>
          </cell>
          <cell r="M20">
            <v>1801.4677964139146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 t="e">
            <v>#N/A</v>
          </cell>
          <cell r="H21" t="e">
            <v>#N/A</v>
          </cell>
          <cell r="I21" t="e">
            <v>#N/A</v>
          </cell>
          <cell r="J21" t="e">
            <v>#N/A</v>
          </cell>
          <cell r="K21" t="e">
            <v>#N/A</v>
          </cell>
          <cell r="L21" t="e">
            <v>#N/A</v>
          </cell>
          <cell r="M21" t="e">
            <v>#N/A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 t="e">
            <v>#N/A</v>
          </cell>
          <cell r="H22" t="e">
            <v>#N/A</v>
          </cell>
          <cell r="I22" t="e">
            <v>#N/A</v>
          </cell>
          <cell r="J22" t="e">
            <v>#N/A</v>
          </cell>
          <cell r="K22" t="e">
            <v>#N/A</v>
          </cell>
          <cell r="L22" t="e">
            <v>#N/A</v>
          </cell>
          <cell r="M22" t="e">
            <v>#N/A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 t="e">
            <v>#N/A</v>
          </cell>
          <cell r="H23" t="e">
            <v>#N/A</v>
          </cell>
          <cell r="I23">
            <v>0</v>
          </cell>
          <cell r="J23">
            <v>0</v>
          </cell>
          <cell r="K23" t="e">
            <v>#N/A</v>
          </cell>
          <cell r="L23" t="e">
            <v>#N/A</v>
          </cell>
          <cell r="M23" t="e">
            <v>#N/A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1578.9472507651658</v>
          </cell>
          <cell r="H24">
            <v>1.5789472507651658</v>
          </cell>
          <cell r="I24">
            <v>6.6112000000000011E-3</v>
          </cell>
          <cell r="J24">
            <v>6.6112000000000012E-6</v>
          </cell>
          <cell r="K24">
            <v>284.21169515372981</v>
          </cell>
          <cell r="L24">
            <v>0.28421169515372979</v>
          </cell>
          <cell r="M24">
            <v>1863.1655571188955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2070.9822163887329</v>
          </cell>
          <cell r="H25">
            <v>2.070982216388733</v>
          </cell>
          <cell r="I25" t="e">
            <v>#N/A</v>
          </cell>
          <cell r="J25" t="e">
            <v>#N/A</v>
          </cell>
          <cell r="K25" t="e">
            <v>#N/A</v>
          </cell>
          <cell r="L25" t="e">
            <v>#N/A</v>
          </cell>
          <cell r="M25" t="e">
            <v>#N/A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  <cell r="H26" t="e">
            <v>#N/A</v>
          </cell>
          <cell r="I26">
            <v>19.410147058823529</v>
          </cell>
          <cell r="J26">
            <v>1.9410147058823529E-2</v>
          </cell>
          <cell r="K26" t="e">
            <v>#N/A</v>
          </cell>
          <cell r="L26" t="e">
            <v>#N/A</v>
          </cell>
          <cell r="M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2440.8982950891013</v>
          </cell>
          <cell r="H27">
            <v>2.4408982950891014</v>
          </cell>
          <cell r="I27" t="e">
            <v>#N/A</v>
          </cell>
          <cell r="J27" t="e">
            <v>#N/A</v>
          </cell>
          <cell r="K27" t="e">
            <v>#N/A</v>
          </cell>
          <cell r="L27" t="e">
            <v>#N/A</v>
          </cell>
          <cell r="M27" t="e">
            <v>#N/A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2748.7883093895362</v>
          </cell>
          <cell r="H28">
            <v>2.748788309389536</v>
          </cell>
          <cell r="I28">
            <v>2.3875190384061249E-2</v>
          </cell>
          <cell r="J28">
            <v>2.3875190384061249E-5</v>
          </cell>
          <cell r="K28">
            <v>494.78619322438561</v>
          </cell>
          <cell r="L28">
            <v>0.49478619322438561</v>
          </cell>
          <cell r="M28">
            <v>3243.5983778043055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 t="e">
            <v>#N/A</v>
          </cell>
          <cell r="H29" t="e">
            <v>#N/A</v>
          </cell>
          <cell r="I29" t="e">
            <v>#N/A</v>
          </cell>
          <cell r="J29" t="e">
            <v>#N/A</v>
          </cell>
          <cell r="K29" t="e">
            <v>#N/A</v>
          </cell>
          <cell r="L29" t="e">
            <v>#N/A</v>
          </cell>
          <cell r="M29" t="e">
            <v>#N/A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4233.1766666666663</v>
          </cell>
          <cell r="H30">
            <v>4.2331766666666661</v>
          </cell>
          <cell r="I30" t="e">
            <v>#N/A</v>
          </cell>
          <cell r="J30" t="e">
            <v>#N/A</v>
          </cell>
          <cell r="K30" t="e">
            <v>#N/A</v>
          </cell>
          <cell r="L30" t="e">
            <v>#N/A</v>
          </cell>
          <cell r="M30" t="e">
            <v>#N/A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 t="e">
            <v>#N/A</v>
          </cell>
          <cell r="J31" t="e">
            <v>#N/A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1483.4900774955497</v>
          </cell>
          <cell r="H33">
            <v>1.4834900774955497</v>
          </cell>
          <cell r="I33">
            <v>9.6181610158730155</v>
          </cell>
          <cell r="J33">
            <v>9.6181610158730148E-3</v>
          </cell>
          <cell r="K33">
            <v>268.75948293205607</v>
          </cell>
          <cell r="L33">
            <v>0.26875948293205609</v>
          </cell>
          <cell r="M33">
            <v>1761.8677214434788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 t="e">
            <v>#N/A</v>
          </cell>
          <cell r="H34" t="e">
            <v>#N/A</v>
          </cell>
          <cell r="I34">
            <v>1.6618652673796792</v>
          </cell>
          <cell r="J34">
            <v>1.6618652673796792E-3</v>
          </cell>
          <cell r="K34" t="e">
            <v>#N/A</v>
          </cell>
          <cell r="L34" t="e">
            <v>#N/A</v>
          </cell>
          <cell r="M34" t="e">
            <v>#N/A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  <cell r="H35">
            <v>63.858090135278921</v>
          </cell>
          <cell r="I35">
            <v>1.090372284429132E-2</v>
          </cell>
          <cell r="J35">
            <v>1.090372284429132E-2</v>
          </cell>
          <cell r="K35">
            <v>11.496418894462177</v>
          </cell>
          <cell r="L35">
            <v>11.496418894462177</v>
          </cell>
          <cell r="M35">
            <v>75.365412752585385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2389.8340192587061</v>
          </cell>
          <cell r="H36">
            <v>2.3898340192587062</v>
          </cell>
          <cell r="I36" t="e">
            <v>#N/A</v>
          </cell>
          <cell r="J36" t="e">
            <v>#N/A</v>
          </cell>
          <cell r="K36" t="e">
            <v>#N/A</v>
          </cell>
          <cell r="L36" t="e">
            <v>#N/A</v>
          </cell>
          <cell r="M36" t="e">
            <v>#N/A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519.82307107843144</v>
          </cell>
          <cell r="H37">
            <v>0.5198230710784314</v>
          </cell>
          <cell r="I37">
            <v>0.1961452571428571</v>
          </cell>
          <cell r="J37">
            <v>1.9614525714285711E-4</v>
          </cell>
          <cell r="K37">
            <v>93.603458940403357</v>
          </cell>
          <cell r="L37">
            <v>9.3603458940403353E-2</v>
          </cell>
          <cell r="M37">
            <v>613.6226752759776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4233.1766666666663</v>
          </cell>
          <cell r="H39">
            <v>4.2331766666666661</v>
          </cell>
          <cell r="I39" t="e">
            <v>#N/A</v>
          </cell>
          <cell r="J39" t="e">
            <v>#N/A</v>
          </cell>
          <cell r="K39" t="e">
            <v>#N/A</v>
          </cell>
          <cell r="L39" t="e">
            <v>#N/A</v>
          </cell>
          <cell r="M39" t="e">
            <v>#N/A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  <cell r="H40">
            <v>1.7102858333333333</v>
          </cell>
          <cell r="I40">
            <v>2.1280000000000001</v>
          </cell>
          <cell r="J40">
            <v>2.1280000000000001E-3</v>
          </cell>
          <cell r="K40">
            <v>308.23448999999999</v>
          </cell>
          <cell r="L40">
            <v>0.30823448999999997</v>
          </cell>
          <cell r="M40">
            <v>2020.6483233333333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20.318059475218661</v>
          </cell>
          <cell r="J41">
            <v>2.0318059475218662E-2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3411.3318176470589</v>
          </cell>
          <cell r="H42">
            <v>3.4113318176470591</v>
          </cell>
          <cell r="I42">
            <v>4.1110605714285722</v>
          </cell>
          <cell r="J42">
            <v>4.1110605714285726E-3</v>
          </cell>
          <cell r="K42">
            <v>614.77971807932772</v>
          </cell>
          <cell r="L42">
            <v>0.61477971807932774</v>
          </cell>
          <cell r="M42">
            <v>4030.222596297815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2232.6016231818653</v>
          </cell>
          <cell r="H43">
            <v>2.2326016231818655</v>
          </cell>
          <cell r="I43">
            <v>3.9657414857142856</v>
          </cell>
          <cell r="J43">
            <v>3.9657414857142857E-3</v>
          </cell>
          <cell r="K43">
            <v>402.58212564016429</v>
          </cell>
          <cell r="L43">
            <v>0.40258212564016427</v>
          </cell>
          <cell r="M43">
            <v>2639.1494903077437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240.68440026108425</v>
          </cell>
          <cell r="H44">
            <v>240.68440026108425</v>
          </cell>
          <cell r="I44">
            <v>1.100563479701357</v>
          </cell>
          <cell r="J44">
            <v>1.100563479701357</v>
          </cell>
          <cell r="K44">
            <v>43.521293473341409</v>
          </cell>
          <cell r="L44">
            <v>43.521293473341409</v>
          </cell>
          <cell r="M44">
            <v>285.30625721412702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1.4186666666666667</v>
          </cell>
          <cell r="J45">
            <v>1.4186666666666668E-3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 t="e">
            <v>#N/A</v>
          </cell>
          <cell r="H47" t="e">
            <v>#N/A</v>
          </cell>
          <cell r="I47">
            <v>4.6191547428571429</v>
          </cell>
          <cell r="J47">
            <v>4.6191547428571433E-3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3593.7504472760934</v>
          </cell>
          <cell r="H48">
            <v>3.5937504472760935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  <cell r="H50" t="e">
            <v>#N/A</v>
          </cell>
          <cell r="I50" t="e">
            <v>#N/A</v>
          </cell>
          <cell r="J50" t="e">
            <v>#N/A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1873.5302508430009</v>
          </cell>
          <cell r="H51">
            <v>1.873530250843001</v>
          </cell>
          <cell r="I51">
            <v>6.1796581196581197</v>
          </cell>
          <cell r="J51">
            <v>6.1796581196581195E-3</v>
          </cell>
          <cell r="K51">
            <v>338.34778361327864</v>
          </cell>
          <cell r="L51">
            <v>0.33834778361327866</v>
          </cell>
          <cell r="M51">
            <v>2218.0576925759378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1293.1600000000001</v>
          </cell>
          <cell r="H52">
            <v>1.2931600000000001</v>
          </cell>
          <cell r="I52">
            <v>8.9970285714285705</v>
          </cell>
          <cell r="J52">
            <v>8.9970285714285701E-3</v>
          </cell>
          <cell r="K52">
            <v>234.38826514285714</v>
          </cell>
          <cell r="L52">
            <v>0.23438826514285713</v>
          </cell>
          <cell r="M52">
            <v>1536.5452937142857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30.140045714285716</v>
          </cell>
          <cell r="J53">
            <v>3.0140045714285715E-2</v>
          </cell>
          <cell r="K53">
            <v>75.686408228571423</v>
          </cell>
          <cell r="L53">
            <v>7.5686408228571422E-2</v>
          </cell>
          <cell r="M53">
            <v>496.16645394285717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16.527999999999999</v>
          </cell>
          <cell r="J54">
            <v>1.6527999999999998E-2</v>
          </cell>
          <cell r="K54">
            <v>82.110240000000005</v>
          </cell>
          <cell r="L54">
            <v>8.2110240000000001E-2</v>
          </cell>
          <cell r="M54">
            <v>538.27823999999998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562.94959999999992</v>
          </cell>
          <cell r="H55">
            <v>0.56294959999999994</v>
          </cell>
          <cell r="I55">
            <v>8.9970285714285705</v>
          </cell>
          <cell r="J55">
            <v>8.9970285714285701E-3</v>
          </cell>
          <cell r="K55">
            <v>102.95039314285712</v>
          </cell>
          <cell r="L55">
            <v>0.10295039314285713</v>
          </cell>
          <cell r="M55">
            <v>674.89702171428564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  <cell r="H56">
            <v>0.188</v>
          </cell>
          <cell r="I56">
            <v>3.3056000000000005</v>
          </cell>
          <cell r="J56">
            <v>3.3056000000000006E-3</v>
          </cell>
          <cell r="K56">
            <v>34.435007999999996</v>
          </cell>
          <cell r="L56">
            <v>3.4435007999999996E-2</v>
          </cell>
          <cell r="M56">
            <v>225.74060800000001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1688.5337645948628</v>
          </cell>
          <cell r="H57">
            <v>1688.5337645948628</v>
          </cell>
          <cell r="I57">
            <v>13.296556138613681</v>
          </cell>
          <cell r="J57">
            <v>13.296556138613681</v>
          </cell>
          <cell r="K57">
            <v>306.32945773202573</v>
          </cell>
          <cell r="L57">
            <v>306.32945773202573</v>
          </cell>
          <cell r="M57">
            <v>2008.1597784655021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402.10476115042599</v>
          </cell>
          <cell r="H58">
            <v>402.10476115042599</v>
          </cell>
          <cell r="I58">
            <v>1.9735195109788357</v>
          </cell>
          <cell r="J58">
            <v>1.9735195109788357</v>
          </cell>
          <cell r="K58">
            <v>72.73409051905287</v>
          </cell>
          <cell r="L58">
            <v>72.73409051905287</v>
          </cell>
          <cell r="M58">
            <v>476.81237118045772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1035.8792741992745</v>
          </cell>
          <cell r="H59">
            <v>1.0358792741992746</v>
          </cell>
          <cell r="I59">
            <v>1.2805203428571428</v>
          </cell>
          <cell r="J59">
            <v>1.2805203428571427E-3</v>
          </cell>
          <cell r="K59">
            <v>186.68876301758371</v>
          </cell>
          <cell r="L59">
            <v>0.18668876301758372</v>
          </cell>
          <cell r="M59">
            <v>1223.8485575597156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  <cell r="H60" t="e">
            <v>#N/A</v>
          </cell>
          <cell r="I60">
            <v>0</v>
          </cell>
          <cell r="J60">
            <v>0</v>
          </cell>
          <cell r="K60" t="e">
            <v>#N/A</v>
          </cell>
          <cell r="L60" t="e">
            <v>#N/A</v>
          </cell>
          <cell r="M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1801.8158173406098</v>
          </cell>
          <cell r="H62">
            <v>1.8018158173406098</v>
          </cell>
          <cell r="I62">
            <v>7.0630436422638061</v>
          </cell>
          <cell r="J62">
            <v>7.0630436422638061E-3</v>
          </cell>
          <cell r="K62">
            <v>325.59819497691723</v>
          </cell>
          <cell r="L62">
            <v>0.32559819497691722</v>
          </cell>
          <cell r="M62">
            <v>2134.477055959791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1785.0928417233581</v>
          </cell>
          <cell r="H63">
            <v>1.785092841723358</v>
          </cell>
          <cell r="I63">
            <v>7.0590181641092862</v>
          </cell>
          <cell r="J63">
            <v>7.0590181641092863E-3</v>
          </cell>
          <cell r="K63">
            <v>322.58733477974414</v>
          </cell>
          <cell r="L63">
            <v>0.32258733477974416</v>
          </cell>
          <cell r="M63">
            <v>2114.7391946672114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1765.8568497404979</v>
          </cell>
          <cell r="H64">
            <v>1.7658568497404978</v>
          </cell>
          <cell r="I64">
            <v>8.8095944756071418</v>
          </cell>
          <cell r="J64">
            <v>8.8095944756071427E-3</v>
          </cell>
          <cell r="K64">
            <v>319.4399599588989</v>
          </cell>
          <cell r="L64">
            <v>0.3194399599588989</v>
          </cell>
          <cell r="M64">
            <v>2094.1064041750037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1239.9643985576924</v>
          </cell>
          <cell r="H65">
            <v>1.2399643985576925</v>
          </cell>
          <cell r="I65">
            <v>0</v>
          </cell>
          <cell r="J65">
            <v>0</v>
          </cell>
          <cell r="K65">
            <v>223.19359174038462</v>
          </cell>
          <cell r="L65">
            <v>0.22319359174038461</v>
          </cell>
          <cell r="M65">
            <v>1463.157990298077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1239.9643985576924</v>
          </cell>
          <cell r="H66">
            <v>1.2399643985576925</v>
          </cell>
          <cell r="I66">
            <v>3.8005555555555555</v>
          </cell>
          <cell r="J66">
            <v>3.8005555555555553E-3</v>
          </cell>
          <cell r="K66">
            <v>223.87769174038462</v>
          </cell>
          <cell r="L66">
            <v>0.22387769174038463</v>
          </cell>
          <cell r="M66">
            <v>1467.6426458536325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1375.6263649999999</v>
          </cell>
          <cell r="H67">
            <v>1.3756263649999998</v>
          </cell>
          <cell r="I67">
            <v>4.9466068571428572</v>
          </cell>
          <cell r="J67">
            <v>4.9466068571428568E-3</v>
          </cell>
          <cell r="K67">
            <v>248.50313493428567</v>
          </cell>
          <cell r="L67">
            <v>0.24850313493428566</v>
          </cell>
          <cell r="M67">
            <v>1629.0761067914284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533.30974809568136</v>
          </cell>
          <cell r="H68">
            <v>0.53330974809568132</v>
          </cell>
          <cell r="I68">
            <v>1.2242962962962964E-2</v>
          </cell>
          <cell r="J68">
            <v>1.2242962962962964E-5</v>
          </cell>
          <cell r="K68">
            <v>95.997958390555979</v>
          </cell>
          <cell r="L68">
            <v>9.5997958390555985E-2</v>
          </cell>
          <cell r="M68">
            <v>629.31994944920029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4303.72961111111</v>
          </cell>
          <cell r="H69">
            <v>4.3037296111111099</v>
          </cell>
          <cell r="I69" t="e">
            <v>#N/A</v>
          </cell>
          <cell r="J69" t="e">
            <v>#N/A</v>
          </cell>
          <cell r="K69" t="e">
            <v>#N/A</v>
          </cell>
          <cell r="L69" t="e">
            <v>#N/A</v>
          </cell>
          <cell r="M69" t="e">
            <v>#N/A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1985.5203047362884</v>
          </cell>
          <cell r="H70">
            <v>1.9855203047362884</v>
          </cell>
          <cell r="I70" t="e">
            <v>#N/A</v>
          </cell>
          <cell r="J70" t="e">
            <v>#N/A</v>
          </cell>
          <cell r="K70" t="e">
            <v>#N/A</v>
          </cell>
          <cell r="L70" t="e">
            <v>#N/A</v>
          </cell>
          <cell r="M70" t="e">
            <v>#N/A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  <cell r="H71">
            <v>6.7683190588235291</v>
          </cell>
          <cell r="I71">
            <v>2.6444800000000004E-2</v>
          </cell>
          <cell r="J71">
            <v>2.6444800000000005E-5</v>
          </cell>
          <cell r="K71">
            <v>1218.3021906522351</v>
          </cell>
          <cell r="L71">
            <v>1.2183021906522351</v>
          </cell>
          <cell r="M71">
            <v>7986.6476942757645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 t="e">
            <v>#N/A</v>
          </cell>
          <cell r="H72" t="e">
            <v>#N/A</v>
          </cell>
          <cell r="I72">
            <v>2.3106144000000006E-2</v>
          </cell>
          <cell r="J72">
            <v>2.3106144000000006E-5</v>
          </cell>
          <cell r="K72" t="e">
            <v>#N/A</v>
          </cell>
          <cell r="L72" t="e">
            <v>#N/A</v>
          </cell>
          <cell r="M72" t="e">
            <v>#N/A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1775.2914151055961</v>
          </cell>
          <cell r="H73">
            <v>1.7752914151055961</v>
          </cell>
          <cell r="I73">
            <v>0.14222107509119691</v>
          </cell>
          <cell r="J73">
            <v>1.4222107509119692E-4</v>
          </cell>
          <cell r="K73">
            <v>319.57805451252369</v>
          </cell>
          <cell r="L73">
            <v>0.31957805451252369</v>
          </cell>
          <cell r="M73">
            <v>2095.0116906932108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1393.3440779014309</v>
          </cell>
          <cell r="H74">
            <v>1.3933440779014308</v>
          </cell>
          <cell r="I74">
            <v>6.6990066990066988E-2</v>
          </cell>
          <cell r="J74">
            <v>6.6990066990066984E-5</v>
          </cell>
          <cell r="K74">
            <v>250.81399223431575</v>
          </cell>
          <cell r="L74">
            <v>0.25081399223431577</v>
          </cell>
          <cell r="M74">
            <v>1644.2250602027366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1315.0468463418608</v>
          </cell>
          <cell r="H75">
            <v>1.3150468463418608</v>
          </cell>
          <cell r="I75">
            <v>0.70361953839320435</v>
          </cell>
          <cell r="J75">
            <v>7.0361953839320431E-4</v>
          </cell>
          <cell r="K75">
            <v>236.83508385844573</v>
          </cell>
          <cell r="L75">
            <v>0.23683508385844573</v>
          </cell>
          <cell r="M75">
            <v>1552.5855497386997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  <cell r="H76">
            <v>1.494125406791126</v>
          </cell>
          <cell r="I76">
            <v>0</v>
          </cell>
          <cell r="J76">
            <v>0</v>
          </cell>
          <cell r="K76">
            <v>268.9425732224027</v>
          </cell>
          <cell r="L76">
            <v>0.26894257322240273</v>
          </cell>
          <cell r="M76">
            <v>1763.0679800135288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1632.3559974809943</v>
          </cell>
          <cell r="H77">
            <v>1.6323559974809942</v>
          </cell>
          <cell r="I77">
            <v>7.9157755555555542E-2</v>
          </cell>
          <cell r="J77">
            <v>7.915775555555554E-5</v>
          </cell>
          <cell r="K77">
            <v>293.83832794257899</v>
          </cell>
          <cell r="L77">
            <v>0.29383832794257897</v>
          </cell>
          <cell r="M77">
            <v>1926.273483179129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1339.0233320284781</v>
          </cell>
          <cell r="H78">
            <v>1.3390233320284781</v>
          </cell>
          <cell r="I78">
            <v>14.875920634920634</v>
          </cell>
          <cell r="J78">
            <v>1.4875920634920634E-2</v>
          </cell>
          <cell r="K78">
            <v>243.70186547941177</v>
          </cell>
          <cell r="L78">
            <v>0.24370186547941178</v>
          </cell>
          <cell r="M78">
            <v>1597.6011181428105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0</v>
          </cell>
          <cell r="J79">
            <v>0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1204.3084434242155</v>
          </cell>
          <cell r="H80">
            <v>1.2043084434242155</v>
          </cell>
          <cell r="I80">
            <v>4.90484864255356</v>
          </cell>
          <cell r="J80">
            <v>4.9048486425535597E-3</v>
          </cell>
          <cell r="K80">
            <v>217.65839257201844</v>
          </cell>
          <cell r="L80">
            <v>0.21765839257201844</v>
          </cell>
          <cell r="M80">
            <v>1426.8716846387874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2205.033697219751</v>
          </cell>
          <cell r="H81">
            <v>2.2050336972197511</v>
          </cell>
          <cell r="I81">
            <v>0</v>
          </cell>
          <cell r="J81">
            <v>0</v>
          </cell>
          <cell r="K81">
            <v>396.90606549955515</v>
          </cell>
          <cell r="L81">
            <v>0.39690606549955515</v>
          </cell>
          <cell r="M81">
            <v>2601.9397627193061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2023.0736491785906</v>
          </cell>
          <cell r="H82">
            <v>2.0230736491785906</v>
          </cell>
          <cell r="I82">
            <v>1.3173173173173174</v>
          </cell>
          <cell r="J82">
            <v>1.3173173173173173E-3</v>
          </cell>
          <cell r="K82">
            <v>364.39037396926341</v>
          </cell>
          <cell r="L82">
            <v>0.36439037396926338</v>
          </cell>
          <cell r="M82">
            <v>2388.7813404651711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1159.6895302013422</v>
          </cell>
          <cell r="H83">
            <v>1.1596895302013421</v>
          </cell>
          <cell r="I83">
            <v>15.918022500000001</v>
          </cell>
          <cell r="J83">
            <v>1.59180225E-2</v>
          </cell>
          <cell r="K83">
            <v>211.6093594862416</v>
          </cell>
          <cell r="L83">
            <v>0.2116093594862416</v>
          </cell>
          <cell r="M83">
            <v>1387.2169121875838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1356.2698666666665</v>
          </cell>
          <cell r="H84">
            <v>1.3562698666666666</v>
          </cell>
          <cell r="I84">
            <v>1.2540147753086419</v>
          </cell>
          <cell r="J84">
            <v>1.2540147753086418E-3</v>
          </cell>
          <cell r="K84">
            <v>244.35429865955552</v>
          </cell>
          <cell r="L84">
            <v>0.24435429865955552</v>
          </cell>
          <cell r="M84">
            <v>1601.8781801015307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 t="e">
            <v>#N/A</v>
          </cell>
          <cell r="H85" t="e">
            <v>#N/A</v>
          </cell>
          <cell r="I85">
            <v>2.3980769230769225E-3</v>
          </cell>
          <cell r="J85">
            <v>2.3980769230769227E-6</v>
          </cell>
          <cell r="K85" t="e">
            <v>#N/A</v>
          </cell>
          <cell r="L85" t="e">
            <v>#N/A</v>
          </cell>
          <cell r="M85" t="e">
            <v>#N/A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361.50543451386807</v>
          </cell>
          <cell r="H86">
            <v>361.50543451386807</v>
          </cell>
          <cell r="I86" t="e">
            <v>#N/A</v>
          </cell>
          <cell r="J86" t="e">
            <v>#N/A</v>
          </cell>
          <cell r="K86" t="e">
            <v>#N/A</v>
          </cell>
          <cell r="L86" t="e">
            <v>#N/A</v>
          </cell>
          <cell r="M86" t="e">
            <v>#N/A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1400.7911760507934</v>
          </cell>
          <cell r="H87">
            <v>1.4007911760507934</v>
          </cell>
          <cell r="I87">
            <v>1.6817964912280698</v>
          </cell>
          <cell r="J87">
            <v>1.6817964912280699E-3</v>
          </cell>
          <cell r="K87">
            <v>252.44513505756387</v>
          </cell>
          <cell r="L87">
            <v>0.25244513505756389</v>
          </cell>
          <cell r="M87">
            <v>1654.9181075995855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1454.6703203459506</v>
          </cell>
          <cell r="H88">
            <v>1.4546703203459506</v>
          </cell>
          <cell r="I88">
            <v>9.8563140613620988</v>
          </cell>
          <cell r="J88">
            <v>9.8563140613620991E-3</v>
          </cell>
          <cell r="K88">
            <v>263.6147941933163</v>
          </cell>
          <cell r="L88">
            <v>0.26361479419331629</v>
          </cell>
          <cell r="M88">
            <v>1728.1414286006291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1756.6843333333334</v>
          </cell>
          <cell r="H89">
            <v>1.7566843333333333</v>
          </cell>
          <cell r="I89">
            <v>2.7258249999999999</v>
          </cell>
          <cell r="J89">
            <v>2.7258249999999999E-3</v>
          </cell>
          <cell r="K89">
            <v>316.6938285</v>
          </cell>
          <cell r="L89">
            <v>0.3166938285</v>
          </cell>
          <cell r="M89">
            <v>2076.1039868333332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1953.0534433939395</v>
          </cell>
          <cell r="H90">
            <v>1.9530534433939395</v>
          </cell>
          <cell r="I90">
            <v>0</v>
          </cell>
          <cell r="J90">
            <v>0</v>
          </cell>
          <cell r="K90">
            <v>351.54961981090906</v>
          </cell>
          <cell r="L90">
            <v>0.35154961981090904</v>
          </cell>
          <cell r="M90">
            <v>2304.6030632048487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  <cell r="H91">
            <v>2.8523880000000004</v>
          </cell>
          <cell r="I91">
            <v>0</v>
          </cell>
          <cell r="J91">
            <v>0</v>
          </cell>
          <cell r="K91">
            <v>513.42984000000001</v>
          </cell>
          <cell r="L91">
            <v>0.51342984000000003</v>
          </cell>
          <cell r="M91">
            <v>3365.8178400000006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  <cell r="H92">
            <v>3.7510638297872334</v>
          </cell>
          <cell r="I92">
            <v>0.45276595744680853</v>
          </cell>
          <cell r="J92">
            <v>4.5276595744680851E-4</v>
          </cell>
          <cell r="K92">
            <v>675.27298723404238</v>
          </cell>
          <cell r="L92">
            <v>0.67527298723404239</v>
          </cell>
          <cell r="M92">
            <v>4426.789582978723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1342.4825317358968</v>
          </cell>
          <cell r="H93">
            <v>1.3424825317358968</v>
          </cell>
          <cell r="I93">
            <v>0.61954538412698423</v>
          </cell>
          <cell r="J93">
            <v>6.1954538412698423E-4</v>
          </cell>
          <cell r="K93">
            <v>241.75837388160426</v>
          </cell>
          <cell r="L93">
            <v>0.24175837388160426</v>
          </cell>
          <cell r="M93">
            <v>1584.860451001628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2444.1771609491457</v>
          </cell>
          <cell r="H94">
            <v>2444.1771609491457</v>
          </cell>
          <cell r="I94">
            <v>19.446950906064689</v>
          </cell>
          <cell r="J94">
            <v>19.446950906064689</v>
          </cell>
          <cell r="K94">
            <v>443.45234013393781</v>
          </cell>
          <cell r="L94">
            <v>443.45234013393781</v>
          </cell>
          <cell r="M94">
            <v>2907.0764519891482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2024.6728976560476</v>
          </cell>
          <cell r="H95">
            <v>2.0246728976560475</v>
          </cell>
          <cell r="I95">
            <v>7.4358974358974348E-3</v>
          </cell>
          <cell r="J95">
            <v>7.4358974358974352E-6</v>
          </cell>
          <cell r="K95">
            <v>364.44246003962701</v>
          </cell>
          <cell r="L95">
            <v>0.36444246003962699</v>
          </cell>
          <cell r="M95">
            <v>2389.1227935931106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  <cell r="H96" t="e">
            <v>#N/A</v>
          </cell>
          <cell r="I96">
            <v>0.20618741388888889</v>
          </cell>
          <cell r="J96">
            <v>0.20618741388888889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9546.2948980449291</v>
          </cell>
          <cell r="H97">
            <v>9546.2948980449291</v>
          </cell>
          <cell r="I97">
            <v>32</v>
          </cell>
          <cell r="J97">
            <v>32</v>
          </cell>
          <cell r="K97">
            <v>1724.0930816480873</v>
          </cell>
          <cell r="L97">
            <v>1724.0930816480873</v>
          </cell>
          <cell r="M97">
            <v>11302.387979693016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 t="e">
            <v>#N/A</v>
          </cell>
          <cell r="H98" t="e">
            <v>#N/A</v>
          </cell>
          <cell r="I98">
            <v>85.265090344074082</v>
          </cell>
          <cell r="J98">
            <v>85.265090344074082</v>
          </cell>
          <cell r="K98" t="e">
            <v>#N/A</v>
          </cell>
          <cell r="L98" t="e">
            <v>#N/A</v>
          </cell>
          <cell r="M98" t="e">
            <v>#N/A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467.78823424300737</v>
          </cell>
          <cell r="H99">
            <v>467.78823424300737</v>
          </cell>
          <cell r="I99">
            <v>0.19413112781799996</v>
          </cell>
          <cell r="J99">
            <v>0.19413112781799996</v>
          </cell>
          <cell r="K99">
            <v>84.236825766748566</v>
          </cell>
          <cell r="L99">
            <v>84.236825766748566</v>
          </cell>
          <cell r="M99">
            <v>552.21919113757394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2744.129958174603</v>
          </cell>
          <cell r="H100">
            <v>2744.129958174603</v>
          </cell>
          <cell r="I100">
            <v>57.402952380952378</v>
          </cell>
          <cell r="J100">
            <v>57.402952380952378</v>
          </cell>
          <cell r="K100">
            <v>504.2759238999999</v>
          </cell>
          <cell r="L100">
            <v>504.2759238999999</v>
          </cell>
          <cell r="M100">
            <v>3305.8088344555549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547.92818381029213</v>
          </cell>
          <cell r="H101">
            <v>547.92818381029213</v>
          </cell>
          <cell r="I101">
            <v>275.79996891560847</v>
          </cell>
          <cell r="J101">
            <v>275.79996891560847</v>
          </cell>
          <cell r="K101">
            <v>148.27106749066209</v>
          </cell>
          <cell r="L101">
            <v>148.27106749066209</v>
          </cell>
          <cell r="M101">
            <v>971.99922021656266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950.75649495660195</v>
          </cell>
          <cell r="H102">
            <v>950.75649495660195</v>
          </cell>
          <cell r="I102">
            <v>9.5705723548677248</v>
          </cell>
          <cell r="J102">
            <v>9.5705723548677248</v>
          </cell>
          <cell r="K102">
            <v>172.85887211606453</v>
          </cell>
          <cell r="L102">
            <v>172.85887211606453</v>
          </cell>
          <cell r="M102">
            <v>1133.1859394275343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289.38848331481745</v>
          </cell>
          <cell r="H103">
            <v>289.38848331481745</v>
          </cell>
          <cell r="I103">
            <v>8.5211893146214877</v>
          </cell>
          <cell r="J103">
            <v>8.5211893146214877</v>
          </cell>
          <cell r="K103">
            <v>53.623741073299009</v>
          </cell>
          <cell r="L103">
            <v>53.623741073299009</v>
          </cell>
          <cell r="M103">
            <v>351.53341370273796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119.18511863369582</v>
          </cell>
          <cell r="H104">
            <v>119.18511863369582</v>
          </cell>
          <cell r="I104">
            <v>1.2809221830766282</v>
          </cell>
          <cell r="J104">
            <v>1.2809221830766282</v>
          </cell>
          <cell r="K104">
            <v>21.683887347019041</v>
          </cell>
          <cell r="L104">
            <v>21.683887347019041</v>
          </cell>
          <cell r="M104">
            <v>142.14992816379149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617.88676588135706</v>
          </cell>
          <cell r="H105">
            <v>617.88676588135706</v>
          </cell>
          <cell r="I105">
            <v>4.3289329062812802</v>
          </cell>
          <cell r="J105">
            <v>4.3289329062812802</v>
          </cell>
          <cell r="K105">
            <v>111.9988257817749</v>
          </cell>
          <cell r="L105">
            <v>111.9988257817749</v>
          </cell>
          <cell r="M105">
            <v>734.21452456941324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419.06280135249432</v>
          </cell>
          <cell r="H106">
            <v>419.06280135249432</v>
          </cell>
          <cell r="I106">
            <v>3.4683963990294879</v>
          </cell>
          <cell r="J106">
            <v>3.4683963990294879</v>
          </cell>
          <cell r="K106">
            <v>76.055615595274276</v>
          </cell>
          <cell r="L106">
            <v>76.055615595274276</v>
          </cell>
          <cell r="M106">
            <v>498.58681334679807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244.95567817050417</v>
          </cell>
          <cell r="H107">
            <v>244.95567817050417</v>
          </cell>
          <cell r="I107">
            <v>2.5596327979390678</v>
          </cell>
          <cell r="J107">
            <v>2.5596327979390678</v>
          </cell>
          <cell r="K107">
            <v>44.55275597431978</v>
          </cell>
          <cell r="L107">
            <v>44.55275597431978</v>
          </cell>
          <cell r="M107">
            <v>292.06806694276304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2417.9752080348917</v>
          </cell>
          <cell r="H108">
            <v>2417.9752080348917</v>
          </cell>
          <cell r="I108">
            <v>23.538499588918192</v>
          </cell>
          <cell r="J108">
            <v>23.538499588918192</v>
          </cell>
          <cell r="K108">
            <v>439.47246737228573</v>
          </cell>
          <cell r="L108">
            <v>439.47246737228573</v>
          </cell>
          <cell r="M108">
            <v>2880.9861749960955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2202.4236479766287</v>
          </cell>
          <cell r="H109">
            <v>2202.4236479766287</v>
          </cell>
          <cell r="I109">
            <v>11.901056523303392</v>
          </cell>
          <cell r="J109">
            <v>11.901056523303392</v>
          </cell>
          <cell r="K109">
            <v>398.57844680998778</v>
          </cell>
          <cell r="L109">
            <v>398.57844680998778</v>
          </cell>
          <cell r="M109">
            <v>2612.9031513099198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490.35606691234329</v>
          </cell>
          <cell r="H110">
            <v>490.35606691234329</v>
          </cell>
          <cell r="I110">
            <v>4.3638499766937384</v>
          </cell>
          <cell r="J110">
            <v>4.3638499766937384</v>
          </cell>
          <cell r="K110">
            <v>89.04958504002667</v>
          </cell>
          <cell r="L110">
            <v>89.04958504002667</v>
          </cell>
          <cell r="M110">
            <v>583.76950192906372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549.91872985249609</v>
          </cell>
          <cell r="H111">
            <v>549.91872985249609</v>
          </cell>
          <cell r="I111">
            <v>4.3332536691880419</v>
          </cell>
          <cell r="J111">
            <v>4.3332536691880419</v>
          </cell>
          <cell r="K111">
            <v>99.765357033903143</v>
          </cell>
          <cell r="L111">
            <v>99.765357033903143</v>
          </cell>
          <cell r="M111">
            <v>654.01734055558723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  <cell r="H112" t="e">
            <v>#N/A</v>
          </cell>
          <cell r="I112">
            <v>8.194628498155204</v>
          </cell>
          <cell r="J112">
            <v>8.194628498155204</v>
          </cell>
          <cell r="K112" t="e">
            <v>#N/A</v>
          </cell>
          <cell r="L112" t="e">
            <v>#N/A</v>
          </cell>
          <cell r="M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795.72234982823909</v>
          </cell>
          <cell r="H113">
            <v>795.72234982823909</v>
          </cell>
          <cell r="I113">
            <v>23.627086579715595</v>
          </cell>
          <cell r="J113">
            <v>23.627086579715595</v>
          </cell>
          <cell r="K113">
            <v>147.48289855343185</v>
          </cell>
          <cell r="L113">
            <v>147.48289855343185</v>
          </cell>
          <cell r="M113">
            <v>966.83233496138655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1041.7489203245339</v>
          </cell>
          <cell r="H114">
            <v>1.0417489203245338</v>
          </cell>
          <cell r="I114">
            <v>4.422821298658862</v>
          </cell>
          <cell r="J114">
            <v>4.4228212986588619E-3</v>
          </cell>
          <cell r="K114">
            <v>188.31091349217468</v>
          </cell>
          <cell r="L114">
            <v>0.18831091349217469</v>
          </cell>
          <cell r="M114">
            <v>1234.4826551153674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 t="e">
            <v>#N/A</v>
          </cell>
          <cell r="H115" t="e">
            <v>#N/A</v>
          </cell>
          <cell r="I115" t="e">
            <v>#N/A</v>
          </cell>
          <cell r="J115" t="e">
            <v>#N/A</v>
          </cell>
          <cell r="K115" t="e">
            <v>#N/A</v>
          </cell>
          <cell r="L115" t="e">
            <v>#N/A</v>
          </cell>
          <cell r="M115" t="e">
            <v>#N/A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10.26390016406636</v>
          </cell>
          <cell r="H116">
            <v>10.26390016406636</v>
          </cell>
          <cell r="I116">
            <v>4.2438023413321938E-2</v>
          </cell>
          <cell r="J116">
            <v>4.2438023413321938E-2</v>
          </cell>
          <cell r="K116">
            <v>1.8551408737463426</v>
          </cell>
          <cell r="L116">
            <v>1.8551408737463426</v>
          </cell>
          <cell r="M116">
            <v>12.161479061226025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 t="e">
            <v>#N/A</v>
          </cell>
          <cell r="H117" t="e">
            <v>#N/A</v>
          </cell>
          <cell r="I117" t="e">
            <v>#N/A</v>
          </cell>
          <cell r="J117" t="e">
            <v>#N/A</v>
          </cell>
          <cell r="K117" t="e">
            <v>#N/A</v>
          </cell>
          <cell r="L117" t="e">
            <v>#N/A</v>
          </cell>
          <cell r="M117" t="e">
            <v>#N/A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 t="e">
            <v>#N/A</v>
          </cell>
          <cell r="H118" t="e">
            <v>#N/A</v>
          </cell>
          <cell r="I118">
            <v>1.1391528602609324</v>
          </cell>
          <cell r="J118">
            <v>1.1391528602609324</v>
          </cell>
          <cell r="K118" t="e">
            <v>#N/A</v>
          </cell>
          <cell r="L118" t="e">
            <v>#N/A</v>
          </cell>
          <cell r="M118" t="e">
            <v>#N/A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886.07094516792131</v>
          </cell>
          <cell r="H119">
            <v>886.07094516792131</v>
          </cell>
          <cell r="I119">
            <v>11.933550554847777</v>
          </cell>
          <cell r="J119">
            <v>11.933550554847777</v>
          </cell>
          <cell r="K119">
            <v>161.64080923009843</v>
          </cell>
          <cell r="L119">
            <v>161.64080923009843</v>
          </cell>
          <cell r="M119">
            <v>1059.6453049528675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558.79158135260832</v>
          </cell>
          <cell r="H120">
            <v>558.79158135260832</v>
          </cell>
          <cell r="I120">
            <v>1.2942970874299997</v>
          </cell>
          <cell r="J120">
            <v>1.2942970874299997</v>
          </cell>
          <cell r="K120">
            <v>100.81545811920689</v>
          </cell>
          <cell r="L120">
            <v>100.81545811920689</v>
          </cell>
          <cell r="M120">
            <v>660.90133655924524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1.6204271015461917</v>
          </cell>
          <cell r="J121">
            <v>1.6204271015461917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61.81975203333333</v>
          </cell>
          <cell r="H122">
            <v>61.81975203333333</v>
          </cell>
          <cell r="I122">
            <v>0.28739682539682537</v>
          </cell>
          <cell r="J122">
            <v>0.28739682539682537</v>
          </cell>
          <cell r="K122">
            <v>11.179286794571428</v>
          </cell>
          <cell r="L122">
            <v>11.179286794571428</v>
          </cell>
          <cell r="M122">
            <v>73.286435653301581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  <cell r="H123" t="e">
            <v>#N/A</v>
          </cell>
          <cell r="I123" t="e">
            <v>#N/A</v>
          </cell>
          <cell r="J123" t="e">
            <v>#N/A</v>
          </cell>
          <cell r="K123" t="e">
            <v>#N/A</v>
          </cell>
          <cell r="L123" t="e">
            <v>#N/A</v>
          </cell>
          <cell r="M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18.946852518627452</v>
          </cell>
          <cell r="H124">
            <v>18.946852518627452</v>
          </cell>
          <cell r="I124">
            <v>9.3303143479614048E-2</v>
          </cell>
          <cell r="J124">
            <v>9.3303143479614048E-2</v>
          </cell>
          <cell r="K124">
            <v>3.4272280191792714</v>
          </cell>
          <cell r="L124">
            <v>3.4272280191792714</v>
          </cell>
          <cell r="M124">
            <v>22.467383681286336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30.135344509803925</v>
          </cell>
          <cell r="H125">
            <v>30.135344509803925</v>
          </cell>
          <cell r="I125">
            <v>0.14928502956738249</v>
          </cell>
          <cell r="J125">
            <v>0.14928502956738249</v>
          </cell>
          <cell r="K125">
            <v>5.4512333170868352</v>
          </cell>
          <cell r="L125">
            <v>5.4512333170868352</v>
          </cell>
          <cell r="M125">
            <v>35.735862856458141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22.581411882352945</v>
          </cell>
          <cell r="H126">
            <v>22.581411882352945</v>
          </cell>
          <cell r="I126">
            <v>0.11196377217553685</v>
          </cell>
          <cell r="J126">
            <v>0.11196377217553685</v>
          </cell>
          <cell r="K126">
            <v>4.0848076178151267</v>
          </cell>
          <cell r="L126">
            <v>4.0848076178151267</v>
          </cell>
          <cell r="M126">
            <v>26.778183272343608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 t="e">
            <v>#N/A</v>
          </cell>
          <cell r="H127" t="e">
            <v>#N/A</v>
          </cell>
          <cell r="I127">
            <v>0.12357066358178685</v>
          </cell>
          <cell r="J127">
            <v>0.12357066358178685</v>
          </cell>
          <cell r="K127" t="e">
            <v>#N/A</v>
          </cell>
          <cell r="L127" t="e">
            <v>#N/A</v>
          </cell>
          <cell r="M127" t="e">
            <v>#N/A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22.145658804952205</v>
          </cell>
          <cell r="H128">
            <v>22.145658804952205</v>
          </cell>
          <cell r="I128">
            <v>0.10382364430682334</v>
          </cell>
          <cell r="J128">
            <v>0.10382364430682334</v>
          </cell>
          <cell r="K128">
            <v>4.0049068408666253</v>
          </cell>
          <cell r="L128">
            <v>4.0049068408666253</v>
          </cell>
          <cell r="M128">
            <v>26.254389290125655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41.200399401085384</v>
          </cell>
          <cell r="H129">
            <v>41.200399401085384</v>
          </cell>
          <cell r="I129">
            <v>0.19466933307529377</v>
          </cell>
          <cell r="J129">
            <v>0.19466933307529377</v>
          </cell>
          <cell r="K129">
            <v>7.4511123721489225</v>
          </cell>
          <cell r="L129">
            <v>7.4511123721489225</v>
          </cell>
          <cell r="M129">
            <v>48.846181106309601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93.309837907725665</v>
          </cell>
          <cell r="H130">
            <v>93.309837907725665</v>
          </cell>
          <cell r="I130">
            <v>0.33272418699999995</v>
          </cell>
          <cell r="J130">
            <v>0.33272418699999995</v>
          </cell>
          <cell r="K130">
            <v>16.855661177050617</v>
          </cell>
          <cell r="L130">
            <v>16.855661177050617</v>
          </cell>
          <cell r="M130">
            <v>110.49822327177628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1202.917009493671</v>
          </cell>
          <cell r="H131">
            <v>1.202917009493671</v>
          </cell>
          <cell r="I131">
            <v>6.318509588551783</v>
          </cell>
          <cell r="J131">
            <v>6.3185095885517828E-3</v>
          </cell>
          <cell r="K131">
            <v>217.66239343480007</v>
          </cell>
          <cell r="L131">
            <v>0.21766239343480007</v>
          </cell>
          <cell r="M131">
            <v>1426.8979125170229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18.433357506211188</v>
          </cell>
          <cell r="H132">
            <v>18.433357506211188</v>
          </cell>
          <cell r="I132">
            <v>9.5987972000394384E-2</v>
          </cell>
          <cell r="J132">
            <v>9.5987972000394384E-2</v>
          </cell>
          <cell r="K132">
            <v>3.3352821860780844</v>
          </cell>
          <cell r="L132">
            <v>3.3352821860780844</v>
          </cell>
          <cell r="M132">
            <v>21.864627664289667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16.127821276412483</v>
          </cell>
          <cell r="H133">
            <v>16.127821276412483</v>
          </cell>
          <cell r="I133">
            <v>6.7921898515118234E-2</v>
          </cell>
          <cell r="J133">
            <v>6.7921898515118234E-2</v>
          </cell>
          <cell r="K133">
            <v>2.9152337714869678</v>
          </cell>
          <cell r="L133">
            <v>2.9152337714869678</v>
          </cell>
          <cell r="M133">
            <v>19.110976946414567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69.896254825821188</v>
          </cell>
          <cell r="H134">
            <v>69.896254825821188</v>
          </cell>
          <cell r="I134">
            <v>2.9525012378680313</v>
          </cell>
          <cell r="J134">
            <v>2.9525012378680313</v>
          </cell>
          <cell r="K134">
            <v>13.11277609146406</v>
          </cell>
          <cell r="L134">
            <v>13.11277609146406</v>
          </cell>
          <cell r="M134">
            <v>85.961532155153279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68.203195227944931</v>
          </cell>
          <cell r="H135">
            <v>68.203195227944931</v>
          </cell>
          <cell r="I135">
            <v>0.24646236074074071</v>
          </cell>
          <cell r="J135">
            <v>0.24646236074074071</v>
          </cell>
          <cell r="K135">
            <v>12.32093836596342</v>
          </cell>
          <cell r="L135">
            <v>12.32093836596342</v>
          </cell>
          <cell r="M135">
            <v>80.770595954649082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1903.3337759589672</v>
          </cell>
          <cell r="H136">
            <v>1.9033337759589672</v>
          </cell>
          <cell r="I136">
            <v>16.62196578278477</v>
          </cell>
          <cell r="J136">
            <v>1.662196578278477E-2</v>
          </cell>
          <cell r="K136">
            <v>345.59203351351533</v>
          </cell>
          <cell r="L136">
            <v>0.34559203351351531</v>
          </cell>
          <cell r="M136">
            <v>2265.5477752552674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  <cell r="H138" t="e">
            <v>#N/A</v>
          </cell>
          <cell r="I138">
            <v>3.611640211640212</v>
          </cell>
          <cell r="J138">
            <v>3.611640211640212E-3</v>
          </cell>
          <cell r="K138" t="e">
            <v>#N/A</v>
          </cell>
          <cell r="L138" t="e">
            <v>#N/A</v>
          </cell>
          <cell r="M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  <cell r="H139" t="e">
            <v>#N/A</v>
          </cell>
          <cell r="I139">
            <v>1.68051968503937</v>
          </cell>
          <cell r="J139">
            <v>1.68051968503937E-3</v>
          </cell>
          <cell r="K139" t="e">
            <v>#N/A</v>
          </cell>
          <cell r="L139" t="e">
            <v>#N/A</v>
          </cell>
          <cell r="M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2249.6041102933436</v>
          </cell>
          <cell r="H140">
            <v>2.2496041102933435</v>
          </cell>
          <cell r="I140">
            <v>0.28502403846153845</v>
          </cell>
          <cell r="J140">
            <v>2.8502403846153847E-4</v>
          </cell>
          <cell r="K140">
            <v>404.98004417972487</v>
          </cell>
          <cell r="L140">
            <v>0.40498004417972489</v>
          </cell>
          <cell r="M140">
            <v>2654.8691785115298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16.246825396825397</v>
          </cell>
          <cell r="J141">
            <v>1.6246825396825398E-2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  <cell r="H143" t="e">
            <v>#N/A</v>
          </cell>
          <cell r="I143">
            <v>0.65401890180063504</v>
          </cell>
          <cell r="J143">
            <v>6.5401890180063506E-4</v>
          </cell>
          <cell r="K143" t="e">
            <v>#N/A</v>
          </cell>
          <cell r="L143" t="e">
            <v>#N/A</v>
          </cell>
          <cell r="M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 t="e">
            <v>#N/A</v>
          </cell>
          <cell r="H146" t="e">
            <v>#N/A</v>
          </cell>
          <cell r="I146">
            <v>18.212851044011543</v>
          </cell>
          <cell r="J146">
            <v>1.8212851044011543E-2</v>
          </cell>
          <cell r="K146" t="e">
            <v>#N/A</v>
          </cell>
          <cell r="L146" t="e">
            <v>#N/A</v>
          </cell>
          <cell r="M146" t="e">
            <v>#N/A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 t="e">
            <v>#N/A</v>
          </cell>
          <cell r="H147" t="e">
            <v>#N/A</v>
          </cell>
          <cell r="I147">
            <v>1.5373292261557483</v>
          </cell>
          <cell r="J147">
            <v>1.5373292261557482E-3</v>
          </cell>
          <cell r="K147" t="e">
            <v>#N/A</v>
          </cell>
          <cell r="L147" t="e">
            <v>#N/A</v>
          </cell>
          <cell r="M147" t="e">
            <v>#N/A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 t="e">
            <v>#N/A</v>
          </cell>
          <cell r="H149" t="e">
            <v>#N/A</v>
          </cell>
          <cell r="I149">
            <v>2.179881305637982</v>
          </cell>
          <cell r="J149">
            <v>2.1798813056379822E-3</v>
          </cell>
          <cell r="K149" t="e">
            <v>#N/A</v>
          </cell>
          <cell r="L149" t="e">
            <v>#N/A</v>
          </cell>
          <cell r="M149" t="e">
            <v>#N/A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 t="e">
            <v>#N/A</v>
          </cell>
          <cell r="H150" t="e">
            <v>#N/A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 t="e">
            <v>#N/A</v>
          </cell>
          <cell r="H151" t="e">
            <v>#N/A</v>
          </cell>
          <cell r="I151">
            <v>0.27067793538871676</v>
          </cell>
          <cell r="J151">
            <v>0.27067793538871676</v>
          </cell>
          <cell r="K151" t="e">
            <v>#N/A</v>
          </cell>
          <cell r="L151" t="e">
            <v>#N/A</v>
          </cell>
          <cell r="M151" t="e">
            <v>#N/A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0.18178011428571428</v>
          </cell>
          <cell r="J152">
            <v>1.8178011428571429E-4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695.17912913602947</v>
          </cell>
          <cell r="H153">
            <v>0.69517912913602953</v>
          </cell>
          <cell r="I153">
            <v>0.71588617857142856</v>
          </cell>
          <cell r="J153">
            <v>7.1588617857142858E-4</v>
          </cell>
          <cell r="K153">
            <v>125.26110275662815</v>
          </cell>
          <cell r="L153">
            <v>0.12526110275662813</v>
          </cell>
          <cell r="M153">
            <v>821.156118071229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2614.8207049645389</v>
          </cell>
          <cell r="H155">
            <v>2.6148207049645391</v>
          </cell>
          <cell r="I155" t="e">
            <v>#N/A</v>
          </cell>
          <cell r="J155" t="e">
            <v>#N/A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 t="e">
            <v>#N/A</v>
          </cell>
          <cell r="J156" t="e">
            <v>#N/A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 t="e">
            <v>#N/A</v>
          </cell>
          <cell r="H157" t="e">
            <v>#N/A</v>
          </cell>
          <cell r="I157">
            <v>14.228400000000001</v>
          </cell>
          <cell r="J157">
            <v>1.42284E-2</v>
          </cell>
          <cell r="K157" t="e">
            <v>#N/A</v>
          </cell>
          <cell r="L157" t="e">
            <v>#N/A</v>
          </cell>
          <cell r="M157" t="e">
            <v>#N/A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  <cell r="H158" t="e">
            <v>#N/A</v>
          </cell>
          <cell r="I158">
            <v>0.3775609756097561</v>
          </cell>
          <cell r="J158">
            <v>3.7756097560975611E-4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1953.5115855376641</v>
          </cell>
          <cell r="H159">
            <v>1.9535115855376641</v>
          </cell>
          <cell r="I159">
            <v>16.739083347125263</v>
          </cell>
          <cell r="J159">
            <v>1.6739083347125264E-2</v>
          </cell>
          <cell r="K159">
            <v>354.64512039926205</v>
          </cell>
          <cell r="L159">
            <v>0.35464512039926205</v>
          </cell>
          <cell r="M159">
            <v>2324.8957892840513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3615.9005686059418</v>
          </cell>
          <cell r="H160">
            <v>3.6159005686059418</v>
          </cell>
          <cell r="I160" t="e">
            <v>#N/A</v>
          </cell>
          <cell r="J160" t="e">
            <v>#N/A</v>
          </cell>
          <cell r="K160" t="e">
            <v>#N/A</v>
          </cell>
          <cell r="L160" t="e">
            <v>#N/A</v>
          </cell>
          <cell r="M160" t="e">
            <v>#N/A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  <cell r="H161" t="e">
            <v>#N/A</v>
          </cell>
          <cell r="I161" t="e">
            <v>#N/A</v>
          </cell>
          <cell r="J161" t="e">
            <v>#N/A</v>
          </cell>
          <cell r="K161" t="e">
            <v>#N/A</v>
          </cell>
          <cell r="L161" t="e">
            <v>#N/A</v>
          </cell>
          <cell r="M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4399.5543759803913</v>
          </cell>
          <cell r="H162">
            <v>4.399554375980391</v>
          </cell>
          <cell r="I162">
            <v>8.7946762108688574</v>
          </cell>
          <cell r="J162">
            <v>8.7946762108688566E-3</v>
          </cell>
          <cell r="K162">
            <v>793.50282939442673</v>
          </cell>
          <cell r="L162">
            <v>0.79350282939442673</v>
          </cell>
          <cell r="M162">
            <v>5201.8518815856869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1606.8651949381917</v>
          </cell>
          <cell r="H164">
            <v>1.6068651949381918</v>
          </cell>
          <cell r="I164">
            <v>5.6927565839591017</v>
          </cell>
          <cell r="J164">
            <v>5.6927565839591018E-3</v>
          </cell>
          <cell r="K164">
            <v>290.26043127398714</v>
          </cell>
          <cell r="L164">
            <v>0.29026043127398715</v>
          </cell>
          <cell r="M164">
            <v>1902.8183827961379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 t="e">
            <v>#N/A</v>
          </cell>
          <cell r="H165" t="e">
            <v>#N/A</v>
          </cell>
          <cell r="I165">
            <v>0</v>
          </cell>
          <cell r="J165">
            <v>0</v>
          </cell>
          <cell r="K165" t="e">
            <v>#N/A</v>
          </cell>
          <cell r="L165" t="e">
            <v>#N/A</v>
          </cell>
          <cell r="M165" t="e">
            <v>#N/A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2509.6355999999996</v>
          </cell>
          <cell r="H166">
            <v>2.5096355999999997</v>
          </cell>
          <cell r="I166">
            <v>0</v>
          </cell>
          <cell r="J166">
            <v>0</v>
          </cell>
          <cell r="K166">
            <v>451.73440799999992</v>
          </cell>
          <cell r="L166">
            <v>0.45173440799999992</v>
          </cell>
          <cell r="M166">
            <v>2961.3700079999994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4359.1496077777774</v>
          </cell>
          <cell r="H167">
            <v>4.3591496077777778</v>
          </cell>
          <cell r="I167">
            <v>0.55385652576131683</v>
          </cell>
          <cell r="J167">
            <v>5.5385652576131678E-4</v>
          </cell>
          <cell r="K167">
            <v>784.74662357463694</v>
          </cell>
          <cell r="L167">
            <v>0.78474662357463698</v>
          </cell>
          <cell r="M167">
            <v>5144.4500878781755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1909.1015773655374</v>
          </cell>
          <cell r="H168">
            <v>1.9091015773655373</v>
          </cell>
          <cell r="I168">
            <v>4.0110134052111412</v>
          </cell>
          <cell r="J168">
            <v>4.0110134052111415E-3</v>
          </cell>
          <cell r="K168">
            <v>344.36026633873473</v>
          </cell>
          <cell r="L168">
            <v>0.34436026633873473</v>
          </cell>
          <cell r="M168">
            <v>2257.4728571094834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  <cell r="H169">
            <v>1.9632474074074076</v>
          </cell>
          <cell r="I169">
            <v>0</v>
          </cell>
          <cell r="J169">
            <v>0</v>
          </cell>
          <cell r="K169">
            <v>353.38453333333337</v>
          </cell>
          <cell r="L169">
            <v>0.35338453333333336</v>
          </cell>
          <cell r="M169">
            <v>2316.6319407407409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2228.5595913461534</v>
          </cell>
          <cell r="H170">
            <v>2.2285595913461536</v>
          </cell>
          <cell r="I170">
            <v>0.10230769230769231</v>
          </cell>
          <cell r="J170">
            <v>1.023076923076923E-4</v>
          </cell>
          <cell r="K170">
            <v>401.15914182692296</v>
          </cell>
          <cell r="L170">
            <v>0.40115914182692297</v>
          </cell>
          <cell r="M170">
            <v>2629.821040865384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2361.72361</v>
          </cell>
          <cell r="H171">
            <v>2.3617236099999999</v>
          </cell>
          <cell r="I171">
            <v>0</v>
          </cell>
          <cell r="J171">
            <v>0</v>
          </cell>
          <cell r="K171">
            <v>425.11024979999996</v>
          </cell>
          <cell r="L171">
            <v>0.42511024979999995</v>
          </cell>
          <cell r="M171">
            <v>2786.8338598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2413.1576632653059</v>
          </cell>
          <cell r="H172">
            <v>2.4131576632653058</v>
          </cell>
          <cell r="I172">
            <v>0</v>
          </cell>
          <cell r="J172">
            <v>0</v>
          </cell>
          <cell r="K172">
            <v>434.36837938775506</v>
          </cell>
          <cell r="L172">
            <v>0.43436837938775508</v>
          </cell>
          <cell r="M172">
            <v>2847.5260426530608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2395.1356852433282</v>
          </cell>
          <cell r="H173">
            <v>2.3951356852433281</v>
          </cell>
          <cell r="I173">
            <v>0</v>
          </cell>
          <cell r="J173">
            <v>0</v>
          </cell>
          <cell r="K173">
            <v>431.12442334379904</v>
          </cell>
          <cell r="L173">
            <v>0.43112442334379902</v>
          </cell>
          <cell r="M173">
            <v>2826.2601085871274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4897.3342166666671</v>
          </cell>
          <cell r="H174">
            <v>4.8973342166666667</v>
          </cell>
          <cell r="I174">
            <v>0</v>
          </cell>
          <cell r="J174">
            <v>0</v>
          </cell>
          <cell r="K174">
            <v>881.52015900000004</v>
          </cell>
          <cell r="L174">
            <v>0.88152015900000003</v>
          </cell>
          <cell r="M174">
            <v>5778.8543756666668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2622.7517444561154</v>
          </cell>
          <cell r="H175">
            <v>2.6227517444561155</v>
          </cell>
          <cell r="I175" t="e">
            <v>#N/A</v>
          </cell>
          <cell r="J175" t="e">
            <v>#N/A</v>
          </cell>
          <cell r="K175" t="e">
            <v>#N/A</v>
          </cell>
          <cell r="L175" t="e">
            <v>#N/A</v>
          </cell>
          <cell r="M175" t="e">
            <v>#N/A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2224.7337278106506</v>
          </cell>
          <cell r="H176">
            <v>2.2247337278106505</v>
          </cell>
          <cell r="I176">
            <v>18.461538461538463</v>
          </cell>
          <cell r="J176">
            <v>1.8461538461538463E-2</v>
          </cell>
          <cell r="K176">
            <v>403.77514792899404</v>
          </cell>
          <cell r="L176">
            <v>0.40377514792899405</v>
          </cell>
          <cell r="M176">
            <v>2646.9704142011833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1115.3581464004103</v>
          </cell>
          <cell r="H177">
            <v>1115.3581464004103</v>
          </cell>
          <cell r="I177">
            <v>3.3716732577994994</v>
          </cell>
          <cell r="J177">
            <v>3.3716732577994994</v>
          </cell>
          <cell r="K177">
            <v>201.37136753847776</v>
          </cell>
          <cell r="L177">
            <v>201.37136753847776</v>
          </cell>
          <cell r="M177">
            <v>1320.1011871966875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 t="e">
            <v>#N/A</v>
          </cell>
          <cell r="H178" t="e">
            <v>#N/A</v>
          </cell>
          <cell r="I178">
            <v>4.6563490518082045</v>
          </cell>
          <cell r="J178">
            <v>4.6563490518082045</v>
          </cell>
          <cell r="K178" t="e">
            <v>#N/A</v>
          </cell>
          <cell r="L178" t="e">
            <v>#N/A</v>
          </cell>
          <cell r="M178" t="e">
            <v>#N/A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  <cell r="H179">
            <v>1.7894710000000001E-2</v>
          </cell>
          <cell r="I179">
            <v>0</v>
          </cell>
          <cell r="J179">
            <v>0</v>
          </cell>
          <cell r="K179">
            <v>3.2210478</v>
          </cell>
          <cell r="L179">
            <v>3.2210478000000002E-3</v>
          </cell>
          <cell r="M179">
            <v>21.115757800000001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5669.7283375000006</v>
          </cell>
          <cell r="H180">
            <v>5.6697283375000005</v>
          </cell>
          <cell r="I180">
            <v>0</v>
          </cell>
          <cell r="J180">
            <v>0</v>
          </cell>
          <cell r="K180">
            <v>1020.55110075</v>
          </cell>
          <cell r="L180">
            <v>1.0205511007500001</v>
          </cell>
          <cell r="M180">
            <v>6690.2794382500006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2289.1997540680468</v>
          </cell>
          <cell r="H181">
            <v>2.2891997540680467</v>
          </cell>
          <cell r="I181">
            <v>0.10230769230769231</v>
          </cell>
          <cell r="J181">
            <v>1.023076923076923E-4</v>
          </cell>
          <cell r="K181">
            <v>412.07437111686374</v>
          </cell>
          <cell r="L181">
            <v>0.41207437111686374</v>
          </cell>
          <cell r="M181">
            <v>2701.3764328772181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2265.521525198224</v>
          </cell>
          <cell r="H182">
            <v>2.2655215251982241</v>
          </cell>
          <cell r="I182">
            <v>0.10230769230769231</v>
          </cell>
          <cell r="J182">
            <v>1.023076923076923E-4</v>
          </cell>
          <cell r="K182">
            <v>407.81228992029565</v>
          </cell>
          <cell r="L182">
            <v>0.40781228992029567</v>
          </cell>
          <cell r="M182">
            <v>2673.4361228108273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144.50052549614188</v>
          </cell>
          <cell r="H183">
            <v>144.50052549614188</v>
          </cell>
          <cell r="I183">
            <v>0.55436627441746023</v>
          </cell>
          <cell r="J183">
            <v>0.55436627441746023</v>
          </cell>
          <cell r="K183">
            <v>26.109880518700677</v>
          </cell>
          <cell r="L183">
            <v>26.109880518700677</v>
          </cell>
          <cell r="M183">
            <v>171.16477228925999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111.52548780468058</v>
          </cell>
          <cell r="H184">
            <v>111.52548780468058</v>
          </cell>
          <cell r="I184">
            <v>0.40666289522222215</v>
          </cell>
          <cell r="J184">
            <v>0.40666289522222215</v>
          </cell>
          <cell r="K184">
            <v>20.147787125982504</v>
          </cell>
          <cell r="L184">
            <v>20.147787125982504</v>
          </cell>
          <cell r="M184">
            <v>132.07993782588531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  <cell r="H185" t="e">
            <v>#N/A</v>
          </cell>
          <cell r="I185" t="e">
            <v>#N/A</v>
          </cell>
          <cell r="J185" t="e">
            <v>#N/A</v>
          </cell>
          <cell r="K185" t="e">
            <v>#N/A</v>
          </cell>
          <cell r="L185" t="e">
            <v>#N/A</v>
          </cell>
          <cell r="M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  <cell r="H186" t="e">
            <v>#N/A</v>
          </cell>
          <cell r="I186" t="e">
            <v>#N/A</v>
          </cell>
          <cell r="J186" t="e">
            <v>#N/A</v>
          </cell>
          <cell r="K186" t="e">
            <v>#N/A</v>
          </cell>
          <cell r="L186" t="e">
            <v>#N/A</v>
          </cell>
          <cell r="M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 t="e">
            <v>#N/A</v>
          </cell>
          <cell r="H187" t="e">
            <v>#N/A</v>
          </cell>
          <cell r="I187">
            <v>1.5166800527773141</v>
          </cell>
          <cell r="J187">
            <v>1.5166800527773141</v>
          </cell>
          <cell r="K187" t="e">
            <v>#N/A</v>
          </cell>
          <cell r="L187" t="e">
            <v>#N/A</v>
          </cell>
          <cell r="M187" t="e">
            <v>#N/A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997.84031048166662</v>
          </cell>
          <cell r="H188">
            <v>0.99784031048166666</v>
          </cell>
          <cell r="I188">
            <v>22.453208930556613</v>
          </cell>
          <cell r="J188">
            <v>2.2453208930556613E-2</v>
          </cell>
          <cell r="K188">
            <v>183.65283349420017</v>
          </cell>
          <cell r="L188">
            <v>0.18365283349420017</v>
          </cell>
          <cell r="M188">
            <v>1203.9463529064233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16.767932805048304</v>
          </cell>
          <cell r="H189">
            <v>16.767932805048304</v>
          </cell>
          <cell r="I189">
            <v>7.7796470995010872E-2</v>
          </cell>
          <cell r="J189">
            <v>7.7796470995010872E-2</v>
          </cell>
          <cell r="K189">
            <v>3.0322312696877964</v>
          </cell>
          <cell r="L189">
            <v>3.0322312696877964</v>
          </cell>
          <cell r="M189">
            <v>19.87796054573111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803.80693049694366</v>
          </cell>
          <cell r="H190">
            <v>803.80693049694366</v>
          </cell>
          <cell r="I190">
            <v>33.95376423548236</v>
          </cell>
          <cell r="J190">
            <v>33.95376423548236</v>
          </cell>
          <cell r="K190">
            <v>150.79692505183667</v>
          </cell>
          <cell r="L190">
            <v>150.79692505183667</v>
          </cell>
          <cell r="M190">
            <v>988.55761978426267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26.956388523465243</v>
          </cell>
          <cell r="H191">
            <v>26.956388523465243</v>
          </cell>
          <cell r="I191">
            <v>0.21649974025974028</v>
          </cell>
          <cell r="J191">
            <v>0.21649974025974028</v>
          </cell>
          <cell r="K191">
            <v>4.8911198874704969</v>
          </cell>
          <cell r="L191">
            <v>4.8911198874704969</v>
          </cell>
          <cell r="M191">
            <v>32.06400815119548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12.339114991853155</v>
          </cell>
          <cell r="H192">
            <v>12.339114991853155</v>
          </cell>
          <cell r="I192">
            <v>0.12697977554383394</v>
          </cell>
          <cell r="J192">
            <v>0.12697977554383394</v>
          </cell>
          <cell r="K192">
            <v>2.2438970581314579</v>
          </cell>
          <cell r="L192">
            <v>2.2438970581314579</v>
          </cell>
          <cell r="M192">
            <v>14.709991825528446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 t="e">
            <v>#N/A</v>
          </cell>
          <cell r="H193" t="e">
            <v>#N/A</v>
          </cell>
          <cell r="I193">
            <v>0.33569126843211616</v>
          </cell>
          <cell r="J193">
            <v>0.33569126843211616</v>
          </cell>
          <cell r="K193" t="e">
            <v>#N/A</v>
          </cell>
          <cell r="L193" t="e">
            <v>#N/A</v>
          </cell>
          <cell r="M193" t="e">
            <v>#N/A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 t="e">
            <v>#N/A</v>
          </cell>
          <cell r="H194" t="e">
            <v>#N/A</v>
          </cell>
          <cell r="I194">
            <v>57.150962288575023</v>
          </cell>
          <cell r="J194">
            <v>5.7150962288575025E-2</v>
          </cell>
          <cell r="K194" t="e">
            <v>#N/A</v>
          </cell>
          <cell r="L194" t="e">
            <v>#N/A</v>
          </cell>
          <cell r="M194" t="e">
            <v>#N/A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740.98561274509814</v>
          </cell>
          <cell r="H195">
            <v>0.74098561274509811</v>
          </cell>
          <cell r="I195">
            <v>3.7321257391845619</v>
          </cell>
          <cell r="J195">
            <v>3.7321257391845618E-3</v>
          </cell>
          <cell r="K195">
            <v>134.04919292717088</v>
          </cell>
          <cell r="L195">
            <v>0.13404919292717088</v>
          </cell>
          <cell r="M195">
            <v>878.76693141145358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  <cell r="H196" t="e">
            <v>#N/A</v>
          </cell>
          <cell r="I196">
            <v>5.4408251182795695</v>
          </cell>
          <cell r="J196">
            <v>5.4408251182795691E-3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905.14360853967526</v>
          </cell>
          <cell r="H197">
            <v>0.90514360853967524</v>
          </cell>
          <cell r="I197">
            <v>4.3259851794509725</v>
          </cell>
          <cell r="J197">
            <v>4.3259851794509724E-3</v>
          </cell>
          <cell r="K197">
            <v>163.70452686944273</v>
          </cell>
          <cell r="L197">
            <v>0.16370452686944273</v>
          </cell>
          <cell r="M197">
            <v>1073.1741205885689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999.24600341917403</v>
          </cell>
          <cell r="H198">
            <v>0.99924600341917402</v>
          </cell>
          <cell r="I198">
            <v>3.6969354111111108</v>
          </cell>
          <cell r="J198">
            <v>3.6969354111111106E-3</v>
          </cell>
          <cell r="K198">
            <v>180.52972898945131</v>
          </cell>
          <cell r="L198">
            <v>0.18052972898945133</v>
          </cell>
          <cell r="M198">
            <v>1183.4726678197364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1713.8108114075935</v>
          </cell>
          <cell r="H199">
            <v>1.7138108114075936</v>
          </cell>
          <cell r="I199">
            <v>15.728764277690562</v>
          </cell>
          <cell r="J199">
            <v>1.5728764277690561E-2</v>
          </cell>
          <cell r="K199">
            <v>311.31712362335111</v>
          </cell>
          <cell r="L199">
            <v>0.31131712362335112</v>
          </cell>
          <cell r="M199">
            <v>2040.8566993086351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1497.5771401925135</v>
          </cell>
          <cell r="H200">
            <v>1.4975771401925135</v>
          </cell>
          <cell r="I200">
            <v>12.027763347763349</v>
          </cell>
          <cell r="J200">
            <v>1.202776334776335E-2</v>
          </cell>
          <cell r="K200">
            <v>271.7288826372498</v>
          </cell>
          <cell r="L200">
            <v>0.27172888263724981</v>
          </cell>
          <cell r="M200">
            <v>1781.3337861775267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1162.670165530672</v>
          </cell>
          <cell r="H201">
            <v>1.1626701655306719</v>
          </cell>
          <cell r="I201">
            <v>12.589646679546425</v>
          </cell>
          <cell r="J201">
            <v>1.2589646679546424E-2</v>
          </cell>
          <cell r="K201">
            <v>211.5467661978393</v>
          </cell>
          <cell r="L201">
            <v>0.2115467661978393</v>
          </cell>
          <cell r="M201">
            <v>1386.8065784080577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 t="e">
            <v>#N/A</v>
          </cell>
          <cell r="H202" t="e">
            <v>#N/A</v>
          </cell>
          <cell r="I202">
            <v>0.34434529830287874</v>
          </cell>
          <cell r="J202">
            <v>0.34434529830287874</v>
          </cell>
          <cell r="K202" t="e">
            <v>#N/A</v>
          </cell>
          <cell r="L202" t="e">
            <v>#N/A</v>
          </cell>
          <cell r="M202" t="e">
            <v>#N/A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67.73541405090738</v>
          </cell>
          <cell r="H203">
            <v>67.73541405090738</v>
          </cell>
          <cell r="I203">
            <v>0.5440157362193363</v>
          </cell>
          <cell r="J203">
            <v>0.5440157362193363</v>
          </cell>
          <cell r="K203">
            <v>12.290297361682809</v>
          </cell>
          <cell r="L203">
            <v>12.290297361682809</v>
          </cell>
          <cell r="M203">
            <v>80.56972714880952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1166.120085990176</v>
          </cell>
          <cell r="H204">
            <v>1.1661200859901759</v>
          </cell>
          <cell r="I204">
            <v>4.3143236247666659</v>
          </cell>
          <cell r="J204">
            <v>4.3143236247666656E-3</v>
          </cell>
          <cell r="K204">
            <v>210.67819373068969</v>
          </cell>
          <cell r="L204">
            <v>0.21067819373068969</v>
          </cell>
          <cell r="M204">
            <v>1381.1126033456324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27.377311628782707</v>
          </cell>
          <cell r="H205">
            <v>27.377311628782707</v>
          </cell>
          <cell r="I205">
            <v>0.1217359989443584</v>
          </cell>
          <cell r="J205">
            <v>0.1217359989443584</v>
          </cell>
          <cell r="K205">
            <v>4.9498285729908718</v>
          </cell>
          <cell r="L205">
            <v>4.9498285729908718</v>
          </cell>
          <cell r="M205">
            <v>32.44887620071794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1016.3468800403227</v>
          </cell>
          <cell r="H207">
            <v>1.0163468800403228</v>
          </cell>
          <cell r="I207">
            <v>8.7576164874551967</v>
          </cell>
          <cell r="J207">
            <v>8.7576164874551971E-3</v>
          </cell>
          <cell r="K207">
            <v>184.51880937500002</v>
          </cell>
          <cell r="L207">
            <v>0.18451880937500001</v>
          </cell>
          <cell r="M207">
            <v>1209.6233059027779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4832.2</v>
          </cell>
          <cell r="H208">
            <v>4.8321999999999994</v>
          </cell>
          <cell r="I208">
            <v>46.743326679973386</v>
          </cell>
          <cell r="J208">
            <v>4.6743326679973385E-2</v>
          </cell>
          <cell r="K208">
            <v>878.2097988023952</v>
          </cell>
          <cell r="L208">
            <v>0.87820979880239525</v>
          </cell>
          <cell r="M208">
            <v>5757.1531254823685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4832.2</v>
          </cell>
          <cell r="H209">
            <v>4.8321999999999994</v>
          </cell>
          <cell r="I209">
            <v>80.407185628742525</v>
          </cell>
          <cell r="J209">
            <v>8.0407185628742522E-2</v>
          </cell>
          <cell r="K209">
            <v>884.26929341317361</v>
          </cell>
          <cell r="L209">
            <v>0.88426929341317362</v>
          </cell>
          <cell r="M209">
            <v>5796.8764790419164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36849.300000000003</v>
          </cell>
          <cell r="H210">
            <v>36.849299999999999</v>
          </cell>
          <cell r="I210">
            <v>70.051111111111112</v>
          </cell>
          <cell r="J210">
            <v>7.0051111111111106E-2</v>
          </cell>
          <cell r="K210">
            <v>6645.4832000000006</v>
          </cell>
          <cell r="L210">
            <v>6.6454832000000001</v>
          </cell>
          <cell r="M210">
            <v>43564.834311111117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36849.300000000003</v>
          </cell>
          <cell r="H211">
            <v>36.849299999999999</v>
          </cell>
          <cell r="I211">
            <v>128.88888888888889</v>
          </cell>
          <cell r="J211">
            <v>0.12888888888888889</v>
          </cell>
          <cell r="K211">
            <v>6656.0740000000005</v>
          </cell>
          <cell r="L211">
            <v>6.6560740000000003</v>
          </cell>
          <cell r="M211">
            <v>43634.262888888894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4832.2</v>
          </cell>
          <cell r="H212">
            <v>4.8321999999999994</v>
          </cell>
          <cell r="I212">
            <v>101.67844311377246</v>
          </cell>
          <cell r="J212">
            <v>0.10167844311377246</v>
          </cell>
          <cell r="K212">
            <v>888.09811976047888</v>
          </cell>
          <cell r="L212">
            <v>0.88809811976047892</v>
          </cell>
          <cell r="M212">
            <v>5821.9765628742507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840.9832219860308</v>
          </cell>
          <cell r="H213">
            <v>0.84098322198603082</v>
          </cell>
          <cell r="I213">
            <v>5.4569818614762422</v>
          </cell>
          <cell r="J213">
            <v>5.4569818614762424E-3</v>
          </cell>
          <cell r="K213">
            <v>152.35923669255126</v>
          </cell>
          <cell r="L213">
            <v>0.15235923669255128</v>
          </cell>
          <cell r="M213">
            <v>998.7994405400583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668.39243967828406</v>
          </cell>
          <cell r="H214">
            <v>0.6683924396782841</v>
          </cell>
          <cell r="I214">
            <v>4.0823252053278862</v>
          </cell>
          <cell r="J214">
            <v>4.0823252053278861E-3</v>
          </cell>
          <cell r="K214">
            <v>121.04545767905013</v>
          </cell>
          <cell r="L214">
            <v>0.12104545767905013</v>
          </cell>
          <cell r="M214">
            <v>793.52022256266207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  <cell r="H215">
            <v>1.9838753484667464</v>
          </cell>
          <cell r="I215" t="e">
            <v>#N/A</v>
          </cell>
          <cell r="J215" t="e">
            <v>#N/A</v>
          </cell>
          <cell r="K215" t="e">
            <v>#N/A</v>
          </cell>
          <cell r="L215" t="e">
            <v>#N/A</v>
          </cell>
          <cell r="M215" t="e">
            <v>#N/A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520.89396127338364</v>
          </cell>
          <cell r="H216">
            <v>0.52089396127338361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36849.300000000003</v>
          </cell>
          <cell r="H217">
            <v>36.849299999999999</v>
          </cell>
          <cell r="I217">
            <v>59.669111111111114</v>
          </cell>
          <cell r="J217">
            <v>5.9669111111111117E-2</v>
          </cell>
          <cell r="K217">
            <v>6643.6144400000012</v>
          </cell>
          <cell r="L217">
            <v>6.6436144400000012</v>
          </cell>
          <cell r="M217">
            <v>43552.583551111122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1584.5175534580674</v>
          </cell>
          <cell r="H218">
            <v>1.5845175534580673</v>
          </cell>
          <cell r="I218">
            <v>0.71130507885714289</v>
          </cell>
          <cell r="J218">
            <v>7.113050788571429E-4</v>
          </cell>
          <cell r="K218">
            <v>285.34119453664641</v>
          </cell>
          <cell r="L218">
            <v>0.28534119453664641</v>
          </cell>
          <cell r="M218">
            <v>1870.5700530735708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2567.4679569078726</v>
          </cell>
          <cell r="H219">
            <v>2.5674679569078727</v>
          </cell>
          <cell r="I219">
            <v>1.6634562011900926</v>
          </cell>
          <cell r="J219">
            <v>1.6634562011900926E-3</v>
          </cell>
          <cell r="K219">
            <v>462.44365435963124</v>
          </cell>
          <cell r="L219">
            <v>0.46244365435963125</v>
          </cell>
          <cell r="M219">
            <v>3031.5750674686938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2159.8806190476193</v>
          </cell>
          <cell r="H220">
            <v>2.1598806190476192</v>
          </cell>
          <cell r="I220">
            <v>2.726E-2</v>
          </cell>
          <cell r="J220">
            <v>2.726E-5</v>
          </cell>
          <cell r="K220">
            <v>388.78341822857146</v>
          </cell>
          <cell r="L220">
            <v>0.38878341822857149</v>
          </cell>
          <cell r="M220">
            <v>2548.6912972761907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 t="e">
            <v>#N/A</v>
          </cell>
          <cell r="H221" t="e">
            <v>#N/A</v>
          </cell>
          <cell r="I221">
            <v>0</v>
          </cell>
          <cell r="J221">
            <v>0</v>
          </cell>
          <cell r="K221" t="e">
            <v>#N/A</v>
          </cell>
          <cell r="L221" t="e">
            <v>#N/A</v>
          </cell>
          <cell r="M221" t="e">
            <v>#N/A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1514.6200090240352</v>
          </cell>
          <cell r="H222">
            <v>1.5146200090240352</v>
          </cell>
          <cell r="I222">
            <v>8.4094605205120843</v>
          </cell>
          <cell r="J222">
            <v>8.4094605205120836E-3</v>
          </cell>
          <cell r="K222">
            <v>274.14530451801852</v>
          </cell>
          <cell r="L222">
            <v>0.2741453045180185</v>
          </cell>
          <cell r="M222">
            <v>1797.1747740625658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2414.4846485637981</v>
          </cell>
          <cell r="H223">
            <v>2.4144846485637981</v>
          </cell>
          <cell r="I223">
            <v>13.655693888382729</v>
          </cell>
          <cell r="J223">
            <v>1.3655693888382728E-2</v>
          </cell>
          <cell r="K223">
            <v>437.06526164139257</v>
          </cell>
          <cell r="L223">
            <v>0.43706526164139259</v>
          </cell>
          <cell r="M223">
            <v>2865.2056040935736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767.96296296296669</v>
          </cell>
          <cell r="H224">
            <v>0.76796296296296673</v>
          </cell>
          <cell r="I224">
            <v>0</v>
          </cell>
          <cell r="J224">
            <v>0</v>
          </cell>
          <cell r="K224">
            <v>138.233333333334</v>
          </cell>
          <cell r="L224">
            <v>0.13823333333333401</v>
          </cell>
          <cell r="M224">
            <v>906.19629629630072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  <cell r="H225">
            <v>2.2286899999999994</v>
          </cell>
          <cell r="I225">
            <v>28.8</v>
          </cell>
          <cell r="J225">
            <v>2.8799999999999999E-2</v>
          </cell>
          <cell r="K225">
            <v>406.34819999999996</v>
          </cell>
          <cell r="L225">
            <v>0.40634819999999994</v>
          </cell>
          <cell r="M225">
            <v>2663.8381999999997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2377.9198265100667</v>
          </cell>
          <cell r="H226">
            <v>2.3779198265100669</v>
          </cell>
          <cell r="I226">
            <v>40.795901125</v>
          </cell>
          <cell r="J226">
            <v>4.0795901124999999E-2</v>
          </cell>
          <cell r="K226">
            <v>435.368830974312</v>
          </cell>
          <cell r="L226">
            <v>0.435368830974312</v>
          </cell>
          <cell r="M226">
            <v>2854.0845586093787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 t="e">
            <v>#N/A</v>
          </cell>
          <cell r="H227" t="e">
            <v>#N/A</v>
          </cell>
          <cell r="I227">
            <v>0</v>
          </cell>
          <cell r="J227">
            <v>0</v>
          </cell>
          <cell r="K227" t="e">
            <v>#N/A</v>
          </cell>
          <cell r="L227" t="e">
            <v>#N/A</v>
          </cell>
          <cell r="M227" t="e">
            <v>#N/A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6083.292181069959</v>
          </cell>
          <cell r="H228">
            <v>6.0832921810699592</v>
          </cell>
          <cell r="I228">
            <v>19.604444444444443</v>
          </cell>
          <cell r="J228">
            <v>1.9604444444444442E-2</v>
          </cell>
          <cell r="K228">
            <v>1098.5213925925925</v>
          </cell>
          <cell r="L228">
            <v>1.0985213925925925</v>
          </cell>
          <cell r="M228">
            <v>7201.418018106996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2143.1416666666687</v>
          </cell>
          <cell r="H229">
            <v>2.1431416666666685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1332.6454867609734</v>
          </cell>
          <cell r="H230">
            <v>1.3326454867609734</v>
          </cell>
          <cell r="I230">
            <v>5.5856104008888892</v>
          </cell>
          <cell r="J230">
            <v>5.5856104008888893E-3</v>
          </cell>
          <cell r="K230">
            <v>240.88159748913523</v>
          </cell>
          <cell r="L230">
            <v>0.24088159748913524</v>
          </cell>
          <cell r="M230">
            <v>1579.1126946509976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760.28333333333705</v>
          </cell>
          <cell r="H231">
            <v>0.76028333333333709</v>
          </cell>
          <cell r="I231">
            <v>14.4</v>
          </cell>
          <cell r="J231">
            <v>1.44E-2</v>
          </cell>
          <cell r="K231">
            <v>139.44300000000067</v>
          </cell>
          <cell r="L231">
            <v>0.13944300000000068</v>
          </cell>
          <cell r="M231">
            <v>914.1263333333377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1685.1157981122606</v>
          </cell>
          <cell r="H232">
            <v>1.6851157981122606</v>
          </cell>
          <cell r="I232">
            <v>1.9418745709714287</v>
          </cell>
          <cell r="J232">
            <v>1.9418745709714287E-3</v>
          </cell>
          <cell r="K232">
            <v>303.67038108298175</v>
          </cell>
          <cell r="L232">
            <v>0.30367038108298172</v>
          </cell>
          <cell r="M232">
            <v>1990.7280537662136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2022.544683508148</v>
          </cell>
          <cell r="H233">
            <v>2022.544683508148</v>
          </cell>
          <cell r="I233">
            <v>2.3545150877192977</v>
          </cell>
          <cell r="J233">
            <v>2.3545150877192977</v>
          </cell>
          <cell r="K233">
            <v>364.48185574725613</v>
          </cell>
          <cell r="L233">
            <v>364.48185574725613</v>
          </cell>
          <cell r="M233">
            <v>2389.3810543431237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 t="e">
            <v>#N/A</v>
          </cell>
          <cell r="H234" t="e">
            <v>#N/A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 t="e">
            <v>#N/A</v>
          </cell>
          <cell r="H235" t="e">
            <v>#N/A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 t="e">
            <v>#N/A</v>
          </cell>
          <cell r="H236" t="e">
            <v>#N/A</v>
          </cell>
          <cell r="I236">
            <v>0.34120813598811178</v>
          </cell>
          <cell r="J236">
            <v>0.34120813598811178</v>
          </cell>
          <cell r="K236" t="e">
            <v>#N/A</v>
          </cell>
          <cell r="L236" t="e">
            <v>#N/A</v>
          </cell>
          <cell r="M236" t="e">
            <v>#N/A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693.85539150015904</v>
          </cell>
          <cell r="H237">
            <v>693.85539150015904</v>
          </cell>
          <cell r="I237">
            <v>0.31743146271776834</v>
          </cell>
          <cell r="J237">
            <v>0.31743146271776834</v>
          </cell>
          <cell r="K237">
            <v>124.95110813331782</v>
          </cell>
          <cell r="L237">
            <v>124.95110813331782</v>
          </cell>
          <cell r="M237">
            <v>819.12393109619461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1775.2914151055961</v>
          </cell>
          <cell r="H238">
            <v>1.7752914151055961</v>
          </cell>
          <cell r="I238">
            <v>0.14222107509119691</v>
          </cell>
          <cell r="J238">
            <v>1.4222107509119692E-4</v>
          </cell>
          <cell r="K238">
            <v>319.57805451252369</v>
          </cell>
          <cell r="L238">
            <v>0.31957805451252369</v>
          </cell>
          <cell r="M238">
            <v>2095.0116906932108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93.948010194957803</v>
          </cell>
          <cell r="H239">
            <v>93.948010194957803</v>
          </cell>
          <cell r="I239">
            <v>1.0371898994954427</v>
          </cell>
          <cell r="J239">
            <v>1.0371898994954427</v>
          </cell>
          <cell r="K239">
            <v>17.097336017001584</v>
          </cell>
          <cell r="L239">
            <v>17.097336017001584</v>
          </cell>
          <cell r="M239">
            <v>112.08253611145483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 t="e">
            <v>#N/A</v>
          </cell>
          <cell r="H240" t="e">
            <v>#N/A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400.64746312159599</v>
          </cell>
          <cell r="H241">
            <v>400.64746312159599</v>
          </cell>
          <cell r="I241">
            <v>2.413001221882741</v>
          </cell>
          <cell r="J241">
            <v>2.413001221882741</v>
          </cell>
          <cell r="K241">
            <v>72.55088358182617</v>
          </cell>
          <cell r="L241">
            <v>72.55088358182617</v>
          </cell>
          <cell r="M241">
            <v>475.61134792530487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1165.3940656293485</v>
          </cell>
          <cell r="H242">
            <v>1.1653940656293484</v>
          </cell>
          <cell r="I242">
            <v>0.23171102955379566</v>
          </cell>
          <cell r="J242">
            <v>2.3171102955379567E-4</v>
          </cell>
          <cell r="K242">
            <v>209.81263979860239</v>
          </cell>
          <cell r="L242">
            <v>0.2098126397986024</v>
          </cell>
          <cell r="M242">
            <v>1375.4384164575044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 t="e">
            <v>#N/A</v>
          </cell>
          <cell r="H243" t="e">
            <v>#N/A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  <cell r="M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1176.8303952846395</v>
          </cell>
          <cell r="H244">
            <v>1.1768303952846395</v>
          </cell>
          <cell r="I244">
            <v>0.69990377084032673</v>
          </cell>
          <cell r="J244">
            <v>6.9990377084032677E-4</v>
          </cell>
          <cell r="K244">
            <v>211.95545382998637</v>
          </cell>
          <cell r="L244">
            <v>0.21195545382998637</v>
          </cell>
          <cell r="M244">
            <v>1389.4857528854664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401.2539371408518</v>
          </cell>
          <cell r="H245">
            <v>401.2539371408518</v>
          </cell>
          <cell r="I245">
            <v>2.3620542744883037</v>
          </cell>
          <cell r="J245">
            <v>2.3620542744883037</v>
          </cell>
          <cell r="K245">
            <v>72.650878454761212</v>
          </cell>
          <cell r="L245">
            <v>72.650878454761212</v>
          </cell>
          <cell r="M245">
            <v>476.26686987010129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 t="e">
            <v>#N/A</v>
          </cell>
          <cell r="H246" t="e">
            <v>#N/A</v>
          </cell>
          <cell r="I246">
            <v>8.0740740740740744</v>
          </cell>
          <cell r="J246">
            <v>8.0740740740740738E-3</v>
          </cell>
          <cell r="K246" t="e">
            <v>#N/A</v>
          </cell>
          <cell r="L246" t="e">
            <v>#N/A</v>
          </cell>
          <cell r="M246" t="e">
            <v>#N/A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2100.8284374999998</v>
          </cell>
          <cell r="H247">
            <v>2.1008284374999997</v>
          </cell>
          <cell r="I247">
            <v>0.11187958333333334</v>
          </cell>
          <cell r="J247">
            <v>1.1187958333333334E-4</v>
          </cell>
          <cell r="K247">
            <v>378.1692570749999</v>
          </cell>
          <cell r="L247">
            <v>0.37816925707499993</v>
          </cell>
          <cell r="M247">
            <v>2479.1095741583331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1454.6703203459506</v>
          </cell>
          <cell r="H248">
            <v>1.4546703203459506</v>
          </cell>
          <cell r="I248">
            <v>1.8476740613620986</v>
          </cell>
          <cell r="J248">
            <v>1.8476740613620984E-3</v>
          </cell>
          <cell r="K248">
            <v>262.17323899331626</v>
          </cell>
          <cell r="L248">
            <v>0.26217323899331624</v>
          </cell>
          <cell r="M248">
            <v>1718.691233400629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1761.7446738581755</v>
          </cell>
          <cell r="H249">
            <v>1761.7446738581755</v>
          </cell>
          <cell r="I249">
            <v>13.927790103373713</v>
          </cell>
          <cell r="J249">
            <v>13.927790103373713</v>
          </cell>
          <cell r="K249">
            <v>319.62104351307886</v>
          </cell>
          <cell r="L249">
            <v>319.62104351307886</v>
          </cell>
          <cell r="M249">
            <v>2095.2935074746283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464.14579245690425</v>
          </cell>
          <cell r="H250">
            <v>464.14579245690425</v>
          </cell>
          <cell r="I250">
            <v>4.1119916801932366</v>
          </cell>
          <cell r="J250">
            <v>4.1119916801932366</v>
          </cell>
          <cell r="K250">
            <v>84.286401144677541</v>
          </cell>
          <cell r="L250">
            <v>84.286401144677541</v>
          </cell>
          <cell r="M250">
            <v>552.54418528177507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1317.0230253869968</v>
          </cell>
          <cell r="H251">
            <v>1.3170230253869968</v>
          </cell>
          <cell r="I251">
            <v>0.28362934131736528</v>
          </cell>
          <cell r="J251">
            <v>2.836293413173653E-4</v>
          </cell>
          <cell r="K251">
            <v>237.11519785109655</v>
          </cell>
          <cell r="L251">
            <v>0.23711519785109655</v>
          </cell>
          <cell r="M251">
            <v>1554.4218525794108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3209.0979677777782</v>
          </cell>
          <cell r="H252">
            <v>3.2090979677777782</v>
          </cell>
          <cell r="I252">
            <v>0</v>
          </cell>
          <cell r="J252">
            <v>0</v>
          </cell>
          <cell r="K252">
            <v>577.63763420000009</v>
          </cell>
          <cell r="L252">
            <v>0.57763763420000014</v>
          </cell>
          <cell r="M252">
            <v>3786.7356019777781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1405.1066261461251</v>
          </cell>
          <cell r="H253">
            <v>1405.1066261461251</v>
          </cell>
          <cell r="I253">
            <v>53.487031746031747</v>
          </cell>
          <cell r="J253">
            <v>53.487031746031747</v>
          </cell>
          <cell r="K253">
            <v>262.54685842058825</v>
          </cell>
          <cell r="L253">
            <v>262.54685842058825</v>
          </cell>
          <cell r="M253">
            <v>1721.1405163127451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4614.2045939239033</v>
          </cell>
          <cell r="H254">
            <v>4614.2045939239033</v>
          </cell>
          <cell r="I254">
            <v>53.487031746031747</v>
          </cell>
          <cell r="J254">
            <v>53.487031746031747</v>
          </cell>
          <cell r="K254">
            <v>840.18449262058823</v>
          </cell>
          <cell r="L254">
            <v>840.18449262058823</v>
          </cell>
          <cell r="M254">
            <v>5507.8761182905237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1624.3127668845314</v>
          </cell>
          <cell r="H255">
            <v>1.6243127668845314</v>
          </cell>
          <cell r="I255">
            <v>6.4479647266313922</v>
          </cell>
          <cell r="J255">
            <v>6.4479647266313918E-3</v>
          </cell>
          <cell r="K255">
            <v>293.53693169000928</v>
          </cell>
          <cell r="L255">
            <v>0.29353693169000927</v>
          </cell>
          <cell r="M255">
            <v>1924.2976633011722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3314.9748148148142</v>
          </cell>
          <cell r="H256">
            <v>3314.9748148148142</v>
          </cell>
          <cell r="I256">
            <v>55.797164021164015</v>
          </cell>
          <cell r="J256">
            <v>55.797164021164015</v>
          </cell>
          <cell r="K256">
            <v>606.73895619047607</v>
          </cell>
          <cell r="L256">
            <v>606.73895619047607</v>
          </cell>
          <cell r="M256">
            <v>3977.5109350264543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720.21510811569783</v>
          </cell>
          <cell r="H257">
            <v>0.72021510811569778</v>
          </cell>
          <cell r="I257">
            <v>9.777874058918707</v>
          </cell>
          <cell r="J257">
            <v>9.7778740589187074E-3</v>
          </cell>
          <cell r="K257">
            <v>131.39873679143096</v>
          </cell>
          <cell r="L257">
            <v>0.13139873679143096</v>
          </cell>
          <cell r="M257">
            <v>861.39171896604739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1191.8768608695655</v>
          </cell>
          <cell r="H258">
            <v>1.1918768608695656</v>
          </cell>
          <cell r="I258">
            <v>6.2503795721187032</v>
          </cell>
          <cell r="J258">
            <v>6.2503795721187035E-3</v>
          </cell>
          <cell r="K258">
            <v>215.66290327950313</v>
          </cell>
          <cell r="L258">
            <v>0.21566290327950313</v>
          </cell>
          <cell r="M258">
            <v>1413.7901437211872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1145.9897407060139</v>
          </cell>
          <cell r="H259">
            <v>1145.9897407060139</v>
          </cell>
          <cell r="I259">
            <v>12.289209821759259</v>
          </cell>
          <cell r="J259">
            <v>12.289209821759259</v>
          </cell>
          <cell r="K259">
            <v>208.49021109499915</v>
          </cell>
          <cell r="L259">
            <v>208.49021109499915</v>
          </cell>
          <cell r="M259">
            <v>1366.7691616227721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780.83779990156552</v>
          </cell>
          <cell r="H260">
            <v>780.83779990156552</v>
          </cell>
          <cell r="I260">
            <v>4.0899089745657715</v>
          </cell>
          <cell r="J260">
            <v>4.0899089745657715</v>
          </cell>
          <cell r="K260">
            <v>141.28698759770364</v>
          </cell>
          <cell r="L260">
            <v>141.28698759770364</v>
          </cell>
          <cell r="M260">
            <v>926.21469647383492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288.45833318040911</v>
          </cell>
          <cell r="H261">
            <v>288.45833318040911</v>
          </cell>
          <cell r="I261">
            <v>0.19929133611111111</v>
          </cell>
          <cell r="J261">
            <v>0.19929133611111111</v>
          </cell>
          <cell r="K261">
            <v>51.958372412973638</v>
          </cell>
          <cell r="L261">
            <v>51.958372412973638</v>
          </cell>
          <cell r="M261">
            <v>340.61599692949386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693.85539150015904</v>
          </cell>
          <cell r="H262">
            <v>693.85539150015904</v>
          </cell>
          <cell r="I262">
            <v>4.2497740517145326</v>
          </cell>
          <cell r="J262">
            <v>4.2497740517145326</v>
          </cell>
          <cell r="K262">
            <v>125.65892979933724</v>
          </cell>
          <cell r="L262">
            <v>125.65892979933724</v>
          </cell>
          <cell r="M262">
            <v>823.76409535121081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512.18028737203167</v>
          </cell>
          <cell r="H263">
            <v>512.18028737203167</v>
          </cell>
          <cell r="I263">
            <v>4.6229261065656564</v>
          </cell>
          <cell r="J263">
            <v>4.6229261065656564</v>
          </cell>
          <cell r="K263">
            <v>93.024578426147514</v>
          </cell>
          <cell r="L263">
            <v>93.024578426147514</v>
          </cell>
          <cell r="M263">
            <v>609.8277919047448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859.44281709779852</v>
          </cell>
          <cell r="H264">
            <v>859.44281709779852</v>
          </cell>
          <cell r="I264">
            <v>9.4910312433786501</v>
          </cell>
          <cell r="J264">
            <v>9.4910312433786501</v>
          </cell>
          <cell r="K264">
            <v>164.72994550141189</v>
          </cell>
          <cell r="L264">
            <v>164.72994550141189</v>
          </cell>
          <cell r="M264">
            <v>1033.663793842589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817.9127882849981</v>
          </cell>
          <cell r="H265">
            <v>817.9127882849981</v>
          </cell>
          <cell r="I265">
            <v>11.00817046629021</v>
          </cell>
          <cell r="J265">
            <v>11.00817046629021</v>
          </cell>
          <cell r="K265">
            <v>149.20577257523189</v>
          </cell>
          <cell r="L265">
            <v>149.20577257523189</v>
          </cell>
          <cell r="M265">
            <v>978.12673132652014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 t="e">
            <v>#N/A</v>
          </cell>
          <cell r="H266" t="e">
            <v>#N/A</v>
          </cell>
          <cell r="I266">
            <v>18.889303937374084</v>
          </cell>
          <cell r="J266">
            <v>1.8889303937374084E-2</v>
          </cell>
          <cell r="K266" t="e">
            <v>#N/A</v>
          </cell>
          <cell r="L266" t="e">
            <v>#N/A</v>
          </cell>
          <cell r="M266" t="e">
            <v>#N/A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1144.8486996278932</v>
          </cell>
          <cell r="H267">
            <v>1.1448486996278933</v>
          </cell>
          <cell r="I267">
            <v>24.209029749999999</v>
          </cell>
          <cell r="J267">
            <v>2.420902975E-2</v>
          </cell>
          <cell r="K267">
            <v>210.43039128802076</v>
          </cell>
          <cell r="L267">
            <v>0.21043039128802077</v>
          </cell>
          <cell r="M267">
            <v>1379.4881206659138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4415.6645844155837</v>
          </cell>
          <cell r="H268">
            <v>4.415664584415584</v>
          </cell>
          <cell r="I268">
            <v>69.294155844155839</v>
          </cell>
          <cell r="J268">
            <v>6.9294155844155839E-2</v>
          </cell>
          <cell r="K268">
            <v>807.29257324675314</v>
          </cell>
          <cell r="L268">
            <v>0.80729257324675319</v>
          </cell>
          <cell r="M268">
            <v>5292.2513135064928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  <cell r="H270" t="e">
            <v>#N/A</v>
          </cell>
          <cell r="I270">
            <v>0</v>
          </cell>
          <cell r="J270">
            <v>0</v>
          </cell>
          <cell r="K270" t="e">
            <v>#N/A</v>
          </cell>
          <cell r="L270" t="e">
            <v>#N/A</v>
          </cell>
          <cell r="M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11305.000000000002</v>
          </cell>
          <cell r="H271">
            <v>11.305000000000001</v>
          </cell>
          <cell r="I271">
            <v>9.7624471200781002</v>
          </cell>
          <cell r="J271">
            <v>9.7624471200781007E-3</v>
          </cell>
          <cell r="K271">
            <v>2036.6572404816143</v>
          </cell>
          <cell r="L271">
            <v>2.0366572404816141</v>
          </cell>
          <cell r="M271">
            <v>13351.419687601694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3043.1618998047697</v>
          </cell>
          <cell r="H272">
            <v>3.0431618998047698</v>
          </cell>
          <cell r="I272">
            <v>27.717662337662336</v>
          </cell>
          <cell r="J272">
            <v>2.7717662337662336E-2</v>
          </cell>
          <cell r="K272">
            <v>552.75832118563778</v>
          </cell>
          <cell r="L272">
            <v>0.55275832118563784</v>
          </cell>
          <cell r="M272">
            <v>3623.6378833280696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  <cell r="H274" t="e">
            <v>#N/A</v>
          </cell>
          <cell r="I274">
            <v>0</v>
          </cell>
          <cell r="J274">
            <v>0</v>
          </cell>
          <cell r="K274" t="e">
            <v>#N/A</v>
          </cell>
          <cell r="L274" t="e">
            <v>#N/A</v>
          </cell>
          <cell r="M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 t="e">
            <v>#N/A</v>
          </cell>
          <cell r="H275" t="e">
            <v>#N/A</v>
          </cell>
          <cell r="I275">
            <v>4.2018332373068104</v>
          </cell>
          <cell r="J275">
            <v>4.2018332373068099E-3</v>
          </cell>
          <cell r="K275" t="e">
            <v>#N/A</v>
          </cell>
          <cell r="L275" t="e">
            <v>#N/A</v>
          </cell>
          <cell r="M275" t="e">
            <v>#N/A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 t="e">
            <v>#N/A</v>
          </cell>
          <cell r="H276" t="e">
            <v>#N/A</v>
          </cell>
          <cell r="I276">
            <v>7.5766229999999997</v>
          </cell>
          <cell r="J276">
            <v>7.5766229999999993E-3</v>
          </cell>
          <cell r="K276" t="e">
            <v>#N/A</v>
          </cell>
          <cell r="L276" t="e">
            <v>#N/A</v>
          </cell>
          <cell r="M276" t="e">
            <v>#N/A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2072.1321550960447</v>
          </cell>
          <cell r="H277">
            <v>2.0721321550960448</v>
          </cell>
          <cell r="I277">
            <v>6.162360141176471</v>
          </cell>
          <cell r="J277">
            <v>6.1623601411764711E-3</v>
          </cell>
          <cell r="K277">
            <v>374.09301274269984</v>
          </cell>
          <cell r="L277">
            <v>0.37409301274269985</v>
          </cell>
          <cell r="M277">
            <v>2452.3875279799213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  <cell r="H278">
            <v>1.4888891322600664</v>
          </cell>
          <cell r="I278">
            <v>0</v>
          </cell>
          <cell r="J278">
            <v>0</v>
          </cell>
          <cell r="K278">
            <v>268.00004380681196</v>
          </cell>
          <cell r="L278">
            <v>0.26800004380681197</v>
          </cell>
          <cell r="M278">
            <v>1756.8891760668785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3285.2886400122547</v>
          </cell>
          <cell r="H279">
            <v>3.2852886400122547</v>
          </cell>
          <cell r="I279">
            <v>61.755208333333336</v>
          </cell>
          <cell r="J279">
            <v>6.1755208333333339E-2</v>
          </cell>
          <cell r="K279">
            <v>602.46789270220586</v>
          </cell>
          <cell r="L279">
            <v>0.60246789270220591</v>
          </cell>
          <cell r="M279">
            <v>3949.5117410477942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7.4478713339640494</v>
          </cell>
          <cell r="J281">
            <v>7.4478713339640491E-3</v>
          </cell>
          <cell r="K281">
            <v>218.98415988647113</v>
          </cell>
          <cell r="L281">
            <v>0.21898415988647113</v>
          </cell>
          <cell r="M281">
            <v>1435.562825922422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26.54144301883904</v>
          </cell>
          <cell r="J282">
            <v>2.6541443018839039E-2</v>
          </cell>
          <cell r="K282">
            <v>171.23670675339099</v>
          </cell>
          <cell r="L282">
            <v>0.17123670675339098</v>
          </cell>
          <cell r="M282">
            <v>1122.5517442722298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0.34061191626409021</v>
          </cell>
          <cell r="J283">
            <v>3.406119162640902E-4</v>
          </cell>
          <cell r="K283">
            <v>332.74826666666667</v>
          </cell>
          <cell r="L283">
            <v>0.33274826666666668</v>
          </cell>
          <cell r="M283">
            <v>2181.3497481481481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3907.7343217014168</v>
          </cell>
          <cell r="H284">
            <v>3.9077343217014167</v>
          </cell>
          <cell r="I284" t="e">
            <v>#N/A</v>
          </cell>
          <cell r="J284" t="e">
            <v>#N/A</v>
          </cell>
          <cell r="K284" t="e">
            <v>#N/A</v>
          </cell>
          <cell r="L284" t="e">
            <v>#N/A</v>
          </cell>
          <cell r="M284" t="e">
            <v>#N/A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3642.2604422604422</v>
          </cell>
          <cell r="H285">
            <v>3.6422604422604423</v>
          </cell>
          <cell r="I285">
            <v>1.4250614250614248E-2</v>
          </cell>
          <cell r="J285">
            <v>1.4250614250614247E-5</v>
          </cell>
          <cell r="K285">
            <v>655.60944471744472</v>
          </cell>
          <cell r="L285">
            <v>0.65560944471744476</v>
          </cell>
          <cell r="M285">
            <v>4297.8841375921374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  <cell r="H286">
            <v>0.42053139764999997</v>
          </cell>
          <cell r="I286">
            <v>4.3986304999999994</v>
          </cell>
          <cell r="J286">
            <v>4.3986304999999995E-3</v>
          </cell>
          <cell r="K286">
            <v>76.487405066999997</v>
          </cell>
          <cell r="L286">
            <v>7.6487405066999997E-2</v>
          </cell>
          <cell r="M286">
            <v>501.417433217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 t="e">
            <v>#N/A</v>
          </cell>
          <cell r="H287" t="e">
            <v>#N/A</v>
          </cell>
          <cell r="I287">
            <v>0</v>
          </cell>
          <cell r="J287">
            <v>0</v>
          </cell>
          <cell r="K287" t="e">
            <v>#N/A</v>
          </cell>
          <cell r="L287" t="e">
            <v>#N/A</v>
          </cell>
          <cell r="M287" t="e">
            <v>#N/A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2948.3681112894592</v>
          </cell>
          <cell r="H288">
            <v>2.9483681112894593</v>
          </cell>
          <cell r="I288">
            <v>0</v>
          </cell>
          <cell r="J288">
            <v>0</v>
          </cell>
          <cell r="K288">
            <v>530.70626003210259</v>
          </cell>
          <cell r="L288">
            <v>0.53070626003210264</v>
          </cell>
          <cell r="M288">
            <v>3479.0743713215616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5201.5249999999987</v>
          </cell>
          <cell r="H289">
            <v>5.2015249999999984</v>
          </cell>
          <cell r="I289">
            <v>16.938571428571429</v>
          </cell>
          <cell r="J289">
            <v>1.6938571428571428E-2</v>
          </cell>
          <cell r="K289">
            <v>939.32344285714271</v>
          </cell>
          <cell r="L289">
            <v>0.93932344285714275</v>
          </cell>
          <cell r="M289">
            <v>6157.7870142857137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3475.9521695562444</v>
          </cell>
          <cell r="H290">
            <v>3.4759521695562445</v>
          </cell>
          <cell r="I290">
            <v>62.405263157894737</v>
          </cell>
          <cell r="J290">
            <v>6.2405263157894734E-2</v>
          </cell>
          <cell r="K290">
            <v>636.904337888545</v>
          </cell>
          <cell r="L290">
            <v>0.63690433788854495</v>
          </cell>
          <cell r="M290">
            <v>4175.261770602684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11528.991841491841</v>
          </cell>
          <cell r="H291">
            <v>11.528991841491841</v>
          </cell>
          <cell r="I291">
            <v>4.2134032634032632</v>
          </cell>
          <cell r="J291">
            <v>4.2134032634032629E-3</v>
          </cell>
          <cell r="K291">
            <v>2075.9769440559439</v>
          </cell>
          <cell r="L291">
            <v>2.0759769440559439</v>
          </cell>
          <cell r="M291">
            <v>13609.182188811188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 t="e">
            <v>#N/A</v>
          </cell>
          <cell r="H292" t="e">
            <v>#N/A</v>
          </cell>
          <cell r="I292">
            <v>2.4103333333333338E-2</v>
          </cell>
          <cell r="J292">
            <v>2.4103333333333337E-5</v>
          </cell>
          <cell r="K292" t="e">
            <v>#N/A</v>
          </cell>
          <cell r="L292" t="e">
            <v>#N/A</v>
          </cell>
          <cell r="M292" t="e">
            <v>#N/A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1586.8563133269186</v>
          </cell>
          <cell r="H293">
            <v>1.5868563133269185</v>
          </cell>
          <cell r="I293">
            <v>7.3493827160493836</v>
          </cell>
          <cell r="J293">
            <v>7.3493827160493836E-3</v>
          </cell>
          <cell r="K293">
            <v>286.95702528773421</v>
          </cell>
          <cell r="L293">
            <v>0.2869570252877342</v>
          </cell>
          <cell r="M293">
            <v>1881.1627213307022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  <cell r="H294" t="e">
            <v>#N/A</v>
          </cell>
          <cell r="I294">
            <v>0.9</v>
          </cell>
          <cell r="J294">
            <v>8.9999999999999998E-4</v>
          </cell>
          <cell r="K294" t="e">
            <v>#N/A</v>
          </cell>
          <cell r="L294" t="e">
            <v>#N/A</v>
          </cell>
          <cell r="M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4413.7949579831939</v>
          </cell>
          <cell r="H295">
            <v>4.4137949579831934</v>
          </cell>
          <cell r="I295">
            <v>0</v>
          </cell>
          <cell r="J295">
            <v>0</v>
          </cell>
          <cell r="K295">
            <v>794.48309243697486</v>
          </cell>
          <cell r="L295">
            <v>0.7944830924369749</v>
          </cell>
          <cell r="M295">
            <v>5208.2780504201692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599.11527974789908</v>
          </cell>
          <cell r="H296">
            <v>0.59911527974789913</v>
          </cell>
          <cell r="I296">
            <v>4.2500571428571436E-2</v>
          </cell>
          <cell r="J296">
            <v>4.2500571428571436E-5</v>
          </cell>
          <cell r="K296">
            <v>107.84840045747897</v>
          </cell>
          <cell r="L296">
            <v>0.10784840045747897</v>
          </cell>
          <cell r="M296">
            <v>707.00618077680667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184.90622222222225</v>
          </cell>
          <cell r="H297">
            <v>0.18490622222222225</v>
          </cell>
          <cell r="I297">
            <v>19.761666666666667</v>
          </cell>
          <cell r="J297">
            <v>1.9761666666666667E-2</v>
          </cell>
          <cell r="K297">
            <v>36.840220000000002</v>
          </cell>
          <cell r="L297">
            <v>3.684022E-2</v>
          </cell>
          <cell r="M297">
            <v>241.5081088888889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  <cell r="H298">
            <v>3.1827906976744189</v>
          </cell>
          <cell r="I298">
            <v>1.4720025839793283</v>
          </cell>
          <cell r="J298">
            <v>1.4720025839793283E-3</v>
          </cell>
          <cell r="K298">
            <v>573.16728604651166</v>
          </cell>
          <cell r="L298">
            <v>0.57316728604651168</v>
          </cell>
          <cell r="M298">
            <v>3757.42998630491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198.40436581560283</v>
          </cell>
          <cell r="H299">
            <v>0.19840436581560283</v>
          </cell>
          <cell r="I299">
            <v>6.5333333333333332</v>
          </cell>
          <cell r="J299">
            <v>6.5333333333333328E-3</v>
          </cell>
          <cell r="K299">
            <v>36.88878584680851</v>
          </cell>
          <cell r="L299">
            <v>3.6888785846808513E-2</v>
          </cell>
          <cell r="M299">
            <v>241.82648499574466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  <cell r="H300" t="e">
            <v>#N/A</v>
          </cell>
          <cell r="I300">
            <v>5.955384975609757</v>
          </cell>
          <cell r="J300">
            <v>5.9553849756097572E-3</v>
          </cell>
          <cell r="K300" t="e">
            <v>#N/A</v>
          </cell>
          <cell r="L300" t="e">
            <v>#N/A</v>
          </cell>
          <cell r="M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  <cell r="H301" t="e">
            <v>#N/A</v>
          </cell>
          <cell r="I301">
            <v>6.323523191903881</v>
          </cell>
          <cell r="J301">
            <v>6.323523191903881E-3</v>
          </cell>
          <cell r="K301" t="e">
            <v>#N/A</v>
          </cell>
          <cell r="L301" t="e">
            <v>#N/A</v>
          </cell>
          <cell r="M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  <cell r="H302" t="e">
            <v>#N/A</v>
          </cell>
          <cell r="I302">
            <v>12.063927092446777</v>
          </cell>
          <cell r="J302">
            <v>1.2063927092446776E-2</v>
          </cell>
          <cell r="K302" t="e">
            <v>#N/A</v>
          </cell>
          <cell r="L302" t="e">
            <v>#N/A</v>
          </cell>
          <cell r="M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2072.1321550960447</v>
          </cell>
          <cell r="H303">
            <v>2.0721321550960448</v>
          </cell>
          <cell r="I303">
            <v>14.370971252287582</v>
          </cell>
          <cell r="J303">
            <v>1.4370971252287581E-2</v>
          </cell>
          <cell r="K303">
            <v>375.57056274269985</v>
          </cell>
          <cell r="L303">
            <v>0.37557056274269984</v>
          </cell>
          <cell r="M303">
            <v>2462.0736890910321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599.11527974789908</v>
          </cell>
          <cell r="H304">
            <v>0.59911527974789913</v>
          </cell>
          <cell r="I304">
            <v>9.0173735873015879</v>
          </cell>
          <cell r="J304">
            <v>9.017373587301588E-3</v>
          </cell>
          <cell r="K304">
            <v>109.46387760033612</v>
          </cell>
          <cell r="L304">
            <v>0.10946387760033612</v>
          </cell>
          <cell r="M304">
            <v>717.59653093553675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 t="e">
            <v>#N/A</v>
          </cell>
          <cell r="H305" t="e">
            <v>#N/A</v>
          </cell>
          <cell r="I305" t="e">
            <v>#N/A</v>
          </cell>
          <cell r="J305" t="e">
            <v>#N/A</v>
          </cell>
          <cell r="K305" t="e">
            <v>#N/A</v>
          </cell>
          <cell r="L305" t="e">
            <v>#N/A</v>
          </cell>
          <cell r="M305" t="e">
            <v>#N/A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198.40436581560283</v>
          </cell>
          <cell r="H306">
            <v>0.19840436581560283</v>
          </cell>
          <cell r="I306">
            <v>15.574806349206348</v>
          </cell>
          <cell r="J306">
            <v>1.5574806349206348E-2</v>
          </cell>
          <cell r="K306">
            <v>38.51625098966565</v>
          </cell>
          <cell r="L306">
            <v>3.851625098966565E-2</v>
          </cell>
          <cell r="M306">
            <v>252.49542315447482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3615.9005686059418</v>
          </cell>
          <cell r="H307">
            <v>3.6159005686059418</v>
          </cell>
          <cell r="I307" t="e">
            <v>#N/A</v>
          </cell>
          <cell r="J307" t="e">
            <v>#N/A</v>
          </cell>
          <cell r="K307" t="e">
            <v>#N/A</v>
          </cell>
          <cell r="L307" t="e">
            <v>#N/A</v>
          </cell>
          <cell r="M307" t="e">
            <v>#N/A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4233.1766666666663</v>
          </cell>
          <cell r="H308">
            <v>4.2331766666666661</v>
          </cell>
          <cell r="I308" t="e">
            <v>#N/A</v>
          </cell>
          <cell r="J308" t="e">
            <v>#N/A</v>
          </cell>
          <cell r="K308" t="e">
            <v>#N/A</v>
          </cell>
          <cell r="L308" t="e">
            <v>#N/A</v>
          </cell>
          <cell r="M308" t="e">
            <v>#N/A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2622.7517444561154</v>
          </cell>
          <cell r="H309">
            <v>2.6227517444561155</v>
          </cell>
          <cell r="I309" t="e">
            <v>#N/A</v>
          </cell>
          <cell r="J309" t="e">
            <v>#N/A</v>
          </cell>
          <cell r="K309" t="e">
            <v>#N/A</v>
          </cell>
          <cell r="L309" t="e">
            <v>#N/A</v>
          </cell>
          <cell r="M309" t="e">
            <v>#N/A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1454.6703203459506</v>
          </cell>
          <cell r="H310">
            <v>1.4546703203459506</v>
          </cell>
          <cell r="I310">
            <v>9.8563140613620988</v>
          </cell>
          <cell r="J310">
            <v>9.8563140613620991E-3</v>
          </cell>
          <cell r="K310">
            <v>263.6147941933163</v>
          </cell>
          <cell r="L310">
            <v>0.26361479419331629</v>
          </cell>
          <cell r="M310">
            <v>1728.1414286006291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 t="e">
            <v>#N/A</v>
          </cell>
          <cell r="H311" t="e">
            <v>#N/A</v>
          </cell>
          <cell r="I311">
            <v>0</v>
          </cell>
          <cell r="J311">
            <v>0</v>
          </cell>
          <cell r="K311" t="e">
            <v>#N/A</v>
          </cell>
          <cell r="L311" t="e">
            <v>#N/A</v>
          </cell>
          <cell r="M311" t="e">
            <v>#N/A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1697.2909090909088</v>
          </cell>
          <cell r="H312">
            <v>1.6972909090909087</v>
          </cell>
          <cell r="I312">
            <v>0</v>
          </cell>
          <cell r="J312">
            <v>0</v>
          </cell>
          <cell r="K312">
            <v>305.5123636363636</v>
          </cell>
          <cell r="L312">
            <v>0.30551236363636358</v>
          </cell>
          <cell r="M312">
            <v>2002.8032727272725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 t="e">
            <v>#N/A</v>
          </cell>
          <cell r="H313" t="e">
            <v>#N/A</v>
          </cell>
          <cell r="I313">
            <v>10.54962611570248</v>
          </cell>
          <cell r="J313">
            <v>1.054962611570248E-2</v>
          </cell>
          <cell r="K313" t="e">
            <v>#N/A</v>
          </cell>
          <cell r="L313" t="e">
            <v>#N/A</v>
          </cell>
          <cell r="M313" t="e">
            <v>#N/A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1181.0115874206472</v>
          </cell>
          <cell r="H314">
            <v>1.1810115874206473</v>
          </cell>
          <cell r="I314">
            <v>3.7521635552000001</v>
          </cell>
          <cell r="J314">
            <v>3.7521635552000003E-3</v>
          </cell>
          <cell r="K314">
            <v>213.25747517565247</v>
          </cell>
          <cell r="L314">
            <v>0.21325747517565247</v>
          </cell>
          <cell r="M314">
            <v>1398.0212261514996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 t="e">
            <v>#N/A</v>
          </cell>
          <cell r="H315" t="e">
            <v>#N/A</v>
          </cell>
          <cell r="I315">
            <v>8.6986582574074074</v>
          </cell>
          <cell r="J315">
            <v>8.6986582574074076E-3</v>
          </cell>
          <cell r="K315" t="e">
            <v>#N/A</v>
          </cell>
          <cell r="L315" t="e">
            <v>#N/A</v>
          </cell>
          <cell r="M315" t="e">
            <v>#N/A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1910.8485000000001</v>
          </cell>
          <cell r="H316">
            <v>1.9108484999999999</v>
          </cell>
          <cell r="I316">
            <v>1.9508833333333331</v>
          </cell>
          <cell r="J316">
            <v>1.950883333333333E-3</v>
          </cell>
          <cell r="K316">
            <v>344.30388900000003</v>
          </cell>
          <cell r="L316">
            <v>0.34430388900000003</v>
          </cell>
          <cell r="M316">
            <v>2257.1032723333337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3.940041536863967</v>
          </cell>
          <cell r="J317">
            <v>3.9400415368639674E-3</v>
          </cell>
          <cell r="K317">
            <v>353.56902056074767</v>
          </cell>
          <cell r="L317">
            <v>0.35356902056074768</v>
          </cell>
          <cell r="M317">
            <v>2317.8413570093458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8684.4926472741936</v>
          </cell>
          <cell r="H318">
            <v>8.6844926472741939</v>
          </cell>
          <cell r="I318">
            <v>3.7510993384126983</v>
          </cell>
          <cell r="J318">
            <v>3.7510993384126984E-3</v>
          </cell>
          <cell r="K318">
            <v>1563.8838743902691</v>
          </cell>
          <cell r="L318">
            <v>1.563883874390269</v>
          </cell>
          <cell r="M318">
            <v>10252.127621002875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  <cell r="H319">
            <v>3.7510638297872334</v>
          </cell>
          <cell r="I319">
            <v>0.12340425531914893</v>
          </cell>
          <cell r="J319">
            <v>1.2340425531914893E-4</v>
          </cell>
          <cell r="K319">
            <v>675.21370212765942</v>
          </cell>
          <cell r="L319">
            <v>0.67521370212765941</v>
          </cell>
          <cell r="M319">
            <v>4426.4009361702119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9.1185410334346493</v>
          </cell>
          <cell r="J320">
            <v>9.11854103343465E-3</v>
          </cell>
          <cell r="K320">
            <v>861.51006930091182</v>
          </cell>
          <cell r="L320">
            <v>0.86151006930091178</v>
          </cell>
          <cell r="M320">
            <v>5647.6771209726439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4051.5156000000006</v>
          </cell>
          <cell r="H321">
            <v>4.051515600000001</v>
          </cell>
          <cell r="I321">
            <v>0</v>
          </cell>
          <cell r="J321">
            <v>0</v>
          </cell>
          <cell r="K321">
            <v>729.27280800000005</v>
          </cell>
          <cell r="L321">
            <v>0.72927280800000005</v>
          </cell>
          <cell r="M321">
            <v>4780.7884080000003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2330.8853120305048</v>
          </cell>
          <cell r="H322">
            <v>2.3308853120305049</v>
          </cell>
          <cell r="I322">
            <v>39.011806852315843</v>
          </cell>
          <cell r="J322">
            <v>3.9011806852315846E-2</v>
          </cell>
          <cell r="K322">
            <v>426.58148139890767</v>
          </cell>
          <cell r="L322">
            <v>0.42658148139890767</v>
          </cell>
          <cell r="M322">
            <v>2796.4786002817282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  <cell r="H323">
            <v>1.770822E-2</v>
          </cell>
          <cell r="I323">
            <v>37.053125000000001</v>
          </cell>
          <cell r="J323">
            <v>3.7053124999999999E-2</v>
          </cell>
          <cell r="K323">
            <v>9.857042100000001</v>
          </cell>
          <cell r="L323">
            <v>9.8570421000000012E-3</v>
          </cell>
          <cell r="M323">
            <v>64.618387100000007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2254.2117477823062</v>
          </cell>
          <cell r="H324">
            <v>2.254211747782306</v>
          </cell>
          <cell r="I324">
            <v>0.10203788060417167</v>
          </cell>
          <cell r="J324">
            <v>1.0203788060417167E-4</v>
          </cell>
          <cell r="K324">
            <v>405.77648141932389</v>
          </cell>
          <cell r="L324">
            <v>0.40577648141932388</v>
          </cell>
          <cell r="M324">
            <v>2660.0902670822343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4397.2989497041408</v>
          </cell>
          <cell r="H325">
            <v>4.3972989497041404</v>
          </cell>
          <cell r="I325">
            <v>5.5769230769230758E-2</v>
          </cell>
          <cell r="J325">
            <v>5.5769230769230759E-5</v>
          </cell>
          <cell r="K325">
            <v>791.52384940828381</v>
          </cell>
          <cell r="L325">
            <v>0.7915238494082838</v>
          </cell>
          <cell r="M325">
            <v>5188.8785683431943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2150.7564583333328</v>
          </cell>
          <cell r="H326">
            <v>2.150756458333333</v>
          </cell>
          <cell r="I326">
            <v>9.8518518518518519E-2</v>
          </cell>
          <cell r="J326">
            <v>9.8518518518518521E-5</v>
          </cell>
          <cell r="K326">
            <v>387.15389583333325</v>
          </cell>
          <cell r="L326">
            <v>0.38715389583333326</v>
          </cell>
          <cell r="M326">
            <v>2538.0088726851845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2748.7883093895362</v>
          </cell>
          <cell r="H327">
            <v>2.748788309389536</v>
          </cell>
          <cell r="I327">
            <v>2.3875190384061249E-2</v>
          </cell>
          <cell r="J327">
            <v>2.3875190384061249E-5</v>
          </cell>
          <cell r="K327">
            <v>494.78619322438561</v>
          </cell>
          <cell r="L327">
            <v>0.49478619322438561</v>
          </cell>
          <cell r="M327">
            <v>3243.5983778043055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2198.8918389874966</v>
          </cell>
          <cell r="H328">
            <v>2.1988918389874965</v>
          </cell>
          <cell r="I328">
            <v>2.7884615384615379E-2</v>
          </cell>
          <cell r="J328">
            <v>2.7884615384615379E-5</v>
          </cell>
          <cell r="K328">
            <v>395.80555024851861</v>
          </cell>
          <cell r="L328">
            <v>0.3958055502485186</v>
          </cell>
          <cell r="M328">
            <v>2594.7252738513998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2536.4102564102564</v>
          </cell>
          <cell r="H329">
            <v>2.5364102564102562</v>
          </cell>
          <cell r="I329">
            <v>60</v>
          </cell>
          <cell r="J329">
            <v>0.06</v>
          </cell>
          <cell r="K329">
            <v>467.35384615384612</v>
          </cell>
          <cell r="L329">
            <v>0.46735384615384612</v>
          </cell>
          <cell r="M329">
            <v>3063.7641025641024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 t="e">
            <v>#N/A</v>
          </cell>
          <cell r="H330" t="e">
            <v>#N/A</v>
          </cell>
          <cell r="I330">
            <v>3.8865624999999997</v>
          </cell>
          <cell r="J330">
            <v>3.8865624999999998E-3</v>
          </cell>
          <cell r="K330" t="e">
            <v>#N/A</v>
          </cell>
          <cell r="L330" t="e">
            <v>#N/A</v>
          </cell>
          <cell r="M330" t="e">
            <v>#N/A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  <cell r="H331">
            <v>3.2431999999999999</v>
          </cell>
          <cell r="I331">
            <v>0</v>
          </cell>
          <cell r="J331">
            <v>0</v>
          </cell>
          <cell r="K331">
            <v>583.77599999999995</v>
          </cell>
          <cell r="L331">
            <v>0.58377599999999996</v>
          </cell>
          <cell r="M331">
            <v>3826.9759999999997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888.13826927462105</v>
          </cell>
          <cell r="H332">
            <v>888.13826927462105</v>
          </cell>
          <cell r="I332">
            <v>4.4955643437326662</v>
          </cell>
          <cell r="J332">
            <v>4.4955643437326662</v>
          </cell>
          <cell r="K332">
            <v>160.67409005130366</v>
          </cell>
          <cell r="L332">
            <v>160.67409005130366</v>
          </cell>
          <cell r="M332">
            <v>1053.3079236696574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545.16489393531276</v>
          </cell>
          <cell r="H333">
            <v>0.54516489393531276</v>
          </cell>
          <cell r="I333">
            <v>27.147058823529409</v>
          </cell>
          <cell r="J333">
            <v>2.714705882352941E-2</v>
          </cell>
          <cell r="K333">
            <v>103.01615149659159</v>
          </cell>
          <cell r="L333">
            <v>0.10301615149659159</v>
          </cell>
          <cell r="M333">
            <v>675.3281042554338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  <cell r="H334">
            <v>0.7432769929364279</v>
          </cell>
          <cell r="I334">
            <v>5.3841069626639753</v>
          </cell>
          <cell r="J334">
            <v>5.3841069626639751E-3</v>
          </cell>
          <cell r="K334">
            <v>134.75899798183653</v>
          </cell>
          <cell r="L334">
            <v>0.13475899798183652</v>
          </cell>
          <cell r="M334">
            <v>883.42009788092832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 t="e">
            <v>#N/A</v>
          </cell>
          <cell r="H335" t="e">
            <v>#N/A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1108.24415704388</v>
          </cell>
          <cell r="H336">
            <v>1.1082441570438801</v>
          </cell>
          <cell r="I336">
            <v>15.091195691657585</v>
          </cell>
          <cell r="J336">
            <v>1.5091195691657585E-2</v>
          </cell>
          <cell r="K336">
            <v>202.20036349239675</v>
          </cell>
          <cell r="L336">
            <v>0.20220036349239676</v>
          </cell>
          <cell r="M336">
            <v>1325.5357162279342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677.42974735126313</v>
          </cell>
          <cell r="H337">
            <v>0.67742974735126316</v>
          </cell>
          <cell r="I337">
            <v>19.741012406049084</v>
          </cell>
          <cell r="J337">
            <v>1.9741012406049082E-2</v>
          </cell>
          <cell r="K337">
            <v>125.4907367563162</v>
          </cell>
          <cell r="L337">
            <v>0.1254907367563162</v>
          </cell>
          <cell r="M337">
            <v>822.66149651362844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673.56338729763399</v>
          </cell>
          <cell r="H338">
            <v>0.67356338729763399</v>
          </cell>
          <cell r="I338">
            <v>9.3149367121969853</v>
          </cell>
          <cell r="J338">
            <v>9.3149367121969848E-3</v>
          </cell>
          <cell r="K338">
            <v>122.91809832176958</v>
          </cell>
          <cell r="L338">
            <v>0.12291809832176957</v>
          </cell>
          <cell r="M338">
            <v>805.79642233160052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1354.293727272727</v>
          </cell>
          <cell r="H339">
            <v>1.3542937272727269</v>
          </cell>
          <cell r="I339">
            <v>17.005201717776568</v>
          </cell>
          <cell r="J339">
            <v>1.7005201717776568E-2</v>
          </cell>
          <cell r="K339">
            <v>246.83380721829064</v>
          </cell>
          <cell r="L339">
            <v>0.24683380721829065</v>
          </cell>
          <cell r="M339">
            <v>1618.1327362087941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763.0029161290322</v>
          </cell>
          <cell r="H340">
            <v>0.76300291612903215</v>
          </cell>
          <cell r="I340">
            <v>7.5469534050179217</v>
          </cell>
          <cell r="J340">
            <v>7.5469534050179215E-3</v>
          </cell>
          <cell r="K340">
            <v>138.69897651612902</v>
          </cell>
          <cell r="L340">
            <v>0.13869897651612903</v>
          </cell>
          <cell r="M340">
            <v>909.24884605017917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941.55286887064574</v>
          </cell>
          <cell r="H341">
            <v>0.94155286887064571</v>
          </cell>
          <cell r="I341">
            <v>15.937782849253896</v>
          </cell>
          <cell r="J341">
            <v>1.5937782849253897E-2</v>
          </cell>
          <cell r="K341">
            <v>172.34831730958194</v>
          </cell>
          <cell r="L341">
            <v>0.17234831730958194</v>
          </cell>
          <cell r="M341">
            <v>1129.8389690294816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1483.4900774955497</v>
          </cell>
          <cell r="H342">
            <v>1.4834900774955497</v>
          </cell>
          <cell r="I342">
            <v>0.57668800000000009</v>
          </cell>
          <cell r="J342">
            <v>5.7668800000000011E-4</v>
          </cell>
          <cell r="K342">
            <v>267.13201778919898</v>
          </cell>
          <cell r="L342">
            <v>0.26713201778919898</v>
          </cell>
          <cell r="M342">
            <v>1751.1987832847487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7965.2196726190468</v>
          </cell>
          <cell r="H343">
            <v>7.965219672619047</v>
          </cell>
          <cell r="I343" t="e">
            <v>#N/A</v>
          </cell>
          <cell r="J343" t="e">
            <v>#N/A</v>
          </cell>
          <cell r="K343" t="e">
            <v>#N/A</v>
          </cell>
          <cell r="L343" t="e">
            <v>#N/A</v>
          </cell>
          <cell r="M343" t="e">
            <v>#N/A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989.73465339999996</v>
          </cell>
          <cell r="H344">
            <v>0.9897346534</v>
          </cell>
          <cell r="I344">
            <v>3.6617460317460315</v>
          </cell>
          <cell r="J344">
            <v>3.6617460317460316E-3</v>
          </cell>
          <cell r="K344">
            <v>178.81135189771427</v>
          </cell>
          <cell r="L344">
            <v>0.17881135189771427</v>
          </cell>
          <cell r="M344">
            <v>1172.2077513294603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0</v>
          </cell>
          <cell r="J345">
            <v>0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1045.2095853999999</v>
          </cell>
          <cell r="H346">
            <v>1.0452095853999999</v>
          </cell>
          <cell r="I346">
            <v>4.4420317460317449</v>
          </cell>
          <cell r="J346">
            <v>4.442031746031745E-3</v>
          </cell>
          <cell r="K346">
            <v>188.93729108628568</v>
          </cell>
          <cell r="L346">
            <v>0.18893729108628568</v>
          </cell>
          <cell r="M346">
            <v>1238.5889082323174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950.0844774273346</v>
          </cell>
          <cell r="H347">
            <v>0.95008447742733459</v>
          </cell>
          <cell r="I347">
            <v>5.3320375769355364</v>
          </cell>
          <cell r="J347">
            <v>5.3320375769355362E-3</v>
          </cell>
          <cell r="K347">
            <v>171.97497270076863</v>
          </cell>
          <cell r="L347">
            <v>0.17197497270076864</v>
          </cell>
          <cell r="M347">
            <v>1127.3914877050388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684.99306707098049</v>
          </cell>
          <cell r="H348">
            <v>0.68499306707098051</v>
          </cell>
          <cell r="I348">
            <v>11.24586</v>
          </cell>
          <cell r="J348">
            <v>1.124586E-2</v>
          </cell>
          <cell r="K348">
            <v>125.32300687277649</v>
          </cell>
          <cell r="L348">
            <v>0.12532300687277648</v>
          </cell>
          <cell r="M348">
            <v>821.56193394375691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2164.939399038461</v>
          </cell>
          <cell r="H350">
            <v>2.1649393990384609</v>
          </cell>
          <cell r="I350">
            <v>2.7884615384615379E-2</v>
          </cell>
          <cell r="J350">
            <v>2.7884615384615379E-5</v>
          </cell>
          <cell r="K350">
            <v>389.69411105769223</v>
          </cell>
          <cell r="L350">
            <v>0.38969411105769225</v>
          </cell>
          <cell r="M350">
            <v>2554.6613947115379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2394.9210261780104</v>
          </cell>
          <cell r="H351">
            <v>2.3949210261780105</v>
          </cell>
          <cell r="I351">
            <v>8.5120000000000001E-2</v>
          </cell>
          <cell r="J351">
            <v>8.5119999999999998E-5</v>
          </cell>
          <cell r="K351">
            <v>431.10110631204191</v>
          </cell>
          <cell r="L351">
            <v>0.4311011063120419</v>
          </cell>
          <cell r="M351">
            <v>2826.1072524900524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671.74156135323835</v>
          </cell>
          <cell r="H352">
            <v>671.74156135323835</v>
          </cell>
          <cell r="I352">
            <v>0.29559201143122221</v>
          </cell>
          <cell r="J352">
            <v>0.29559201143122221</v>
          </cell>
          <cell r="K352">
            <v>120.96668760564053</v>
          </cell>
          <cell r="L352">
            <v>120.96668760564053</v>
          </cell>
          <cell r="M352">
            <v>793.00384097031019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12.334429902075378</v>
          </cell>
          <cell r="H353">
            <v>12.334429902075378</v>
          </cell>
          <cell r="I353">
            <v>0.11010134994383393</v>
          </cell>
          <cell r="J353">
            <v>0.11010134994383393</v>
          </cell>
          <cell r="K353">
            <v>2.240015625363458</v>
          </cell>
          <cell r="L353">
            <v>2.240015625363458</v>
          </cell>
          <cell r="M353">
            <v>14.684546877382671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 t="e">
            <v>#N/A</v>
          </cell>
          <cell r="H355" t="e">
            <v>#N/A</v>
          </cell>
          <cell r="I355">
            <v>0</v>
          </cell>
          <cell r="J355">
            <v>0</v>
          </cell>
          <cell r="K355" t="e">
            <v>#N/A</v>
          </cell>
          <cell r="L355" t="e">
            <v>#N/A</v>
          </cell>
          <cell r="M355" t="e">
            <v>#N/A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554.97269334059638</v>
          </cell>
          <cell r="H357">
            <v>554.97269334059638</v>
          </cell>
          <cell r="I357">
            <v>4.1427814976053634</v>
          </cell>
          <cell r="J357">
            <v>4.1427814976053634</v>
          </cell>
          <cell r="K357">
            <v>100.64078547087631</v>
          </cell>
          <cell r="L357">
            <v>100.64078547087631</v>
          </cell>
          <cell r="M357">
            <v>659.75626030907802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 t="e">
            <v>#N/A</v>
          </cell>
          <cell r="H358" t="e">
            <v>#N/A</v>
          </cell>
          <cell r="I358">
            <v>1.6613991237520649</v>
          </cell>
          <cell r="J358">
            <v>1.6613991237520649</v>
          </cell>
          <cell r="K358" t="e">
            <v>#N/A</v>
          </cell>
          <cell r="L358" t="e">
            <v>#N/A</v>
          </cell>
          <cell r="M358" t="e">
            <v>#N/A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201.05238057521299</v>
          </cell>
          <cell r="H359">
            <v>201.05238057521299</v>
          </cell>
          <cell r="I359">
            <v>2.3426856814153436</v>
          </cell>
          <cell r="J359">
            <v>2.3426856814153436</v>
          </cell>
          <cell r="K359">
            <v>36.611111926193097</v>
          </cell>
          <cell r="L359">
            <v>36.611111926193097</v>
          </cell>
          <cell r="M359">
            <v>240.00617818282143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2376.9259020408163</v>
          </cell>
          <cell r="H360">
            <v>2.3769259020408162</v>
          </cell>
          <cell r="I360">
            <v>8.5120000000000001E-2</v>
          </cell>
          <cell r="J360">
            <v>8.5119999999999998E-5</v>
          </cell>
          <cell r="K360">
            <v>427.86198396734693</v>
          </cell>
          <cell r="L360">
            <v>0.42786198396734693</v>
          </cell>
          <cell r="M360">
            <v>2804.8730060081634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655.14477173718615</v>
          </cell>
          <cell r="H362">
            <v>655.14477173718615</v>
          </cell>
          <cell r="I362">
            <v>10.917717961890375</v>
          </cell>
          <cell r="J362">
            <v>10.917717961890375</v>
          </cell>
          <cell r="K362">
            <v>127.93610666011948</v>
          </cell>
          <cell r="L362">
            <v>127.93610666011948</v>
          </cell>
          <cell r="M362">
            <v>793.99859635919597</v>
          </cell>
        </row>
        <row r="363">
          <cell r="A363" t="str">
            <v>907000251</v>
          </cell>
          <cell r="B363" t="str">
            <v>Rosquete Vainilla Pastelero Real 550g</v>
          </cell>
          <cell r="C363">
            <v>0</v>
          </cell>
          <cell r="D363">
            <v>0</v>
          </cell>
          <cell r="E363" t="str">
            <v>Und</v>
          </cell>
          <cell r="F363" t="str">
            <v>Und</v>
          </cell>
          <cell r="G363">
            <v>570.67868233671038</v>
          </cell>
          <cell r="H363">
            <v>570.67868233671038</v>
          </cell>
          <cell r="I363">
            <v>27.589509639969808</v>
          </cell>
          <cell r="J363">
            <v>27.589509639969808</v>
          </cell>
          <cell r="K363">
            <v>125.82975090721573</v>
          </cell>
          <cell r="L363">
            <v>125.82975090721573</v>
          </cell>
          <cell r="M363">
            <v>724.09794288389594</v>
          </cell>
        </row>
        <row r="364">
          <cell r="A364" t="str">
            <v>907000255</v>
          </cell>
          <cell r="B364" t="str">
            <v/>
          </cell>
          <cell r="C364" t="str">
            <v/>
          </cell>
          <cell r="D364" t="str">
            <v/>
          </cell>
          <cell r="E364" t="str">
            <v>Und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 t="str">
            <v xml:space="preserve"> 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1EAF-8AE1-4E95-BB23-D90E82E3CAEC}">
  <dimension ref="A1:I56"/>
  <sheetViews>
    <sheetView tabSelected="1" zoomScale="70" zoomScaleNormal="70" workbookViewId="0">
      <selection activeCell="D11" sqref="D11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260"/>
      <c r="B1" s="261"/>
      <c r="C1" s="266" t="s">
        <v>22</v>
      </c>
      <c r="D1" s="266"/>
      <c r="E1" s="266"/>
      <c r="F1" s="266"/>
      <c r="G1" s="266"/>
      <c r="H1" s="100" t="s">
        <v>21</v>
      </c>
      <c r="I1" s="101" t="s">
        <v>124</v>
      </c>
    </row>
    <row r="2" spans="1:9" ht="18" customHeight="1" thickBot="1" x14ac:dyDescent="0.3">
      <c r="A2" s="262"/>
      <c r="B2" s="263"/>
      <c r="C2" s="267" t="s">
        <v>0</v>
      </c>
      <c r="D2" s="268"/>
      <c r="E2" s="268"/>
      <c r="F2" s="268"/>
      <c r="G2" s="269"/>
      <c r="H2" s="102" t="s">
        <v>20</v>
      </c>
      <c r="I2" s="103" t="s">
        <v>108</v>
      </c>
    </row>
    <row r="3" spans="1:9" ht="31.5" customHeight="1" thickBot="1" x14ac:dyDescent="0.25">
      <c r="A3" s="262"/>
      <c r="B3" s="263"/>
      <c r="C3" s="270" t="s">
        <v>111</v>
      </c>
      <c r="D3" s="271"/>
      <c r="E3" s="271"/>
      <c r="F3" s="271"/>
      <c r="G3" s="272"/>
      <c r="H3" s="273" t="s">
        <v>19</v>
      </c>
      <c r="I3" s="251">
        <v>45614</v>
      </c>
    </row>
    <row r="4" spans="1:9" ht="18" customHeight="1" x14ac:dyDescent="0.25">
      <c r="A4" s="262"/>
      <c r="B4" s="263"/>
      <c r="C4" s="104" t="s">
        <v>18</v>
      </c>
      <c r="D4" s="254" t="s">
        <v>112</v>
      </c>
      <c r="E4" s="255"/>
      <c r="F4" s="255"/>
      <c r="G4" s="256"/>
      <c r="H4" s="274"/>
      <c r="I4" s="252"/>
    </row>
    <row r="5" spans="1:9" ht="14.25" thickBot="1" x14ac:dyDescent="0.3">
      <c r="A5" s="264"/>
      <c r="B5" s="265"/>
      <c r="C5" s="105" t="s">
        <v>17</v>
      </c>
      <c r="D5" s="257" t="s">
        <v>113</v>
      </c>
      <c r="E5" s="258"/>
      <c r="F5" s="258"/>
      <c r="G5" s="259"/>
      <c r="H5" s="275"/>
      <c r="I5" s="253"/>
    </row>
    <row r="6" spans="1:9" ht="18.75" thickBot="1" x14ac:dyDescent="0.3">
      <c r="A6" s="242" t="s">
        <v>23</v>
      </c>
      <c r="B6" s="242"/>
      <c r="C6" s="242"/>
      <c r="D6" s="243" t="s">
        <v>25</v>
      </c>
      <c r="E6" s="243"/>
      <c r="F6" s="243"/>
      <c r="G6" s="244" t="s">
        <v>24</v>
      </c>
      <c r="H6" s="244"/>
      <c r="I6" s="1" t="s">
        <v>25</v>
      </c>
    </row>
    <row r="7" spans="1:9" ht="25.5" x14ac:dyDescent="0.2">
      <c r="A7" s="245" t="s">
        <v>1</v>
      </c>
      <c r="B7" s="247" t="s">
        <v>114</v>
      </c>
      <c r="C7" s="249" t="s">
        <v>2</v>
      </c>
      <c r="D7" s="249" t="s">
        <v>3</v>
      </c>
      <c r="E7" s="249" t="s">
        <v>4</v>
      </c>
      <c r="F7" s="249"/>
      <c r="G7" s="249" t="s">
        <v>16</v>
      </c>
      <c r="H7" s="249"/>
      <c r="I7" s="106" t="s">
        <v>5</v>
      </c>
    </row>
    <row r="8" spans="1:9" ht="26.25" thickBot="1" x14ac:dyDescent="0.25">
      <c r="A8" s="246"/>
      <c r="B8" s="248"/>
      <c r="C8" s="250"/>
      <c r="D8" s="250"/>
      <c r="E8" s="107" t="s">
        <v>6</v>
      </c>
      <c r="F8" s="108" t="s">
        <v>7</v>
      </c>
      <c r="G8" s="107" t="s">
        <v>6</v>
      </c>
      <c r="H8" s="108" t="s">
        <v>7</v>
      </c>
      <c r="I8" s="109" t="s">
        <v>8</v>
      </c>
    </row>
    <row r="9" spans="1:9" ht="18.399999999999999" customHeight="1" x14ac:dyDescent="0.25">
      <c r="A9" s="110"/>
      <c r="B9" s="111"/>
      <c r="C9" s="112" t="s">
        <v>115</v>
      </c>
      <c r="D9" s="113"/>
      <c r="E9" s="114"/>
      <c r="F9" s="115"/>
      <c r="G9" s="114"/>
      <c r="H9" s="115"/>
      <c r="I9" s="116"/>
    </row>
    <row r="10" spans="1:9" ht="18" customHeight="1" x14ac:dyDescent="0.25">
      <c r="A10" s="117" t="s">
        <v>29</v>
      </c>
      <c r="B10" s="117" t="s">
        <v>109</v>
      </c>
      <c r="C10" s="118" t="s">
        <v>30</v>
      </c>
      <c r="D10" s="119" t="s">
        <v>31</v>
      </c>
      <c r="E10" s="120">
        <v>600</v>
      </c>
      <c r="F10" s="121" t="s">
        <v>26</v>
      </c>
      <c r="G10" s="122"/>
      <c r="H10" s="123"/>
      <c r="I10" s="116"/>
    </row>
    <row r="11" spans="1:9" ht="15.75" x14ac:dyDescent="0.25">
      <c r="A11" s="124" t="s">
        <v>32</v>
      </c>
      <c r="B11" s="125" t="s">
        <v>110</v>
      </c>
      <c r="C11" s="126" t="s">
        <v>33</v>
      </c>
      <c r="D11" s="127" t="s">
        <v>116</v>
      </c>
      <c r="E11" s="128">
        <v>200</v>
      </c>
      <c r="F11" s="129" t="s">
        <v>26</v>
      </c>
      <c r="G11" s="122"/>
      <c r="H11" s="123"/>
      <c r="I11" s="116"/>
    </row>
    <row r="12" spans="1:9" ht="15.75" x14ac:dyDescent="0.25">
      <c r="A12" s="130"/>
      <c r="B12" s="2"/>
      <c r="C12" s="131"/>
      <c r="D12" s="127"/>
      <c r="E12" s="128"/>
      <c r="F12" s="129"/>
      <c r="G12" s="132"/>
      <c r="H12" s="123"/>
      <c r="I12" s="116"/>
    </row>
    <row r="13" spans="1:9" ht="15" x14ac:dyDescent="0.25">
      <c r="A13" s="130"/>
      <c r="B13" s="130"/>
      <c r="C13" s="126"/>
      <c r="D13" s="133"/>
      <c r="E13" s="134"/>
      <c r="F13" s="135"/>
      <c r="G13" s="132"/>
      <c r="H13" s="123"/>
      <c r="I13" s="116"/>
    </row>
    <row r="14" spans="1:9" ht="15" x14ac:dyDescent="0.25">
      <c r="A14" s="130"/>
      <c r="B14" s="130"/>
      <c r="C14" s="126"/>
      <c r="D14" s="133"/>
      <c r="E14" s="134"/>
      <c r="F14" s="135"/>
      <c r="G14" s="132"/>
      <c r="H14" s="123"/>
      <c r="I14" s="116"/>
    </row>
    <row r="15" spans="1:9" ht="15" x14ac:dyDescent="0.25">
      <c r="A15" s="136"/>
      <c r="B15" s="130"/>
      <c r="C15" s="137"/>
      <c r="D15" s="138"/>
      <c r="E15" s="138"/>
      <c r="F15" s="138"/>
      <c r="G15" s="114"/>
      <c r="H15" s="123"/>
      <c r="I15" s="116"/>
    </row>
    <row r="16" spans="1:9" ht="15.75" x14ac:dyDescent="0.25">
      <c r="A16" s="139"/>
      <c r="B16" s="140"/>
      <c r="C16" s="141" t="s">
        <v>117</v>
      </c>
      <c r="D16" s="134"/>
      <c r="E16" s="142"/>
      <c r="F16" s="135"/>
      <c r="G16" s="114"/>
      <c r="H16" s="115"/>
      <c r="I16" s="116"/>
    </row>
    <row r="17" spans="1:9" ht="15" x14ac:dyDescent="0.25">
      <c r="A17" s="143"/>
      <c r="B17" s="144"/>
      <c r="C17" s="145"/>
      <c r="D17" s="146"/>
      <c r="E17" s="147"/>
      <c r="F17" s="148"/>
      <c r="G17" s="114"/>
      <c r="H17" s="115"/>
      <c r="I17" s="116"/>
    </row>
    <row r="18" spans="1:9" ht="15" x14ac:dyDescent="0.25">
      <c r="A18" s="143"/>
      <c r="B18" s="144"/>
      <c r="C18" s="145"/>
      <c r="D18" s="146"/>
      <c r="E18" s="149"/>
      <c r="F18" s="148"/>
      <c r="G18" s="114"/>
      <c r="H18" s="115"/>
      <c r="I18" s="116"/>
    </row>
    <row r="19" spans="1:9" ht="15" x14ac:dyDescent="0.25">
      <c r="A19" s="143"/>
      <c r="B19" s="144"/>
      <c r="C19" s="145"/>
      <c r="D19" s="146"/>
      <c r="E19" s="147"/>
      <c r="F19" s="148"/>
      <c r="G19" s="114"/>
      <c r="H19" s="115"/>
      <c r="I19" s="116"/>
    </row>
    <row r="20" spans="1:9" ht="15" x14ac:dyDescent="0.25">
      <c r="A20" s="143"/>
      <c r="B20" s="144"/>
      <c r="C20" s="145"/>
      <c r="D20" s="146"/>
      <c r="E20" s="150"/>
      <c r="F20" s="151"/>
      <c r="G20" s="114"/>
      <c r="H20" s="115"/>
      <c r="I20" s="116"/>
    </row>
    <row r="21" spans="1:9" ht="15" x14ac:dyDescent="0.25">
      <c r="A21" s="143"/>
      <c r="B21" s="144"/>
      <c r="C21" s="145"/>
      <c r="D21" s="146"/>
      <c r="E21" s="152"/>
      <c r="F21" s="151"/>
      <c r="G21" s="114"/>
      <c r="H21" s="115"/>
      <c r="I21" s="116"/>
    </row>
    <row r="22" spans="1:9" ht="15" x14ac:dyDescent="0.25">
      <c r="A22" s="2"/>
      <c r="B22" s="2"/>
      <c r="D22" s="153"/>
      <c r="E22" s="154"/>
      <c r="F22" s="155"/>
      <c r="G22" s="114"/>
      <c r="H22" s="115"/>
      <c r="I22" s="116"/>
    </row>
    <row r="23" spans="1:9" ht="15" x14ac:dyDescent="0.25">
      <c r="A23" s="130"/>
      <c r="B23" s="130"/>
      <c r="C23" s="137"/>
      <c r="D23" s="156"/>
      <c r="E23" s="157"/>
      <c r="F23" s="155"/>
      <c r="G23" s="114"/>
      <c r="H23" s="115"/>
      <c r="I23" s="116"/>
    </row>
    <row r="24" spans="1:9" ht="15" x14ac:dyDescent="0.25">
      <c r="A24" s="130"/>
      <c r="B24" s="130"/>
      <c r="C24" s="137"/>
      <c r="D24" s="156"/>
      <c r="E24" s="158"/>
      <c r="F24" s="159"/>
      <c r="G24" s="114"/>
      <c r="H24" s="115"/>
      <c r="I24" s="116"/>
    </row>
    <row r="25" spans="1:9" ht="15.75" x14ac:dyDescent="0.25">
      <c r="A25" s="160"/>
      <c r="B25" s="161"/>
      <c r="C25" s="162" t="s">
        <v>118</v>
      </c>
      <c r="D25" s="163"/>
      <c r="E25" s="164"/>
      <c r="F25" s="115"/>
      <c r="G25" s="114"/>
      <c r="I25" s="116"/>
    </row>
    <row r="26" spans="1:9" ht="15" x14ac:dyDescent="0.25">
      <c r="A26" s="165"/>
      <c r="B26" s="165"/>
      <c r="C26" s="166"/>
      <c r="D26" s="167"/>
      <c r="E26" s="168"/>
      <c r="F26" s="169"/>
      <c r="G26" s="170"/>
      <c r="H26" s="115"/>
      <c r="I26" s="116"/>
    </row>
    <row r="27" spans="1:9" ht="15" x14ac:dyDescent="0.25">
      <c r="A27" s="171"/>
      <c r="B27" s="171"/>
      <c r="C27" s="172"/>
      <c r="D27" s="167"/>
      <c r="E27" s="168"/>
      <c r="F27" s="169"/>
      <c r="G27" s="170"/>
      <c r="H27" s="115"/>
      <c r="I27" s="116"/>
    </row>
    <row r="28" spans="1:9" ht="15" x14ac:dyDescent="0.25">
      <c r="A28" s="130"/>
      <c r="B28" s="130"/>
      <c r="C28" s="137"/>
      <c r="D28" s="173"/>
      <c r="E28" s="158"/>
      <c r="F28" s="132"/>
      <c r="G28" s="170"/>
      <c r="H28" s="115"/>
      <c r="I28" s="116"/>
    </row>
    <row r="29" spans="1:9" ht="15" x14ac:dyDescent="0.25">
      <c r="A29" s="174"/>
      <c r="B29" s="174"/>
      <c r="C29" s="175"/>
      <c r="D29" s="167"/>
      <c r="E29" s="168"/>
      <c r="F29" s="169"/>
      <c r="G29" s="114"/>
      <c r="H29" s="115"/>
      <c r="I29" s="116"/>
    </row>
    <row r="30" spans="1:9" ht="15" x14ac:dyDescent="0.25">
      <c r="A30" s="174"/>
      <c r="B30" s="174"/>
      <c r="C30" s="175"/>
      <c r="D30" s="167"/>
      <c r="E30" s="168"/>
      <c r="F30" s="169"/>
      <c r="G30" s="114"/>
      <c r="H30" s="115"/>
      <c r="I30" s="116"/>
    </row>
    <row r="31" spans="1:9" ht="15" x14ac:dyDescent="0.25">
      <c r="A31" s="174"/>
      <c r="B31" s="174"/>
      <c r="C31" s="175"/>
      <c r="D31" s="167"/>
      <c r="E31" s="168"/>
      <c r="F31" s="169"/>
      <c r="G31" s="176"/>
      <c r="H31" s="115"/>
      <c r="I31" s="116"/>
    </row>
    <row r="32" spans="1:9" ht="15.75" x14ac:dyDescent="0.25">
      <c r="A32" s="174"/>
      <c r="B32" s="174"/>
      <c r="C32" s="175"/>
      <c r="D32" s="177"/>
      <c r="E32" s="168"/>
      <c r="F32" s="169"/>
      <c r="G32" s="133"/>
      <c r="H32" s="115"/>
      <c r="I32" s="116"/>
    </row>
    <row r="33" spans="1:9" ht="15" x14ac:dyDescent="0.25">
      <c r="A33" s="178"/>
      <c r="B33" s="178"/>
      <c r="C33" s="179"/>
      <c r="D33" s="167"/>
      <c r="E33" s="159"/>
      <c r="F33" s="159"/>
      <c r="G33" s="133"/>
      <c r="H33" s="115"/>
      <c r="I33" s="116"/>
    </row>
    <row r="34" spans="1:9" ht="15" x14ac:dyDescent="0.25">
      <c r="A34" s="165"/>
      <c r="B34" s="130"/>
      <c r="C34" s="166"/>
      <c r="D34" s="173"/>
      <c r="E34" s="158"/>
      <c r="F34" s="132"/>
      <c r="G34" s="133"/>
      <c r="H34" s="115"/>
      <c r="I34" s="116"/>
    </row>
    <row r="35" spans="1:9" ht="15.75" x14ac:dyDescent="0.25">
      <c r="A35" s="174"/>
      <c r="B35" s="174"/>
      <c r="C35" s="175"/>
      <c r="D35" s="167"/>
      <c r="E35" s="158"/>
      <c r="F35" s="132"/>
      <c r="G35" s="180"/>
      <c r="H35" s="115"/>
      <c r="I35" s="116"/>
    </row>
    <row r="36" spans="1:9" ht="15.75" x14ac:dyDescent="0.25">
      <c r="A36" s="139"/>
      <c r="B36" s="140"/>
      <c r="C36" s="181"/>
      <c r="D36" s="134"/>
      <c r="E36" s="134"/>
      <c r="F36" s="135"/>
      <c r="G36" s="182"/>
      <c r="H36" s="182"/>
      <c r="I36" s="116"/>
    </row>
    <row r="37" spans="1:9" ht="14.25" thickBot="1" x14ac:dyDescent="0.3">
      <c r="A37" s="183"/>
      <c r="B37" s="184"/>
      <c r="C37" s="185"/>
      <c r="D37" s="185"/>
      <c r="E37" s="186"/>
      <c r="F37" s="187"/>
      <c r="G37" s="185"/>
      <c r="H37" s="185"/>
      <c r="I37" s="188"/>
    </row>
    <row r="38" spans="1:9" ht="14.25" thickBot="1" x14ac:dyDescent="0.3">
      <c r="A38" s="189"/>
      <c r="B38" s="190"/>
      <c r="C38" s="191"/>
      <c r="D38" s="192" t="s">
        <v>6</v>
      </c>
      <c r="E38" s="193" t="s">
        <v>15</v>
      </c>
      <c r="F38" s="194"/>
      <c r="G38" s="191"/>
      <c r="H38" s="191"/>
      <c r="I38" s="195"/>
    </row>
    <row r="39" spans="1:9" ht="13.5" x14ac:dyDescent="0.25">
      <c r="A39" s="236" t="s">
        <v>10</v>
      </c>
      <c r="B39" s="237"/>
      <c r="C39" s="238"/>
      <c r="D39" s="157">
        <v>800</v>
      </c>
      <c r="E39" s="196" t="s">
        <v>26</v>
      </c>
      <c r="F39" s="239" t="s">
        <v>119</v>
      </c>
      <c r="G39" s="239"/>
      <c r="H39" s="240"/>
      <c r="I39" s="241"/>
    </row>
    <row r="40" spans="1:9" ht="13.5" x14ac:dyDescent="0.25">
      <c r="A40" s="219" t="s">
        <v>9</v>
      </c>
      <c r="B40" s="220"/>
      <c r="C40" s="221"/>
      <c r="D40" s="158">
        <v>2</v>
      </c>
      <c r="E40" s="132" t="s">
        <v>27</v>
      </c>
      <c r="F40" s="222" t="s">
        <v>120</v>
      </c>
      <c r="G40" s="222"/>
      <c r="H40" s="223"/>
      <c r="I40" s="224"/>
    </row>
    <row r="41" spans="1:9" ht="13.5" x14ac:dyDescent="0.25">
      <c r="A41" s="219" t="s">
        <v>14</v>
      </c>
      <c r="B41" s="220"/>
      <c r="C41" s="221"/>
      <c r="D41" s="158">
        <v>1</v>
      </c>
      <c r="E41" s="132" t="s">
        <v>28</v>
      </c>
      <c r="F41" s="222" t="s">
        <v>121</v>
      </c>
      <c r="G41" s="222"/>
      <c r="H41" s="223"/>
      <c r="I41" s="224"/>
    </row>
    <row r="42" spans="1:9" ht="13.5" x14ac:dyDescent="0.25">
      <c r="A42" s="219" t="s">
        <v>13</v>
      </c>
      <c r="B42" s="220"/>
      <c r="C42" s="221"/>
      <c r="D42" s="158">
        <v>800</v>
      </c>
      <c r="E42" s="132" t="s">
        <v>26</v>
      </c>
      <c r="F42" s="225" t="s">
        <v>122</v>
      </c>
      <c r="G42" s="226"/>
      <c r="H42" s="227"/>
      <c r="I42" s="228"/>
    </row>
    <row r="43" spans="1:9" ht="14.25" thickBot="1" x14ac:dyDescent="0.3">
      <c r="A43" s="229" t="s">
        <v>12</v>
      </c>
      <c r="B43" s="230"/>
      <c r="C43" s="231"/>
      <c r="D43" s="197">
        <v>0</v>
      </c>
      <c r="E43" s="198" t="s">
        <v>26</v>
      </c>
      <c r="F43" s="232"/>
      <c r="G43" s="232"/>
      <c r="H43" s="223"/>
      <c r="I43" s="224"/>
    </row>
    <row r="44" spans="1:9" ht="13.5" thickBot="1" x14ac:dyDescent="0.25">
      <c r="A44" s="233" t="s">
        <v>11</v>
      </c>
      <c r="B44" s="234"/>
      <c r="C44" s="234"/>
      <c r="D44" s="234"/>
      <c r="E44" s="234"/>
      <c r="F44" s="234"/>
      <c r="G44" s="234"/>
      <c r="H44" s="234"/>
      <c r="I44" s="235"/>
    </row>
    <row r="45" spans="1:9" ht="18.399999999999999" customHeight="1" x14ac:dyDescent="0.2">
      <c r="A45" s="206" t="s">
        <v>34</v>
      </c>
      <c r="B45" s="207"/>
      <c r="C45" s="207"/>
      <c r="D45" s="207"/>
      <c r="E45" s="207"/>
      <c r="F45" s="207"/>
      <c r="G45" s="207"/>
      <c r="H45" s="207"/>
      <c r="I45" s="208"/>
    </row>
    <row r="46" spans="1:9" ht="14.65" customHeight="1" x14ac:dyDescent="0.2">
      <c r="A46" s="206"/>
      <c r="B46" s="207"/>
      <c r="C46" s="207"/>
      <c r="D46" s="207"/>
      <c r="E46" s="207"/>
      <c r="F46" s="207"/>
      <c r="G46" s="207"/>
      <c r="H46" s="207"/>
      <c r="I46" s="208"/>
    </row>
    <row r="47" spans="1:9" ht="14.65" customHeight="1" x14ac:dyDescent="0.2">
      <c r="A47" s="206"/>
      <c r="B47" s="207"/>
      <c r="C47" s="207"/>
      <c r="D47" s="207"/>
      <c r="E47" s="207"/>
      <c r="F47" s="207"/>
      <c r="G47" s="207"/>
      <c r="H47" s="207"/>
      <c r="I47" s="208"/>
    </row>
    <row r="48" spans="1:9" ht="14.65" customHeight="1" x14ac:dyDescent="0.2">
      <c r="A48" s="206"/>
      <c r="B48" s="207"/>
      <c r="C48" s="207"/>
      <c r="D48" s="207"/>
      <c r="E48" s="207"/>
      <c r="F48" s="207"/>
      <c r="G48" s="207"/>
      <c r="H48" s="207"/>
      <c r="I48" s="208"/>
    </row>
    <row r="49" spans="1:9" ht="14.65" customHeight="1" x14ac:dyDescent="0.2">
      <c r="A49" s="206"/>
      <c r="B49" s="207"/>
      <c r="C49" s="207"/>
      <c r="D49" s="207"/>
      <c r="E49" s="207"/>
      <c r="F49" s="207"/>
      <c r="G49" s="207"/>
      <c r="H49" s="207"/>
      <c r="I49" s="208"/>
    </row>
    <row r="50" spans="1:9" ht="14.65" customHeight="1" x14ac:dyDescent="0.25">
      <c r="A50" s="209"/>
      <c r="B50" s="210"/>
      <c r="C50" s="210"/>
      <c r="D50" s="210"/>
      <c r="E50" s="210"/>
      <c r="F50" s="210"/>
      <c r="G50" s="210"/>
      <c r="H50" s="210"/>
      <c r="I50" s="211"/>
    </row>
    <row r="51" spans="1:9" ht="18" customHeight="1" x14ac:dyDescent="0.25">
      <c r="A51" s="212"/>
      <c r="B51" s="213"/>
      <c r="C51" s="214"/>
      <c r="D51" s="214"/>
      <c r="E51" s="214"/>
      <c r="F51" s="214"/>
      <c r="G51" s="214"/>
      <c r="H51" s="214"/>
      <c r="I51" s="215"/>
    </row>
    <row r="52" spans="1:9" x14ac:dyDescent="0.2">
      <c r="A52" s="216"/>
      <c r="B52" s="217"/>
      <c r="C52" s="217"/>
      <c r="D52" s="217"/>
      <c r="E52" s="217"/>
      <c r="F52" s="217"/>
      <c r="G52" s="217"/>
      <c r="H52" s="217"/>
      <c r="I52" s="218"/>
    </row>
    <row r="53" spans="1:9" ht="15" thickBot="1" x14ac:dyDescent="0.25">
      <c r="A53" s="199"/>
      <c r="B53" s="200"/>
      <c r="C53" s="200"/>
      <c r="D53" s="200"/>
      <c r="E53" s="200"/>
      <c r="F53" s="200"/>
      <c r="G53" s="200"/>
      <c r="H53" s="200"/>
      <c r="I53" s="201"/>
    </row>
    <row r="54" spans="1:9" x14ac:dyDescent="0.2">
      <c r="A54" s="202" t="s">
        <v>123</v>
      </c>
      <c r="B54" s="203"/>
      <c r="C54" s="203"/>
      <c r="D54" s="203"/>
      <c r="E54" s="203"/>
      <c r="F54" s="203"/>
      <c r="G54" s="203"/>
      <c r="H54" s="203"/>
      <c r="I54" s="203"/>
    </row>
    <row r="55" spans="1:9" ht="13.5" x14ac:dyDescent="0.25">
      <c r="A55" s="204"/>
      <c r="B55" s="205"/>
      <c r="C55" s="205"/>
      <c r="D55" s="205"/>
      <c r="E55" s="205"/>
      <c r="F55" s="205"/>
      <c r="G55" s="205"/>
      <c r="H55" s="205"/>
      <c r="I55" s="205"/>
    </row>
    <row r="56" spans="1:9" ht="13.5" x14ac:dyDescent="0.25">
      <c r="A56" s="204"/>
      <c r="B56" s="205"/>
      <c r="C56" s="205"/>
      <c r="D56" s="205"/>
      <c r="E56" s="205"/>
      <c r="F56" s="205"/>
      <c r="G56" s="205"/>
      <c r="H56" s="205"/>
      <c r="I56" s="205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3:I53"/>
    <mergeCell ref="A54:I54"/>
    <mergeCell ref="A55:I55"/>
    <mergeCell ref="A56:I56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5FCA-A82F-4370-8049-312024A1E18F}">
  <dimension ref="A1:Q91"/>
  <sheetViews>
    <sheetView topLeftCell="A5" workbookViewId="0">
      <selection activeCell="B66" sqref="B66:E66"/>
    </sheetView>
  </sheetViews>
  <sheetFormatPr baseColWidth="10" defaultColWidth="8.42578125" defaultRowHeight="12.75" x14ac:dyDescent="0.2"/>
  <cols>
    <col min="1" max="1" width="10" style="8" bestFit="1" customWidth="1"/>
    <col min="2" max="2" width="44.28515625" style="8" bestFit="1" customWidth="1"/>
    <col min="3" max="3" width="10.42578125" style="8" bestFit="1" customWidth="1"/>
    <col min="4" max="4" width="10.42578125" style="8" customWidth="1"/>
    <col min="5" max="5" width="9.7109375" style="8" bestFit="1" customWidth="1"/>
    <col min="6" max="6" width="9.5703125" style="8" bestFit="1" customWidth="1"/>
    <col min="7" max="7" width="9.5703125" style="90" bestFit="1" customWidth="1"/>
    <col min="8" max="8" width="10.42578125" style="81" bestFit="1" customWidth="1"/>
    <col min="9" max="9" width="4.5703125" style="81" customWidth="1"/>
    <col min="10" max="10" width="1.7109375" style="7" customWidth="1"/>
    <col min="11" max="11" width="7" style="8" bestFit="1" customWidth="1"/>
    <col min="12" max="12" width="6.28515625" style="8" customWidth="1"/>
    <col min="13" max="13" width="20.42578125" style="8" customWidth="1"/>
    <col min="14" max="14" width="6.42578125" style="8" bestFit="1" customWidth="1"/>
    <col min="15" max="16" width="8.42578125" style="8"/>
    <col min="17" max="17" width="3.28515625" style="8" customWidth="1"/>
    <col min="18" max="16384" width="8.42578125" style="8"/>
  </cols>
  <sheetData>
    <row r="1" spans="1:10" ht="27.75" customHeight="1" x14ac:dyDescent="0.2">
      <c r="A1" s="3"/>
      <c r="B1" s="3"/>
      <c r="C1" s="3"/>
      <c r="D1" s="3"/>
      <c r="E1" s="4" t="s">
        <v>46</v>
      </c>
      <c r="F1" s="5" t="s">
        <v>47</v>
      </c>
      <c r="G1" s="5" t="s">
        <v>48</v>
      </c>
      <c r="H1" s="5" t="s">
        <v>49</v>
      </c>
      <c r="I1" s="6"/>
    </row>
    <row r="2" spans="1:10" ht="30.75" customHeight="1" x14ac:dyDescent="0.2">
      <c r="A2" s="3"/>
      <c r="B2" s="3"/>
      <c r="C2" s="3"/>
      <c r="D2" s="3"/>
      <c r="E2" s="9">
        <f>IFERROR(O62,"")</f>
        <v>2057.0840022636876</v>
      </c>
      <c r="F2" s="9">
        <f>IFERROR(H53,"")</f>
        <v>1534.7105320748406</v>
      </c>
      <c r="G2" s="9">
        <f>IFERROR(H54,"")</f>
        <v>0.42678304731428574</v>
      </c>
      <c r="H2" s="9">
        <f>IFERROR(H56,"")</f>
        <v>285.20471672198784</v>
      </c>
      <c r="I2" s="10"/>
    </row>
    <row r="3" spans="1:10" ht="15" customHeight="1" x14ac:dyDescent="0.2">
      <c r="A3" s="3"/>
      <c r="B3" s="3"/>
      <c r="C3" s="3"/>
      <c r="D3" s="3"/>
      <c r="E3" s="3"/>
      <c r="F3" s="11"/>
      <c r="G3" s="11"/>
      <c r="H3" s="11"/>
      <c r="I3" s="11"/>
    </row>
    <row r="4" spans="1:10" ht="24.75" customHeight="1" thickBot="1" x14ac:dyDescent="0.25">
      <c r="A4" s="276"/>
      <c r="B4" s="276"/>
      <c r="C4" s="276"/>
      <c r="D4" s="276"/>
      <c r="E4" s="276"/>
      <c r="F4" s="276"/>
      <c r="G4" s="276"/>
      <c r="H4" s="276"/>
      <c r="I4" s="12"/>
    </row>
    <row r="5" spans="1:10" ht="19.5" customHeight="1" thickBot="1" x14ac:dyDescent="0.25">
      <c r="A5" s="277" t="s">
        <v>50</v>
      </c>
      <c r="B5" s="278"/>
      <c r="C5" s="278"/>
      <c r="D5" s="278"/>
      <c r="E5" s="278"/>
      <c r="F5" s="278"/>
      <c r="G5" s="278"/>
      <c r="H5" s="279"/>
      <c r="I5" s="13"/>
    </row>
    <row r="6" spans="1:10" ht="19.5" thickBot="1" x14ac:dyDescent="0.25">
      <c r="A6" s="13"/>
      <c r="B6" s="13"/>
      <c r="C6" s="13"/>
      <c r="D6" s="13"/>
      <c r="E6" s="13"/>
      <c r="F6" s="280" t="s">
        <v>51</v>
      </c>
      <c r="G6" s="280"/>
      <c r="H6" s="14">
        <f ca="1">TODAY()</f>
        <v>45747</v>
      </c>
      <c r="I6" s="14"/>
    </row>
    <row r="7" spans="1:10" ht="26.25" thickBot="1" x14ac:dyDescent="0.25">
      <c r="A7" s="15" t="s">
        <v>52</v>
      </c>
      <c r="B7" s="16" t="s">
        <v>53</v>
      </c>
      <c r="C7" s="16" t="s">
        <v>52</v>
      </c>
      <c r="D7" s="17" t="s">
        <v>54</v>
      </c>
      <c r="E7" s="17" t="s">
        <v>55</v>
      </c>
      <c r="F7" s="17" t="s">
        <v>56</v>
      </c>
      <c r="G7" s="17" t="s">
        <v>57</v>
      </c>
      <c r="H7" s="18" t="s">
        <v>58</v>
      </c>
      <c r="I7" s="19"/>
    </row>
    <row r="8" spans="1:10" ht="13.5" x14ac:dyDescent="0.25">
      <c r="A8" s="20">
        <v>200</v>
      </c>
      <c r="B8" s="8" t="str">
        <f>IFERROR(VLOOKUP(H8,'[1]Consolidado MP Planta'!$A$2:$M$823,3,0),"")</f>
        <v>CREMA BETTERCREAM DOBLE CHOCO (UND:4 K)</v>
      </c>
      <c r="C8" s="21">
        <f>+A8</f>
        <v>200</v>
      </c>
      <c r="D8" s="22" t="str">
        <f>IFERROR(VLOOKUP(H8,'[1]Consolidado MP Planta'!$A$2:$M$823,13,0),"")</f>
        <v>Gramos</v>
      </c>
      <c r="E8" s="22">
        <v>2.92</v>
      </c>
      <c r="F8" s="22">
        <f>IFERROR(C8*E8,"")</f>
        <v>584</v>
      </c>
      <c r="G8" s="23">
        <f t="shared" ref="G8:G14" si="0">IFERROR(F8/$F$66,"")</f>
        <v>0.34765391114713934</v>
      </c>
      <c r="H8" s="24" t="s">
        <v>32</v>
      </c>
      <c r="I8" s="24"/>
      <c r="J8" s="25"/>
    </row>
    <row r="9" spans="1:10" ht="13.5" hidden="1" x14ac:dyDescent="0.25">
      <c r="A9" s="20"/>
      <c r="B9" s="8" t="str">
        <f>IFERROR(VLOOKUP(H9,'[1]Consolidado MP Planta'!$A$2:$M$823,3,0),"")</f>
        <v/>
      </c>
      <c r="C9" s="21">
        <f t="shared" ref="C9:C14" si="1">+A9</f>
        <v>0</v>
      </c>
      <c r="D9" s="22" t="str">
        <f>IFERROR(VLOOKUP(H9,'[1]Consolidado MP Planta'!$A$2:$M$823,13,0),"")</f>
        <v/>
      </c>
      <c r="E9" s="22" t="str">
        <f>IFERROR(VLOOKUP(H9,'[1]Consolidado MP Planta'!$A$2:$M$823,12,0),"")</f>
        <v/>
      </c>
      <c r="F9" s="22" t="str">
        <f t="shared" ref="F9:F14" si="2">IFERROR(C9*E9,"")</f>
        <v/>
      </c>
      <c r="G9" s="23" t="str">
        <f t="shared" si="0"/>
        <v/>
      </c>
      <c r="H9" s="24"/>
      <c r="I9" s="24"/>
      <c r="J9" s="25"/>
    </row>
    <row r="10" spans="1:10" ht="13.5" hidden="1" x14ac:dyDescent="0.25">
      <c r="A10" s="20"/>
      <c r="B10" s="8" t="str">
        <f>IFERROR(VLOOKUP(H10,'[1]Consolidado MP Planta'!$A$2:$M$823,3,0),"")</f>
        <v/>
      </c>
      <c r="C10" s="21">
        <f t="shared" si="1"/>
        <v>0</v>
      </c>
      <c r="D10" s="22" t="str">
        <f>IFERROR(VLOOKUP(H10,'[1]Consolidado MP Planta'!$A$2:$M$823,13,0),"")</f>
        <v/>
      </c>
      <c r="E10" s="22" t="str">
        <f>IFERROR(VLOOKUP(H10,'[1]Consolidado MP Planta'!$A$2:$M$823,12,0),"")</f>
        <v/>
      </c>
      <c r="F10" s="22" t="str">
        <f t="shared" si="2"/>
        <v/>
      </c>
      <c r="G10" s="23" t="str">
        <f t="shared" si="0"/>
        <v/>
      </c>
      <c r="H10" s="24"/>
      <c r="I10" s="24"/>
      <c r="J10" s="25"/>
    </row>
    <row r="11" spans="1:10" ht="13.5" hidden="1" x14ac:dyDescent="0.25">
      <c r="A11" s="20"/>
      <c r="B11" s="8" t="str">
        <f>IFERROR(VLOOKUP(H11,'[1]Consolidado MP Planta'!$A$2:$M$823,3,0),"")</f>
        <v/>
      </c>
      <c r="C11" s="21">
        <f t="shared" si="1"/>
        <v>0</v>
      </c>
      <c r="D11" s="22" t="str">
        <f>IFERROR(VLOOKUP(H11,'[1]Consolidado MP Planta'!$A$2:$M$823,13,0),"")</f>
        <v/>
      </c>
      <c r="E11" s="22" t="str">
        <f>IFERROR(VLOOKUP(H11,'[1]Consolidado MP Planta'!$A$2:$M$823,12,0),"")</f>
        <v/>
      </c>
      <c r="F11" s="22" t="str">
        <f t="shared" si="2"/>
        <v/>
      </c>
      <c r="G11" s="23" t="str">
        <f t="shared" si="0"/>
        <v/>
      </c>
      <c r="H11" s="24"/>
      <c r="I11" s="24"/>
      <c r="J11" s="25"/>
    </row>
    <row r="12" spans="1:10" ht="13.5" hidden="1" x14ac:dyDescent="0.25">
      <c r="A12" s="20"/>
      <c r="B12" s="8" t="str">
        <f>IFERROR(VLOOKUP(H12,'[1]Consolidado MP Planta'!$A$2:$M$823,3,0),"")</f>
        <v/>
      </c>
      <c r="C12" s="21">
        <f t="shared" si="1"/>
        <v>0</v>
      </c>
      <c r="D12" s="22" t="str">
        <f>IFERROR(VLOOKUP(H12,'[1]Consolidado MP Planta'!$A$2:$M$823,13,0),"")</f>
        <v/>
      </c>
      <c r="E12" s="22" t="str">
        <f>IFERROR(VLOOKUP(H12,'[1]Consolidado MP Planta'!$A$2:$M$823,12,0),"")</f>
        <v/>
      </c>
      <c r="F12" s="22" t="str">
        <f t="shared" si="2"/>
        <v/>
      </c>
      <c r="G12" s="23" t="str">
        <f t="shared" si="0"/>
        <v/>
      </c>
      <c r="H12" s="24"/>
      <c r="I12" s="24"/>
      <c r="J12" s="25"/>
    </row>
    <row r="13" spans="1:10" ht="13.5" hidden="1" x14ac:dyDescent="0.25">
      <c r="A13" s="20"/>
      <c r="B13" s="8" t="str">
        <f>IFERROR(VLOOKUP(H13,'[1]Consolidado MP Planta'!$A$2:$M$823,3,0),"")</f>
        <v/>
      </c>
      <c r="C13" s="21">
        <f t="shared" si="1"/>
        <v>0</v>
      </c>
      <c r="D13" s="22" t="str">
        <f>IFERROR(VLOOKUP(H13,'[1]Consolidado MP Planta'!$A$2:$M$823,13,0),"")</f>
        <v/>
      </c>
      <c r="E13" s="22" t="str">
        <f>IFERROR(VLOOKUP(H13,'[1]Consolidado MP Planta'!$A$2:$M$823,12,0),"")</f>
        <v/>
      </c>
      <c r="F13" s="22" t="str">
        <f t="shared" si="2"/>
        <v/>
      </c>
      <c r="G13" s="23" t="str">
        <f t="shared" si="0"/>
        <v/>
      </c>
      <c r="H13" s="24"/>
      <c r="I13" s="24"/>
      <c r="J13" s="25"/>
    </row>
    <row r="14" spans="1:10" ht="13.5" hidden="1" x14ac:dyDescent="0.25">
      <c r="A14" s="20"/>
      <c r="B14" s="8" t="str">
        <f>IFERROR(VLOOKUP(H14,'[1]Consolidado MP Planta'!$A$2:$M$823,3,0),"")</f>
        <v/>
      </c>
      <c r="C14" s="21">
        <f t="shared" si="1"/>
        <v>0</v>
      </c>
      <c r="D14" s="22" t="str">
        <f>IFERROR(VLOOKUP(H14,'[1]Consolidado MP Planta'!$A$2:$M$823,13,0),"")</f>
        <v/>
      </c>
      <c r="E14" s="22" t="str">
        <f>IFERROR(VLOOKUP(H14,'[1]Consolidado MP Planta'!$A$2:$M$823,12,0),"")</f>
        <v/>
      </c>
      <c r="F14" s="22" t="str">
        <f t="shared" si="2"/>
        <v/>
      </c>
      <c r="G14" s="23" t="str">
        <f t="shared" si="0"/>
        <v/>
      </c>
      <c r="H14" s="24"/>
      <c r="I14" s="24"/>
      <c r="J14" s="25"/>
    </row>
    <row r="15" spans="1:10" ht="14.25" thickBot="1" x14ac:dyDescent="0.3">
      <c r="A15" s="20"/>
      <c r="B15" s="8" t="str">
        <f>IFERROR(VLOOKUP(H15,'[2]ARTICULOS MP PLANTA'!$A$2:$G$589,2,0),"")</f>
        <v/>
      </c>
      <c r="C15" s="21"/>
      <c r="D15" s="22"/>
      <c r="E15" s="22"/>
      <c r="F15" s="22"/>
      <c r="G15" s="23"/>
      <c r="H15" s="24"/>
      <c r="I15" s="24"/>
      <c r="J15" s="25"/>
    </row>
    <row r="16" spans="1:10" ht="26.25" thickBot="1" x14ac:dyDescent="0.25">
      <c r="A16" s="15" t="s">
        <v>52</v>
      </c>
      <c r="B16" s="16" t="s">
        <v>59</v>
      </c>
      <c r="C16" s="16" t="s">
        <v>52</v>
      </c>
      <c r="D16" s="17" t="s">
        <v>54</v>
      </c>
      <c r="E16" s="17" t="s">
        <v>55</v>
      </c>
      <c r="F16" s="17" t="s">
        <v>56</v>
      </c>
      <c r="G16" s="17" t="s">
        <v>57</v>
      </c>
      <c r="H16" s="18" t="s">
        <v>58</v>
      </c>
      <c r="I16" s="19"/>
      <c r="J16" s="25"/>
    </row>
    <row r="17" spans="1:12" ht="13.5" x14ac:dyDescent="0.25">
      <c r="A17" s="20">
        <v>600</v>
      </c>
      <c r="B17" s="8" t="str">
        <f>IFERROR(VLOOKUP(H17,[1]SEMIELABORADOS!$A$2:$M$6000,2,0),"")</f>
        <v>MEZCLA TRES LECHES PASTEURIZADA KILO</v>
      </c>
      <c r="C17" s="21">
        <f>+A17</f>
        <v>600</v>
      </c>
      <c r="D17" s="21" t="str">
        <f>IFERROR(VLOOKUP(H17,[1]SEMIELABORADOS!$A$2:$M$6000,6,0),"")</f>
        <v>Gramo</v>
      </c>
      <c r="E17" s="22">
        <f>IFERROR(VLOOKUP(H17,[1]SEMIELABORADOS!$A$2:$H$65536,8,0),"")</f>
        <v>1.5845175534580673</v>
      </c>
      <c r="F17" s="22">
        <f>IFERROR(E17*C17,"")</f>
        <v>950.71053207484044</v>
      </c>
      <c r="G17" s="23">
        <f t="shared" ref="G17:G24" si="3">IFERROR(F17/$F$66,"")</f>
        <v>0.56595588158321253</v>
      </c>
      <c r="H17" s="24" t="s">
        <v>29</v>
      </c>
      <c r="I17" s="24"/>
      <c r="J17" s="25"/>
    </row>
    <row r="18" spans="1:12" ht="13.5" hidden="1" x14ac:dyDescent="0.25">
      <c r="A18" s="20"/>
      <c r="B18" s="8" t="str">
        <f>IFERROR(VLOOKUP(H18,[1]SEMIELABORADOS!$A$2:$M$6000,2,0),"")</f>
        <v/>
      </c>
      <c r="C18" s="21">
        <f t="shared" ref="C18:C24" si="4">+A18</f>
        <v>0</v>
      </c>
      <c r="D18" s="21" t="str">
        <f>IFERROR(VLOOKUP(H18,[1]SEMIELABORADOS!$A$2:$M$6000,6,0),"")</f>
        <v/>
      </c>
      <c r="E18" s="22" t="str">
        <f>IFERROR(VLOOKUP(H18,[1]SEMIELABORADOS!$A$2:$H$65536,8,0),"")</f>
        <v/>
      </c>
      <c r="F18" s="22" t="str">
        <f t="shared" ref="F18:F24" si="5">IFERROR(E18*C18,"")</f>
        <v/>
      </c>
      <c r="G18" s="23" t="str">
        <f t="shared" si="3"/>
        <v/>
      </c>
      <c r="H18" s="24"/>
      <c r="I18" s="24"/>
      <c r="J18" s="25"/>
    </row>
    <row r="19" spans="1:12" ht="13.5" hidden="1" x14ac:dyDescent="0.25">
      <c r="A19" s="20"/>
      <c r="B19" s="8" t="str">
        <f>IFERROR(VLOOKUP(H19,[1]SEMIELABORADOS!$A$2:$M$6000,2,0),"")</f>
        <v/>
      </c>
      <c r="C19" s="21">
        <f>+A19</f>
        <v>0</v>
      </c>
      <c r="D19" s="21" t="str">
        <f>IFERROR(VLOOKUP(H19,[1]SEMIELABORADOS!$A$2:$M$6000,6,0),"")</f>
        <v/>
      </c>
      <c r="E19" s="22" t="str">
        <f>IFERROR(VLOOKUP(H19,[1]SEMIELABORADOS!$A$2:$H$65536,8,0),"")</f>
        <v/>
      </c>
      <c r="F19" s="22" t="str">
        <f>IFERROR(E19*C19,"")</f>
        <v/>
      </c>
      <c r="G19" s="23" t="str">
        <f t="shared" si="3"/>
        <v/>
      </c>
      <c r="H19" s="24"/>
      <c r="I19" s="24"/>
      <c r="J19" s="25"/>
    </row>
    <row r="20" spans="1:12" ht="13.5" hidden="1" x14ac:dyDescent="0.25">
      <c r="A20" s="20"/>
      <c r="B20" s="8" t="str">
        <f>IFERROR(VLOOKUP(H20,[1]SEMIELABORADOS!$A$2:$M$6000,2,0),"")</f>
        <v/>
      </c>
      <c r="C20" s="21">
        <f>+A20</f>
        <v>0</v>
      </c>
      <c r="D20" s="21" t="str">
        <f>IFERROR(VLOOKUP(H20,[1]SEMIELABORADOS!$A$2:$M$6000,6,0),"")</f>
        <v/>
      </c>
      <c r="E20" s="22" t="str">
        <f>IFERROR(VLOOKUP(H20,[1]SEMIELABORADOS!$A$2:$H$65536,8,0),"")</f>
        <v/>
      </c>
      <c r="F20" s="22" t="str">
        <f>IFERROR(E20*C20,"")</f>
        <v/>
      </c>
      <c r="G20" s="23" t="str">
        <f t="shared" si="3"/>
        <v/>
      </c>
      <c r="H20" s="24"/>
      <c r="I20" s="24"/>
      <c r="J20" s="25"/>
    </row>
    <row r="21" spans="1:12" ht="13.5" hidden="1" x14ac:dyDescent="0.25">
      <c r="A21" s="20"/>
      <c r="B21" s="8" t="str">
        <f>IFERROR(VLOOKUP(H21,[1]SEMIELABORADOS!$A$2:$M$6000,2,0),"")</f>
        <v/>
      </c>
      <c r="C21" s="21">
        <f>+A21</f>
        <v>0</v>
      </c>
      <c r="D21" s="21" t="str">
        <f>IFERROR(VLOOKUP(H21,[1]SEMIELABORADOS!$A$2:$M$6000,6,0),"")</f>
        <v/>
      </c>
      <c r="E21" s="22" t="str">
        <f>IFERROR(VLOOKUP(H21,[1]SEMIELABORADOS!$A$2:$H$65536,8,0),"")</f>
        <v/>
      </c>
      <c r="F21" s="22" t="str">
        <f>IFERROR(E21*C21,"")</f>
        <v/>
      </c>
      <c r="G21" s="23" t="str">
        <f t="shared" si="3"/>
        <v/>
      </c>
      <c r="H21" s="24"/>
      <c r="I21" s="24"/>
      <c r="J21" s="25"/>
    </row>
    <row r="22" spans="1:12" ht="13.5" hidden="1" x14ac:dyDescent="0.25">
      <c r="A22" s="20"/>
      <c r="B22" s="8" t="str">
        <f>IFERROR(VLOOKUP(H22,[1]SEMIELABORADOS!$A$2:$M$6000,2,0),"")</f>
        <v/>
      </c>
      <c r="C22" s="21">
        <f t="shared" si="4"/>
        <v>0</v>
      </c>
      <c r="D22" s="21" t="str">
        <f>IFERROR(VLOOKUP(H22,[1]SEMIELABORADOS!$A$2:$M$6000,6,0),"")</f>
        <v/>
      </c>
      <c r="E22" s="22" t="str">
        <f>IFERROR(VLOOKUP(H22,[1]SEMIELABORADOS!$A$2:$H$65536,8,0),"")</f>
        <v/>
      </c>
      <c r="F22" s="22" t="str">
        <f t="shared" si="5"/>
        <v/>
      </c>
      <c r="G22" s="23" t="str">
        <f t="shared" si="3"/>
        <v/>
      </c>
      <c r="H22" s="24"/>
      <c r="I22" s="24"/>
      <c r="J22" s="25"/>
    </row>
    <row r="23" spans="1:12" ht="13.5" hidden="1" x14ac:dyDescent="0.25">
      <c r="A23" s="20"/>
      <c r="B23" s="8" t="str">
        <f>IFERROR(VLOOKUP(H23,[1]SEMIELABORADOS!$A$2:$M$6000,2,0),"")</f>
        <v/>
      </c>
      <c r="C23" s="21">
        <f t="shared" si="4"/>
        <v>0</v>
      </c>
      <c r="D23" s="21" t="str">
        <f>IFERROR(VLOOKUP(H23,[1]SEMIELABORADOS!$A$2:$M$6000,6,0),"")</f>
        <v/>
      </c>
      <c r="E23" s="22" t="str">
        <f>IFERROR(VLOOKUP(H23,[1]SEMIELABORADOS!$A$2:$H$65536,8,0),"")</f>
        <v/>
      </c>
      <c r="F23" s="22" t="str">
        <f t="shared" si="5"/>
        <v/>
      </c>
      <c r="G23" s="23" t="str">
        <f t="shared" si="3"/>
        <v/>
      </c>
      <c r="H23" s="24"/>
      <c r="I23" s="24"/>
      <c r="J23" s="25"/>
    </row>
    <row r="24" spans="1:12" ht="13.5" hidden="1" x14ac:dyDescent="0.25">
      <c r="A24" s="20"/>
      <c r="B24" s="8" t="str">
        <f>IFERROR(VLOOKUP(H24,[1]SEMIELABORADOS!$A$2:$M$6000,2,0),"")</f>
        <v/>
      </c>
      <c r="C24" s="21">
        <f t="shared" si="4"/>
        <v>0</v>
      </c>
      <c r="D24" s="21" t="str">
        <f>IFERROR(VLOOKUP(H24,[1]SEMIELABORADOS!$A$2:$M$6000,6,0),"")</f>
        <v/>
      </c>
      <c r="E24" s="22" t="str">
        <f>IFERROR(VLOOKUP(H24,[1]SEMIELABORADOS!$A$2:$H$65536,8,0),"")</f>
        <v/>
      </c>
      <c r="F24" s="22" t="str">
        <f t="shared" si="5"/>
        <v/>
      </c>
      <c r="G24" s="23" t="str">
        <f t="shared" si="3"/>
        <v/>
      </c>
      <c r="H24" s="24"/>
      <c r="I24" s="24"/>
      <c r="J24" s="25"/>
    </row>
    <row r="25" spans="1:12" ht="14.25" thickBot="1" x14ac:dyDescent="0.3">
      <c r="A25" s="20"/>
      <c r="C25" s="21"/>
      <c r="D25" s="21"/>
      <c r="E25" s="22"/>
      <c r="F25" s="22"/>
      <c r="G25" s="23"/>
      <c r="H25" s="24"/>
      <c r="I25" s="24"/>
      <c r="J25" s="25"/>
    </row>
    <row r="26" spans="1:12" ht="26.25" hidden="1" thickBot="1" x14ac:dyDescent="0.25">
      <c r="A26" s="15" t="s">
        <v>52</v>
      </c>
      <c r="B26" s="16" t="s">
        <v>45</v>
      </c>
      <c r="C26" s="16" t="s">
        <v>52</v>
      </c>
      <c r="D26" s="17" t="s">
        <v>54</v>
      </c>
      <c r="E26" s="17" t="s">
        <v>55</v>
      </c>
      <c r="F26" s="17" t="s">
        <v>56</v>
      </c>
      <c r="G26" s="17" t="s">
        <v>57</v>
      </c>
      <c r="H26" s="18" t="s">
        <v>58</v>
      </c>
      <c r="I26" s="19"/>
    </row>
    <row r="27" spans="1:12" ht="13.5" hidden="1" x14ac:dyDescent="0.25">
      <c r="A27" s="20">
        <v>0</v>
      </c>
      <c r="B27" s="26" t="str">
        <f>IFERROR(VLOOKUP(H27,'[1]Consolidado MP Planta'!$A$2:$M$823,3,0),"")</f>
        <v/>
      </c>
      <c r="C27" s="21">
        <f t="shared" ref="C27:C32" si="6">+A27</f>
        <v>0</v>
      </c>
      <c r="D27" s="22" t="str">
        <f>IFERROR(VLOOKUP(H27,'[1]Consolidado MP Planta'!$A$2:$M$823,13,0),"")</f>
        <v/>
      </c>
      <c r="E27" s="22" t="str">
        <f>IFERROR(VLOOKUP(H27,'[1]Consolidado MP Planta'!$A$2:$M$823,12,0),"")</f>
        <v/>
      </c>
      <c r="F27" s="22" t="str">
        <f t="shared" ref="F27:F32" si="7">IFERROR(C27*E27,"")</f>
        <v/>
      </c>
      <c r="G27" s="23" t="str">
        <f t="shared" ref="G27:G32" si="8">IFERROR(F27/$F$66,"")</f>
        <v/>
      </c>
      <c r="H27" s="27"/>
      <c r="I27" s="27"/>
      <c r="J27" s="25"/>
      <c r="K27" s="281"/>
      <c r="L27" s="281"/>
    </row>
    <row r="28" spans="1:12" ht="13.5" hidden="1" x14ac:dyDescent="0.25">
      <c r="A28" s="20"/>
      <c r="B28" s="26" t="str">
        <f>IFERROR(VLOOKUP(H28,'[1]Consolidado MP Planta'!$A$2:$M$823,3,0),"")</f>
        <v/>
      </c>
      <c r="C28" s="21">
        <f t="shared" si="6"/>
        <v>0</v>
      </c>
      <c r="D28" s="22" t="str">
        <f>IFERROR(VLOOKUP(H28,'[1]Consolidado MP Planta'!$A$2:$M$823,13,0),"")</f>
        <v/>
      </c>
      <c r="E28" s="22" t="str">
        <f>IFERROR(VLOOKUP(H28,'[1]Consolidado MP Planta'!$A$2:$M$823,12,0),"")</f>
        <v/>
      </c>
      <c r="F28" s="22" t="str">
        <f t="shared" si="7"/>
        <v/>
      </c>
      <c r="G28" s="23" t="str">
        <f t="shared" si="8"/>
        <v/>
      </c>
      <c r="H28" s="27"/>
      <c r="I28" s="27"/>
      <c r="J28" s="25"/>
      <c r="K28" s="281"/>
      <c r="L28" s="281"/>
    </row>
    <row r="29" spans="1:12" ht="13.5" hidden="1" x14ac:dyDescent="0.25">
      <c r="A29" s="20"/>
      <c r="B29" s="26" t="str">
        <f>IFERROR(VLOOKUP(H29,'[1]Consolidado MP Planta'!$A$2:$M$823,3,0),"")</f>
        <v/>
      </c>
      <c r="C29" s="21">
        <f t="shared" si="6"/>
        <v>0</v>
      </c>
      <c r="D29" s="22" t="str">
        <f>IFERROR(VLOOKUP(H29,'[1]Consolidado MP Planta'!$A$2:$M$823,13,0),"")</f>
        <v/>
      </c>
      <c r="E29" s="22" t="str">
        <f>IFERROR(VLOOKUP(H29,'[1]Consolidado MP Planta'!$A$2:$M$823,12,0),"")</f>
        <v/>
      </c>
      <c r="F29" s="22" t="str">
        <f t="shared" si="7"/>
        <v/>
      </c>
      <c r="G29" s="23" t="str">
        <f t="shared" si="8"/>
        <v/>
      </c>
      <c r="H29" s="27"/>
      <c r="I29" s="27"/>
      <c r="J29" s="25"/>
      <c r="K29" s="281"/>
      <c r="L29" s="281"/>
    </row>
    <row r="30" spans="1:12" ht="13.5" hidden="1" x14ac:dyDescent="0.25">
      <c r="A30" s="20"/>
      <c r="B30" s="26" t="str">
        <f>IFERROR(VLOOKUP(H30,'[1]Consolidado MP Planta'!$A$2:$M$823,3,0),"")</f>
        <v/>
      </c>
      <c r="C30" s="21">
        <f t="shared" si="6"/>
        <v>0</v>
      </c>
      <c r="D30" s="22" t="str">
        <f>IFERROR(VLOOKUP(H30,'[1]Consolidado MP Planta'!$A$2:$M$823,13,0),"")</f>
        <v/>
      </c>
      <c r="E30" s="22" t="str">
        <f>IFERROR(VLOOKUP(H30,'[1]Consolidado MP Planta'!$A$2:$M$823,12,0),"")</f>
        <v/>
      </c>
      <c r="F30" s="22" t="str">
        <f t="shared" si="7"/>
        <v/>
      </c>
      <c r="G30" s="23" t="str">
        <f t="shared" si="8"/>
        <v/>
      </c>
      <c r="H30" s="27"/>
      <c r="I30" s="27"/>
      <c r="J30" s="25"/>
      <c r="K30" s="281"/>
      <c r="L30" s="281"/>
    </row>
    <row r="31" spans="1:12" ht="13.5" hidden="1" x14ac:dyDescent="0.25">
      <c r="A31" s="20"/>
      <c r="B31" s="26" t="str">
        <f>IFERROR(VLOOKUP(H31,'[1]Consolidado MP Planta'!$A$2:$M$823,3,0),"")</f>
        <v/>
      </c>
      <c r="C31" s="21">
        <f t="shared" si="6"/>
        <v>0</v>
      </c>
      <c r="D31" s="22" t="str">
        <f>IFERROR(VLOOKUP(H31,'[1]Consolidado MP Planta'!$A$2:$M$823,13,0),"")</f>
        <v/>
      </c>
      <c r="E31" s="22" t="str">
        <f>IFERROR(VLOOKUP(H31,'[1]Consolidado MP Planta'!$A$2:$M$823,12,0),"")</f>
        <v/>
      </c>
      <c r="F31" s="22" t="str">
        <f t="shared" si="7"/>
        <v/>
      </c>
      <c r="G31" s="23" t="str">
        <f t="shared" si="8"/>
        <v/>
      </c>
      <c r="H31" s="27"/>
      <c r="I31" s="27"/>
      <c r="J31" s="25"/>
      <c r="K31" s="28"/>
      <c r="L31" s="29"/>
    </row>
    <row r="32" spans="1:12" ht="13.5" hidden="1" x14ac:dyDescent="0.25">
      <c r="A32" s="20"/>
      <c r="B32" s="26" t="str">
        <f>IFERROR(VLOOKUP(H32,'[1]Consolidado MP Planta'!$A$2:$M$823,3,0),"")</f>
        <v/>
      </c>
      <c r="C32" s="21">
        <f t="shared" si="6"/>
        <v>0</v>
      </c>
      <c r="D32" s="22" t="str">
        <f>IFERROR(VLOOKUP(H32,'[1]Consolidado MP Planta'!$A$2:$M$823,13,0),"")</f>
        <v/>
      </c>
      <c r="E32" s="22" t="str">
        <f>IFERROR(VLOOKUP(H32,'[1]Consolidado MP Planta'!$A$2:$M$823,12,0),"")</f>
        <v/>
      </c>
      <c r="F32" s="22" t="str">
        <f t="shared" si="7"/>
        <v/>
      </c>
      <c r="G32" s="23" t="str">
        <f t="shared" si="8"/>
        <v/>
      </c>
      <c r="H32" s="27"/>
      <c r="I32" s="27"/>
      <c r="J32" s="25"/>
    </row>
    <row r="33" spans="1:13" ht="14.25" hidden="1" thickBot="1" x14ac:dyDescent="0.3">
      <c r="A33" s="20"/>
      <c r="B33" s="26"/>
      <c r="C33" s="21"/>
      <c r="D33" s="22"/>
      <c r="E33" s="22"/>
      <c r="F33" s="22"/>
      <c r="G33" s="23"/>
      <c r="H33" s="27"/>
      <c r="I33" s="27"/>
      <c r="J33" s="25"/>
    </row>
    <row r="34" spans="1:13" ht="26.25" thickBot="1" x14ac:dyDescent="0.25">
      <c r="A34" s="15" t="s">
        <v>52</v>
      </c>
      <c r="B34" s="16" t="s">
        <v>60</v>
      </c>
      <c r="C34" s="16" t="s">
        <v>52</v>
      </c>
      <c r="D34" s="17" t="s">
        <v>54</v>
      </c>
      <c r="E34" s="17" t="s">
        <v>55</v>
      </c>
      <c r="F34" s="17" t="s">
        <v>56</v>
      </c>
      <c r="G34" s="17" t="s">
        <v>57</v>
      </c>
      <c r="H34" s="18" t="s">
        <v>58</v>
      </c>
      <c r="I34" s="27"/>
      <c r="J34" s="25"/>
    </row>
    <row r="35" spans="1:13" ht="13.5" x14ac:dyDescent="0.25">
      <c r="A35" s="20">
        <f>+A17</f>
        <v>600</v>
      </c>
      <c r="B35" s="26" t="str">
        <f>IFERROR(VLOOKUP(H35,[1]SEMIELABORADOS!$A$2:$M$6000,2,0),"")</f>
        <v>MEZCLA TRES LECHES PASTEURIZADA KILO</v>
      </c>
      <c r="C35" s="21">
        <f>+A35</f>
        <v>600</v>
      </c>
      <c r="D35" s="22" t="str">
        <f>IFERROR(VLOOKUP(H35,[1]SEMIELABORADOS!$A$2:$M$6000,6,0),"")</f>
        <v>Gramo</v>
      </c>
      <c r="E35" s="22">
        <f>IFERROR(VLOOKUP(H35,[1]SEMIELABORADOS!$A$2:$M$65536,10,0),"")</f>
        <v>7.113050788571429E-4</v>
      </c>
      <c r="F35" s="22">
        <f>IFERROR(E35*C35,"")</f>
        <v>0.42678304731428574</v>
      </c>
      <c r="G35" s="23">
        <f t="shared" ref="G35:G41" si="9">IFERROR(F35/$F$66,"")</f>
        <v>2.5406300618168842E-4</v>
      </c>
      <c r="H35" s="27" t="s">
        <v>29</v>
      </c>
      <c r="I35" s="27"/>
      <c r="J35" s="25"/>
    </row>
    <row r="36" spans="1:13" ht="13.5" hidden="1" x14ac:dyDescent="0.25">
      <c r="A36" s="20">
        <f t="shared" ref="A36:A41" si="10">+A18</f>
        <v>0</v>
      </c>
      <c r="B36" s="26" t="str">
        <f>IFERROR(VLOOKUP(H36,[1]SEMIELABORADOS!$A$2:$M$6000,2,0),"")</f>
        <v/>
      </c>
      <c r="C36" s="21">
        <f t="shared" ref="C36:C41" si="11">+A36</f>
        <v>0</v>
      </c>
      <c r="D36" s="22" t="str">
        <f>IFERROR(VLOOKUP(H36,[1]SEMIELABORADOS!$A$2:$M$6000,6,0),"")</f>
        <v/>
      </c>
      <c r="E36" s="22" t="str">
        <f>IFERROR(VLOOKUP(H36,[1]SEMIELABORADOS!$A$2:$M$65536,10,0),"")</f>
        <v/>
      </c>
      <c r="F36" s="22" t="str">
        <f t="shared" ref="F36:F41" si="12">IFERROR(E36*C36,"")</f>
        <v/>
      </c>
      <c r="G36" s="23" t="str">
        <f t="shared" si="9"/>
        <v/>
      </c>
      <c r="H36" s="27"/>
      <c r="I36" s="27"/>
      <c r="J36" s="25"/>
    </row>
    <row r="37" spans="1:13" ht="13.5" hidden="1" x14ac:dyDescent="0.25">
      <c r="A37" s="20">
        <f t="shared" si="10"/>
        <v>0</v>
      </c>
      <c r="B37" s="26" t="str">
        <f>IFERROR(VLOOKUP(H37,[1]SEMIELABORADOS!$A$2:$M$6000,2,0),"")</f>
        <v/>
      </c>
      <c r="C37" s="21">
        <f t="shared" si="11"/>
        <v>0</v>
      </c>
      <c r="D37" s="22" t="str">
        <f>IFERROR(VLOOKUP(H37,[1]SEMIELABORADOS!$A$2:$M$6000,6,0),"")</f>
        <v/>
      </c>
      <c r="E37" s="22" t="str">
        <f>IFERROR(VLOOKUP(H37,[1]SEMIELABORADOS!$A$2:$M$65536,10,0),"")</f>
        <v/>
      </c>
      <c r="F37" s="22" t="str">
        <f t="shared" si="12"/>
        <v/>
      </c>
      <c r="G37" s="23" t="str">
        <f t="shared" si="9"/>
        <v/>
      </c>
      <c r="H37" s="27"/>
      <c r="I37" s="27"/>
      <c r="J37" s="25"/>
    </row>
    <row r="38" spans="1:13" ht="13.5" hidden="1" x14ac:dyDescent="0.25">
      <c r="A38" s="20">
        <f t="shared" si="10"/>
        <v>0</v>
      </c>
      <c r="B38" s="26" t="str">
        <f>IFERROR(VLOOKUP(H38,[1]SEMIELABORADOS!$A$2:$M$6000,2,0),"")</f>
        <v/>
      </c>
      <c r="C38" s="21">
        <f>+A38</f>
        <v>0</v>
      </c>
      <c r="D38" s="22" t="str">
        <f>IFERROR(VLOOKUP(H38,[1]SEMIELABORADOS!$A$2:$M$6000,6,0),"")</f>
        <v/>
      </c>
      <c r="E38" s="22" t="str">
        <f>IFERROR(VLOOKUP(H38,[1]SEMIELABORADOS!$A$2:$M$65536,10,0),"")</f>
        <v/>
      </c>
      <c r="F38" s="22" t="str">
        <f>IFERROR(E38*C38,"")</f>
        <v/>
      </c>
      <c r="G38" s="23" t="str">
        <f t="shared" si="9"/>
        <v/>
      </c>
      <c r="H38" s="27"/>
      <c r="I38" s="27"/>
      <c r="J38" s="25"/>
    </row>
    <row r="39" spans="1:13" ht="13.5" hidden="1" x14ac:dyDescent="0.25">
      <c r="A39" s="20">
        <f t="shared" si="10"/>
        <v>0</v>
      </c>
      <c r="B39" s="26" t="str">
        <f>IFERROR(VLOOKUP(H39,[1]SEMIELABORADOS!$A$2:$M$6000,2,0),"")</f>
        <v/>
      </c>
      <c r="C39" s="21">
        <f>+A39</f>
        <v>0</v>
      </c>
      <c r="D39" s="22" t="str">
        <f>IFERROR(VLOOKUP(H39,[1]SEMIELABORADOS!$A$2:$M$6000,6,0),"")</f>
        <v/>
      </c>
      <c r="E39" s="22" t="str">
        <f>IFERROR(VLOOKUP(H39,[1]SEMIELABORADOS!$A$2:$M$65536,10,0),"")</f>
        <v/>
      </c>
      <c r="F39" s="22" t="str">
        <f>IFERROR(E39*C39,"")</f>
        <v/>
      </c>
      <c r="G39" s="23" t="str">
        <f t="shared" si="9"/>
        <v/>
      </c>
      <c r="H39" s="27"/>
      <c r="I39" s="27"/>
      <c r="J39" s="25"/>
    </row>
    <row r="40" spans="1:13" ht="13.5" hidden="1" x14ac:dyDescent="0.25">
      <c r="A40" s="20">
        <f t="shared" si="10"/>
        <v>0</v>
      </c>
      <c r="B40" s="26" t="str">
        <f>IFERROR(VLOOKUP(H40,[1]SEMIELABORADOS!$A$2:$M$6000,2,0),"")</f>
        <v/>
      </c>
      <c r="C40" s="21">
        <f t="shared" si="11"/>
        <v>0</v>
      </c>
      <c r="D40" s="22" t="str">
        <f>IFERROR(VLOOKUP(H40,[1]SEMIELABORADOS!$A$2:$M$6000,6,0),"")</f>
        <v/>
      </c>
      <c r="E40" s="22" t="str">
        <f>IFERROR(VLOOKUP(H40,[1]SEMIELABORADOS!$A$2:$M$65536,10,0),"")</f>
        <v/>
      </c>
      <c r="F40" s="22" t="str">
        <f t="shared" si="12"/>
        <v/>
      </c>
      <c r="G40" s="23" t="str">
        <f t="shared" si="9"/>
        <v/>
      </c>
      <c r="H40" s="27"/>
      <c r="I40" s="27"/>
      <c r="J40" s="25"/>
    </row>
    <row r="41" spans="1:13" ht="13.5" hidden="1" x14ac:dyDescent="0.25">
      <c r="A41" s="20">
        <f t="shared" si="10"/>
        <v>0</v>
      </c>
      <c r="B41" s="26" t="str">
        <f>IFERROR(VLOOKUP(H41,[1]SEMIELABORADOS!$A$2:$M$6000,2,0),"")</f>
        <v/>
      </c>
      <c r="C41" s="21">
        <f t="shared" si="11"/>
        <v>0</v>
      </c>
      <c r="D41" s="22" t="str">
        <f>IFERROR(VLOOKUP(H41,[1]SEMIELABORADOS!$A$2:$M$6000,6,0),"")</f>
        <v/>
      </c>
      <c r="E41" s="22" t="str">
        <f>IFERROR(VLOOKUP(H41,[1]SEMIELABORADOS!$A$2:$M$65536,10,0),"")</f>
        <v/>
      </c>
      <c r="F41" s="22" t="str">
        <f t="shared" si="12"/>
        <v/>
      </c>
      <c r="G41" s="23" t="str">
        <f t="shared" si="9"/>
        <v/>
      </c>
      <c r="H41" s="27"/>
      <c r="I41" s="27"/>
      <c r="J41" s="25"/>
    </row>
    <row r="42" spans="1:13" ht="14.25" thickBot="1" x14ac:dyDescent="0.3">
      <c r="A42" s="20"/>
      <c r="B42" s="26"/>
      <c r="C42" s="21"/>
      <c r="D42" s="22"/>
      <c r="E42" s="22"/>
      <c r="F42" s="22"/>
      <c r="G42" s="23"/>
      <c r="H42" s="27"/>
      <c r="I42" s="27"/>
      <c r="J42" s="25"/>
    </row>
    <row r="43" spans="1:13" ht="26.25" thickBot="1" x14ac:dyDescent="0.25">
      <c r="A43" s="15" t="s">
        <v>52</v>
      </c>
      <c r="B43" s="16" t="s">
        <v>61</v>
      </c>
      <c r="C43" s="16" t="s">
        <v>52</v>
      </c>
      <c r="D43" s="17" t="s">
        <v>54</v>
      </c>
      <c r="E43" s="17" t="s">
        <v>55</v>
      </c>
      <c r="F43" s="17" t="s">
        <v>56</v>
      </c>
      <c r="G43" s="17" t="s">
        <v>57</v>
      </c>
      <c r="H43" s="18" t="s">
        <v>58</v>
      </c>
      <c r="I43" s="19"/>
      <c r="J43" s="25"/>
    </row>
    <row r="44" spans="1:13" ht="13.5" x14ac:dyDescent="0.25">
      <c r="A44" s="20">
        <f>+A35</f>
        <v>600</v>
      </c>
      <c r="B44" s="26" t="str">
        <f>IFERROR(VLOOKUP(H44,[1]SEMIELABORADOS!$A$2:$M$6000,2,0),"")</f>
        <v>MEZCLA TRES LECHES PASTEURIZADA KILO</v>
      </c>
      <c r="C44" s="21">
        <f>+A44</f>
        <v>600</v>
      </c>
      <c r="D44" s="22" t="str">
        <f>IFERROR(VLOOKUP(H44,[1]SEMIELABORADOS!$A$2:$M$6000,6,0),"")</f>
        <v>Gramo</v>
      </c>
      <c r="E44" s="22">
        <f>IFERROR(VLOOKUP(H44,[1]SEMIELABORADOS!$A$2:$M$65536,12,0),"")</f>
        <v>0.28534119453664641</v>
      </c>
      <c r="F44" s="22">
        <f>IFERROR(E44*C44,"")</f>
        <v>171.20471672198784</v>
      </c>
      <c r="G44" s="23">
        <f>IFERROR(F44/$F$66,"")</f>
        <v>0.10191779002609096</v>
      </c>
      <c r="H44" s="27" t="s">
        <v>29</v>
      </c>
      <c r="I44" s="19"/>
      <c r="J44" s="25"/>
    </row>
    <row r="45" spans="1:13" ht="13.5" hidden="1" x14ac:dyDescent="0.25">
      <c r="A45" s="20">
        <f t="shared" ref="A45:A50" si="13">+A36</f>
        <v>0</v>
      </c>
      <c r="B45" s="26" t="str">
        <f>IFERROR(VLOOKUP(H45,[1]SEMIELABORADOS!$A$2:$M$6000,2,0),"")</f>
        <v/>
      </c>
      <c r="C45" s="21">
        <f t="shared" ref="C45:C50" si="14">+A45</f>
        <v>0</v>
      </c>
      <c r="D45" s="22" t="str">
        <f>IFERROR(VLOOKUP(H45,[1]SEMIELABORADOS!$A$2:$M$6000,6,0),"")</f>
        <v/>
      </c>
      <c r="E45" s="22" t="str">
        <f>IFERROR(VLOOKUP(H45,[1]SEMIELABORADOS!$A$2:$M$65536,12,0),"")</f>
        <v/>
      </c>
      <c r="F45" s="22" t="str">
        <f t="shared" ref="F45:F50" si="15">IFERROR(E45*C45,"")</f>
        <v/>
      </c>
      <c r="G45" s="23" t="str">
        <f t="shared" ref="G45:G50" si="16">IFERROR(F45/$F$66,"")</f>
        <v/>
      </c>
      <c r="H45" s="27"/>
      <c r="I45" s="19"/>
      <c r="J45" s="25"/>
      <c r="M45" s="30"/>
    </row>
    <row r="46" spans="1:13" ht="13.5" hidden="1" x14ac:dyDescent="0.25">
      <c r="A46" s="20">
        <f t="shared" si="13"/>
        <v>0</v>
      </c>
      <c r="B46" s="26" t="str">
        <f>IFERROR(VLOOKUP(H46,[1]SEMIELABORADOS!$A$2:$M$6000,2,0),"")</f>
        <v/>
      </c>
      <c r="C46" s="21">
        <f t="shared" si="14"/>
        <v>0</v>
      </c>
      <c r="D46" s="22" t="str">
        <f>IFERROR(VLOOKUP(H46,[1]SEMIELABORADOS!$A$2:$M$6000,6,0),"")</f>
        <v/>
      </c>
      <c r="E46" s="22" t="str">
        <f>IFERROR(VLOOKUP(H46,[1]SEMIELABORADOS!$A$2:$M$65536,12,0),"")</f>
        <v/>
      </c>
      <c r="F46" s="22" t="str">
        <f t="shared" si="15"/>
        <v/>
      </c>
      <c r="G46" s="23" t="str">
        <f t="shared" si="16"/>
        <v/>
      </c>
      <c r="H46" s="27"/>
      <c r="I46" s="19"/>
      <c r="J46" s="25"/>
    </row>
    <row r="47" spans="1:13" ht="13.5" hidden="1" x14ac:dyDescent="0.25">
      <c r="A47" s="20">
        <f t="shared" si="13"/>
        <v>0</v>
      </c>
      <c r="B47" s="26" t="str">
        <f>IFERROR(VLOOKUP(H47,[1]SEMIELABORADOS!$A$2:$M$6000,2,0),"")</f>
        <v/>
      </c>
      <c r="C47" s="21">
        <f t="shared" si="14"/>
        <v>0</v>
      </c>
      <c r="D47" s="22" t="str">
        <f>IFERROR(VLOOKUP(H47,[1]SEMIELABORADOS!$A$2:$M$6000,6,0),"")</f>
        <v/>
      </c>
      <c r="E47" s="22" t="str">
        <f>IFERROR(VLOOKUP(H47,[1]SEMIELABORADOS!$A$2:$M$65536,12,0),"")</f>
        <v/>
      </c>
      <c r="F47" s="22" t="str">
        <f t="shared" si="15"/>
        <v/>
      </c>
      <c r="G47" s="23" t="str">
        <f t="shared" si="16"/>
        <v/>
      </c>
      <c r="H47" s="27"/>
      <c r="I47" s="19"/>
      <c r="J47" s="25"/>
    </row>
    <row r="48" spans="1:13" ht="13.5" hidden="1" x14ac:dyDescent="0.25">
      <c r="A48" s="20">
        <f t="shared" si="13"/>
        <v>0</v>
      </c>
      <c r="B48" s="26" t="str">
        <f>IFERROR(VLOOKUP(H48,[1]SEMIELABORADOS!$A$2:$M$6000,2,0),"")</f>
        <v/>
      </c>
      <c r="C48" s="21">
        <f t="shared" si="14"/>
        <v>0</v>
      </c>
      <c r="D48" s="22" t="str">
        <f>IFERROR(VLOOKUP(H48,[1]SEMIELABORADOS!$A$2:$M$6000,6,0),"")</f>
        <v/>
      </c>
      <c r="E48" s="22" t="str">
        <f>IFERROR(VLOOKUP(H48,[1]SEMIELABORADOS!$A$2:$M$65536,12,0),"")</f>
        <v/>
      </c>
      <c r="F48" s="22" t="str">
        <f t="shared" si="15"/>
        <v/>
      </c>
      <c r="G48" s="23" t="str">
        <f t="shared" si="16"/>
        <v/>
      </c>
      <c r="H48" s="27"/>
      <c r="I48" s="19"/>
      <c r="J48" s="25"/>
    </row>
    <row r="49" spans="1:17" ht="13.5" hidden="1" x14ac:dyDescent="0.25">
      <c r="A49" s="20">
        <f t="shared" si="13"/>
        <v>0</v>
      </c>
      <c r="B49" s="26" t="str">
        <f>IFERROR(VLOOKUP(H49,[1]SEMIELABORADOS!$A$2:$M$6000,2,0),"")</f>
        <v/>
      </c>
      <c r="C49" s="21">
        <f t="shared" si="14"/>
        <v>0</v>
      </c>
      <c r="D49" s="22" t="str">
        <f>IFERROR(VLOOKUP(H49,[1]SEMIELABORADOS!$A$2:$M$6000,6,0),"")</f>
        <v/>
      </c>
      <c r="E49" s="22" t="str">
        <f>IFERROR(VLOOKUP(H49,[1]SEMIELABORADOS!$A$2:$M$65536,12,0),"")</f>
        <v/>
      </c>
      <c r="F49" s="22" t="str">
        <f t="shared" si="15"/>
        <v/>
      </c>
      <c r="G49" s="23" t="str">
        <f t="shared" si="16"/>
        <v/>
      </c>
      <c r="H49" s="27"/>
      <c r="I49" s="19"/>
      <c r="J49" s="25"/>
    </row>
    <row r="50" spans="1:17" ht="13.5" hidden="1" x14ac:dyDescent="0.25">
      <c r="A50" s="20">
        <f t="shared" si="13"/>
        <v>0</v>
      </c>
      <c r="B50" s="26" t="str">
        <f>IFERROR(VLOOKUP(H50,[1]SEMIELABORADOS!$A$2:$M$6000,2,0),"")</f>
        <v/>
      </c>
      <c r="C50" s="21">
        <f t="shared" si="14"/>
        <v>0</v>
      </c>
      <c r="D50" s="22" t="str">
        <f>IFERROR(VLOOKUP(H50,[1]SEMIELABORADOS!$A$2:$M$6000,6,0),"")</f>
        <v/>
      </c>
      <c r="E50" s="22" t="str">
        <f>IFERROR(VLOOKUP(H50,[1]SEMIELABORADOS!$A$2:$M$65536,12,0),"")</f>
        <v/>
      </c>
      <c r="F50" s="22" t="str">
        <f t="shared" si="15"/>
        <v/>
      </c>
      <c r="G50" s="23" t="str">
        <f t="shared" si="16"/>
        <v/>
      </c>
      <c r="H50" s="26"/>
      <c r="I50" s="19"/>
      <c r="J50" s="25"/>
    </row>
    <row r="51" spans="1:17" ht="13.5" x14ac:dyDescent="0.25">
      <c r="A51" s="20">
        <v>1</v>
      </c>
      <c r="B51" s="26" t="s">
        <v>62</v>
      </c>
      <c r="C51" s="21">
        <f>+A51</f>
        <v>1</v>
      </c>
      <c r="D51" s="21" t="s">
        <v>63</v>
      </c>
      <c r="E51" s="22">
        <f>+F65</f>
        <v>114</v>
      </c>
      <c r="F51" s="22">
        <f>IFERROR(C51*E51,"")</f>
        <v>114</v>
      </c>
      <c r="G51" s="23">
        <f>IFERROR(F51/$F$66,"")</f>
        <v>6.7863948408859384E-2</v>
      </c>
      <c r="H51" s="31"/>
      <c r="I51" s="31"/>
      <c r="J51" s="25"/>
    </row>
    <row r="52" spans="1:17" ht="14.25" thickBot="1" x14ac:dyDescent="0.3">
      <c r="A52" s="20"/>
      <c r="B52" s="26"/>
      <c r="C52" s="21"/>
      <c r="D52" s="21"/>
      <c r="E52" s="22"/>
      <c r="F52" s="22"/>
      <c r="G52" s="23"/>
      <c r="H52" s="31"/>
      <c r="I52" s="31"/>
      <c r="J52" s="25"/>
    </row>
    <row r="53" spans="1:17" ht="13.5" thickBot="1" x14ac:dyDescent="0.25">
      <c r="A53" s="32"/>
      <c r="B53" s="282" t="s">
        <v>64</v>
      </c>
      <c r="C53" s="282"/>
      <c r="D53" s="282"/>
      <c r="E53" s="282"/>
      <c r="F53" s="34">
        <f>SUM(F8:F14,F17:F24)</f>
        <v>1534.7105320748406</v>
      </c>
      <c r="G53" s="23">
        <f>+F53/$F$66</f>
        <v>0.91360979273035192</v>
      </c>
      <c r="H53" s="35">
        <f>+F53/$D$60</f>
        <v>1534.7105320748406</v>
      </c>
      <c r="I53" s="35"/>
      <c r="J53" s="36"/>
      <c r="K53" s="37"/>
      <c r="L53" s="37"/>
      <c r="M53" s="37"/>
      <c r="N53" s="37"/>
      <c r="O53" s="37"/>
      <c r="P53" s="37"/>
      <c r="Q53" s="38"/>
    </row>
    <row r="54" spans="1:17" x14ac:dyDescent="0.2">
      <c r="A54" s="32"/>
      <c r="B54" s="282" t="s">
        <v>65</v>
      </c>
      <c r="C54" s="282"/>
      <c r="D54" s="282"/>
      <c r="E54" s="282"/>
      <c r="F54" s="34">
        <f>SUM(F27:F32,F35:F41)</f>
        <v>0.42678304731428574</v>
      </c>
      <c r="G54" s="23">
        <f>+F54/$F$66</f>
        <v>2.5406300618168842E-4</v>
      </c>
      <c r="H54" s="35">
        <f>+F54/$D$60</f>
        <v>0.42678304731428574</v>
      </c>
      <c r="I54" s="35"/>
      <c r="J54" s="39"/>
      <c r="K54" s="283" t="s">
        <v>66</v>
      </c>
      <c r="L54" s="284"/>
      <c r="M54" s="284"/>
      <c r="N54" s="284"/>
      <c r="O54" s="40">
        <f>+F55</f>
        <v>1535.1373151221549</v>
      </c>
      <c r="P54" s="40"/>
      <c r="Q54" s="41"/>
    </row>
    <row r="55" spans="1:17" x14ac:dyDescent="0.2">
      <c r="A55" s="32"/>
      <c r="B55" s="282" t="s">
        <v>67</v>
      </c>
      <c r="C55" s="282"/>
      <c r="D55" s="282"/>
      <c r="E55" s="282"/>
      <c r="F55" s="34">
        <f>+F53+F54</f>
        <v>1535.1373151221549</v>
      </c>
      <c r="G55" s="23">
        <f>+F55/$F$66</f>
        <v>0.91386385573653361</v>
      </c>
      <c r="H55" s="35">
        <f>+F55/$D$60</f>
        <v>1535.1373151221549</v>
      </c>
      <c r="I55" s="35"/>
      <c r="J55" s="42"/>
      <c r="K55" s="43"/>
      <c r="M55" s="44" t="s">
        <v>68</v>
      </c>
      <c r="N55" s="45">
        <v>0.18</v>
      </c>
      <c r="O55" s="40">
        <f>+O54*N55</f>
        <v>276.32471672198784</v>
      </c>
      <c r="P55" s="40"/>
      <c r="Q55" s="41"/>
    </row>
    <row r="56" spans="1:17" ht="13.5" thickBot="1" x14ac:dyDescent="0.25">
      <c r="A56" s="32"/>
      <c r="B56" s="33"/>
      <c r="C56" s="282" t="s">
        <v>69</v>
      </c>
      <c r="D56" s="282"/>
      <c r="E56" s="282"/>
      <c r="F56" s="34">
        <f>SUM(F44:F51)</f>
        <v>285.20471672198784</v>
      </c>
      <c r="G56" s="23">
        <f>+F56/$F$66</f>
        <v>0.16978173843495034</v>
      </c>
      <c r="H56" s="35">
        <f>+F56/$D$60</f>
        <v>285.20471672198784</v>
      </c>
      <c r="I56" s="35"/>
      <c r="J56" s="42"/>
      <c r="K56" s="43"/>
      <c r="L56" s="43"/>
      <c r="M56" s="43" t="s">
        <v>70</v>
      </c>
      <c r="N56" s="46"/>
      <c r="O56" s="40">
        <f>O54*N56</f>
        <v>0</v>
      </c>
      <c r="P56" s="40"/>
      <c r="Q56" s="41"/>
    </row>
    <row r="57" spans="1:17" ht="13.5" thickBot="1" x14ac:dyDescent="0.25">
      <c r="A57" s="32"/>
      <c r="B57" s="47"/>
      <c r="C57" s="47"/>
      <c r="D57" s="47"/>
      <c r="E57" s="47"/>
      <c r="F57" s="48"/>
      <c r="G57" s="23"/>
      <c r="H57" s="49"/>
      <c r="I57" s="35"/>
      <c r="J57" s="42"/>
      <c r="K57" s="50"/>
      <c r="M57" s="51" t="s">
        <v>71</v>
      </c>
      <c r="N57" s="52"/>
      <c r="O57" s="53">
        <f>SUM(O54:O56)</f>
        <v>1811.4620318441428</v>
      </c>
      <c r="P57" s="54"/>
      <c r="Q57" s="41"/>
    </row>
    <row r="58" spans="1:17" x14ac:dyDescent="0.2">
      <c r="B58" s="286" t="s">
        <v>72</v>
      </c>
      <c r="C58" s="286"/>
      <c r="D58" s="55">
        <v>800</v>
      </c>
      <c r="E58" s="56"/>
      <c r="G58" s="23"/>
      <c r="H58" s="49"/>
      <c r="I58" s="57"/>
      <c r="J58" s="42"/>
      <c r="K58" s="50"/>
      <c r="L58" s="43"/>
      <c r="M58" s="43" t="s">
        <v>73</v>
      </c>
      <c r="N58" s="58">
        <v>0.16</v>
      </c>
      <c r="O58" s="40">
        <f>+O54*N58</f>
        <v>245.62197041954479</v>
      </c>
      <c r="P58" s="40"/>
      <c r="Q58" s="41"/>
    </row>
    <row r="59" spans="1:17" x14ac:dyDescent="0.2">
      <c r="B59" s="286" t="s">
        <v>74</v>
      </c>
      <c r="C59" s="286"/>
      <c r="D59" s="59">
        <v>800</v>
      </c>
      <c r="E59" s="56"/>
      <c r="G59" s="23"/>
      <c r="H59" s="49"/>
      <c r="I59" s="57"/>
      <c r="J59" s="42"/>
      <c r="K59" s="50"/>
      <c r="L59" s="43"/>
      <c r="M59" s="287" t="s">
        <v>71</v>
      </c>
      <c r="N59" s="287"/>
      <c r="O59" s="40">
        <f>SUM(O57:O58)</f>
        <v>2057.0840022636876</v>
      </c>
      <c r="P59" s="40"/>
      <c r="Q59" s="41"/>
    </row>
    <row r="60" spans="1:17" ht="13.5" thickBot="1" x14ac:dyDescent="0.25">
      <c r="B60" s="288" t="s">
        <v>75</v>
      </c>
      <c r="C60" s="288"/>
      <c r="D60" s="55">
        <f>+D58/D59</f>
        <v>1</v>
      </c>
      <c r="E60" s="56"/>
      <c r="F60" s="60"/>
      <c r="G60" s="23"/>
      <c r="H60" s="49"/>
      <c r="I60" s="57"/>
      <c r="J60" s="42"/>
      <c r="K60" s="50"/>
      <c r="L60" s="287"/>
      <c r="M60" s="287"/>
      <c r="N60" s="58"/>
      <c r="O60" s="40">
        <f>+O59*N60</f>
        <v>0</v>
      </c>
      <c r="P60" s="40"/>
      <c r="Q60" s="41"/>
    </row>
    <row r="61" spans="1:17" ht="13.5" thickBot="1" x14ac:dyDescent="0.25">
      <c r="B61" s="288" t="s">
        <v>76</v>
      </c>
      <c r="C61" s="288"/>
      <c r="D61" s="61"/>
      <c r="E61" s="56"/>
      <c r="F61" s="60"/>
      <c r="G61" s="23"/>
      <c r="H61" s="49"/>
      <c r="I61" s="57"/>
      <c r="J61" s="42"/>
      <c r="K61" s="289" t="s">
        <v>77</v>
      </c>
      <c r="L61" s="290"/>
      <c r="M61" s="290"/>
      <c r="N61" s="291"/>
      <c r="O61" s="53">
        <f>SUM(O59:O60)</f>
        <v>2057.0840022636876</v>
      </c>
      <c r="P61" s="62" t="s">
        <v>78</v>
      </c>
      <c r="Q61" s="41"/>
    </row>
    <row r="62" spans="1:17" ht="13.5" thickBot="1" x14ac:dyDescent="0.25">
      <c r="C62" s="32" t="s">
        <v>79</v>
      </c>
      <c r="D62" s="63"/>
      <c r="E62" s="6" t="s">
        <v>80</v>
      </c>
      <c r="F62" s="64" t="s">
        <v>81</v>
      </c>
      <c r="G62" s="23"/>
      <c r="H62" s="49"/>
      <c r="I62" s="57"/>
      <c r="J62" s="65"/>
      <c r="K62" s="66"/>
      <c r="L62" s="297" t="s">
        <v>82</v>
      </c>
      <c r="M62" s="297"/>
      <c r="N62" s="297"/>
      <c r="O62" s="67">
        <f>+O61/D60</f>
        <v>2057.0840022636876</v>
      </c>
      <c r="P62" s="68">
        <f>+O62/D59</f>
        <v>2.5713550028296095</v>
      </c>
      <c r="Q62" s="69"/>
    </row>
    <row r="63" spans="1:17" ht="13.5" thickBot="1" x14ac:dyDescent="0.25">
      <c r="B63" s="298" t="s">
        <v>67</v>
      </c>
      <c r="C63" s="298"/>
      <c r="D63" s="298"/>
      <c r="E63" s="70">
        <f>+F63/F63</f>
        <v>1</v>
      </c>
      <c r="F63" s="71">
        <f>SUM(F55)</f>
        <v>1535.1373151221549</v>
      </c>
      <c r="G63" s="23">
        <f>+F63/$F$66</f>
        <v>0.91386385573653361</v>
      </c>
      <c r="H63" s="49"/>
      <c r="I63" s="57"/>
      <c r="K63" s="299"/>
      <c r="L63" s="300"/>
      <c r="M63" s="300"/>
      <c r="N63" s="300"/>
      <c r="O63" s="72"/>
      <c r="P63" s="73"/>
    </row>
    <row r="64" spans="1:17" ht="13.5" thickBot="1" x14ac:dyDescent="0.25">
      <c r="B64" s="301" t="s">
        <v>83</v>
      </c>
      <c r="C64" s="301"/>
      <c r="D64" s="301"/>
      <c r="E64" s="74">
        <v>0.02</v>
      </c>
      <c r="F64" s="71">
        <f>+F53*E64</f>
        <v>30.694210641496813</v>
      </c>
      <c r="G64" s="23">
        <f>+F64/$F$66</f>
        <v>1.8272195854607039E-2</v>
      </c>
      <c r="H64" s="35"/>
      <c r="I64" s="57"/>
      <c r="J64" s="75"/>
      <c r="O64" s="76"/>
      <c r="P64" s="33"/>
    </row>
    <row r="65" spans="2:10" ht="13.5" thickBot="1" x14ac:dyDescent="0.25">
      <c r="B65" s="302" t="s">
        <v>84</v>
      </c>
      <c r="C65" s="303"/>
      <c r="D65" s="77">
        <v>2</v>
      </c>
      <c r="E65" s="78">
        <v>57</v>
      </c>
      <c r="F65" s="71">
        <f>+E65*D65</f>
        <v>114</v>
      </c>
      <c r="G65" s="23">
        <f>+F65/$F$66</f>
        <v>6.7863948408859384E-2</v>
      </c>
      <c r="H65" s="35"/>
      <c r="I65" s="35"/>
      <c r="J65" s="25"/>
    </row>
    <row r="66" spans="2:10" ht="13.5" thickBot="1" x14ac:dyDescent="0.25">
      <c r="B66" s="304" t="s">
        <v>85</v>
      </c>
      <c r="C66" s="305"/>
      <c r="D66" s="305"/>
      <c r="E66" s="306"/>
      <c r="F66" s="48">
        <f>SUM(F63:F65)</f>
        <v>1679.8315257636516</v>
      </c>
      <c r="G66" s="23">
        <f>+F66/$F$66</f>
        <v>1</v>
      </c>
      <c r="H66" s="285"/>
      <c r="I66" s="35"/>
      <c r="J66" s="25"/>
    </row>
    <row r="67" spans="2:10" x14ac:dyDescent="0.2">
      <c r="C67" s="30"/>
      <c r="D67" s="30"/>
      <c r="E67" s="80"/>
      <c r="F67" s="71"/>
      <c r="G67" s="23"/>
      <c r="H67" s="285"/>
      <c r="I67" s="79"/>
      <c r="J67" s="8"/>
    </row>
    <row r="68" spans="2:10" ht="13.5" thickBot="1" x14ac:dyDescent="0.25">
      <c r="B68" s="292" t="s">
        <v>86</v>
      </c>
      <c r="C68" s="292"/>
      <c r="D68" s="292"/>
      <c r="E68" s="292"/>
      <c r="F68" s="292"/>
      <c r="G68" s="23"/>
      <c r="H68" s="82"/>
      <c r="I68" s="79"/>
      <c r="J68" s="8"/>
    </row>
    <row r="69" spans="2:10" ht="13.5" thickBot="1" x14ac:dyDescent="0.25">
      <c r="B69" s="83" t="s">
        <v>87</v>
      </c>
      <c r="C69" s="84">
        <f>+F53</f>
        <v>1534.7105320748406</v>
      </c>
      <c r="D69" s="84">
        <f>+D58</f>
        <v>800</v>
      </c>
      <c r="E69" s="85">
        <f>+C69/D69</f>
        <v>1.9183881650935506</v>
      </c>
      <c r="F69" s="23"/>
      <c r="G69" s="82"/>
      <c r="H69" s="25"/>
      <c r="I69" s="82"/>
      <c r="J69" s="8"/>
    </row>
    <row r="70" spans="2:10" x14ac:dyDescent="0.2">
      <c r="B70" s="86"/>
      <c r="C70" s="87"/>
      <c r="D70" s="88"/>
      <c r="E70" s="71"/>
      <c r="F70" s="23"/>
      <c r="G70" s="82"/>
      <c r="H70" s="25"/>
      <c r="I70" s="25"/>
      <c r="J70" s="8"/>
    </row>
    <row r="71" spans="2:10" x14ac:dyDescent="0.2">
      <c r="B71" s="83" t="s">
        <v>88</v>
      </c>
      <c r="C71" s="84">
        <f>SUM(F63:F64)</f>
        <v>1565.8315257636516</v>
      </c>
      <c r="D71" s="84">
        <f>+D58</f>
        <v>800</v>
      </c>
      <c r="E71" s="89">
        <f>+C71/D71</f>
        <v>1.9572894072045646</v>
      </c>
      <c r="F71" s="23"/>
      <c r="G71" s="82"/>
      <c r="H71" s="25"/>
      <c r="I71" s="25"/>
      <c r="J71" s="8"/>
    </row>
    <row r="72" spans="2:10" x14ac:dyDescent="0.2">
      <c r="B72" s="83"/>
      <c r="C72" s="84"/>
      <c r="D72" s="84"/>
      <c r="E72" s="89"/>
      <c r="F72" s="23"/>
      <c r="G72" s="82"/>
      <c r="H72" s="25"/>
      <c r="I72" s="25"/>
      <c r="J72" s="8"/>
    </row>
    <row r="73" spans="2:10" ht="13.5" thickBot="1" x14ac:dyDescent="0.25">
      <c r="B73" s="83" t="s">
        <v>89</v>
      </c>
      <c r="C73" s="84">
        <f>+F65</f>
        <v>114</v>
      </c>
      <c r="D73" s="84">
        <f>+D58</f>
        <v>800</v>
      </c>
      <c r="E73" s="89">
        <f>+C73/D73</f>
        <v>0.14249999999999999</v>
      </c>
      <c r="F73" s="23"/>
      <c r="G73" s="82"/>
      <c r="H73" s="25"/>
      <c r="I73" s="25"/>
      <c r="J73" s="8"/>
    </row>
    <row r="74" spans="2:10" ht="13.5" thickBot="1" x14ac:dyDescent="0.25">
      <c r="B74" s="83" t="s">
        <v>90</v>
      </c>
      <c r="C74" s="84">
        <f>+F56</f>
        <v>285.20471672198784</v>
      </c>
      <c r="D74" s="84">
        <f>+D73</f>
        <v>800</v>
      </c>
      <c r="E74" s="85">
        <f>+C74/D74</f>
        <v>0.35650589590248477</v>
      </c>
      <c r="F74" s="23"/>
      <c r="G74" s="82"/>
      <c r="H74" s="25"/>
      <c r="I74" s="25"/>
      <c r="J74" s="8"/>
    </row>
    <row r="75" spans="2:10" ht="13.5" thickBot="1" x14ac:dyDescent="0.25">
      <c r="B75" s="47"/>
      <c r="C75" s="48"/>
      <c r="D75" s="48"/>
      <c r="E75" s="89"/>
      <c r="F75" s="23"/>
      <c r="G75" s="82"/>
      <c r="H75" s="25"/>
      <c r="I75" s="25"/>
      <c r="J75" s="8"/>
    </row>
    <row r="76" spans="2:10" ht="13.5" thickBot="1" x14ac:dyDescent="0.25">
      <c r="B76" s="83" t="s">
        <v>91</v>
      </c>
      <c r="C76" s="84">
        <f>+F54</f>
        <v>0.42678304731428574</v>
      </c>
      <c r="D76" s="84">
        <f>+D74</f>
        <v>800</v>
      </c>
      <c r="E76" s="85">
        <f>+C76/D76</f>
        <v>5.334788091428572E-4</v>
      </c>
      <c r="F76" s="23"/>
      <c r="G76" s="82"/>
      <c r="H76" s="25"/>
      <c r="I76" s="25"/>
      <c r="J76" s="25"/>
    </row>
    <row r="77" spans="2:10" ht="13.5" thickBot="1" x14ac:dyDescent="0.25">
      <c r="B77" s="47"/>
      <c r="C77" s="48"/>
      <c r="D77" s="48"/>
      <c r="E77" s="89"/>
      <c r="F77" s="23"/>
      <c r="G77" s="82"/>
      <c r="H77" s="25"/>
      <c r="I77" s="25"/>
    </row>
    <row r="78" spans="2:10" ht="13.5" thickBot="1" x14ac:dyDescent="0.25">
      <c r="B78" s="293" t="s">
        <v>92</v>
      </c>
      <c r="C78" s="294"/>
      <c r="D78" s="295"/>
      <c r="E78" s="85">
        <f>+E69+E74</f>
        <v>2.2748940609960355</v>
      </c>
      <c r="G78" s="23"/>
      <c r="H78" s="82"/>
      <c r="I78" s="25"/>
      <c r="J78" s="89"/>
    </row>
    <row r="79" spans="2:10" x14ac:dyDescent="0.2">
      <c r="I79" s="82"/>
      <c r="J79" s="8"/>
    </row>
    <row r="80" spans="2:10" ht="13.5" thickBot="1" x14ac:dyDescent="0.25">
      <c r="B80" s="292" t="s">
        <v>93</v>
      </c>
      <c r="C80" s="292"/>
      <c r="D80" s="292"/>
      <c r="E80" s="292"/>
      <c r="F80" s="292"/>
      <c r="G80" s="23"/>
      <c r="H80" s="82"/>
      <c r="J80" s="8"/>
    </row>
    <row r="81" spans="1:10" ht="13.5" thickBot="1" x14ac:dyDescent="0.25">
      <c r="B81" s="83" t="s">
        <v>87</v>
      </c>
      <c r="C81" s="84">
        <f>+C69</f>
        <v>1534.7105320748406</v>
      </c>
      <c r="D81" s="84">
        <f>+D60</f>
        <v>1</v>
      </c>
      <c r="E81" s="85">
        <f>+C81/D81</f>
        <v>1534.7105320748406</v>
      </c>
      <c r="F81" s="23"/>
      <c r="G81" s="82"/>
      <c r="H81" s="25"/>
      <c r="I81" s="82"/>
      <c r="J81" s="8"/>
    </row>
    <row r="82" spans="1:10" x14ac:dyDescent="0.2">
      <c r="B82" s="86"/>
      <c r="C82" s="87"/>
      <c r="D82" s="88"/>
      <c r="E82" s="71"/>
      <c r="F82" s="23"/>
      <c r="G82" s="82"/>
      <c r="H82" s="25"/>
      <c r="I82" s="25"/>
      <c r="J82" s="8"/>
    </row>
    <row r="83" spans="1:10" x14ac:dyDescent="0.2">
      <c r="B83" s="83" t="s">
        <v>88</v>
      </c>
      <c r="C83" s="84">
        <f>+C71</f>
        <v>1565.8315257636516</v>
      </c>
      <c r="D83" s="84">
        <f>+D60</f>
        <v>1</v>
      </c>
      <c r="E83" s="89">
        <f>+C83/D83</f>
        <v>1565.8315257636516</v>
      </c>
      <c r="F83" s="23"/>
      <c r="G83" s="82"/>
      <c r="H83" s="25"/>
      <c r="I83" s="25"/>
      <c r="J83" s="8"/>
    </row>
    <row r="84" spans="1:10" x14ac:dyDescent="0.2">
      <c r="B84" s="83"/>
      <c r="C84" s="84"/>
      <c r="D84" s="84"/>
      <c r="E84" s="89"/>
      <c r="F84" s="23"/>
      <c r="G84" s="82"/>
      <c r="H84" s="25"/>
      <c r="I84" s="25"/>
      <c r="J84" s="8"/>
    </row>
    <row r="85" spans="1:10" ht="13.5" thickBot="1" x14ac:dyDescent="0.25">
      <c r="B85" s="83" t="s">
        <v>90</v>
      </c>
      <c r="C85" s="84">
        <f>+C73</f>
        <v>114</v>
      </c>
      <c r="D85" s="84">
        <f>+D60</f>
        <v>1</v>
      </c>
      <c r="E85" s="89">
        <f>+C85/D85</f>
        <v>114</v>
      </c>
      <c r="F85" s="91"/>
      <c r="G85" s="81"/>
      <c r="H85" s="7"/>
      <c r="I85" s="25"/>
    </row>
    <row r="86" spans="1:10" ht="13.5" thickBot="1" x14ac:dyDescent="0.25">
      <c r="B86" s="83" t="s">
        <v>90</v>
      </c>
      <c r="C86" s="84">
        <f>+C74</f>
        <v>285.20471672198784</v>
      </c>
      <c r="D86" s="84">
        <f>+D85</f>
        <v>1</v>
      </c>
      <c r="E86" s="85">
        <f>+C86/D86</f>
        <v>285.20471672198784</v>
      </c>
      <c r="F86" s="90"/>
      <c r="G86" s="81"/>
      <c r="H86" s="7"/>
      <c r="I86" s="7"/>
    </row>
    <row r="87" spans="1:10" x14ac:dyDescent="0.2">
      <c r="I87" s="7"/>
    </row>
    <row r="88" spans="1:10" x14ac:dyDescent="0.2">
      <c r="A88" s="296"/>
      <c r="B88" s="296"/>
      <c r="C88" s="92"/>
      <c r="D88" s="92"/>
      <c r="E88" s="93"/>
      <c r="G88" s="94"/>
    </row>
    <row r="89" spans="1:10" x14ac:dyDescent="0.2">
      <c r="A89" s="26"/>
      <c r="B89" s="95"/>
      <c r="C89" s="96"/>
      <c r="D89" s="96"/>
      <c r="E89" s="97"/>
      <c r="G89" s="94"/>
    </row>
    <row r="90" spans="1:10" x14ac:dyDescent="0.2">
      <c r="A90" s="26"/>
      <c r="B90" s="95"/>
      <c r="C90" s="98"/>
      <c r="D90" s="98"/>
      <c r="E90" s="26"/>
      <c r="G90" s="94"/>
    </row>
    <row r="91" spans="1:10" x14ac:dyDescent="0.2">
      <c r="A91" s="26"/>
      <c r="B91" s="95"/>
      <c r="C91" s="99"/>
      <c r="D91" s="99"/>
      <c r="E91" s="26"/>
      <c r="G91" s="94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M59:N59"/>
    <mergeCell ref="B60:C60"/>
    <mergeCell ref="L60:M60"/>
    <mergeCell ref="B61:C61"/>
    <mergeCell ref="K61:N61"/>
    <mergeCell ref="B55:E55"/>
    <mergeCell ref="C56:E56"/>
    <mergeCell ref="H66:H67"/>
    <mergeCell ref="B58:C58"/>
    <mergeCell ref="B59:C59"/>
    <mergeCell ref="K29:L29"/>
    <mergeCell ref="K30:L30"/>
    <mergeCell ref="B53:E53"/>
    <mergeCell ref="B54:E54"/>
    <mergeCell ref="K54:N54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29F8-43AC-4AAE-BC72-4329E955FDD5}">
  <dimension ref="A1:Q91"/>
  <sheetViews>
    <sheetView topLeftCell="A2" workbookViewId="0">
      <selection activeCell="F10" sqref="F10"/>
    </sheetView>
  </sheetViews>
  <sheetFormatPr baseColWidth="10" defaultColWidth="8.42578125" defaultRowHeight="12.75" x14ac:dyDescent="0.2"/>
  <cols>
    <col min="1" max="1" width="10" style="8" bestFit="1" customWidth="1"/>
    <col min="2" max="2" width="44.28515625" style="8" bestFit="1" customWidth="1"/>
    <col min="3" max="3" width="10.42578125" style="8" bestFit="1" customWidth="1"/>
    <col min="4" max="4" width="10.42578125" style="8" customWidth="1"/>
    <col min="5" max="5" width="9.7109375" style="8" bestFit="1" customWidth="1"/>
    <col min="6" max="6" width="9.5703125" style="8" bestFit="1" customWidth="1"/>
    <col min="7" max="7" width="9.5703125" style="90" bestFit="1" customWidth="1"/>
    <col min="8" max="8" width="10.42578125" style="81" bestFit="1" customWidth="1"/>
    <col min="9" max="9" width="4.5703125" style="81" customWidth="1"/>
    <col min="10" max="10" width="1.7109375" style="7" customWidth="1"/>
    <col min="11" max="11" width="7" style="8" bestFit="1" customWidth="1"/>
    <col min="12" max="12" width="6.28515625" style="8" customWidth="1"/>
    <col min="13" max="13" width="20.42578125" style="8" customWidth="1"/>
    <col min="14" max="14" width="6.42578125" style="8" bestFit="1" customWidth="1"/>
    <col min="15" max="16" width="8.42578125" style="8"/>
    <col min="17" max="17" width="3.28515625" style="8" customWidth="1"/>
    <col min="18" max="16384" width="8.42578125" style="8"/>
  </cols>
  <sheetData>
    <row r="1" spans="1:10" ht="27.75" customHeight="1" x14ac:dyDescent="0.2">
      <c r="A1" s="3"/>
      <c r="B1" s="3"/>
      <c r="C1" s="3"/>
      <c r="D1" s="3"/>
      <c r="E1" s="4" t="s">
        <v>46</v>
      </c>
      <c r="F1" s="5" t="s">
        <v>47</v>
      </c>
      <c r="G1" s="5" t="s">
        <v>48</v>
      </c>
      <c r="H1" s="5" t="s">
        <v>49</v>
      </c>
      <c r="I1" s="6"/>
    </row>
    <row r="2" spans="1:10" ht="30.75" customHeight="1" x14ac:dyDescent="0.2">
      <c r="A2" s="3"/>
      <c r="B2" s="3"/>
      <c r="C2" s="3"/>
      <c r="D2" s="3"/>
      <c r="E2" s="9">
        <f>IFERROR(O62,"")</f>
        <v>1035.9314690265487</v>
      </c>
      <c r="F2" s="9">
        <f>IFERROR(H53,"")</f>
        <v>771.38407079646015</v>
      </c>
      <c r="G2" s="9">
        <f>IFERROR(H54,"")</f>
        <v>1.6991150442477876</v>
      </c>
      <c r="H2" s="9">
        <f>IFERROR(H56,"")</f>
        <v>45.876106194690266</v>
      </c>
      <c r="I2" s="10"/>
    </row>
    <row r="3" spans="1:10" ht="15" customHeight="1" x14ac:dyDescent="0.2">
      <c r="A3" s="3"/>
      <c r="B3" s="3"/>
      <c r="C3" s="3"/>
      <c r="D3" s="3"/>
      <c r="E3" s="3"/>
      <c r="F3" s="11"/>
      <c r="G3" s="11"/>
      <c r="H3" s="11"/>
      <c r="I3" s="11"/>
    </row>
    <row r="4" spans="1:10" ht="24.75" customHeight="1" thickBot="1" x14ac:dyDescent="0.25">
      <c r="A4" s="276"/>
      <c r="B4" s="276"/>
      <c r="C4" s="276"/>
      <c r="D4" s="276"/>
      <c r="E4" s="276"/>
      <c r="F4" s="276"/>
      <c r="G4" s="276"/>
      <c r="H4" s="276"/>
      <c r="I4" s="12"/>
    </row>
    <row r="5" spans="1:10" ht="19.5" customHeight="1" thickBot="1" x14ac:dyDescent="0.25">
      <c r="A5" s="277" t="s">
        <v>50</v>
      </c>
      <c r="B5" s="278"/>
      <c r="C5" s="278"/>
      <c r="D5" s="278"/>
      <c r="E5" s="278"/>
      <c r="F5" s="278"/>
      <c r="G5" s="278"/>
      <c r="H5" s="279"/>
      <c r="I5" s="13"/>
    </row>
    <row r="6" spans="1:10" ht="19.5" thickBot="1" x14ac:dyDescent="0.25">
      <c r="A6" s="13"/>
      <c r="B6" s="13"/>
      <c r="C6" s="13"/>
      <c r="D6" s="13"/>
      <c r="E6" s="13"/>
      <c r="F6" s="280" t="s">
        <v>51</v>
      </c>
      <c r="G6" s="280"/>
      <c r="H6" s="14">
        <f ca="1">TODAY()</f>
        <v>45747</v>
      </c>
      <c r="I6" s="14"/>
    </row>
    <row r="7" spans="1:10" ht="26.25" thickBot="1" x14ac:dyDescent="0.25">
      <c r="A7" s="15" t="s">
        <v>52</v>
      </c>
      <c r="B7" s="16" t="s">
        <v>53</v>
      </c>
      <c r="C7" s="16" t="s">
        <v>52</v>
      </c>
      <c r="D7" s="17" t="s">
        <v>54</v>
      </c>
      <c r="E7" s="17" t="s">
        <v>55</v>
      </c>
      <c r="F7" s="17" t="s">
        <v>56</v>
      </c>
      <c r="G7" s="17" t="s">
        <v>57</v>
      </c>
      <c r="H7" s="18" t="s">
        <v>58</v>
      </c>
      <c r="I7" s="19"/>
    </row>
    <row r="8" spans="1:10" ht="13.5" x14ac:dyDescent="0.25">
      <c r="A8" s="20">
        <v>800</v>
      </c>
      <c r="B8" s="8" t="str">
        <f>IFERROR(VLOOKUP(H8,'[1]Consolidado MP Planta'!$A$2:$M$823,3,0),"")</f>
        <v>CREMA PRESTIGE GRAND (UND:4 K) *</v>
      </c>
      <c r="C8" s="21">
        <f>+A8</f>
        <v>800</v>
      </c>
      <c r="D8" s="22" t="str">
        <f>IFERROR(VLOOKUP(H8,'[1]Consolidado MP Planta'!$A$2:$M$823,13,0),"")</f>
        <v>Gramos</v>
      </c>
      <c r="E8" s="22">
        <v>2.25</v>
      </c>
      <c r="F8" s="22">
        <f>IFERROR(C8*E8,"")</f>
        <v>1800</v>
      </c>
      <c r="G8" s="23">
        <f t="shared" ref="G8:G14" si="0">IFERROR(F8/$F$66,"")</f>
        <v>0.31051303999511465</v>
      </c>
      <c r="H8" s="24" t="s">
        <v>38</v>
      </c>
      <c r="I8" s="24"/>
      <c r="J8" s="25"/>
    </row>
    <row r="9" spans="1:10" ht="13.5" x14ac:dyDescent="0.25">
      <c r="A9" s="20">
        <v>200</v>
      </c>
      <c r="B9" s="8" t="str">
        <f>IFERROR(VLOOKUP(H9,'[1]Consolidado MP Planta'!$A$2:$M$823,3,0),"")</f>
        <v>CREMA BETTERCREAM DOBLE CHOCO (UND:4 K)</v>
      </c>
      <c r="C9" s="21">
        <f t="shared" ref="C9:C14" si="1">+A9</f>
        <v>200</v>
      </c>
      <c r="D9" s="22" t="str">
        <f>IFERROR(VLOOKUP(H9,'[1]Consolidado MP Planta'!$A$2:$M$823,13,0),"")</f>
        <v>Gramos</v>
      </c>
      <c r="E9" s="22">
        <v>2.92</v>
      </c>
      <c r="F9" s="22">
        <f t="shared" ref="F9:F14" si="2">IFERROR(C9*E9,"")</f>
        <v>584</v>
      </c>
      <c r="G9" s="23">
        <f t="shared" si="0"/>
        <v>0.10074423075397053</v>
      </c>
      <c r="H9" s="24" t="s">
        <v>32</v>
      </c>
      <c r="I9" s="24"/>
      <c r="J9" s="25"/>
    </row>
    <row r="10" spans="1:10" ht="13.5" x14ac:dyDescent="0.25">
      <c r="A10" s="20">
        <v>200</v>
      </c>
      <c r="B10" s="8" t="str">
        <f>IFERROR(VLOOKUP(H10,'[1]Consolidado MP Planta'!$A$2:$M$823,3,0),"")</f>
        <v>AGUA PLANTA</v>
      </c>
      <c r="C10" s="21">
        <f t="shared" si="1"/>
        <v>200</v>
      </c>
      <c r="D10" s="22" t="str">
        <f>IFERROR(VLOOKUP(H10,'[1]Consolidado MP Planta'!$A$2:$M$823,13,0),"")</f>
        <v>Mililitros</v>
      </c>
      <c r="E10" s="22">
        <f>IFERROR(VLOOKUP(H10,'[1]Consolidado MP Planta'!$A$2:$M$823,12,0),"")</f>
        <v>0.1</v>
      </c>
      <c r="F10" s="22">
        <f t="shared" si="2"/>
        <v>20</v>
      </c>
      <c r="G10" s="23">
        <f t="shared" si="0"/>
        <v>3.4501448888346071E-3</v>
      </c>
      <c r="H10" s="24" t="s">
        <v>40</v>
      </c>
      <c r="I10" s="24"/>
      <c r="J10" s="25"/>
    </row>
    <row r="11" spans="1:10" ht="13.5" x14ac:dyDescent="0.25">
      <c r="A11" s="20">
        <v>16</v>
      </c>
      <c r="B11" s="8" t="str">
        <f>IFERROR(VLOOKUP(H11,'[1]Consolidado MP Planta'!$A$2:$M$823,3,0),"")</f>
        <v>GELATINA PURA  (PAQ:1 k)</v>
      </c>
      <c r="C11" s="21">
        <f t="shared" si="1"/>
        <v>16</v>
      </c>
      <c r="D11" s="22" t="str">
        <f>IFERROR(VLOOKUP(H11,'[1]Consolidado MP Planta'!$A$2:$M$823,13,0),"")</f>
        <v>Gramos</v>
      </c>
      <c r="E11" s="22">
        <v>12.86</v>
      </c>
      <c r="F11" s="22">
        <f t="shared" si="2"/>
        <v>205.76</v>
      </c>
      <c r="G11" s="23">
        <f t="shared" si="0"/>
        <v>3.5495090616330438E-2</v>
      </c>
      <c r="H11" s="24" t="s">
        <v>41</v>
      </c>
      <c r="I11" s="24"/>
      <c r="J11" s="25"/>
    </row>
    <row r="12" spans="1:10" ht="13.5" x14ac:dyDescent="0.25">
      <c r="A12" s="20">
        <v>2</v>
      </c>
      <c r="B12" s="8" t="str">
        <f>IFERROR(VLOOKUP(H12,'[1]Consolidado MP Planta'!$A$2:$M$823,3,0),"")</f>
        <v>PRESERVANTE 1047S (PAQ=5 KILO)</v>
      </c>
      <c r="C12" s="21">
        <f t="shared" si="1"/>
        <v>2</v>
      </c>
      <c r="D12" s="22" t="str">
        <f>IFERROR(VLOOKUP(H12,'[1]Consolidado MP Planta'!$A$2:$M$823,13,0),"")</f>
        <v>Gramos</v>
      </c>
      <c r="E12" s="22">
        <v>9.07</v>
      </c>
      <c r="F12" s="22">
        <f t="shared" si="2"/>
        <v>18.14</v>
      </c>
      <c r="G12" s="23">
        <f t="shared" si="0"/>
        <v>3.1292814141729887E-3</v>
      </c>
      <c r="H12" s="24" t="s">
        <v>42</v>
      </c>
      <c r="I12" s="24"/>
      <c r="J12" s="25"/>
    </row>
    <row r="13" spans="1:10" ht="13.5" hidden="1" x14ac:dyDescent="0.25">
      <c r="A13" s="20"/>
      <c r="B13" s="8" t="str">
        <f>IFERROR(VLOOKUP(H13,'[1]Consolidado MP Planta'!$A$2:$M$823,3,0),"")</f>
        <v/>
      </c>
      <c r="C13" s="21">
        <f t="shared" si="1"/>
        <v>0</v>
      </c>
      <c r="D13" s="22" t="str">
        <f>IFERROR(VLOOKUP(H13,'[1]Consolidado MP Planta'!$A$2:$M$823,13,0),"")</f>
        <v/>
      </c>
      <c r="E13" s="22" t="str">
        <f>IFERROR(VLOOKUP(H13,'[1]Consolidado MP Planta'!$A$2:$M$823,12,0),"")</f>
        <v/>
      </c>
      <c r="F13" s="22" t="str">
        <f t="shared" si="2"/>
        <v/>
      </c>
      <c r="G13" s="23" t="str">
        <f t="shared" si="0"/>
        <v/>
      </c>
      <c r="H13" s="24"/>
      <c r="I13" s="24"/>
      <c r="J13" s="25"/>
    </row>
    <row r="14" spans="1:10" ht="13.5" hidden="1" x14ac:dyDescent="0.25">
      <c r="A14" s="20"/>
      <c r="B14" s="8" t="str">
        <f>IFERROR(VLOOKUP(H14,'[1]Consolidado MP Planta'!$A$2:$M$823,3,0),"")</f>
        <v/>
      </c>
      <c r="C14" s="21">
        <f t="shared" si="1"/>
        <v>0</v>
      </c>
      <c r="D14" s="22" t="str">
        <f>IFERROR(VLOOKUP(H14,'[1]Consolidado MP Planta'!$A$2:$M$823,13,0),"")</f>
        <v/>
      </c>
      <c r="E14" s="22" t="str">
        <f>IFERROR(VLOOKUP(H14,'[1]Consolidado MP Planta'!$A$2:$M$823,12,0),"")</f>
        <v/>
      </c>
      <c r="F14" s="22" t="str">
        <f t="shared" si="2"/>
        <v/>
      </c>
      <c r="G14" s="23" t="str">
        <f t="shared" si="0"/>
        <v/>
      </c>
      <c r="H14" s="24"/>
      <c r="I14" s="24"/>
      <c r="J14" s="25"/>
    </row>
    <row r="15" spans="1:10" ht="14.25" thickBot="1" x14ac:dyDescent="0.3">
      <c r="A15" s="20"/>
      <c r="B15" s="8" t="str">
        <f>IFERROR(VLOOKUP(H15,'[2]ARTICULOS MP PLANTA'!$A$2:$G$589,2,0),"")</f>
        <v/>
      </c>
      <c r="C15" s="21"/>
      <c r="D15" s="22"/>
      <c r="E15" s="22"/>
      <c r="F15" s="22"/>
      <c r="G15" s="23"/>
      <c r="H15" s="24"/>
      <c r="I15" s="24"/>
      <c r="J15" s="25"/>
    </row>
    <row r="16" spans="1:10" ht="26.25" thickBot="1" x14ac:dyDescent="0.25">
      <c r="A16" s="15" t="s">
        <v>52</v>
      </c>
      <c r="B16" s="16" t="s">
        <v>59</v>
      </c>
      <c r="C16" s="16" t="s">
        <v>52</v>
      </c>
      <c r="D16" s="17" t="s">
        <v>54</v>
      </c>
      <c r="E16" s="17" t="s">
        <v>55</v>
      </c>
      <c r="F16" s="17" t="s">
        <v>56</v>
      </c>
      <c r="G16" s="17" t="s">
        <v>57</v>
      </c>
      <c r="H16" s="18" t="s">
        <v>58</v>
      </c>
      <c r="I16" s="19"/>
      <c r="J16" s="25"/>
    </row>
    <row r="17" spans="1:12" ht="13.5" x14ac:dyDescent="0.25">
      <c r="A17" s="20">
        <v>1200</v>
      </c>
      <c r="B17" s="8" t="s">
        <v>39</v>
      </c>
      <c r="C17" s="21">
        <f>+A17</f>
        <v>1200</v>
      </c>
      <c r="D17" s="21" t="s">
        <v>94</v>
      </c>
      <c r="E17" s="22">
        <v>2.35</v>
      </c>
      <c r="F17" s="22">
        <f>IFERROR(E17*C17,"")</f>
        <v>2820</v>
      </c>
      <c r="G17" s="23">
        <f t="shared" ref="G17:G24" si="3">IFERROR(F17/$F$66,"")</f>
        <v>0.48647042932567958</v>
      </c>
      <c r="H17" s="24">
        <v>20100163</v>
      </c>
      <c r="I17" s="24"/>
      <c r="J17" s="25"/>
    </row>
    <row r="18" spans="1:12" ht="13.5" hidden="1" x14ac:dyDescent="0.25">
      <c r="A18" s="20"/>
      <c r="B18" s="8" t="str">
        <f>IFERROR(VLOOKUP(H18,[1]SEMIELABORADOS!$A$2:$M$6000,2,0),"")</f>
        <v/>
      </c>
      <c r="C18" s="21">
        <f t="shared" ref="C18:C24" si="4">+A18</f>
        <v>0</v>
      </c>
      <c r="D18" s="21" t="str">
        <f>IFERROR(VLOOKUP(H18,[1]SEMIELABORADOS!$A$2:$M$6000,6,0),"")</f>
        <v/>
      </c>
      <c r="E18" s="22" t="str">
        <f>IFERROR(VLOOKUP(H18,[1]SEMIELABORADOS!$A$2:$H$65536,8,0),"")</f>
        <v/>
      </c>
      <c r="F18" s="22" t="str">
        <f t="shared" ref="F18:F24" si="5">IFERROR(E18*C18,"")</f>
        <v/>
      </c>
      <c r="G18" s="23" t="str">
        <f t="shared" si="3"/>
        <v/>
      </c>
      <c r="H18" s="24"/>
      <c r="I18" s="24"/>
      <c r="J18" s="25"/>
    </row>
    <row r="19" spans="1:12" ht="13.5" hidden="1" x14ac:dyDescent="0.25">
      <c r="A19" s="20"/>
      <c r="B19" s="8" t="str">
        <f>IFERROR(VLOOKUP(H19,[1]SEMIELABORADOS!$A$2:$M$6000,2,0),"")</f>
        <v/>
      </c>
      <c r="C19" s="21">
        <f>+A19</f>
        <v>0</v>
      </c>
      <c r="D19" s="21" t="str">
        <f>IFERROR(VLOOKUP(H19,[1]SEMIELABORADOS!$A$2:$M$6000,6,0),"")</f>
        <v/>
      </c>
      <c r="E19" s="22" t="str">
        <f>IFERROR(VLOOKUP(H19,[1]SEMIELABORADOS!$A$2:$H$65536,8,0),"")</f>
        <v/>
      </c>
      <c r="F19" s="22" t="str">
        <f>IFERROR(E19*C19,"")</f>
        <v/>
      </c>
      <c r="G19" s="23" t="str">
        <f t="shared" si="3"/>
        <v/>
      </c>
      <c r="H19" s="24"/>
      <c r="I19" s="24"/>
      <c r="J19" s="25"/>
    </row>
    <row r="20" spans="1:12" ht="13.5" hidden="1" x14ac:dyDescent="0.25">
      <c r="A20" s="20"/>
      <c r="B20" s="8" t="str">
        <f>IFERROR(VLOOKUP(H20,[1]SEMIELABORADOS!$A$2:$M$6000,2,0),"")</f>
        <v/>
      </c>
      <c r="C20" s="21">
        <f>+A20</f>
        <v>0</v>
      </c>
      <c r="D20" s="21" t="str">
        <f>IFERROR(VLOOKUP(H20,[1]SEMIELABORADOS!$A$2:$M$6000,6,0),"")</f>
        <v/>
      </c>
      <c r="E20" s="22" t="str">
        <f>IFERROR(VLOOKUP(H20,[1]SEMIELABORADOS!$A$2:$H$65536,8,0),"")</f>
        <v/>
      </c>
      <c r="F20" s="22" t="str">
        <f>IFERROR(E20*C20,"")</f>
        <v/>
      </c>
      <c r="G20" s="23" t="str">
        <f t="shared" si="3"/>
        <v/>
      </c>
      <c r="H20" s="24"/>
      <c r="I20" s="24"/>
      <c r="J20" s="25"/>
    </row>
    <row r="21" spans="1:12" ht="13.5" hidden="1" x14ac:dyDescent="0.25">
      <c r="A21" s="20"/>
      <c r="B21" s="8" t="str">
        <f>IFERROR(VLOOKUP(H21,[1]SEMIELABORADOS!$A$2:$M$6000,2,0),"")</f>
        <v/>
      </c>
      <c r="C21" s="21">
        <f>+A21</f>
        <v>0</v>
      </c>
      <c r="D21" s="21" t="str">
        <f>IFERROR(VLOOKUP(H21,[1]SEMIELABORADOS!$A$2:$M$6000,6,0),"")</f>
        <v/>
      </c>
      <c r="E21" s="22" t="str">
        <f>IFERROR(VLOOKUP(H21,[1]SEMIELABORADOS!$A$2:$H$65536,8,0),"")</f>
        <v/>
      </c>
      <c r="F21" s="22" t="str">
        <f>IFERROR(E21*C21,"")</f>
        <v/>
      </c>
      <c r="G21" s="23" t="str">
        <f t="shared" si="3"/>
        <v/>
      </c>
      <c r="H21" s="24"/>
      <c r="I21" s="24"/>
      <c r="J21" s="25"/>
    </row>
    <row r="22" spans="1:12" ht="13.5" hidden="1" x14ac:dyDescent="0.25">
      <c r="A22" s="20"/>
      <c r="B22" s="8" t="str">
        <f>IFERROR(VLOOKUP(H22,[1]SEMIELABORADOS!$A$2:$M$6000,2,0),"")</f>
        <v/>
      </c>
      <c r="C22" s="21">
        <f t="shared" si="4"/>
        <v>0</v>
      </c>
      <c r="D22" s="21" t="str">
        <f>IFERROR(VLOOKUP(H22,[1]SEMIELABORADOS!$A$2:$M$6000,6,0),"")</f>
        <v/>
      </c>
      <c r="E22" s="22" t="str">
        <f>IFERROR(VLOOKUP(H22,[1]SEMIELABORADOS!$A$2:$H$65536,8,0),"")</f>
        <v/>
      </c>
      <c r="F22" s="22" t="str">
        <f t="shared" si="5"/>
        <v/>
      </c>
      <c r="G22" s="23" t="str">
        <f t="shared" si="3"/>
        <v/>
      </c>
      <c r="H22" s="24"/>
      <c r="I22" s="24"/>
      <c r="J22" s="25"/>
    </row>
    <row r="23" spans="1:12" ht="13.5" hidden="1" x14ac:dyDescent="0.25">
      <c r="A23" s="20"/>
      <c r="B23" s="8" t="str">
        <f>IFERROR(VLOOKUP(H23,[1]SEMIELABORADOS!$A$2:$M$6000,2,0),"")</f>
        <v/>
      </c>
      <c r="C23" s="21">
        <f t="shared" si="4"/>
        <v>0</v>
      </c>
      <c r="D23" s="21" t="str">
        <f>IFERROR(VLOOKUP(H23,[1]SEMIELABORADOS!$A$2:$M$6000,6,0),"")</f>
        <v/>
      </c>
      <c r="E23" s="22" t="str">
        <f>IFERROR(VLOOKUP(H23,[1]SEMIELABORADOS!$A$2:$H$65536,8,0),"")</f>
        <v/>
      </c>
      <c r="F23" s="22" t="str">
        <f t="shared" si="5"/>
        <v/>
      </c>
      <c r="G23" s="23" t="str">
        <f t="shared" si="3"/>
        <v/>
      </c>
      <c r="H23" s="24"/>
      <c r="I23" s="24"/>
      <c r="J23" s="25"/>
    </row>
    <row r="24" spans="1:12" ht="13.5" hidden="1" x14ac:dyDescent="0.25">
      <c r="A24" s="20"/>
      <c r="B24" s="8" t="str">
        <f>IFERROR(VLOOKUP(H24,[1]SEMIELABORADOS!$A$2:$M$6000,2,0),"")</f>
        <v/>
      </c>
      <c r="C24" s="21">
        <f t="shared" si="4"/>
        <v>0</v>
      </c>
      <c r="D24" s="21" t="str">
        <f>IFERROR(VLOOKUP(H24,[1]SEMIELABORADOS!$A$2:$M$6000,6,0),"")</f>
        <v/>
      </c>
      <c r="E24" s="22" t="str">
        <f>IFERROR(VLOOKUP(H24,[1]SEMIELABORADOS!$A$2:$H$65536,8,0),"")</f>
        <v/>
      </c>
      <c r="F24" s="22" t="str">
        <f t="shared" si="5"/>
        <v/>
      </c>
      <c r="G24" s="23" t="str">
        <f t="shared" si="3"/>
        <v/>
      </c>
      <c r="H24" s="24"/>
      <c r="I24" s="24"/>
      <c r="J24" s="25"/>
    </row>
    <row r="25" spans="1:12" ht="14.25" thickBot="1" x14ac:dyDescent="0.3">
      <c r="A25" s="20"/>
      <c r="C25" s="21"/>
      <c r="D25" s="21"/>
      <c r="E25" s="22"/>
      <c r="F25" s="22"/>
      <c r="G25" s="23"/>
      <c r="H25" s="24"/>
      <c r="I25" s="24"/>
      <c r="J25" s="25"/>
    </row>
    <row r="26" spans="1:12" ht="26.25" hidden="1" thickBot="1" x14ac:dyDescent="0.25">
      <c r="A26" s="15" t="s">
        <v>52</v>
      </c>
      <c r="B26" s="16" t="s">
        <v>45</v>
      </c>
      <c r="C26" s="16" t="s">
        <v>52</v>
      </c>
      <c r="D26" s="17" t="s">
        <v>54</v>
      </c>
      <c r="E26" s="17" t="s">
        <v>55</v>
      </c>
      <c r="F26" s="17" t="s">
        <v>56</v>
      </c>
      <c r="G26" s="17" t="s">
        <v>57</v>
      </c>
      <c r="H26" s="18" t="s">
        <v>58</v>
      </c>
      <c r="I26" s="19"/>
    </row>
    <row r="27" spans="1:12" ht="13.5" hidden="1" x14ac:dyDescent="0.25">
      <c r="A27" s="20">
        <v>0</v>
      </c>
      <c r="B27" s="26" t="str">
        <f>IFERROR(VLOOKUP(H27,'[1]Consolidado MP Planta'!$A$2:$M$823,3,0),"")</f>
        <v/>
      </c>
      <c r="C27" s="21">
        <f t="shared" ref="C27:C32" si="6">+A27</f>
        <v>0</v>
      </c>
      <c r="D27" s="22" t="str">
        <f>IFERROR(VLOOKUP(H27,'[1]Consolidado MP Planta'!$A$2:$M$823,13,0),"")</f>
        <v/>
      </c>
      <c r="E27" s="22" t="str">
        <f>IFERROR(VLOOKUP(H27,'[1]Consolidado MP Planta'!$A$2:$M$823,12,0),"")</f>
        <v/>
      </c>
      <c r="F27" s="22" t="str">
        <f t="shared" ref="F27:F32" si="7">IFERROR(C27*E27,"")</f>
        <v/>
      </c>
      <c r="G27" s="23" t="str">
        <f t="shared" ref="G27:G32" si="8">IFERROR(F27/$F$66,"")</f>
        <v/>
      </c>
      <c r="H27" s="27"/>
      <c r="I27" s="27"/>
      <c r="J27" s="25"/>
      <c r="K27" s="281"/>
      <c r="L27" s="281"/>
    </row>
    <row r="28" spans="1:12" ht="13.5" hidden="1" x14ac:dyDescent="0.25">
      <c r="A28" s="20"/>
      <c r="B28" s="26" t="str">
        <f>IFERROR(VLOOKUP(H28,'[1]Consolidado MP Planta'!$A$2:$M$823,3,0),"")</f>
        <v/>
      </c>
      <c r="C28" s="21">
        <f t="shared" si="6"/>
        <v>0</v>
      </c>
      <c r="D28" s="22" t="str">
        <f>IFERROR(VLOOKUP(H28,'[1]Consolidado MP Planta'!$A$2:$M$823,13,0),"")</f>
        <v/>
      </c>
      <c r="E28" s="22" t="str">
        <f>IFERROR(VLOOKUP(H28,'[1]Consolidado MP Planta'!$A$2:$M$823,12,0),"")</f>
        <v/>
      </c>
      <c r="F28" s="22" t="str">
        <f t="shared" si="7"/>
        <v/>
      </c>
      <c r="G28" s="23" t="str">
        <f t="shared" si="8"/>
        <v/>
      </c>
      <c r="H28" s="27"/>
      <c r="I28" s="27"/>
      <c r="J28" s="25"/>
      <c r="K28" s="281"/>
      <c r="L28" s="281"/>
    </row>
    <row r="29" spans="1:12" ht="13.5" hidden="1" x14ac:dyDescent="0.25">
      <c r="A29" s="20"/>
      <c r="B29" s="26" t="str">
        <f>IFERROR(VLOOKUP(H29,'[1]Consolidado MP Planta'!$A$2:$M$823,3,0),"")</f>
        <v/>
      </c>
      <c r="C29" s="21">
        <f t="shared" si="6"/>
        <v>0</v>
      </c>
      <c r="D29" s="22" t="str">
        <f>IFERROR(VLOOKUP(H29,'[1]Consolidado MP Planta'!$A$2:$M$823,13,0),"")</f>
        <v/>
      </c>
      <c r="E29" s="22" t="str">
        <f>IFERROR(VLOOKUP(H29,'[1]Consolidado MP Planta'!$A$2:$M$823,12,0),"")</f>
        <v/>
      </c>
      <c r="F29" s="22" t="str">
        <f t="shared" si="7"/>
        <v/>
      </c>
      <c r="G29" s="23" t="str">
        <f t="shared" si="8"/>
        <v/>
      </c>
      <c r="H29" s="27"/>
      <c r="I29" s="27"/>
      <c r="J29" s="25"/>
      <c r="K29" s="281"/>
      <c r="L29" s="281"/>
    </row>
    <row r="30" spans="1:12" ht="13.5" hidden="1" x14ac:dyDescent="0.25">
      <c r="A30" s="20"/>
      <c r="B30" s="26" t="str">
        <f>IFERROR(VLOOKUP(H30,'[1]Consolidado MP Planta'!$A$2:$M$823,3,0),"")</f>
        <v/>
      </c>
      <c r="C30" s="21">
        <f t="shared" si="6"/>
        <v>0</v>
      </c>
      <c r="D30" s="22" t="str">
        <f>IFERROR(VLOOKUP(H30,'[1]Consolidado MP Planta'!$A$2:$M$823,13,0),"")</f>
        <v/>
      </c>
      <c r="E30" s="22" t="str">
        <f>IFERROR(VLOOKUP(H30,'[1]Consolidado MP Planta'!$A$2:$M$823,12,0),"")</f>
        <v/>
      </c>
      <c r="F30" s="22" t="str">
        <f t="shared" si="7"/>
        <v/>
      </c>
      <c r="G30" s="23" t="str">
        <f t="shared" si="8"/>
        <v/>
      </c>
      <c r="H30" s="27"/>
      <c r="I30" s="27"/>
      <c r="J30" s="25"/>
      <c r="K30" s="281"/>
      <c r="L30" s="281"/>
    </row>
    <row r="31" spans="1:12" ht="13.5" hidden="1" x14ac:dyDescent="0.25">
      <c r="A31" s="20"/>
      <c r="B31" s="26" t="str">
        <f>IFERROR(VLOOKUP(H31,'[1]Consolidado MP Planta'!$A$2:$M$823,3,0),"")</f>
        <v/>
      </c>
      <c r="C31" s="21">
        <f t="shared" si="6"/>
        <v>0</v>
      </c>
      <c r="D31" s="22" t="str">
        <f>IFERROR(VLOOKUP(H31,'[1]Consolidado MP Planta'!$A$2:$M$823,13,0),"")</f>
        <v/>
      </c>
      <c r="E31" s="22" t="str">
        <f>IFERROR(VLOOKUP(H31,'[1]Consolidado MP Planta'!$A$2:$M$823,12,0),"")</f>
        <v/>
      </c>
      <c r="F31" s="22" t="str">
        <f t="shared" si="7"/>
        <v/>
      </c>
      <c r="G31" s="23" t="str">
        <f t="shared" si="8"/>
        <v/>
      </c>
      <c r="H31" s="27"/>
      <c r="I31" s="27"/>
      <c r="J31" s="25"/>
      <c r="K31" s="28"/>
      <c r="L31" s="29"/>
    </row>
    <row r="32" spans="1:12" ht="13.5" hidden="1" x14ac:dyDescent="0.25">
      <c r="A32" s="20"/>
      <c r="B32" s="26" t="str">
        <f>IFERROR(VLOOKUP(H32,'[1]Consolidado MP Planta'!$A$2:$M$823,3,0),"")</f>
        <v/>
      </c>
      <c r="C32" s="21">
        <f t="shared" si="6"/>
        <v>0</v>
      </c>
      <c r="D32" s="22" t="str">
        <f>IFERROR(VLOOKUP(H32,'[1]Consolidado MP Planta'!$A$2:$M$823,13,0),"")</f>
        <v/>
      </c>
      <c r="E32" s="22" t="str">
        <f>IFERROR(VLOOKUP(H32,'[1]Consolidado MP Planta'!$A$2:$M$823,12,0),"")</f>
        <v/>
      </c>
      <c r="F32" s="22" t="str">
        <f t="shared" si="7"/>
        <v/>
      </c>
      <c r="G32" s="23" t="str">
        <f t="shared" si="8"/>
        <v/>
      </c>
      <c r="H32" s="27"/>
      <c r="I32" s="27"/>
      <c r="J32" s="25"/>
    </row>
    <row r="33" spans="1:13" ht="14.25" hidden="1" thickBot="1" x14ac:dyDescent="0.3">
      <c r="A33" s="20"/>
      <c r="B33" s="26"/>
      <c r="C33" s="21"/>
      <c r="D33" s="22"/>
      <c r="E33" s="22"/>
      <c r="F33" s="22"/>
      <c r="G33" s="23"/>
      <c r="H33" s="27"/>
      <c r="I33" s="27"/>
      <c r="J33" s="25"/>
    </row>
    <row r="34" spans="1:13" ht="26.25" thickBot="1" x14ac:dyDescent="0.25">
      <c r="A34" s="15" t="s">
        <v>52</v>
      </c>
      <c r="B34" s="16" t="s">
        <v>60</v>
      </c>
      <c r="C34" s="16" t="s">
        <v>52</v>
      </c>
      <c r="D34" s="17" t="s">
        <v>54</v>
      </c>
      <c r="E34" s="17" t="s">
        <v>55</v>
      </c>
      <c r="F34" s="17" t="s">
        <v>56</v>
      </c>
      <c r="G34" s="17" t="s">
        <v>57</v>
      </c>
      <c r="H34" s="18" t="s">
        <v>58</v>
      </c>
      <c r="I34" s="27"/>
      <c r="J34" s="25"/>
    </row>
    <row r="35" spans="1:13" ht="13.5" x14ac:dyDescent="0.25">
      <c r="A35" s="20">
        <f>+A17</f>
        <v>1200</v>
      </c>
      <c r="B35" s="26" t="s">
        <v>39</v>
      </c>
      <c r="C35" s="21">
        <f>+A35</f>
        <v>1200</v>
      </c>
      <c r="D35" s="22" t="s">
        <v>94</v>
      </c>
      <c r="E35" s="22">
        <v>0.01</v>
      </c>
      <c r="F35" s="22">
        <f>IFERROR(E35*C35,"")</f>
        <v>12</v>
      </c>
      <c r="G35" s="23">
        <f t="shared" ref="G35:G41" si="9">IFERROR(F35/$F$66,"")</f>
        <v>2.0700869333007644E-3</v>
      </c>
      <c r="H35" s="27">
        <v>20100163</v>
      </c>
      <c r="I35" s="27"/>
      <c r="J35" s="25"/>
    </row>
    <row r="36" spans="1:13" ht="13.5" hidden="1" x14ac:dyDescent="0.25">
      <c r="A36" s="20">
        <f t="shared" ref="A36:A41" si="10">+A18</f>
        <v>0</v>
      </c>
      <c r="B36" s="26" t="str">
        <f>IFERROR(VLOOKUP(H36,[1]SEMIELABORADOS!$A$2:$M$6000,2,0),"")</f>
        <v/>
      </c>
      <c r="C36" s="21">
        <f t="shared" ref="C36:C41" si="11">+A36</f>
        <v>0</v>
      </c>
      <c r="D36" s="22" t="str">
        <f>IFERROR(VLOOKUP(H36,[1]SEMIELABORADOS!$A$2:$M$6000,6,0),"")</f>
        <v/>
      </c>
      <c r="E36" s="22" t="str">
        <f>IFERROR(VLOOKUP(H36,[1]SEMIELABORADOS!$A$2:$M$65536,10,0),"")</f>
        <v/>
      </c>
      <c r="F36" s="22" t="str">
        <f t="shared" ref="F36:F41" si="12">IFERROR(E36*C36,"")</f>
        <v/>
      </c>
      <c r="G36" s="23" t="str">
        <f t="shared" si="9"/>
        <v/>
      </c>
      <c r="H36" s="27"/>
      <c r="I36" s="27"/>
      <c r="J36" s="25"/>
    </row>
    <row r="37" spans="1:13" ht="13.5" hidden="1" x14ac:dyDescent="0.25">
      <c r="A37" s="20">
        <f t="shared" si="10"/>
        <v>0</v>
      </c>
      <c r="B37" s="26" t="str">
        <f>IFERROR(VLOOKUP(H37,[1]SEMIELABORADOS!$A$2:$M$6000,2,0),"")</f>
        <v/>
      </c>
      <c r="C37" s="21">
        <f t="shared" si="11"/>
        <v>0</v>
      </c>
      <c r="D37" s="22" t="str">
        <f>IFERROR(VLOOKUP(H37,[1]SEMIELABORADOS!$A$2:$M$6000,6,0),"")</f>
        <v/>
      </c>
      <c r="E37" s="22" t="str">
        <f>IFERROR(VLOOKUP(H37,[1]SEMIELABORADOS!$A$2:$M$65536,10,0),"")</f>
        <v/>
      </c>
      <c r="F37" s="22" t="str">
        <f t="shared" si="12"/>
        <v/>
      </c>
      <c r="G37" s="23" t="str">
        <f t="shared" si="9"/>
        <v/>
      </c>
      <c r="H37" s="27"/>
      <c r="I37" s="27"/>
      <c r="J37" s="25"/>
    </row>
    <row r="38" spans="1:13" ht="13.5" hidden="1" x14ac:dyDescent="0.25">
      <c r="A38" s="20">
        <f t="shared" si="10"/>
        <v>0</v>
      </c>
      <c r="B38" s="26" t="str">
        <f>IFERROR(VLOOKUP(H38,[1]SEMIELABORADOS!$A$2:$M$6000,2,0),"")</f>
        <v/>
      </c>
      <c r="C38" s="21">
        <f>+A38</f>
        <v>0</v>
      </c>
      <c r="D38" s="22" t="str">
        <f>IFERROR(VLOOKUP(H38,[1]SEMIELABORADOS!$A$2:$M$6000,6,0),"")</f>
        <v/>
      </c>
      <c r="E38" s="22" t="str">
        <f>IFERROR(VLOOKUP(H38,[1]SEMIELABORADOS!$A$2:$M$65536,10,0),"")</f>
        <v/>
      </c>
      <c r="F38" s="22" t="str">
        <f>IFERROR(E38*C38,"")</f>
        <v/>
      </c>
      <c r="G38" s="23" t="str">
        <f t="shared" si="9"/>
        <v/>
      </c>
      <c r="H38" s="27"/>
      <c r="I38" s="27"/>
      <c r="J38" s="25"/>
    </row>
    <row r="39" spans="1:13" ht="13.5" hidden="1" x14ac:dyDescent="0.25">
      <c r="A39" s="20">
        <f t="shared" si="10"/>
        <v>0</v>
      </c>
      <c r="B39" s="26" t="str">
        <f>IFERROR(VLOOKUP(H39,[1]SEMIELABORADOS!$A$2:$M$6000,2,0),"")</f>
        <v/>
      </c>
      <c r="C39" s="21">
        <f>+A39</f>
        <v>0</v>
      </c>
      <c r="D39" s="22" t="str">
        <f>IFERROR(VLOOKUP(H39,[1]SEMIELABORADOS!$A$2:$M$6000,6,0),"")</f>
        <v/>
      </c>
      <c r="E39" s="22" t="str">
        <f>IFERROR(VLOOKUP(H39,[1]SEMIELABORADOS!$A$2:$M$65536,10,0),"")</f>
        <v/>
      </c>
      <c r="F39" s="22" t="str">
        <f>IFERROR(E39*C39,"")</f>
        <v/>
      </c>
      <c r="G39" s="23" t="str">
        <f t="shared" si="9"/>
        <v/>
      </c>
      <c r="H39" s="27"/>
      <c r="I39" s="27"/>
      <c r="J39" s="25"/>
    </row>
    <row r="40" spans="1:13" ht="13.5" hidden="1" x14ac:dyDescent="0.25">
      <c r="A40" s="20">
        <f t="shared" si="10"/>
        <v>0</v>
      </c>
      <c r="B40" s="26" t="str">
        <f>IFERROR(VLOOKUP(H40,[1]SEMIELABORADOS!$A$2:$M$6000,2,0),"")</f>
        <v/>
      </c>
      <c r="C40" s="21">
        <f t="shared" si="11"/>
        <v>0</v>
      </c>
      <c r="D40" s="22" t="str">
        <f>IFERROR(VLOOKUP(H40,[1]SEMIELABORADOS!$A$2:$M$6000,6,0),"")</f>
        <v/>
      </c>
      <c r="E40" s="22" t="str">
        <f>IFERROR(VLOOKUP(H40,[1]SEMIELABORADOS!$A$2:$M$65536,10,0),"")</f>
        <v/>
      </c>
      <c r="F40" s="22" t="str">
        <f t="shared" si="12"/>
        <v/>
      </c>
      <c r="G40" s="23" t="str">
        <f t="shared" si="9"/>
        <v/>
      </c>
      <c r="H40" s="27"/>
      <c r="I40" s="27"/>
      <c r="J40" s="25"/>
    </row>
    <row r="41" spans="1:13" ht="13.5" hidden="1" x14ac:dyDescent="0.25">
      <c r="A41" s="20">
        <f t="shared" si="10"/>
        <v>0</v>
      </c>
      <c r="B41" s="26" t="str">
        <f>IFERROR(VLOOKUP(H41,[1]SEMIELABORADOS!$A$2:$M$6000,2,0),"")</f>
        <v/>
      </c>
      <c r="C41" s="21">
        <f t="shared" si="11"/>
        <v>0</v>
      </c>
      <c r="D41" s="22" t="str">
        <f>IFERROR(VLOOKUP(H41,[1]SEMIELABORADOS!$A$2:$M$6000,6,0),"")</f>
        <v/>
      </c>
      <c r="E41" s="22" t="str">
        <f>IFERROR(VLOOKUP(H41,[1]SEMIELABORADOS!$A$2:$M$65536,10,0),"")</f>
        <v/>
      </c>
      <c r="F41" s="22" t="str">
        <f t="shared" si="12"/>
        <v/>
      </c>
      <c r="G41" s="23" t="str">
        <f t="shared" si="9"/>
        <v/>
      </c>
      <c r="H41" s="27"/>
      <c r="I41" s="27"/>
      <c r="J41" s="25"/>
    </row>
    <row r="42" spans="1:13" ht="14.25" thickBot="1" x14ac:dyDescent="0.3">
      <c r="A42" s="20"/>
      <c r="B42" s="26"/>
      <c r="C42" s="21"/>
      <c r="D42" s="22"/>
      <c r="E42" s="22"/>
      <c r="F42" s="22"/>
      <c r="G42" s="23"/>
      <c r="H42" s="27"/>
      <c r="I42" s="27"/>
      <c r="J42" s="25"/>
    </row>
    <row r="43" spans="1:13" ht="26.25" thickBot="1" x14ac:dyDescent="0.25">
      <c r="A43" s="15" t="s">
        <v>52</v>
      </c>
      <c r="B43" s="16" t="s">
        <v>61</v>
      </c>
      <c r="C43" s="16" t="s">
        <v>52</v>
      </c>
      <c r="D43" s="17" t="s">
        <v>54</v>
      </c>
      <c r="E43" s="17" t="s">
        <v>55</v>
      </c>
      <c r="F43" s="17" t="s">
        <v>56</v>
      </c>
      <c r="G43" s="17" t="s">
        <v>57</v>
      </c>
      <c r="H43" s="18" t="s">
        <v>58</v>
      </c>
      <c r="I43" s="19"/>
      <c r="J43" s="25"/>
    </row>
    <row r="44" spans="1:13" ht="13.5" x14ac:dyDescent="0.25">
      <c r="A44" s="20">
        <f>+A35</f>
        <v>1200</v>
      </c>
      <c r="B44" s="26" t="s">
        <v>39</v>
      </c>
      <c r="C44" s="21">
        <f>+A44</f>
        <v>1200</v>
      </c>
      <c r="D44" s="22" t="s">
        <v>94</v>
      </c>
      <c r="E44" s="22">
        <v>0.08</v>
      </c>
      <c r="F44" s="22">
        <f>IFERROR(E44*C44,"")</f>
        <v>96</v>
      </c>
      <c r="G44" s="23">
        <f>IFERROR(F44/$F$66,"")</f>
        <v>1.6560695466406115E-2</v>
      </c>
      <c r="H44" s="27">
        <v>20100163</v>
      </c>
      <c r="I44" s="19"/>
      <c r="J44" s="25"/>
    </row>
    <row r="45" spans="1:13" ht="13.5" hidden="1" x14ac:dyDescent="0.25">
      <c r="A45" s="20">
        <f t="shared" ref="A45:A50" si="13">+A36</f>
        <v>0</v>
      </c>
      <c r="B45" s="26" t="str">
        <f>IFERROR(VLOOKUP(H45,[1]SEMIELABORADOS!$A$2:$M$6000,2,0),"")</f>
        <v/>
      </c>
      <c r="C45" s="21">
        <f t="shared" ref="C45:C50" si="14">+A45</f>
        <v>0</v>
      </c>
      <c r="D45" s="22" t="str">
        <f>IFERROR(VLOOKUP(H45,[1]SEMIELABORADOS!$A$2:$M$6000,6,0),"")</f>
        <v/>
      </c>
      <c r="E45" s="22" t="str">
        <f>IFERROR(VLOOKUP(H45,[1]SEMIELABORADOS!$A$2:$M$65536,12,0),"")</f>
        <v/>
      </c>
      <c r="F45" s="22" t="str">
        <f t="shared" ref="F45:F50" si="15">IFERROR(E45*C45,"")</f>
        <v/>
      </c>
      <c r="G45" s="23" t="str">
        <f t="shared" ref="G45:G50" si="16">IFERROR(F45/$F$66,"")</f>
        <v/>
      </c>
      <c r="H45" s="27"/>
      <c r="I45" s="19"/>
      <c r="J45" s="25"/>
      <c r="M45" s="30"/>
    </row>
    <row r="46" spans="1:13" ht="13.5" hidden="1" x14ac:dyDescent="0.25">
      <c r="A46" s="20">
        <f t="shared" si="13"/>
        <v>0</v>
      </c>
      <c r="B46" s="26" t="str">
        <f>IFERROR(VLOOKUP(H46,[1]SEMIELABORADOS!$A$2:$M$6000,2,0),"")</f>
        <v/>
      </c>
      <c r="C46" s="21">
        <f t="shared" si="14"/>
        <v>0</v>
      </c>
      <c r="D46" s="22" t="str">
        <f>IFERROR(VLOOKUP(H46,[1]SEMIELABORADOS!$A$2:$M$6000,6,0),"")</f>
        <v/>
      </c>
      <c r="E46" s="22" t="str">
        <f>IFERROR(VLOOKUP(H46,[1]SEMIELABORADOS!$A$2:$M$65536,12,0),"")</f>
        <v/>
      </c>
      <c r="F46" s="22" t="str">
        <f t="shared" si="15"/>
        <v/>
      </c>
      <c r="G46" s="23" t="str">
        <f t="shared" si="16"/>
        <v/>
      </c>
      <c r="H46" s="27"/>
      <c r="I46" s="19"/>
      <c r="J46" s="25"/>
    </row>
    <row r="47" spans="1:13" ht="13.5" hidden="1" x14ac:dyDescent="0.25">
      <c r="A47" s="20">
        <f t="shared" si="13"/>
        <v>0</v>
      </c>
      <c r="B47" s="26" t="str">
        <f>IFERROR(VLOOKUP(H47,[1]SEMIELABORADOS!$A$2:$M$6000,2,0),"")</f>
        <v/>
      </c>
      <c r="C47" s="21">
        <f t="shared" si="14"/>
        <v>0</v>
      </c>
      <c r="D47" s="22" t="str">
        <f>IFERROR(VLOOKUP(H47,[1]SEMIELABORADOS!$A$2:$M$6000,6,0),"")</f>
        <v/>
      </c>
      <c r="E47" s="22" t="str">
        <f>IFERROR(VLOOKUP(H47,[1]SEMIELABORADOS!$A$2:$M$65536,12,0),"")</f>
        <v/>
      </c>
      <c r="F47" s="22" t="str">
        <f t="shared" si="15"/>
        <v/>
      </c>
      <c r="G47" s="23" t="str">
        <f t="shared" si="16"/>
        <v/>
      </c>
      <c r="H47" s="27"/>
      <c r="I47" s="19"/>
      <c r="J47" s="25"/>
    </row>
    <row r="48" spans="1:13" ht="13.5" hidden="1" x14ac:dyDescent="0.25">
      <c r="A48" s="20">
        <f t="shared" si="13"/>
        <v>0</v>
      </c>
      <c r="B48" s="26" t="str">
        <f>IFERROR(VLOOKUP(H48,[1]SEMIELABORADOS!$A$2:$M$6000,2,0),"")</f>
        <v/>
      </c>
      <c r="C48" s="21">
        <f t="shared" si="14"/>
        <v>0</v>
      </c>
      <c r="D48" s="22" t="str">
        <f>IFERROR(VLOOKUP(H48,[1]SEMIELABORADOS!$A$2:$M$6000,6,0),"")</f>
        <v/>
      </c>
      <c r="E48" s="22" t="str">
        <f>IFERROR(VLOOKUP(H48,[1]SEMIELABORADOS!$A$2:$M$65536,12,0),"")</f>
        <v/>
      </c>
      <c r="F48" s="22" t="str">
        <f t="shared" si="15"/>
        <v/>
      </c>
      <c r="G48" s="23" t="str">
        <f t="shared" si="16"/>
        <v/>
      </c>
      <c r="H48" s="27"/>
      <c r="I48" s="19"/>
      <c r="J48" s="25"/>
    </row>
    <row r="49" spans="1:17" ht="13.5" hidden="1" x14ac:dyDescent="0.25">
      <c r="A49" s="20">
        <f t="shared" si="13"/>
        <v>0</v>
      </c>
      <c r="B49" s="26" t="str">
        <f>IFERROR(VLOOKUP(H49,[1]SEMIELABORADOS!$A$2:$M$6000,2,0),"")</f>
        <v/>
      </c>
      <c r="C49" s="21">
        <f t="shared" si="14"/>
        <v>0</v>
      </c>
      <c r="D49" s="22" t="str">
        <f>IFERROR(VLOOKUP(H49,[1]SEMIELABORADOS!$A$2:$M$6000,6,0),"")</f>
        <v/>
      </c>
      <c r="E49" s="22" t="str">
        <f>IFERROR(VLOOKUP(H49,[1]SEMIELABORADOS!$A$2:$M$65536,12,0),"")</f>
        <v/>
      </c>
      <c r="F49" s="22" t="str">
        <f t="shared" si="15"/>
        <v/>
      </c>
      <c r="G49" s="23" t="str">
        <f t="shared" si="16"/>
        <v/>
      </c>
      <c r="H49" s="27"/>
      <c r="I49" s="19"/>
      <c r="J49" s="25"/>
    </row>
    <row r="50" spans="1:17" ht="13.5" hidden="1" x14ac:dyDescent="0.25">
      <c r="A50" s="20">
        <f t="shared" si="13"/>
        <v>0</v>
      </c>
      <c r="B50" s="26" t="str">
        <f>IFERROR(VLOOKUP(H50,[1]SEMIELABORADOS!$A$2:$M$6000,2,0),"")</f>
        <v/>
      </c>
      <c r="C50" s="21">
        <f t="shared" si="14"/>
        <v>0</v>
      </c>
      <c r="D50" s="22" t="str">
        <f>IFERROR(VLOOKUP(H50,[1]SEMIELABORADOS!$A$2:$M$6000,6,0),"")</f>
        <v/>
      </c>
      <c r="E50" s="22" t="str">
        <f>IFERROR(VLOOKUP(H50,[1]SEMIELABORADOS!$A$2:$M$65536,12,0),"")</f>
        <v/>
      </c>
      <c r="F50" s="22" t="str">
        <f t="shared" si="15"/>
        <v/>
      </c>
      <c r="G50" s="23" t="str">
        <f t="shared" si="16"/>
        <v/>
      </c>
      <c r="H50" s="26"/>
      <c r="I50" s="19"/>
      <c r="J50" s="25"/>
    </row>
    <row r="51" spans="1:17" ht="13.5" x14ac:dyDescent="0.25">
      <c r="A51" s="20">
        <v>1</v>
      </c>
      <c r="B51" s="26" t="s">
        <v>62</v>
      </c>
      <c r="C51" s="21">
        <f>+A51</f>
        <v>1</v>
      </c>
      <c r="D51" s="21" t="s">
        <v>63</v>
      </c>
      <c r="E51" s="22">
        <f>+F65</f>
        <v>228</v>
      </c>
      <c r="F51" s="22">
        <f>IFERROR(C51*E51,"")</f>
        <v>228</v>
      </c>
      <c r="G51" s="23">
        <f>IFERROR(F51/$F$66,"")</f>
        <v>3.9331651732714523E-2</v>
      </c>
      <c r="H51" s="31"/>
      <c r="I51" s="31"/>
      <c r="J51" s="25"/>
    </row>
    <row r="52" spans="1:17" ht="14.25" thickBot="1" x14ac:dyDescent="0.3">
      <c r="A52" s="20"/>
      <c r="B52" s="26"/>
      <c r="C52" s="21"/>
      <c r="D52" s="21"/>
      <c r="E52" s="22"/>
      <c r="F52" s="22"/>
      <c r="G52" s="23"/>
      <c r="H52" s="31"/>
      <c r="I52" s="31"/>
      <c r="J52" s="25"/>
    </row>
    <row r="53" spans="1:17" ht="13.5" thickBot="1" x14ac:dyDescent="0.25">
      <c r="A53" s="32"/>
      <c r="B53" s="282" t="s">
        <v>64</v>
      </c>
      <c r="C53" s="282"/>
      <c r="D53" s="282"/>
      <c r="E53" s="282"/>
      <c r="F53" s="34">
        <f>SUM(F8:F14,F17:F24)</f>
        <v>5447.9</v>
      </c>
      <c r="G53" s="23">
        <f>+F53/$F$66</f>
        <v>0.93980221699410271</v>
      </c>
      <c r="H53" s="35">
        <f>+F53/$D$60</f>
        <v>771.38407079646015</v>
      </c>
      <c r="I53" s="35"/>
      <c r="J53" s="36"/>
      <c r="K53" s="37"/>
      <c r="L53" s="37"/>
      <c r="M53" s="37"/>
      <c r="N53" s="37"/>
      <c r="O53" s="37"/>
      <c r="P53" s="37"/>
      <c r="Q53" s="38"/>
    </row>
    <row r="54" spans="1:17" x14ac:dyDescent="0.2">
      <c r="A54" s="32"/>
      <c r="B54" s="282" t="s">
        <v>65</v>
      </c>
      <c r="C54" s="282"/>
      <c r="D54" s="282"/>
      <c r="E54" s="282"/>
      <c r="F54" s="34">
        <f>SUM(F27:F32,F35:F41)</f>
        <v>12</v>
      </c>
      <c r="G54" s="23">
        <f>+F54/$F$66</f>
        <v>2.0700869333007644E-3</v>
      </c>
      <c r="H54" s="35">
        <f>+F54/$D$60</f>
        <v>1.6991150442477876</v>
      </c>
      <c r="I54" s="35"/>
      <c r="J54" s="39"/>
      <c r="K54" s="283" t="s">
        <v>66</v>
      </c>
      <c r="L54" s="284"/>
      <c r="M54" s="284"/>
      <c r="N54" s="284"/>
      <c r="O54" s="40">
        <f>+F55</f>
        <v>5459.9</v>
      </c>
      <c r="P54" s="40"/>
      <c r="Q54" s="41"/>
    </row>
    <row r="55" spans="1:17" x14ac:dyDescent="0.2">
      <c r="A55" s="32"/>
      <c r="B55" s="282" t="s">
        <v>67</v>
      </c>
      <c r="C55" s="282"/>
      <c r="D55" s="282"/>
      <c r="E55" s="282"/>
      <c r="F55" s="34">
        <f>+F53+F54</f>
        <v>5459.9</v>
      </c>
      <c r="G55" s="23">
        <f>+F55/$F$66</f>
        <v>0.94187230392740351</v>
      </c>
      <c r="H55" s="35">
        <f>+F55/$D$60</f>
        <v>773.08318584070787</v>
      </c>
      <c r="I55" s="35"/>
      <c r="J55" s="42"/>
      <c r="K55" s="43"/>
      <c r="M55" s="44" t="s">
        <v>68</v>
      </c>
      <c r="N55" s="45">
        <v>0.18</v>
      </c>
      <c r="O55" s="40">
        <f>+O54*N55</f>
        <v>982.78199999999993</v>
      </c>
      <c r="P55" s="40"/>
      <c r="Q55" s="41"/>
    </row>
    <row r="56" spans="1:17" ht="13.5" thickBot="1" x14ac:dyDescent="0.25">
      <c r="A56" s="32"/>
      <c r="B56" s="33"/>
      <c r="C56" s="282" t="s">
        <v>69</v>
      </c>
      <c r="D56" s="282"/>
      <c r="E56" s="282"/>
      <c r="F56" s="34">
        <f>SUM(F44:F51)</f>
        <v>324</v>
      </c>
      <c r="G56" s="23">
        <f>+F56/$F$66</f>
        <v>5.5892347199120632E-2</v>
      </c>
      <c r="H56" s="35">
        <f>+F56/$D$60</f>
        <v>45.876106194690266</v>
      </c>
      <c r="I56" s="35"/>
      <c r="J56" s="42"/>
      <c r="K56" s="43"/>
      <c r="L56" s="43"/>
      <c r="M56" s="43" t="s">
        <v>70</v>
      </c>
      <c r="N56" s="46"/>
      <c r="O56" s="40">
        <f>O54*N56</f>
        <v>0</v>
      </c>
      <c r="P56" s="40"/>
      <c r="Q56" s="41"/>
    </row>
    <row r="57" spans="1:17" ht="13.5" thickBot="1" x14ac:dyDescent="0.25">
      <c r="A57" s="32"/>
      <c r="B57" s="47"/>
      <c r="C57" s="47"/>
      <c r="D57" s="47"/>
      <c r="E57" s="47"/>
      <c r="F57" s="48"/>
      <c r="G57" s="23"/>
      <c r="H57" s="49"/>
      <c r="I57" s="35"/>
      <c r="J57" s="42"/>
      <c r="K57" s="50"/>
      <c r="M57" s="51" t="s">
        <v>71</v>
      </c>
      <c r="N57" s="52"/>
      <c r="O57" s="53">
        <f>SUM(O54:O56)</f>
        <v>6442.6819999999998</v>
      </c>
      <c r="P57" s="54"/>
      <c r="Q57" s="41"/>
    </row>
    <row r="58" spans="1:17" x14ac:dyDescent="0.2">
      <c r="B58" s="286" t="s">
        <v>72</v>
      </c>
      <c r="C58" s="286"/>
      <c r="D58" s="55">
        <v>2260</v>
      </c>
      <c r="E58" s="56"/>
      <c r="G58" s="23"/>
      <c r="H58" s="49"/>
      <c r="I58" s="57"/>
      <c r="J58" s="42"/>
      <c r="K58" s="50"/>
      <c r="L58" s="43"/>
      <c r="M58" s="43" t="s">
        <v>73</v>
      </c>
      <c r="N58" s="58">
        <v>0.16</v>
      </c>
      <c r="O58" s="40">
        <f>+O54*N58</f>
        <v>873.58399999999995</v>
      </c>
      <c r="P58" s="40"/>
      <c r="Q58" s="41"/>
    </row>
    <row r="59" spans="1:17" x14ac:dyDescent="0.2">
      <c r="B59" s="286" t="s">
        <v>74</v>
      </c>
      <c r="C59" s="286"/>
      <c r="D59" s="59">
        <v>320</v>
      </c>
      <c r="E59" s="56"/>
      <c r="G59" s="23"/>
      <c r="H59" s="49"/>
      <c r="I59" s="57"/>
      <c r="J59" s="42"/>
      <c r="K59" s="50"/>
      <c r="L59" s="43"/>
      <c r="M59" s="287" t="s">
        <v>71</v>
      </c>
      <c r="N59" s="287"/>
      <c r="O59" s="40">
        <f>SUM(O57:O58)</f>
        <v>7316.2659999999996</v>
      </c>
      <c r="P59" s="40"/>
      <c r="Q59" s="41"/>
    </row>
    <row r="60" spans="1:17" ht="13.5" thickBot="1" x14ac:dyDescent="0.25">
      <c r="B60" s="288" t="s">
        <v>75</v>
      </c>
      <c r="C60" s="288"/>
      <c r="D60" s="55">
        <f>+D58/D59</f>
        <v>7.0625</v>
      </c>
      <c r="E60" s="56"/>
      <c r="F60" s="60"/>
      <c r="G60" s="23"/>
      <c r="H60" s="49"/>
      <c r="I60" s="57"/>
      <c r="J60" s="42"/>
      <c r="K60" s="50"/>
      <c r="L60" s="287"/>
      <c r="M60" s="287"/>
      <c r="N60" s="58"/>
      <c r="O60" s="40">
        <f>+O59*N60</f>
        <v>0</v>
      </c>
      <c r="P60" s="40"/>
      <c r="Q60" s="41"/>
    </row>
    <row r="61" spans="1:17" ht="13.5" thickBot="1" x14ac:dyDescent="0.25">
      <c r="B61" s="288" t="s">
        <v>76</v>
      </c>
      <c r="C61" s="288"/>
      <c r="D61" s="61"/>
      <c r="E61" s="56"/>
      <c r="F61" s="60"/>
      <c r="G61" s="23"/>
      <c r="H61" s="49"/>
      <c r="I61" s="57"/>
      <c r="J61" s="42"/>
      <c r="K61" s="289" t="s">
        <v>77</v>
      </c>
      <c r="L61" s="290"/>
      <c r="M61" s="290"/>
      <c r="N61" s="291"/>
      <c r="O61" s="53">
        <f>SUM(O59:O60)</f>
        <v>7316.2659999999996</v>
      </c>
      <c r="P61" s="62" t="s">
        <v>78</v>
      </c>
      <c r="Q61" s="41"/>
    </row>
    <row r="62" spans="1:17" ht="13.5" thickBot="1" x14ac:dyDescent="0.25">
      <c r="C62" s="32" t="s">
        <v>79</v>
      </c>
      <c r="D62" s="63"/>
      <c r="E62" s="6" t="s">
        <v>80</v>
      </c>
      <c r="F62" s="64" t="s">
        <v>81</v>
      </c>
      <c r="G62" s="23"/>
      <c r="H62" s="49"/>
      <c r="I62" s="57"/>
      <c r="J62" s="65"/>
      <c r="K62" s="66"/>
      <c r="L62" s="297" t="s">
        <v>82</v>
      </c>
      <c r="M62" s="297"/>
      <c r="N62" s="297"/>
      <c r="O62" s="67">
        <f>+O61/D60</f>
        <v>1035.9314690265487</v>
      </c>
      <c r="P62" s="68">
        <f>+O62/D59</f>
        <v>3.2372858407079645</v>
      </c>
      <c r="Q62" s="69"/>
    </row>
    <row r="63" spans="1:17" ht="13.5" thickBot="1" x14ac:dyDescent="0.25">
      <c r="B63" s="298" t="s">
        <v>67</v>
      </c>
      <c r="C63" s="298"/>
      <c r="D63" s="298"/>
      <c r="E63" s="70">
        <f>+F63/F63</f>
        <v>1</v>
      </c>
      <c r="F63" s="71">
        <f>SUM(F55)</f>
        <v>5459.9</v>
      </c>
      <c r="G63" s="23">
        <f>+F63/$F$66</f>
        <v>0.94187230392740351</v>
      </c>
      <c r="H63" s="49"/>
      <c r="I63" s="57"/>
      <c r="K63" s="299"/>
      <c r="L63" s="300"/>
      <c r="M63" s="300"/>
      <c r="N63" s="300"/>
      <c r="O63" s="72"/>
      <c r="P63" s="73"/>
    </row>
    <row r="64" spans="1:17" ht="13.5" thickBot="1" x14ac:dyDescent="0.25">
      <c r="B64" s="301" t="s">
        <v>83</v>
      </c>
      <c r="C64" s="301"/>
      <c r="D64" s="301"/>
      <c r="E64" s="74">
        <v>0.02</v>
      </c>
      <c r="F64" s="71">
        <f>+F53*E64</f>
        <v>108.958</v>
      </c>
      <c r="G64" s="23">
        <f>+F64/$F$66</f>
        <v>1.8796044339882054E-2</v>
      </c>
      <c r="H64" s="35"/>
      <c r="I64" s="57"/>
      <c r="J64" s="75"/>
      <c r="O64" s="76"/>
      <c r="P64" s="33"/>
    </row>
    <row r="65" spans="2:10" ht="13.5" thickBot="1" x14ac:dyDescent="0.25">
      <c r="B65" s="302" t="s">
        <v>84</v>
      </c>
      <c r="C65" s="303"/>
      <c r="D65" s="77">
        <v>4</v>
      </c>
      <c r="E65" s="78">
        <v>57</v>
      </c>
      <c r="F65" s="71">
        <f>+E65*D65</f>
        <v>228</v>
      </c>
      <c r="G65" s="23">
        <f>+F65/$F$66</f>
        <v>3.9331651732714523E-2</v>
      </c>
      <c r="H65" s="35"/>
      <c r="I65" s="35"/>
      <c r="J65" s="25"/>
    </row>
    <row r="66" spans="2:10" ht="13.5" thickBot="1" x14ac:dyDescent="0.25">
      <c r="B66" s="304" t="s">
        <v>85</v>
      </c>
      <c r="C66" s="305"/>
      <c r="D66" s="305"/>
      <c r="E66" s="306"/>
      <c r="F66" s="48">
        <f>SUM(F63:F65)</f>
        <v>5796.8579999999993</v>
      </c>
      <c r="G66" s="23">
        <f>+F66/$F$66</f>
        <v>1</v>
      </c>
      <c r="H66" s="285"/>
      <c r="I66" s="35"/>
      <c r="J66" s="25"/>
    </row>
    <row r="67" spans="2:10" x14ac:dyDescent="0.2">
      <c r="C67" s="30"/>
      <c r="D67" s="30"/>
      <c r="E67" s="80"/>
      <c r="F67" s="71"/>
      <c r="G67" s="23"/>
      <c r="H67" s="285"/>
      <c r="I67" s="79"/>
      <c r="J67" s="8"/>
    </row>
    <row r="68" spans="2:10" ht="13.5" thickBot="1" x14ac:dyDescent="0.25">
      <c r="B68" s="292" t="s">
        <v>86</v>
      </c>
      <c r="C68" s="292"/>
      <c r="D68" s="292"/>
      <c r="E68" s="292"/>
      <c r="F68" s="292"/>
      <c r="G68" s="23"/>
      <c r="H68" s="82"/>
      <c r="I68" s="79"/>
      <c r="J68" s="8"/>
    </row>
    <row r="69" spans="2:10" ht="13.5" thickBot="1" x14ac:dyDescent="0.25">
      <c r="B69" s="83" t="s">
        <v>87</v>
      </c>
      <c r="C69" s="84">
        <f>+F53</f>
        <v>5447.9</v>
      </c>
      <c r="D69" s="84">
        <f>+D58</f>
        <v>2260</v>
      </c>
      <c r="E69" s="85">
        <f>+C69/D69</f>
        <v>2.410575221238938</v>
      </c>
      <c r="F69" s="23"/>
      <c r="G69" s="82"/>
      <c r="H69" s="25"/>
      <c r="I69" s="82"/>
      <c r="J69" s="8"/>
    </row>
    <row r="70" spans="2:10" x14ac:dyDescent="0.2">
      <c r="B70" s="86"/>
      <c r="C70" s="87"/>
      <c r="D70" s="88"/>
      <c r="E70" s="71"/>
      <c r="F70" s="23"/>
      <c r="G70" s="82"/>
      <c r="H70" s="25"/>
      <c r="I70" s="25"/>
      <c r="J70" s="8"/>
    </row>
    <row r="71" spans="2:10" x14ac:dyDescent="0.2">
      <c r="B71" s="83" t="s">
        <v>88</v>
      </c>
      <c r="C71" s="84">
        <f>SUM(F63:F64)</f>
        <v>5568.8579999999993</v>
      </c>
      <c r="D71" s="84">
        <f>+D58</f>
        <v>2260</v>
      </c>
      <c r="E71" s="89">
        <f>+C71/D71</f>
        <v>2.4640964601769908</v>
      </c>
      <c r="F71" s="23"/>
      <c r="G71" s="82"/>
      <c r="H71" s="25"/>
      <c r="I71" s="25"/>
      <c r="J71" s="8"/>
    </row>
    <row r="72" spans="2:10" x14ac:dyDescent="0.2">
      <c r="B72" s="83"/>
      <c r="C72" s="84"/>
      <c r="D72" s="84"/>
      <c r="E72" s="89"/>
      <c r="F72" s="23"/>
      <c r="G72" s="82"/>
      <c r="H72" s="25"/>
      <c r="I72" s="25"/>
      <c r="J72" s="8"/>
    </row>
    <row r="73" spans="2:10" ht="13.5" thickBot="1" x14ac:dyDescent="0.25">
      <c r="B73" s="83" t="s">
        <v>89</v>
      </c>
      <c r="C73" s="84">
        <f>+F65</f>
        <v>228</v>
      </c>
      <c r="D73" s="84">
        <f>+D58</f>
        <v>2260</v>
      </c>
      <c r="E73" s="89">
        <f>+C73/D73</f>
        <v>0.10088495575221239</v>
      </c>
      <c r="F73" s="23"/>
      <c r="G73" s="82"/>
      <c r="H73" s="25"/>
      <c r="I73" s="25"/>
      <c r="J73" s="8"/>
    </row>
    <row r="74" spans="2:10" ht="13.5" thickBot="1" x14ac:dyDescent="0.25">
      <c r="B74" s="83" t="s">
        <v>90</v>
      </c>
      <c r="C74" s="84">
        <f>+F56</f>
        <v>324</v>
      </c>
      <c r="D74" s="84">
        <f>+D73</f>
        <v>2260</v>
      </c>
      <c r="E74" s="85">
        <f>+C74/D74</f>
        <v>0.14336283185840709</v>
      </c>
      <c r="F74" s="23"/>
      <c r="G74" s="82"/>
      <c r="H74" s="25"/>
      <c r="I74" s="25"/>
      <c r="J74" s="8"/>
    </row>
    <row r="75" spans="2:10" ht="13.5" thickBot="1" x14ac:dyDescent="0.25">
      <c r="B75" s="47"/>
      <c r="C75" s="48"/>
      <c r="D75" s="48"/>
      <c r="E75" s="89"/>
      <c r="F75" s="23"/>
      <c r="G75" s="82"/>
      <c r="H75" s="25"/>
      <c r="I75" s="25"/>
      <c r="J75" s="8"/>
    </row>
    <row r="76" spans="2:10" ht="13.5" thickBot="1" x14ac:dyDescent="0.25">
      <c r="B76" s="83" t="s">
        <v>91</v>
      </c>
      <c r="C76" s="84">
        <f>+F54</f>
        <v>12</v>
      </c>
      <c r="D76" s="84">
        <f>+D74</f>
        <v>2260</v>
      </c>
      <c r="E76" s="85">
        <f>+C76/D76</f>
        <v>5.3097345132743362E-3</v>
      </c>
      <c r="F76" s="23"/>
      <c r="G76" s="82"/>
      <c r="H76" s="25"/>
      <c r="I76" s="25"/>
      <c r="J76" s="25"/>
    </row>
    <row r="77" spans="2:10" ht="13.5" thickBot="1" x14ac:dyDescent="0.25">
      <c r="B77" s="47"/>
      <c r="C77" s="48"/>
      <c r="D77" s="48"/>
      <c r="E77" s="89"/>
      <c r="F77" s="23"/>
      <c r="G77" s="82"/>
      <c r="H77" s="25"/>
      <c r="I77" s="25"/>
    </row>
    <row r="78" spans="2:10" ht="13.5" thickBot="1" x14ac:dyDescent="0.25">
      <c r="B78" s="293" t="s">
        <v>92</v>
      </c>
      <c r="C78" s="294"/>
      <c r="D78" s="295"/>
      <c r="E78" s="85">
        <f>+E69+E74</f>
        <v>2.5539380530973452</v>
      </c>
      <c r="G78" s="23"/>
      <c r="H78" s="82"/>
      <c r="I78" s="25"/>
      <c r="J78" s="89"/>
    </row>
    <row r="79" spans="2:10" x14ac:dyDescent="0.2">
      <c r="I79" s="82"/>
      <c r="J79" s="8"/>
    </row>
    <row r="80" spans="2:10" ht="13.5" thickBot="1" x14ac:dyDescent="0.25">
      <c r="B80" s="292" t="s">
        <v>93</v>
      </c>
      <c r="C80" s="292"/>
      <c r="D80" s="292"/>
      <c r="E80" s="292"/>
      <c r="F80" s="292"/>
      <c r="G80" s="23"/>
      <c r="H80" s="82"/>
      <c r="J80" s="8"/>
    </row>
    <row r="81" spans="1:10" ht="13.5" thickBot="1" x14ac:dyDescent="0.25">
      <c r="B81" s="83" t="s">
        <v>87</v>
      </c>
      <c r="C81" s="84">
        <f>+C69</f>
        <v>5447.9</v>
      </c>
      <c r="D81" s="84">
        <f>+D60</f>
        <v>7.0625</v>
      </c>
      <c r="E81" s="85">
        <f>+C81/D81</f>
        <v>771.38407079646015</v>
      </c>
      <c r="F81" s="23"/>
      <c r="G81" s="82"/>
      <c r="H81" s="25"/>
      <c r="I81" s="82"/>
      <c r="J81" s="8"/>
    </row>
    <row r="82" spans="1:10" x14ac:dyDescent="0.2">
      <c r="B82" s="86"/>
      <c r="C82" s="87"/>
      <c r="D82" s="88"/>
      <c r="E82" s="71"/>
      <c r="F82" s="23"/>
      <c r="G82" s="82"/>
      <c r="H82" s="25"/>
      <c r="I82" s="25"/>
      <c r="J82" s="8"/>
    </row>
    <row r="83" spans="1:10" x14ac:dyDescent="0.2">
      <c r="B83" s="83" t="s">
        <v>88</v>
      </c>
      <c r="C83" s="84">
        <f>+C71</f>
        <v>5568.8579999999993</v>
      </c>
      <c r="D83" s="84">
        <f>+D60</f>
        <v>7.0625</v>
      </c>
      <c r="E83" s="89">
        <f>+C83/D83</f>
        <v>788.51086725663708</v>
      </c>
      <c r="F83" s="23"/>
      <c r="G83" s="82"/>
      <c r="H83" s="25"/>
      <c r="I83" s="25"/>
      <c r="J83" s="8"/>
    </row>
    <row r="84" spans="1:10" x14ac:dyDescent="0.2">
      <c r="B84" s="83"/>
      <c r="C84" s="84"/>
      <c r="D84" s="84"/>
      <c r="E84" s="89"/>
      <c r="F84" s="23"/>
      <c r="G84" s="82"/>
      <c r="H84" s="25"/>
      <c r="I84" s="25"/>
      <c r="J84" s="8"/>
    </row>
    <row r="85" spans="1:10" ht="13.5" thickBot="1" x14ac:dyDescent="0.25">
      <c r="B85" s="83" t="s">
        <v>90</v>
      </c>
      <c r="C85" s="84">
        <f>+C73</f>
        <v>228</v>
      </c>
      <c r="D85" s="84">
        <f>+D60</f>
        <v>7.0625</v>
      </c>
      <c r="E85" s="89">
        <f>+C85/D85</f>
        <v>32.283185840707965</v>
      </c>
      <c r="F85" s="91"/>
      <c r="G85" s="81"/>
      <c r="H85" s="7"/>
      <c r="I85" s="25"/>
    </row>
    <row r="86" spans="1:10" ht="13.5" thickBot="1" x14ac:dyDescent="0.25">
      <c r="B86" s="83" t="s">
        <v>90</v>
      </c>
      <c r="C86" s="84">
        <f>+C74</f>
        <v>324</v>
      </c>
      <c r="D86" s="84">
        <f>+D85</f>
        <v>7.0625</v>
      </c>
      <c r="E86" s="85">
        <f>+C86/D86</f>
        <v>45.876106194690266</v>
      </c>
      <c r="F86" s="90"/>
      <c r="G86" s="81"/>
      <c r="H86" s="7"/>
      <c r="I86" s="7"/>
    </row>
    <row r="87" spans="1:10" x14ac:dyDescent="0.2">
      <c r="I87" s="7"/>
    </row>
    <row r="88" spans="1:10" x14ac:dyDescent="0.2">
      <c r="A88" s="296"/>
      <c r="B88" s="296"/>
      <c r="C88" s="92"/>
      <c r="D88" s="92"/>
      <c r="E88" s="93"/>
      <c r="G88" s="94"/>
    </row>
    <row r="89" spans="1:10" x14ac:dyDescent="0.2">
      <c r="A89" s="26"/>
      <c r="B89" s="95"/>
      <c r="C89" s="96"/>
      <c r="D89" s="96"/>
      <c r="E89" s="97"/>
      <c r="G89" s="94"/>
    </row>
    <row r="90" spans="1:10" x14ac:dyDescent="0.2">
      <c r="A90" s="26"/>
      <c r="B90" s="95"/>
      <c r="C90" s="98"/>
      <c r="D90" s="98"/>
      <c r="E90" s="26"/>
      <c r="G90" s="94"/>
    </row>
    <row r="91" spans="1:10" x14ac:dyDescent="0.2">
      <c r="A91" s="26"/>
      <c r="B91" s="95"/>
      <c r="C91" s="99"/>
      <c r="D91" s="99"/>
      <c r="E91" s="26"/>
      <c r="G91" s="94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M59:N59"/>
    <mergeCell ref="B60:C60"/>
    <mergeCell ref="L60:M60"/>
    <mergeCell ref="B61:C61"/>
    <mergeCell ref="K61:N61"/>
    <mergeCell ref="B55:E55"/>
    <mergeCell ref="C56:E56"/>
    <mergeCell ref="H66:H67"/>
    <mergeCell ref="B58:C58"/>
    <mergeCell ref="B59:C59"/>
    <mergeCell ref="K29:L29"/>
    <mergeCell ref="K30:L30"/>
    <mergeCell ref="B53:E53"/>
    <mergeCell ref="B54:E54"/>
    <mergeCell ref="K54:N54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3064-658A-4D1A-88F9-0C445E38F6E4}">
  <dimension ref="A1:Q95"/>
  <sheetViews>
    <sheetView workbookViewId="0">
      <selection activeCell="P5" sqref="P5"/>
    </sheetView>
  </sheetViews>
  <sheetFormatPr baseColWidth="10" defaultColWidth="8.42578125" defaultRowHeight="12.75" x14ac:dyDescent="0.2"/>
  <cols>
    <col min="1" max="1" width="10" style="8" bestFit="1" customWidth="1"/>
    <col min="2" max="2" width="44.28515625" style="8" bestFit="1" customWidth="1"/>
    <col min="3" max="3" width="10.42578125" style="8" bestFit="1" customWidth="1"/>
    <col min="4" max="4" width="10.42578125" style="8" customWidth="1"/>
    <col min="5" max="5" width="9.7109375" style="8" bestFit="1" customWidth="1"/>
    <col min="6" max="6" width="9.5703125" style="8" bestFit="1" customWidth="1"/>
    <col min="7" max="7" width="9.5703125" style="90" bestFit="1" customWidth="1"/>
    <col min="8" max="8" width="10.42578125" style="81" bestFit="1" customWidth="1"/>
    <col min="9" max="9" width="4.5703125" style="81" customWidth="1"/>
    <col min="10" max="10" width="1.7109375" style="7" customWidth="1"/>
    <col min="11" max="11" width="7" style="8" bestFit="1" customWidth="1"/>
    <col min="12" max="12" width="6.28515625" style="8" customWidth="1"/>
    <col min="13" max="13" width="20.42578125" style="8" customWidth="1"/>
    <col min="14" max="14" width="6.42578125" style="8" bestFit="1" customWidth="1"/>
    <col min="15" max="16" width="8.42578125" style="8"/>
    <col min="17" max="17" width="3.28515625" style="8" customWidth="1"/>
    <col min="18" max="16384" width="8.42578125" style="8"/>
  </cols>
  <sheetData>
    <row r="1" spans="1:10" ht="27.75" customHeight="1" x14ac:dyDescent="0.2">
      <c r="A1" s="3"/>
      <c r="B1" s="3"/>
      <c r="C1" s="3"/>
      <c r="D1" s="3"/>
      <c r="E1" s="4" t="s">
        <v>46</v>
      </c>
      <c r="F1" s="5" t="s">
        <v>47</v>
      </c>
      <c r="G1" s="5" t="s">
        <v>48</v>
      </c>
      <c r="H1" s="5" t="s">
        <v>49</v>
      </c>
      <c r="I1" s="6"/>
    </row>
    <row r="2" spans="1:10" ht="30.75" customHeight="1" x14ac:dyDescent="0.2">
      <c r="A2" s="3"/>
      <c r="B2" s="3"/>
      <c r="C2" s="3"/>
      <c r="D2" s="3"/>
      <c r="E2" s="9">
        <f>IFERROR(O66,"")</f>
        <v>3048.6086102047698</v>
      </c>
      <c r="F2" s="9">
        <f>IFERROR(H57,"")</f>
        <v>1771.3681186563158</v>
      </c>
      <c r="G2" s="9">
        <f>IFERROR(H58,"")</f>
        <v>503.71293373530358</v>
      </c>
      <c r="H2" s="9">
        <f>IFERROR(H60,"")</f>
        <v>439.24086610669553</v>
      </c>
      <c r="I2" s="10"/>
    </row>
    <row r="3" spans="1:10" ht="15" customHeight="1" x14ac:dyDescent="0.2">
      <c r="A3" s="3"/>
      <c r="B3" s="3"/>
      <c r="C3" s="3"/>
      <c r="D3" s="3"/>
      <c r="E3" s="3"/>
      <c r="F3" s="11"/>
      <c r="G3" s="11"/>
      <c r="H3" s="11"/>
      <c r="I3" s="11"/>
    </row>
    <row r="4" spans="1:10" ht="24.75" customHeight="1" thickBot="1" x14ac:dyDescent="0.25">
      <c r="A4" s="276"/>
      <c r="B4" s="276"/>
      <c r="C4" s="276"/>
      <c r="D4" s="276"/>
      <c r="E4" s="276"/>
      <c r="F4" s="276"/>
      <c r="G4" s="276"/>
      <c r="H4" s="276"/>
      <c r="I4" s="12"/>
    </row>
    <row r="5" spans="1:10" ht="19.5" customHeight="1" thickBot="1" x14ac:dyDescent="0.25">
      <c r="A5" s="277" t="s">
        <v>50</v>
      </c>
      <c r="B5" s="278"/>
      <c r="C5" s="278"/>
      <c r="D5" s="278"/>
      <c r="E5" s="278"/>
      <c r="F5" s="278"/>
      <c r="G5" s="278"/>
      <c r="H5" s="279"/>
      <c r="I5" s="13"/>
    </row>
    <row r="6" spans="1:10" ht="19.5" thickBot="1" x14ac:dyDescent="0.25">
      <c r="A6" s="13"/>
      <c r="B6" s="13"/>
      <c r="C6" s="13"/>
      <c r="D6" s="13"/>
      <c r="E6" s="13"/>
      <c r="F6" s="280" t="s">
        <v>51</v>
      </c>
      <c r="G6" s="280"/>
      <c r="H6" s="14">
        <f ca="1">TODAY()</f>
        <v>45747</v>
      </c>
      <c r="I6" s="14"/>
    </row>
    <row r="7" spans="1:10" ht="26.25" thickBot="1" x14ac:dyDescent="0.25">
      <c r="A7" s="15" t="s">
        <v>52</v>
      </c>
      <c r="B7" s="16" t="s">
        <v>53</v>
      </c>
      <c r="C7" s="16" t="s">
        <v>52</v>
      </c>
      <c r="D7" s="17" t="s">
        <v>54</v>
      </c>
      <c r="E7" s="17" t="s">
        <v>55</v>
      </c>
      <c r="F7" s="17" t="s">
        <v>56</v>
      </c>
      <c r="G7" s="17" t="s">
        <v>57</v>
      </c>
      <c r="H7" s="18" t="s">
        <v>58</v>
      </c>
      <c r="I7" s="19"/>
    </row>
    <row r="8" spans="1:10" ht="13.5" x14ac:dyDescent="0.25">
      <c r="A8" s="20">
        <v>85</v>
      </c>
      <c r="B8" s="8" t="s">
        <v>44</v>
      </c>
      <c r="C8" s="21">
        <f>+A8</f>
        <v>85</v>
      </c>
      <c r="D8" s="22" t="s">
        <v>94</v>
      </c>
      <c r="E8" s="22">
        <v>2.56</v>
      </c>
      <c r="F8" s="22">
        <f>IFERROR(C8*E8,"")</f>
        <v>217.6</v>
      </c>
      <c r="G8" s="23">
        <f t="shared" ref="G8:G14" si="0">IFERROR(F8/$F$70,"")</f>
        <v>8.2035555019831743E-2</v>
      </c>
      <c r="H8" s="24" t="s">
        <v>43</v>
      </c>
      <c r="I8" s="24"/>
      <c r="J8" s="25"/>
    </row>
    <row r="9" spans="1:10" ht="13.5" hidden="1" x14ac:dyDescent="0.25">
      <c r="A9" s="20"/>
      <c r="B9" s="8" t="str">
        <f>IFERROR(VLOOKUP(H9,'[1]Consolidado MP Planta'!$A$2:$M$823,3,0),"")</f>
        <v/>
      </c>
      <c r="C9" s="21">
        <f t="shared" ref="C9:C14" si="1">+A9</f>
        <v>0</v>
      </c>
      <c r="D9" s="22" t="str">
        <f>IFERROR(VLOOKUP(H9,'[1]Consolidado MP Planta'!$A$2:$M$823,13,0),"")</f>
        <v/>
      </c>
      <c r="E9" s="22" t="str">
        <f>IFERROR(VLOOKUP(H9,'[1]Consolidado MP Planta'!$A$2:$M$823,12,0),"")</f>
        <v/>
      </c>
      <c r="F9" s="22" t="str">
        <f t="shared" ref="F9:F14" si="2">IFERROR(C9*E9,"")</f>
        <v/>
      </c>
      <c r="G9" s="23" t="str">
        <f t="shared" si="0"/>
        <v/>
      </c>
      <c r="H9" s="24"/>
      <c r="I9" s="24"/>
      <c r="J9" s="25"/>
    </row>
    <row r="10" spans="1:10" ht="13.5" hidden="1" x14ac:dyDescent="0.25">
      <c r="A10" s="20"/>
      <c r="B10" s="8" t="str">
        <f>IFERROR(VLOOKUP(H10,'[1]Consolidado MP Planta'!$A$2:$M$823,3,0),"")</f>
        <v/>
      </c>
      <c r="C10" s="21">
        <f t="shared" si="1"/>
        <v>0</v>
      </c>
      <c r="D10" s="22" t="str">
        <f>IFERROR(VLOOKUP(H10,'[1]Consolidado MP Planta'!$A$2:$M$823,13,0),"")</f>
        <v/>
      </c>
      <c r="E10" s="22" t="str">
        <f>IFERROR(VLOOKUP(H10,'[1]Consolidado MP Planta'!$A$2:$M$823,12,0),"")</f>
        <v/>
      </c>
      <c r="F10" s="22" t="str">
        <f t="shared" si="2"/>
        <v/>
      </c>
      <c r="G10" s="23" t="str">
        <f t="shared" si="0"/>
        <v/>
      </c>
      <c r="H10" s="24"/>
      <c r="I10" s="24"/>
      <c r="J10" s="25"/>
    </row>
    <row r="11" spans="1:10" ht="13.5" hidden="1" x14ac:dyDescent="0.25">
      <c r="A11" s="20"/>
      <c r="B11" s="8" t="str">
        <f>IFERROR(VLOOKUP(H11,'[1]Consolidado MP Planta'!$A$2:$M$823,3,0),"")</f>
        <v/>
      </c>
      <c r="C11" s="21">
        <f t="shared" si="1"/>
        <v>0</v>
      </c>
      <c r="D11" s="22" t="str">
        <f>IFERROR(VLOOKUP(H11,'[1]Consolidado MP Planta'!$A$2:$M$823,13,0),"")</f>
        <v/>
      </c>
      <c r="E11" s="22" t="str">
        <f>IFERROR(VLOOKUP(H11,'[1]Consolidado MP Planta'!$A$2:$M$823,12,0),"")</f>
        <v/>
      </c>
      <c r="F11" s="22" t="str">
        <f t="shared" si="2"/>
        <v/>
      </c>
      <c r="G11" s="23" t="str">
        <f t="shared" si="0"/>
        <v/>
      </c>
      <c r="H11" s="24"/>
      <c r="I11" s="24"/>
      <c r="J11" s="25"/>
    </row>
    <row r="12" spans="1:10" ht="13.5" hidden="1" x14ac:dyDescent="0.25">
      <c r="A12" s="20"/>
      <c r="B12" s="8" t="str">
        <f>IFERROR(VLOOKUP(H12,'[1]Consolidado MP Planta'!$A$2:$M$823,3,0),"")</f>
        <v/>
      </c>
      <c r="C12" s="21">
        <f t="shared" si="1"/>
        <v>0</v>
      </c>
      <c r="D12" s="22" t="str">
        <f>IFERROR(VLOOKUP(H12,'[1]Consolidado MP Planta'!$A$2:$M$823,13,0),"")</f>
        <v/>
      </c>
      <c r="E12" s="22" t="str">
        <f>IFERROR(VLOOKUP(H12,'[1]Consolidado MP Planta'!$A$2:$M$823,12,0),"")</f>
        <v/>
      </c>
      <c r="F12" s="22" t="str">
        <f t="shared" si="2"/>
        <v/>
      </c>
      <c r="G12" s="23" t="str">
        <f t="shared" si="0"/>
        <v/>
      </c>
      <c r="H12" s="24"/>
      <c r="I12" s="24"/>
      <c r="J12" s="25"/>
    </row>
    <row r="13" spans="1:10" ht="13.5" hidden="1" x14ac:dyDescent="0.25">
      <c r="A13" s="20"/>
      <c r="B13" s="8" t="str">
        <f>IFERROR(VLOOKUP(H13,'[1]Consolidado MP Planta'!$A$2:$M$823,3,0),"")</f>
        <v/>
      </c>
      <c r="C13" s="21">
        <f t="shared" si="1"/>
        <v>0</v>
      </c>
      <c r="D13" s="22" t="str">
        <f>IFERROR(VLOOKUP(H13,'[1]Consolidado MP Planta'!$A$2:$M$823,13,0),"")</f>
        <v/>
      </c>
      <c r="E13" s="22" t="str">
        <f>IFERROR(VLOOKUP(H13,'[1]Consolidado MP Planta'!$A$2:$M$823,12,0),"")</f>
        <v/>
      </c>
      <c r="F13" s="22" t="str">
        <f t="shared" si="2"/>
        <v/>
      </c>
      <c r="G13" s="23" t="str">
        <f t="shared" si="0"/>
        <v/>
      </c>
      <c r="H13" s="24"/>
      <c r="I13" s="24"/>
      <c r="J13" s="25"/>
    </row>
    <row r="14" spans="1:10" ht="13.5" hidden="1" x14ac:dyDescent="0.25">
      <c r="A14" s="20"/>
      <c r="B14" s="8" t="str">
        <f>IFERROR(VLOOKUP(H14,'[1]Consolidado MP Planta'!$A$2:$M$823,3,0),"")</f>
        <v/>
      </c>
      <c r="C14" s="21">
        <f t="shared" si="1"/>
        <v>0</v>
      </c>
      <c r="D14" s="22" t="str">
        <f>IFERROR(VLOOKUP(H14,'[1]Consolidado MP Planta'!$A$2:$M$823,13,0),"")</f>
        <v/>
      </c>
      <c r="E14" s="22" t="str">
        <f>IFERROR(VLOOKUP(H14,'[1]Consolidado MP Planta'!$A$2:$M$823,12,0),"")</f>
        <v/>
      </c>
      <c r="F14" s="22" t="str">
        <f t="shared" si="2"/>
        <v/>
      </c>
      <c r="G14" s="23" t="str">
        <f t="shared" si="0"/>
        <v/>
      </c>
      <c r="H14" s="24"/>
      <c r="I14" s="24"/>
      <c r="J14" s="25"/>
    </row>
    <row r="15" spans="1:10" ht="14.25" thickBot="1" x14ac:dyDescent="0.3">
      <c r="A15" s="20"/>
      <c r="B15" s="8" t="str">
        <f>IFERROR(VLOOKUP(H15,'[2]ARTICULOS MP PLANTA'!$A$2:$G$589,2,0),"")</f>
        <v/>
      </c>
      <c r="C15" s="21"/>
      <c r="D15" s="22"/>
      <c r="E15" s="22"/>
      <c r="F15" s="22"/>
      <c r="G15" s="23"/>
      <c r="H15" s="24"/>
      <c r="I15" s="24"/>
      <c r="J15" s="25"/>
    </row>
    <row r="16" spans="1:10" ht="26.25" thickBot="1" x14ac:dyDescent="0.25">
      <c r="A16" s="15" t="s">
        <v>52</v>
      </c>
      <c r="B16" s="16" t="s">
        <v>59</v>
      </c>
      <c r="C16" s="16" t="s">
        <v>52</v>
      </c>
      <c r="D16" s="17" t="s">
        <v>54</v>
      </c>
      <c r="E16" s="17" t="s">
        <v>55</v>
      </c>
      <c r="F16" s="17" t="s">
        <v>56</v>
      </c>
      <c r="G16" s="17" t="s">
        <v>57</v>
      </c>
      <c r="H16" s="18" t="s">
        <v>58</v>
      </c>
      <c r="I16" s="19"/>
      <c r="J16" s="25"/>
    </row>
    <row r="17" spans="1:12" ht="13.5" x14ac:dyDescent="0.25">
      <c r="A17" s="20">
        <v>1</v>
      </c>
      <c r="B17" s="8" t="s">
        <v>97</v>
      </c>
      <c r="C17" s="21">
        <f t="shared" ref="C17:C24" si="3">+A17</f>
        <v>1</v>
      </c>
      <c r="D17" s="21" t="s">
        <v>98</v>
      </c>
      <c r="E17" s="22">
        <v>407.88</v>
      </c>
      <c r="F17" s="22">
        <f>IFERROR(E17*C17,"")</f>
        <v>407.88</v>
      </c>
      <c r="G17" s="23">
        <f t="shared" ref="G17:G24" si="4">IFERROR(F17/$F$70,"")</f>
        <v>0.15377142546640155</v>
      </c>
      <c r="H17" s="24" t="s">
        <v>96</v>
      </c>
      <c r="I17" s="24"/>
      <c r="J17" s="25"/>
    </row>
    <row r="18" spans="1:12" ht="13.5" x14ac:dyDescent="0.25">
      <c r="A18" s="20">
        <v>150</v>
      </c>
      <c r="B18" s="8" t="s">
        <v>36</v>
      </c>
      <c r="C18" s="21">
        <f t="shared" si="3"/>
        <v>150</v>
      </c>
      <c r="D18" s="21" t="s">
        <v>94</v>
      </c>
      <c r="E18" s="22">
        <f>+'Costo Mezcla leche coco'!E69</f>
        <v>1.9183881650935506</v>
      </c>
      <c r="F18" s="22">
        <f t="shared" ref="F18:F24" si="5">IFERROR(E18*C18,"")</f>
        <v>287.7582247640326</v>
      </c>
      <c r="G18" s="23">
        <f t="shared" si="4"/>
        <v>0.10848532022076704</v>
      </c>
      <c r="H18" s="24" t="s">
        <v>35</v>
      </c>
      <c r="I18" s="24"/>
      <c r="J18" s="25"/>
    </row>
    <row r="19" spans="1:12" ht="13.5" x14ac:dyDescent="0.25">
      <c r="A19" s="20">
        <v>1</v>
      </c>
      <c r="B19" s="8" t="s">
        <v>37</v>
      </c>
      <c r="C19" s="21">
        <f t="shared" si="3"/>
        <v>1</v>
      </c>
      <c r="D19" s="21" t="s">
        <v>95</v>
      </c>
      <c r="E19" s="22">
        <f>+'Costo mousse Fudge'!H53</f>
        <v>771.38407079646015</v>
      </c>
      <c r="F19" s="22">
        <f>IFERROR(E19*C19,"")</f>
        <v>771.38407079646015</v>
      </c>
      <c r="G19" s="23">
        <f t="shared" si="4"/>
        <v>0.29081305322263235</v>
      </c>
      <c r="H19" s="24" t="s">
        <v>35</v>
      </c>
      <c r="I19" s="24"/>
      <c r="J19" s="25"/>
    </row>
    <row r="20" spans="1:12" ht="13.5" x14ac:dyDescent="0.25">
      <c r="A20" s="20">
        <v>25</v>
      </c>
      <c r="B20" s="8" t="str">
        <f>IFERROR(VLOOKUP(H20,[1]SEMIELABORADOS!$A$2:$M$6000,2,0),"")</f>
        <v>CREMA CHANTILLY BLANCA SPOON-IND KILO</v>
      </c>
      <c r="C20" s="21">
        <f t="shared" si="3"/>
        <v>25</v>
      </c>
      <c r="D20" s="21" t="str">
        <f>IFERROR(VLOOKUP(H20,[1]SEMIELABORADOS!$A$2:$M$6000,6,0),"")</f>
        <v>Gramo</v>
      </c>
      <c r="E20" s="22">
        <v>2.4500000000000002</v>
      </c>
      <c r="F20" s="22">
        <f>IFERROR(E20*C20,"")</f>
        <v>61.250000000000007</v>
      </c>
      <c r="G20" s="23">
        <f t="shared" si="4"/>
        <v>2.3091349930903931E-2</v>
      </c>
      <c r="H20" s="24" t="s">
        <v>99</v>
      </c>
      <c r="I20" s="24"/>
      <c r="J20" s="25"/>
    </row>
    <row r="21" spans="1:12" ht="13.5" x14ac:dyDescent="0.25">
      <c r="A21" s="20">
        <v>7</v>
      </c>
      <c r="B21" s="8" t="str">
        <f>IFERROR(VLOOKUP(H21,[1]SEMIELABORADOS!$A$2:$M$6000,2,0),"")</f>
        <v>GANACHE CHOCOLATE OSCURO (KILO)</v>
      </c>
      <c r="C21" s="21">
        <f t="shared" si="3"/>
        <v>7</v>
      </c>
      <c r="D21" s="21" t="str">
        <f>IFERROR(VLOOKUP(H21,[1]SEMIELABORADOS!$A$2:$M$6000,6,0),"")</f>
        <v>Gramo</v>
      </c>
      <c r="E21" s="22">
        <f>IFERROR(VLOOKUP(H21,[1]SEMIELABORADOS!$A$2:$H$65536,8,0),"")</f>
        <v>3.6422604422604423</v>
      </c>
      <c r="F21" s="22">
        <f>IFERROR(E21*C21,"")</f>
        <v>25.495823095823095</v>
      </c>
      <c r="G21" s="23">
        <f t="shared" si="4"/>
        <v>9.6119669041971161E-3</v>
      </c>
      <c r="H21" s="24" t="s">
        <v>100</v>
      </c>
      <c r="I21" s="24"/>
      <c r="J21" s="25"/>
    </row>
    <row r="22" spans="1:12" ht="13.5" hidden="1" x14ac:dyDescent="0.25">
      <c r="A22" s="20"/>
      <c r="B22" s="8" t="str">
        <f>IFERROR(VLOOKUP(H22,[1]SEMIELABORADOS!$A$2:$M$6000,2,0),"")</f>
        <v/>
      </c>
      <c r="C22" s="21">
        <f t="shared" si="3"/>
        <v>0</v>
      </c>
      <c r="D22" s="21" t="str">
        <f>IFERROR(VLOOKUP(H22,[1]SEMIELABORADOS!$A$2:$M$6000,6,0),"")</f>
        <v/>
      </c>
      <c r="E22" s="22" t="str">
        <f>IFERROR(VLOOKUP(H22,[1]SEMIELABORADOS!$A$2:$H$65536,8,0),"")</f>
        <v/>
      </c>
      <c r="F22" s="22" t="str">
        <f t="shared" si="5"/>
        <v/>
      </c>
      <c r="G22" s="23" t="str">
        <f t="shared" si="4"/>
        <v/>
      </c>
      <c r="H22" s="24"/>
      <c r="I22" s="24"/>
      <c r="J22" s="25"/>
    </row>
    <row r="23" spans="1:12" ht="13.5" hidden="1" x14ac:dyDescent="0.25">
      <c r="A23" s="20"/>
      <c r="B23" s="8" t="str">
        <f>IFERROR(VLOOKUP(H23,[1]SEMIELABORADOS!$A$2:$M$6000,2,0),"")</f>
        <v/>
      </c>
      <c r="C23" s="21">
        <f t="shared" si="3"/>
        <v>0</v>
      </c>
      <c r="D23" s="21" t="str">
        <f>IFERROR(VLOOKUP(H23,[1]SEMIELABORADOS!$A$2:$M$6000,6,0),"")</f>
        <v/>
      </c>
      <c r="E23" s="22" t="str">
        <f>IFERROR(VLOOKUP(H23,[1]SEMIELABORADOS!$A$2:$H$65536,8,0),"")</f>
        <v/>
      </c>
      <c r="F23" s="22" t="str">
        <f t="shared" si="5"/>
        <v/>
      </c>
      <c r="G23" s="23" t="str">
        <f t="shared" si="4"/>
        <v/>
      </c>
      <c r="H23" s="24"/>
      <c r="I23" s="24"/>
      <c r="J23" s="25"/>
    </row>
    <row r="24" spans="1:12" ht="13.5" hidden="1" x14ac:dyDescent="0.25">
      <c r="A24" s="20"/>
      <c r="B24" s="8" t="str">
        <f>IFERROR(VLOOKUP(H24,[1]SEMIELABORADOS!$A$2:$M$6000,2,0),"")</f>
        <v/>
      </c>
      <c r="C24" s="21">
        <f t="shared" si="3"/>
        <v>0</v>
      </c>
      <c r="D24" s="21" t="str">
        <f>IFERROR(VLOOKUP(H24,[1]SEMIELABORADOS!$A$2:$M$6000,6,0),"")</f>
        <v/>
      </c>
      <c r="E24" s="22" t="str">
        <f>IFERROR(VLOOKUP(H24,[1]SEMIELABORADOS!$A$2:$H$65536,8,0),"")</f>
        <v/>
      </c>
      <c r="F24" s="22" t="str">
        <f t="shared" si="5"/>
        <v/>
      </c>
      <c r="G24" s="23" t="str">
        <f t="shared" si="4"/>
        <v/>
      </c>
      <c r="H24" s="24"/>
      <c r="I24" s="24"/>
      <c r="J24" s="25"/>
    </row>
    <row r="25" spans="1:12" ht="14.25" thickBot="1" x14ac:dyDescent="0.3">
      <c r="A25" s="20"/>
      <c r="C25" s="21"/>
      <c r="D25" s="21"/>
      <c r="E25" s="22"/>
      <c r="F25" s="22"/>
      <c r="G25" s="23"/>
      <c r="H25" s="24"/>
      <c r="I25" s="24"/>
      <c r="J25" s="25"/>
    </row>
    <row r="26" spans="1:12" ht="26.25" thickBot="1" x14ac:dyDescent="0.25">
      <c r="A26" s="15" t="s">
        <v>52</v>
      </c>
      <c r="B26" s="16" t="s">
        <v>45</v>
      </c>
      <c r="C26" s="16" t="s">
        <v>52</v>
      </c>
      <c r="D26" s="17" t="s">
        <v>54</v>
      </c>
      <c r="E26" s="17" t="s">
        <v>55</v>
      </c>
      <c r="F26" s="17" t="s">
        <v>56</v>
      </c>
      <c r="G26" s="17" t="s">
        <v>57</v>
      </c>
      <c r="H26" s="18" t="s">
        <v>58</v>
      </c>
      <c r="I26" s="19"/>
    </row>
    <row r="27" spans="1:12" ht="13.5" x14ac:dyDescent="0.25">
      <c r="A27" s="20">
        <v>1</v>
      </c>
      <c r="B27" s="26" t="str">
        <f>IFERROR(VLOOKUP(H27,'[1]Consolidado MP Planta'!$A$2:$M$823,3,0),"")</f>
        <v>ETIQUETA BLANCA 2 5/8X1 15/16 (UND)</v>
      </c>
      <c r="C27" s="21">
        <f t="shared" ref="C27:C36" si="6">+A27</f>
        <v>1</v>
      </c>
      <c r="D27" s="22" t="str">
        <f>IFERROR(VLOOKUP(H27,'[1]Consolidado MP Planta'!$A$2:$M$823,13,0),"")</f>
        <v>Und</v>
      </c>
      <c r="E27" s="22">
        <f>IFERROR(VLOOKUP(H27,'[1]Consolidado MP Planta'!$A$2:$M$823,12,0),"")</f>
        <v>2.1280000000000001</v>
      </c>
      <c r="F27" s="22">
        <f t="shared" ref="F27:F36" si="7">IFERROR(C27*E27,"")</f>
        <v>2.1280000000000001</v>
      </c>
      <c r="G27" s="23">
        <f t="shared" ref="G27:G36" si="8">IFERROR(F27/$F$70,"")</f>
        <v>8.0225947188511935E-4</v>
      </c>
      <c r="H27" s="27" t="s">
        <v>107</v>
      </c>
      <c r="I27" s="27"/>
      <c r="J27" s="25"/>
      <c r="K27" s="281"/>
      <c r="L27" s="281"/>
    </row>
    <row r="28" spans="1:12" ht="13.5" x14ac:dyDescent="0.25">
      <c r="A28" s="20">
        <v>2</v>
      </c>
      <c r="B28" s="26" t="str">
        <f>IFERROR(VLOOKUP(H28,'[1]Consolidado MP Planta'!$A$2:$M$823,3,0),"")</f>
        <v>ETIQUETA BLANCA R-153 (UND)</v>
      </c>
      <c r="C28" s="21">
        <f>+A28</f>
        <v>2</v>
      </c>
      <c r="D28" s="22" t="str">
        <f>IFERROR(VLOOKUP(H28,'[1]Consolidado MP Planta'!$A$2:$M$823,13,0),"")</f>
        <v>Und</v>
      </c>
      <c r="E28" s="22">
        <f>IFERROR(VLOOKUP(H28,'[1]Consolidado MP Planta'!$A$2:$M$823,12,0),"")</f>
        <v>0.39</v>
      </c>
      <c r="F28" s="22">
        <f>IFERROR(C28*E28,"")</f>
        <v>0.78</v>
      </c>
      <c r="G28" s="23">
        <f t="shared" si="8"/>
        <v>2.9406127258947045E-4</v>
      </c>
      <c r="H28" s="27" t="s">
        <v>101</v>
      </c>
      <c r="I28" s="27"/>
      <c r="J28" s="25"/>
      <c r="K28" s="6"/>
      <c r="L28" s="6"/>
    </row>
    <row r="29" spans="1:12" ht="13.5" x14ac:dyDescent="0.25">
      <c r="A29" s="20">
        <v>1</v>
      </c>
      <c r="B29" s="26" t="str">
        <f>IFERROR(VLOOKUP(H29,'[1]Consolidado MP Planta'!$A$2:$M$823,3,0),"")</f>
        <v>ET. TORTA BUCCA GENERICA PEQUEÑA (UND)</v>
      </c>
      <c r="C29" s="21">
        <f>+A29</f>
        <v>1</v>
      </c>
      <c r="D29" s="22" t="str">
        <f>IFERROR(VLOOKUP(H29,'[1]Consolidado MP Planta'!$A$2:$M$823,13,0),"")</f>
        <v>Und</v>
      </c>
      <c r="E29" s="22">
        <f>IFERROR(VLOOKUP(H29,'[1]Consolidado MP Planta'!$A$2:$M$823,12,0),"")</f>
        <v>25.8</v>
      </c>
      <c r="F29" s="22">
        <f>IFERROR(C29*E29,"")</f>
        <v>25.8</v>
      </c>
      <c r="G29" s="23">
        <f t="shared" si="8"/>
        <v>9.7266420933440224E-3</v>
      </c>
      <c r="H29" s="27" t="s">
        <v>102</v>
      </c>
      <c r="I29" s="27"/>
      <c r="J29" s="25"/>
      <c r="K29" s="6"/>
      <c r="L29" s="6"/>
    </row>
    <row r="30" spans="1:12" ht="13.5" x14ac:dyDescent="0.25">
      <c r="A30" s="20">
        <v>1</v>
      </c>
      <c r="B30" s="26" t="str">
        <f>IFERROR(VLOOKUP(H30,'[1]Consolidado MP Planta'!$A$2:$M$823,3,0),"")</f>
        <v>BASE QUEQUERA 8" ALTA (CAJA:200 UND)</v>
      </c>
      <c r="C30" s="21">
        <f>+A30</f>
        <v>1</v>
      </c>
      <c r="D30" s="22" t="str">
        <f>IFERROR(VLOOKUP(H30,'[1]Consolidado MP Planta'!$A$2:$M$823,13,0),"")</f>
        <v>Und</v>
      </c>
      <c r="E30" s="22">
        <f>IFERROR(VLOOKUP(H30,'[1]Consolidado MP Planta'!$A$2:$M$823,12,0),"")</f>
        <v>132.91499999999999</v>
      </c>
      <c r="F30" s="22">
        <f>IFERROR(C30*E30,"")</f>
        <v>132.91499999999999</v>
      </c>
      <c r="G30" s="23">
        <f t="shared" si="8"/>
        <v>5.0109171854140336E-2</v>
      </c>
      <c r="H30" s="27" t="s">
        <v>103</v>
      </c>
      <c r="I30" s="27"/>
      <c r="J30" s="25"/>
      <c r="K30" s="6"/>
      <c r="L30" s="6"/>
    </row>
    <row r="31" spans="1:12" ht="13.5" x14ac:dyDescent="0.25">
      <c r="A31" s="20">
        <v>1</v>
      </c>
      <c r="B31" s="26" t="str">
        <f>IFERROR(VLOOKUP(H31,'[1]Consolidado MP Planta'!$A$2:$M$823,3,0),"")</f>
        <v>DOMO QUEQUERA 8" ALTA (CAJA:100 UND)</v>
      </c>
      <c r="C31" s="21">
        <f>+A31</f>
        <v>1</v>
      </c>
      <c r="D31" s="22" t="str">
        <f>IFERROR(VLOOKUP(H31,'[1]Consolidado MP Planta'!$A$2:$M$823,13,0),"")</f>
        <v>Und</v>
      </c>
      <c r="E31" s="22">
        <f>IFERROR(VLOOKUP(H31,'[1]Consolidado MP Planta'!$A$2:$M$823,12,0),"")</f>
        <v>237.33</v>
      </c>
      <c r="F31" s="22">
        <f>IFERROR(C31*E31,"")</f>
        <v>237.33</v>
      </c>
      <c r="G31" s="23">
        <f t="shared" si="8"/>
        <v>8.9473797209819253E-2</v>
      </c>
      <c r="H31" s="27" t="s">
        <v>104</v>
      </c>
      <c r="I31" s="27"/>
      <c r="J31" s="25"/>
      <c r="K31" s="6"/>
      <c r="L31" s="6"/>
    </row>
    <row r="32" spans="1:12" ht="13.5" x14ac:dyDescent="0.25">
      <c r="A32" s="20">
        <v>60</v>
      </c>
      <c r="B32" s="26" t="str">
        <f>IFERROR(VLOOKUP(H32,'[1]Consolidado MP Planta'!$A$2:$M$823,3,0),"")</f>
        <v>CINTA ADHESIVA TRANSPARENT 2*100 M (UND)</v>
      </c>
      <c r="C32" s="21">
        <f t="shared" si="6"/>
        <v>60</v>
      </c>
      <c r="D32" s="22" t="str">
        <f>IFERROR(VLOOKUP(H32,'[1]Consolidado MP Planta'!$A$2:$M$823,13,0),"")</f>
        <v>Cm</v>
      </c>
      <c r="E32" s="22">
        <f>IFERROR(VLOOKUP(H32,'[1]Consolidado MP Planta'!$A$2:$M$823,12,0),"")</f>
        <v>0.17499999999999999</v>
      </c>
      <c r="F32" s="22">
        <f t="shared" si="7"/>
        <v>10.5</v>
      </c>
      <c r="G32" s="23">
        <f t="shared" si="8"/>
        <v>3.9585171310121021E-3</v>
      </c>
      <c r="H32" s="27" t="s">
        <v>105</v>
      </c>
      <c r="I32" s="27"/>
      <c r="J32" s="25"/>
      <c r="K32" s="281"/>
      <c r="L32" s="281"/>
    </row>
    <row r="33" spans="1:12" ht="13.5" x14ac:dyDescent="0.25">
      <c r="A33" s="20">
        <v>1</v>
      </c>
      <c r="B33" s="26" t="str">
        <f>IFERROR(VLOOKUP(H33,'[1]Consolidado MP Planta'!$A$2:$M$823,3,0),"")</f>
        <v>ORLA #8 BUCCA (UND)</v>
      </c>
      <c r="C33" s="21">
        <f t="shared" si="6"/>
        <v>1</v>
      </c>
      <c r="D33" s="22" t="str">
        <f>IFERROR(VLOOKUP(H33,'[1]Consolidado MP Planta'!$A$2:$M$823,13,0),"")</f>
        <v>Und</v>
      </c>
      <c r="E33" s="22">
        <f>IFERROR(VLOOKUP(H33,'[1]Consolidado MP Planta'!$A$2:$M$823,12,0),"")</f>
        <v>89</v>
      </c>
      <c r="F33" s="22">
        <f t="shared" si="7"/>
        <v>89</v>
      </c>
      <c r="G33" s="23">
        <f t="shared" si="8"/>
        <v>3.3553145205721627E-2</v>
      </c>
      <c r="H33" s="27" t="s">
        <v>106</v>
      </c>
      <c r="I33" s="27"/>
      <c r="J33" s="25"/>
      <c r="K33" s="281"/>
      <c r="L33" s="281"/>
    </row>
    <row r="34" spans="1:12" ht="13.5" hidden="1" x14ac:dyDescent="0.25">
      <c r="A34" s="20"/>
      <c r="B34" s="26" t="str">
        <f>IFERROR(VLOOKUP(H34,'[1]Consolidado MP Planta'!$A$2:$M$823,3,0),"")</f>
        <v/>
      </c>
      <c r="C34" s="21">
        <f t="shared" si="6"/>
        <v>0</v>
      </c>
      <c r="D34" s="22" t="str">
        <f>IFERROR(VLOOKUP(H34,'[1]Consolidado MP Planta'!$A$2:$M$823,13,0),"")</f>
        <v/>
      </c>
      <c r="E34" s="22" t="str">
        <f>IFERROR(VLOOKUP(H34,'[1]Consolidado MP Planta'!$A$2:$M$823,12,0),"")</f>
        <v/>
      </c>
      <c r="F34" s="22" t="str">
        <f t="shared" si="7"/>
        <v/>
      </c>
      <c r="G34" s="23" t="str">
        <f t="shared" si="8"/>
        <v/>
      </c>
      <c r="H34" s="27"/>
      <c r="I34" s="27"/>
      <c r="J34" s="25"/>
      <c r="K34" s="281"/>
      <c r="L34" s="281"/>
    </row>
    <row r="35" spans="1:12" ht="13.5" hidden="1" x14ac:dyDescent="0.25">
      <c r="A35" s="20"/>
      <c r="B35" s="26" t="str">
        <f>IFERROR(VLOOKUP(H35,'[1]Consolidado MP Planta'!$A$2:$M$823,3,0),"")</f>
        <v/>
      </c>
      <c r="C35" s="21">
        <f t="shared" si="6"/>
        <v>0</v>
      </c>
      <c r="D35" s="22" t="str">
        <f>IFERROR(VLOOKUP(H35,'[1]Consolidado MP Planta'!$A$2:$M$823,13,0),"")</f>
        <v/>
      </c>
      <c r="E35" s="22" t="str">
        <f>IFERROR(VLOOKUP(H35,'[1]Consolidado MP Planta'!$A$2:$M$823,12,0),"")</f>
        <v/>
      </c>
      <c r="F35" s="22" t="str">
        <f t="shared" si="7"/>
        <v/>
      </c>
      <c r="G35" s="23" t="str">
        <f t="shared" si="8"/>
        <v/>
      </c>
      <c r="H35" s="27"/>
      <c r="I35" s="27"/>
      <c r="J35" s="25"/>
      <c r="K35" s="28"/>
      <c r="L35" s="29"/>
    </row>
    <row r="36" spans="1:12" ht="13.5" hidden="1" x14ac:dyDescent="0.25">
      <c r="A36" s="20"/>
      <c r="B36" s="26" t="str">
        <f>IFERROR(VLOOKUP(H36,'[1]Consolidado MP Planta'!$A$2:$M$823,3,0),"")</f>
        <v/>
      </c>
      <c r="C36" s="21">
        <f t="shared" si="6"/>
        <v>0</v>
      </c>
      <c r="D36" s="22" t="str">
        <f>IFERROR(VLOOKUP(H36,'[1]Consolidado MP Planta'!$A$2:$M$823,13,0),"")</f>
        <v/>
      </c>
      <c r="E36" s="22" t="str">
        <f>IFERROR(VLOOKUP(H36,'[1]Consolidado MP Planta'!$A$2:$M$823,12,0),"")</f>
        <v/>
      </c>
      <c r="F36" s="22" t="str">
        <f t="shared" si="7"/>
        <v/>
      </c>
      <c r="G36" s="23" t="str">
        <f t="shared" si="8"/>
        <v/>
      </c>
      <c r="H36" s="27"/>
      <c r="I36" s="27"/>
      <c r="J36" s="25"/>
    </row>
    <row r="37" spans="1:12" ht="14.25" thickBot="1" x14ac:dyDescent="0.3">
      <c r="A37" s="20"/>
      <c r="B37" s="26"/>
      <c r="C37" s="21"/>
      <c r="D37" s="22"/>
      <c r="E37" s="22"/>
      <c r="F37" s="22"/>
      <c r="G37" s="23"/>
      <c r="H37" s="27"/>
      <c r="I37" s="27"/>
      <c r="J37" s="25"/>
    </row>
    <row r="38" spans="1:12" ht="26.25" thickBot="1" x14ac:dyDescent="0.25">
      <c r="A38" s="15" t="s">
        <v>52</v>
      </c>
      <c r="B38" s="16" t="s">
        <v>60</v>
      </c>
      <c r="C38" s="16" t="s">
        <v>52</v>
      </c>
      <c r="D38" s="17" t="s">
        <v>54</v>
      </c>
      <c r="E38" s="17" t="s">
        <v>55</v>
      </c>
      <c r="F38" s="17" t="s">
        <v>56</v>
      </c>
      <c r="G38" s="17" t="s">
        <v>57</v>
      </c>
      <c r="H38" s="18" t="s">
        <v>58</v>
      </c>
      <c r="I38" s="27"/>
      <c r="J38" s="25"/>
    </row>
    <row r="39" spans="1:12" ht="13.5" x14ac:dyDescent="0.25">
      <c r="A39" s="20">
        <f t="shared" ref="A39:A45" si="9">+A17</f>
        <v>1</v>
      </c>
      <c r="B39" s="26" t="s">
        <v>97</v>
      </c>
      <c r="C39" s="21">
        <f>+A39</f>
        <v>1</v>
      </c>
      <c r="D39" s="22" t="s">
        <v>98</v>
      </c>
      <c r="E39" s="22">
        <v>3.48</v>
      </c>
      <c r="F39" s="22">
        <f>IFERROR(E39*C39,"")</f>
        <v>3.48</v>
      </c>
      <c r="G39" s="23">
        <f t="shared" ref="G39:G45" si="10">IFERROR(F39/$F$70,"")</f>
        <v>1.3119656777068681E-3</v>
      </c>
      <c r="H39" s="27" t="s">
        <v>96</v>
      </c>
      <c r="I39" s="27"/>
      <c r="J39" s="25"/>
    </row>
    <row r="40" spans="1:12" ht="13.5" x14ac:dyDescent="0.25">
      <c r="A40" s="20">
        <f t="shared" si="9"/>
        <v>150</v>
      </c>
      <c r="B40" s="26" t="s">
        <v>36</v>
      </c>
      <c r="C40" s="21">
        <f t="shared" ref="C40:C45" si="11">+A40</f>
        <v>150</v>
      </c>
      <c r="D40" s="22" t="s">
        <v>94</v>
      </c>
      <c r="E40" s="22">
        <f>+'Costo Mezcla leche coco'!E76</f>
        <v>5.334788091428572E-4</v>
      </c>
      <c r="F40" s="22">
        <f t="shared" ref="F40:F45" si="12">IFERROR(E40*C40,"")</f>
        <v>8.0021821371428575E-2</v>
      </c>
      <c r="G40" s="23">
        <f t="shared" si="10"/>
        <v>3.0168357214627652E-5</v>
      </c>
      <c r="H40" s="27" t="s">
        <v>35</v>
      </c>
      <c r="I40" s="27"/>
      <c r="J40" s="25"/>
    </row>
    <row r="41" spans="1:12" ht="13.5" x14ac:dyDescent="0.25">
      <c r="A41" s="20">
        <f t="shared" si="9"/>
        <v>1</v>
      </c>
      <c r="B41" s="26" t="s">
        <v>37</v>
      </c>
      <c r="C41" s="21">
        <f t="shared" si="11"/>
        <v>1</v>
      </c>
      <c r="D41" s="22" t="s">
        <v>94</v>
      </c>
      <c r="E41" s="22">
        <f>+'Costo mousse Fudge'!H54</f>
        <v>1.6991150442477876</v>
      </c>
      <c r="F41" s="22">
        <f t="shared" si="12"/>
        <v>1.6991150442477876</v>
      </c>
      <c r="G41" s="23">
        <f t="shared" si="10"/>
        <v>6.4056914383002408E-4</v>
      </c>
      <c r="H41" s="27" t="s">
        <v>35</v>
      </c>
      <c r="I41" s="27"/>
      <c r="J41" s="25"/>
    </row>
    <row r="42" spans="1:12" ht="13.5" x14ac:dyDescent="0.25">
      <c r="A42" s="20">
        <f t="shared" si="9"/>
        <v>25</v>
      </c>
      <c r="B42" s="26" t="str">
        <f>IFERROR(VLOOKUP(H42,[1]SEMIELABORADOS!$A$2:$M$6000,2,0),"")</f>
        <v>CREMA CHANTILLY BLANCA SPOON-IND KILO</v>
      </c>
      <c r="C42" s="21">
        <f>+A42</f>
        <v>25</v>
      </c>
      <c r="D42" s="22" t="str">
        <f>IFERROR(VLOOKUP(H42,[1]SEMIELABORADOS!$A$2:$M$6000,6,0),"")</f>
        <v>Gramo</v>
      </c>
      <c r="E42" s="22">
        <f>IFERROR(VLOOKUP(H42,[1]SEMIELABORADOS!$A$2:$M$65536,10,0),"")</f>
        <v>2.7884615384615379E-5</v>
      </c>
      <c r="F42" s="22">
        <f>IFERROR(E42*C42,"")</f>
        <v>6.9711538461538446E-4</v>
      </c>
      <c r="G42" s="23">
        <f t="shared" si="10"/>
        <v>2.6281363736115142E-7</v>
      </c>
      <c r="H42" s="27" t="s">
        <v>99</v>
      </c>
      <c r="I42" s="27"/>
      <c r="J42" s="25"/>
    </row>
    <row r="43" spans="1:12" ht="13.5" x14ac:dyDescent="0.25">
      <c r="A43" s="20">
        <f t="shared" si="9"/>
        <v>7</v>
      </c>
      <c r="B43" s="26" t="str">
        <f>IFERROR(VLOOKUP(H43,[1]SEMIELABORADOS!$A$2:$M$6000,2,0),"")</f>
        <v>GANACHE CHOCOLATE OSCURO (KILO)</v>
      </c>
      <c r="C43" s="21">
        <f>+A43</f>
        <v>7</v>
      </c>
      <c r="D43" s="22" t="str">
        <f>IFERROR(VLOOKUP(H43,[1]SEMIELABORADOS!$A$2:$M$6000,6,0),"")</f>
        <v>Gramo</v>
      </c>
      <c r="E43" s="22">
        <f>IFERROR(VLOOKUP(H43,[1]SEMIELABORADOS!$A$2:$M$65536,10,0),"")</f>
        <v>1.4250614250614247E-5</v>
      </c>
      <c r="F43" s="22">
        <f>IFERROR(E43*C43,"")</f>
        <v>9.9754299754299731E-5</v>
      </c>
      <c r="G43" s="23">
        <f t="shared" si="10"/>
        <v>3.7607533759001126E-8</v>
      </c>
      <c r="H43" s="27" t="s">
        <v>100</v>
      </c>
      <c r="I43" s="27"/>
      <c r="J43" s="25"/>
    </row>
    <row r="44" spans="1:12" ht="13.5" hidden="1" x14ac:dyDescent="0.25">
      <c r="A44" s="20">
        <f t="shared" si="9"/>
        <v>0</v>
      </c>
      <c r="B44" s="26" t="str">
        <f>IFERROR(VLOOKUP(H44,[1]SEMIELABORADOS!$A$2:$M$6000,2,0),"")</f>
        <v/>
      </c>
      <c r="C44" s="21">
        <f t="shared" si="11"/>
        <v>0</v>
      </c>
      <c r="D44" s="22" t="str">
        <f>IFERROR(VLOOKUP(H44,[1]SEMIELABORADOS!$A$2:$M$6000,6,0),"")</f>
        <v/>
      </c>
      <c r="E44" s="22" t="str">
        <f>IFERROR(VLOOKUP(H44,[1]SEMIELABORADOS!$A$2:$M$65536,10,0),"")</f>
        <v/>
      </c>
      <c r="F44" s="22" t="str">
        <f t="shared" si="12"/>
        <v/>
      </c>
      <c r="G44" s="23" t="str">
        <f t="shared" si="10"/>
        <v/>
      </c>
      <c r="H44" s="27"/>
      <c r="I44" s="27"/>
      <c r="J44" s="25"/>
    </row>
    <row r="45" spans="1:12" ht="13.5" hidden="1" x14ac:dyDescent="0.25">
      <c r="A45" s="20">
        <f t="shared" si="9"/>
        <v>0</v>
      </c>
      <c r="B45" s="26" t="str">
        <f>IFERROR(VLOOKUP(H45,[1]SEMIELABORADOS!$A$2:$M$6000,2,0),"")</f>
        <v/>
      </c>
      <c r="C45" s="21">
        <f t="shared" si="11"/>
        <v>0</v>
      </c>
      <c r="D45" s="22" t="str">
        <f>IFERROR(VLOOKUP(H45,[1]SEMIELABORADOS!$A$2:$M$6000,6,0),"")</f>
        <v/>
      </c>
      <c r="E45" s="22" t="str">
        <f>IFERROR(VLOOKUP(H45,[1]SEMIELABORADOS!$A$2:$M$65536,10,0),"")</f>
        <v/>
      </c>
      <c r="F45" s="22" t="str">
        <f t="shared" si="12"/>
        <v/>
      </c>
      <c r="G45" s="23" t="str">
        <f t="shared" si="10"/>
        <v/>
      </c>
      <c r="H45" s="27"/>
      <c r="I45" s="27"/>
      <c r="J45" s="25"/>
    </row>
    <row r="46" spans="1:12" ht="14.25" thickBot="1" x14ac:dyDescent="0.3">
      <c r="A46" s="20"/>
      <c r="B46" s="26"/>
      <c r="C46" s="21"/>
      <c r="D46" s="22"/>
      <c r="E46" s="22"/>
      <c r="F46" s="22"/>
      <c r="G46" s="23"/>
      <c r="H46" s="27"/>
      <c r="I46" s="27"/>
      <c r="J46" s="25"/>
    </row>
    <row r="47" spans="1:12" ht="26.25" thickBot="1" x14ac:dyDescent="0.25">
      <c r="A47" s="15" t="s">
        <v>52</v>
      </c>
      <c r="B47" s="16" t="s">
        <v>61</v>
      </c>
      <c r="C47" s="16" t="s">
        <v>52</v>
      </c>
      <c r="D47" s="17" t="s">
        <v>54</v>
      </c>
      <c r="E47" s="17" t="s">
        <v>55</v>
      </c>
      <c r="F47" s="17" t="s">
        <v>56</v>
      </c>
      <c r="G47" s="17" t="s">
        <v>57</v>
      </c>
      <c r="H47" s="18" t="s">
        <v>58</v>
      </c>
      <c r="I47" s="19"/>
      <c r="J47" s="25"/>
    </row>
    <row r="48" spans="1:12" ht="13.5" x14ac:dyDescent="0.25">
      <c r="A48" s="20">
        <f>+A39</f>
        <v>1</v>
      </c>
      <c r="B48" s="26" t="s">
        <v>97</v>
      </c>
      <c r="C48" s="21">
        <f>+A48</f>
        <v>1</v>
      </c>
      <c r="D48" s="22" t="s">
        <v>98</v>
      </c>
      <c r="E48" s="22">
        <v>29.29</v>
      </c>
      <c r="F48" s="22">
        <f>IFERROR(E48*C48,"")</f>
        <v>29.29</v>
      </c>
      <c r="G48" s="23">
        <f>IFERROR(F48/$F$70,"")</f>
        <v>1.1042377787366138E-2</v>
      </c>
      <c r="H48" s="27" t="s">
        <v>96</v>
      </c>
      <c r="I48" s="19"/>
      <c r="J48" s="25"/>
    </row>
    <row r="49" spans="1:17" ht="13.5" x14ac:dyDescent="0.25">
      <c r="A49" s="20">
        <f t="shared" ref="A49:A54" si="13">+A40</f>
        <v>150</v>
      </c>
      <c r="B49" s="26" t="s">
        <v>36</v>
      </c>
      <c r="C49" s="21">
        <f t="shared" ref="C49:C54" si="14">+A49</f>
        <v>150</v>
      </c>
      <c r="D49" s="22" t="s">
        <v>94</v>
      </c>
      <c r="E49" s="22">
        <f>+'Costo Mezcla leche coco'!E74</f>
        <v>0.35650589590248477</v>
      </c>
      <c r="F49" s="22">
        <f t="shared" ref="F49:F54" si="15">IFERROR(E49*C49,"")</f>
        <v>53.475884385372716</v>
      </c>
      <c r="G49" s="23">
        <f t="shared" ref="G49:G54" si="16">IFERROR(F49/$F$70,"")</f>
        <v>2.016049566052576E-2</v>
      </c>
      <c r="H49" s="27" t="s">
        <v>35</v>
      </c>
      <c r="I49" s="19"/>
      <c r="J49" s="25"/>
      <c r="M49" s="30"/>
    </row>
    <row r="50" spans="1:17" ht="13.5" x14ac:dyDescent="0.25">
      <c r="A50" s="20">
        <f t="shared" si="13"/>
        <v>1</v>
      </c>
      <c r="B50" s="26" t="s">
        <v>37</v>
      </c>
      <c r="C50" s="21">
        <f t="shared" si="14"/>
        <v>1</v>
      </c>
      <c r="D50" s="22" t="s">
        <v>94</v>
      </c>
      <c r="E50" s="22">
        <f>+'Costo mousse Fudge'!E74</f>
        <v>0.14336283185840709</v>
      </c>
      <c r="F50" s="22">
        <f t="shared" si="15"/>
        <v>0.14336283185840709</v>
      </c>
      <c r="G50" s="23">
        <f t="shared" si="16"/>
        <v>5.4048021510658287E-5</v>
      </c>
      <c r="H50" s="27" t="s">
        <v>35</v>
      </c>
      <c r="I50" s="19"/>
      <c r="J50" s="25"/>
    </row>
    <row r="51" spans="1:17" ht="13.5" x14ac:dyDescent="0.25">
      <c r="A51" s="20">
        <f t="shared" si="13"/>
        <v>25</v>
      </c>
      <c r="B51" s="26" t="str">
        <f>IFERROR(VLOOKUP(H51,[1]SEMIELABORADOS!$A$2:$M$6000,2,0),"")</f>
        <v>CREMA CHANTILLY BLANCA SPOON-IND KILO</v>
      </c>
      <c r="C51" s="21">
        <f t="shared" si="14"/>
        <v>25</v>
      </c>
      <c r="D51" s="22" t="str">
        <f>IFERROR(VLOOKUP(H51,[1]SEMIELABORADOS!$A$2:$M$6000,6,0),"")</f>
        <v>Gramo</v>
      </c>
      <c r="E51" s="22">
        <f>IFERROR(VLOOKUP(H51,[1]SEMIELABORADOS!$A$2:$M$65536,12,0),"")</f>
        <v>0.38969411105769225</v>
      </c>
      <c r="F51" s="22">
        <f t="shared" si="15"/>
        <v>9.7423527764423064</v>
      </c>
      <c r="G51" s="23">
        <f t="shared" si="16"/>
        <v>3.6728828916104939E-3</v>
      </c>
      <c r="H51" s="27" t="s">
        <v>99</v>
      </c>
      <c r="I51" s="19"/>
      <c r="J51" s="25"/>
    </row>
    <row r="52" spans="1:17" ht="13.5" x14ac:dyDescent="0.25">
      <c r="A52" s="20">
        <f t="shared" si="13"/>
        <v>7</v>
      </c>
      <c r="B52" s="26" t="str">
        <f>IFERROR(VLOOKUP(H52,[1]SEMIELABORADOS!$A$2:$M$6000,2,0),"")</f>
        <v>GANACHE CHOCOLATE OSCURO (KILO)</v>
      </c>
      <c r="C52" s="21">
        <f t="shared" si="14"/>
        <v>7</v>
      </c>
      <c r="D52" s="22" t="str">
        <f>IFERROR(VLOOKUP(H52,[1]SEMIELABORADOS!$A$2:$M$6000,6,0),"")</f>
        <v>Gramo</v>
      </c>
      <c r="E52" s="22">
        <f>IFERROR(VLOOKUP(H52,[1]SEMIELABORADOS!$A$2:$M$65536,12,0),"")</f>
        <v>0.65560944471744476</v>
      </c>
      <c r="F52" s="22">
        <f t="shared" si="15"/>
        <v>4.5892661130221128</v>
      </c>
      <c r="G52" s="23">
        <f t="shared" si="16"/>
        <v>1.7301608121115576E-3</v>
      </c>
      <c r="H52" s="27" t="s">
        <v>100</v>
      </c>
      <c r="I52" s="19"/>
      <c r="J52" s="25"/>
    </row>
    <row r="53" spans="1:17" ht="13.5" hidden="1" x14ac:dyDescent="0.25">
      <c r="A53" s="20">
        <f t="shared" si="13"/>
        <v>0</v>
      </c>
      <c r="B53" s="26" t="str">
        <f>IFERROR(VLOOKUP(H53,[1]SEMIELABORADOS!$A$2:$M$6000,2,0),"")</f>
        <v/>
      </c>
      <c r="C53" s="21">
        <f t="shared" si="14"/>
        <v>0</v>
      </c>
      <c r="D53" s="22" t="str">
        <f>IFERROR(VLOOKUP(H53,[1]SEMIELABORADOS!$A$2:$M$6000,6,0),"")</f>
        <v/>
      </c>
      <c r="E53" s="22" t="str">
        <f>IFERROR(VLOOKUP(H53,[1]SEMIELABORADOS!$A$2:$M$65536,12,0),"")</f>
        <v/>
      </c>
      <c r="F53" s="22" t="str">
        <f t="shared" si="15"/>
        <v/>
      </c>
      <c r="G53" s="23" t="str">
        <f t="shared" si="16"/>
        <v/>
      </c>
      <c r="H53" s="27"/>
      <c r="I53" s="19"/>
      <c r="J53" s="25"/>
    </row>
    <row r="54" spans="1:17" ht="13.5" hidden="1" x14ac:dyDescent="0.25">
      <c r="A54" s="20">
        <f t="shared" si="13"/>
        <v>0</v>
      </c>
      <c r="B54" s="26" t="str">
        <f>IFERROR(VLOOKUP(H54,[1]SEMIELABORADOS!$A$2:$M$6000,2,0),"")</f>
        <v/>
      </c>
      <c r="C54" s="21">
        <f t="shared" si="14"/>
        <v>0</v>
      </c>
      <c r="D54" s="22" t="str">
        <f>IFERROR(VLOOKUP(H54,[1]SEMIELABORADOS!$A$2:$M$6000,6,0),"")</f>
        <v/>
      </c>
      <c r="E54" s="22" t="str">
        <f>IFERROR(VLOOKUP(H54,[1]SEMIELABORADOS!$A$2:$M$65536,12,0),"")</f>
        <v/>
      </c>
      <c r="F54" s="22" t="str">
        <f t="shared" si="15"/>
        <v/>
      </c>
      <c r="G54" s="23" t="str">
        <f t="shared" si="16"/>
        <v/>
      </c>
      <c r="H54" s="26"/>
      <c r="I54" s="19"/>
      <c r="J54" s="25"/>
    </row>
    <row r="55" spans="1:17" ht="13.5" x14ac:dyDescent="0.25">
      <c r="A55" s="20">
        <v>1</v>
      </c>
      <c r="B55" s="26" t="s">
        <v>62</v>
      </c>
      <c r="C55" s="21">
        <f>+A55</f>
        <v>1</v>
      </c>
      <c r="D55" s="21" t="s">
        <v>63</v>
      </c>
      <c r="E55" s="22">
        <f>+F69</f>
        <v>342</v>
      </c>
      <c r="F55" s="22">
        <f>IFERROR(C55*E55,"")</f>
        <v>342</v>
      </c>
      <c r="G55" s="23">
        <f>IFERROR(F55/$F$70,"")</f>
        <v>0.12893455798153702</v>
      </c>
      <c r="H55" s="31"/>
      <c r="I55" s="31"/>
      <c r="J55" s="25"/>
    </row>
    <row r="56" spans="1:17" ht="14.25" thickBot="1" x14ac:dyDescent="0.3">
      <c r="A56" s="20"/>
      <c r="B56" s="26"/>
      <c r="C56" s="21"/>
      <c r="D56" s="21"/>
      <c r="E56" s="22"/>
      <c r="F56" s="22"/>
      <c r="G56" s="23"/>
      <c r="H56" s="31"/>
      <c r="I56" s="31"/>
      <c r="J56" s="25"/>
    </row>
    <row r="57" spans="1:17" ht="13.5" thickBot="1" x14ac:dyDescent="0.25">
      <c r="A57" s="32"/>
      <c r="B57" s="282" t="s">
        <v>64</v>
      </c>
      <c r="C57" s="282"/>
      <c r="D57" s="282"/>
      <c r="E57" s="282"/>
      <c r="F57" s="34">
        <f>SUM(F8:F14,F17:F24)</f>
        <v>1771.3681186563158</v>
      </c>
      <c r="G57" s="23">
        <f>+F57/$F$70</f>
        <v>0.66780867076473371</v>
      </c>
      <c r="H57" s="35">
        <f>+F57/$D$64</f>
        <v>1771.3681186563158</v>
      </c>
      <c r="I57" s="35"/>
      <c r="J57" s="36"/>
      <c r="K57" s="37"/>
      <c r="L57" s="37"/>
      <c r="M57" s="37"/>
      <c r="N57" s="37"/>
      <c r="O57" s="37"/>
      <c r="P57" s="37"/>
      <c r="Q57" s="38"/>
    </row>
    <row r="58" spans="1:17" x14ac:dyDescent="0.2">
      <c r="A58" s="32"/>
      <c r="B58" s="282" t="s">
        <v>65</v>
      </c>
      <c r="C58" s="282"/>
      <c r="D58" s="282"/>
      <c r="E58" s="282"/>
      <c r="F58" s="34">
        <f>SUM(F27:F36,F39:F45)</f>
        <v>503.71293373530358</v>
      </c>
      <c r="G58" s="23">
        <f>+F58/$F$70</f>
        <v>0.18990059783843458</v>
      </c>
      <c r="H58" s="35">
        <f>+F58/$D$64</f>
        <v>503.71293373530358</v>
      </c>
      <c r="I58" s="35"/>
      <c r="J58" s="39"/>
      <c r="K58" s="283" t="s">
        <v>66</v>
      </c>
      <c r="L58" s="284"/>
      <c r="M58" s="284"/>
      <c r="N58" s="284"/>
      <c r="O58" s="40">
        <f>+F59</f>
        <v>2275.0810523916193</v>
      </c>
      <c r="P58" s="40"/>
      <c r="Q58" s="41"/>
    </row>
    <row r="59" spans="1:17" x14ac:dyDescent="0.2">
      <c r="A59" s="32"/>
      <c r="B59" s="282" t="s">
        <v>67</v>
      </c>
      <c r="C59" s="282"/>
      <c r="D59" s="282"/>
      <c r="E59" s="282"/>
      <c r="F59" s="34">
        <f>+F57+F58</f>
        <v>2275.0810523916193</v>
      </c>
      <c r="G59" s="23">
        <f>+F59/$F$70</f>
        <v>0.85770926860316821</v>
      </c>
      <c r="H59" s="35">
        <f>+F59/$D$64</f>
        <v>2275.0810523916193</v>
      </c>
      <c r="I59" s="35"/>
      <c r="J59" s="42"/>
      <c r="K59" s="43"/>
      <c r="M59" s="44" t="s">
        <v>68</v>
      </c>
      <c r="N59" s="45">
        <v>0.18</v>
      </c>
      <c r="O59" s="40">
        <f>+O58*N59</f>
        <v>409.51458943049147</v>
      </c>
      <c r="P59" s="40"/>
      <c r="Q59" s="41"/>
    </row>
    <row r="60" spans="1:17" ht="13.5" thickBot="1" x14ac:dyDescent="0.25">
      <c r="A60" s="32"/>
      <c r="B60" s="33"/>
      <c r="C60" s="282" t="s">
        <v>69</v>
      </c>
      <c r="D60" s="282"/>
      <c r="E60" s="282"/>
      <c r="F60" s="34">
        <f>SUM(F48:F55)</f>
        <v>439.24086610669553</v>
      </c>
      <c r="G60" s="23">
        <f>+F60/$F$70</f>
        <v>0.16559452315466164</v>
      </c>
      <c r="H60" s="35">
        <f>+F60/$D$64</f>
        <v>439.24086610669553</v>
      </c>
      <c r="I60" s="35"/>
      <c r="J60" s="42"/>
      <c r="K60" s="43"/>
      <c r="L60" s="43"/>
      <c r="M60" s="43" t="s">
        <v>70</v>
      </c>
      <c r="N60" s="46"/>
      <c r="O60" s="40">
        <f>O58*N60</f>
        <v>0</v>
      </c>
      <c r="P60" s="40"/>
      <c r="Q60" s="41"/>
    </row>
    <row r="61" spans="1:17" ht="13.5" thickBot="1" x14ac:dyDescent="0.25">
      <c r="A61" s="32"/>
      <c r="B61" s="47"/>
      <c r="C61" s="47"/>
      <c r="D61" s="47"/>
      <c r="E61" s="47"/>
      <c r="F61" s="48"/>
      <c r="G61" s="23"/>
      <c r="H61" s="49"/>
      <c r="I61" s="35"/>
      <c r="J61" s="42"/>
      <c r="K61" s="50"/>
      <c r="M61" s="51" t="s">
        <v>71</v>
      </c>
      <c r="N61" s="52"/>
      <c r="O61" s="53">
        <f>SUM(O58:O60)</f>
        <v>2684.5956418221108</v>
      </c>
      <c r="P61" s="54"/>
      <c r="Q61" s="41"/>
    </row>
    <row r="62" spans="1:17" x14ac:dyDescent="0.2">
      <c r="B62" s="286" t="s">
        <v>72</v>
      </c>
      <c r="C62" s="286"/>
      <c r="D62" s="55">
        <v>830</v>
      </c>
      <c r="E62" s="56"/>
      <c r="G62" s="23"/>
      <c r="H62" s="49"/>
      <c r="I62" s="57"/>
      <c r="J62" s="42"/>
      <c r="K62" s="50"/>
      <c r="L62" s="43"/>
      <c r="M62" s="43" t="s">
        <v>73</v>
      </c>
      <c r="N62" s="58">
        <v>0.16</v>
      </c>
      <c r="O62" s="40">
        <f>+O58*N62</f>
        <v>364.0129683826591</v>
      </c>
      <c r="P62" s="40"/>
      <c r="Q62" s="41"/>
    </row>
    <row r="63" spans="1:17" x14ac:dyDescent="0.2">
      <c r="B63" s="286" t="s">
        <v>74</v>
      </c>
      <c r="C63" s="286"/>
      <c r="D63" s="59">
        <v>830</v>
      </c>
      <c r="E63" s="56"/>
      <c r="G63" s="23"/>
      <c r="H63" s="49"/>
      <c r="I63" s="57"/>
      <c r="J63" s="42"/>
      <c r="K63" s="50"/>
      <c r="L63" s="43"/>
      <c r="M63" s="287" t="s">
        <v>71</v>
      </c>
      <c r="N63" s="287"/>
      <c r="O63" s="40">
        <f>SUM(O61:O62)</f>
        <v>3048.6086102047698</v>
      </c>
      <c r="P63" s="40"/>
      <c r="Q63" s="41"/>
    </row>
    <row r="64" spans="1:17" ht="13.5" thickBot="1" x14ac:dyDescent="0.25">
      <c r="B64" s="288" t="s">
        <v>75</v>
      </c>
      <c r="C64" s="288"/>
      <c r="D64" s="55">
        <f>+D62/D63</f>
        <v>1</v>
      </c>
      <c r="E64" s="56"/>
      <c r="F64" s="60"/>
      <c r="G64" s="23"/>
      <c r="H64" s="49"/>
      <c r="I64" s="57"/>
      <c r="J64" s="42"/>
      <c r="K64" s="50"/>
      <c r="L64" s="287"/>
      <c r="M64" s="287"/>
      <c r="N64" s="58"/>
      <c r="O64" s="40">
        <f>+O63*N64</f>
        <v>0</v>
      </c>
      <c r="P64" s="40"/>
      <c r="Q64" s="41"/>
    </row>
    <row r="65" spans="2:17" ht="13.5" thickBot="1" x14ac:dyDescent="0.25">
      <c r="B65" s="288" t="s">
        <v>76</v>
      </c>
      <c r="C65" s="288"/>
      <c r="D65" s="61"/>
      <c r="E65" s="56"/>
      <c r="F65" s="60"/>
      <c r="G65" s="23"/>
      <c r="H65" s="49"/>
      <c r="I65" s="57"/>
      <c r="J65" s="42"/>
      <c r="K65" s="289" t="s">
        <v>77</v>
      </c>
      <c r="L65" s="290"/>
      <c r="M65" s="290"/>
      <c r="N65" s="291"/>
      <c r="O65" s="53">
        <f>SUM(O63:O64)</f>
        <v>3048.6086102047698</v>
      </c>
      <c r="P65" s="62" t="s">
        <v>78</v>
      </c>
      <c r="Q65" s="41"/>
    </row>
    <row r="66" spans="2:17" ht="13.5" thickBot="1" x14ac:dyDescent="0.25">
      <c r="C66" s="32" t="s">
        <v>79</v>
      </c>
      <c r="D66" s="63"/>
      <c r="E66" s="6" t="s">
        <v>80</v>
      </c>
      <c r="F66" s="64" t="s">
        <v>81</v>
      </c>
      <c r="G66" s="23"/>
      <c r="H66" s="49"/>
      <c r="I66" s="57"/>
      <c r="J66" s="65"/>
      <c r="K66" s="66"/>
      <c r="L66" s="297" t="s">
        <v>82</v>
      </c>
      <c r="M66" s="297"/>
      <c r="N66" s="297"/>
      <c r="O66" s="67">
        <f>+O65/D64</f>
        <v>3048.6086102047698</v>
      </c>
      <c r="P66" s="68">
        <f>+O66/D63</f>
        <v>3.6730224219334575</v>
      </c>
      <c r="Q66" s="69"/>
    </row>
    <row r="67" spans="2:17" ht="13.5" thickBot="1" x14ac:dyDescent="0.25">
      <c r="B67" s="298" t="s">
        <v>67</v>
      </c>
      <c r="C67" s="298"/>
      <c r="D67" s="298"/>
      <c r="E67" s="70">
        <f>+F67/F67</f>
        <v>1</v>
      </c>
      <c r="F67" s="71">
        <f>SUM(F59)</f>
        <v>2275.0810523916193</v>
      </c>
      <c r="G67" s="23">
        <f>+F67/$F$70</f>
        <v>0.85770926860316821</v>
      </c>
      <c r="H67" s="49"/>
      <c r="I67" s="57"/>
      <c r="K67" s="299"/>
      <c r="L67" s="300"/>
      <c r="M67" s="300"/>
      <c r="N67" s="300"/>
      <c r="O67" s="72"/>
      <c r="P67" s="73"/>
    </row>
    <row r="68" spans="2:17" ht="13.5" thickBot="1" x14ac:dyDescent="0.25">
      <c r="B68" s="301" t="s">
        <v>83</v>
      </c>
      <c r="C68" s="301"/>
      <c r="D68" s="301"/>
      <c r="E68" s="74">
        <v>0.02</v>
      </c>
      <c r="F68" s="71">
        <f>+F57*E68</f>
        <v>35.427362373126314</v>
      </c>
      <c r="G68" s="23">
        <f>+F68/$F$70</f>
        <v>1.3356173415294673E-2</v>
      </c>
      <c r="H68" s="35"/>
      <c r="I68" s="57"/>
      <c r="J68" s="75"/>
      <c r="O68" s="76"/>
      <c r="P68" s="33"/>
    </row>
    <row r="69" spans="2:17" ht="13.5" thickBot="1" x14ac:dyDescent="0.25">
      <c r="B69" s="302" t="s">
        <v>84</v>
      </c>
      <c r="C69" s="303"/>
      <c r="D69" s="77">
        <v>6</v>
      </c>
      <c r="E69" s="78">
        <v>57</v>
      </c>
      <c r="F69" s="71">
        <f>+E69*D69</f>
        <v>342</v>
      </c>
      <c r="G69" s="23">
        <f>+F69/$F$70</f>
        <v>0.12893455798153702</v>
      </c>
      <c r="H69" s="35"/>
      <c r="I69" s="35"/>
      <c r="J69" s="25"/>
    </row>
    <row r="70" spans="2:17" ht="13.5" thickBot="1" x14ac:dyDescent="0.25">
      <c r="B70" s="304" t="s">
        <v>85</v>
      </c>
      <c r="C70" s="305"/>
      <c r="D70" s="305"/>
      <c r="E70" s="306"/>
      <c r="F70" s="48">
        <f>SUM(F67:F69)</f>
        <v>2652.5084147647458</v>
      </c>
      <c r="G70" s="23">
        <f>+F70/$F$70</f>
        <v>1</v>
      </c>
      <c r="H70" s="285"/>
      <c r="I70" s="35"/>
      <c r="J70" s="25"/>
    </row>
    <row r="71" spans="2:17" x14ac:dyDescent="0.2">
      <c r="C71" s="30"/>
      <c r="D71" s="30"/>
      <c r="E71" s="80"/>
      <c r="F71" s="71"/>
      <c r="G71" s="23"/>
      <c r="H71" s="285"/>
      <c r="I71" s="79"/>
      <c r="J71" s="8"/>
    </row>
    <row r="72" spans="2:17" ht="13.5" thickBot="1" x14ac:dyDescent="0.25">
      <c r="B72" s="292" t="s">
        <v>86</v>
      </c>
      <c r="C72" s="292"/>
      <c r="D72" s="292"/>
      <c r="E72" s="292"/>
      <c r="F72" s="292"/>
      <c r="G72" s="23"/>
      <c r="H72" s="82"/>
      <c r="I72" s="79"/>
      <c r="J72" s="8"/>
    </row>
    <row r="73" spans="2:17" ht="13.5" thickBot="1" x14ac:dyDescent="0.25">
      <c r="B73" s="83" t="s">
        <v>87</v>
      </c>
      <c r="C73" s="84">
        <f>+F57</f>
        <v>1771.3681186563158</v>
      </c>
      <c r="D73" s="84">
        <f>+D62</f>
        <v>830</v>
      </c>
      <c r="E73" s="85">
        <f>+C73/D73</f>
        <v>2.1341784562124286</v>
      </c>
      <c r="F73" s="23"/>
      <c r="G73" s="82"/>
      <c r="H73" s="25"/>
      <c r="I73" s="82"/>
      <c r="J73" s="8"/>
    </row>
    <row r="74" spans="2:17" x14ac:dyDescent="0.2">
      <c r="B74" s="86"/>
      <c r="C74" s="87"/>
      <c r="D74" s="88"/>
      <c r="E74" s="71"/>
      <c r="F74" s="23"/>
      <c r="G74" s="82"/>
      <c r="H74" s="25"/>
      <c r="I74" s="25"/>
      <c r="J74" s="8"/>
    </row>
    <row r="75" spans="2:17" x14ac:dyDescent="0.2">
      <c r="B75" s="83" t="s">
        <v>88</v>
      </c>
      <c r="C75" s="84">
        <f>SUM(F67:F68)</f>
        <v>2310.5084147647458</v>
      </c>
      <c r="D75" s="84">
        <f>+D62</f>
        <v>830</v>
      </c>
      <c r="E75" s="89">
        <f>+C75/D75</f>
        <v>2.7837450780298143</v>
      </c>
      <c r="F75" s="23"/>
      <c r="G75" s="82"/>
      <c r="H75" s="25"/>
      <c r="I75" s="25"/>
      <c r="J75" s="8"/>
    </row>
    <row r="76" spans="2:17" x14ac:dyDescent="0.2">
      <c r="B76" s="83"/>
      <c r="C76" s="84"/>
      <c r="D76" s="84"/>
      <c r="E76" s="89"/>
      <c r="F76" s="23"/>
      <c r="G76" s="82"/>
      <c r="H76" s="25"/>
      <c r="I76" s="25"/>
      <c r="J76" s="8"/>
    </row>
    <row r="77" spans="2:17" ht="13.5" thickBot="1" x14ac:dyDescent="0.25">
      <c r="B77" s="83" t="s">
        <v>89</v>
      </c>
      <c r="C77" s="84">
        <f>+F69</f>
        <v>342</v>
      </c>
      <c r="D77" s="84">
        <f>+D62</f>
        <v>830</v>
      </c>
      <c r="E77" s="89">
        <f>+C77/D77</f>
        <v>0.41204819277108434</v>
      </c>
      <c r="F77" s="23"/>
      <c r="G77" s="82"/>
      <c r="H77" s="25"/>
      <c r="I77" s="25"/>
      <c r="J77" s="8"/>
    </row>
    <row r="78" spans="2:17" ht="13.5" thickBot="1" x14ac:dyDescent="0.25">
      <c r="B78" s="83" t="s">
        <v>90</v>
      </c>
      <c r="C78" s="84">
        <f>+F60</f>
        <v>439.24086610669553</v>
      </c>
      <c r="D78" s="84">
        <f>+D77</f>
        <v>830</v>
      </c>
      <c r="E78" s="85">
        <f>+C78/D78</f>
        <v>0.52920586277915127</v>
      </c>
      <c r="F78" s="23"/>
      <c r="G78" s="82"/>
      <c r="H78" s="25"/>
      <c r="I78" s="25"/>
      <c r="J78" s="8"/>
    </row>
    <row r="79" spans="2:17" ht="13.5" thickBot="1" x14ac:dyDescent="0.25">
      <c r="B79" s="47"/>
      <c r="C79" s="48"/>
      <c r="D79" s="48"/>
      <c r="E79" s="89"/>
      <c r="F79" s="23"/>
      <c r="G79" s="82"/>
      <c r="H79" s="25"/>
      <c r="I79" s="25"/>
      <c r="J79" s="8"/>
    </row>
    <row r="80" spans="2:17" ht="13.5" thickBot="1" x14ac:dyDescent="0.25">
      <c r="B80" s="83" t="s">
        <v>91</v>
      </c>
      <c r="C80" s="84">
        <f>+F58</f>
        <v>503.71293373530358</v>
      </c>
      <c r="D80" s="84">
        <f>+D78</f>
        <v>830</v>
      </c>
      <c r="E80" s="85">
        <f>+C80/D80</f>
        <v>0.6068830526931368</v>
      </c>
      <c r="F80" s="23"/>
      <c r="G80" s="82"/>
      <c r="H80" s="25"/>
      <c r="I80" s="25"/>
      <c r="J80" s="25"/>
    </row>
    <row r="81" spans="1:10" ht="13.5" thickBot="1" x14ac:dyDescent="0.25">
      <c r="B81" s="47"/>
      <c r="C81" s="48"/>
      <c r="D81" s="48"/>
      <c r="E81" s="89"/>
      <c r="F81" s="23"/>
      <c r="G81" s="82"/>
      <c r="H81" s="25"/>
      <c r="I81" s="25"/>
    </row>
    <row r="82" spans="1:10" ht="13.5" thickBot="1" x14ac:dyDescent="0.25">
      <c r="B82" s="293" t="s">
        <v>92</v>
      </c>
      <c r="C82" s="294"/>
      <c r="D82" s="295"/>
      <c r="E82" s="85">
        <f>+E73+E78</f>
        <v>2.66338431899158</v>
      </c>
      <c r="G82" s="23"/>
      <c r="H82" s="82"/>
      <c r="I82" s="25"/>
      <c r="J82" s="89"/>
    </row>
    <row r="83" spans="1:10" x14ac:dyDescent="0.2">
      <c r="I83" s="82"/>
      <c r="J83" s="8"/>
    </row>
    <row r="84" spans="1:10" ht="13.5" thickBot="1" x14ac:dyDescent="0.25">
      <c r="B84" s="292" t="s">
        <v>93</v>
      </c>
      <c r="C84" s="292"/>
      <c r="D84" s="292"/>
      <c r="E84" s="292"/>
      <c r="F84" s="292"/>
      <c r="G84" s="23"/>
      <c r="H84" s="82"/>
      <c r="J84" s="8"/>
    </row>
    <row r="85" spans="1:10" ht="13.5" thickBot="1" x14ac:dyDescent="0.25">
      <c r="B85" s="83" t="s">
        <v>87</v>
      </c>
      <c r="C85" s="84">
        <f>+C73</f>
        <v>1771.3681186563158</v>
      </c>
      <c r="D85" s="84">
        <f>+D64</f>
        <v>1</v>
      </c>
      <c r="E85" s="85">
        <f>+C85/D85</f>
        <v>1771.3681186563158</v>
      </c>
      <c r="F85" s="23"/>
      <c r="G85" s="82"/>
      <c r="H85" s="25"/>
      <c r="I85" s="82"/>
      <c r="J85" s="8"/>
    </row>
    <row r="86" spans="1:10" x14ac:dyDescent="0.2">
      <c r="B86" s="86"/>
      <c r="C86" s="87"/>
      <c r="D86" s="88"/>
      <c r="E86" s="71"/>
      <c r="F86" s="23"/>
      <c r="G86" s="82"/>
      <c r="H86" s="25"/>
      <c r="I86" s="25"/>
      <c r="J86" s="8"/>
    </row>
    <row r="87" spans="1:10" x14ac:dyDescent="0.2">
      <c r="B87" s="83" t="s">
        <v>88</v>
      </c>
      <c r="C87" s="84">
        <f>+C75</f>
        <v>2310.5084147647458</v>
      </c>
      <c r="D87" s="84">
        <f>+D64</f>
        <v>1</v>
      </c>
      <c r="E87" s="89">
        <f>+C87/D87</f>
        <v>2310.5084147647458</v>
      </c>
      <c r="F87" s="23"/>
      <c r="G87" s="82"/>
      <c r="H87" s="25"/>
      <c r="I87" s="25"/>
      <c r="J87" s="8"/>
    </row>
    <row r="88" spans="1:10" x14ac:dyDescent="0.2">
      <c r="B88" s="83"/>
      <c r="C88" s="84"/>
      <c r="D88" s="84"/>
      <c r="E88" s="89"/>
      <c r="F88" s="23"/>
      <c r="G88" s="82"/>
      <c r="H88" s="25"/>
      <c r="I88" s="25"/>
      <c r="J88" s="8"/>
    </row>
    <row r="89" spans="1:10" ht="13.5" thickBot="1" x14ac:dyDescent="0.25">
      <c r="B89" s="83" t="s">
        <v>90</v>
      </c>
      <c r="C89" s="84">
        <f>+C77</f>
        <v>342</v>
      </c>
      <c r="D89" s="84">
        <f>+D64</f>
        <v>1</v>
      </c>
      <c r="E89" s="89">
        <f>+C89/D89</f>
        <v>342</v>
      </c>
      <c r="F89" s="91"/>
      <c r="G89" s="81"/>
      <c r="H89" s="7"/>
      <c r="I89" s="25"/>
    </row>
    <row r="90" spans="1:10" ht="13.5" thickBot="1" x14ac:dyDescent="0.25">
      <c r="B90" s="83" t="s">
        <v>90</v>
      </c>
      <c r="C90" s="84">
        <f>+C78</f>
        <v>439.24086610669553</v>
      </c>
      <c r="D90" s="84">
        <f>+D89</f>
        <v>1</v>
      </c>
      <c r="E90" s="85">
        <f>+C90/D90</f>
        <v>439.24086610669553</v>
      </c>
      <c r="F90" s="90"/>
      <c r="G90" s="81"/>
      <c r="H90" s="7"/>
      <c r="I90" s="7"/>
    </row>
    <row r="91" spans="1:10" x14ac:dyDescent="0.2">
      <c r="I91" s="7"/>
    </row>
    <row r="92" spans="1:10" x14ac:dyDescent="0.2">
      <c r="A92" s="296"/>
      <c r="B92" s="296"/>
      <c r="C92" s="92"/>
      <c r="D92" s="92"/>
      <c r="E92" s="93"/>
      <c r="G92" s="94"/>
    </row>
    <row r="93" spans="1:10" x14ac:dyDescent="0.2">
      <c r="A93" s="26"/>
      <c r="B93" s="95"/>
      <c r="C93" s="96"/>
      <c r="D93" s="96"/>
      <c r="E93" s="97"/>
      <c r="G93" s="94"/>
    </row>
    <row r="94" spans="1:10" x14ac:dyDescent="0.2">
      <c r="A94" s="26"/>
      <c r="B94" s="95"/>
      <c r="C94" s="98"/>
      <c r="D94" s="98"/>
      <c r="E94" s="26"/>
      <c r="G94" s="94"/>
    </row>
    <row r="95" spans="1:10" x14ac:dyDescent="0.2">
      <c r="A95" s="26"/>
      <c r="B95" s="95"/>
      <c r="C95" s="99"/>
      <c r="D95" s="99"/>
      <c r="E95" s="26"/>
      <c r="G95" s="94"/>
    </row>
  </sheetData>
  <mergeCells count="30">
    <mergeCell ref="B72:F72"/>
    <mergeCell ref="B82:D82"/>
    <mergeCell ref="B84:F84"/>
    <mergeCell ref="A92:B92"/>
    <mergeCell ref="L66:N66"/>
    <mergeCell ref="B67:D67"/>
    <mergeCell ref="K67:N67"/>
    <mergeCell ref="B68:D68"/>
    <mergeCell ref="B69:C69"/>
    <mergeCell ref="B70:E70"/>
    <mergeCell ref="M63:N63"/>
    <mergeCell ref="B64:C64"/>
    <mergeCell ref="L64:M64"/>
    <mergeCell ref="B65:C65"/>
    <mergeCell ref="K65:N65"/>
    <mergeCell ref="B59:E59"/>
    <mergeCell ref="C60:E60"/>
    <mergeCell ref="H70:H71"/>
    <mergeCell ref="B62:C62"/>
    <mergeCell ref="B63:C63"/>
    <mergeCell ref="K33:L33"/>
    <mergeCell ref="K34:L34"/>
    <mergeCell ref="B57:E57"/>
    <mergeCell ref="B58:E58"/>
    <mergeCell ref="K58:N58"/>
    <mergeCell ref="A4:H4"/>
    <mergeCell ref="A5:H5"/>
    <mergeCell ref="F6:G6"/>
    <mergeCell ref="K27:L27"/>
    <mergeCell ref="K32:L3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DF283C-E5EF-4A20-BD11-FD1D799087F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91C0295E-9386-48F0-906E-BECDE9CD1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E1D412-99AB-40C8-A64C-0982A96A51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Costo Mezcla leche coco</vt:lpstr>
      <vt:lpstr>Costo mousse Fudge</vt:lpstr>
      <vt:lpstr>Costo ensamble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2023-10-05T16:01:17Z</cp:lastPrinted>
  <dcterms:created xsi:type="dcterms:W3CDTF">2009-03-11T22:07:15Z</dcterms:created>
  <dcterms:modified xsi:type="dcterms:W3CDTF">2025-03-31T20:03:03Z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
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3" documentId="8_{1F346532-49F8-4FC6-A115-CF9920C798CD}" xr6:coauthVersionLast="47" xr6:coauthVersionMax="47" xr10:uidLastSave="{269FD42A-8C85-4BC8-A200-A6B763AED9D2}"/>
  <bookViews>
    <workbookView xWindow="-120" yWindow="-120" windowWidth="20730" windowHeight="11040" xr2:uid="{0B7874C2-82DF-4715-8741-894060C8D5FE}"/>
  </bookViews>
  <sheets>
    <sheet name="Hoja2" sheetId="8" r:id="rId1"/>
  </sheets>
  <definedNames>
    <definedName name="_xlnm.Print_Area" localSheetId="0">Hoja2!$A$1:$I$53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8" l="1"/>
  <c r="K10" i="8" l="1"/>
</calcChain>
</file>

<file path=xl/sharedStrings.xml><?xml version="1.0" encoding="utf-8"?>
<sst xmlns="http://schemas.openxmlformats.org/spreadsheetml/2006/main" count="124" uniqueCount="90">
  <si>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</si>
  <si>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</si>
  <si>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</si>
  <si>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</si>
  <si>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</si>
  <si>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</si>
  <si>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</si>
  <si>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</si>
  <si>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</si>
  <si>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</si>
  <si>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</si>
  <si>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</si>
  <si>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</si>
  <si>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</si>
  <si>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</si>
  <si>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</si>
  <si>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</si>
  <si>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</si>
  <si>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</si>
  <si>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</si>
  <si>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</si>
  <si>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</si>
  <si>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</si>
  <si>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</si>
  <si>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</si>
  <si>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</si>
  <si>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</si>
  <si>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</si>
  <si>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Decoración</t>
  </si>
  <si>
    <t>2.- Tapar con el otro rosquete.</t>
  </si>
  <si>
    <t>3.- Colocar sobre la base de la quequera.</t>
  </si>
  <si>
    <t>4.- Encremar con crema chantilly blanca y decorar con dulce ce leche para marmolear.</t>
  </si>
  <si>
    <t>CREMA CHANTILLY BLANCA (SPOON-IND)(21.01 Kg)</t>
  </si>
  <si>
    <t>95717</t>
  </si>
  <si>
    <t>1.- Utilizar 2 rosquetes, humedecer cada uno y rellenar con 1 taza de crema con manjar esparcir bien</t>
  </si>
  <si>
    <t>ud</t>
  </si>
  <si>
    <t>min</t>
  </si>
  <si>
    <t xml:space="preserve">AREA QUE EMPACA: </t>
  </si>
  <si>
    <t>AREA QUE PRODUCE:</t>
  </si>
  <si>
    <t>cm</t>
  </si>
  <si>
    <t>701096</t>
  </si>
  <si>
    <t>ETIQUETA BLANCA R-153 (UND)</t>
  </si>
  <si>
    <t>CONTROL DE CAMBIOS</t>
  </si>
  <si>
    <t>ALMIBAR KILO</t>
  </si>
  <si>
    <t>CREMA DULCE LECHE KILO</t>
  </si>
  <si>
    <t>MEZCLA SIROPE DULCE LECHE KILO</t>
  </si>
  <si>
    <t>GANACHE CHOCOLATE OSCURO (KILO)</t>
  </si>
  <si>
    <t>QUEQUERA RED  BASE/DOMO 10 (CAJA:50)</t>
  </si>
  <si>
    <t>ETIQUETA BLANCA 2 5/8X1 15/16 (UND)</t>
  </si>
  <si>
    <t>CINTA ADHESIVA TRANSPARENT 2*100 M (UND)</t>
  </si>
  <si>
    <t>FAS</t>
  </si>
  <si>
    <t>Javier Tong, Chef</t>
  </si>
  <si>
    <t>Esteban Cartin, Gte Manufactura</t>
  </si>
  <si>
    <t>910000006</t>
  </si>
  <si>
    <t>908000032</t>
  </si>
  <si>
    <t>907000287</t>
  </si>
  <si>
    <t>SE00454</t>
  </si>
  <si>
    <t>SE00005</t>
  </si>
  <si>
    <t>SE00032</t>
  </si>
  <si>
    <t>SE00010</t>
  </si>
  <si>
    <t>SE00034</t>
  </si>
  <si>
    <t>SE00001</t>
  </si>
  <si>
    <t>EM10009</t>
  </si>
  <si>
    <t>EM10124</t>
  </si>
  <si>
    <t>EM10011</t>
  </si>
  <si>
    <t>EM10248</t>
  </si>
  <si>
    <t>EM10002</t>
  </si>
  <si>
    <t>EM10394</t>
  </si>
  <si>
    <t>ETIQUETA TORTA DULCE DE LECHE BUCCA</t>
  </si>
  <si>
    <t># Código Netsuite</t>
  </si>
  <si>
    <t>Ensamble</t>
  </si>
  <si>
    <t>2 UND</t>
  </si>
  <si>
    <t>1 TAZA</t>
  </si>
  <si>
    <t>1/4 TAZA</t>
  </si>
  <si>
    <t>COLOCHO BOQUILLA 22</t>
  </si>
  <si>
    <t>Empaque</t>
  </si>
  <si>
    <t>MAYCA</t>
  </si>
  <si>
    <t>ETIQ.BLANCA 1 1/4 * 3/4</t>
  </si>
  <si>
    <t>ETIPLAST</t>
  </si>
  <si>
    <t>Ud</t>
  </si>
  <si>
    <t>CEMUSA</t>
  </si>
  <si>
    <t>ESP-RE-DEF-005</t>
  </si>
  <si>
    <t>ROSQUETE EASY VAINILLA BC 310 G</t>
  </si>
  <si>
    <t xml:space="preserve">5, Agregar el sirope dulce en el centro y esparcir quedando tipo espejo </t>
  </si>
  <si>
    <t>6.- Hacer colochos en los bordes acorde a la ficha.  Hacer hilos de decoracion con ganache de chocolate oscuro.</t>
  </si>
  <si>
    <t xml:space="preserve">7.- Tapar y etiquetar. </t>
  </si>
  <si>
    <t>2, Se actualizan datos de receta con cambio de pesos.</t>
  </si>
  <si>
    <t>3, Se actualiza cantidad de relleno de crema</t>
  </si>
  <si>
    <t>03</t>
  </si>
  <si>
    <t>Torta dulce de leche Economica Industria PTI00120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</si>
</sst>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0.0"/>
    <numFmt numFmtId="167" formatCode="_(* #,##0.000_);_(* \(#,##0.000\);_(* &quot;-&quot;??_);_(@_)"/>
  </numFmts>
  <fonts count="15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sz val="12"/>
      <color rgb="FFFF0000"/>
      <name val="Arial"/>
      <family val="2"/>
    </font>
    <font>
      <b/>
      <sz val="1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0" fontId="2" fillId="0" borderId="0"/>
    <xf numFmtId="0" fontId="2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54">
    <xf numFmtId="0" fontId="0" fillId="0" borderId="0" xfId="0"/>
    <xf numFmtId="0" fontId="5" fillId="2" borderId="1" xfId="3" applyFont="1" applyFill="1" applyBorder="1" applyAlignment="1">
      <alignment horizontal="right"/>
    </xf>
    <xf numFmtId="0" fontId="4" fillId="2" borderId="5" xfId="3" applyFont="1" applyFill="1" applyBorder="1" applyAlignment="1">
      <alignment horizontal="right"/>
    </xf>
    <xf numFmtId="0" fontId="4" fillId="2" borderId="1" xfId="3" applyFont="1" applyFill="1" applyBorder="1" applyAlignment="1">
      <alignment horizontal="right"/>
    </xf>
    <xf numFmtId="0" fontId="4" fillId="2" borderId="1" xfId="3" applyFont="1" applyFill="1" applyBorder="1" applyAlignment="1">
      <alignment horizontal="center"/>
    </xf>
    <xf numFmtId="0" fontId="5" fillId="2" borderId="26" xfId="3" applyFont="1" applyFill="1" applyBorder="1" applyAlignment="1">
      <alignment horizontal="right"/>
    </xf>
    <xf numFmtId="49" fontId="4" fillId="2" borderId="7" xfId="3" applyNumberFormat="1" applyFont="1" applyFill="1" applyBorder="1" applyAlignment="1">
      <alignment horizontal="center"/>
    </xf>
    <xf numFmtId="0" fontId="5" fillId="3" borderId="2" xfId="2" applyFont="1" applyFill="1" applyBorder="1" applyAlignment="1">
      <alignment horizontal="center" vertical="center" wrapText="1"/>
    </xf>
    <xf numFmtId="1" fontId="5" fillId="3" borderId="3" xfId="2" applyNumberFormat="1" applyFont="1" applyFill="1" applyBorder="1" applyAlignment="1">
      <alignment horizontal="center"/>
    </xf>
    <xf numFmtId="1" fontId="5" fillId="3" borderId="3" xfId="2" applyNumberFormat="1" applyFont="1" applyFill="1" applyBorder="1" applyAlignment="1">
      <alignment horizontal="center" wrapText="1"/>
    </xf>
    <xf numFmtId="0" fontId="5" fillId="3" borderId="4" xfId="2" applyFont="1" applyFill="1" applyBorder="1" applyAlignment="1">
      <alignment horizontal="center"/>
    </xf>
    <xf numFmtId="14" fontId="4" fillId="2" borderId="39" xfId="3" applyNumberFormat="1" applyFont="1" applyFill="1" applyBorder="1" applyAlignment="1">
      <alignment horizontal="center" vertical="center" wrapText="1"/>
    </xf>
    <xf numFmtId="14" fontId="4" fillId="2" borderId="43" xfId="3" applyNumberFormat="1" applyFont="1" applyFill="1" applyBorder="1" applyAlignment="1">
      <alignment horizontal="center" vertical="center" wrapText="1"/>
    </xf>
    <xf numFmtId="14" fontId="4" fillId="2" borderId="6" xfId="3" applyNumberFormat="1" applyFont="1" applyFill="1" applyBorder="1" applyAlignment="1">
      <alignment horizontal="center" vertical="center" wrapText="1"/>
    </xf>
    <xf numFmtId="0" fontId="4" fillId="2" borderId="34" xfId="3" applyFont="1" applyFill="1" applyBorder="1" applyAlignment="1">
      <alignment horizontal="left"/>
    </xf>
    <xf numFmtId="0" fontId="4" fillId="2" borderId="30" xfId="3" applyFont="1" applyFill="1" applyBorder="1" applyAlignment="1">
      <alignment horizontal="left"/>
    </xf>
    <xf numFmtId="0" fontId="4" fillId="2" borderId="41" xfId="3" applyFont="1" applyFill="1" applyBorder="1" applyAlignment="1">
      <alignment horizontal="left"/>
    </xf>
    <xf numFmtId="0" fontId="4" fillId="2" borderId="16" xfId="3" applyFont="1" applyFill="1" applyBorder="1" applyAlignment="1">
      <alignment horizontal="left"/>
    </xf>
    <xf numFmtId="0" fontId="4" fillId="2" borderId="20" xfId="3" applyFont="1" applyFill="1" applyBorder="1" applyAlignment="1">
      <alignment horizontal="left"/>
    </xf>
    <xf numFmtId="0" fontId="4" fillId="2" borderId="8" xfId="3" applyFont="1" applyFill="1" applyBorder="1" applyAlignment="1">
      <alignment horizontal="left"/>
    </xf>
    <xf numFmtId="0" fontId="4" fillId="2" borderId="21" xfId="3" applyFont="1" applyFill="1" applyBorder="1" applyAlignment="1">
      <alignment horizontal="center"/>
    </xf>
    <xf numFmtId="0" fontId="4" fillId="2" borderId="22" xfId="3" applyFont="1" applyFill="1" applyBorder="1" applyAlignment="1">
      <alignment horizontal="center"/>
    </xf>
    <xf numFmtId="0" fontId="4" fillId="2" borderId="10" xfId="3" applyFont="1" applyFill="1" applyBorder="1" applyAlignment="1">
      <alignment horizontal="center"/>
    </xf>
    <xf numFmtId="0" fontId="4" fillId="2" borderId="0" xfId="3" applyFont="1" applyFill="1" applyAlignment="1">
      <alignment horizontal="center"/>
    </xf>
    <xf numFmtId="0" fontId="4" fillId="2" borderId="32" xfId="3" applyFont="1" applyFill="1" applyBorder="1" applyAlignment="1">
      <alignment horizontal="center"/>
    </xf>
    <xf numFmtId="0" fontId="4" fillId="2" borderId="18" xfId="3" applyFont="1" applyFill="1" applyBorder="1" applyAlignment="1">
      <alignment horizontal="center"/>
    </xf>
    <xf numFmtId="0" fontId="3" fillId="2" borderId="26" xfId="3" applyFont="1" applyFill="1" applyBorder="1" applyAlignment="1">
      <alignment horizontal="center"/>
    </xf>
    <xf numFmtId="0" fontId="3" fillId="2" borderId="31" xfId="3" applyFont="1" applyFill="1" applyBorder="1" applyAlignment="1">
      <alignment horizontal="center"/>
    </xf>
    <xf numFmtId="0" fontId="3" fillId="2" borderId="40" xfId="3" applyFont="1" applyFill="1" applyBorder="1" applyAlignment="1">
      <alignment horizontal="center"/>
    </xf>
    <xf numFmtId="0" fontId="3" fillId="2" borderId="25" xfId="3" applyFont="1" applyFill="1" applyBorder="1" applyAlignment="1">
      <alignment horizontal="center"/>
    </xf>
    <xf numFmtId="0" fontId="5" fillId="2" borderId="38" xfId="3" applyFont="1" applyFill="1" applyBorder="1" applyAlignment="1">
      <alignment horizontal="right" vertical="top" wrapText="1"/>
    </xf>
    <xf numFmtId="0" fontId="5" fillId="2" borderId="42" xfId="3" applyFont="1" applyFill="1" applyBorder="1" applyAlignment="1">
      <alignment horizontal="right" vertical="top" wrapText="1"/>
    </xf>
    <xf numFmtId="0" fontId="5" fillId="2" borderId="44" xfId="3" applyFont="1" applyFill="1" applyBorder="1" applyAlignment="1">
      <alignment horizontal="right" vertical="top" wrapText="1"/>
    </xf>
    <xf numFmtId="0" fontId="8" fillId="2" borderId="0" xfId="4" applyFont="1" applyFill="1" applyAlignment="1">
      <alignment horizontal="right"/>
    </xf>
    <xf numFmtId="0" fontId="8" fillId="2" borderId="0" xfId="4" applyFont="1" applyFill="1"/>
    <xf numFmtId="0" fontId="5" fillId="3" borderId="27" xfId="2" applyFont="1" applyFill="1" applyBorder="1" applyAlignment="1">
      <alignment horizontal="center" vertical="center"/>
    </xf>
    <xf numFmtId="0" fontId="5" fillId="3" borderId="24" xfId="2" applyFont="1" applyFill="1" applyBorder="1" applyAlignment="1">
      <alignment horizontal="center" vertical="center"/>
    </xf>
    <xf numFmtId="0" fontId="5" fillId="3" borderId="27" xfId="2" applyFont="1" applyFill="1" applyBorder="1" applyAlignment="1">
      <alignment horizontal="center" vertical="center" wrapText="1"/>
    </xf>
    <xf numFmtId="0" fontId="5" fillId="3" borderId="24" xfId="2" applyFont="1" applyFill="1" applyBorder="1" applyAlignment="1">
      <alignment horizontal="center" vertical="center" wrapText="1"/>
    </xf>
    <xf numFmtId="0" fontId="5" fillId="3" borderId="26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/>
    </xf>
    <xf numFmtId="0" fontId="9" fillId="0" borderId="9" xfId="2" applyFont="1" applyBorder="1" applyAlignment="1">
      <alignment horizontal="center" vertical="center"/>
    </xf>
    <xf numFmtId="0" fontId="9" fillId="0" borderId="8" xfId="2" applyFont="1" applyBorder="1" applyAlignment="1">
      <alignment horizontal="center" vertical="center"/>
    </xf>
    <xf numFmtId="0" fontId="10" fillId="0" borderId="1" xfId="2" applyFont="1" applyBorder="1" applyAlignment="1">
      <alignment vertical="center"/>
    </xf>
    <xf numFmtId="0" fontId="9" fillId="0" borderId="1" xfId="2" applyFont="1" applyBorder="1" applyAlignment="1">
      <alignment horizontal="center" vertical="center"/>
    </xf>
    <xf numFmtId="1" fontId="9" fillId="0" borderId="1" xfId="2" applyNumberFormat="1" applyFont="1" applyBorder="1" applyAlignment="1">
      <alignment horizontal="center"/>
    </xf>
    <xf numFmtId="1" fontId="9" fillId="0" borderId="1" xfId="2" applyNumberFormat="1" applyFont="1" applyBorder="1" applyAlignment="1">
      <alignment horizontal="center" wrapText="1"/>
    </xf>
    <xf numFmtId="0" fontId="11" fillId="0" borderId="7" xfId="2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16" fontId="11" fillId="0" borderId="5" xfId="0" applyNumberFormat="1" applyFont="1" applyBorder="1" applyAlignment="1">
      <alignment horizontal="center"/>
    </xf>
    <xf numFmtId="1" fontId="11" fillId="0" borderId="5" xfId="0" applyNumberFormat="1" applyFont="1" applyBorder="1" applyAlignment="1">
      <alignment horizontal="center"/>
    </xf>
    <xf numFmtId="1" fontId="11" fillId="0" borderId="5" xfId="0" applyNumberFormat="1" applyFont="1" applyBorder="1" applyAlignment="1">
      <alignment horizontal="center" wrapText="1"/>
    </xf>
    <xf numFmtId="1" fontId="11" fillId="0" borderId="5" xfId="2" applyNumberFormat="1" applyFont="1" applyBorder="1" applyAlignment="1">
      <alignment horizontal="center"/>
    </xf>
    <xf numFmtId="12" fontId="11" fillId="0" borderId="5" xfId="0" applyNumberFormat="1" applyFont="1" applyBorder="1" applyAlignment="1">
      <alignment horizontal="center"/>
    </xf>
    <xf numFmtId="16" fontId="11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 wrapText="1"/>
    </xf>
    <xf numFmtId="166" fontId="11" fillId="0" borderId="1" xfId="2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6" fontId="11" fillId="0" borderId="8" xfId="0" applyNumberFormat="1" applyFont="1" applyBorder="1" applyAlignment="1">
      <alignment horizontal="center"/>
    </xf>
    <xf numFmtId="2" fontId="9" fillId="0" borderId="1" xfId="2" applyNumberFormat="1" applyFont="1" applyBorder="1" applyAlignment="1">
      <alignment horizontal="center"/>
    </xf>
    <xf numFmtId="49" fontId="11" fillId="0" borderId="9" xfId="2" applyNumberFormat="1" applyFont="1" applyBorder="1" applyAlignment="1">
      <alignment horizontal="center"/>
    </xf>
    <xf numFmtId="49" fontId="11" fillId="0" borderId="8" xfId="2" applyNumberFormat="1" applyFont="1" applyBorder="1" applyAlignment="1">
      <alignment horizontal="center"/>
    </xf>
    <xf numFmtId="0" fontId="9" fillId="5" borderId="1" xfId="2" applyFont="1" applyFill="1" applyBorder="1" applyAlignment="1">
      <alignment horizontal="left"/>
    </xf>
    <xf numFmtId="0" fontId="11" fillId="0" borderId="1" xfId="2" applyFont="1" applyBorder="1" applyAlignment="1">
      <alignment horizontal="center"/>
    </xf>
    <xf numFmtId="1" fontId="11" fillId="0" borderId="1" xfId="2" applyNumberFormat="1" applyFont="1" applyBorder="1" applyAlignment="1">
      <alignment horizontal="center" wrapText="1"/>
    </xf>
    <xf numFmtId="49" fontId="11" fillId="0" borderId="1" xfId="0" applyNumberFormat="1" applyFont="1" applyBorder="1" applyAlignment="1">
      <alignment horizontal="center"/>
    </xf>
    <xf numFmtId="49" fontId="11" fillId="0" borderId="1" xfId="0" applyNumberFormat="1" applyFont="1" applyBorder="1"/>
    <xf numFmtId="0" fontId="11" fillId="0" borderId="0" xfId="0" applyFont="1"/>
    <xf numFmtId="49" fontId="9" fillId="0" borderId="28" xfId="2" applyNumberFormat="1" applyFont="1" applyBorder="1" applyAlignment="1">
      <alignment horizontal="center"/>
    </xf>
    <xf numFmtId="49" fontId="9" fillId="0" borderId="20" xfId="2" applyNumberFormat="1" applyFont="1" applyBorder="1" applyAlignment="1">
      <alignment horizontal="center"/>
    </xf>
    <xf numFmtId="0" fontId="10" fillId="5" borderId="1" xfId="2" applyFont="1" applyFill="1" applyBorder="1" applyAlignment="1">
      <alignment vertical="center"/>
    </xf>
    <xf numFmtId="0" fontId="9" fillId="0" borderId="8" xfId="2" applyFont="1" applyBorder="1" applyAlignment="1">
      <alignment horizontal="center"/>
    </xf>
    <xf numFmtId="166" fontId="9" fillId="0" borderId="1" xfId="2" applyNumberFormat="1" applyFont="1" applyBorder="1" applyAlignment="1">
      <alignment horizontal="center"/>
    </xf>
    <xf numFmtId="0" fontId="11" fillId="0" borderId="45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46" xfId="0" applyFont="1" applyBorder="1" applyAlignment="1">
      <alignment horizontal="left" vertical="center"/>
    </xf>
    <xf numFmtId="0" fontId="11" fillId="0" borderId="35" xfId="0" applyFont="1" applyBorder="1" applyAlignment="1">
      <alignment horizontal="center"/>
    </xf>
    <xf numFmtId="1" fontId="11" fillId="0" borderId="35" xfId="0" applyNumberFormat="1" applyFont="1" applyBorder="1" applyAlignment="1">
      <alignment horizontal="center"/>
    </xf>
    <xf numFmtId="1" fontId="11" fillId="0" borderId="35" xfId="0" applyNumberFormat="1" applyFont="1" applyBorder="1" applyAlignment="1">
      <alignment horizontal="center" wrapText="1"/>
    </xf>
    <xf numFmtId="167" fontId="9" fillId="5" borderId="1" xfId="1" applyNumberFormat="1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1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12" fontId="11" fillId="0" borderId="1" xfId="2" applyNumberFormat="1" applyFont="1" applyBorder="1" applyAlignment="1">
      <alignment horizontal="center"/>
    </xf>
    <xf numFmtId="1" fontId="11" fillId="0" borderId="1" xfId="2" applyNumberFormat="1" applyFont="1" applyBorder="1" applyAlignment="1">
      <alignment horizontal="center"/>
    </xf>
    <xf numFmtId="49" fontId="11" fillId="0" borderId="1" xfId="2" applyNumberFormat="1" applyFont="1" applyBorder="1"/>
    <xf numFmtId="49" fontId="12" fillId="2" borderId="10" xfId="2" applyNumberFormat="1" applyFont="1" applyFill="1" applyBorder="1" applyAlignment="1">
      <alignment horizontal="center" vertical="center"/>
    </xf>
    <xf numFmtId="49" fontId="12" fillId="2" borderId="0" xfId="2" applyNumberFormat="1" applyFont="1" applyFill="1" applyAlignment="1">
      <alignment horizontal="center" vertical="center"/>
    </xf>
    <xf numFmtId="0" fontId="11" fillId="2" borderId="0" xfId="2" applyFont="1" applyFill="1"/>
    <xf numFmtId="1" fontId="11" fillId="2" borderId="0" xfId="2" applyNumberFormat="1" applyFont="1" applyFill="1" applyAlignment="1">
      <alignment horizontal="center"/>
    </xf>
    <xf numFmtId="165" fontId="11" fillId="2" borderId="0" xfId="2" applyNumberFormat="1" applyFont="1" applyFill="1" applyAlignment="1">
      <alignment horizontal="center" wrapText="1"/>
    </xf>
    <xf numFmtId="0" fontId="11" fillId="2" borderId="11" xfId="2" applyFont="1" applyFill="1" applyBorder="1" applyAlignment="1">
      <alignment horizontal="center"/>
    </xf>
    <xf numFmtId="0" fontId="11" fillId="3" borderId="12" xfId="2" applyFont="1" applyFill="1" applyBorder="1" applyAlignment="1">
      <alignment horizontal="center"/>
    </xf>
    <xf numFmtId="0" fontId="11" fillId="3" borderId="13" xfId="2" applyFont="1" applyFill="1" applyBorder="1" applyAlignment="1">
      <alignment horizontal="center"/>
    </xf>
    <xf numFmtId="0" fontId="11" fillId="3" borderId="13" xfId="2" applyFont="1" applyFill="1" applyBorder="1"/>
    <xf numFmtId="0" fontId="9" fillId="3" borderId="13" xfId="2" applyFont="1" applyFill="1" applyBorder="1" applyAlignment="1">
      <alignment horizontal="center"/>
    </xf>
    <xf numFmtId="1" fontId="9" fillId="3" borderId="13" xfId="2" applyNumberFormat="1" applyFont="1" applyFill="1" applyBorder="1" applyAlignment="1">
      <alignment horizontal="center"/>
    </xf>
    <xf numFmtId="165" fontId="11" fillId="3" borderId="13" xfId="2" applyNumberFormat="1" applyFont="1" applyFill="1" applyBorder="1" applyAlignment="1">
      <alignment horizontal="center" wrapText="1"/>
    </xf>
    <xf numFmtId="0" fontId="11" fillId="3" borderId="14" xfId="2" applyFont="1" applyFill="1" applyBorder="1" applyAlignment="1">
      <alignment horizontal="center"/>
    </xf>
    <xf numFmtId="0" fontId="9" fillId="0" borderId="32" xfId="2" applyFont="1" applyBorder="1" applyAlignment="1">
      <alignment horizontal="right"/>
    </xf>
    <xf numFmtId="0" fontId="9" fillId="0" borderId="18" xfId="2" applyFont="1" applyBorder="1" applyAlignment="1">
      <alignment horizontal="right"/>
    </xf>
    <xf numFmtId="0" fontId="9" fillId="0" borderId="19" xfId="2" applyFont="1" applyBorder="1" applyAlignment="1">
      <alignment horizontal="right"/>
    </xf>
    <xf numFmtId="0" fontId="11" fillId="0" borderId="15" xfId="0" applyFont="1" applyBorder="1" applyAlignment="1">
      <alignment horizontal="center"/>
    </xf>
    <xf numFmtId="165" fontId="11" fillId="0" borderId="5" xfId="2" applyNumberFormat="1" applyFont="1" applyBorder="1" applyAlignment="1">
      <alignment horizontal="right"/>
    </xf>
    <xf numFmtId="0" fontId="11" fillId="2" borderId="15" xfId="2" applyFont="1" applyFill="1" applyBorder="1" applyAlignment="1">
      <alignment horizontal="center"/>
    </xf>
    <xf numFmtId="0" fontId="11" fillId="2" borderId="33" xfId="2" applyFont="1" applyFill="1" applyBorder="1" applyAlignment="1">
      <alignment horizontal="center"/>
    </xf>
    <xf numFmtId="0" fontId="9" fillId="0" borderId="28" xfId="2" applyFont="1" applyBorder="1" applyAlignment="1">
      <alignment horizontal="right"/>
    </xf>
    <xf numFmtId="0" fontId="9" fillId="0" borderId="20" xfId="2" applyFont="1" applyBorder="1" applyAlignment="1">
      <alignment horizontal="right"/>
    </xf>
    <xf numFmtId="0" fontId="9" fillId="0" borderId="8" xfId="2" applyFont="1" applyBorder="1" applyAlignment="1">
      <alignment horizontal="right"/>
    </xf>
    <xf numFmtId="0" fontId="9" fillId="0" borderId="1" xfId="0" applyFont="1" applyBorder="1" applyAlignment="1">
      <alignment horizontal="center"/>
    </xf>
    <xf numFmtId="0" fontId="11" fillId="0" borderId="1" xfId="2" applyFont="1" applyBorder="1" applyAlignment="1">
      <alignment horizontal="right"/>
    </xf>
    <xf numFmtId="165" fontId="11" fillId="0" borderId="16" xfId="2" applyNumberFormat="1" applyFont="1" applyBorder="1" applyAlignment="1">
      <alignment horizontal="center"/>
    </xf>
    <xf numFmtId="165" fontId="11" fillId="0" borderId="17" xfId="2" applyNumberFormat="1" applyFont="1" applyBorder="1" applyAlignment="1">
      <alignment horizontal="center"/>
    </xf>
    <xf numFmtId="165" fontId="11" fillId="0" borderId="16" xfId="2" applyNumberFormat="1" applyFont="1" applyBorder="1" applyAlignment="1">
      <alignment horizontal="right" wrapText="1"/>
    </xf>
    <xf numFmtId="165" fontId="11" fillId="0" borderId="8" xfId="2" applyNumberFormat="1" applyFont="1" applyBorder="1" applyAlignment="1">
      <alignment horizontal="right" wrapText="1"/>
    </xf>
    <xf numFmtId="165" fontId="11" fillId="0" borderId="16" xfId="0" applyNumberFormat="1" applyFont="1" applyBorder="1" applyAlignment="1">
      <alignment horizontal="center" wrapText="1"/>
    </xf>
    <xf numFmtId="165" fontId="11" fillId="0" borderId="17" xfId="0" applyNumberFormat="1" applyFont="1" applyBorder="1" applyAlignment="1">
      <alignment horizontal="center" wrapText="1"/>
    </xf>
    <xf numFmtId="0" fontId="9" fillId="0" borderId="24" xfId="2" applyFont="1" applyBorder="1" applyAlignment="1">
      <alignment horizontal="right"/>
    </xf>
    <xf numFmtId="0" fontId="9" fillId="0" borderId="25" xfId="2" applyFont="1" applyBorder="1" applyAlignment="1">
      <alignment horizontal="right"/>
    </xf>
    <xf numFmtId="0" fontId="9" fillId="0" borderId="3" xfId="2" applyFont="1" applyBorder="1" applyAlignment="1">
      <alignment horizontal="right"/>
    </xf>
    <xf numFmtId="1" fontId="11" fillId="0" borderId="3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3" xfId="2" applyFont="1" applyBorder="1" applyAlignment="1">
      <alignment horizontal="right"/>
    </xf>
    <xf numFmtId="0" fontId="11" fillId="0" borderId="29" xfId="0" applyFont="1" applyBorder="1" applyAlignment="1">
      <alignment horizontal="left"/>
    </xf>
    <xf numFmtId="0" fontId="11" fillId="0" borderId="19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28" xfId="0" applyFont="1" applyBorder="1" applyAlignment="1">
      <alignment horizontal="left"/>
    </xf>
    <xf numFmtId="0" fontId="11" fillId="0" borderId="20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0" fontId="11" fillId="0" borderId="37" xfId="0" applyFont="1" applyBorder="1" applyAlignment="1">
      <alignment horizontal="left"/>
    </xf>
    <xf numFmtId="0" fontId="11" fillId="0" borderId="38" xfId="0" applyFont="1" applyBorder="1" applyAlignment="1">
      <alignment horizontal="left"/>
    </xf>
    <xf numFmtId="0" fontId="11" fillId="0" borderId="35" xfId="0" applyFont="1" applyBorder="1" applyAlignment="1">
      <alignment horizontal="left"/>
    </xf>
    <xf numFmtId="0" fontId="11" fillId="0" borderId="39" xfId="0" applyFont="1" applyBorder="1" applyAlignment="1">
      <alignment horizontal="left"/>
    </xf>
    <xf numFmtId="0" fontId="11" fillId="0" borderId="32" xfId="2" applyFont="1" applyBorder="1" applyAlignment="1">
      <alignment horizontal="left"/>
    </xf>
    <xf numFmtId="0" fontId="11" fillId="0" borderId="18" xfId="2" applyFont="1" applyBorder="1" applyAlignment="1">
      <alignment horizontal="left"/>
    </xf>
    <xf numFmtId="0" fontId="11" fillId="0" borderId="33" xfId="2" applyFont="1" applyBorder="1" applyAlignment="1">
      <alignment horizontal="left"/>
    </xf>
    <xf numFmtId="0" fontId="9" fillId="0" borderId="28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0" fontId="9" fillId="6" borderId="47" xfId="3" applyFont="1" applyFill="1" applyBorder="1" applyAlignment="1">
      <alignment horizontal="center"/>
    </xf>
    <xf numFmtId="0" fontId="9" fillId="6" borderId="22" xfId="3" applyFont="1" applyFill="1" applyBorder="1" applyAlignment="1">
      <alignment horizontal="center"/>
    </xf>
    <xf numFmtId="0" fontId="13" fillId="2" borderId="23" xfId="4" applyFont="1" applyFill="1" applyBorder="1" applyAlignment="1">
      <alignment horizontal="center"/>
    </xf>
    <xf numFmtId="14" fontId="13" fillId="2" borderId="0" xfId="4" applyNumberFormat="1" applyFont="1" applyFill="1" applyAlignment="1">
      <alignment horizontal="center" vertical="center" wrapText="1"/>
    </xf>
    <xf numFmtId="0" fontId="14" fillId="4" borderId="12" xfId="3" applyFont="1" applyFill="1" applyBorder="1" applyAlignment="1">
      <alignment horizontal="center" vertical="center" wrapText="1"/>
    </xf>
    <xf numFmtId="0" fontId="14" fillId="4" borderId="13" xfId="3" applyFont="1" applyFill="1" applyBorder="1" applyAlignment="1">
      <alignment horizontal="center" vertical="center" wrapText="1"/>
    </xf>
    <xf numFmtId="0" fontId="14" fillId="4" borderId="36" xfId="3" applyFont="1" applyFill="1" applyBorder="1" applyAlignment="1">
      <alignment horizontal="center" vertical="center" wrapText="1"/>
    </xf>
    <xf numFmtId="0" fontId="11" fillId="2" borderId="1" xfId="3" applyFont="1" applyFill="1" applyBorder="1" applyAlignment="1">
      <alignment horizontal="left"/>
    </xf>
    <xf numFmtId="0" fontId="9" fillId="3" borderId="12" xfId="2" applyFont="1" applyFill="1" applyBorder="1" applyAlignment="1">
      <alignment horizontal="center"/>
    </xf>
    <xf numFmtId="0" fontId="9" fillId="3" borderId="13" xfId="2" applyFont="1" applyFill="1" applyBorder="1" applyAlignment="1">
      <alignment horizontal="center"/>
    </xf>
    <xf numFmtId="0" fontId="9" fillId="3" borderId="14" xfId="2" applyFont="1" applyFill="1" applyBorder="1" applyAlignment="1">
      <alignment horizontal="center"/>
    </xf>
  </cellXfs>
  <cellStyles count="7">
    <cellStyle name="Millares" xfId="1" builtinId="3"/>
    <cellStyle name="Normal" xfId="0" builtinId="0"/>
    <cellStyle name="Normal 2" xfId="2" xr:uid="{79990DE1-5127-4A8A-AC06-6795B8DBADA6}"/>
    <cellStyle name="Normal_CRITERIOS DE EVALUACION PT DE GB" xfId="3" xr:uid="{98D354E9-7BF4-4219-B81B-71EF6FFD9D65}"/>
    <cellStyle name="Normal_CRITERIOS DE EVALUACION PT DE GB 2" xfId="4" xr:uid="{42BDB5B9-299C-43C9-A9E8-32C93566D8D3}"/>
    <cellStyle name="Porcentaje 2" xfId="5" xr:uid="{0F029F03-6A6A-40DD-B10F-AED8B31E9F5F}"/>
    <cellStyle name="Porcentaje 2 2" xfId="6" xr:uid="{53BAE605-CFBE-4398-B0F4-51E5E584777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128588</xdr:rowOff>
    </xdr:from>
    <xdr:to>
      <xdr:col>1</xdr:col>
      <xdr:colOff>1160981</xdr:colOff>
      <xdr:row>4</xdr:row>
      <xdr:rowOff>23813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3637AE7-574A-4338-B254-45B741F27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28588"/>
          <a:ext cx="2232544" cy="954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05E30-8198-412C-8EE0-465906FBAEA4}">
  <sheetPr>
    <pageSetUpPr fitToPage="1"/>
  </sheetPr>
  <dimension ref="A1:K53"/>
  <sheetViews>
    <sheetView tabSelected="1" zoomScale="80" zoomScaleNormal="80" zoomScaleSheetLayoutView="7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8.5703125" bestFit="1" customWidth="1"/>
    <col min="3" max="3" width="73.85546875" customWidth="1"/>
    <col min="4" max="4" width="16.42578125" customWidth="1"/>
    <col min="5" max="5" width="12.85546875" customWidth="1"/>
    <col min="6" max="6" width="12.7109375" customWidth="1"/>
    <col min="7" max="7" width="20" customWidth="1"/>
    <col min="8" max="8" width="26.5703125" customWidth="1"/>
    <col min="9" max="9" width="17.7109375" customWidth="1"/>
  </cols>
  <sheetData>
    <row r="1" spans="1:11" ht="15.75" x14ac:dyDescent="0.25">
      <c r="A1" s="20"/>
      <c r="B1" s="21"/>
      <c r="C1" s="26" t="s">
        <v>25</v>
      </c>
      <c r="D1" s="26"/>
      <c r="E1" s="26"/>
      <c r="F1" s="26"/>
      <c r="G1" s="26"/>
      <c r="H1" s="5" t="s">
        <v>0</v>
      </c>
      <c r="I1" s="4" t="s">
        <v>81</v>
      </c>
    </row>
    <row r="2" spans="1:11" ht="18" customHeight="1" thickBot="1" x14ac:dyDescent="0.3">
      <c r="A2" s="22"/>
      <c r="B2" s="23"/>
      <c r="C2" s="27" t="s">
        <v>1</v>
      </c>
      <c r="D2" s="28"/>
      <c r="E2" s="28"/>
      <c r="F2" s="28"/>
      <c r="G2" s="29"/>
      <c r="H2" s="1" t="s">
        <v>2</v>
      </c>
      <c r="I2" s="6" t="s">
        <v>88</v>
      </c>
    </row>
    <row r="3" spans="1:11" ht="31.5" customHeight="1" thickBot="1" x14ac:dyDescent="0.25">
      <c r="A3" s="22"/>
      <c r="B3" s="23"/>
      <c r="C3" s="147" t="s">
        <v>89</v>
      </c>
      <c r="D3" s="148"/>
      <c r="E3" s="148"/>
      <c r="F3" s="148"/>
      <c r="G3" s="149"/>
      <c r="H3" s="30" t="s">
        <v>3</v>
      </c>
      <c r="I3" s="11">
        <v>45612</v>
      </c>
    </row>
    <row r="4" spans="1:11" ht="18" customHeight="1" x14ac:dyDescent="0.25">
      <c r="A4" s="22"/>
      <c r="B4" s="23"/>
      <c r="C4" s="2" t="s">
        <v>4</v>
      </c>
      <c r="D4" s="14" t="s">
        <v>51</v>
      </c>
      <c r="E4" s="15"/>
      <c r="F4" s="15"/>
      <c r="G4" s="16"/>
      <c r="H4" s="31"/>
      <c r="I4" s="12"/>
    </row>
    <row r="5" spans="1:11" ht="14.25" thickBot="1" x14ac:dyDescent="0.3">
      <c r="A5" s="24"/>
      <c r="B5" s="25"/>
      <c r="C5" s="3" t="s">
        <v>5</v>
      </c>
      <c r="D5" s="17" t="s">
        <v>52</v>
      </c>
      <c r="E5" s="18"/>
      <c r="F5" s="18"/>
      <c r="G5" s="19"/>
      <c r="H5" s="32"/>
      <c r="I5" s="13"/>
    </row>
    <row r="6" spans="1:11" ht="18.75" thickBot="1" x14ac:dyDescent="0.3">
      <c r="A6" s="33" t="s">
        <v>38</v>
      </c>
      <c r="B6" s="33"/>
      <c r="C6" s="33"/>
      <c r="D6" s="145" t="s">
        <v>28</v>
      </c>
      <c r="E6" s="145"/>
      <c r="F6" s="145"/>
      <c r="G6" s="34" t="s">
        <v>37</v>
      </c>
      <c r="H6" s="34"/>
      <c r="I6" s="146" t="s">
        <v>28</v>
      </c>
    </row>
    <row r="7" spans="1:11" ht="25.5" x14ac:dyDescent="0.2">
      <c r="A7" s="35" t="s">
        <v>6</v>
      </c>
      <c r="B7" s="37" t="s">
        <v>69</v>
      </c>
      <c r="C7" s="39" t="s">
        <v>7</v>
      </c>
      <c r="D7" s="39" t="s">
        <v>8</v>
      </c>
      <c r="E7" s="39" t="s">
        <v>9</v>
      </c>
      <c r="F7" s="39"/>
      <c r="G7" s="39" t="s">
        <v>10</v>
      </c>
      <c r="H7" s="39"/>
      <c r="I7" s="7" t="s">
        <v>11</v>
      </c>
    </row>
    <row r="8" spans="1:11" ht="26.25" thickBot="1" x14ac:dyDescent="0.25">
      <c r="A8" s="36"/>
      <c r="B8" s="38"/>
      <c r="C8" s="40"/>
      <c r="D8" s="40"/>
      <c r="E8" s="8" t="s">
        <v>12</v>
      </c>
      <c r="F8" s="9" t="s">
        <v>13</v>
      </c>
      <c r="G8" s="8" t="s">
        <v>12</v>
      </c>
      <c r="H8" s="9" t="s">
        <v>13</v>
      </c>
      <c r="I8" s="10" t="s">
        <v>14</v>
      </c>
    </row>
    <row r="9" spans="1:11" ht="20.25" x14ac:dyDescent="0.3">
      <c r="A9" s="41"/>
      <c r="B9" s="42"/>
      <c r="C9" s="43" t="s">
        <v>70</v>
      </c>
      <c r="D9" s="44"/>
      <c r="E9" s="45"/>
      <c r="F9" s="46"/>
      <c r="G9" s="45"/>
      <c r="H9" s="46"/>
      <c r="I9" s="47"/>
    </row>
    <row r="10" spans="1:11" ht="18" customHeight="1" x14ac:dyDescent="0.3">
      <c r="A10" s="48" t="s">
        <v>55</v>
      </c>
      <c r="B10" s="48" t="s">
        <v>56</v>
      </c>
      <c r="C10" s="49" t="s">
        <v>82</v>
      </c>
      <c r="D10" s="50" t="s">
        <v>50</v>
      </c>
      <c r="E10" s="51">
        <v>566</v>
      </c>
      <c r="F10" s="52" t="s">
        <v>15</v>
      </c>
      <c r="G10" s="53"/>
      <c r="H10" s="54" t="s">
        <v>71</v>
      </c>
      <c r="I10" s="47"/>
      <c r="K10">
        <f>283*2</f>
        <v>566</v>
      </c>
    </row>
    <row r="11" spans="1:11" ht="20.25" x14ac:dyDescent="0.3">
      <c r="A11" s="48">
        <v>908000021</v>
      </c>
      <c r="B11" s="48" t="s">
        <v>57</v>
      </c>
      <c r="C11" s="49" t="s">
        <v>43</v>
      </c>
      <c r="D11" s="55" t="s">
        <v>50</v>
      </c>
      <c r="E11" s="48">
        <v>70</v>
      </c>
      <c r="F11" s="56" t="s">
        <v>15</v>
      </c>
      <c r="G11" s="57"/>
      <c r="H11" s="54"/>
      <c r="I11" s="47"/>
    </row>
    <row r="12" spans="1:11" ht="20.25" x14ac:dyDescent="0.3">
      <c r="A12" s="48">
        <v>96344</v>
      </c>
      <c r="B12" s="48" t="s">
        <v>58</v>
      </c>
      <c r="C12" s="49" t="s">
        <v>44</v>
      </c>
      <c r="D12" s="55" t="s">
        <v>50</v>
      </c>
      <c r="E12" s="48">
        <v>160</v>
      </c>
      <c r="F12" s="56" t="s">
        <v>15</v>
      </c>
      <c r="G12" s="58"/>
      <c r="H12" s="54" t="s">
        <v>72</v>
      </c>
      <c r="I12" s="47"/>
    </row>
    <row r="13" spans="1:11" ht="20.25" x14ac:dyDescent="0.3">
      <c r="A13" s="48"/>
      <c r="B13" s="48"/>
      <c r="C13" s="49"/>
      <c r="D13" s="59"/>
      <c r="E13" s="58"/>
      <c r="F13" s="56"/>
      <c r="G13" s="60"/>
      <c r="H13" s="54"/>
      <c r="I13" s="47"/>
    </row>
    <row r="14" spans="1:11" ht="20.25" x14ac:dyDescent="0.3">
      <c r="A14" s="48"/>
      <c r="B14" s="48"/>
      <c r="C14" s="49"/>
      <c r="D14" s="59"/>
      <c r="E14" s="58"/>
      <c r="F14" s="56"/>
      <c r="G14" s="60"/>
      <c r="H14" s="54"/>
      <c r="I14" s="47"/>
    </row>
    <row r="15" spans="1:11" ht="20.25" x14ac:dyDescent="0.3">
      <c r="A15" s="48"/>
      <c r="B15" s="48"/>
      <c r="C15" s="49"/>
      <c r="D15" s="59"/>
      <c r="E15" s="58"/>
      <c r="F15" s="56"/>
      <c r="G15" s="60"/>
      <c r="H15" s="54"/>
      <c r="I15" s="47"/>
    </row>
    <row r="16" spans="1:11" ht="20.25" x14ac:dyDescent="0.3">
      <c r="A16" s="48"/>
      <c r="B16" s="48"/>
      <c r="C16" s="49"/>
      <c r="D16" s="59"/>
      <c r="E16" s="58"/>
      <c r="F16" s="56"/>
      <c r="G16" s="45"/>
      <c r="H16" s="54"/>
      <c r="I16" s="47"/>
    </row>
    <row r="17" spans="1:9" ht="20.25" x14ac:dyDescent="0.3">
      <c r="A17" s="61"/>
      <c r="B17" s="62"/>
      <c r="C17" s="63" t="s">
        <v>28</v>
      </c>
      <c r="D17" s="64"/>
      <c r="E17" s="57"/>
      <c r="F17" s="65"/>
      <c r="G17" s="45"/>
      <c r="H17" s="46"/>
      <c r="I17" s="47"/>
    </row>
    <row r="18" spans="1:9" ht="20.25" x14ac:dyDescent="0.3">
      <c r="A18" s="66" t="s">
        <v>33</v>
      </c>
      <c r="B18" s="66" t="s">
        <v>59</v>
      </c>
      <c r="C18" s="67" t="s">
        <v>32</v>
      </c>
      <c r="D18" s="55" t="s">
        <v>50</v>
      </c>
      <c r="E18" s="48">
        <v>170</v>
      </c>
      <c r="F18" s="56" t="s">
        <v>15</v>
      </c>
      <c r="G18" s="45"/>
      <c r="H18" s="68"/>
      <c r="I18" s="47"/>
    </row>
    <row r="19" spans="1:9" ht="20.25" x14ac:dyDescent="0.3">
      <c r="A19" s="48" t="s">
        <v>53</v>
      </c>
      <c r="B19" s="48" t="s">
        <v>60</v>
      </c>
      <c r="C19" s="49" t="s">
        <v>45</v>
      </c>
      <c r="D19" s="55" t="s">
        <v>50</v>
      </c>
      <c r="E19" s="58">
        <v>50</v>
      </c>
      <c r="F19" s="56" t="s">
        <v>15</v>
      </c>
      <c r="G19" s="45"/>
      <c r="H19" s="46" t="s">
        <v>73</v>
      </c>
      <c r="I19" s="47"/>
    </row>
    <row r="20" spans="1:9" ht="40.5" x14ac:dyDescent="0.3">
      <c r="A20" s="66" t="s">
        <v>33</v>
      </c>
      <c r="B20" s="66" t="s">
        <v>59</v>
      </c>
      <c r="C20" s="67" t="s">
        <v>32</v>
      </c>
      <c r="D20" s="55" t="s">
        <v>50</v>
      </c>
      <c r="E20" s="58">
        <v>45</v>
      </c>
      <c r="F20" s="56" t="s">
        <v>15</v>
      </c>
      <c r="G20" s="45"/>
      <c r="H20" s="46" t="s">
        <v>74</v>
      </c>
      <c r="I20" s="47"/>
    </row>
    <row r="21" spans="1:9" ht="20.25" x14ac:dyDescent="0.3">
      <c r="A21" s="48" t="s">
        <v>54</v>
      </c>
      <c r="B21" s="48" t="s">
        <v>61</v>
      </c>
      <c r="C21" s="49" t="s">
        <v>46</v>
      </c>
      <c r="D21" s="55" t="s">
        <v>50</v>
      </c>
      <c r="E21" s="51">
        <v>10</v>
      </c>
      <c r="F21" s="52" t="s">
        <v>15</v>
      </c>
      <c r="G21" s="45"/>
      <c r="H21" s="46"/>
      <c r="I21" s="47"/>
    </row>
    <row r="22" spans="1:9" ht="20.25" x14ac:dyDescent="0.3">
      <c r="A22" s="48" t="s">
        <v>53</v>
      </c>
      <c r="B22" s="48" t="s">
        <v>60</v>
      </c>
      <c r="C22" s="49" t="s">
        <v>45</v>
      </c>
      <c r="D22" s="55" t="s">
        <v>50</v>
      </c>
      <c r="E22" s="58">
        <v>10</v>
      </c>
      <c r="F22" s="56" t="s">
        <v>15</v>
      </c>
      <c r="G22" s="45"/>
      <c r="H22" s="46"/>
      <c r="I22" s="47"/>
    </row>
    <row r="23" spans="1:9" ht="20.25" x14ac:dyDescent="0.3">
      <c r="A23" s="69"/>
      <c r="B23" s="70"/>
      <c r="C23" s="71" t="s">
        <v>75</v>
      </c>
      <c r="D23" s="72"/>
      <c r="E23" s="73"/>
      <c r="F23" s="46"/>
      <c r="G23" s="45"/>
      <c r="H23" s="68"/>
      <c r="I23" s="47"/>
    </row>
    <row r="24" spans="1:9" ht="20.25" x14ac:dyDescent="0.3">
      <c r="A24" s="74">
        <v>121603</v>
      </c>
      <c r="B24" s="75" t="s">
        <v>62</v>
      </c>
      <c r="C24" s="76" t="s">
        <v>47</v>
      </c>
      <c r="D24" s="77" t="s">
        <v>76</v>
      </c>
      <c r="E24" s="78">
        <v>1</v>
      </c>
      <c r="F24" s="79" t="s">
        <v>35</v>
      </c>
      <c r="G24" s="80"/>
      <c r="H24" s="46"/>
      <c r="I24" s="47"/>
    </row>
    <row r="25" spans="1:9" ht="20.25" x14ac:dyDescent="0.3">
      <c r="A25" s="48"/>
      <c r="B25" s="48" t="s">
        <v>67</v>
      </c>
      <c r="C25" s="49" t="s">
        <v>68</v>
      </c>
      <c r="D25" s="55"/>
      <c r="E25" s="51">
        <v>1</v>
      </c>
      <c r="F25" s="81" t="s">
        <v>35</v>
      </c>
      <c r="G25" s="80"/>
      <c r="H25" s="46"/>
      <c r="I25" s="47"/>
    </row>
    <row r="26" spans="1:9" ht="20.25" x14ac:dyDescent="0.3">
      <c r="A26" s="82">
        <v>702069</v>
      </c>
      <c r="B26" s="83" t="s">
        <v>66</v>
      </c>
      <c r="C26" s="68" t="s">
        <v>77</v>
      </c>
      <c r="D26" s="48" t="s">
        <v>78</v>
      </c>
      <c r="E26" s="58">
        <v>1</v>
      </c>
      <c r="F26" s="56" t="s">
        <v>79</v>
      </c>
      <c r="G26" s="80"/>
      <c r="H26" s="46"/>
      <c r="I26" s="47"/>
    </row>
    <row r="27" spans="1:9" ht="20.25" x14ac:dyDescent="0.3">
      <c r="A27" s="48" t="s">
        <v>40</v>
      </c>
      <c r="B27" s="48" t="s">
        <v>63</v>
      </c>
      <c r="C27" s="49" t="s">
        <v>41</v>
      </c>
      <c r="D27" s="55" t="s">
        <v>80</v>
      </c>
      <c r="E27" s="51">
        <v>1</v>
      </c>
      <c r="F27" s="81" t="s">
        <v>35</v>
      </c>
      <c r="G27" s="45"/>
      <c r="H27" s="46"/>
      <c r="I27" s="47"/>
    </row>
    <row r="28" spans="1:9" ht="20.25" x14ac:dyDescent="0.3">
      <c r="A28" s="84">
        <v>702123</v>
      </c>
      <c r="B28" s="84" t="s">
        <v>64</v>
      </c>
      <c r="C28" s="85" t="s">
        <v>48</v>
      </c>
      <c r="D28" s="48" t="s">
        <v>78</v>
      </c>
      <c r="E28" s="58">
        <v>1</v>
      </c>
      <c r="F28" s="56" t="s">
        <v>35</v>
      </c>
      <c r="G28" s="45"/>
      <c r="H28" s="46"/>
      <c r="I28" s="47"/>
    </row>
    <row r="29" spans="1:9" ht="20.25" x14ac:dyDescent="0.3">
      <c r="A29" s="84">
        <v>703020</v>
      </c>
      <c r="B29" s="84" t="s">
        <v>65</v>
      </c>
      <c r="C29" s="85" t="s">
        <v>49</v>
      </c>
      <c r="D29" s="48" t="s">
        <v>76</v>
      </c>
      <c r="E29" s="58">
        <v>60</v>
      </c>
      <c r="F29" s="56" t="s">
        <v>39</v>
      </c>
      <c r="G29" s="86"/>
      <c r="H29" s="64"/>
      <c r="I29" s="47"/>
    </row>
    <row r="30" spans="1:9" ht="20.25" x14ac:dyDescent="0.3">
      <c r="A30" s="84"/>
      <c r="B30" s="84"/>
      <c r="C30" s="85"/>
      <c r="D30" s="48"/>
      <c r="E30" s="58"/>
      <c r="F30" s="56"/>
      <c r="G30" s="87"/>
      <c r="H30" s="64"/>
      <c r="I30" s="47"/>
    </row>
    <row r="31" spans="1:9" ht="20.25" x14ac:dyDescent="0.3">
      <c r="A31" s="61"/>
      <c r="B31" s="62"/>
      <c r="C31" s="88"/>
      <c r="D31" s="48"/>
      <c r="E31" s="87"/>
      <c r="F31" s="65"/>
      <c r="G31" s="87"/>
      <c r="H31" s="65"/>
      <c r="I31" s="47"/>
    </row>
    <row r="32" spans="1:9" ht="20.25" x14ac:dyDescent="0.3">
      <c r="A32" s="61"/>
      <c r="B32" s="62"/>
      <c r="C32" s="88"/>
      <c r="D32" s="64"/>
      <c r="E32" s="64"/>
      <c r="F32" s="65"/>
      <c r="G32" s="64"/>
      <c r="H32" s="64"/>
      <c r="I32" s="47"/>
    </row>
    <row r="33" spans="1:9" ht="21" thickBot="1" x14ac:dyDescent="0.35">
      <c r="A33" s="89"/>
      <c r="B33" s="90"/>
      <c r="C33" s="91"/>
      <c r="D33" s="91"/>
      <c r="E33" s="92"/>
      <c r="F33" s="93"/>
      <c r="G33" s="91"/>
      <c r="H33" s="91"/>
      <c r="I33" s="94"/>
    </row>
    <row r="34" spans="1:9" ht="21" thickBot="1" x14ac:dyDescent="0.35">
      <c r="A34" s="95"/>
      <c r="B34" s="96"/>
      <c r="C34" s="97"/>
      <c r="D34" s="98" t="s">
        <v>12</v>
      </c>
      <c r="E34" s="99" t="s">
        <v>16</v>
      </c>
      <c r="F34" s="100"/>
      <c r="G34" s="97"/>
      <c r="H34" s="97"/>
      <c r="I34" s="101"/>
    </row>
    <row r="35" spans="1:9" ht="20.25" x14ac:dyDescent="0.3">
      <c r="A35" s="102" t="s">
        <v>17</v>
      </c>
      <c r="B35" s="103"/>
      <c r="C35" s="104"/>
      <c r="D35" s="51">
        <v>973</v>
      </c>
      <c r="E35" s="105" t="s">
        <v>15</v>
      </c>
      <c r="F35" s="106" t="s">
        <v>26</v>
      </c>
      <c r="G35" s="106"/>
      <c r="H35" s="107"/>
      <c r="I35" s="108"/>
    </row>
    <row r="36" spans="1:9" ht="20.25" x14ac:dyDescent="0.3">
      <c r="A36" s="109" t="s">
        <v>18</v>
      </c>
      <c r="B36" s="110"/>
      <c r="C36" s="111"/>
      <c r="D36" s="112">
        <v>5</v>
      </c>
      <c r="E36" s="48" t="s">
        <v>36</v>
      </c>
      <c r="F36" s="113" t="s">
        <v>19</v>
      </c>
      <c r="G36" s="113"/>
      <c r="H36" s="114"/>
      <c r="I36" s="115"/>
    </row>
    <row r="37" spans="1:9" ht="20.25" x14ac:dyDescent="0.3">
      <c r="A37" s="109" t="s">
        <v>20</v>
      </c>
      <c r="B37" s="110"/>
      <c r="C37" s="111"/>
      <c r="D37" s="48">
        <v>1</v>
      </c>
      <c r="E37" s="48" t="s">
        <v>35</v>
      </c>
      <c r="F37" s="113" t="s">
        <v>27</v>
      </c>
      <c r="G37" s="113"/>
      <c r="H37" s="114"/>
      <c r="I37" s="115"/>
    </row>
    <row r="38" spans="1:9" ht="20.25" x14ac:dyDescent="0.3">
      <c r="A38" s="109" t="s">
        <v>21</v>
      </c>
      <c r="B38" s="110"/>
      <c r="C38" s="111"/>
      <c r="D38" s="58">
        <v>973</v>
      </c>
      <c r="E38" s="48" t="s">
        <v>35</v>
      </c>
      <c r="F38" s="116" t="s">
        <v>22</v>
      </c>
      <c r="G38" s="117"/>
      <c r="H38" s="118"/>
      <c r="I38" s="119"/>
    </row>
    <row r="39" spans="1:9" ht="21" thickBot="1" x14ac:dyDescent="0.35">
      <c r="A39" s="120" t="s">
        <v>23</v>
      </c>
      <c r="B39" s="121"/>
      <c r="C39" s="122"/>
      <c r="D39" s="123">
        <f>SUM(E10:E22)-D35</f>
        <v>108</v>
      </c>
      <c r="E39" s="124" t="s">
        <v>15</v>
      </c>
      <c r="F39" s="125"/>
      <c r="G39" s="125"/>
      <c r="H39" s="114"/>
      <c r="I39" s="115"/>
    </row>
    <row r="40" spans="1:9" ht="21" thickBot="1" x14ac:dyDescent="0.35">
      <c r="A40" s="151" t="s">
        <v>24</v>
      </c>
      <c r="B40" s="152"/>
      <c r="C40" s="152"/>
      <c r="D40" s="152"/>
      <c r="E40" s="152"/>
      <c r="F40" s="152"/>
      <c r="G40" s="152"/>
      <c r="H40" s="152"/>
      <c r="I40" s="153"/>
    </row>
    <row r="41" spans="1:9" ht="20.25" x14ac:dyDescent="0.3">
      <c r="A41" s="126" t="s">
        <v>34</v>
      </c>
      <c r="B41" s="127"/>
      <c r="C41" s="128"/>
      <c r="D41" s="128"/>
      <c r="E41" s="128"/>
      <c r="F41" s="128"/>
      <c r="G41" s="128"/>
      <c r="H41" s="128"/>
      <c r="I41" s="129"/>
    </row>
    <row r="42" spans="1:9" ht="20.25" x14ac:dyDescent="0.3">
      <c r="A42" s="126" t="s">
        <v>29</v>
      </c>
      <c r="B42" s="127"/>
      <c r="C42" s="128"/>
      <c r="D42" s="128"/>
      <c r="E42" s="128"/>
      <c r="F42" s="128"/>
      <c r="G42" s="128"/>
      <c r="H42" s="128"/>
      <c r="I42" s="129"/>
    </row>
    <row r="43" spans="1:9" ht="20.25" x14ac:dyDescent="0.3">
      <c r="A43" s="126" t="s">
        <v>30</v>
      </c>
      <c r="B43" s="127"/>
      <c r="C43" s="128"/>
      <c r="D43" s="128"/>
      <c r="E43" s="128"/>
      <c r="F43" s="128"/>
      <c r="G43" s="128"/>
      <c r="H43" s="128"/>
      <c r="I43" s="129"/>
    </row>
    <row r="44" spans="1:9" ht="20.25" x14ac:dyDescent="0.3">
      <c r="A44" s="126" t="s">
        <v>31</v>
      </c>
      <c r="B44" s="127"/>
      <c r="C44" s="128"/>
      <c r="D44" s="128"/>
      <c r="E44" s="128"/>
      <c r="F44" s="128"/>
      <c r="G44" s="128"/>
      <c r="H44" s="128"/>
      <c r="I44" s="129"/>
    </row>
    <row r="45" spans="1:9" ht="20.25" x14ac:dyDescent="0.3">
      <c r="A45" s="130" t="s">
        <v>83</v>
      </c>
      <c r="B45" s="131"/>
      <c r="C45" s="131"/>
      <c r="D45" s="131"/>
      <c r="E45" s="131"/>
      <c r="F45" s="131"/>
      <c r="G45" s="131"/>
      <c r="H45" s="131"/>
      <c r="I45" s="132"/>
    </row>
    <row r="46" spans="1:9" ht="20.25" x14ac:dyDescent="0.3">
      <c r="A46" s="126" t="s">
        <v>84</v>
      </c>
      <c r="B46" s="127"/>
      <c r="C46" s="128"/>
      <c r="D46" s="128"/>
      <c r="E46" s="128"/>
      <c r="F46" s="128"/>
      <c r="G46" s="128"/>
      <c r="H46" s="128"/>
      <c r="I46" s="129"/>
    </row>
    <row r="47" spans="1:9" ht="20.25" x14ac:dyDescent="0.3">
      <c r="A47" s="126" t="s">
        <v>85</v>
      </c>
      <c r="B47" s="127"/>
      <c r="C47" s="128"/>
      <c r="D47" s="128"/>
      <c r="E47" s="128"/>
      <c r="F47" s="128"/>
      <c r="G47" s="128"/>
      <c r="H47" s="128"/>
      <c r="I47" s="129"/>
    </row>
    <row r="48" spans="1:9" ht="18" customHeight="1" x14ac:dyDescent="0.3">
      <c r="A48" s="133"/>
      <c r="B48" s="134"/>
      <c r="C48" s="135"/>
      <c r="D48" s="135"/>
      <c r="E48" s="135"/>
      <c r="F48" s="135"/>
      <c r="G48" s="135"/>
      <c r="H48" s="135"/>
      <c r="I48" s="136"/>
    </row>
    <row r="49" spans="1:9" ht="20.25" x14ac:dyDescent="0.3">
      <c r="A49" s="137"/>
      <c r="B49" s="138"/>
      <c r="C49" s="138"/>
      <c r="D49" s="138"/>
      <c r="E49" s="138"/>
      <c r="F49" s="138"/>
      <c r="G49" s="138"/>
      <c r="H49" s="138"/>
      <c r="I49" s="139"/>
    </row>
    <row r="50" spans="1:9" ht="21" thickBot="1" x14ac:dyDescent="0.35">
      <c r="A50" s="140"/>
      <c r="B50" s="141"/>
      <c r="C50" s="141"/>
      <c r="D50" s="141"/>
      <c r="E50" s="141"/>
      <c r="F50" s="141"/>
      <c r="G50" s="141"/>
      <c r="H50" s="141"/>
      <c r="I50" s="142"/>
    </row>
    <row r="51" spans="1:9" ht="20.25" x14ac:dyDescent="0.3">
      <c r="A51" s="143" t="s">
        <v>42</v>
      </c>
      <c r="B51" s="144"/>
      <c r="C51" s="144"/>
      <c r="D51" s="144"/>
      <c r="E51" s="144"/>
      <c r="F51" s="144"/>
      <c r="G51" s="144"/>
      <c r="H51" s="144"/>
      <c r="I51" s="144"/>
    </row>
    <row r="52" spans="1:9" ht="20.25" x14ac:dyDescent="0.3">
      <c r="A52" s="150" t="s">
        <v>86</v>
      </c>
      <c r="B52" s="150"/>
      <c r="C52" s="150"/>
      <c r="D52" s="150"/>
      <c r="E52" s="150"/>
      <c r="F52" s="150"/>
      <c r="G52" s="150"/>
      <c r="H52" s="150"/>
      <c r="I52" s="150"/>
    </row>
    <row r="53" spans="1:9" ht="20.25" x14ac:dyDescent="0.3">
      <c r="A53" s="150" t="s">
        <v>87</v>
      </c>
      <c r="B53" s="150"/>
      <c r="C53" s="150"/>
      <c r="D53" s="150"/>
      <c r="E53" s="150"/>
      <c r="F53" s="150"/>
      <c r="G53" s="150"/>
      <c r="H53" s="150"/>
      <c r="I53" s="150"/>
    </row>
  </sheetData>
  <mergeCells count="46">
    <mergeCell ref="A50:I50"/>
    <mergeCell ref="A51:I51"/>
    <mergeCell ref="A52:I52"/>
    <mergeCell ref="A53:I53"/>
    <mergeCell ref="A43:I43"/>
    <mergeCell ref="A44:I44"/>
    <mergeCell ref="A46:I46"/>
    <mergeCell ref="A47:I47"/>
    <mergeCell ref="A48:I48"/>
    <mergeCell ref="A49:I49"/>
    <mergeCell ref="A45:I45"/>
    <mergeCell ref="A42:I42"/>
    <mergeCell ref="A37:C37"/>
    <mergeCell ref="F37:G37"/>
    <mergeCell ref="H37:I37"/>
    <mergeCell ref="A38:C38"/>
    <mergeCell ref="F38:G38"/>
    <mergeCell ref="H38:I38"/>
    <mergeCell ref="A39:C39"/>
    <mergeCell ref="F39:G39"/>
    <mergeCell ref="H39:I39"/>
    <mergeCell ref="A40:I40"/>
    <mergeCell ref="A41:I41"/>
    <mergeCell ref="A35:C35"/>
    <mergeCell ref="F35:G35"/>
    <mergeCell ref="H35:I35"/>
    <mergeCell ref="A36:C36"/>
    <mergeCell ref="F36:G36"/>
    <mergeCell ref="H36:I3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2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2F05B9-453C-4F1D-9D0D-5066F6504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4E31AA-0C92-45E0-9D95-CC6D52F0032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14E7D63A-0CAE-4870-9B7B-EA1CA39D4D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2025-09-24T16:07:57Z</cp:lastPrinted>
  <dcterms:created xsi:type="dcterms:W3CDTF">2012-05-10T22:32:20Z</dcterms:created>
  <dcterms:modified xsi:type="dcterms:W3CDTF">2025-09-24T16:11:11Z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0x0101005C97FB89D0086C4984F8F1A28A5D30F9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
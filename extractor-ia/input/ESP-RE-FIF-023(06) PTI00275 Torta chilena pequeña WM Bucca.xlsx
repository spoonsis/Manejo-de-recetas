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13_ncr:1_{D4627877-976A-4DB6-AA6F-1BCC3D87E9DA}" xr6:coauthVersionLast="47" xr6:coauthVersionMax="47" xr10:uidLastSave="{00000000-0000-0000-0000-000000000000}"/>
  <bookViews>
    <workbookView xWindow="-120" yWindow="-120" windowWidth="20730" windowHeight="11040" tabRatio="767" xr2:uid="{00000000-000D-0000-FFFF-FFFF00000000}"/>
  </bookViews>
  <sheets>
    <sheet name="Ensamble Torta chilena " sheetId="8" r:id="rId1"/>
    <sheet name="Hoja1" sheetId="18" state="hidden" r:id="rId2"/>
    <sheet name="Apertura codigos Tati" sheetId="17" state="hidden" r:id="rId3"/>
    <sheet name="Costo Torta Chilena " sheetId="12" state="hidden" r:id="rId4"/>
    <sheet name="Galleta" sheetId="10" state="hidden" r:id="rId5"/>
    <sheet name="Pasta Torta Chilena " sheetId="13" state="hidden" r:id="rId6"/>
    <sheet name="Premezcla Pasta Chilena " sheetId="14" state="hidden" r:id="rId7"/>
    <sheet name="Crema Chantilly Blanca " sheetId="15" state="hidden" r:id="rId8"/>
    <sheet name="Mezcla Sirope Dulce Leche" sheetId="16" state="hidden" r:id="rId9"/>
    <sheet name="Costo Galleta " sheetId="11" state="hidden" r:id="rId10"/>
  </sheets>
  <externalReferences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5" i="16" l="1"/>
  <c r="L16" i="16"/>
  <c r="E11" i="16"/>
  <c r="E10" i="16"/>
  <c r="D73" i="12"/>
  <c r="D74" i="12" s="1"/>
  <c r="D76" i="12" s="1"/>
  <c r="C73" i="12"/>
  <c r="E73" i="12" s="1"/>
  <c r="D71" i="12"/>
  <c r="D69" i="12"/>
  <c r="F65" i="12"/>
  <c r="D60" i="12"/>
  <c r="D85" i="12" s="1"/>
  <c r="E51" i="12"/>
  <c r="F51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1" i="12"/>
  <c r="F41" i="12" s="1"/>
  <c r="D41" i="12"/>
  <c r="C41" i="12"/>
  <c r="B41" i="12"/>
  <c r="A41" i="12"/>
  <c r="A50" i="12" s="1"/>
  <c r="C50" i="12" s="1"/>
  <c r="E40" i="12"/>
  <c r="F40" i="12" s="1"/>
  <c r="D40" i="12"/>
  <c r="B40" i="12"/>
  <c r="A40" i="12"/>
  <c r="C40" i="12" s="1"/>
  <c r="E39" i="12"/>
  <c r="D39" i="12"/>
  <c r="B39" i="12"/>
  <c r="A39" i="12"/>
  <c r="C39" i="12" s="1"/>
  <c r="E38" i="12"/>
  <c r="F38" i="12" s="1"/>
  <c r="D38" i="12"/>
  <c r="C38" i="12"/>
  <c r="B38" i="12"/>
  <c r="A38" i="12"/>
  <c r="A47" i="12" s="1"/>
  <c r="C47" i="12" s="1"/>
  <c r="A37" i="12"/>
  <c r="A46" i="12" s="1"/>
  <c r="C46" i="12" s="1"/>
  <c r="A36" i="12"/>
  <c r="C36" i="12" s="1"/>
  <c r="A35" i="12"/>
  <c r="C35" i="12" s="1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F19" i="12"/>
  <c r="C19" i="12"/>
  <c r="C18" i="12"/>
  <c r="C17" i="12"/>
  <c r="B15" i="12"/>
  <c r="E14" i="12"/>
  <c r="F14" i="12" s="1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F9" i="12"/>
  <c r="C9" i="12"/>
  <c r="C8" i="12"/>
  <c r="H6" i="12"/>
  <c r="D73" i="11"/>
  <c r="D74" i="11" s="1"/>
  <c r="D76" i="11" s="1"/>
  <c r="D71" i="11"/>
  <c r="D69" i="11"/>
  <c r="F65" i="11"/>
  <c r="E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E44" i="11"/>
  <c r="D44" i="11"/>
  <c r="B44" i="1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B37" i="11"/>
  <c r="A37" i="11"/>
  <c r="A46" i="11" s="1"/>
  <c r="C46" i="11" s="1"/>
  <c r="E36" i="11"/>
  <c r="D36" i="11"/>
  <c r="B36" i="11"/>
  <c r="A36" i="11"/>
  <c r="A45" i="11" s="1"/>
  <c r="C45" i="11" s="1"/>
  <c r="E35" i="11"/>
  <c r="D35" i="11"/>
  <c r="B35" i="11"/>
  <c r="A35" i="11"/>
  <c r="C35" i="11" s="1"/>
  <c r="E32" i="11"/>
  <c r="F32" i="11" s="1"/>
  <c r="D32" i="11"/>
  <c r="C32" i="11"/>
  <c r="B32" i="11"/>
  <c r="E31" i="11"/>
  <c r="D31" i="11"/>
  <c r="C31" i="11"/>
  <c r="B31" i="11"/>
  <c r="E30" i="11"/>
  <c r="F30" i="11" s="1"/>
  <c r="D30" i="11"/>
  <c r="C30" i="11"/>
  <c r="B30" i="11"/>
  <c r="E29" i="11"/>
  <c r="F29" i="11" s="1"/>
  <c r="D29" i="11"/>
  <c r="C29" i="11"/>
  <c r="B29" i="11"/>
  <c r="E28" i="11"/>
  <c r="F28" i="11" s="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D18" i="11"/>
  <c r="C18" i="11"/>
  <c r="B18" i="11"/>
  <c r="D17" i="11"/>
  <c r="C17" i="11"/>
  <c r="B17" i="11"/>
  <c r="B15" i="11"/>
  <c r="E14" i="11"/>
  <c r="D14" i="11"/>
  <c r="C14" i="11"/>
  <c r="B14" i="11"/>
  <c r="E13" i="11"/>
  <c r="F13" i="11" s="1"/>
  <c r="D13" i="11"/>
  <c r="C13" i="11"/>
  <c r="B13" i="11"/>
  <c r="E12" i="11"/>
  <c r="F12" i="11" s="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F9" i="11" s="1"/>
  <c r="D9" i="11"/>
  <c r="C9" i="11"/>
  <c r="B9" i="11"/>
  <c r="E8" i="11"/>
  <c r="D8" i="11"/>
  <c r="C8" i="11"/>
  <c r="B8" i="11"/>
  <c r="H6" i="11"/>
  <c r="D24" i="10"/>
  <c r="F8" i="11" l="1"/>
  <c r="F14" i="11"/>
  <c r="F31" i="11"/>
  <c r="F12" i="12"/>
  <c r="F27" i="11"/>
  <c r="F10" i="12"/>
  <c r="F13" i="12"/>
  <c r="F11" i="12"/>
  <c r="C85" i="12"/>
  <c r="F46" i="12"/>
  <c r="C37" i="12"/>
  <c r="F37" i="12" s="1"/>
  <c r="F18" i="12"/>
  <c r="F8" i="12"/>
  <c r="F38" i="11"/>
  <c r="F39" i="11"/>
  <c r="F40" i="11"/>
  <c r="C37" i="11"/>
  <c r="F37" i="11" s="1"/>
  <c r="F51" i="11"/>
  <c r="C36" i="11"/>
  <c r="F36" i="11" s="1"/>
  <c r="F18" i="11"/>
  <c r="F45" i="11"/>
  <c r="F35" i="11"/>
  <c r="F17" i="11"/>
  <c r="D86" i="12"/>
  <c r="E85" i="12"/>
  <c r="F50" i="12"/>
  <c r="F36" i="12"/>
  <c r="F47" i="12"/>
  <c r="F39" i="12"/>
  <c r="A45" i="12"/>
  <c r="C45" i="12" s="1"/>
  <c r="F45" i="12" s="1"/>
  <c r="D81" i="12"/>
  <c r="A49" i="12"/>
  <c r="C49" i="12" s="1"/>
  <c r="F49" i="12" s="1"/>
  <c r="D83" i="12"/>
  <c r="A44" i="12"/>
  <c r="C44" i="12" s="1"/>
  <c r="A48" i="12"/>
  <c r="C48" i="12" s="1"/>
  <c r="F48" i="12" s="1"/>
  <c r="F49" i="11"/>
  <c r="F46" i="11"/>
  <c r="F50" i="11"/>
  <c r="F53" i="11"/>
  <c r="C41" i="11"/>
  <c r="F41" i="11" s="1"/>
  <c r="D81" i="11"/>
  <c r="A47" i="11"/>
  <c r="C47" i="11" s="1"/>
  <c r="F47" i="11" s="1"/>
  <c r="C73" i="11"/>
  <c r="A49" i="11"/>
  <c r="C49" i="11" s="1"/>
  <c r="D83" i="11"/>
  <c r="A44" i="11"/>
  <c r="C44" i="11" s="1"/>
  <c r="F44" i="11" s="1"/>
  <c r="A48" i="11"/>
  <c r="C48" i="11" s="1"/>
  <c r="F48" i="11" s="1"/>
  <c r="F56" i="11" l="1"/>
  <c r="F54" i="11"/>
  <c r="F55" i="11" s="1"/>
  <c r="C69" i="11"/>
  <c r="F64" i="11"/>
  <c r="H53" i="11"/>
  <c r="C85" i="11"/>
  <c r="E85" i="11" s="1"/>
  <c r="E73" i="11"/>
  <c r="F2" i="11" l="1"/>
  <c r="E17" i="12"/>
  <c r="F17" i="12" s="1"/>
  <c r="F53" i="12" s="1"/>
  <c r="H53" i="12" s="1"/>
  <c r="F2" i="12" s="1"/>
  <c r="E69" i="11"/>
  <c r="C81" i="11"/>
  <c r="E81" i="11" s="1"/>
  <c r="C76" i="11"/>
  <c r="E76" i="11" s="1"/>
  <c r="H54" i="11"/>
  <c r="H55" i="11"/>
  <c r="O54" i="11"/>
  <c r="F63" i="11"/>
  <c r="H56" i="11"/>
  <c r="E44" i="12" s="1"/>
  <c r="F44" i="12" s="1"/>
  <c r="F56" i="12" s="1"/>
  <c r="H56" i="12" s="1"/>
  <c r="C74" i="11"/>
  <c r="C74" i="12" l="1"/>
  <c r="C69" i="12"/>
  <c r="E69" i="12" s="1"/>
  <c r="G2" i="11"/>
  <c r="E35" i="12"/>
  <c r="F35" i="12" s="1"/>
  <c r="F54" i="12" s="1"/>
  <c r="F55" i="12" s="1"/>
  <c r="F64" i="12"/>
  <c r="C86" i="12"/>
  <c r="E86" i="12" s="1"/>
  <c r="E74" i="12"/>
  <c r="O55" i="12"/>
  <c r="H2" i="12"/>
  <c r="H58" i="12"/>
  <c r="H59" i="12" s="1"/>
  <c r="O58" i="12" s="1"/>
  <c r="H2" i="11"/>
  <c r="O55" i="11"/>
  <c r="H58" i="11"/>
  <c r="H59" i="11" s="1"/>
  <c r="O58" i="11" s="1"/>
  <c r="O56" i="11"/>
  <c r="C71" i="11"/>
  <c r="E63" i="11"/>
  <c r="F66" i="11"/>
  <c r="G63" i="11" s="1"/>
  <c r="C86" i="11"/>
  <c r="E86" i="11" s="1"/>
  <c r="E74" i="11"/>
  <c r="E78" i="11" s="1"/>
  <c r="E78" i="12" l="1"/>
  <c r="C81" i="12"/>
  <c r="E81" i="12" s="1"/>
  <c r="H55" i="12"/>
  <c r="O54" i="12"/>
  <c r="O56" i="12" s="1"/>
  <c r="F63" i="12"/>
  <c r="F66" i="12" s="1"/>
  <c r="G14" i="12" s="1"/>
  <c r="C76" i="12"/>
  <c r="E76" i="12" s="1"/>
  <c r="H54" i="12"/>
  <c r="G2" i="12" s="1"/>
  <c r="O57" i="11"/>
  <c r="O59" i="11" s="1"/>
  <c r="O60" i="11" s="1"/>
  <c r="C83" i="11"/>
  <c r="E83" i="11" s="1"/>
  <c r="E71" i="11"/>
  <c r="G66" i="11"/>
  <c r="G65" i="11"/>
  <c r="G14" i="11"/>
  <c r="G10" i="11"/>
  <c r="G45" i="11"/>
  <c r="G24" i="11"/>
  <c r="G23" i="11"/>
  <c r="G28" i="11"/>
  <c r="G39" i="11"/>
  <c r="G32" i="11"/>
  <c r="G35" i="11"/>
  <c r="G31" i="11"/>
  <c r="G11" i="11"/>
  <c r="G21" i="11"/>
  <c r="G20" i="11"/>
  <c r="G36" i="11"/>
  <c r="G12" i="11"/>
  <c r="G51" i="11"/>
  <c r="G18" i="11"/>
  <c r="G27" i="11"/>
  <c r="G37" i="11"/>
  <c r="G30" i="11"/>
  <c r="G13" i="11"/>
  <c r="G29" i="11"/>
  <c r="G38" i="11"/>
  <c r="G40" i="11"/>
  <c r="G8" i="11"/>
  <c r="G9" i="11"/>
  <c r="G17" i="11"/>
  <c r="G19" i="11"/>
  <c r="G22" i="11"/>
  <c r="G41" i="11"/>
  <c r="G44" i="11"/>
  <c r="G49" i="11"/>
  <c r="G50" i="11"/>
  <c r="G48" i="11"/>
  <c r="G46" i="11"/>
  <c r="G53" i="11"/>
  <c r="G47" i="11"/>
  <c r="G55" i="11"/>
  <c r="G64" i="11"/>
  <c r="G56" i="11"/>
  <c r="G54" i="11"/>
  <c r="G39" i="12" l="1"/>
  <c r="G23" i="12"/>
  <c r="G18" i="12"/>
  <c r="G11" i="12"/>
  <c r="G65" i="12"/>
  <c r="G63" i="12"/>
  <c r="G55" i="12"/>
  <c r="G36" i="12"/>
  <c r="G44" i="12"/>
  <c r="G54" i="12"/>
  <c r="G35" i="12"/>
  <c r="G24" i="12"/>
  <c r="O57" i="12"/>
  <c r="O59" i="12" s="1"/>
  <c r="O60" i="12" s="1"/>
  <c r="O61" i="12" s="1"/>
  <c r="O62" i="12" s="1"/>
  <c r="G10" i="12"/>
  <c r="G20" i="12"/>
  <c r="G40" i="12"/>
  <c r="G64" i="12"/>
  <c r="G56" i="12"/>
  <c r="G9" i="12"/>
  <c r="G21" i="12"/>
  <c r="C71" i="12"/>
  <c r="C83" i="12" s="1"/>
  <c r="E83" i="12" s="1"/>
  <c r="G53" i="12"/>
  <c r="G8" i="12"/>
  <c r="G12" i="12"/>
  <c r="E63" i="12"/>
  <c r="G48" i="12"/>
  <c r="G13" i="12"/>
  <c r="G17" i="12"/>
  <c r="G66" i="12"/>
  <c r="G45" i="12"/>
  <c r="G49" i="12"/>
  <c r="G51" i="12"/>
  <c r="G19" i="12"/>
  <c r="G22" i="12"/>
  <c r="G46" i="12"/>
  <c r="G50" i="12"/>
  <c r="G41" i="12"/>
  <c r="G37" i="12"/>
  <c r="G47" i="12"/>
  <c r="G38" i="12"/>
  <c r="O61" i="11"/>
  <c r="O62" i="11" s="1"/>
  <c r="P62" i="11" s="1"/>
  <c r="E71" i="12" l="1"/>
  <c r="E2" i="12"/>
  <c r="P62" i="12"/>
  <c r="E2" i="11"/>
</calcChain>
</file>

<file path=xl/sharedStrings.xml><?xml version="1.0" encoding="utf-8"?>
<sst xmlns="http://schemas.openxmlformats.org/spreadsheetml/2006/main" count="784" uniqueCount="264">
  <si>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</si>
  <si>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</si>
  <si>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</si>
  <si>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</si>
  <si>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</si>
  <si>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</si>
  <si>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</si>
  <si>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</si>
  <si>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</si>
  <si>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</si>
  <si>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</si>
  <si>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</si>
  <si>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</si>
  <si>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</si>
  <si>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</si>
  <si>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</si>
  <si>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</si>
  <si>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</si>
  <si>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</si>
  <si>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</si>
  <si>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</si>
  <si>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</si>
  <si>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</si>
  <si>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Horno:</t>
  </si>
  <si>
    <t>Ensamble</t>
  </si>
  <si>
    <t>Decoración</t>
  </si>
  <si>
    <t>ETIQ.BLANCA PREIMP. 2 5/8 * 1 15/16</t>
  </si>
  <si>
    <t>0702006</t>
  </si>
  <si>
    <t>702174</t>
  </si>
  <si>
    <t>ETIQUETA SELLO SEGURIDAD (ROLLO:1000)</t>
  </si>
  <si>
    <t>ETIPLAST</t>
  </si>
  <si>
    <t>uds</t>
  </si>
  <si>
    <t>ETIQ. GENERICA PEQUEÑA V-274 (UND)</t>
  </si>
  <si>
    <t>907000002</t>
  </si>
  <si>
    <t>FAS</t>
  </si>
  <si>
    <t>Esteban Cartin, Gte Manufactura</t>
  </si>
  <si>
    <t>MANJAR LECHE CONDENSADA (PAQ: 6 K)</t>
  </si>
  <si>
    <t>MP10007</t>
  </si>
  <si>
    <t>EM10011</t>
  </si>
  <si>
    <t>AREA QUE PRODUCE: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</si>
  <si>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</si>
  <si>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</si>
  <si>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</si>
  <si>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</si>
  <si>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</si>
  <si>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Empaque</t>
  </si>
  <si>
    <t>NESTLE</t>
  </si>
  <si>
    <t>CEMUSA</t>
  </si>
  <si>
    <t>Tiempo de Horneo:</t>
  </si>
  <si>
    <t>Temperatura de Horneo:</t>
  </si>
  <si>
    <t>Otros</t>
  </si>
  <si>
    <t>CONTROL DE CAMBIOS</t>
  </si>
  <si>
    <t>Juan Pablo Brenes, Chef</t>
  </si>
  <si>
    <t>NUEVO</t>
  </si>
  <si>
    <t>4ft</t>
  </si>
  <si>
    <t>CIABATTA</t>
  </si>
  <si>
    <t>MP10176</t>
  </si>
  <si>
    <t>Dulce Leche La Ciabata</t>
  </si>
  <si>
    <t>EM10021</t>
  </si>
  <si>
    <t>Quequera Red C/Base Alta 9"</t>
  </si>
  <si>
    <t>EM10086</t>
  </si>
  <si>
    <t>Orla #8 Bucca</t>
  </si>
  <si>
    <t>Pastas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</si>
  <si>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</si>
  <si>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</si>
  <si>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</si>
  <si>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</si>
  <si>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</si>
  <si>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</si>
  <si>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min</t>
  </si>
  <si>
    <t>Galletas</t>
  </si>
  <si>
    <r>
      <rPr>
        <b/>
        <sz val="12"/>
        <rFont val="Times New Roman"/>
        <family val="1"/>
      </rPr>
      <t>1-.</t>
    </r>
    <r>
      <rPr>
        <sz val="12"/>
        <rFont val="Times New Roman"/>
        <family val="1"/>
      </rPr>
      <t xml:space="preserve"> Laminar la masa hasta 4 mm con ayuda e la maquina, hacer huecos con el zorro. En la laminadora Rondo a 2.8, en la laminadora Kemplex 3.</t>
    </r>
  </si>
  <si>
    <r>
      <rPr>
        <b/>
        <sz val="12"/>
        <rFont val="Times New Roman"/>
        <family val="1"/>
      </rPr>
      <t>3-.</t>
    </r>
    <r>
      <rPr>
        <sz val="12"/>
        <rFont val="Times New Roman"/>
        <family val="1"/>
      </rPr>
      <t xml:space="preserve"> Llevar al horno en Dicte 1 por 23 min a 170°C o Dicte 2 por 22 a 24 min a 170°C.</t>
    </r>
  </si>
  <si>
    <r>
      <rPr>
        <b/>
        <sz val="12"/>
        <rFont val="Times New Roman"/>
        <family val="1"/>
      </rPr>
      <t>4-.</t>
    </r>
    <r>
      <rPr>
        <sz val="12"/>
        <rFont val="Times New Roman"/>
        <family val="1"/>
      </rPr>
      <t xml:space="preserve"> Enfriar.</t>
    </r>
  </si>
  <si>
    <t>Corte Galleta Chilena Grande 120g FAS 19.5cms</t>
  </si>
  <si>
    <r>
      <rPr>
        <b/>
        <sz val="12"/>
        <rFont val="Times New Roman"/>
        <family val="1"/>
      </rPr>
      <t>2-.</t>
    </r>
    <r>
      <rPr>
        <sz val="12"/>
        <rFont val="Times New Roman"/>
        <family val="1"/>
      </rPr>
      <t xml:space="preserve"> Cortar con cortador redondo de19.5 cm diametro y colocar los  circulos en la bandeja</t>
    </r>
  </si>
  <si>
    <t>Figuras</t>
  </si>
  <si>
    <t>4 galletas</t>
  </si>
  <si>
    <t>120g c/capa</t>
  </si>
  <si>
    <t>SE00010</t>
  </si>
  <si>
    <t>Crema Chantilly Blanca (Spoon-Ind)</t>
  </si>
  <si>
    <t>SE00034</t>
  </si>
  <si>
    <t>MEZCLA SIROPE DULCE LECHE KILO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</si>
  <si>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</si>
  <si>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</si>
  <si>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</si>
  <si>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</si>
  <si>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</si>
  <si>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</si>
  <si>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</si>
  <si>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</si>
  <si>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</si>
  <si>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</si>
  <si>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</si>
  <si>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</si>
  <si>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</si>
  <si>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</si>
  <si>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</si>
  <si>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</si>
  <si>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</si>
  <si>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</si>
  <si>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</si>
  <si>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</si>
  <si>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</si>
  <si>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</si>
  <si>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</si>
  <si>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</si>
  <si>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</si>
  <si>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</si>
  <si>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</si>
  <si>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</si>
  <si>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</si>
  <si>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</si>
  <si>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</si>
  <si>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</si>
  <si>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</si>
  <si>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</si>
  <si>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</si>
  <si>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</si>
  <si>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</si>
  <si>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</si>
  <si>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</si>
  <si>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</si>
  <si>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</si>
  <si>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</si>
  <si>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</si>
  <si>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</si>
  <si>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</si>
  <si>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</si>
  <si>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</si>
  <si>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</si>
  <si>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</si>
  <si>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</si>
  <si>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</si>
  <si>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</si>
  <si>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</si>
  <si>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</si>
  <si>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702066</t>
  </si>
  <si>
    <t>ETIQ.FECHA VENCIMIENTO AMARILLO (ROLLO)</t>
  </si>
  <si>
    <t>0702077</t>
  </si>
  <si>
    <t>ESP-RE-PAPS-011</t>
  </si>
  <si>
    <t>01</t>
  </si>
  <si>
    <t>PASTA TORTA CHILENA SPOON KILO SE00177</t>
  </si>
  <si>
    <t>Javier Tong, Chef</t>
  </si>
  <si>
    <t>SE00178</t>
  </si>
  <si>
    <t>PREMEZCLA P/PASTA CHILENA SPOON</t>
  </si>
  <si>
    <t>Spoon</t>
  </si>
  <si>
    <t>60 min</t>
  </si>
  <si>
    <t>Dicte 1,2,3</t>
  </si>
  <si>
    <t>Tanda</t>
  </si>
  <si>
    <t>185 C</t>
  </si>
  <si>
    <t>1.- Colocar la margarina, azucar y harina y preservante. Batir en velocidad 1 por 3 minutos, con ayuda de la paleta.</t>
  </si>
  <si>
    <t>2.- Utilizar de inmediato.</t>
  </si>
  <si>
    <t>ESP-RE-PRES-008</t>
  </si>
  <si>
    <t>PREMEZCLA P/PASTA CHILENA SPOON 901000014(SE00178)</t>
  </si>
  <si>
    <t>Premezclas</t>
  </si>
  <si>
    <t>MP10040</t>
  </si>
  <si>
    <t>MARGARINA BAKER TABLETA (CAJA: 25 K)</t>
  </si>
  <si>
    <t>NUMAR</t>
  </si>
  <si>
    <t>MP10049</t>
  </si>
  <si>
    <t>AZUCAR POLVO P.REAL (PAQ:2.5 Kg)</t>
  </si>
  <si>
    <t>PASTELERO REAL</t>
  </si>
  <si>
    <t>Bolsa</t>
  </si>
  <si>
    <t>MP10051</t>
  </si>
  <si>
    <t>HARINA TRIGO NACARINA (SACO: 25 K)</t>
  </si>
  <si>
    <t>NACARINA</t>
  </si>
  <si>
    <t>MP10008</t>
  </si>
  <si>
    <t>PRESERVANTE 1047S (PAQ=5 KILO)</t>
  </si>
  <si>
    <t>ASEAL</t>
  </si>
  <si>
    <t>ETIQUETA BLANCA 2 5/8X1 15/16 (UND)</t>
  </si>
  <si>
    <t>ud</t>
  </si>
  <si>
    <t>EM10013</t>
  </si>
  <si>
    <t>BOLSA 17x25 TRANSP</t>
  </si>
  <si>
    <t>PLASTICOS P</t>
  </si>
  <si>
    <t>EM10133</t>
  </si>
  <si>
    <t>ETIQUETA ROJA LETRA ALERJENO (UND)</t>
  </si>
  <si>
    <t>AS00020</t>
  </si>
  <si>
    <t>GUANTE LATEX CORRIENTE (CAJA:100 UND)</t>
  </si>
  <si>
    <t>MAYCA</t>
  </si>
  <si>
    <t>Minutos</t>
  </si>
  <si>
    <t>1.- Colocar en 1  bolsa 17*25 la margarina. Etiquetar con nombre y alerjeno</t>
  </si>
  <si>
    <t>2.- Colocar la harina, preservante en otra bolsa 17*25, enviar 1 bolsa de azucar en polvo entera.</t>
  </si>
  <si>
    <t>3.- Etiquetar ambas bolsas con nombre y alerjeno.</t>
  </si>
  <si>
    <t>ESP-RE-DES-018</t>
  </si>
  <si>
    <t>02</t>
  </si>
  <si>
    <t xml:space="preserve"> Crema Blanca Spoon (20800g)  SE00010</t>
  </si>
  <si>
    <t>Decoracion</t>
  </si>
  <si>
    <t>MP10047</t>
  </si>
  <si>
    <t>BETTERCREME SUPREMO (UND:4 K)</t>
  </si>
  <si>
    <t>RICHS</t>
  </si>
  <si>
    <t>MP10048</t>
  </si>
  <si>
    <t>CREMA PRESTIGE GRAND (UND:4 K)</t>
  </si>
  <si>
    <t>10415</t>
  </si>
  <si>
    <t>AGUA POTABLE (PLANTA)</t>
  </si>
  <si>
    <t>AYA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</si>
  <si>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</si>
  <si>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</si>
  <si>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</si>
  <si>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</si>
  <si>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</si>
  <si>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</si>
  <si>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</si>
  <si>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ESP-RE-DES-016</t>
  </si>
  <si>
    <t xml:space="preserve"> Mezcla Sirope de Dulce de Leche(5350g) 910000006(SE00034)</t>
  </si>
  <si>
    <t>Postres</t>
  </si>
  <si>
    <t>11400066</t>
  </si>
  <si>
    <t xml:space="preserve">MANJAR DE LECHE CONDENSADA </t>
  </si>
  <si>
    <t>1950765</t>
  </si>
  <si>
    <t>EM10259</t>
  </si>
  <si>
    <t>PLAST. AUTOAD 18 * 2000</t>
  </si>
  <si>
    <t>cm</t>
  </si>
  <si>
    <t>0702012</t>
  </si>
  <si>
    <t>EM10005</t>
  </si>
  <si>
    <t>ETIQ.FECHA VENCIMIENTO</t>
  </si>
  <si>
    <t>Unid</t>
  </si>
  <si>
    <t>1950705</t>
  </si>
  <si>
    <t>EM10037</t>
  </si>
  <si>
    <t xml:space="preserve">BOLSA 8x12 TRANSP </t>
  </si>
  <si>
    <t>1, Mezclar con ayuda de una espatula de goma, el manjar con el agua.</t>
  </si>
  <si>
    <t xml:space="preserve">2, Guardarlo en bolsa 8x12 y etiquetar. </t>
  </si>
  <si>
    <t>3, Usar inmediatamente o si no, guardar en camara de refigeración.</t>
  </si>
  <si>
    <t>Cuenta con 2 dias de vida util despues de su elaboración, guardar los sobrantes en bolsasa plasticas en refigeración.</t>
  </si>
  <si>
    <t xml:space="preserve">2, Actualización datos de receta, procedimiento y pesos finales. </t>
  </si>
  <si>
    <t>SE00763 Corte Galleta Chilena Grande 120g FAS 19.5cms</t>
  </si>
  <si>
    <t>SE00763</t>
  </si>
  <si>
    <t>ESP-RE-FIF-023</t>
  </si>
  <si>
    <t>Etiq Blanca 3x3</t>
  </si>
  <si>
    <t>EM10326</t>
  </si>
  <si>
    <t>EM10369</t>
  </si>
  <si>
    <t>Etiqueta Torta Chilena Bucca</t>
  </si>
  <si>
    <t>EM10002</t>
  </si>
  <si>
    <t>Etiq.Blanca 1 1/4 * 3/4</t>
  </si>
  <si>
    <t>EM10124</t>
  </si>
  <si>
    <t>Etiqueta Blanca R-153</t>
  </si>
  <si>
    <t>lote</t>
  </si>
  <si>
    <t>vencimiento</t>
  </si>
  <si>
    <t>Para pegar</t>
  </si>
  <si>
    <t>Manjar Leche Condensada</t>
  </si>
  <si>
    <t>EM10456</t>
  </si>
  <si>
    <t>QUEQUERA DOMO 10 BAJO</t>
  </si>
  <si>
    <t>Revision #2: Cambio de empaque</t>
  </si>
  <si>
    <t>1/2 taza</t>
  </si>
  <si>
    <t>Revision #3: Se agrega taza de medida</t>
  </si>
  <si>
    <t>20</t>
  </si>
  <si>
    <t>EM10084</t>
  </si>
  <si>
    <t>Orla # 10 Bucca</t>
  </si>
  <si>
    <t>Revision #4: Se sube el sirope y cambio de orla</t>
  </si>
  <si>
    <t>SE00670</t>
  </si>
  <si>
    <t>CREMA BLANCA SUPREMO</t>
  </si>
  <si>
    <t xml:space="preserve">Revision  #5: Se cambia crema spoon a crema suprema </t>
  </si>
  <si>
    <t>SE00001</t>
  </si>
  <si>
    <t>Ganache Chocolate Oscuro</t>
  </si>
  <si>
    <t xml:space="preserve">Virutas de chocolate azul </t>
  </si>
  <si>
    <t xml:space="preserve">Mostacho grande de chocolate </t>
  </si>
  <si>
    <t>1 unidad</t>
  </si>
  <si>
    <t>1-  Colocar la primer galleta de chilena en el plato de aluminio</t>
  </si>
  <si>
    <t>2- Distribuir 120g de manjar  en toda la galleta, repetir esta operacion alternando galletas y manjar (terminar con galleta)</t>
  </si>
  <si>
    <t>3-  Encremar con la chantilly blanca, colocar ganache y realizar un estilo espiral, hacer colocho en el borde con la boquilla 4ft y al centro colocar los trocitos de chocolate y el mostacho como muestra la imagen.</t>
  </si>
  <si>
    <t>4- Tapar y etiquetar con nombre, vencimiento y juliano</t>
  </si>
  <si>
    <t>Revision  #6: Se actualiza a decoración papá 2026</t>
  </si>
  <si>
    <t>MP10925</t>
  </si>
  <si>
    <t>MP10756</t>
  </si>
  <si>
    <t>06</t>
  </si>
  <si>
    <t>PTI00275 Torta chilena pequeña WM Bucca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</si>
</sst>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  <numFmt numFmtId="171" formatCode="[$-F400]h:mm:ss\ AM/PM"/>
  </numFmts>
  <fonts count="9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1"/>
      <name val="Arial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6"/>
      <color rgb="FF000000"/>
      <name val="Arial"/>
      <family val="2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theme="1"/>
      <name val="Century Gothic"/>
      <family val="2"/>
    </font>
    <font>
      <sz val="15"/>
      <color rgb="FF000000"/>
      <name val="Century Gothic"/>
      <family val="2"/>
    </font>
    <font>
      <sz val="15"/>
      <name val="Arial"/>
      <family val="2"/>
    </font>
    <font>
      <sz val="15"/>
      <color rgb="FF000000"/>
      <name val="Calibri"/>
      <family val="2"/>
      <scheme val="minor"/>
    </font>
    <font>
      <sz val="15"/>
      <color indexed="8"/>
      <name val="Century Gothic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Century Gothic"/>
      <family val="2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41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61" applyNumberFormat="0" applyFill="0" applyAlignment="0" applyProtection="0"/>
    <xf numFmtId="0" fontId="84" fillId="0" borderId="62" applyNumberFormat="0" applyFill="0" applyAlignment="0" applyProtection="0"/>
    <xf numFmtId="0" fontId="85" fillId="0" borderId="63" applyNumberFormat="0" applyFill="0" applyAlignment="0" applyProtection="0"/>
    <xf numFmtId="0" fontId="85" fillId="0" borderId="0" applyNumberFormat="0" applyFill="0" applyBorder="0" applyAlignment="0" applyProtection="0"/>
    <xf numFmtId="0" fontId="86" fillId="13" borderId="0" applyNumberFormat="0" applyBorder="0" applyAlignment="0" applyProtection="0"/>
    <xf numFmtId="0" fontId="87" fillId="14" borderId="0" applyNumberFormat="0" applyBorder="0" applyAlignment="0" applyProtection="0"/>
    <xf numFmtId="0" fontId="88" fillId="15" borderId="0" applyNumberFormat="0" applyBorder="0" applyAlignment="0" applyProtection="0"/>
    <xf numFmtId="0" fontId="89" fillId="16" borderId="64" applyNumberFormat="0" applyAlignment="0" applyProtection="0"/>
    <xf numFmtId="0" fontId="90" fillId="17" borderId="65" applyNumberFormat="0" applyAlignment="0" applyProtection="0"/>
    <xf numFmtId="0" fontId="91" fillId="17" borderId="64" applyNumberFormat="0" applyAlignment="0" applyProtection="0"/>
    <xf numFmtId="0" fontId="92" fillId="0" borderId="66" applyNumberFormat="0" applyFill="0" applyAlignment="0" applyProtection="0"/>
    <xf numFmtId="0" fontId="93" fillId="18" borderId="67" applyNumberFormat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69" applyNumberFormat="0" applyFill="0" applyAlignment="0" applyProtection="0"/>
    <xf numFmtId="0" fontId="97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97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97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97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97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97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41" fontId="4" fillId="0" borderId="0" applyFont="0" applyFill="0" applyBorder="0" applyAlignment="0" applyProtection="0"/>
    <xf numFmtId="0" fontId="2" fillId="0" borderId="0"/>
    <xf numFmtId="0" fontId="2" fillId="0" borderId="0"/>
    <xf numFmtId="0" fontId="2" fillId="19" borderId="68" applyNumberFormat="0" applyFont="0" applyAlignment="0" applyProtection="0"/>
    <xf numFmtId="43" fontId="4" fillId="0" borderId="0" applyFont="0" applyFill="0" applyBorder="0" applyAlignment="0" applyProtection="0"/>
    <xf numFmtId="0" fontId="4" fillId="0" borderId="0"/>
    <xf numFmtId="0" fontId="2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959">
    <xf numFmtId="0" fontId="0" fillId="0" borderId="0" xfId="0"/>
    <xf numFmtId="0" fontId="6" fillId="2" borderId="2" xfId="1" applyFont="1" applyFill="1" applyBorder="1" applyAlignment="1">
      <alignment horizontal="right"/>
    </xf>
    <xf numFmtId="0" fontId="9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4" xfId="1" applyFont="1" applyFill="1" applyBorder="1" applyAlignment="1">
      <alignment horizontal="right"/>
    </xf>
    <xf numFmtId="14" fontId="10" fillId="2" borderId="0" xfId="3" applyNumberFormat="1" applyFont="1" applyFill="1" applyAlignment="1">
      <alignment horizontal="center" vertical="center" wrapText="1"/>
    </xf>
    <xf numFmtId="0" fontId="6" fillId="3" borderId="3" xfId="5" applyFont="1" applyFill="1" applyBorder="1" applyAlignment="1">
      <alignment horizontal="center" vertical="center" wrapText="1"/>
    </xf>
    <xf numFmtId="1" fontId="6" fillId="3" borderId="1" xfId="5" applyNumberFormat="1" applyFont="1" applyFill="1" applyBorder="1" applyAlignment="1">
      <alignment horizontal="center"/>
    </xf>
    <xf numFmtId="1" fontId="6" fillId="3" borderId="1" xfId="5" applyNumberFormat="1" applyFont="1" applyFill="1" applyBorder="1" applyAlignment="1">
      <alignment horizontal="center" wrapText="1"/>
    </xf>
    <xf numFmtId="0" fontId="6" fillId="3" borderId="22" xfId="5" applyFont="1" applyFill="1" applyBorder="1" applyAlignment="1">
      <alignment horizontal="center"/>
    </xf>
    <xf numFmtId="0" fontId="11" fillId="0" borderId="41" xfId="5" applyFont="1" applyBorder="1" applyAlignment="1">
      <alignment horizontal="center" vertical="center"/>
    </xf>
    <xf numFmtId="0" fontId="11" fillId="0" borderId="8" xfId="5" applyFont="1" applyBorder="1" applyAlignment="1">
      <alignment horizontal="center" vertical="center"/>
    </xf>
    <xf numFmtId="0" fontId="12" fillId="0" borderId="4" xfId="5" applyFont="1" applyBorder="1" applyAlignment="1">
      <alignment vertical="center"/>
    </xf>
    <xf numFmtId="0" fontId="11" fillId="0" borderId="4" xfId="5" applyFont="1" applyBorder="1" applyAlignment="1">
      <alignment horizontal="center" vertical="center"/>
    </xf>
    <xf numFmtId="1" fontId="11" fillId="0" borderId="4" xfId="5" applyNumberFormat="1" applyFont="1" applyBorder="1" applyAlignment="1">
      <alignment horizontal="center"/>
    </xf>
    <xf numFmtId="1" fontId="11" fillId="0" borderId="4" xfId="5" applyNumberFormat="1" applyFont="1" applyBorder="1" applyAlignment="1">
      <alignment horizontal="center" wrapText="1"/>
    </xf>
    <xf numFmtId="0" fontId="13" fillId="0" borderId="5" xfId="5" applyFont="1" applyBorder="1" applyAlignment="1">
      <alignment horizontal="center"/>
    </xf>
    <xf numFmtId="49" fontId="13" fillId="0" borderId="4" xfId="5" applyNumberFormat="1" applyFont="1" applyBorder="1" applyAlignment="1">
      <alignment horizontal="center"/>
    </xf>
    <xf numFmtId="0" fontId="13" fillId="0" borderId="4" xfId="5" applyFont="1" applyBorder="1" applyAlignment="1">
      <alignment horizontal="left"/>
    </xf>
    <xf numFmtId="0" fontId="13" fillId="0" borderId="4" xfId="5" applyFont="1" applyBorder="1" applyAlignment="1">
      <alignment horizontal="center"/>
    </xf>
    <xf numFmtId="1" fontId="13" fillId="0" borderId="4" xfId="5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12" fontId="1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5" borderId="4" xfId="0" applyFont="1" applyFill="1" applyBorder="1"/>
    <xf numFmtId="1" fontId="13" fillId="0" borderId="4" xfId="5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/>
    <xf numFmtId="1" fontId="13" fillId="0" borderId="4" xfId="0" applyNumberFormat="1" applyFont="1" applyBorder="1"/>
    <xf numFmtId="0" fontId="13" fillId="5" borderId="4" xfId="5" applyFont="1" applyFill="1" applyBorder="1" applyAlignment="1">
      <alignment horizontal="center"/>
    </xf>
    <xf numFmtId="49" fontId="13" fillId="0" borderId="41" xfId="5" applyNumberFormat="1" applyFont="1" applyBorder="1" applyAlignment="1">
      <alignment horizontal="center"/>
    </xf>
    <xf numFmtId="49" fontId="13" fillId="0" borderId="8" xfId="5" applyNumberFormat="1" applyFont="1" applyBorder="1" applyAlignment="1">
      <alignment horizontal="center"/>
    </xf>
    <xf numFmtId="0" fontId="11" fillId="5" borderId="4" xfId="5" applyFont="1" applyFill="1" applyBorder="1" applyAlignment="1">
      <alignment horizontal="left"/>
    </xf>
    <xf numFmtId="165" fontId="13" fillId="0" borderId="4" xfId="5" applyNumberFormat="1" applyFont="1" applyBorder="1" applyAlignment="1">
      <alignment horizontal="center"/>
    </xf>
    <xf numFmtId="0" fontId="15" fillId="5" borderId="41" xfId="0" applyFont="1" applyFill="1" applyBorder="1" applyAlignment="1">
      <alignment horizontal="center"/>
    </xf>
    <xf numFmtId="0" fontId="15" fillId="5" borderId="25" xfId="0" applyFont="1" applyFill="1" applyBorder="1" applyAlignment="1">
      <alignment horizontal="center"/>
    </xf>
    <xf numFmtId="0" fontId="15" fillId="5" borderId="6" xfId="0" applyFont="1" applyFill="1" applyBorder="1"/>
    <xf numFmtId="0" fontId="13" fillId="5" borderId="8" xfId="0" applyFont="1" applyFill="1" applyBorder="1" applyAlignment="1">
      <alignment horizontal="center"/>
    </xf>
    <xf numFmtId="1" fontId="13" fillId="5" borderId="6" xfId="0" applyNumberFormat="1" applyFont="1" applyFill="1" applyBorder="1" applyAlignment="1">
      <alignment horizontal="center"/>
    </xf>
    <xf numFmtId="1" fontId="13" fillId="5" borderId="6" xfId="0" applyNumberFormat="1" applyFont="1" applyFill="1" applyBorder="1" applyAlignment="1">
      <alignment horizontal="center" wrapText="1"/>
    </xf>
    <xf numFmtId="0" fontId="13" fillId="0" borderId="0" xfId="0" applyFont="1"/>
    <xf numFmtId="16" fontId="13" fillId="0" borderId="4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 wrapText="1"/>
    </xf>
    <xf numFmtId="49" fontId="11" fillId="0" borderId="17" xfId="5" applyNumberFormat="1" applyFont="1" applyBorder="1" applyAlignment="1">
      <alignment horizontal="center"/>
    </xf>
    <xf numFmtId="49" fontId="11" fillId="0" borderId="18" xfId="5" applyNumberFormat="1" applyFont="1" applyBorder="1" applyAlignment="1">
      <alignment horizontal="center"/>
    </xf>
    <xf numFmtId="0" fontId="12" fillId="5" borderId="4" xfId="5" applyFont="1" applyFill="1" applyBorder="1" applyAlignment="1">
      <alignment vertical="center"/>
    </xf>
    <xf numFmtId="0" fontId="11" fillId="0" borderId="8" xfId="5" applyFont="1" applyBorder="1" applyAlignment="1">
      <alignment horizontal="center"/>
    </xf>
    <xf numFmtId="165" fontId="11" fillId="0" borderId="4" xfId="5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166" fontId="11" fillId="5" borderId="4" xfId="4" applyNumberFormat="1" applyFont="1" applyFill="1" applyBorder="1" applyAlignment="1">
      <alignment horizontal="center"/>
    </xf>
    <xf numFmtId="0" fontId="15" fillId="0" borderId="4" xfId="6" applyFont="1" applyBorder="1" applyAlignment="1">
      <alignment horizontal="center"/>
    </xf>
    <xf numFmtId="0" fontId="15" fillId="0" borderId="4" xfId="6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2" fontId="13" fillId="0" borderId="4" xfId="5" applyNumberFormat="1" applyFont="1" applyBorder="1" applyAlignment="1">
      <alignment horizontal="center"/>
    </xf>
    <xf numFmtId="0" fontId="13" fillId="0" borderId="4" xfId="0" quotePrefix="1" applyFont="1" applyBorder="1" applyAlignment="1">
      <alignment horizontal="center"/>
    </xf>
    <xf numFmtId="0" fontId="13" fillId="0" borderId="4" xfId="0" quotePrefix="1" applyFont="1" applyBorder="1"/>
    <xf numFmtId="49" fontId="13" fillId="0" borderId="4" xfId="5" applyNumberFormat="1" applyFont="1" applyBorder="1"/>
    <xf numFmtId="49" fontId="14" fillId="2" borderId="10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3" fillId="2" borderId="0" xfId="5" applyFont="1" applyFill="1"/>
    <xf numFmtId="1" fontId="13" fillId="2" borderId="0" xfId="5" applyNumberFormat="1" applyFont="1" applyFill="1" applyAlignment="1">
      <alignment horizontal="center"/>
    </xf>
    <xf numFmtId="164" fontId="13" fillId="2" borderId="0" xfId="5" applyNumberFormat="1" applyFont="1" applyFill="1" applyAlignment="1">
      <alignment horizontal="center" wrapText="1"/>
    </xf>
    <xf numFmtId="0" fontId="13" fillId="2" borderId="39" xfId="5" applyFont="1" applyFill="1" applyBorder="1" applyAlignment="1">
      <alignment horizontal="center"/>
    </xf>
    <xf numFmtId="0" fontId="13" fillId="3" borderId="11" xfId="5" applyFont="1" applyFill="1" applyBorder="1" applyAlignment="1">
      <alignment horizontal="center"/>
    </xf>
    <xf numFmtId="0" fontId="13" fillId="3" borderId="12" xfId="5" applyFont="1" applyFill="1" applyBorder="1" applyAlignment="1">
      <alignment horizontal="center"/>
    </xf>
    <xf numFmtId="0" fontId="13" fillId="3" borderId="12" xfId="5" applyFont="1" applyFill="1" applyBorder="1"/>
    <xf numFmtId="0" fontId="11" fillId="3" borderId="12" xfId="5" applyFont="1" applyFill="1" applyBorder="1" applyAlignment="1">
      <alignment horizontal="center"/>
    </xf>
    <xf numFmtId="1" fontId="11" fillId="3" borderId="12" xfId="5" applyNumberFormat="1" applyFont="1" applyFill="1" applyBorder="1" applyAlignment="1">
      <alignment horizontal="center"/>
    </xf>
    <xf numFmtId="164" fontId="13" fillId="3" borderId="12" xfId="5" applyNumberFormat="1" applyFont="1" applyFill="1" applyBorder="1" applyAlignment="1">
      <alignment horizontal="center" wrapText="1"/>
    </xf>
    <xf numFmtId="0" fontId="13" fillId="3" borderId="13" xfId="5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8" fillId="2" borderId="2" xfId="1" applyFont="1" applyFill="1" applyBorder="1" applyAlignment="1">
      <alignment horizontal="right"/>
    </xf>
    <xf numFmtId="0" fontId="16" fillId="2" borderId="3" xfId="1" applyFont="1" applyFill="1" applyBorder="1" applyAlignment="1">
      <alignment horizontal="center"/>
    </xf>
    <xf numFmtId="0" fontId="18" fillId="2" borderId="4" xfId="1" applyFont="1" applyFill="1" applyBorder="1" applyAlignment="1">
      <alignment horizontal="right"/>
    </xf>
    <xf numFmtId="49" fontId="16" fillId="2" borderId="5" xfId="1" applyNumberFormat="1" applyFont="1" applyFill="1" applyBorder="1" applyAlignment="1">
      <alignment horizontal="center"/>
    </xf>
    <xf numFmtId="0" fontId="16" fillId="2" borderId="6" xfId="1" applyFont="1" applyFill="1" applyBorder="1" applyAlignment="1">
      <alignment horizontal="right"/>
    </xf>
    <xf numFmtId="0" fontId="16" fillId="2" borderId="4" xfId="1" applyFont="1" applyFill="1" applyBorder="1" applyAlignment="1">
      <alignment horizontal="right"/>
    </xf>
    <xf numFmtId="14" fontId="19" fillId="2" borderId="0" xfId="3" applyNumberFormat="1" applyFont="1" applyFill="1" applyAlignment="1">
      <alignment horizontal="center" vertical="center" wrapText="1"/>
    </xf>
    <xf numFmtId="0" fontId="18" fillId="3" borderId="3" xfId="5" applyFont="1" applyFill="1" applyBorder="1" applyAlignment="1">
      <alignment horizontal="center" vertical="center" wrapText="1"/>
    </xf>
    <xf numFmtId="1" fontId="18" fillId="3" borderId="1" xfId="5" applyNumberFormat="1" applyFont="1" applyFill="1" applyBorder="1" applyAlignment="1">
      <alignment horizontal="center"/>
    </xf>
    <xf numFmtId="1" fontId="18" fillId="3" borderId="1" xfId="5" applyNumberFormat="1" applyFont="1" applyFill="1" applyBorder="1" applyAlignment="1">
      <alignment horizontal="center" wrapText="1"/>
    </xf>
    <xf numFmtId="0" fontId="18" fillId="3" borderId="22" xfId="5" applyFont="1" applyFill="1" applyBorder="1" applyAlignment="1">
      <alignment horizontal="center"/>
    </xf>
    <xf numFmtId="0" fontId="20" fillId="0" borderId="41" xfId="5" applyFont="1" applyBorder="1" applyAlignment="1">
      <alignment horizontal="center" vertical="center"/>
    </xf>
    <xf numFmtId="0" fontId="20" fillId="0" borderId="8" xfId="5" applyFont="1" applyBorder="1" applyAlignment="1">
      <alignment horizontal="center" vertical="center"/>
    </xf>
    <xf numFmtId="0" fontId="21" fillId="0" borderId="4" xfId="5" applyFont="1" applyBorder="1" applyAlignment="1">
      <alignment vertical="center"/>
    </xf>
    <xf numFmtId="0" fontId="20" fillId="0" borderId="4" xfId="5" applyFont="1" applyBorder="1" applyAlignment="1">
      <alignment horizontal="center" vertical="center"/>
    </xf>
    <xf numFmtId="1" fontId="20" fillId="0" borderId="4" xfId="5" applyNumberFormat="1" applyFont="1" applyBorder="1" applyAlignment="1">
      <alignment horizontal="center"/>
    </xf>
    <xf numFmtId="1" fontId="20" fillId="0" borderId="4" xfId="5" applyNumberFormat="1" applyFont="1" applyBorder="1" applyAlignment="1">
      <alignment horizontal="center" wrapText="1"/>
    </xf>
    <xf numFmtId="0" fontId="22" fillId="0" borderId="5" xfId="5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3" fillId="0" borderId="4" xfId="0" applyFont="1" applyBorder="1"/>
    <xf numFmtId="0" fontId="22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" fontId="16" fillId="0" borderId="6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2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wrapText="1"/>
    </xf>
    <xf numFmtId="2" fontId="20" fillId="0" borderId="4" xfId="5" applyNumberFormat="1" applyFont="1" applyBorder="1" applyAlignment="1">
      <alignment horizontal="center"/>
    </xf>
    <xf numFmtId="1" fontId="18" fillId="5" borderId="43" xfId="5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4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4" xfId="5" applyBorder="1" applyAlignment="1">
      <alignment horizontal="center"/>
    </xf>
    <xf numFmtId="0" fontId="0" fillId="5" borderId="4" xfId="0" applyFill="1" applyBorder="1"/>
    <xf numFmtId="1" fontId="22" fillId="0" borderId="4" xfId="5" applyNumberFormat="1" applyFont="1" applyBorder="1" applyAlignment="1">
      <alignment horizontal="center"/>
    </xf>
    <xf numFmtId="1" fontId="22" fillId="0" borderId="4" xfId="5" applyNumberFormat="1" applyFont="1" applyBorder="1" applyAlignment="1">
      <alignment horizontal="center" wrapText="1"/>
    </xf>
    <xf numFmtId="49" fontId="22" fillId="0" borderId="41" xfId="5" applyNumberFormat="1" applyFont="1" applyBorder="1" applyAlignment="1">
      <alignment horizontal="center"/>
    </xf>
    <xf numFmtId="49" fontId="22" fillId="0" borderId="8" xfId="5" applyNumberFormat="1" applyFont="1" applyBorder="1" applyAlignment="1">
      <alignment horizontal="center"/>
    </xf>
    <xf numFmtId="0" fontId="25" fillId="5" borderId="4" xfId="5" applyFont="1" applyFill="1" applyBorder="1" applyAlignment="1">
      <alignment horizontal="left"/>
    </xf>
    <xf numFmtId="0" fontId="22" fillId="0" borderId="4" xfId="5" applyFont="1" applyBorder="1" applyAlignment="1">
      <alignment horizontal="center"/>
    </xf>
    <xf numFmtId="165" fontId="22" fillId="0" borderId="4" xfId="5" applyNumberFormat="1" applyFont="1" applyBorder="1" applyAlignment="1">
      <alignment horizontal="center"/>
    </xf>
    <xf numFmtId="0" fontId="4" fillId="0" borderId="41" xfId="7" applyBorder="1" applyAlignment="1">
      <alignment horizontal="center"/>
    </xf>
    <xf numFmtId="0" fontId="4" fillId="5" borderId="4" xfId="7" applyFill="1" applyBorder="1"/>
    <xf numFmtId="16" fontId="22" fillId="0" borderId="4" xfId="7" applyNumberFormat="1" applyFont="1" applyBorder="1" applyAlignment="1">
      <alignment horizontal="center"/>
    </xf>
    <xf numFmtId="49" fontId="20" fillId="0" borderId="17" xfId="5" applyNumberFormat="1" applyFont="1" applyBorder="1" applyAlignment="1">
      <alignment horizontal="center"/>
    </xf>
    <xf numFmtId="49" fontId="20" fillId="0" borderId="18" xfId="5" applyNumberFormat="1" applyFont="1" applyBorder="1" applyAlignment="1">
      <alignment horizontal="center"/>
    </xf>
    <xf numFmtId="0" fontId="26" fillId="5" borderId="4" xfId="5" applyFont="1" applyFill="1" applyBorder="1" applyAlignment="1">
      <alignment vertical="center"/>
    </xf>
    <xf numFmtId="0" fontId="20" fillId="0" borderId="8" xfId="5" applyFont="1" applyBorder="1" applyAlignment="1">
      <alignment horizontal="center"/>
    </xf>
    <xf numFmtId="165" fontId="20" fillId="0" borderId="4" xfId="5" applyNumberFormat="1" applyFont="1" applyBorder="1" applyAlignment="1">
      <alignment horizontal="center"/>
    </xf>
    <xf numFmtId="166" fontId="18" fillId="5" borderId="4" xfId="4" applyNumberFormat="1" applyFont="1" applyFill="1" applyBorder="1" applyAlignment="1">
      <alignment horizontal="center"/>
    </xf>
    <xf numFmtId="49" fontId="28" fillId="2" borderId="10" xfId="5" applyNumberFormat="1" applyFont="1" applyFill="1" applyBorder="1" applyAlignment="1">
      <alignment horizontal="center" vertical="center"/>
    </xf>
    <xf numFmtId="49" fontId="28" fillId="2" borderId="0" xfId="5" applyNumberFormat="1" applyFont="1" applyFill="1" applyAlignment="1">
      <alignment horizontal="center" vertical="center"/>
    </xf>
    <xf numFmtId="0" fontId="16" fillId="2" borderId="0" xfId="5" applyFont="1" applyFill="1"/>
    <xf numFmtId="1" fontId="16" fillId="2" borderId="0" xfId="5" applyNumberFormat="1" applyFont="1" applyFill="1" applyAlignment="1">
      <alignment horizontal="center"/>
    </xf>
    <xf numFmtId="164" fontId="16" fillId="2" borderId="0" xfId="5" applyNumberFormat="1" applyFont="1" applyFill="1" applyAlignment="1">
      <alignment horizontal="center" wrapText="1"/>
    </xf>
    <xf numFmtId="0" fontId="16" fillId="2" borderId="39" xfId="5" applyFont="1" applyFill="1" applyBorder="1" applyAlignment="1">
      <alignment horizontal="center"/>
    </xf>
    <xf numFmtId="0" fontId="16" fillId="3" borderId="11" xfId="5" applyFont="1" applyFill="1" applyBorder="1" applyAlignment="1">
      <alignment horizontal="center"/>
    </xf>
    <xf numFmtId="0" fontId="16" fillId="3" borderId="12" xfId="5" applyFont="1" applyFill="1" applyBorder="1" applyAlignment="1">
      <alignment horizontal="center"/>
    </xf>
    <xf numFmtId="0" fontId="16" fillId="3" borderId="12" xfId="5" applyFont="1" applyFill="1" applyBorder="1"/>
    <xf numFmtId="0" fontId="18" fillId="3" borderId="12" xfId="5" applyFont="1" applyFill="1" applyBorder="1" applyAlignment="1">
      <alignment horizontal="center"/>
    </xf>
    <xf numFmtId="1" fontId="18" fillId="3" borderId="12" xfId="5" applyNumberFormat="1" applyFont="1" applyFill="1" applyBorder="1" applyAlignment="1">
      <alignment horizontal="center"/>
    </xf>
    <xf numFmtId="164" fontId="16" fillId="3" borderId="12" xfId="5" applyNumberFormat="1" applyFont="1" applyFill="1" applyBorder="1" applyAlignment="1">
      <alignment horizontal="center" wrapText="1"/>
    </xf>
    <xf numFmtId="0" fontId="16" fillId="3" borderId="13" xfId="5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1" fontId="16" fillId="0" borderId="4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3" fillId="5" borderId="0" xfId="0" applyFont="1" applyFill="1" applyAlignment="1">
      <alignment vertical="center"/>
    </xf>
    <xf numFmtId="0" fontId="32" fillId="7" borderId="4" xfId="0" applyFont="1" applyFill="1" applyBorder="1" applyAlignment="1">
      <alignment horizontal="center" vertical="center" wrapText="1"/>
    </xf>
    <xf numFmtId="0" fontId="32" fillId="7" borderId="4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3" fontId="32" fillId="0" borderId="4" xfId="4" applyFont="1" applyFill="1" applyBorder="1" applyAlignment="1">
      <alignment horizontal="center" vertical="center"/>
    </xf>
    <xf numFmtId="43" fontId="32" fillId="0" borderId="0" xfId="4" applyFont="1" applyFill="1" applyBorder="1" applyAlignment="1">
      <alignment horizontal="center" vertical="center"/>
    </xf>
    <xf numFmtId="43" fontId="34" fillId="0" borderId="0" xfId="4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8" fontId="37" fillId="0" borderId="0" xfId="0" applyNumberFormat="1" applyFont="1" applyAlignment="1">
      <alignment horizontal="center" vertical="center" wrapText="1"/>
    </xf>
    <xf numFmtId="0" fontId="32" fillId="8" borderId="49" xfId="0" applyFont="1" applyFill="1" applyBorder="1" applyAlignment="1">
      <alignment horizontal="center" vertical="center"/>
    </xf>
    <xf numFmtId="0" fontId="32" fillId="8" borderId="50" xfId="0" applyFont="1" applyFill="1" applyBorder="1" applyAlignment="1">
      <alignment horizontal="center" vertical="center"/>
    </xf>
    <xf numFmtId="0" fontId="32" fillId="8" borderId="50" xfId="0" applyFont="1" applyFill="1" applyBorder="1" applyAlignment="1">
      <alignment horizontal="center" vertical="center" wrapText="1"/>
    </xf>
    <xf numFmtId="0" fontId="32" fillId="8" borderId="5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8" fillId="0" borderId="0" xfId="0" applyNumberFormat="1" applyFont="1" applyAlignment="1">
      <alignment horizontal="center"/>
    </xf>
    <xf numFmtId="4" fontId="38" fillId="0" borderId="0" xfId="8" applyNumberFormat="1" applyFont="1" applyFill="1" applyAlignment="1">
      <alignment horizontal="center" vertical="center"/>
    </xf>
    <xf numFmtId="4" fontId="32" fillId="0" borderId="0" xfId="8" applyNumberFormat="1" applyFont="1" applyFill="1" applyAlignment="1">
      <alignment horizontal="center" vertical="center"/>
    </xf>
    <xf numFmtId="10" fontId="32" fillId="0" borderId="0" xfId="2" applyNumberFormat="1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10" fontId="33" fillId="0" borderId="0" xfId="2" applyNumberFormat="1" applyFont="1" applyFill="1" applyAlignment="1">
      <alignment vertical="center"/>
    </xf>
    <xf numFmtId="0" fontId="23" fillId="0" borderId="0" xfId="0" applyFont="1"/>
    <xf numFmtId="49" fontId="32" fillId="0" borderId="0" xfId="0" applyNumberFormat="1" applyFont="1" applyAlignment="1">
      <alignment horizontal="center"/>
    </xf>
    <xf numFmtId="169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43" fontId="23" fillId="0" borderId="0" xfId="4" applyFont="1" applyFill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4" fontId="32" fillId="0" borderId="0" xfId="4" applyNumberFormat="1" applyFont="1" applyFill="1" applyAlignment="1">
      <alignment vertical="center"/>
    </xf>
    <xf numFmtId="43" fontId="40" fillId="0" borderId="0" xfId="4" applyFont="1" applyFill="1" applyAlignment="1">
      <alignment horizontal="center" vertical="center"/>
    </xf>
    <xf numFmtId="10" fontId="33" fillId="8" borderId="52" xfId="2" applyNumberFormat="1" applyFont="1" applyFill="1" applyBorder="1" applyAlignment="1">
      <alignment vertical="center"/>
    </xf>
    <xf numFmtId="0" fontId="23" fillId="8" borderId="12" xfId="0" applyFont="1" applyFill="1" applyBorder="1" applyAlignment="1">
      <alignment vertical="center"/>
    </xf>
    <xf numFmtId="0" fontId="23" fillId="8" borderId="52" xfId="0" applyFont="1" applyFill="1" applyBorder="1" applyAlignment="1">
      <alignment vertical="center"/>
    </xf>
    <xf numFmtId="43" fontId="40" fillId="8" borderId="53" xfId="4" applyFont="1" applyFill="1" applyBorder="1" applyAlignment="1">
      <alignment horizontal="center" vertical="center"/>
    </xf>
    <xf numFmtId="43" fontId="42" fillId="0" borderId="0" xfId="4" applyFont="1" applyFill="1" applyBorder="1" applyAlignment="1">
      <alignment horizontal="right"/>
    </xf>
    <xf numFmtId="0" fontId="23" fillId="8" borderId="53" xfId="0" applyFont="1" applyFill="1" applyBorder="1" applyAlignment="1">
      <alignment vertical="center"/>
    </xf>
    <xf numFmtId="10" fontId="33" fillId="8" borderId="53" xfId="2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0" fontId="41" fillId="0" borderId="0" xfId="0" applyFont="1"/>
    <xf numFmtId="9" fontId="41" fillId="0" borderId="0" xfId="0" applyNumberFormat="1" applyFont="1"/>
    <xf numFmtId="9" fontId="43" fillId="0" borderId="0" xfId="2" applyFont="1" applyFill="1" applyAlignment="1">
      <alignment horizontal="center"/>
    </xf>
    <xf numFmtId="0" fontId="40" fillId="0" borderId="0" xfId="0" applyFont="1" applyAlignment="1">
      <alignment horizontal="right" vertical="center"/>
    </xf>
    <xf numFmtId="4" fontId="40" fillId="0" borderId="0" xfId="4" applyNumberFormat="1" applyFont="1" applyFill="1" applyAlignment="1">
      <alignment vertical="center"/>
    </xf>
    <xf numFmtId="4" fontId="40" fillId="0" borderId="0" xfId="8" applyNumberFormat="1" applyFont="1" applyAlignment="1">
      <alignment horizontal="center" vertical="center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5" fillId="0" borderId="39" xfId="0" applyFont="1" applyBorder="1" applyAlignment="1">
      <alignment horizontal="right"/>
    </xf>
    <xf numFmtId="43" fontId="46" fillId="4" borderId="54" xfId="4" applyFont="1" applyFill="1" applyBorder="1" applyAlignment="1">
      <alignment horizontal="right"/>
    </xf>
    <xf numFmtId="43" fontId="46" fillId="0" borderId="0" xfId="4" applyFont="1" applyFill="1" applyBorder="1" applyAlignment="1">
      <alignment horizontal="right"/>
    </xf>
    <xf numFmtId="43" fontId="32" fillId="0" borderId="4" xfId="4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4" fontId="40" fillId="0" borderId="0" xfId="8" applyNumberFormat="1" applyFont="1" applyFill="1" applyAlignment="1">
      <alignment horizontal="center" vertical="center"/>
    </xf>
    <xf numFmtId="10" fontId="48" fillId="0" borderId="0" xfId="2" applyNumberFormat="1" applyFont="1" applyFill="1" applyAlignment="1">
      <alignment horizontal="right"/>
    </xf>
    <xf numFmtId="170" fontId="32" fillId="8" borderId="4" xfId="4" applyNumberFormat="1" applyFont="1" applyFill="1" applyBorder="1" applyAlignment="1">
      <alignment vertical="center"/>
    </xf>
    <xf numFmtId="4" fontId="23" fillId="0" borderId="0" xfId="0" applyNumberFormat="1" applyFont="1" applyAlignment="1">
      <alignment horizontal="center" vertical="center"/>
    </xf>
    <xf numFmtId="43" fontId="32" fillId="9" borderId="4" xfId="4" applyFont="1" applyFill="1" applyBorder="1" applyAlignment="1">
      <alignment vertical="center"/>
    </xf>
    <xf numFmtId="167" fontId="49" fillId="0" borderId="0" xfId="0" applyNumberFormat="1" applyFont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33" fillId="8" borderId="55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2" fontId="48" fillId="0" borderId="0" xfId="4" applyNumberFormat="1" applyFont="1" applyFill="1" applyBorder="1" applyAlignment="1">
      <alignment horizontal="center"/>
    </xf>
    <xf numFmtId="2" fontId="45" fillId="0" borderId="0" xfId="4" applyNumberFormat="1" applyFont="1" applyFill="1" applyBorder="1" applyAlignment="1">
      <alignment horizontal="center"/>
    </xf>
    <xf numFmtId="0" fontId="23" fillId="8" borderId="55" xfId="0" applyFont="1" applyFill="1" applyBorder="1" applyAlignment="1">
      <alignment vertical="center"/>
    </xf>
    <xf numFmtId="10" fontId="23" fillId="0" borderId="0" xfId="2" applyNumberFormat="1" applyFont="1" applyFill="1" applyAlignment="1">
      <alignment vertical="center"/>
    </xf>
    <xf numFmtId="4" fontId="23" fillId="0" borderId="0" xfId="4" applyNumberFormat="1" applyFont="1" applyFill="1" applyAlignment="1">
      <alignment vertical="center"/>
    </xf>
    <xf numFmtId="43" fontId="46" fillId="8" borderId="12" xfId="4" applyFont="1" applyFill="1" applyBorder="1" applyAlignment="1">
      <alignment horizontal="right"/>
    </xf>
    <xf numFmtId="0" fontId="32" fillId="8" borderId="13" xfId="0" applyFont="1" applyFill="1" applyBorder="1" applyAlignment="1">
      <alignment horizontal="right" vertical="center"/>
    </xf>
    <xf numFmtId="10" fontId="52" fillId="0" borderId="0" xfId="4" applyNumberFormat="1" applyFont="1" applyFill="1" applyAlignment="1">
      <alignment vertical="center"/>
    </xf>
    <xf numFmtId="10" fontId="33" fillId="0" borderId="0" xfId="2" applyNumberFormat="1" applyFont="1" applyFill="1" applyBorder="1" applyAlignment="1">
      <alignment vertical="center"/>
    </xf>
    <xf numFmtId="167" fontId="53" fillId="0" borderId="0" xfId="0" applyNumberFormat="1" applyFont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43" fontId="54" fillId="0" borderId="0" xfId="4" applyFont="1" applyFill="1" applyAlignment="1">
      <alignment vertical="center"/>
    </xf>
    <xf numFmtId="4" fontId="55" fillId="0" borderId="0" xfId="8" applyNumberFormat="1" applyFont="1" applyFill="1" applyAlignment="1">
      <alignment horizontal="center" vertical="center" wrapText="1"/>
    </xf>
    <xf numFmtId="9" fontId="23" fillId="0" borderId="0" xfId="4" applyNumberFormat="1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9" fillId="0" borderId="0" xfId="0" applyFont="1" applyAlignment="1">
      <alignment horizontal="right" vertical="center"/>
    </xf>
    <xf numFmtId="4" fontId="39" fillId="0" borderId="0" xfId="4" applyNumberFormat="1" applyFont="1" applyFill="1" applyAlignment="1">
      <alignment vertical="center"/>
    </xf>
    <xf numFmtId="4" fontId="32" fillId="11" borderId="54" xfId="4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43" fontId="56" fillId="0" borderId="0" xfId="4" applyFont="1" applyFill="1" applyAlignment="1">
      <alignment vertical="center"/>
    </xf>
    <xf numFmtId="9" fontId="56" fillId="0" borderId="0" xfId="4" applyNumberFormat="1" applyFont="1" applyFill="1" applyAlignment="1">
      <alignment vertical="center"/>
    </xf>
    <xf numFmtId="4" fontId="32" fillId="0" borderId="0" xfId="4" applyNumberFormat="1" applyFont="1" applyFill="1" applyAlignment="1">
      <alignment horizontal="center" vertical="center"/>
    </xf>
    <xf numFmtId="10" fontId="49" fillId="0" borderId="0" xfId="2" applyNumberFormat="1" applyFont="1" applyFill="1" applyAlignment="1">
      <alignment vertical="center"/>
    </xf>
    <xf numFmtId="43" fontId="49" fillId="0" borderId="0" xfId="4" applyFont="1" applyFill="1" applyBorder="1" applyAlignment="1">
      <alignment vertical="center"/>
    </xf>
    <xf numFmtId="4" fontId="23" fillId="0" borderId="0" xfId="0" applyNumberFormat="1" applyFont="1" applyAlignment="1">
      <alignment horizontal="center"/>
    </xf>
    <xf numFmtId="43" fontId="23" fillId="0" borderId="0" xfId="4" applyFont="1" applyFill="1" applyBorder="1"/>
    <xf numFmtId="10" fontId="49" fillId="0" borderId="0" xfId="2" applyNumberFormat="1" applyFont="1" applyFill="1" applyBorder="1" applyAlignment="1">
      <alignment vertical="center"/>
    </xf>
    <xf numFmtId="0" fontId="49" fillId="0" borderId="0" xfId="0" applyFont="1" applyAlignment="1">
      <alignment horizontal="right"/>
    </xf>
    <xf numFmtId="43" fontId="23" fillId="0" borderId="0" xfId="4" applyFont="1" applyFill="1" applyBorder="1" applyAlignment="1">
      <alignment horizontal="center"/>
    </xf>
    <xf numFmtId="9" fontId="59" fillId="0" borderId="0" xfId="0" applyNumberFormat="1" applyFont="1" applyAlignment="1">
      <alignment horizontal="left"/>
    </xf>
    <xf numFmtId="4" fontId="32" fillId="0" borderId="0" xfId="0" applyNumberFormat="1" applyFont="1" applyAlignment="1">
      <alignment horizontal="center"/>
    </xf>
    <xf numFmtId="167" fontId="32" fillId="0" borderId="0" xfId="0" applyNumberFormat="1" applyFont="1"/>
    <xf numFmtId="0" fontId="4" fillId="0" borderId="0" xfId="0" applyFont="1"/>
    <xf numFmtId="0" fontId="22" fillId="0" borderId="4" xfId="0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1" fontId="22" fillId="0" borderId="4" xfId="0" applyNumberFormat="1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2" fontId="20" fillId="0" borderId="4" xfId="5" applyNumberFormat="1" applyFont="1" applyBorder="1" applyAlignment="1">
      <alignment horizontal="center" wrapText="1"/>
    </xf>
    <xf numFmtId="0" fontId="24" fillId="0" borderId="4" xfId="0" applyFont="1" applyBorder="1" applyAlignment="1">
      <alignment horizontal="center"/>
    </xf>
    <xf numFmtId="0" fontId="24" fillId="0" borderId="4" xfId="0" applyFont="1" applyBorder="1"/>
    <xf numFmtId="0" fontId="4" fillId="0" borderId="4" xfId="7" applyBorder="1" applyAlignment="1">
      <alignment horizontal="center"/>
    </xf>
    <xf numFmtId="16" fontId="22" fillId="0" borderId="4" xfId="0" applyNumberFormat="1" applyFont="1" applyBorder="1" applyAlignment="1">
      <alignment horizontal="center"/>
    </xf>
    <xf numFmtId="1" fontId="22" fillId="0" borderId="4" xfId="7" applyNumberFormat="1" applyFont="1" applyBorder="1" applyAlignment="1">
      <alignment horizontal="center"/>
    </xf>
    <xf numFmtId="1" fontId="22" fillId="0" borderId="4" xfId="7" applyNumberFormat="1" applyFont="1" applyBorder="1" applyAlignment="1">
      <alignment horizontal="center" wrapText="1"/>
    </xf>
    <xf numFmtId="166" fontId="18" fillId="5" borderId="4" xfId="9" applyNumberFormat="1" applyFont="1" applyFill="1" applyBorder="1" applyAlignment="1">
      <alignment horizontal="center"/>
    </xf>
    <xf numFmtId="49" fontId="22" fillId="0" borderId="4" xfId="0" applyNumberFormat="1" applyFont="1" applyBorder="1" applyAlignment="1">
      <alignment horizontal="center"/>
    </xf>
    <xf numFmtId="49" fontId="23" fillId="0" borderId="4" xfId="0" applyNumberFormat="1" applyFont="1" applyBorder="1"/>
    <xf numFmtId="1" fontId="16" fillId="0" borderId="4" xfId="0" applyNumberFormat="1" applyFont="1" applyBorder="1" applyAlignment="1">
      <alignment horizontal="center" wrapText="1"/>
    </xf>
    <xf numFmtId="49" fontId="16" fillId="0" borderId="4" xfId="0" applyNumberFormat="1" applyFont="1" applyBorder="1" applyAlignment="1">
      <alignment horizontal="center" wrapText="1"/>
    </xf>
    <xf numFmtId="0" fontId="60" fillId="0" borderId="41" xfId="0" quotePrefix="1" applyFont="1" applyBorder="1" applyAlignment="1">
      <alignment horizontal="center"/>
    </xf>
    <xf numFmtId="0" fontId="60" fillId="0" borderId="8" xfId="0" quotePrefix="1" applyFont="1" applyBorder="1" applyAlignment="1">
      <alignment horizontal="center"/>
    </xf>
    <xf numFmtId="0" fontId="61" fillId="0" borderId="4" xfId="0" quotePrefix="1" applyFont="1" applyBorder="1"/>
    <xf numFmtId="1" fontId="16" fillId="5" borderId="4" xfId="0" applyNumberFormat="1" applyFont="1" applyFill="1" applyBorder="1" applyAlignment="1">
      <alignment horizontal="center"/>
    </xf>
    <xf numFmtId="1" fontId="16" fillId="5" borderId="4" xfId="0" applyNumberFormat="1" applyFont="1" applyFill="1" applyBorder="1" applyAlignment="1">
      <alignment horizontal="center" wrapText="1"/>
    </xf>
    <xf numFmtId="49" fontId="22" fillId="5" borderId="41" xfId="5" applyNumberFormat="1" applyFont="1" applyFill="1" applyBorder="1" applyAlignment="1">
      <alignment horizontal="center"/>
    </xf>
    <xf numFmtId="49" fontId="22" fillId="5" borderId="8" xfId="5" applyNumberFormat="1" applyFont="1" applyFill="1" applyBorder="1" applyAlignment="1">
      <alignment horizontal="center"/>
    </xf>
    <xf numFmtId="49" fontId="23" fillId="5" borderId="4" xfId="5" applyNumberFormat="1" applyFont="1" applyFill="1" applyBorder="1"/>
    <xf numFmtId="12" fontId="22" fillId="0" borderId="4" xfId="5" applyNumberFormat="1" applyFont="1" applyBorder="1" applyAlignment="1">
      <alignment horizontal="center"/>
    </xf>
    <xf numFmtId="49" fontId="23" fillId="0" borderId="4" xfId="5" applyNumberFormat="1" applyFont="1" applyBorder="1"/>
    <xf numFmtId="1" fontId="27" fillId="0" borderId="4" xfId="5" applyNumberFormat="1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62" fillId="0" borderId="4" xfId="0" applyFont="1" applyBorder="1" applyAlignment="1">
      <alignment horizontal="center" vertical="center"/>
    </xf>
    <xf numFmtId="0" fontId="62" fillId="0" borderId="4" xfId="0" applyFont="1" applyBorder="1" applyAlignment="1">
      <alignment horizontal="left" vertical="center"/>
    </xf>
    <xf numFmtId="1" fontId="22" fillId="0" borderId="6" xfId="0" applyNumberFormat="1" applyFont="1" applyBorder="1" applyAlignment="1">
      <alignment horizontal="center"/>
    </xf>
    <xf numFmtId="1" fontId="22" fillId="0" borderId="6" xfId="0" applyNumberFormat="1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12" fontId="16" fillId="0" borderId="6" xfId="0" applyNumberFormat="1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25" fillId="0" borderId="4" xfId="0" applyFont="1" applyBorder="1"/>
    <xf numFmtId="0" fontId="0" fillId="0" borderId="4" xfId="0" applyBorder="1"/>
    <xf numFmtId="0" fontId="16" fillId="5" borderId="4" xfId="5" applyFont="1" applyFill="1" applyBorder="1" applyAlignment="1">
      <alignment horizontal="center"/>
    </xf>
    <xf numFmtId="0" fontId="63" fillId="5" borderId="41" xfId="0" applyFont="1" applyFill="1" applyBorder="1" applyAlignment="1">
      <alignment horizontal="center"/>
    </xf>
    <xf numFmtId="0" fontId="63" fillId="5" borderId="25" xfId="0" applyFont="1" applyFill="1" applyBorder="1" applyAlignment="1">
      <alignment horizontal="center"/>
    </xf>
    <xf numFmtId="0" fontId="63" fillId="5" borderId="6" xfId="0" applyFont="1" applyFill="1" applyBorder="1"/>
    <xf numFmtId="0" fontId="16" fillId="5" borderId="8" xfId="0" applyFont="1" applyFill="1" applyBorder="1" applyAlignment="1">
      <alignment horizontal="center"/>
    </xf>
    <xf numFmtId="1" fontId="16" fillId="5" borderId="6" xfId="0" applyNumberFormat="1" applyFont="1" applyFill="1" applyBorder="1" applyAlignment="1">
      <alignment horizontal="center"/>
    </xf>
    <xf numFmtId="1" fontId="16" fillId="5" borderId="6" xfId="0" applyNumberFormat="1" applyFont="1" applyFill="1" applyBorder="1" applyAlignment="1">
      <alignment horizontal="center" wrapText="1"/>
    </xf>
    <xf numFmtId="49" fontId="16" fillId="5" borderId="6" xfId="0" applyNumberFormat="1" applyFont="1" applyFill="1" applyBorder="1" applyAlignment="1">
      <alignment horizontal="center"/>
    </xf>
    <xf numFmtId="1" fontId="16" fillId="5" borderId="4" xfId="5" applyNumberFormat="1" applyFont="1" applyFill="1" applyBorder="1" applyAlignment="1">
      <alignment horizontal="center"/>
    </xf>
    <xf numFmtId="1" fontId="16" fillId="5" borderId="4" xfId="5" applyNumberFormat="1" applyFont="1" applyFill="1" applyBorder="1" applyAlignment="1">
      <alignment horizontal="center" wrapText="1"/>
    </xf>
    <xf numFmtId="16" fontId="16" fillId="0" borderId="4" xfId="0" applyNumberFormat="1" applyFont="1" applyBorder="1" applyAlignment="1">
      <alignment horizontal="center"/>
    </xf>
    <xf numFmtId="49" fontId="22" fillId="0" borderId="41" xfId="0" applyNumberFormat="1" applyFont="1" applyBorder="1" applyAlignment="1">
      <alignment horizontal="center"/>
    </xf>
    <xf numFmtId="49" fontId="22" fillId="0" borderId="8" xfId="0" applyNumberFormat="1" applyFont="1" applyBorder="1" applyAlignment="1">
      <alignment horizontal="center"/>
    </xf>
    <xf numFmtId="49" fontId="32" fillId="0" borderId="4" xfId="0" applyNumberFormat="1" applyFont="1" applyBorder="1"/>
    <xf numFmtId="0" fontId="64" fillId="0" borderId="41" xfId="0" applyFont="1" applyBorder="1" applyAlignment="1">
      <alignment horizontal="center"/>
    </xf>
    <xf numFmtId="0" fontId="64" fillId="0" borderId="8" xfId="0" applyFont="1" applyBorder="1" applyAlignment="1">
      <alignment horizontal="center"/>
    </xf>
    <xf numFmtId="0" fontId="56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6" fillId="0" borderId="4" xfId="0" quotePrefix="1" applyFont="1" applyBorder="1" applyAlignment="1">
      <alignment horizontal="center"/>
    </xf>
    <xf numFmtId="0" fontId="16" fillId="0" borderId="4" xfId="0" quotePrefix="1" applyFont="1" applyBorder="1"/>
    <xf numFmtId="171" fontId="16" fillId="0" borderId="4" xfId="0" applyNumberFormat="1" applyFont="1" applyBorder="1" applyAlignment="1">
      <alignment horizontal="center"/>
    </xf>
    <xf numFmtId="0" fontId="17" fillId="2" borderId="2" xfId="1" applyFont="1" applyFill="1" applyBorder="1" applyAlignment="1">
      <alignment horizontal="right"/>
    </xf>
    <xf numFmtId="0" fontId="66" fillId="2" borderId="3" xfId="1" applyFont="1" applyFill="1" applyBorder="1" applyAlignment="1">
      <alignment horizontal="center"/>
    </xf>
    <xf numFmtId="0" fontId="17" fillId="2" borderId="4" xfId="1" applyFont="1" applyFill="1" applyBorder="1" applyAlignment="1">
      <alignment horizontal="right"/>
    </xf>
    <xf numFmtId="49" fontId="66" fillId="2" borderId="5" xfId="1" applyNumberFormat="1" applyFont="1" applyFill="1" applyBorder="1" applyAlignment="1">
      <alignment horizontal="center"/>
    </xf>
    <xf numFmtId="0" fontId="66" fillId="2" borderId="6" xfId="1" applyFont="1" applyFill="1" applyBorder="1" applyAlignment="1">
      <alignment horizontal="right"/>
    </xf>
    <xf numFmtId="0" fontId="66" fillId="2" borderId="4" xfId="1" applyFont="1" applyFill="1" applyBorder="1" applyAlignment="1">
      <alignment horizontal="right"/>
    </xf>
    <xf numFmtId="14" fontId="68" fillId="2" borderId="0" xfId="3" applyNumberFormat="1" applyFont="1" applyFill="1" applyAlignment="1">
      <alignment horizontal="center" vertical="center" wrapText="1"/>
    </xf>
    <xf numFmtId="0" fontId="17" fillId="3" borderId="3" xfId="5" applyFont="1" applyFill="1" applyBorder="1" applyAlignment="1">
      <alignment horizontal="center" vertical="center" wrapText="1"/>
    </xf>
    <xf numFmtId="1" fontId="17" fillId="3" borderId="1" xfId="5" applyNumberFormat="1" applyFont="1" applyFill="1" applyBorder="1" applyAlignment="1">
      <alignment horizontal="center"/>
    </xf>
    <xf numFmtId="1" fontId="17" fillId="3" borderId="1" xfId="5" applyNumberFormat="1" applyFont="1" applyFill="1" applyBorder="1" applyAlignment="1">
      <alignment horizontal="center" wrapText="1"/>
    </xf>
    <xf numFmtId="0" fontId="17" fillId="3" borderId="22" xfId="5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1" fontId="13" fillId="5" borderId="4" xfId="0" applyNumberFormat="1" applyFont="1" applyFill="1" applyBorder="1" applyAlignment="1">
      <alignment horizontal="center"/>
    </xf>
    <xf numFmtId="1" fontId="13" fillId="5" borderId="4" xfId="0" applyNumberFormat="1" applyFont="1" applyFill="1" applyBorder="1" applyAlignment="1">
      <alignment horizontal="center" wrapText="1"/>
    </xf>
    <xf numFmtId="0" fontId="15" fillId="5" borderId="8" xfId="0" applyFont="1" applyFill="1" applyBorder="1" applyAlignment="1">
      <alignment horizontal="center"/>
    </xf>
    <xf numFmtId="0" fontId="15" fillId="5" borderId="4" xfId="0" applyFont="1" applyFill="1" applyBorder="1"/>
    <xf numFmtId="0" fontId="69" fillId="0" borderId="4" xfId="0" applyFont="1" applyBorder="1" applyAlignment="1">
      <alignment horizontal="center"/>
    </xf>
    <xf numFmtId="0" fontId="69" fillId="0" borderId="4" xfId="0" applyFont="1" applyBorder="1" applyAlignment="1">
      <alignment horizontal="center" vertical="center"/>
    </xf>
    <xf numFmtId="0" fontId="69" fillId="12" borderId="4" xfId="0" applyFont="1" applyFill="1" applyBorder="1"/>
    <xf numFmtId="0" fontId="13" fillId="0" borderId="4" xfId="0" applyFont="1" applyBorder="1" applyAlignment="1">
      <alignment horizontal="center" wrapText="1"/>
    </xf>
    <xf numFmtId="0" fontId="69" fillId="12" borderId="0" xfId="0" applyFont="1" applyFill="1" applyAlignment="1">
      <alignment horizontal="center"/>
    </xf>
    <xf numFmtId="0" fontId="69" fillId="12" borderId="0" xfId="0" applyFont="1" applyFill="1"/>
    <xf numFmtId="0" fontId="11" fillId="12" borderId="4" xfId="0" applyFont="1" applyFill="1" applyBorder="1" applyAlignment="1">
      <alignment horizontal="left"/>
    </xf>
    <xf numFmtId="0" fontId="13" fillId="0" borderId="6" xfId="0" applyFont="1" applyBorder="1" applyAlignment="1">
      <alignment horizontal="center"/>
    </xf>
    <xf numFmtId="0" fontId="69" fillId="12" borderId="4" xfId="0" applyFont="1" applyFill="1" applyBorder="1" applyAlignment="1">
      <alignment horizontal="left" vertical="center"/>
    </xf>
    <xf numFmtId="16" fontId="13" fillId="0" borderId="8" xfId="0" applyNumberFormat="1" applyFont="1" applyBorder="1" applyAlignment="1">
      <alignment horizontal="center"/>
    </xf>
    <xf numFmtId="1" fontId="13" fillId="5" borderId="4" xfId="5" applyNumberFormat="1" applyFont="1" applyFill="1" applyBorder="1" applyAlignment="1">
      <alignment horizontal="center"/>
    </xf>
    <xf numFmtId="1" fontId="13" fillId="5" borderId="4" xfId="5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16" fontId="13" fillId="5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" fontId="13" fillId="0" borderId="6" xfId="0" applyNumberFormat="1" applyFont="1" applyBorder="1" applyAlignment="1">
      <alignment horizontal="center" wrapText="1"/>
    </xf>
    <xf numFmtId="16" fontId="13" fillId="0" borderId="4" xfId="5" applyNumberFormat="1" applyFont="1" applyBorder="1" applyAlignment="1">
      <alignment horizontal="center"/>
    </xf>
    <xf numFmtId="1" fontId="13" fillId="0" borderId="6" xfId="5" applyNumberFormat="1" applyFont="1" applyBorder="1" applyAlignment="1">
      <alignment horizontal="center"/>
    </xf>
    <xf numFmtId="0" fontId="13" fillId="0" borderId="6" xfId="5" applyFont="1" applyBorder="1" applyAlignment="1">
      <alignment horizontal="center"/>
    </xf>
    <xf numFmtId="0" fontId="13" fillId="0" borderId="59" xfId="0" applyFont="1" applyBorder="1" applyAlignment="1">
      <alignment horizontal="center"/>
    </xf>
    <xf numFmtId="1" fontId="13" fillId="0" borderId="4" xfId="0" applyNumberFormat="1" applyFont="1" applyBorder="1" applyAlignment="1">
      <alignment horizontal="left" vertical="center"/>
    </xf>
    <xf numFmtId="0" fontId="13" fillId="5" borderId="41" xfId="0" applyFont="1" applyFill="1" applyBorder="1" applyAlignment="1">
      <alignment horizontal="center"/>
    </xf>
    <xf numFmtId="0" fontId="69" fillId="5" borderId="0" xfId="0" applyFont="1" applyFill="1" applyAlignment="1">
      <alignment horizontal="center"/>
    </xf>
    <xf numFmtId="1" fontId="13" fillId="5" borderId="4" xfId="0" applyNumberFormat="1" applyFont="1" applyFill="1" applyBorder="1"/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wrapText="1"/>
    </xf>
    <xf numFmtId="0" fontId="71" fillId="2" borderId="2" xfId="1" applyFont="1" applyFill="1" applyBorder="1" applyAlignment="1">
      <alignment horizontal="right"/>
    </xf>
    <xf numFmtId="0" fontId="70" fillId="2" borderId="3" xfId="1" applyFont="1" applyFill="1" applyBorder="1" applyAlignment="1">
      <alignment horizontal="center"/>
    </xf>
    <xf numFmtId="0" fontId="71" fillId="2" borderId="4" xfId="1" applyFont="1" applyFill="1" applyBorder="1" applyAlignment="1">
      <alignment horizontal="right"/>
    </xf>
    <xf numFmtId="49" fontId="70" fillId="2" borderId="5" xfId="1" applyNumberFormat="1" applyFont="1" applyFill="1" applyBorder="1" applyAlignment="1">
      <alignment horizontal="center"/>
    </xf>
    <xf numFmtId="0" fontId="70" fillId="2" borderId="6" xfId="1" applyFont="1" applyFill="1" applyBorder="1" applyAlignment="1">
      <alignment horizontal="right"/>
    </xf>
    <xf numFmtId="0" fontId="70" fillId="2" borderId="4" xfId="1" applyFont="1" applyFill="1" applyBorder="1" applyAlignment="1">
      <alignment horizontal="right"/>
    </xf>
    <xf numFmtId="14" fontId="73" fillId="2" borderId="0" xfId="3" applyNumberFormat="1" applyFont="1" applyFill="1" applyAlignment="1">
      <alignment horizontal="center" vertical="center" wrapText="1"/>
    </xf>
    <xf numFmtId="0" fontId="71" fillId="3" borderId="3" xfId="5" applyFont="1" applyFill="1" applyBorder="1" applyAlignment="1">
      <alignment horizontal="center" vertical="center" wrapText="1"/>
    </xf>
    <xf numFmtId="1" fontId="71" fillId="3" borderId="1" xfId="5" applyNumberFormat="1" applyFont="1" applyFill="1" applyBorder="1" applyAlignment="1">
      <alignment horizontal="center"/>
    </xf>
    <xf numFmtId="1" fontId="71" fillId="3" borderId="1" xfId="5" applyNumberFormat="1" applyFont="1" applyFill="1" applyBorder="1" applyAlignment="1">
      <alignment horizontal="center" wrapText="1"/>
    </xf>
    <xf numFmtId="0" fontId="71" fillId="3" borderId="22" xfId="5" applyFont="1" applyFill="1" applyBorder="1" applyAlignment="1">
      <alignment horizontal="center"/>
    </xf>
    <xf numFmtId="0" fontId="74" fillId="0" borderId="41" xfId="5" applyFont="1" applyBorder="1" applyAlignment="1">
      <alignment horizontal="center" vertical="center"/>
    </xf>
    <xf numFmtId="0" fontId="74" fillId="0" borderId="8" xfId="5" applyFont="1" applyBorder="1" applyAlignment="1">
      <alignment horizontal="center" vertical="center"/>
    </xf>
    <xf numFmtId="0" fontId="75" fillId="0" borderId="4" xfId="5" applyFont="1" applyBorder="1" applyAlignment="1">
      <alignment vertical="center"/>
    </xf>
    <xf numFmtId="0" fontId="74" fillId="0" borderId="4" xfId="5" applyFont="1" applyBorder="1" applyAlignment="1">
      <alignment horizontal="center" vertical="center"/>
    </xf>
    <xf numFmtId="1" fontId="74" fillId="0" borderId="4" xfId="5" applyNumberFormat="1" applyFont="1" applyBorder="1" applyAlignment="1">
      <alignment horizontal="center"/>
    </xf>
    <xf numFmtId="1" fontId="74" fillId="0" borderId="4" xfId="5" applyNumberFormat="1" applyFont="1" applyBorder="1" applyAlignment="1">
      <alignment horizontal="center" wrapText="1"/>
    </xf>
    <xf numFmtId="0" fontId="76" fillId="0" borderId="5" xfId="5" applyFont="1" applyBorder="1" applyAlignment="1">
      <alignment horizontal="center"/>
    </xf>
    <xf numFmtId="0" fontId="77" fillId="5" borderId="41" xfId="0" applyFont="1" applyFill="1" applyBorder="1" applyAlignment="1">
      <alignment horizontal="center"/>
    </xf>
    <xf numFmtId="0" fontId="77" fillId="5" borderId="4" xfId="0" applyFont="1" applyFill="1" applyBorder="1" applyAlignment="1">
      <alignment horizontal="center"/>
    </xf>
    <xf numFmtId="0" fontId="77" fillId="5" borderId="6" xfId="0" applyFont="1" applyFill="1" applyBorder="1"/>
    <xf numFmtId="0" fontId="70" fillId="5" borderId="8" xfId="0" applyFont="1" applyFill="1" applyBorder="1" applyAlignment="1">
      <alignment horizontal="center"/>
    </xf>
    <xf numFmtId="1" fontId="70" fillId="5" borderId="4" xfId="0" applyNumberFormat="1" applyFont="1" applyFill="1" applyBorder="1" applyAlignment="1">
      <alignment horizontal="center"/>
    </xf>
    <xf numFmtId="1" fontId="70" fillId="5" borderId="4" xfId="0" applyNumberFormat="1" applyFont="1" applyFill="1" applyBorder="1" applyAlignment="1">
      <alignment horizontal="center" wrapText="1"/>
    </xf>
    <xf numFmtId="0" fontId="70" fillId="0" borderId="6" xfId="0" applyFont="1" applyBorder="1" applyAlignment="1">
      <alignment horizontal="center" wrapText="1"/>
    </xf>
    <xf numFmtId="12" fontId="70" fillId="0" borderId="6" xfId="0" applyNumberFormat="1" applyFont="1" applyBorder="1" applyAlignment="1">
      <alignment horizontal="center"/>
    </xf>
    <xf numFmtId="0" fontId="77" fillId="5" borderId="8" xfId="0" applyFont="1" applyFill="1" applyBorder="1" applyAlignment="1">
      <alignment horizontal="center"/>
    </xf>
    <xf numFmtId="0" fontId="77" fillId="5" borderId="4" xfId="0" applyFont="1" applyFill="1" applyBorder="1"/>
    <xf numFmtId="1" fontId="70" fillId="5" borderId="6" xfId="0" applyNumberFormat="1" applyFont="1" applyFill="1" applyBorder="1" applyAlignment="1">
      <alignment horizontal="center"/>
    </xf>
    <xf numFmtId="1" fontId="70" fillId="5" borderId="6" xfId="0" applyNumberFormat="1" applyFont="1" applyFill="1" applyBorder="1" applyAlignment="1">
      <alignment horizontal="center" wrapText="1"/>
    </xf>
    <xf numFmtId="0" fontId="70" fillId="0" borderId="4" xfId="0" applyFont="1" applyBorder="1" applyAlignment="1">
      <alignment horizontal="center"/>
    </xf>
    <xf numFmtId="0" fontId="78" fillId="0" borderId="4" xfId="0" applyFont="1" applyBorder="1" applyAlignment="1">
      <alignment horizontal="center"/>
    </xf>
    <xf numFmtId="0" fontId="78" fillId="0" borderId="4" xfId="0" applyFont="1" applyBorder="1" applyAlignment="1">
      <alignment horizontal="center" vertical="center"/>
    </xf>
    <xf numFmtId="0" fontId="78" fillId="12" borderId="4" xfId="0" applyFont="1" applyFill="1" applyBorder="1"/>
    <xf numFmtId="0" fontId="70" fillId="0" borderId="4" xfId="0" applyFont="1" applyBorder="1" applyAlignment="1">
      <alignment horizontal="center" wrapText="1"/>
    </xf>
    <xf numFmtId="0" fontId="78" fillId="12" borderId="0" xfId="0" applyFont="1" applyFill="1" applyAlignment="1">
      <alignment horizontal="center"/>
    </xf>
    <xf numFmtId="0" fontId="78" fillId="12" borderId="0" xfId="0" applyFont="1" applyFill="1"/>
    <xf numFmtId="0" fontId="71" fillId="12" borderId="4" xfId="0" applyFont="1" applyFill="1" applyBorder="1" applyAlignment="1">
      <alignment horizontal="left"/>
    </xf>
    <xf numFmtId="0" fontId="70" fillId="0" borderId="6" xfId="0" applyFont="1" applyBorder="1" applyAlignment="1">
      <alignment horizontal="center"/>
    </xf>
    <xf numFmtId="0" fontId="78" fillId="12" borderId="4" xfId="0" applyFont="1" applyFill="1" applyBorder="1" applyAlignment="1">
      <alignment horizontal="left" vertical="center"/>
    </xf>
    <xf numFmtId="0" fontId="79" fillId="0" borderId="4" xfId="0" applyFont="1" applyBorder="1" applyAlignment="1">
      <alignment horizontal="center"/>
    </xf>
    <xf numFmtId="0" fontId="79" fillId="0" borderId="4" xfId="0" applyFont="1" applyBorder="1"/>
    <xf numFmtId="16" fontId="76" fillId="0" borderId="8" xfId="0" applyNumberFormat="1" applyFont="1" applyBorder="1" applyAlignment="1">
      <alignment horizontal="center"/>
    </xf>
    <xf numFmtId="1" fontId="76" fillId="0" borderId="4" xfId="0" applyNumberFormat="1" applyFont="1" applyBorder="1" applyAlignment="1">
      <alignment horizontal="center"/>
    </xf>
    <xf numFmtId="1" fontId="76" fillId="0" borderId="4" xfId="0" applyNumberFormat="1" applyFont="1" applyBorder="1" applyAlignment="1">
      <alignment horizontal="center" wrapText="1"/>
    </xf>
    <xf numFmtId="49" fontId="76" fillId="0" borderId="41" xfId="5" applyNumberFormat="1" applyFont="1" applyBorder="1" applyAlignment="1">
      <alignment horizontal="center"/>
    </xf>
    <xf numFmtId="49" fontId="76" fillId="0" borderId="8" xfId="5" applyNumberFormat="1" applyFont="1" applyBorder="1" applyAlignment="1">
      <alignment horizontal="center"/>
    </xf>
    <xf numFmtId="0" fontId="74" fillId="5" borderId="4" xfId="5" applyFont="1" applyFill="1" applyBorder="1" applyAlignment="1">
      <alignment horizontal="left"/>
    </xf>
    <xf numFmtId="0" fontId="76" fillId="0" borderId="4" xfId="5" applyFont="1" applyBorder="1" applyAlignment="1">
      <alignment horizontal="center"/>
    </xf>
    <xf numFmtId="165" fontId="76" fillId="0" borderId="4" xfId="5" applyNumberFormat="1" applyFont="1" applyBorder="1" applyAlignment="1">
      <alignment horizontal="center"/>
    </xf>
    <xf numFmtId="1" fontId="76" fillId="0" borderId="4" xfId="5" applyNumberFormat="1" applyFont="1" applyBorder="1" applyAlignment="1">
      <alignment horizontal="center" wrapText="1"/>
    </xf>
    <xf numFmtId="0" fontId="77" fillId="5" borderId="25" xfId="0" applyFont="1" applyFill="1" applyBorder="1" applyAlignment="1">
      <alignment horizontal="center"/>
    </xf>
    <xf numFmtId="1" fontId="70" fillId="0" borderId="4" xfId="0" applyNumberFormat="1" applyFont="1" applyBorder="1" applyAlignment="1">
      <alignment horizontal="center"/>
    </xf>
    <xf numFmtId="1" fontId="70" fillId="5" borderId="4" xfId="5" applyNumberFormat="1" applyFont="1" applyFill="1" applyBorder="1" applyAlignment="1">
      <alignment horizontal="center"/>
    </xf>
    <xf numFmtId="1" fontId="70" fillId="5" borderId="4" xfId="5" applyNumberFormat="1" applyFont="1" applyFill="1" applyBorder="1" applyAlignment="1">
      <alignment horizontal="center" wrapText="1"/>
    </xf>
    <xf numFmtId="0" fontId="79" fillId="0" borderId="0" xfId="0" applyFont="1" applyAlignment="1">
      <alignment horizontal="center"/>
    </xf>
    <xf numFmtId="0" fontId="79" fillId="0" borderId="0" xfId="0" applyFont="1"/>
    <xf numFmtId="16" fontId="70" fillId="5" borderId="4" xfId="0" applyNumberFormat="1" applyFont="1" applyFill="1" applyBorder="1" applyAlignment="1">
      <alignment horizontal="center"/>
    </xf>
    <xf numFmtId="0" fontId="70" fillId="2" borderId="4" xfId="0" applyFont="1" applyFill="1" applyBorder="1" applyAlignment="1">
      <alignment horizontal="center"/>
    </xf>
    <xf numFmtId="1" fontId="70" fillId="0" borderId="6" xfId="0" applyNumberFormat="1" applyFont="1" applyBorder="1" applyAlignment="1">
      <alignment horizontal="center" wrapText="1"/>
    </xf>
    <xf numFmtId="16" fontId="70" fillId="0" borderId="4" xfId="0" applyNumberFormat="1" applyFont="1" applyBorder="1" applyAlignment="1">
      <alignment horizontal="center"/>
    </xf>
    <xf numFmtId="1" fontId="70" fillId="0" borderId="6" xfId="0" applyNumberFormat="1" applyFont="1" applyBorder="1" applyAlignment="1">
      <alignment horizontal="center"/>
    </xf>
    <xf numFmtId="1" fontId="70" fillId="0" borderId="4" xfId="0" applyNumberFormat="1" applyFont="1" applyBorder="1" applyAlignment="1">
      <alignment horizontal="center" wrapText="1"/>
    </xf>
    <xf numFmtId="49" fontId="74" fillId="0" borderId="17" xfId="5" applyNumberFormat="1" applyFont="1" applyBorder="1" applyAlignment="1">
      <alignment horizontal="center"/>
    </xf>
    <xf numFmtId="49" fontId="74" fillId="0" borderId="18" xfId="5" applyNumberFormat="1" applyFont="1" applyBorder="1" applyAlignment="1">
      <alignment horizontal="center"/>
    </xf>
    <xf numFmtId="0" fontId="75" fillId="5" borderId="4" xfId="5" applyFont="1" applyFill="1" applyBorder="1" applyAlignment="1">
      <alignment vertical="center"/>
    </xf>
    <xf numFmtId="0" fontId="74" fillId="0" borderId="8" xfId="5" applyFont="1" applyBorder="1" applyAlignment="1">
      <alignment horizontal="center"/>
    </xf>
    <xf numFmtId="165" fontId="74" fillId="0" borderId="4" xfId="5" applyNumberFormat="1" applyFont="1" applyBorder="1" applyAlignment="1">
      <alignment horizontal="center"/>
    </xf>
    <xf numFmtId="49" fontId="76" fillId="0" borderId="4" xfId="5" applyNumberFormat="1" applyFont="1" applyBorder="1" applyAlignment="1">
      <alignment horizontal="center"/>
    </xf>
    <xf numFmtId="49" fontId="76" fillId="0" borderId="4" xfId="5" applyNumberFormat="1" applyFont="1" applyBorder="1"/>
    <xf numFmtId="16" fontId="76" fillId="0" borderId="4" xfId="5" applyNumberFormat="1" applyFont="1" applyBorder="1" applyAlignment="1">
      <alignment horizontal="center"/>
    </xf>
    <xf numFmtId="1" fontId="70" fillId="0" borderId="6" xfId="5" applyNumberFormat="1" applyFont="1" applyBorder="1" applyAlignment="1">
      <alignment horizontal="center"/>
    </xf>
    <xf numFmtId="0" fontId="70" fillId="0" borderId="6" xfId="5" applyFont="1" applyBorder="1" applyAlignment="1">
      <alignment horizontal="center"/>
    </xf>
    <xf numFmtId="166" fontId="71" fillId="5" borderId="4" xfId="4" applyNumberFormat="1" applyFont="1" applyFill="1" applyBorder="1" applyAlignment="1">
      <alignment horizontal="center"/>
    </xf>
    <xf numFmtId="0" fontId="79" fillId="0" borderId="4" xfId="0" applyFont="1" applyBorder="1" applyAlignment="1">
      <alignment horizontal="center" vertical="center"/>
    </xf>
    <xf numFmtId="0" fontId="79" fillId="0" borderId="4" xfId="0" applyFont="1" applyBorder="1" applyAlignment="1">
      <alignment horizontal="left" vertical="center"/>
    </xf>
    <xf numFmtId="0" fontId="76" fillId="0" borderId="4" xfId="0" applyFont="1" applyBorder="1" applyAlignment="1">
      <alignment horizontal="center"/>
    </xf>
    <xf numFmtId="0" fontId="76" fillId="0" borderId="59" xfId="0" applyFont="1" applyBorder="1" applyAlignment="1">
      <alignment horizontal="center"/>
    </xf>
    <xf numFmtId="0" fontId="76" fillId="0" borderId="4" xfId="0" applyFont="1" applyBorder="1" applyAlignment="1">
      <alignment horizontal="center" wrapText="1"/>
    </xf>
    <xf numFmtId="1" fontId="79" fillId="0" borderId="4" xfId="0" applyNumberFormat="1" applyFont="1" applyBorder="1" applyAlignment="1">
      <alignment horizontal="left" vertical="center"/>
    </xf>
    <xf numFmtId="12" fontId="76" fillId="0" borderId="4" xfId="5" applyNumberFormat="1" applyFont="1" applyBorder="1" applyAlignment="1">
      <alignment horizontal="center"/>
    </xf>
    <xf numFmtId="0" fontId="76" fillId="5" borderId="41" xfId="0" applyFont="1" applyFill="1" applyBorder="1" applyAlignment="1">
      <alignment horizontal="center"/>
    </xf>
    <xf numFmtId="0" fontId="80" fillId="5" borderId="0" xfId="0" applyFont="1" applyFill="1" applyAlignment="1">
      <alignment horizontal="center"/>
    </xf>
    <xf numFmtId="1" fontId="76" fillId="5" borderId="4" xfId="0" applyNumberFormat="1" applyFont="1" applyFill="1" applyBorder="1"/>
    <xf numFmtId="0" fontId="76" fillId="5" borderId="4" xfId="0" applyFont="1" applyFill="1" applyBorder="1" applyAlignment="1">
      <alignment horizontal="center"/>
    </xf>
    <xf numFmtId="0" fontId="76" fillId="5" borderId="4" xfId="0" applyFont="1" applyFill="1" applyBorder="1" applyAlignment="1">
      <alignment horizontal="center" wrapText="1"/>
    </xf>
    <xf numFmtId="1" fontId="76" fillId="0" borderId="4" xfId="5" applyNumberFormat="1" applyFont="1" applyBorder="1" applyAlignment="1">
      <alignment horizontal="center"/>
    </xf>
    <xf numFmtId="49" fontId="81" fillId="2" borderId="10" xfId="5" applyNumberFormat="1" applyFont="1" applyFill="1" applyBorder="1" applyAlignment="1">
      <alignment horizontal="center" vertical="center"/>
    </xf>
    <xf numFmtId="49" fontId="81" fillId="2" borderId="0" xfId="5" applyNumberFormat="1" applyFont="1" applyFill="1" applyAlignment="1">
      <alignment horizontal="center" vertical="center"/>
    </xf>
    <xf numFmtId="0" fontId="70" fillId="2" borderId="0" xfId="5" applyFont="1" applyFill="1"/>
    <xf numFmtId="1" fontId="70" fillId="2" borderId="0" xfId="5" applyNumberFormat="1" applyFont="1" applyFill="1" applyAlignment="1">
      <alignment horizontal="center"/>
    </xf>
    <xf numFmtId="164" fontId="70" fillId="2" borderId="0" xfId="5" applyNumberFormat="1" applyFont="1" applyFill="1" applyAlignment="1">
      <alignment horizontal="center" wrapText="1"/>
    </xf>
    <xf numFmtId="0" fontId="70" fillId="2" borderId="39" xfId="5" applyFont="1" applyFill="1" applyBorder="1" applyAlignment="1">
      <alignment horizontal="center"/>
    </xf>
    <xf numFmtId="0" fontId="70" fillId="3" borderId="11" xfId="5" applyFont="1" applyFill="1" applyBorder="1" applyAlignment="1">
      <alignment horizontal="center"/>
    </xf>
    <xf numFmtId="0" fontId="70" fillId="3" borderId="12" xfId="5" applyFont="1" applyFill="1" applyBorder="1" applyAlignment="1">
      <alignment horizontal="center"/>
    </xf>
    <xf numFmtId="0" fontId="70" fillId="3" borderId="12" xfId="5" applyFont="1" applyFill="1" applyBorder="1"/>
    <xf numFmtId="0" fontId="71" fillId="3" borderId="12" xfId="5" applyFont="1" applyFill="1" applyBorder="1" applyAlignment="1">
      <alignment horizontal="center"/>
    </xf>
    <xf numFmtId="1" fontId="71" fillId="3" borderId="12" xfId="5" applyNumberFormat="1" applyFont="1" applyFill="1" applyBorder="1" applyAlignment="1">
      <alignment horizontal="center"/>
    </xf>
    <xf numFmtId="164" fontId="70" fillId="3" borderId="12" xfId="5" applyNumberFormat="1" applyFont="1" applyFill="1" applyBorder="1" applyAlignment="1">
      <alignment horizontal="center" wrapText="1"/>
    </xf>
    <xf numFmtId="0" fontId="70" fillId="3" borderId="13" xfId="5" applyFont="1" applyFill="1" applyBorder="1" applyAlignment="1">
      <alignment horizontal="center"/>
    </xf>
    <xf numFmtId="0" fontId="70" fillId="0" borderId="14" xfId="0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4" fillId="0" borderId="0" xfId="55"/>
    <xf numFmtId="0" fontId="71" fillId="3" borderId="3" xfId="55" applyFont="1" applyFill="1" applyBorder="1" applyAlignment="1">
      <alignment horizontal="center" vertical="center" wrapText="1"/>
    </xf>
    <xf numFmtId="1" fontId="71" fillId="3" borderId="1" xfId="55" applyNumberFormat="1" applyFont="1" applyFill="1" applyBorder="1" applyAlignment="1">
      <alignment horizontal="center"/>
    </xf>
    <xf numFmtId="1" fontId="71" fillId="3" borderId="1" xfId="55" applyNumberFormat="1" applyFont="1" applyFill="1" applyBorder="1" applyAlignment="1">
      <alignment horizontal="center" wrapText="1"/>
    </xf>
    <xf numFmtId="0" fontId="71" fillId="3" borderId="22" xfId="55" applyFont="1" applyFill="1" applyBorder="1" applyAlignment="1">
      <alignment horizontal="center"/>
    </xf>
    <xf numFmtId="0" fontId="74" fillId="0" borderId="41" xfId="55" applyFont="1" applyBorder="1" applyAlignment="1">
      <alignment horizontal="center" vertical="center"/>
    </xf>
    <xf numFmtId="0" fontId="74" fillId="0" borderId="8" xfId="55" applyFont="1" applyBorder="1" applyAlignment="1">
      <alignment horizontal="center" vertical="center"/>
    </xf>
    <xf numFmtId="0" fontId="75" fillId="0" borderId="4" xfId="55" applyFont="1" applyBorder="1" applyAlignment="1">
      <alignment vertical="center"/>
    </xf>
    <xf numFmtId="0" fontId="74" fillId="0" borderId="4" xfId="55" applyFont="1" applyBorder="1" applyAlignment="1">
      <alignment horizontal="center" vertical="center"/>
    </xf>
    <xf numFmtId="1" fontId="74" fillId="0" borderId="4" xfId="55" applyNumberFormat="1" applyFont="1" applyBorder="1" applyAlignment="1">
      <alignment horizontal="center"/>
    </xf>
    <xf numFmtId="1" fontId="74" fillId="0" borderId="4" xfId="55" applyNumberFormat="1" applyFont="1" applyBorder="1" applyAlignment="1">
      <alignment horizontal="center" wrapText="1"/>
    </xf>
    <xf numFmtId="0" fontId="76" fillId="0" borderId="5" xfId="55" applyFont="1" applyBorder="1" applyAlignment="1">
      <alignment horizontal="center"/>
    </xf>
    <xf numFmtId="0" fontId="77" fillId="5" borderId="41" xfId="55" applyFont="1" applyFill="1" applyBorder="1" applyAlignment="1">
      <alignment horizontal="center"/>
    </xf>
    <xf numFmtId="0" fontId="77" fillId="5" borderId="4" xfId="55" applyFont="1" applyFill="1" applyBorder="1" applyAlignment="1">
      <alignment horizontal="center"/>
    </xf>
    <xf numFmtId="0" fontId="77" fillId="5" borderId="6" xfId="55" applyFont="1" applyFill="1" applyBorder="1"/>
    <xf numFmtId="0" fontId="70" fillId="5" borderId="8" xfId="55" applyFont="1" applyFill="1" applyBorder="1" applyAlignment="1">
      <alignment horizontal="center"/>
    </xf>
    <xf numFmtId="1" fontId="70" fillId="5" borderId="4" xfId="55" applyNumberFormat="1" applyFont="1" applyFill="1" applyBorder="1" applyAlignment="1">
      <alignment horizontal="center"/>
    </xf>
    <xf numFmtId="1" fontId="70" fillId="5" borderId="4" xfId="55" applyNumberFormat="1" applyFont="1" applyFill="1" applyBorder="1" applyAlignment="1">
      <alignment horizontal="center" wrapText="1"/>
    </xf>
    <xf numFmtId="0" fontId="70" fillId="0" borderId="6" xfId="55" applyFont="1" applyBorder="1" applyAlignment="1">
      <alignment horizontal="center" wrapText="1"/>
    </xf>
    <xf numFmtId="12" fontId="70" fillId="0" borderId="6" xfId="55" applyNumberFormat="1" applyFont="1" applyBorder="1" applyAlignment="1">
      <alignment horizontal="center"/>
    </xf>
    <xf numFmtId="0" fontId="77" fillId="5" borderId="8" xfId="55" applyFont="1" applyFill="1" applyBorder="1" applyAlignment="1">
      <alignment horizontal="center"/>
    </xf>
    <xf numFmtId="0" fontId="77" fillId="5" borderId="4" xfId="55" applyFont="1" applyFill="1" applyBorder="1"/>
    <xf numFmtId="1" fontId="70" fillId="5" borderId="6" xfId="55" applyNumberFormat="1" applyFont="1" applyFill="1" applyBorder="1" applyAlignment="1">
      <alignment horizontal="center"/>
    </xf>
    <xf numFmtId="1" fontId="70" fillId="5" borderId="6" xfId="55" applyNumberFormat="1" applyFont="1" applyFill="1" applyBorder="1" applyAlignment="1">
      <alignment horizontal="center" wrapText="1"/>
    </xf>
    <xf numFmtId="0" fontId="70" fillId="0" borderId="4" xfId="55" applyFont="1" applyBorder="1" applyAlignment="1">
      <alignment horizontal="center"/>
    </xf>
    <xf numFmtId="0" fontId="78" fillId="0" borderId="4" xfId="55" applyFont="1" applyBorder="1" applyAlignment="1">
      <alignment horizontal="center"/>
    </xf>
    <xf numFmtId="0" fontId="78" fillId="0" borderId="4" xfId="55" applyFont="1" applyBorder="1" applyAlignment="1">
      <alignment horizontal="center" vertical="center"/>
    </xf>
    <xf numFmtId="0" fontId="78" fillId="12" borderId="4" xfId="55" applyFont="1" applyFill="1" applyBorder="1"/>
    <xf numFmtId="0" fontId="70" fillId="0" borderId="4" xfId="55" applyFont="1" applyBorder="1" applyAlignment="1">
      <alignment horizontal="center" wrapText="1"/>
    </xf>
    <xf numFmtId="0" fontId="78" fillId="12" borderId="0" xfId="55" applyFont="1" applyFill="1" applyAlignment="1">
      <alignment horizontal="center"/>
    </xf>
    <xf numFmtId="0" fontId="78" fillId="12" borderId="0" xfId="55" applyFont="1" applyFill="1"/>
    <xf numFmtId="0" fontId="71" fillId="12" borderId="4" xfId="55" applyFont="1" applyFill="1" applyBorder="1" applyAlignment="1">
      <alignment horizontal="left"/>
    </xf>
    <xf numFmtId="0" fontId="70" fillId="0" borderId="6" xfId="55" applyFont="1" applyBorder="1" applyAlignment="1">
      <alignment horizontal="center"/>
    </xf>
    <xf numFmtId="0" fontId="78" fillId="12" borderId="4" xfId="55" applyFont="1" applyFill="1" applyBorder="1" applyAlignment="1">
      <alignment horizontal="left" vertical="center"/>
    </xf>
    <xf numFmtId="0" fontId="79" fillId="0" borderId="4" xfId="55" applyFont="1" applyBorder="1" applyAlignment="1">
      <alignment horizontal="center"/>
    </xf>
    <xf numFmtId="0" fontId="79" fillId="0" borderId="4" xfId="55" applyFont="1" applyBorder="1"/>
    <xf numFmtId="16" fontId="76" fillId="0" borderId="8" xfId="55" applyNumberFormat="1" applyFont="1" applyBorder="1" applyAlignment="1">
      <alignment horizontal="center"/>
    </xf>
    <xf numFmtId="1" fontId="76" fillId="0" borderId="4" xfId="55" applyNumberFormat="1" applyFont="1" applyBorder="1" applyAlignment="1">
      <alignment horizontal="center"/>
    </xf>
    <xf numFmtId="1" fontId="76" fillId="0" borderId="4" xfId="55" applyNumberFormat="1" applyFont="1" applyBorder="1" applyAlignment="1">
      <alignment horizontal="center" wrapText="1"/>
    </xf>
    <xf numFmtId="49" fontId="76" fillId="0" borderId="41" xfId="55" applyNumberFormat="1" applyFont="1" applyBorder="1" applyAlignment="1">
      <alignment horizontal="center"/>
    </xf>
    <xf numFmtId="49" fontId="76" fillId="0" borderId="8" xfId="55" applyNumberFormat="1" applyFont="1" applyBorder="1" applyAlignment="1">
      <alignment horizontal="center"/>
    </xf>
    <xf numFmtId="0" fontId="74" fillId="5" borderId="4" xfId="55" applyFont="1" applyFill="1" applyBorder="1" applyAlignment="1">
      <alignment horizontal="left"/>
    </xf>
    <xf numFmtId="0" fontId="76" fillId="0" borderId="4" xfId="55" applyFont="1" applyBorder="1" applyAlignment="1">
      <alignment horizontal="center"/>
    </xf>
    <xf numFmtId="165" fontId="76" fillId="0" borderId="4" xfId="55" applyNumberFormat="1" applyFont="1" applyBorder="1" applyAlignment="1">
      <alignment horizontal="center"/>
    </xf>
    <xf numFmtId="0" fontId="77" fillId="5" borderId="25" xfId="55" applyFont="1" applyFill="1" applyBorder="1" applyAlignment="1">
      <alignment horizontal="center"/>
    </xf>
    <xf numFmtId="1" fontId="70" fillId="0" borderId="4" xfId="55" applyNumberFormat="1" applyFont="1" applyBorder="1" applyAlignment="1">
      <alignment horizontal="center"/>
    </xf>
    <xf numFmtId="0" fontId="79" fillId="0" borderId="0" xfId="55" applyFont="1" applyAlignment="1">
      <alignment horizontal="center"/>
    </xf>
    <xf numFmtId="0" fontId="79" fillId="0" borderId="0" xfId="55" applyFont="1"/>
    <xf numFmtId="16" fontId="70" fillId="5" borderId="4" xfId="55" applyNumberFormat="1" applyFont="1" applyFill="1" applyBorder="1" applyAlignment="1">
      <alignment horizontal="center"/>
    </xf>
    <xf numFmtId="0" fontId="70" fillId="2" borderId="4" xfId="55" applyFont="1" applyFill="1" applyBorder="1" applyAlignment="1">
      <alignment horizontal="center"/>
    </xf>
    <xf numFmtId="1" fontId="70" fillId="0" borderId="6" xfId="55" applyNumberFormat="1" applyFont="1" applyBorder="1" applyAlignment="1">
      <alignment horizontal="center" wrapText="1"/>
    </xf>
    <xf numFmtId="16" fontId="70" fillId="0" borderId="4" xfId="55" applyNumberFormat="1" applyFont="1" applyBorder="1" applyAlignment="1">
      <alignment horizontal="center"/>
    </xf>
    <xf numFmtId="1" fontId="70" fillId="0" borderId="6" xfId="55" applyNumberFormat="1" applyFont="1" applyBorder="1" applyAlignment="1">
      <alignment horizontal="center"/>
    </xf>
    <xf numFmtId="1" fontId="70" fillId="0" borderId="4" xfId="55" applyNumberFormat="1" applyFont="1" applyBorder="1" applyAlignment="1">
      <alignment horizontal="center" wrapText="1"/>
    </xf>
    <xf numFmtId="49" fontId="74" fillId="0" borderId="17" xfId="55" applyNumberFormat="1" applyFont="1" applyBorder="1" applyAlignment="1">
      <alignment horizontal="center"/>
    </xf>
    <xf numFmtId="49" fontId="74" fillId="0" borderId="18" xfId="55" applyNumberFormat="1" applyFont="1" applyBorder="1" applyAlignment="1">
      <alignment horizontal="center"/>
    </xf>
    <xf numFmtId="0" fontId="75" fillId="5" borderId="4" xfId="55" applyFont="1" applyFill="1" applyBorder="1" applyAlignment="1">
      <alignment vertical="center"/>
    </xf>
    <xf numFmtId="0" fontId="74" fillId="0" borderId="8" xfId="55" applyFont="1" applyBorder="1" applyAlignment="1">
      <alignment horizontal="center"/>
    </xf>
    <xf numFmtId="165" fontId="74" fillId="0" borderId="4" xfId="55" applyNumberFormat="1" applyFont="1" applyBorder="1" applyAlignment="1">
      <alignment horizontal="center"/>
    </xf>
    <xf numFmtId="49" fontId="76" fillId="0" borderId="4" xfId="55" applyNumberFormat="1" applyFont="1" applyBorder="1" applyAlignment="1">
      <alignment horizontal="center"/>
    </xf>
    <xf numFmtId="49" fontId="76" fillId="0" borderId="4" xfId="55" applyNumberFormat="1" applyFont="1" applyBorder="1"/>
    <xf numFmtId="16" fontId="76" fillId="0" borderId="4" xfId="55" applyNumberFormat="1" applyFont="1" applyBorder="1" applyAlignment="1">
      <alignment horizontal="center"/>
    </xf>
    <xf numFmtId="166" fontId="71" fillId="5" borderId="4" xfId="63" applyNumberFormat="1" applyFont="1" applyFill="1" applyBorder="1" applyAlignment="1">
      <alignment horizontal="center"/>
    </xf>
    <xf numFmtId="0" fontId="79" fillId="0" borderId="4" xfId="55" applyFont="1" applyBorder="1" applyAlignment="1">
      <alignment horizontal="center" vertical="center"/>
    </xf>
    <xf numFmtId="0" fontId="79" fillId="0" borderId="4" xfId="55" applyFont="1" applyBorder="1" applyAlignment="1">
      <alignment horizontal="left" vertical="center"/>
    </xf>
    <xf numFmtId="0" fontId="76" fillId="0" borderId="59" xfId="55" applyFont="1" applyBorder="1" applyAlignment="1">
      <alignment horizontal="center"/>
    </xf>
    <xf numFmtId="0" fontId="76" fillId="0" borderId="4" xfId="55" applyFont="1" applyBorder="1" applyAlignment="1">
      <alignment horizontal="center" wrapText="1"/>
    </xf>
    <xf numFmtId="1" fontId="79" fillId="0" borderId="4" xfId="55" applyNumberFormat="1" applyFont="1" applyBorder="1" applyAlignment="1">
      <alignment horizontal="left" vertical="center"/>
    </xf>
    <xf numFmtId="12" fontId="76" fillId="0" borderId="4" xfId="55" applyNumberFormat="1" applyFont="1" applyBorder="1" applyAlignment="1">
      <alignment horizontal="center"/>
    </xf>
    <xf numFmtId="0" fontId="76" fillId="5" borderId="41" xfId="55" applyFont="1" applyFill="1" applyBorder="1" applyAlignment="1">
      <alignment horizontal="center"/>
    </xf>
    <xf numFmtId="0" fontId="80" fillId="5" borderId="0" xfId="55" applyFont="1" applyFill="1" applyAlignment="1">
      <alignment horizontal="center"/>
    </xf>
    <xf numFmtId="1" fontId="76" fillId="5" borderId="4" xfId="55" applyNumberFormat="1" applyFont="1" applyFill="1" applyBorder="1"/>
    <xf numFmtId="0" fontId="76" fillId="5" borderId="4" xfId="55" applyFont="1" applyFill="1" applyBorder="1" applyAlignment="1">
      <alignment horizontal="center"/>
    </xf>
    <xf numFmtId="0" fontId="76" fillId="5" borderId="4" xfId="55" applyFont="1" applyFill="1" applyBorder="1" applyAlignment="1">
      <alignment horizontal="center" wrapText="1"/>
    </xf>
    <xf numFmtId="49" fontId="81" fillId="2" borderId="10" xfId="55" applyNumberFormat="1" applyFont="1" applyFill="1" applyBorder="1" applyAlignment="1">
      <alignment horizontal="center" vertical="center"/>
    </xf>
    <xf numFmtId="49" fontId="81" fillId="2" borderId="0" xfId="55" applyNumberFormat="1" applyFont="1" applyFill="1" applyAlignment="1">
      <alignment horizontal="center" vertical="center"/>
    </xf>
    <xf numFmtId="0" fontId="70" fillId="2" borderId="0" xfId="55" applyFont="1" applyFill="1"/>
    <xf numFmtId="1" fontId="70" fillId="2" borderId="0" xfId="55" applyNumberFormat="1" applyFont="1" applyFill="1" applyAlignment="1">
      <alignment horizontal="center"/>
    </xf>
    <xf numFmtId="164" fontId="70" fillId="2" borderId="0" xfId="55" applyNumberFormat="1" applyFont="1" applyFill="1" applyAlignment="1">
      <alignment horizontal="center" wrapText="1"/>
    </xf>
    <xf numFmtId="0" fontId="70" fillId="2" borderId="39" xfId="55" applyFont="1" applyFill="1" applyBorder="1" applyAlignment="1">
      <alignment horizontal="center"/>
    </xf>
    <xf numFmtId="0" fontId="70" fillId="3" borderId="11" xfId="55" applyFont="1" applyFill="1" applyBorder="1" applyAlignment="1">
      <alignment horizontal="center"/>
    </xf>
    <xf numFmtId="0" fontId="70" fillId="3" borderId="12" xfId="55" applyFont="1" applyFill="1" applyBorder="1" applyAlignment="1">
      <alignment horizontal="center"/>
    </xf>
    <xf numFmtId="0" fontId="70" fillId="3" borderId="12" xfId="55" applyFont="1" applyFill="1" applyBorder="1"/>
    <xf numFmtId="0" fontId="71" fillId="3" borderId="12" xfId="55" applyFont="1" applyFill="1" applyBorder="1" applyAlignment="1">
      <alignment horizontal="center"/>
    </xf>
    <xf numFmtId="1" fontId="71" fillId="3" borderId="12" xfId="55" applyNumberFormat="1" applyFont="1" applyFill="1" applyBorder="1" applyAlignment="1">
      <alignment horizontal="center"/>
    </xf>
    <xf numFmtId="164" fontId="70" fillId="3" borderId="12" xfId="55" applyNumberFormat="1" applyFont="1" applyFill="1" applyBorder="1" applyAlignment="1">
      <alignment horizontal="center" wrapText="1"/>
    </xf>
    <xf numFmtId="0" fontId="70" fillId="3" borderId="13" xfId="55" applyFont="1" applyFill="1" applyBorder="1" applyAlignment="1">
      <alignment horizontal="center"/>
    </xf>
    <xf numFmtId="0" fontId="70" fillId="0" borderId="14" xfId="55" applyFont="1" applyBorder="1" applyAlignment="1">
      <alignment horizontal="center"/>
    </xf>
    <xf numFmtId="1" fontId="70" fillId="0" borderId="1" xfId="55" applyNumberFormat="1" applyFont="1" applyBorder="1" applyAlignment="1">
      <alignment horizontal="center"/>
    </xf>
    <xf numFmtId="0" fontId="70" fillId="0" borderId="1" xfId="55" applyFont="1" applyBorder="1" applyAlignment="1">
      <alignment horizontal="center"/>
    </xf>
    <xf numFmtId="0" fontId="13" fillId="0" borderId="0" xfId="5" applyFont="1"/>
    <xf numFmtId="0" fontId="13" fillId="0" borderId="0" xfId="5" applyFont="1" applyAlignment="1">
      <alignment horizontal="center"/>
    </xf>
    <xf numFmtId="0" fontId="13" fillId="0" borderId="4" xfId="5" applyFont="1" applyBorder="1"/>
    <xf numFmtId="49" fontId="9" fillId="5" borderId="5" xfId="1" applyNumberFormat="1" applyFont="1" applyFill="1" applyBorder="1" applyAlignment="1">
      <alignment horizontal="center"/>
    </xf>
    <xf numFmtId="49" fontId="11" fillId="0" borderId="4" xfId="5" applyNumberFormat="1" applyFont="1" applyBorder="1" applyAlignment="1">
      <alignment horizontal="center"/>
    </xf>
    <xf numFmtId="0" fontId="13" fillId="0" borderId="8" xfId="0" applyFont="1" applyBorder="1"/>
    <xf numFmtId="49" fontId="13" fillId="5" borderId="4" xfId="0" applyNumberFormat="1" applyFont="1" applyFill="1" applyBorder="1" applyAlignment="1">
      <alignment horizontal="center"/>
    </xf>
    <xf numFmtId="0" fontId="69" fillId="0" borderId="4" xfId="0" applyFont="1" applyBorder="1"/>
    <xf numFmtId="0" fontId="15" fillId="0" borderId="4" xfId="0" applyFont="1" applyBorder="1"/>
    <xf numFmtId="0" fontId="13" fillId="2" borderId="4" xfId="1" applyFont="1" applyFill="1" applyBorder="1" applyAlignment="1">
      <alignment horizontal="left"/>
    </xf>
    <xf numFmtId="14" fontId="9" fillId="2" borderId="9" xfId="1" applyNumberFormat="1" applyFont="1" applyFill="1" applyBorder="1" applyAlignment="1">
      <alignment horizontal="center" vertical="center" wrapText="1"/>
    </xf>
    <xf numFmtId="14" fontId="9" fillId="2" borderId="33" xfId="1" applyNumberFormat="1" applyFont="1" applyFill="1" applyBorder="1" applyAlignment="1">
      <alignment horizontal="center" vertical="center" wrapText="1"/>
    </xf>
    <xf numFmtId="14" fontId="9" fillId="2" borderId="7" xfId="1" applyNumberFormat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left"/>
    </xf>
    <xf numFmtId="0" fontId="9" fillId="2" borderId="29" xfId="1" applyFont="1" applyFill="1" applyBorder="1" applyAlignment="1">
      <alignment horizontal="left"/>
    </xf>
    <xf numFmtId="0" fontId="9" fillId="2" borderId="16" xfId="1" applyFont="1" applyFill="1" applyBorder="1" applyAlignment="1">
      <alignment horizontal="left"/>
    </xf>
    <xf numFmtId="0" fontId="9" fillId="2" borderId="15" xfId="1" applyFont="1" applyFill="1" applyBorder="1" applyAlignment="1">
      <alignment horizontal="left"/>
    </xf>
    <xf numFmtId="0" fontId="9" fillId="2" borderId="18" xfId="1" applyFont="1" applyFill="1" applyBorder="1" applyAlignment="1">
      <alignment horizontal="left"/>
    </xf>
    <xf numFmtId="0" fontId="9" fillId="2" borderId="8" xfId="1" applyFont="1" applyFill="1" applyBorder="1" applyAlignment="1">
      <alignment horizontal="left"/>
    </xf>
    <xf numFmtId="0" fontId="9" fillId="2" borderId="37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24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23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6" fillId="2" borderId="36" xfId="1" applyFont="1" applyFill="1" applyBorder="1" applyAlignment="1">
      <alignment horizontal="center"/>
    </xf>
    <xf numFmtId="0" fontId="98" fillId="4" borderId="11" xfId="1" applyFont="1" applyFill="1" applyBorder="1" applyAlignment="1">
      <alignment horizontal="center" vertical="center" wrapText="1"/>
    </xf>
    <xf numFmtId="0" fontId="98" fillId="4" borderId="12" xfId="1" applyFont="1" applyFill="1" applyBorder="1" applyAlignment="1">
      <alignment horizontal="center" vertical="center" wrapText="1"/>
    </xf>
    <xf numFmtId="0" fontId="98" fillId="4" borderId="13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right" vertical="top" wrapText="1"/>
    </xf>
    <xf numFmtId="0" fontId="6" fillId="2" borderId="31" xfId="1" applyFont="1" applyFill="1" applyBorder="1" applyAlignment="1">
      <alignment horizontal="right" vertical="top" wrapText="1"/>
    </xf>
    <xf numFmtId="0" fontId="6" fillId="2" borderId="32" xfId="1" applyFont="1" applyFill="1" applyBorder="1" applyAlignment="1">
      <alignment horizontal="right" vertical="top" wrapText="1"/>
    </xf>
    <xf numFmtId="0" fontId="7" fillId="2" borderId="0" xfId="3" applyFont="1" applyFill="1" applyAlignment="1">
      <alignment horizontal="right"/>
    </xf>
    <xf numFmtId="0" fontId="10" fillId="2" borderId="34" xfId="3" applyFont="1" applyFill="1" applyBorder="1" applyAlignment="1">
      <alignment horizontal="center"/>
    </xf>
    <xf numFmtId="0" fontId="7" fillId="2" borderId="0" xfId="3" applyFont="1" applyFill="1"/>
    <xf numFmtId="0" fontId="6" fillId="3" borderId="27" xfId="5" applyFont="1" applyFill="1" applyBorder="1" applyAlignment="1">
      <alignment horizontal="center" vertical="center"/>
    </xf>
    <xf numFmtId="0" fontId="6" fillId="3" borderId="21" xfId="5" applyFont="1" applyFill="1" applyBorder="1" applyAlignment="1">
      <alignment horizontal="center" vertical="center"/>
    </xf>
    <xf numFmtId="0" fontId="6" fillId="3" borderId="27" xfId="5" applyFont="1" applyFill="1" applyBorder="1" applyAlignment="1">
      <alignment horizontal="center" vertical="center" wrapText="1"/>
    </xf>
    <xf numFmtId="0" fontId="6" fillId="3" borderId="21" xfId="5" applyFont="1" applyFill="1" applyBorder="1" applyAlignment="1">
      <alignment horizontal="center" vertical="center" wrapText="1"/>
    </xf>
    <xf numFmtId="0" fontId="6" fillId="3" borderId="2" xfId="5" applyFont="1" applyFill="1" applyBorder="1" applyAlignment="1">
      <alignment horizontal="center" vertical="center"/>
    </xf>
    <xf numFmtId="0" fontId="6" fillId="3" borderId="1" xfId="5" applyFont="1" applyFill="1" applyBorder="1" applyAlignment="1">
      <alignment horizontal="center" vertical="center"/>
    </xf>
    <xf numFmtId="0" fontId="11" fillId="0" borderId="24" xfId="5" applyFont="1" applyBorder="1" applyAlignment="1">
      <alignment horizontal="right"/>
    </xf>
    <xf numFmtId="0" fontId="11" fillId="0" borderId="35" xfId="5" applyFont="1" applyBorder="1" applyAlignment="1">
      <alignment horizontal="right"/>
    </xf>
    <xf numFmtId="0" fontId="11" fillId="0" borderId="25" xfId="5" applyFont="1" applyBorder="1" applyAlignment="1">
      <alignment horizontal="right"/>
    </xf>
    <xf numFmtId="164" fontId="13" fillId="0" borderId="6" xfId="5" applyNumberFormat="1" applyFont="1" applyBorder="1" applyAlignment="1">
      <alignment horizontal="right"/>
    </xf>
    <xf numFmtId="0" fontId="13" fillId="2" borderId="14" xfId="5" applyFont="1" applyFill="1" applyBorder="1" applyAlignment="1">
      <alignment horizontal="center"/>
    </xf>
    <xf numFmtId="0" fontId="13" fillId="2" borderId="26" xfId="5" applyFont="1" applyFill="1" applyBorder="1" applyAlignment="1">
      <alignment horizontal="center"/>
    </xf>
    <xf numFmtId="0" fontId="11" fillId="0" borderId="17" xfId="5" applyFont="1" applyBorder="1" applyAlignment="1">
      <alignment horizontal="right"/>
    </xf>
    <xf numFmtId="0" fontId="11" fillId="0" borderId="18" xfId="5" applyFont="1" applyBorder="1" applyAlignment="1">
      <alignment horizontal="right"/>
    </xf>
    <xf numFmtId="0" fontId="11" fillId="0" borderId="8" xfId="5" applyFont="1" applyBorder="1" applyAlignment="1">
      <alignment horizontal="right"/>
    </xf>
    <xf numFmtId="0" fontId="13" fillId="0" borderId="4" xfId="5" applyFont="1" applyBorder="1" applyAlignment="1">
      <alignment horizontal="right"/>
    </xf>
    <xf numFmtId="164" fontId="13" fillId="0" borderId="15" xfId="5" applyNumberFormat="1" applyFont="1" applyBorder="1" applyAlignment="1">
      <alignment horizontal="center"/>
    </xf>
    <xf numFmtId="164" fontId="13" fillId="0" borderId="19" xfId="5" applyNumberFormat="1" applyFont="1" applyBorder="1" applyAlignment="1">
      <alignment horizontal="center"/>
    </xf>
    <xf numFmtId="0" fontId="11" fillId="0" borderId="21" xfId="5" applyFont="1" applyBorder="1" applyAlignment="1">
      <alignment horizontal="right"/>
    </xf>
    <xf numFmtId="0" fontId="11" fillId="0" borderId="36" xfId="5" applyFont="1" applyBorder="1" applyAlignment="1">
      <alignment horizontal="right"/>
    </xf>
    <xf numFmtId="0" fontId="11" fillId="0" borderId="1" xfId="5" applyFont="1" applyBorder="1" applyAlignment="1">
      <alignment horizontal="right"/>
    </xf>
    <xf numFmtId="0" fontId="13" fillId="0" borderId="1" xfId="5" applyFont="1" applyBorder="1" applyAlignment="1">
      <alignment horizontal="right"/>
    </xf>
    <xf numFmtId="0" fontId="11" fillId="3" borderId="11" xfId="5" applyFont="1" applyFill="1" applyBorder="1" applyAlignment="1">
      <alignment horizontal="center"/>
    </xf>
    <xf numFmtId="0" fontId="11" fillId="3" borderId="12" xfId="5" applyFont="1" applyFill="1" applyBorder="1" applyAlignment="1">
      <alignment horizontal="center"/>
    </xf>
    <xf numFmtId="0" fontId="11" fillId="3" borderId="13" xfId="5" applyFont="1" applyFill="1" applyBorder="1" applyAlignment="1">
      <alignment horizontal="center"/>
    </xf>
    <xf numFmtId="0" fontId="13" fillId="0" borderId="45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13" fillId="0" borderId="46" xfId="0" applyFont="1" applyBorder="1" applyAlignment="1">
      <alignment horizontal="left"/>
    </xf>
    <xf numFmtId="164" fontId="13" fillId="0" borderId="15" xfId="5" applyNumberFormat="1" applyFont="1" applyBorder="1" applyAlignment="1">
      <alignment horizontal="right" wrapText="1"/>
    </xf>
    <xf numFmtId="164" fontId="13" fillId="0" borderId="8" xfId="5" applyNumberFormat="1" applyFont="1" applyBorder="1" applyAlignment="1">
      <alignment horizontal="right" wrapText="1"/>
    </xf>
    <xf numFmtId="164" fontId="13" fillId="0" borderId="15" xfId="0" applyNumberFormat="1" applyFont="1" applyBorder="1" applyAlignment="1">
      <alignment horizontal="center" wrapText="1"/>
    </xf>
    <xf numFmtId="164" fontId="13" fillId="0" borderId="19" xfId="0" applyNumberFormat="1" applyFont="1" applyBorder="1" applyAlignment="1">
      <alignment horizontal="center" wrapText="1"/>
    </xf>
    <xf numFmtId="0" fontId="13" fillId="0" borderId="17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1" fillId="6" borderId="42" xfId="1" applyFont="1" applyFill="1" applyBorder="1" applyAlignment="1">
      <alignment horizontal="center"/>
    </xf>
    <xf numFmtId="0" fontId="11" fillId="6" borderId="38" xfId="1" applyFont="1" applyFill="1" applyBorder="1" applyAlignment="1">
      <alignment horizontal="center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14" fontId="70" fillId="2" borderId="9" xfId="1" applyNumberFormat="1" applyFont="1" applyFill="1" applyBorder="1" applyAlignment="1">
      <alignment horizontal="center" vertical="center" wrapText="1"/>
    </xf>
    <xf numFmtId="14" fontId="70" fillId="2" borderId="33" xfId="1" applyNumberFormat="1" applyFont="1" applyFill="1" applyBorder="1" applyAlignment="1">
      <alignment horizontal="center" vertical="center" wrapText="1"/>
    </xf>
    <xf numFmtId="14" fontId="70" fillId="2" borderId="7" xfId="1" applyNumberFormat="1" applyFont="1" applyFill="1" applyBorder="1" applyAlignment="1">
      <alignment horizontal="center" vertical="center" wrapText="1"/>
    </xf>
    <xf numFmtId="0" fontId="70" fillId="2" borderId="28" xfId="1" applyFont="1" applyFill="1" applyBorder="1" applyAlignment="1">
      <alignment horizontal="left"/>
    </xf>
    <xf numFmtId="0" fontId="70" fillId="2" borderId="29" xfId="1" applyFont="1" applyFill="1" applyBorder="1" applyAlignment="1">
      <alignment horizontal="left"/>
    </xf>
    <xf numFmtId="0" fontId="70" fillId="2" borderId="16" xfId="1" applyFont="1" applyFill="1" applyBorder="1" applyAlignment="1">
      <alignment horizontal="left"/>
    </xf>
    <xf numFmtId="0" fontId="70" fillId="2" borderId="15" xfId="1" applyFont="1" applyFill="1" applyBorder="1" applyAlignment="1">
      <alignment horizontal="left"/>
    </xf>
    <xf numFmtId="0" fontId="70" fillId="2" borderId="18" xfId="1" applyFont="1" applyFill="1" applyBorder="1" applyAlignment="1">
      <alignment horizontal="left"/>
    </xf>
    <xf numFmtId="0" fontId="70" fillId="2" borderId="8" xfId="1" applyFont="1" applyFill="1" applyBorder="1" applyAlignment="1">
      <alignment horizontal="left"/>
    </xf>
    <xf numFmtId="0" fontId="70" fillId="2" borderId="37" xfId="1" applyFont="1" applyFill="1" applyBorder="1" applyAlignment="1">
      <alignment horizontal="center"/>
    </xf>
    <xf numFmtId="0" fontId="70" fillId="2" borderId="38" xfId="1" applyFont="1" applyFill="1" applyBorder="1" applyAlignment="1">
      <alignment horizontal="center"/>
    </xf>
    <xf numFmtId="0" fontId="70" fillId="2" borderId="10" xfId="1" applyFont="1" applyFill="1" applyBorder="1" applyAlignment="1">
      <alignment horizontal="center"/>
    </xf>
    <xf numFmtId="0" fontId="70" fillId="2" borderId="0" xfId="1" applyFont="1" applyFill="1" applyAlignment="1">
      <alignment horizontal="center"/>
    </xf>
    <xf numFmtId="0" fontId="70" fillId="2" borderId="24" xfId="1" applyFont="1" applyFill="1" applyBorder="1" applyAlignment="1">
      <alignment horizontal="center"/>
    </xf>
    <xf numFmtId="0" fontId="70" fillId="2" borderId="35" xfId="1" applyFont="1" applyFill="1" applyBorder="1" applyAlignment="1">
      <alignment horizontal="center"/>
    </xf>
    <xf numFmtId="0" fontId="71" fillId="2" borderId="2" xfId="1" applyFont="1" applyFill="1" applyBorder="1" applyAlignment="1">
      <alignment horizontal="center"/>
    </xf>
    <xf numFmtId="0" fontId="71" fillId="2" borderId="23" xfId="1" applyFont="1" applyFill="1" applyBorder="1" applyAlignment="1">
      <alignment horizontal="center"/>
    </xf>
    <xf numFmtId="0" fontId="71" fillId="2" borderId="40" xfId="1" applyFont="1" applyFill="1" applyBorder="1" applyAlignment="1">
      <alignment horizontal="center"/>
    </xf>
    <xf numFmtId="0" fontId="71" fillId="2" borderId="36" xfId="1" applyFont="1" applyFill="1" applyBorder="1" applyAlignment="1">
      <alignment horizontal="center"/>
    </xf>
    <xf numFmtId="0" fontId="71" fillId="4" borderId="11" xfId="1" applyFont="1" applyFill="1" applyBorder="1" applyAlignment="1">
      <alignment horizontal="center" vertical="center" wrapText="1"/>
    </xf>
    <xf numFmtId="0" fontId="71" fillId="4" borderId="12" xfId="1" applyFont="1" applyFill="1" applyBorder="1" applyAlignment="1">
      <alignment horizontal="center" vertical="center" wrapText="1"/>
    </xf>
    <xf numFmtId="0" fontId="71" fillId="4" borderId="13" xfId="1" applyFont="1" applyFill="1" applyBorder="1" applyAlignment="1">
      <alignment horizontal="center" vertical="center" wrapText="1"/>
    </xf>
    <xf numFmtId="0" fontId="71" fillId="2" borderId="30" xfId="1" applyFont="1" applyFill="1" applyBorder="1" applyAlignment="1">
      <alignment horizontal="right" vertical="top" wrapText="1"/>
    </xf>
    <xf numFmtId="0" fontId="71" fillId="2" borderId="31" xfId="1" applyFont="1" applyFill="1" applyBorder="1" applyAlignment="1">
      <alignment horizontal="right" vertical="top" wrapText="1"/>
    </xf>
    <xf numFmtId="0" fontId="71" fillId="2" borderId="32" xfId="1" applyFont="1" applyFill="1" applyBorder="1" applyAlignment="1">
      <alignment horizontal="right" vertical="top" wrapText="1"/>
    </xf>
    <xf numFmtId="0" fontId="71" fillId="0" borderId="17" xfId="55" applyFont="1" applyBorder="1" applyAlignment="1">
      <alignment horizontal="right"/>
    </xf>
    <xf numFmtId="0" fontId="71" fillId="0" borderId="18" xfId="55" applyFont="1" applyBorder="1" applyAlignment="1">
      <alignment horizontal="right"/>
    </xf>
    <xf numFmtId="0" fontId="71" fillId="0" borderId="8" xfId="55" applyFont="1" applyBorder="1" applyAlignment="1">
      <alignment horizontal="right"/>
    </xf>
    <xf numFmtId="0" fontId="70" fillId="0" borderId="4" xfId="55" applyFont="1" applyBorder="1" applyAlignment="1">
      <alignment horizontal="right"/>
    </xf>
    <xf numFmtId="164" fontId="70" fillId="0" borderId="15" xfId="55" applyNumberFormat="1" applyFont="1" applyBorder="1" applyAlignment="1">
      <alignment horizontal="center"/>
    </xf>
    <xf numFmtId="164" fontId="70" fillId="0" borderId="19" xfId="55" applyNumberFormat="1" applyFont="1" applyBorder="1" applyAlignment="1">
      <alignment horizontal="center"/>
    </xf>
    <xf numFmtId="0" fontId="72" fillId="2" borderId="0" xfId="3" applyFont="1" applyFill="1" applyAlignment="1">
      <alignment horizontal="right"/>
    </xf>
    <xf numFmtId="0" fontId="73" fillId="2" borderId="34" xfId="3" applyFont="1" applyFill="1" applyBorder="1" applyAlignment="1">
      <alignment horizontal="center"/>
    </xf>
    <xf numFmtId="0" fontId="72" fillId="2" borderId="0" xfId="3" applyFont="1" applyFill="1"/>
    <xf numFmtId="0" fontId="71" fillId="3" borderId="27" xfId="55" applyFont="1" applyFill="1" applyBorder="1" applyAlignment="1">
      <alignment horizontal="center" vertical="center"/>
    </xf>
    <xf numFmtId="0" fontId="71" fillId="3" borderId="21" xfId="55" applyFont="1" applyFill="1" applyBorder="1" applyAlignment="1">
      <alignment horizontal="center" vertical="center"/>
    </xf>
    <xf numFmtId="0" fontId="71" fillId="3" borderId="27" xfId="55" applyFont="1" applyFill="1" applyBorder="1" applyAlignment="1">
      <alignment horizontal="center" vertical="center" wrapText="1"/>
    </xf>
    <xf numFmtId="0" fontId="71" fillId="3" borderId="21" xfId="55" applyFont="1" applyFill="1" applyBorder="1" applyAlignment="1">
      <alignment horizontal="center" vertical="center" wrapText="1"/>
    </xf>
    <xf numFmtId="0" fontId="71" fillId="3" borderId="2" xfId="55" applyFont="1" applyFill="1" applyBorder="1" applyAlignment="1">
      <alignment horizontal="center" vertical="center"/>
    </xf>
    <xf numFmtId="0" fontId="71" fillId="3" borderId="1" xfId="55" applyFont="1" applyFill="1" applyBorder="1" applyAlignment="1">
      <alignment horizontal="center" vertical="center"/>
    </xf>
    <xf numFmtId="0" fontId="71" fillId="0" borderId="24" xfId="55" applyFont="1" applyBorder="1" applyAlignment="1">
      <alignment horizontal="right"/>
    </xf>
    <xf numFmtId="0" fontId="71" fillId="0" borderId="35" xfId="55" applyFont="1" applyBorder="1" applyAlignment="1">
      <alignment horizontal="right"/>
    </xf>
    <xf numFmtId="0" fontId="71" fillId="0" borderId="25" xfId="55" applyFont="1" applyBorder="1" applyAlignment="1">
      <alignment horizontal="right"/>
    </xf>
    <xf numFmtId="164" fontId="70" fillId="0" borderId="6" xfId="55" applyNumberFormat="1" applyFont="1" applyBorder="1" applyAlignment="1">
      <alignment horizontal="right"/>
    </xf>
    <xf numFmtId="0" fontId="70" fillId="2" borderId="14" xfId="55" applyFont="1" applyFill="1" applyBorder="1" applyAlignment="1">
      <alignment horizontal="center"/>
    </xf>
    <xf numFmtId="0" fontId="70" fillId="2" borderId="26" xfId="55" applyFont="1" applyFill="1" applyBorder="1" applyAlignment="1">
      <alignment horizontal="center"/>
    </xf>
    <xf numFmtId="0" fontId="70" fillId="2" borderId="48" xfId="1" applyFont="1" applyFill="1" applyBorder="1" applyAlignment="1">
      <alignment horizontal="left"/>
    </xf>
    <xf numFmtId="0" fontId="70" fillId="2" borderId="0" xfId="1" applyFont="1" applyFill="1" applyAlignment="1">
      <alignment horizontal="left"/>
    </xf>
    <xf numFmtId="0" fontId="70" fillId="0" borderId="20" xfId="55" applyFont="1" applyBorder="1" applyAlignment="1">
      <alignment horizontal="left"/>
    </xf>
    <xf numFmtId="0" fontId="70" fillId="0" borderId="25" xfId="55" applyFont="1" applyBorder="1" applyAlignment="1">
      <alignment horizontal="left"/>
    </xf>
    <xf numFmtId="0" fontId="70" fillId="0" borderId="6" xfId="55" applyFont="1" applyBorder="1" applyAlignment="1">
      <alignment horizontal="left"/>
    </xf>
    <xf numFmtId="0" fontId="70" fillId="0" borderId="7" xfId="55" applyFont="1" applyBorder="1" applyAlignment="1">
      <alignment horizontal="left"/>
    </xf>
    <xf numFmtId="164" fontId="70" fillId="0" borderId="15" xfId="55" applyNumberFormat="1" applyFont="1" applyBorder="1" applyAlignment="1">
      <alignment horizontal="right" wrapText="1"/>
    </xf>
    <xf numFmtId="164" fontId="70" fillId="0" borderId="8" xfId="55" applyNumberFormat="1" applyFont="1" applyBorder="1" applyAlignment="1">
      <alignment horizontal="right" wrapText="1"/>
    </xf>
    <xf numFmtId="164" fontId="70" fillId="0" borderId="15" xfId="55" applyNumberFormat="1" applyFont="1" applyBorder="1" applyAlignment="1">
      <alignment horizontal="center" wrapText="1"/>
    </xf>
    <xf numFmtId="164" fontId="70" fillId="0" borderId="19" xfId="55" applyNumberFormat="1" applyFont="1" applyBorder="1" applyAlignment="1">
      <alignment horizontal="center" wrapText="1"/>
    </xf>
    <xf numFmtId="0" fontId="71" fillId="0" borderId="21" xfId="55" applyFont="1" applyBorder="1" applyAlignment="1">
      <alignment horizontal="right"/>
    </xf>
    <xf numFmtId="0" fontId="71" fillId="0" borderId="36" xfId="55" applyFont="1" applyBorder="1" applyAlignment="1">
      <alignment horizontal="right"/>
    </xf>
    <xf numFmtId="0" fontId="71" fillId="0" borderId="1" xfId="55" applyFont="1" applyBorder="1" applyAlignment="1">
      <alignment horizontal="right"/>
    </xf>
    <xf numFmtId="0" fontId="70" fillId="0" borderId="1" xfId="55" applyFont="1" applyBorder="1" applyAlignment="1">
      <alignment horizontal="right"/>
    </xf>
    <xf numFmtId="0" fontId="71" fillId="3" borderId="11" xfId="55" applyFont="1" applyFill="1" applyBorder="1" applyAlignment="1">
      <alignment horizontal="left"/>
    </xf>
    <xf numFmtId="0" fontId="71" fillId="3" borderId="12" xfId="55" applyFont="1" applyFill="1" applyBorder="1" applyAlignment="1">
      <alignment horizontal="left"/>
    </xf>
    <xf numFmtId="0" fontId="71" fillId="3" borderId="13" xfId="55" applyFont="1" applyFill="1" applyBorder="1" applyAlignment="1">
      <alignment horizontal="left"/>
    </xf>
    <xf numFmtId="0" fontId="74" fillId="0" borderId="17" xfId="55" applyFont="1" applyBorder="1" applyAlignment="1">
      <alignment horizontal="left"/>
    </xf>
    <xf numFmtId="0" fontId="74" fillId="0" borderId="18" xfId="55" applyFont="1" applyBorder="1" applyAlignment="1">
      <alignment horizontal="left"/>
    </xf>
    <xf numFmtId="0" fontId="74" fillId="0" borderId="19" xfId="55" applyFont="1" applyBorder="1" applyAlignment="1">
      <alignment horizontal="left"/>
    </xf>
    <xf numFmtId="0" fontId="71" fillId="6" borderId="42" xfId="1" applyFont="1" applyFill="1" applyBorder="1" applyAlignment="1">
      <alignment horizontal="center"/>
    </xf>
    <xf numFmtId="0" fontId="71" fillId="6" borderId="38" xfId="1" applyFont="1" applyFill="1" applyBorder="1" applyAlignment="1">
      <alignment horizontal="center"/>
    </xf>
    <xf numFmtId="0" fontId="70" fillId="0" borderId="47" xfId="55" applyFont="1" applyBorder="1" applyAlignment="1">
      <alignment horizontal="left"/>
    </xf>
    <xf numFmtId="0" fontId="70" fillId="0" borderId="40" xfId="55" applyFont="1" applyBorder="1" applyAlignment="1">
      <alignment horizontal="left"/>
    </xf>
    <xf numFmtId="0" fontId="70" fillId="0" borderId="44" xfId="55" applyFont="1" applyBorder="1" applyAlignment="1">
      <alignment horizontal="left"/>
    </xf>
    <xf numFmtId="0" fontId="71" fillId="0" borderId="20" xfId="55" applyFont="1" applyBorder="1" applyAlignment="1">
      <alignment horizontal="center"/>
    </xf>
    <xf numFmtId="0" fontId="71" fillId="0" borderId="25" xfId="55" applyFont="1" applyBorder="1" applyAlignment="1">
      <alignment horizontal="center"/>
    </xf>
    <xf numFmtId="0" fontId="71" fillId="0" borderId="6" xfId="55" applyFont="1" applyBorder="1" applyAlignment="1">
      <alignment horizontal="center"/>
    </xf>
    <xf numFmtId="0" fontId="71" fillId="0" borderId="7" xfId="55" applyFont="1" applyBorder="1" applyAlignment="1">
      <alignment horizontal="center"/>
    </xf>
    <xf numFmtId="0" fontId="70" fillId="0" borderId="60" xfId="55" applyFont="1" applyBorder="1" applyAlignment="1">
      <alignment horizontal="left" wrapText="1"/>
    </xf>
    <xf numFmtId="0" fontId="70" fillId="0" borderId="30" xfId="55" applyFont="1" applyBorder="1" applyAlignment="1">
      <alignment horizontal="left" wrapText="1"/>
    </xf>
    <xf numFmtId="0" fontId="70" fillId="0" borderId="59" xfId="55" applyFont="1" applyBorder="1" applyAlignment="1">
      <alignment horizontal="left" wrapText="1"/>
    </xf>
    <xf numFmtId="0" fontId="70" fillId="0" borderId="9" xfId="55" applyFont="1" applyBorder="1" applyAlignment="1">
      <alignment horizontal="left" wrapText="1"/>
    </xf>
    <xf numFmtId="0" fontId="70" fillId="0" borderId="41" xfId="55" applyFont="1" applyBorder="1" applyAlignment="1">
      <alignment horizontal="left"/>
    </xf>
    <xf numFmtId="0" fontId="70" fillId="0" borderId="8" xfId="55" applyFont="1" applyBorder="1" applyAlignment="1">
      <alignment horizontal="left"/>
    </xf>
    <xf numFmtId="0" fontId="70" fillId="0" borderId="4" xfId="55" applyFont="1" applyBorder="1" applyAlignment="1">
      <alignment horizontal="left"/>
    </xf>
    <xf numFmtId="0" fontId="70" fillId="0" borderId="5" xfId="55" applyFont="1" applyBorder="1" applyAlignment="1">
      <alignment horizontal="left"/>
    </xf>
    <xf numFmtId="0" fontId="70" fillId="0" borderId="17" xfId="55" applyFont="1" applyBorder="1" applyAlignment="1">
      <alignment horizontal="left" wrapText="1"/>
    </xf>
    <xf numFmtId="0" fontId="70" fillId="0" borderId="18" xfId="55" applyFont="1" applyBorder="1" applyAlignment="1">
      <alignment horizontal="left" wrapText="1"/>
    </xf>
    <xf numFmtId="0" fontId="70" fillId="0" borderId="8" xfId="55" applyFont="1" applyBorder="1" applyAlignment="1">
      <alignment horizontal="left" wrapText="1"/>
    </xf>
    <xf numFmtId="0" fontId="40" fillId="0" borderId="0" xfId="0" applyFont="1" applyAlignment="1">
      <alignment horizontal="center" vertical="center"/>
    </xf>
    <xf numFmtId="0" fontId="57" fillId="0" borderId="11" xfId="0" applyFont="1" applyBorder="1" applyAlignment="1">
      <alignment horizontal="right" vertical="center"/>
    </xf>
    <xf numFmtId="0" fontId="57" fillId="0" borderId="12" xfId="0" applyFont="1" applyBorder="1" applyAlignment="1">
      <alignment horizontal="right" vertical="center"/>
    </xf>
    <xf numFmtId="0" fontId="57" fillId="0" borderId="13" xfId="0" applyFont="1" applyBorder="1" applyAlignment="1">
      <alignment horizontal="right" vertical="center"/>
    </xf>
    <xf numFmtId="0" fontId="58" fillId="0" borderId="0" xfId="0" applyFont="1" applyAlignment="1">
      <alignment horizontal="right"/>
    </xf>
    <xf numFmtId="0" fontId="48" fillId="0" borderId="34" xfId="0" applyFont="1" applyBorder="1" applyAlignment="1">
      <alignment horizontal="right"/>
    </xf>
    <xf numFmtId="0" fontId="40" fillId="0" borderId="0" xfId="0" applyFont="1" applyAlignment="1">
      <alignment horizontal="right" vertical="center"/>
    </xf>
    <xf numFmtId="0" fontId="46" fillId="8" borderId="11" xfId="0" applyFont="1" applyFill="1" applyBorder="1" applyAlignment="1">
      <alignment horizontal="right"/>
    </xf>
    <xf numFmtId="0" fontId="46" fillId="8" borderId="12" xfId="0" applyFont="1" applyFill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32" fillId="0" borderId="34" xfId="0" applyFont="1" applyBorder="1" applyAlignment="1">
      <alignment horizontal="right" vertical="center"/>
    </xf>
    <xf numFmtId="0" fontId="32" fillId="0" borderId="56" xfId="0" applyFont="1" applyBorder="1" applyAlignment="1">
      <alignment horizontal="right" vertical="center"/>
    </xf>
    <xf numFmtId="0" fontId="32" fillId="10" borderId="11" xfId="0" applyFont="1" applyFill="1" applyBorder="1" applyAlignment="1">
      <alignment horizontal="right" vertical="center"/>
    </xf>
    <xf numFmtId="0" fontId="32" fillId="10" borderId="12" xfId="0" applyFont="1" applyFill="1" applyBorder="1" applyAlignment="1">
      <alignment horizontal="right" vertical="center"/>
    </xf>
    <xf numFmtId="0" fontId="32" fillId="10" borderId="13" xfId="0" applyFont="1" applyFill="1" applyBorder="1" applyAlignment="1">
      <alignment horizontal="right" vertical="center"/>
    </xf>
    <xf numFmtId="4" fontId="55" fillId="0" borderId="0" xfId="8" applyNumberFormat="1" applyFont="1" applyFill="1" applyAlignment="1">
      <alignment horizontal="center" vertical="center" wrapText="1"/>
    </xf>
    <xf numFmtId="0" fontId="49" fillId="0" borderId="4" xfId="0" applyFont="1" applyBorder="1" applyAlignment="1">
      <alignment horizontal="right" vertical="center"/>
    </xf>
    <xf numFmtId="0" fontId="50" fillId="0" borderId="10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0" fillId="0" borderId="39" xfId="0" applyFont="1" applyBorder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41" fillId="0" borderId="37" xfId="0" applyFont="1" applyBorder="1" applyAlignment="1">
      <alignment horizontal="right"/>
    </xf>
    <xf numFmtId="0" fontId="41" fillId="0" borderId="38" xfId="0" applyFont="1" applyBorder="1" applyAlignment="1">
      <alignment horizontal="right"/>
    </xf>
    <xf numFmtId="0" fontId="23" fillId="0" borderId="4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5" fillId="0" borderId="34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right" vertical="center" wrapText="1"/>
    </xf>
    <xf numFmtId="14" fontId="16" fillId="2" borderId="9" xfId="1" applyNumberFormat="1" applyFont="1" applyFill="1" applyBorder="1" applyAlignment="1">
      <alignment horizontal="center" vertical="center" wrapText="1"/>
    </xf>
    <xf numFmtId="14" fontId="16" fillId="2" borderId="33" xfId="1" applyNumberFormat="1" applyFont="1" applyFill="1" applyBorder="1" applyAlignment="1">
      <alignment horizontal="center" vertical="center" wrapText="1"/>
    </xf>
    <xf numFmtId="14" fontId="16" fillId="2" borderId="7" xfId="1" applyNumberFormat="1" applyFont="1" applyFill="1" applyBorder="1" applyAlignment="1">
      <alignment horizontal="center" vertical="center" wrapText="1"/>
    </xf>
    <xf numFmtId="0" fontId="16" fillId="2" borderId="28" xfId="1" applyFont="1" applyFill="1" applyBorder="1" applyAlignment="1">
      <alignment horizontal="left"/>
    </xf>
    <xf numFmtId="0" fontId="16" fillId="2" borderId="29" xfId="1" applyFont="1" applyFill="1" applyBorder="1" applyAlignment="1">
      <alignment horizontal="left"/>
    </xf>
    <xf numFmtId="0" fontId="16" fillId="2" borderId="16" xfId="1" applyFont="1" applyFill="1" applyBorder="1" applyAlignment="1">
      <alignment horizontal="left"/>
    </xf>
    <xf numFmtId="0" fontId="16" fillId="2" borderId="15" xfId="1" applyFont="1" applyFill="1" applyBorder="1" applyAlignment="1">
      <alignment horizontal="left"/>
    </xf>
    <xf numFmtId="0" fontId="16" fillId="2" borderId="18" xfId="1" applyFont="1" applyFill="1" applyBorder="1" applyAlignment="1">
      <alignment horizontal="left"/>
    </xf>
    <xf numFmtId="0" fontId="16" fillId="2" borderId="8" xfId="1" applyFont="1" applyFill="1" applyBorder="1" applyAlignment="1">
      <alignment horizontal="left"/>
    </xf>
    <xf numFmtId="0" fontId="16" fillId="2" borderId="37" xfId="1" applyFont="1" applyFill="1" applyBorder="1" applyAlignment="1">
      <alignment horizontal="center"/>
    </xf>
    <xf numFmtId="0" fontId="16" fillId="2" borderId="38" xfId="1" applyFont="1" applyFill="1" applyBorder="1" applyAlignment="1">
      <alignment horizontal="center"/>
    </xf>
    <xf numFmtId="0" fontId="16" fillId="2" borderId="10" xfId="1" applyFont="1" applyFill="1" applyBorder="1" applyAlignment="1">
      <alignment horizontal="center"/>
    </xf>
    <xf numFmtId="0" fontId="16" fillId="2" borderId="0" xfId="1" applyFont="1" applyFill="1" applyAlignment="1">
      <alignment horizontal="center"/>
    </xf>
    <xf numFmtId="0" fontId="16" fillId="2" borderId="24" xfId="1" applyFont="1" applyFill="1" applyBorder="1" applyAlignment="1">
      <alignment horizontal="center"/>
    </xf>
    <xf numFmtId="0" fontId="16" fillId="2" borderId="35" xfId="1" applyFont="1" applyFill="1" applyBorder="1" applyAlignment="1">
      <alignment horizontal="center"/>
    </xf>
    <xf numFmtId="0" fontId="17" fillId="2" borderId="2" xfId="1" applyFont="1" applyFill="1" applyBorder="1" applyAlignment="1">
      <alignment horizontal="center"/>
    </xf>
    <xf numFmtId="0" fontId="17" fillId="2" borderId="23" xfId="1" applyFont="1" applyFill="1" applyBorder="1" applyAlignment="1">
      <alignment horizontal="center"/>
    </xf>
    <xf numFmtId="0" fontId="17" fillId="2" borderId="40" xfId="1" applyFont="1" applyFill="1" applyBorder="1" applyAlignment="1">
      <alignment horizontal="center"/>
    </xf>
    <xf numFmtId="0" fontId="17" fillId="2" borderId="36" xfId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18" fillId="2" borderId="30" xfId="1" applyFont="1" applyFill="1" applyBorder="1" applyAlignment="1">
      <alignment horizontal="right" vertical="top" wrapText="1"/>
    </xf>
    <xf numFmtId="0" fontId="18" fillId="2" borderId="31" xfId="1" applyFont="1" applyFill="1" applyBorder="1" applyAlignment="1">
      <alignment horizontal="right" vertical="top" wrapText="1"/>
    </xf>
    <xf numFmtId="0" fontId="18" fillId="2" borderId="32" xfId="1" applyFont="1" applyFill="1" applyBorder="1" applyAlignment="1">
      <alignment horizontal="right" vertical="top" wrapText="1"/>
    </xf>
    <xf numFmtId="0" fontId="19" fillId="2" borderId="34" xfId="3" applyFont="1" applyFill="1" applyBorder="1" applyAlignment="1">
      <alignment horizontal="center"/>
    </xf>
    <xf numFmtId="0" fontId="18" fillId="3" borderId="27" xfId="5" applyFont="1" applyFill="1" applyBorder="1" applyAlignment="1">
      <alignment horizontal="center" vertical="center"/>
    </xf>
    <xf numFmtId="0" fontId="18" fillId="3" borderId="21" xfId="5" applyFont="1" applyFill="1" applyBorder="1" applyAlignment="1">
      <alignment horizontal="center" vertical="center"/>
    </xf>
    <xf numFmtId="0" fontId="18" fillId="3" borderId="27" xfId="5" applyFont="1" applyFill="1" applyBorder="1" applyAlignment="1">
      <alignment horizontal="center" vertical="center" wrapText="1"/>
    </xf>
    <xf numFmtId="0" fontId="18" fillId="3" borderId="21" xfId="5" applyFont="1" applyFill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/>
    </xf>
    <xf numFmtId="0" fontId="18" fillId="3" borderId="1" xfId="5" applyFont="1" applyFill="1" applyBorder="1" applyAlignment="1">
      <alignment horizontal="center" vertical="center"/>
    </xf>
    <xf numFmtId="0" fontId="18" fillId="0" borderId="24" xfId="5" applyFont="1" applyBorder="1" applyAlignment="1">
      <alignment horizontal="right"/>
    </xf>
    <xf numFmtId="0" fontId="18" fillId="0" borderId="35" xfId="5" applyFont="1" applyBorder="1" applyAlignment="1">
      <alignment horizontal="right"/>
    </xf>
    <xf numFmtId="0" fontId="18" fillId="0" borderId="25" xfId="5" applyFont="1" applyBorder="1" applyAlignment="1">
      <alignment horizontal="right"/>
    </xf>
    <xf numFmtId="164" fontId="16" fillId="0" borderId="6" xfId="5" applyNumberFormat="1" applyFont="1" applyBorder="1" applyAlignment="1">
      <alignment horizontal="right"/>
    </xf>
    <xf numFmtId="0" fontId="16" fillId="2" borderId="14" xfId="5" applyFont="1" applyFill="1" applyBorder="1" applyAlignment="1">
      <alignment horizontal="center"/>
    </xf>
    <xf numFmtId="0" fontId="16" fillId="2" borderId="26" xfId="5" applyFont="1" applyFill="1" applyBorder="1" applyAlignment="1">
      <alignment horizontal="center"/>
    </xf>
    <xf numFmtId="0" fontId="18" fillId="0" borderId="17" xfId="5" applyFont="1" applyBorder="1" applyAlignment="1">
      <alignment horizontal="right"/>
    </xf>
    <xf numFmtId="0" fontId="18" fillId="0" borderId="18" xfId="5" applyFont="1" applyBorder="1" applyAlignment="1">
      <alignment horizontal="right"/>
    </xf>
    <xf numFmtId="0" fontId="18" fillId="0" borderId="8" xfId="5" applyFont="1" applyBorder="1" applyAlignment="1">
      <alignment horizontal="right"/>
    </xf>
    <xf numFmtId="0" fontId="16" fillId="0" borderId="4" xfId="5" applyFont="1" applyBorder="1" applyAlignment="1">
      <alignment horizontal="right"/>
    </xf>
    <xf numFmtId="164" fontId="16" fillId="0" borderId="15" xfId="5" applyNumberFormat="1" applyFont="1" applyBorder="1" applyAlignment="1">
      <alignment horizontal="center"/>
    </xf>
    <xf numFmtId="164" fontId="16" fillId="0" borderId="19" xfId="5" applyNumberFormat="1" applyFont="1" applyBorder="1" applyAlignment="1">
      <alignment horizontal="center"/>
    </xf>
    <xf numFmtId="0" fontId="27" fillId="0" borderId="24" xfId="0" applyFont="1" applyBorder="1" applyAlignment="1">
      <alignment horizontal="left"/>
    </xf>
    <xf numFmtId="0" fontId="27" fillId="0" borderId="35" xfId="0" applyFont="1" applyBorder="1" applyAlignment="1">
      <alignment horizontal="left"/>
    </xf>
    <xf numFmtId="0" fontId="27" fillId="0" borderId="26" xfId="0" applyFont="1" applyBorder="1" applyAlignment="1">
      <alignment horizontal="left"/>
    </xf>
    <xf numFmtId="164" fontId="16" fillId="0" borderId="15" xfId="5" applyNumberFormat="1" applyFont="1" applyBorder="1" applyAlignment="1">
      <alignment horizontal="right" wrapText="1"/>
    </xf>
    <xf numFmtId="164" fontId="16" fillId="0" borderId="8" xfId="5" applyNumberFormat="1" applyFont="1" applyBorder="1" applyAlignment="1">
      <alignment horizontal="right" wrapText="1"/>
    </xf>
    <xf numFmtId="0" fontId="18" fillId="0" borderId="21" xfId="5" applyFont="1" applyBorder="1" applyAlignment="1">
      <alignment horizontal="right"/>
    </xf>
    <xf numFmtId="0" fontId="18" fillId="0" borderId="36" xfId="5" applyFont="1" applyBorder="1" applyAlignment="1">
      <alignment horizontal="right"/>
    </xf>
    <xf numFmtId="0" fontId="18" fillId="0" borderId="1" xfId="5" applyFont="1" applyBorder="1" applyAlignment="1">
      <alignment horizontal="right"/>
    </xf>
    <xf numFmtId="0" fontId="16" fillId="0" borderId="1" xfId="5" applyFont="1" applyBorder="1" applyAlignment="1">
      <alignment horizontal="right"/>
    </xf>
    <xf numFmtId="164" fontId="16" fillId="0" borderId="23" xfId="5" applyNumberFormat="1" applyFont="1" applyBorder="1" applyAlignment="1">
      <alignment horizontal="center"/>
    </xf>
    <xf numFmtId="164" fontId="16" fillId="0" borderId="44" xfId="5" applyNumberFormat="1" applyFont="1" applyBorder="1" applyAlignment="1">
      <alignment horizontal="center"/>
    </xf>
    <xf numFmtId="0" fontId="18" fillId="3" borderId="11" xfId="5" applyFont="1" applyFill="1" applyBorder="1" applyAlignment="1">
      <alignment horizontal="left"/>
    </xf>
    <xf numFmtId="0" fontId="18" fillId="3" borderId="12" xfId="5" applyFont="1" applyFill="1" applyBorder="1" applyAlignment="1">
      <alignment horizontal="left"/>
    </xf>
    <xf numFmtId="0" fontId="18" fillId="3" borderId="13" xfId="5" applyFont="1" applyFill="1" applyBorder="1" applyAlignment="1">
      <alignment horizontal="left"/>
    </xf>
    <xf numFmtId="0" fontId="27" fillId="0" borderId="45" xfId="0" applyFont="1" applyBorder="1" applyAlignment="1">
      <alignment horizontal="left" wrapText="1"/>
    </xf>
    <xf numFmtId="0" fontId="27" fillId="0" borderId="29" xfId="0" applyFont="1" applyBorder="1" applyAlignment="1">
      <alignment horizontal="left" wrapText="1"/>
    </xf>
    <xf numFmtId="0" fontId="27" fillId="0" borderId="46" xfId="0" applyFont="1" applyBorder="1" applyAlignment="1">
      <alignment horizontal="left" wrapText="1"/>
    </xf>
    <xf numFmtId="0" fontId="16" fillId="0" borderId="47" xfId="5" applyFont="1" applyBorder="1" applyAlignment="1">
      <alignment horizontal="left"/>
    </xf>
    <xf numFmtId="0" fontId="16" fillId="0" borderId="40" xfId="5" applyFont="1" applyBorder="1" applyAlignment="1">
      <alignment horizontal="left"/>
    </xf>
    <xf numFmtId="0" fontId="16" fillId="0" borderId="44" xfId="5" applyFont="1" applyBorder="1" applyAlignment="1">
      <alignment horizontal="left"/>
    </xf>
    <xf numFmtId="0" fontId="18" fillId="6" borderId="42" xfId="1" applyFont="1" applyFill="1" applyBorder="1" applyAlignment="1">
      <alignment horizontal="center"/>
    </xf>
    <xf numFmtId="0" fontId="18" fillId="6" borderId="38" xfId="1" applyFont="1" applyFill="1" applyBorder="1" applyAlignment="1">
      <alignment horizontal="center"/>
    </xf>
    <xf numFmtId="0" fontId="16" fillId="2" borderId="48" xfId="1" applyFont="1" applyFill="1" applyBorder="1" applyAlignment="1">
      <alignment horizontal="left"/>
    </xf>
    <xf numFmtId="0" fontId="16" fillId="2" borderId="0" xfId="1" applyFont="1" applyFill="1" applyAlignment="1">
      <alignment horizontal="left"/>
    </xf>
    <xf numFmtId="0" fontId="27" fillId="0" borderId="17" xfId="0" applyFont="1" applyBorder="1" applyAlignment="1">
      <alignment horizontal="left"/>
    </xf>
    <xf numFmtId="0" fontId="27" fillId="0" borderId="18" xfId="0" applyFont="1" applyBorder="1" applyAlignment="1">
      <alignment horizontal="left"/>
    </xf>
    <xf numFmtId="0" fontId="27" fillId="0" borderId="19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29" fillId="0" borderId="24" xfId="5" applyFont="1" applyBorder="1" applyAlignment="1">
      <alignment horizontal="left" wrapText="1"/>
    </xf>
    <xf numFmtId="0" fontId="29" fillId="0" borderId="35" xfId="5" applyFont="1" applyBorder="1" applyAlignment="1">
      <alignment horizontal="left" wrapText="1"/>
    </xf>
    <xf numFmtId="0" fontId="29" fillId="0" borderId="26" xfId="5" applyFont="1" applyBorder="1" applyAlignment="1">
      <alignment horizontal="left" wrapText="1"/>
    </xf>
    <xf numFmtId="0" fontId="16" fillId="0" borderId="17" xfId="5" applyFont="1" applyBorder="1" applyAlignment="1">
      <alignment horizontal="left" wrapText="1"/>
    </xf>
    <xf numFmtId="0" fontId="16" fillId="0" borderId="18" xfId="5" applyFont="1" applyBorder="1" applyAlignment="1">
      <alignment horizontal="left" wrapText="1"/>
    </xf>
    <xf numFmtId="0" fontId="16" fillId="0" borderId="19" xfId="5" applyFont="1" applyBorder="1" applyAlignment="1">
      <alignment horizontal="left" wrapText="1"/>
    </xf>
    <xf numFmtId="0" fontId="20" fillId="0" borderId="17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2" fillId="0" borderId="17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39" xfId="0" applyFont="1" applyBorder="1" applyAlignment="1">
      <alignment horizontal="left"/>
    </xf>
    <xf numFmtId="0" fontId="27" fillId="0" borderId="58" xfId="0" applyFont="1" applyBorder="1" applyAlignment="1">
      <alignment horizontal="left"/>
    </xf>
    <xf numFmtId="0" fontId="27" fillId="0" borderId="34" xfId="0" applyFont="1" applyBorder="1" applyAlignment="1">
      <alignment horizontal="left"/>
    </xf>
    <xf numFmtId="0" fontId="27" fillId="0" borderId="56" xfId="0" applyFont="1" applyBorder="1" applyAlignment="1">
      <alignment horizontal="left"/>
    </xf>
    <xf numFmtId="0" fontId="27" fillId="0" borderId="41" xfId="0" applyFont="1" applyBorder="1" applyAlignment="1">
      <alignment horizontal="left"/>
    </xf>
    <xf numFmtId="0" fontId="27" fillId="0" borderId="8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27" fillId="0" borderId="17" xfId="5" applyFont="1" applyBorder="1" applyAlignment="1">
      <alignment horizontal="left" wrapText="1"/>
    </xf>
    <xf numFmtId="0" fontId="27" fillId="0" borderId="18" xfId="5" applyFont="1" applyBorder="1" applyAlignment="1">
      <alignment horizontal="left" wrapText="1"/>
    </xf>
    <xf numFmtId="0" fontId="27" fillId="0" borderId="19" xfId="5" applyFont="1" applyBorder="1" applyAlignment="1">
      <alignment horizontal="left" wrapText="1"/>
    </xf>
    <xf numFmtId="0" fontId="65" fillId="0" borderId="24" xfId="5" applyFont="1" applyBorder="1" applyAlignment="1">
      <alignment horizontal="left"/>
    </xf>
    <xf numFmtId="0" fontId="65" fillId="0" borderId="35" xfId="5" applyFont="1" applyBorder="1" applyAlignment="1">
      <alignment horizontal="left"/>
    </xf>
    <xf numFmtId="0" fontId="65" fillId="0" borderId="26" xfId="5" applyFont="1" applyBorder="1" applyAlignment="1">
      <alignment horizontal="left"/>
    </xf>
    <xf numFmtId="164" fontId="16" fillId="0" borderId="15" xfId="0" applyNumberFormat="1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27" fillId="0" borderId="37" xfId="0" applyFont="1" applyBorder="1" applyAlignment="1">
      <alignment horizontal="left"/>
    </xf>
    <xf numFmtId="0" fontId="27" fillId="0" borderId="38" xfId="0" applyFont="1" applyBorder="1" applyAlignment="1">
      <alignment horizontal="left"/>
    </xf>
    <xf numFmtId="0" fontId="27" fillId="0" borderId="57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3" fillId="2" borderId="15" xfId="1" applyFont="1" applyFill="1" applyBorder="1" applyAlignment="1">
      <alignment horizontal="left"/>
    </xf>
    <xf numFmtId="0" fontId="13" fillId="2" borderId="18" xfId="1" applyFont="1" applyFill="1" applyBorder="1" applyAlignment="1">
      <alignment horizontal="left"/>
    </xf>
    <xf numFmtId="0" fontId="13" fillId="2" borderId="8" xfId="1" applyFont="1" applyFill="1" applyBorder="1" applyAlignment="1">
      <alignment horizontal="left"/>
    </xf>
    <xf numFmtId="0" fontId="66" fillId="2" borderId="48" xfId="1" applyFont="1" applyFill="1" applyBorder="1" applyAlignment="1">
      <alignment horizontal="left"/>
    </xf>
    <xf numFmtId="0" fontId="66" fillId="2" borderId="0" xfId="1" applyFont="1" applyFill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41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8" xfId="0" applyFont="1" applyBorder="1" applyAlignment="1">
      <alignment horizontal="left" wrapText="1"/>
    </xf>
    <xf numFmtId="0" fontId="13" fillId="0" borderId="47" xfId="0" applyFont="1" applyBorder="1" applyAlignment="1">
      <alignment horizontal="left"/>
    </xf>
    <xf numFmtId="0" fontId="13" fillId="0" borderId="40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11" fillId="3" borderId="11" xfId="5" applyFont="1" applyFill="1" applyBorder="1" applyAlignment="1">
      <alignment horizontal="left"/>
    </xf>
    <xf numFmtId="0" fontId="11" fillId="3" borderId="12" xfId="5" applyFont="1" applyFill="1" applyBorder="1" applyAlignment="1">
      <alignment horizontal="left"/>
    </xf>
    <xf numFmtId="0" fontId="11" fillId="3" borderId="13" xfId="5" applyFont="1" applyFill="1" applyBorder="1" applyAlignment="1">
      <alignment horizontal="left"/>
    </xf>
    <xf numFmtId="0" fontId="67" fillId="2" borderId="0" xfId="3" applyFont="1" applyFill="1" applyAlignment="1">
      <alignment horizontal="right"/>
    </xf>
    <xf numFmtId="0" fontId="68" fillId="2" borderId="34" xfId="3" applyFont="1" applyFill="1" applyBorder="1" applyAlignment="1">
      <alignment horizontal="center"/>
    </xf>
    <xf numFmtId="0" fontId="67" fillId="2" borderId="0" xfId="3" applyFont="1" applyFill="1"/>
    <xf numFmtId="0" fontId="17" fillId="3" borderId="27" xfId="5" applyFont="1" applyFill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7" fillId="3" borderId="27" xfId="5" applyFont="1" applyFill="1" applyBorder="1" applyAlignment="1">
      <alignment horizontal="center" vertical="center" wrapText="1"/>
    </xf>
    <xf numFmtId="0" fontId="17" fillId="3" borderId="21" xfId="5" applyFont="1" applyFill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/>
    </xf>
    <xf numFmtId="0" fontId="17" fillId="3" borderId="1" xfId="5" applyFont="1" applyFill="1" applyBorder="1" applyAlignment="1">
      <alignment horizontal="center" vertical="center"/>
    </xf>
    <xf numFmtId="14" fontId="66" fillId="2" borderId="9" xfId="1" applyNumberFormat="1" applyFont="1" applyFill="1" applyBorder="1" applyAlignment="1">
      <alignment horizontal="center" vertical="center" wrapText="1"/>
    </xf>
    <xf numFmtId="14" fontId="66" fillId="2" borderId="33" xfId="1" applyNumberFormat="1" applyFont="1" applyFill="1" applyBorder="1" applyAlignment="1">
      <alignment horizontal="center" vertical="center" wrapText="1"/>
    </xf>
    <xf numFmtId="14" fontId="66" fillId="2" borderId="7" xfId="1" applyNumberFormat="1" applyFont="1" applyFill="1" applyBorder="1" applyAlignment="1">
      <alignment horizontal="center" vertical="center" wrapText="1"/>
    </xf>
    <xf numFmtId="0" fontId="66" fillId="2" borderId="28" xfId="1" applyFont="1" applyFill="1" applyBorder="1" applyAlignment="1">
      <alignment horizontal="left"/>
    </xf>
    <xf numFmtId="0" fontId="66" fillId="2" borderId="29" xfId="1" applyFont="1" applyFill="1" applyBorder="1" applyAlignment="1">
      <alignment horizontal="left"/>
    </xf>
    <xf numFmtId="0" fontId="66" fillId="2" borderId="16" xfId="1" applyFont="1" applyFill="1" applyBorder="1" applyAlignment="1">
      <alignment horizontal="left"/>
    </xf>
    <xf numFmtId="0" fontId="66" fillId="2" borderId="15" xfId="1" applyFont="1" applyFill="1" applyBorder="1" applyAlignment="1">
      <alignment horizontal="left"/>
    </xf>
    <xf numFmtId="0" fontId="66" fillId="2" borderId="18" xfId="1" applyFont="1" applyFill="1" applyBorder="1" applyAlignment="1">
      <alignment horizontal="left"/>
    </xf>
    <xf numFmtId="0" fontId="66" fillId="2" borderId="8" xfId="1" applyFont="1" applyFill="1" applyBorder="1" applyAlignment="1">
      <alignment horizontal="left"/>
    </xf>
    <xf numFmtId="0" fontId="66" fillId="2" borderId="37" xfId="1" applyFont="1" applyFill="1" applyBorder="1" applyAlignment="1">
      <alignment horizontal="center"/>
    </xf>
    <xf numFmtId="0" fontId="66" fillId="2" borderId="38" xfId="1" applyFont="1" applyFill="1" applyBorder="1" applyAlignment="1">
      <alignment horizontal="center"/>
    </xf>
    <xf numFmtId="0" fontId="66" fillId="2" borderId="10" xfId="1" applyFont="1" applyFill="1" applyBorder="1" applyAlignment="1">
      <alignment horizontal="center"/>
    </xf>
    <xf numFmtId="0" fontId="66" fillId="2" borderId="0" xfId="1" applyFont="1" applyFill="1" applyAlignment="1">
      <alignment horizontal="center"/>
    </xf>
    <xf numFmtId="0" fontId="66" fillId="2" borderId="24" xfId="1" applyFont="1" applyFill="1" applyBorder="1" applyAlignment="1">
      <alignment horizontal="center"/>
    </xf>
    <xf numFmtId="0" fontId="66" fillId="2" borderId="35" xfId="1" applyFont="1" applyFill="1" applyBorder="1" applyAlignment="1">
      <alignment horizontal="center"/>
    </xf>
    <xf numFmtId="0" fontId="17" fillId="4" borderId="11" xfId="1" applyFont="1" applyFill="1" applyBorder="1" applyAlignment="1">
      <alignment horizontal="center" vertical="center" wrapText="1"/>
    </xf>
    <xf numFmtId="0" fontId="17" fillId="4" borderId="12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horizontal="center" vertical="center" wrapText="1"/>
    </xf>
    <xf numFmtId="0" fontId="17" fillId="2" borderId="30" xfId="1" applyFont="1" applyFill="1" applyBorder="1" applyAlignment="1">
      <alignment horizontal="right" vertical="top" wrapText="1"/>
    </xf>
    <xf numFmtId="0" fontId="17" fillId="2" borderId="31" xfId="1" applyFont="1" applyFill="1" applyBorder="1" applyAlignment="1">
      <alignment horizontal="right" vertical="top" wrapText="1"/>
    </xf>
    <xf numFmtId="0" fontId="17" fillId="2" borderId="32" xfId="1" applyFont="1" applyFill="1" applyBorder="1" applyAlignment="1">
      <alignment horizontal="right" vertical="top" wrapText="1"/>
    </xf>
    <xf numFmtId="0" fontId="74" fillId="0" borderId="17" xfId="0" applyFont="1" applyBorder="1" applyAlignment="1">
      <alignment horizontal="left"/>
    </xf>
    <xf numFmtId="0" fontId="74" fillId="0" borderId="18" xfId="0" applyFont="1" applyBorder="1" applyAlignment="1">
      <alignment horizontal="left"/>
    </xf>
    <xf numFmtId="0" fontId="74" fillId="0" borderId="19" xfId="0" applyFont="1" applyBorder="1" applyAlignment="1">
      <alignment horizontal="left"/>
    </xf>
    <xf numFmtId="0" fontId="70" fillId="0" borderId="20" xfId="5" applyFont="1" applyBorder="1" applyAlignment="1">
      <alignment horizontal="left"/>
    </xf>
    <xf numFmtId="0" fontId="70" fillId="0" borderId="25" xfId="5" applyFont="1" applyBorder="1" applyAlignment="1">
      <alignment horizontal="left"/>
    </xf>
    <xf numFmtId="0" fontId="70" fillId="0" borderId="6" xfId="5" applyFont="1" applyBorder="1" applyAlignment="1">
      <alignment horizontal="left"/>
    </xf>
    <xf numFmtId="0" fontId="70" fillId="0" borderId="7" xfId="5" applyFont="1" applyBorder="1" applyAlignment="1">
      <alignment horizontal="left"/>
    </xf>
    <xf numFmtId="0" fontId="71" fillId="0" borderId="20" xfId="5" applyFont="1" applyBorder="1" applyAlignment="1">
      <alignment horizontal="center"/>
    </xf>
    <xf numFmtId="0" fontId="71" fillId="0" borderId="25" xfId="5" applyFont="1" applyBorder="1" applyAlignment="1">
      <alignment horizontal="center"/>
    </xf>
    <xf numFmtId="0" fontId="71" fillId="0" borderId="6" xfId="5" applyFont="1" applyBorder="1" applyAlignment="1">
      <alignment horizontal="center"/>
    </xf>
    <xf numFmtId="0" fontId="71" fillId="0" borderId="7" xfId="5" applyFont="1" applyBorder="1" applyAlignment="1">
      <alignment horizontal="center"/>
    </xf>
    <xf numFmtId="0" fontId="70" fillId="0" borderId="60" xfId="5" applyFont="1" applyBorder="1" applyAlignment="1">
      <alignment horizontal="left" wrapText="1"/>
    </xf>
    <xf numFmtId="0" fontId="70" fillId="0" borderId="30" xfId="5" applyFont="1" applyBorder="1" applyAlignment="1">
      <alignment horizontal="left" wrapText="1"/>
    </xf>
    <xf numFmtId="0" fontId="70" fillId="0" borderId="59" xfId="5" applyFont="1" applyBorder="1" applyAlignment="1">
      <alignment horizontal="left" wrapText="1"/>
    </xf>
    <xf numFmtId="0" fontId="70" fillId="0" borderId="9" xfId="5" applyFont="1" applyBorder="1" applyAlignment="1">
      <alignment horizontal="left" wrapText="1"/>
    </xf>
    <xf numFmtId="0" fontId="70" fillId="0" borderId="41" xfId="0" applyFont="1" applyBorder="1" applyAlignment="1">
      <alignment horizontal="left"/>
    </xf>
    <xf numFmtId="0" fontId="70" fillId="0" borderId="8" xfId="0" applyFont="1" applyBorder="1" applyAlignment="1">
      <alignment horizontal="left"/>
    </xf>
    <xf numFmtId="0" fontId="70" fillId="0" borderId="4" xfId="0" applyFont="1" applyBorder="1" applyAlignment="1">
      <alignment horizontal="left"/>
    </xf>
    <xf numFmtId="0" fontId="70" fillId="0" borderId="5" xfId="0" applyFont="1" applyBorder="1" applyAlignment="1">
      <alignment horizontal="left"/>
    </xf>
    <xf numFmtId="0" fontId="70" fillId="0" borderId="17" xfId="0" applyFont="1" applyBorder="1" applyAlignment="1">
      <alignment horizontal="left" wrapText="1"/>
    </xf>
    <xf numFmtId="0" fontId="70" fillId="0" borderId="18" xfId="0" applyFont="1" applyBorder="1" applyAlignment="1">
      <alignment horizontal="left" wrapText="1"/>
    </xf>
    <xf numFmtId="0" fontId="70" fillId="0" borderId="8" xfId="0" applyFont="1" applyBorder="1" applyAlignment="1">
      <alignment horizontal="left" wrapText="1"/>
    </xf>
    <xf numFmtId="0" fontId="70" fillId="0" borderId="47" xfId="0" applyFont="1" applyBorder="1" applyAlignment="1">
      <alignment horizontal="left"/>
    </xf>
    <xf numFmtId="0" fontId="70" fillId="0" borderId="40" xfId="0" applyFont="1" applyBorder="1" applyAlignment="1">
      <alignment horizontal="left"/>
    </xf>
    <xf numFmtId="0" fontId="70" fillId="0" borderId="44" xfId="0" applyFont="1" applyBorder="1" applyAlignment="1">
      <alignment horizontal="left"/>
    </xf>
    <xf numFmtId="0" fontId="71" fillId="0" borderId="17" xfId="5" applyFont="1" applyBorder="1" applyAlignment="1">
      <alignment horizontal="right"/>
    </xf>
    <xf numFmtId="0" fontId="71" fillId="0" borderId="18" xfId="5" applyFont="1" applyBorder="1" applyAlignment="1">
      <alignment horizontal="right"/>
    </xf>
    <xf numFmtId="0" fontId="71" fillId="0" borderId="8" xfId="5" applyFont="1" applyBorder="1" applyAlignment="1">
      <alignment horizontal="right"/>
    </xf>
    <xf numFmtId="0" fontId="70" fillId="0" borderId="4" xfId="5" applyFont="1" applyBorder="1" applyAlignment="1">
      <alignment horizontal="right"/>
    </xf>
    <xf numFmtId="164" fontId="70" fillId="0" borderId="15" xfId="5" applyNumberFormat="1" applyFont="1" applyBorder="1" applyAlignment="1">
      <alignment horizontal="center"/>
    </xf>
    <xf numFmtId="164" fontId="70" fillId="0" borderId="19" xfId="5" applyNumberFormat="1" applyFont="1" applyBorder="1" applyAlignment="1">
      <alignment horizontal="center"/>
    </xf>
    <xf numFmtId="164" fontId="70" fillId="0" borderId="15" xfId="5" applyNumberFormat="1" applyFont="1" applyBorder="1" applyAlignment="1">
      <alignment horizontal="right" wrapText="1"/>
    </xf>
    <xf numFmtId="164" fontId="70" fillId="0" borderId="8" xfId="5" applyNumberFormat="1" applyFont="1" applyBorder="1" applyAlignment="1">
      <alignment horizontal="right" wrapText="1"/>
    </xf>
    <xf numFmtId="164" fontId="70" fillId="0" borderId="15" xfId="0" applyNumberFormat="1" applyFont="1" applyBorder="1" applyAlignment="1">
      <alignment horizontal="center" wrapText="1"/>
    </xf>
    <xf numFmtId="164" fontId="70" fillId="0" borderId="19" xfId="0" applyNumberFormat="1" applyFont="1" applyBorder="1" applyAlignment="1">
      <alignment horizontal="center" wrapText="1"/>
    </xf>
    <xf numFmtId="0" fontId="71" fillId="0" borderId="21" xfId="5" applyFont="1" applyBorder="1" applyAlignment="1">
      <alignment horizontal="right"/>
    </xf>
    <xf numFmtId="0" fontId="71" fillId="0" borderId="36" xfId="5" applyFont="1" applyBorder="1" applyAlignment="1">
      <alignment horizontal="right"/>
    </xf>
    <xf numFmtId="0" fontId="71" fillId="0" borderId="1" xfId="5" applyFont="1" applyBorder="1" applyAlignment="1">
      <alignment horizontal="right"/>
    </xf>
    <xf numFmtId="0" fontId="70" fillId="0" borderId="1" xfId="5" applyFont="1" applyBorder="1" applyAlignment="1">
      <alignment horizontal="right"/>
    </xf>
    <xf numFmtId="0" fontId="71" fillId="3" borderId="11" xfId="5" applyFont="1" applyFill="1" applyBorder="1" applyAlignment="1">
      <alignment horizontal="left"/>
    </xf>
    <xf numFmtId="0" fontId="71" fillId="3" borderId="12" xfId="5" applyFont="1" applyFill="1" applyBorder="1" applyAlignment="1">
      <alignment horizontal="left"/>
    </xf>
    <xf numFmtId="0" fontId="71" fillId="3" borderId="13" xfId="5" applyFont="1" applyFill="1" applyBorder="1" applyAlignment="1">
      <alignment horizontal="left"/>
    </xf>
    <xf numFmtId="0" fontId="71" fillId="0" borderId="24" xfId="5" applyFont="1" applyBorder="1" applyAlignment="1">
      <alignment horizontal="right"/>
    </xf>
    <xf numFmtId="0" fontId="71" fillId="0" borderId="35" xfId="5" applyFont="1" applyBorder="1" applyAlignment="1">
      <alignment horizontal="right"/>
    </xf>
    <xf numFmtId="0" fontId="71" fillId="0" borderId="25" xfId="5" applyFont="1" applyBorder="1" applyAlignment="1">
      <alignment horizontal="right"/>
    </xf>
    <xf numFmtId="164" fontId="70" fillId="0" borderId="6" xfId="5" applyNumberFormat="1" applyFont="1" applyBorder="1" applyAlignment="1">
      <alignment horizontal="right"/>
    </xf>
    <xf numFmtId="0" fontId="70" fillId="2" borderId="14" xfId="5" applyFont="1" applyFill="1" applyBorder="1" applyAlignment="1">
      <alignment horizontal="center"/>
    </xf>
    <xf numFmtId="0" fontId="70" fillId="2" borderId="26" xfId="5" applyFont="1" applyFill="1" applyBorder="1" applyAlignment="1">
      <alignment horizontal="center"/>
    </xf>
    <xf numFmtId="0" fontId="71" fillId="3" borderId="27" xfId="5" applyFont="1" applyFill="1" applyBorder="1" applyAlignment="1">
      <alignment horizontal="center" vertical="center"/>
    </xf>
    <xf numFmtId="0" fontId="71" fillId="3" borderId="21" xfId="5" applyFont="1" applyFill="1" applyBorder="1" applyAlignment="1">
      <alignment horizontal="center" vertical="center"/>
    </xf>
    <xf numFmtId="0" fontId="71" fillId="3" borderId="27" xfId="5" applyFont="1" applyFill="1" applyBorder="1" applyAlignment="1">
      <alignment horizontal="center" vertical="center" wrapText="1"/>
    </xf>
    <xf numFmtId="0" fontId="71" fillId="3" borderId="21" xfId="5" applyFont="1" applyFill="1" applyBorder="1" applyAlignment="1">
      <alignment horizontal="center" vertical="center" wrapText="1"/>
    </xf>
    <xf numFmtId="0" fontId="71" fillId="3" borderId="2" xfId="5" applyFont="1" applyFill="1" applyBorder="1" applyAlignment="1">
      <alignment horizontal="center" vertical="center"/>
    </xf>
    <xf numFmtId="0" fontId="71" fillId="3" borderId="1" xfId="5" applyFont="1" applyFill="1" applyBorder="1" applyAlignment="1">
      <alignment horizontal="center" vertical="center"/>
    </xf>
  </cellXfs>
  <cellStyles count="67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Bueno" xfId="15" builtinId="26" customBuiltin="1"/>
    <cellStyle name="Cálculo" xfId="20" builtinId="22" customBuiltin="1"/>
    <cellStyle name="Celda de comprobación" xfId="22" builtinId="23" customBuiltin="1"/>
    <cellStyle name="Celda vinculada" xfId="21" builtinId="24" customBuiltin="1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Incorrecto" xfId="16" builtinId="27" customBuiltin="1"/>
    <cellStyle name="Millares" xfId="4" builtinId="3"/>
    <cellStyle name="Millares [0]" xfId="8" builtinId="6"/>
    <cellStyle name="Millares [0] 2" xfId="57" xr:uid="{39C20005-1C77-4532-9A32-079E8F2B0BE6}"/>
    <cellStyle name="Millares [0] 3" xfId="50" xr:uid="{FF2F738F-5644-49A7-84AE-1814AED8D11B}"/>
    <cellStyle name="Millares 10" xfId="65" xr:uid="{BC6E8DFF-4E4E-4F4C-9688-783B0EA127AA}"/>
    <cellStyle name="Millares 2" xfId="9" xr:uid="{6C38873B-8602-4B78-B540-0698470029E7}"/>
    <cellStyle name="Millares 2 2" xfId="58" xr:uid="{DC5FFA4B-D770-4F16-B7C1-12D14EF5C837}"/>
    <cellStyle name="Millares 3" xfId="54" xr:uid="{D56CC408-6C31-4471-AA76-B3EC2F34C915}"/>
    <cellStyle name="Millares 4" xfId="59" xr:uid="{4A636819-E923-4126-A1DE-FEB678451736}"/>
    <cellStyle name="Millares 5" xfId="60" xr:uid="{B3D01B5A-287F-4732-ABAD-C676ACBC3510}"/>
    <cellStyle name="Millares 6" xfId="61" xr:uid="{1E31D19E-0BCC-4970-8991-765EB759B349}"/>
    <cellStyle name="Millares 7" xfId="62" xr:uid="{19BEBDE9-1699-4ED8-95BD-C557255442A6}"/>
    <cellStyle name="Millares 8" xfId="63" xr:uid="{50CE517F-D8AF-469E-A1AB-040A00DAAC75}"/>
    <cellStyle name="Millares 9" xfId="64" xr:uid="{078C1D6C-41A4-4756-9B1B-E530F7525FF8}"/>
    <cellStyle name="Neutral" xfId="17" builtinId="28" customBuiltin="1"/>
    <cellStyle name="Normal" xfId="0" builtinId="0"/>
    <cellStyle name="Normal 2" xfId="5" xr:uid="{2AA83AA2-C1B1-40E1-A261-B5241DC240ED}"/>
    <cellStyle name="Normal 2 2" xfId="55" xr:uid="{8DEFF4E0-C604-49D4-96DB-9409DE3C0283}"/>
    <cellStyle name="Normal 3" xfId="6" xr:uid="{050AFA8D-D887-40DF-AD5E-162103EF8973}"/>
    <cellStyle name="Normal 3 2" xfId="7" xr:uid="{B388D5BF-2F09-4ED5-85B1-A32C6C6E0759}"/>
    <cellStyle name="Normal 3 3" xfId="56" xr:uid="{E953CB66-1E0E-42F5-8EFF-9A2AC691F601}"/>
    <cellStyle name="Normal 3 4" xfId="52" xr:uid="{FDE4C57D-E238-4C46-BB88-6561D4A9B17E}"/>
    <cellStyle name="Normal 3 5" xfId="66" xr:uid="{0A09F63D-7892-49F4-96D3-4FB6A8D3A4BE}"/>
    <cellStyle name="Normal 5" xfId="51" xr:uid="{F93613CC-8B83-4B77-B485-953126A986BE}"/>
    <cellStyle name="Normal_CRITERIOS DE EVALUACION PT DE GB" xfId="1" xr:uid="{00000000-0005-0000-0000-000001000000}"/>
    <cellStyle name="Normal_CRITERIOS DE EVALUACION PT DE GB 2" xfId="3" xr:uid="{A35D6FDF-B502-4781-A7E2-AEC0ED499ABC}"/>
    <cellStyle name="Notas 2" xfId="53" xr:uid="{353B78DE-B30B-4081-B016-FA66C57C974B}"/>
    <cellStyle name="Porcentaje 2" xfId="2" xr:uid="{144196D0-5152-4D94-9C23-C8FADE8783BF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otal" xfId="25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107157</xdr:colOff>
      <xdr:row>0</xdr:row>
      <xdr:rowOff>171449</xdr:rowOff>
    </xdr:from>
    <xdr:to>
      <xdr:col>1</xdr:col>
      <xdr:colOff>1017581</xdr:colOff>
      <xdr:row>3</xdr:row>
      <xdr:rowOff>166687</xdr:rowOff>
    </xdr:to>
    <xdr:pic>
      <xdr:nvPicPr>
        <xdr:cNvPr id="3" name="Imagen 91">
          <a:extLst>
            <a:ext uri="{FF2B5EF4-FFF2-40B4-BE49-F238E27FC236}">
              <a16:creationId xmlns:a16="http://schemas.microsoft.com/office/drawing/2014/main" id="{3F9434C4-D327-4B00-841E-F50AFA8A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7" y="171449"/>
          <a:ext cx="2029612" cy="852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237202</xdr:colOff>
      <xdr:row>21</xdr:row>
      <xdr:rowOff>152718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E3DEFF-8727-EE03-6A19-79969898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0"/>
          <a:ext cx="11331922" cy="36731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94C5-3507-4DBC-AD53-16CCEE38E9D6}">
  <sheetPr>
    <pageSetUpPr fitToPage="1"/>
  </sheetPr>
  <dimension ref="A1:I47"/>
  <sheetViews>
    <sheetView tabSelected="1" topLeftCell="A7" zoomScaleNormal="100" workbookViewId="0">
      <selection activeCell="C9" sqref="C9"/>
    </sheetView>
  </sheetViews>
  <sheetFormatPr baseColWidth="10" defaultRowHeight="12.75" x14ac:dyDescent="0.2"/>
  <cols>
    <col min="1" max="1" width="16.85546875" bestFit="1" customWidth="1"/>
    <col min="2" max="2" width="17.85546875" customWidth="1"/>
    <col min="3" max="3" width="74.85546875" customWidth="1"/>
    <col min="4" max="4" width="18.5703125" customWidth="1"/>
    <col min="5" max="5" width="16.85546875" customWidth="1"/>
    <col min="6" max="6" width="16.140625" customWidth="1"/>
    <col min="7" max="7" width="17.85546875" customWidth="1"/>
    <col min="8" max="8" width="20.85546875" customWidth="1"/>
    <col min="9" max="9" width="24.28515625" bestFit="1" customWidth="1"/>
  </cols>
  <sheetData>
    <row r="1" spans="1:9" ht="18" x14ac:dyDescent="0.25">
      <c r="A1" s="562"/>
      <c r="B1" s="563"/>
      <c r="C1" s="568" t="s">
        <v>21</v>
      </c>
      <c r="D1" s="568"/>
      <c r="E1" s="568"/>
      <c r="F1" s="568"/>
      <c r="G1" s="568"/>
      <c r="H1" s="1" t="s">
        <v>0</v>
      </c>
      <c r="I1" s="2" t="s">
        <v>225</v>
      </c>
    </row>
    <row r="2" spans="1:9" ht="18" customHeight="1" thickBot="1" x14ac:dyDescent="0.3">
      <c r="A2" s="564"/>
      <c r="B2" s="565"/>
      <c r="C2" s="569" t="s">
        <v>1</v>
      </c>
      <c r="D2" s="570"/>
      <c r="E2" s="570"/>
      <c r="F2" s="570"/>
      <c r="G2" s="571"/>
      <c r="H2" s="3" t="s">
        <v>2</v>
      </c>
      <c r="I2" s="546" t="s">
        <v>262</v>
      </c>
    </row>
    <row r="3" spans="1:9" ht="31.5" customHeight="1" thickBot="1" x14ac:dyDescent="0.25">
      <c r="A3" s="564"/>
      <c r="B3" s="565"/>
      <c r="C3" s="572" t="s">
        <v>263</v>
      </c>
      <c r="D3" s="573"/>
      <c r="E3" s="573"/>
      <c r="F3" s="573"/>
      <c r="G3" s="574"/>
      <c r="H3" s="575" t="s">
        <v>3</v>
      </c>
      <c r="I3" s="553">
        <v>45985</v>
      </c>
    </row>
    <row r="4" spans="1:9" ht="18" customHeight="1" x14ac:dyDescent="0.25">
      <c r="A4" s="564"/>
      <c r="B4" s="565"/>
      <c r="C4" s="4" t="s">
        <v>4</v>
      </c>
      <c r="D4" s="556" t="s">
        <v>52</v>
      </c>
      <c r="E4" s="557"/>
      <c r="F4" s="557"/>
      <c r="G4" s="558"/>
      <c r="H4" s="576"/>
      <c r="I4" s="554"/>
    </row>
    <row r="5" spans="1:9" ht="18.75" thickBot="1" x14ac:dyDescent="0.3">
      <c r="A5" s="566"/>
      <c r="B5" s="567"/>
      <c r="C5" s="5" t="s">
        <v>5</v>
      </c>
      <c r="D5" s="559" t="s">
        <v>35</v>
      </c>
      <c r="E5" s="560"/>
      <c r="F5" s="560"/>
      <c r="G5" s="561"/>
      <c r="H5" s="577"/>
      <c r="I5" s="555"/>
    </row>
    <row r="6" spans="1:9" ht="18.75" thickBot="1" x14ac:dyDescent="0.3">
      <c r="A6" s="578" t="s">
        <v>39</v>
      </c>
      <c r="B6" s="578"/>
      <c r="C6" s="578"/>
      <c r="D6" s="579" t="s">
        <v>76</v>
      </c>
      <c r="E6" s="579"/>
      <c r="F6" s="579"/>
      <c r="G6" s="580" t="s">
        <v>40</v>
      </c>
      <c r="H6" s="580"/>
      <c r="I6" s="6" t="s">
        <v>76</v>
      </c>
    </row>
    <row r="7" spans="1:9" ht="36" x14ac:dyDescent="0.2">
      <c r="A7" s="581" t="s">
        <v>6</v>
      </c>
      <c r="B7" s="583" t="s">
        <v>41</v>
      </c>
      <c r="C7" s="585" t="s">
        <v>7</v>
      </c>
      <c r="D7" s="585" t="s">
        <v>8</v>
      </c>
      <c r="E7" s="585" t="s">
        <v>22</v>
      </c>
      <c r="F7" s="585"/>
      <c r="G7" s="585" t="s">
        <v>42</v>
      </c>
      <c r="H7" s="585"/>
      <c r="I7" s="7" t="s">
        <v>43</v>
      </c>
    </row>
    <row r="8" spans="1:9" ht="36.75" thickBot="1" x14ac:dyDescent="0.3">
      <c r="A8" s="582"/>
      <c r="B8" s="584"/>
      <c r="C8" s="586"/>
      <c r="D8" s="586"/>
      <c r="E8" s="8" t="s">
        <v>9</v>
      </c>
      <c r="F8" s="9" t="s">
        <v>10</v>
      </c>
      <c r="G8" s="8" t="s">
        <v>9</v>
      </c>
      <c r="H8" s="9" t="s">
        <v>10</v>
      </c>
      <c r="I8" s="10" t="s">
        <v>44</v>
      </c>
    </row>
    <row r="9" spans="1:9" ht="20.25" x14ac:dyDescent="0.3">
      <c r="A9" s="11"/>
      <c r="B9" s="12"/>
      <c r="C9" s="13" t="s">
        <v>24</v>
      </c>
      <c r="D9" s="14"/>
      <c r="E9" s="15"/>
      <c r="F9" s="16"/>
      <c r="G9" s="15"/>
      <c r="H9" s="16"/>
      <c r="I9" s="17"/>
    </row>
    <row r="10" spans="1:9" ht="20.25" x14ac:dyDescent="0.3">
      <c r="A10" s="18"/>
      <c r="B10" s="18"/>
      <c r="C10" s="19"/>
      <c r="D10" s="20"/>
      <c r="E10" s="20"/>
      <c r="F10" s="21"/>
      <c r="G10" s="22"/>
      <c r="H10" s="23"/>
      <c r="I10" s="17"/>
    </row>
    <row r="11" spans="1:9" ht="20.25" x14ac:dyDescent="0.3">
      <c r="A11" s="24" t="s">
        <v>33</v>
      </c>
      <c r="B11" s="24" t="s">
        <v>224</v>
      </c>
      <c r="C11" s="25" t="s">
        <v>74</v>
      </c>
      <c r="D11" s="20" t="s">
        <v>34</v>
      </c>
      <c r="E11" s="26">
        <v>480</v>
      </c>
      <c r="F11" s="21" t="s">
        <v>11</v>
      </c>
      <c r="G11" s="22" t="s">
        <v>77</v>
      </c>
      <c r="H11" s="23"/>
      <c r="I11" s="17"/>
    </row>
    <row r="12" spans="1:9" ht="20.25" x14ac:dyDescent="0.3">
      <c r="A12" s="27"/>
      <c r="B12" s="544" t="s">
        <v>37</v>
      </c>
      <c r="C12" s="543" t="s">
        <v>237</v>
      </c>
      <c r="D12" s="24" t="s">
        <v>55</v>
      </c>
      <c r="E12" s="26">
        <v>390</v>
      </c>
      <c r="F12" s="21" t="s">
        <v>11</v>
      </c>
      <c r="G12" s="24" t="s">
        <v>78</v>
      </c>
      <c r="H12" s="23" t="s">
        <v>241</v>
      </c>
      <c r="I12" s="17"/>
    </row>
    <row r="13" spans="1:9" ht="20.25" x14ac:dyDescent="0.3">
      <c r="A13" s="29"/>
      <c r="B13" s="24"/>
      <c r="C13" s="28"/>
      <c r="D13" s="30"/>
      <c r="E13" s="30"/>
      <c r="F13" s="30"/>
      <c r="G13" s="15"/>
      <c r="H13" s="23"/>
      <c r="I13" s="17"/>
    </row>
    <row r="14" spans="1:9" ht="20.25" x14ac:dyDescent="0.3">
      <c r="A14" s="31"/>
      <c r="B14" s="32"/>
      <c r="C14" s="33" t="s">
        <v>25</v>
      </c>
      <c r="D14" s="20"/>
      <c r="E14" s="34"/>
      <c r="F14" s="21"/>
      <c r="G14" s="15"/>
      <c r="H14" s="16"/>
      <c r="I14" s="17"/>
    </row>
    <row r="15" spans="1:9" ht="20.25" x14ac:dyDescent="0.3">
      <c r="A15" s="35"/>
      <c r="B15" s="319" t="s">
        <v>247</v>
      </c>
      <c r="C15" s="37" t="s">
        <v>248</v>
      </c>
      <c r="D15" s="38" t="s">
        <v>34</v>
      </c>
      <c r="E15" s="39">
        <v>100</v>
      </c>
      <c r="F15" s="40" t="s">
        <v>11</v>
      </c>
      <c r="G15" s="15"/>
      <c r="H15" s="16"/>
      <c r="I15" s="17"/>
    </row>
    <row r="16" spans="1:9" ht="20.25" x14ac:dyDescent="0.3">
      <c r="A16" s="35"/>
      <c r="B16" s="319" t="s">
        <v>247</v>
      </c>
      <c r="C16" s="37" t="s">
        <v>248</v>
      </c>
      <c r="D16" s="38" t="s">
        <v>34</v>
      </c>
      <c r="E16" s="39">
        <v>30</v>
      </c>
      <c r="F16" s="40" t="s">
        <v>11</v>
      </c>
      <c r="G16" s="15" t="s">
        <v>54</v>
      </c>
      <c r="H16" s="16"/>
      <c r="I16" s="17"/>
    </row>
    <row r="17" spans="1:9" ht="20.25" x14ac:dyDescent="0.3">
      <c r="A17" s="35"/>
      <c r="B17" s="24" t="s">
        <v>250</v>
      </c>
      <c r="C17" s="548" t="s">
        <v>251</v>
      </c>
      <c r="D17" s="348" t="s">
        <v>34</v>
      </c>
      <c r="E17" s="549" t="s">
        <v>243</v>
      </c>
      <c r="F17" s="321" t="s">
        <v>11</v>
      </c>
      <c r="G17" s="15"/>
      <c r="H17" s="16"/>
      <c r="I17" s="17"/>
    </row>
    <row r="18" spans="1:9" ht="20.25" x14ac:dyDescent="0.3">
      <c r="A18" s="322"/>
      <c r="B18" s="324" t="s">
        <v>260</v>
      </c>
      <c r="C18" s="550" t="s">
        <v>252</v>
      </c>
      <c r="D18" s="24"/>
      <c r="E18" s="324">
        <v>10</v>
      </c>
      <c r="F18" s="21" t="s">
        <v>11</v>
      </c>
      <c r="G18" s="551"/>
      <c r="H18" s="16"/>
      <c r="I18" s="17"/>
    </row>
    <row r="19" spans="1:9" ht="20.25" x14ac:dyDescent="0.3">
      <c r="A19" s="322"/>
      <c r="B19" s="324" t="s">
        <v>261</v>
      </c>
      <c r="C19" s="551" t="s">
        <v>253</v>
      </c>
      <c r="D19" s="26"/>
      <c r="E19" s="20">
        <v>5</v>
      </c>
      <c r="F19" s="21" t="s">
        <v>11</v>
      </c>
      <c r="G19" s="24" t="s">
        <v>254</v>
      </c>
      <c r="H19" s="16"/>
      <c r="I19" s="17"/>
    </row>
    <row r="20" spans="1:9" ht="20.25" x14ac:dyDescent="0.3">
      <c r="A20" s="24"/>
      <c r="B20" s="24"/>
      <c r="C20" s="28"/>
      <c r="D20" s="42"/>
      <c r="E20" s="44"/>
      <c r="F20" s="45"/>
      <c r="G20" s="15"/>
      <c r="H20" s="16"/>
      <c r="I20" s="17"/>
    </row>
    <row r="21" spans="1:9" ht="20.25" x14ac:dyDescent="0.3">
      <c r="A21" s="547"/>
      <c r="B21" s="547"/>
      <c r="C21" s="48" t="s">
        <v>45</v>
      </c>
      <c r="D21" s="49"/>
      <c r="E21" s="50"/>
      <c r="F21" s="16"/>
      <c r="G21" s="15"/>
      <c r="H21" s="41"/>
      <c r="I21" s="17"/>
    </row>
    <row r="22" spans="1:9" ht="20.25" x14ac:dyDescent="0.3">
      <c r="A22" s="51">
        <v>11400066</v>
      </c>
      <c r="B22" s="51" t="s">
        <v>37</v>
      </c>
      <c r="C22" s="52" t="s">
        <v>36</v>
      </c>
      <c r="D22" s="24" t="s">
        <v>46</v>
      </c>
      <c r="E22" s="44">
        <v>10</v>
      </c>
      <c r="F22" s="45" t="s">
        <v>11</v>
      </c>
      <c r="G22" s="53"/>
      <c r="H22" s="16" t="s">
        <v>236</v>
      </c>
      <c r="I22" s="17"/>
    </row>
    <row r="23" spans="1:9" ht="20.25" x14ac:dyDescent="0.3">
      <c r="A23" s="54"/>
      <c r="B23" s="28" t="s">
        <v>227</v>
      </c>
      <c r="C23" s="55" t="s">
        <v>226</v>
      </c>
      <c r="D23" s="24" t="s">
        <v>47</v>
      </c>
      <c r="E23" s="44">
        <v>1</v>
      </c>
      <c r="F23" s="45" t="s">
        <v>31</v>
      </c>
      <c r="G23" s="53"/>
      <c r="H23" s="16"/>
      <c r="I23" s="17"/>
    </row>
    <row r="24" spans="1:9" ht="20.25" x14ac:dyDescent="0.3">
      <c r="A24" s="56"/>
      <c r="B24" s="20" t="s">
        <v>238</v>
      </c>
      <c r="C24" s="545" t="s">
        <v>239</v>
      </c>
      <c r="D24" s="24"/>
      <c r="E24" s="44">
        <v>1</v>
      </c>
      <c r="F24" s="45" t="s">
        <v>31</v>
      </c>
      <c r="G24" s="15"/>
      <c r="H24" s="16"/>
      <c r="I24" s="17"/>
    </row>
    <row r="25" spans="1:9" ht="20.25" x14ac:dyDescent="0.3">
      <c r="A25" s="56"/>
      <c r="B25" s="28" t="s">
        <v>244</v>
      </c>
      <c r="C25" s="28" t="s">
        <v>245</v>
      </c>
      <c r="D25" s="24"/>
      <c r="E25" s="44">
        <v>1</v>
      </c>
      <c r="F25" s="45"/>
      <c r="G25" s="15"/>
      <c r="H25" s="16"/>
      <c r="I25" s="17"/>
    </row>
    <row r="26" spans="1:9" ht="20.25" x14ac:dyDescent="0.3">
      <c r="A26" s="56">
        <v>702077</v>
      </c>
      <c r="B26" s="56" t="s">
        <v>228</v>
      </c>
      <c r="C26" s="57" t="s">
        <v>229</v>
      </c>
      <c r="D26" s="24" t="s">
        <v>30</v>
      </c>
      <c r="E26" s="44">
        <v>1</v>
      </c>
      <c r="F26" s="45" t="s">
        <v>31</v>
      </c>
      <c r="G26" s="58"/>
      <c r="H26" s="16"/>
      <c r="I26" s="17"/>
    </row>
    <row r="27" spans="1:9" ht="20.25" x14ac:dyDescent="0.3">
      <c r="A27" s="56"/>
      <c r="B27" s="56" t="s">
        <v>230</v>
      </c>
      <c r="C27" s="57" t="s">
        <v>231</v>
      </c>
      <c r="D27" s="24" t="s">
        <v>30</v>
      </c>
      <c r="E27" s="44">
        <v>1</v>
      </c>
      <c r="F27" s="45" t="s">
        <v>31</v>
      </c>
      <c r="G27" s="26"/>
      <c r="H27" s="16" t="s">
        <v>234</v>
      </c>
      <c r="I27" s="17"/>
    </row>
    <row r="28" spans="1:9" ht="20.25" x14ac:dyDescent="0.3">
      <c r="A28" s="59"/>
      <c r="B28" s="59" t="s">
        <v>232</v>
      </c>
      <c r="C28" s="60" t="s">
        <v>233</v>
      </c>
      <c r="D28" s="24" t="s">
        <v>30</v>
      </c>
      <c r="E28" s="45">
        <v>1</v>
      </c>
      <c r="F28" s="45" t="s">
        <v>31</v>
      </c>
      <c r="G28" s="26"/>
      <c r="H28" s="16" t="s">
        <v>235</v>
      </c>
      <c r="I28" s="17"/>
    </row>
    <row r="29" spans="1:9" ht="20.25" x14ac:dyDescent="0.3">
      <c r="A29" s="51"/>
      <c r="B29" s="24"/>
      <c r="C29" s="52"/>
      <c r="D29" s="42"/>
      <c r="E29" s="44"/>
      <c r="F29" s="24"/>
      <c r="G29" s="26"/>
      <c r="H29" s="16"/>
      <c r="I29" s="17"/>
    </row>
    <row r="30" spans="1:9" ht="21" thickBot="1" x14ac:dyDescent="0.35">
      <c r="A30" s="62"/>
      <c r="B30" s="63"/>
      <c r="C30" s="64"/>
      <c r="D30" s="64"/>
      <c r="E30" s="65"/>
      <c r="F30" s="66"/>
      <c r="G30" s="64"/>
      <c r="H30" s="64"/>
      <c r="I30" s="67"/>
    </row>
    <row r="31" spans="1:9" ht="21" thickBot="1" x14ac:dyDescent="0.35">
      <c r="A31" s="68"/>
      <c r="B31" s="69"/>
      <c r="C31" s="70"/>
      <c r="D31" s="71" t="s">
        <v>9</v>
      </c>
      <c r="E31" s="72" t="s">
        <v>12</v>
      </c>
      <c r="F31" s="73"/>
      <c r="G31" s="70"/>
      <c r="H31" s="70"/>
      <c r="I31" s="74"/>
    </row>
    <row r="32" spans="1:9" ht="20.25" x14ac:dyDescent="0.3">
      <c r="A32" s="587" t="s">
        <v>13</v>
      </c>
      <c r="B32" s="588"/>
      <c r="C32" s="589"/>
      <c r="D32" s="43">
        <v>615</v>
      </c>
      <c r="E32" s="75" t="s">
        <v>11</v>
      </c>
      <c r="F32" s="590" t="s">
        <v>48</v>
      </c>
      <c r="G32" s="590"/>
      <c r="H32" s="591"/>
      <c r="I32" s="592"/>
    </row>
    <row r="33" spans="1:9" ht="20.25" x14ac:dyDescent="0.3">
      <c r="A33" s="593" t="s">
        <v>14</v>
      </c>
      <c r="B33" s="594"/>
      <c r="C33" s="595"/>
      <c r="D33" s="44">
        <v>3</v>
      </c>
      <c r="E33" s="24" t="s">
        <v>19</v>
      </c>
      <c r="F33" s="596" t="s">
        <v>23</v>
      </c>
      <c r="G33" s="596"/>
      <c r="H33" s="597"/>
      <c r="I33" s="598"/>
    </row>
    <row r="34" spans="1:9" ht="20.25" x14ac:dyDescent="0.3">
      <c r="A34" s="593" t="s">
        <v>15</v>
      </c>
      <c r="B34" s="594"/>
      <c r="C34" s="595"/>
      <c r="D34" s="24">
        <v>1</v>
      </c>
      <c r="E34" s="24" t="s">
        <v>20</v>
      </c>
      <c r="F34" s="596" t="s">
        <v>49</v>
      </c>
      <c r="G34" s="596"/>
      <c r="H34" s="597"/>
      <c r="I34" s="598"/>
    </row>
    <row r="35" spans="1:9" ht="20.25" x14ac:dyDescent="0.3">
      <c r="A35" s="593" t="s">
        <v>16</v>
      </c>
      <c r="B35" s="594"/>
      <c r="C35" s="595"/>
      <c r="D35" s="44">
        <v>615</v>
      </c>
      <c r="E35" s="24" t="s">
        <v>11</v>
      </c>
      <c r="F35" s="609" t="s">
        <v>50</v>
      </c>
      <c r="G35" s="610"/>
      <c r="H35" s="611"/>
      <c r="I35" s="612"/>
    </row>
    <row r="36" spans="1:9" ht="21" thickBot="1" x14ac:dyDescent="0.35">
      <c r="A36" s="599" t="s">
        <v>17</v>
      </c>
      <c r="B36" s="600"/>
      <c r="C36" s="601"/>
      <c r="D36" s="76">
        <v>3</v>
      </c>
      <c r="E36" s="77" t="s">
        <v>11</v>
      </c>
      <c r="F36" s="602"/>
      <c r="G36" s="602"/>
      <c r="H36" s="597"/>
      <c r="I36" s="598"/>
    </row>
    <row r="37" spans="1:9" ht="21" thickBot="1" x14ac:dyDescent="0.35">
      <c r="A37" s="603" t="s">
        <v>18</v>
      </c>
      <c r="B37" s="604"/>
      <c r="C37" s="604"/>
      <c r="D37" s="604"/>
      <c r="E37" s="604"/>
      <c r="F37" s="604"/>
      <c r="G37" s="604"/>
      <c r="H37" s="604"/>
      <c r="I37" s="605"/>
    </row>
    <row r="38" spans="1:9" ht="20.45" customHeight="1" x14ac:dyDescent="0.3">
      <c r="A38" s="606" t="s">
        <v>255</v>
      </c>
      <c r="B38" s="607"/>
      <c r="C38" s="607"/>
      <c r="D38" s="607"/>
      <c r="E38" s="607"/>
      <c r="F38" s="607"/>
      <c r="G38" s="607"/>
      <c r="H38" s="607"/>
      <c r="I38" s="608"/>
    </row>
    <row r="39" spans="1:9" ht="21" customHeight="1" x14ac:dyDescent="0.3">
      <c r="A39" s="618" t="s">
        <v>256</v>
      </c>
      <c r="B39" s="619"/>
      <c r="C39" s="619"/>
      <c r="D39" s="619"/>
      <c r="E39" s="619"/>
      <c r="F39" s="619"/>
      <c r="G39" s="619"/>
      <c r="H39" s="619"/>
      <c r="I39" s="620"/>
    </row>
    <row r="40" spans="1:9" ht="44.25" customHeight="1" x14ac:dyDescent="0.3">
      <c r="A40" s="618" t="s">
        <v>257</v>
      </c>
      <c r="B40" s="619"/>
      <c r="C40" s="619"/>
      <c r="D40" s="619"/>
      <c r="E40" s="619"/>
      <c r="F40" s="619"/>
      <c r="G40" s="619"/>
      <c r="H40" s="619"/>
      <c r="I40" s="620"/>
    </row>
    <row r="41" spans="1:9" ht="21" thickBot="1" x14ac:dyDescent="0.35">
      <c r="A41" s="613" t="s">
        <v>258</v>
      </c>
      <c r="B41" s="614"/>
      <c r="C41" s="614"/>
      <c r="D41" s="614"/>
      <c r="E41" s="614"/>
      <c r="F41" s="614"/>
      <c r="G41" s="614"/>
      <c r="H41" s="614"/>
      <c r="I41" s="615"/>
    </row>
    <row r="42" spans="1:9" ht="20.25" x14ac:dyDescent="0.3">
      <c r="A42" s="616" t="s">
        <v>51</v>
      </c>
      <c r="B42" s="617"/>
      <c r="C42" s="617"/>
      <c r="D42" s="617"/>
      <c r="E42" s="617"/>
      <c r="F42" s="617"/>
      <c r="G42" s="617"/>
      <c r="H42" s="617"/>
      <c r="I42" s="617"/>
    </row>
    <row r="43" spans="1:9" ht="20.25" x14ac:dyDescent="0.3">
      <c r="A43" s="552" t="s">
        <v>240</v>
      </c>
      <c r="B43" s="552"/>
      <c r="C43" s="552"/>
      <c r="D43" s="552"/>
      <c r="E43" s="552"/>
      <c r="F43" s="552"/>
      <c r="G43" s="552"/>
      <c r="H43" s="552"/>
      <c r="I43" s="552"/>
    </row>
    <row r="44" spans="1:9" ht="20.25" x14ac:dyDescent="0.3">
      <c r="A44" s="552" t="s">
        <v>242</v>
      </c>
      <c r="B44" s="552"/>
      <c r="C44" s="552"/>
      <c r="D44" s="552"/>
      <c r="E44" s="552"/>
      <c r="F44" s="552"/>
      <c r="G44" s="552"/>
      <c r="H44" s="552"/>
      <c r="I44" s="552"/>
    </row>
    <row r="45" spans="1:9" ht="20.25" x14ac:dyDescent="0.3">
      <c r="A45" s="552" t="s">
        <v>246</v>
      </c>
      <c r="B45" s="552"/>
      <c r="C45" s="552"/>
      <c r="D45" s="552"/>
      <c r="E45" s="552"/>
      <c r="F45" s="552"/>
      <c r="G45" s="552"/>
      <c r="H45" s="552"/>
      <c r="I45" s="552"/>
    </row>
    <row r="46" spans="1:9" ht="20.25" x14ac:dyDescent="0.3">
      <c r="A46" s="552" t="s">
        <v>249</v>
      </c>
      <c r="B46" s="552"/>
      <c r="C46" s="552"/>
      <c r="D46" s="552"/>
      <c r="E46" s="552"/>
      <c r="F46" s="552"/>
      <c r="G46" s="552"/>
      <c r="H46" s="552"/>
      <c r="I46" s="552"/>
    </row>
    <row r="47" spans="1:9" ht="20.25" x14ac:dyDescent="0.3">
      <c r="A47" s="552" t="s">
        <v>259</v>
      </c>
      <c r="B47" s="552"/>
      <c r="C47" s="552"/>
      <c r="D47" s="552"/>
      <c r="E47" s="552"/>
      <c r="F47" s="552"/>
      <c r="G47" s="552"/>
      <c r="H47" s="552"/>
      <c r="I47" s="552"/>
    </row>
  </sheetData>
  <mergeCells count="43">
    <mergeCell ref="A41:I41"/>
    <mergeCell ref="A42:I42"/>
    <mergeCell ref="A43:I43"/>
    <mergeCell ref="A44:I44"/>
    <mergeCell ref="A39:I39"/>
    <mergeCell ref="A40:I40"/>
    <mergeCell ref="A37:I37"/>
    <mergeCell ref="A38:I38"/>
    <mergeCell ref="A34:C34"/>
    <mergeCell ref="F34:G34"/>
    <mergeCell ref="H34:I34"/>
    <mergeCell ref="A35:C35"/>
    <mergeCell ref="F35:G35"/>
    <mergeCell ref="H35:I35"/>
    <mergeCell ref="A33:C33"/>
    <mergeCell ref="F33:G33"/>
    <mergeCell ref="H33:I33"/>
    <mergeCell ref="A36:C36"/>
    <mergeCell ref="F36:G36"/>
    <mergeCell ref="H36:I36"/>
    <mergeCell ref="C7:C8"/>
    <mergeCell ref="D7:D8"/>
    <mergeCell ref="E7:F7"/>
    <mergeCell ref="G7:H7"/>
    <mergeCell ref="A32:C32"/>
    <mergeCell ref="F32:G32"/>
    <mergeCell ref="H32:I32"/>
    <mergeCell ref="A47:I47"/>
    <mergeCell ref="A46:I46"/>
    <mergeCell ref="A45:I45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</mergeCells>
  <phoneticPr fontId="30" type="noConversion"/>
  <pageMargins left="0.25" right="0.25" top="0.75" bottom="0.75" header="0.3" footer="0.3"/>
  <pageSetup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43D0-D76E-479D-B444-79A0EF6964D1}">
  <dimension ref="A1:L58"/>
  <sheetViews>
    <sheetView workbookViewId="0">
      <selection activeCell="C11" sqref="C11"/>
    </sheetView>
  </sheetViews>
  <sheetFormatPr baseColWidth="10" defaultRowHeight="12.75" x14ac:dyDescent="0.2"/>
  <cols>
    <col min="3" max="3" width="48.85546875" bestFit="1" customWidth="1"/>
  </cols>
  <sheetData>
    <row r="1" spans="1:12" ht="18.75" x14ac:dyDescent="0.25">
      <c r="A1" s="630"/>
      <c r="B1" s="631"/>
      <c r="C1" s="636" t="s">
        <v>21</v>
      </c>
      <c r="D1" s="636"/>
      <c r="E1" s="636"/>
      <c r="F1" s="636"/>
      <c r="G1" s="636"/>
      <c r="H1" s="350" t="s">
        <v>0</v>
      </c>
      <c r="I1" s="351" t="s">
        <v>202</v>
      </c>
      <c r="J1" s="453"/>
      <c r="K1" s="453"/>
      <c r="L1" s="453"/>
    </row>
    <row r="2" spans="1:12" ht="19.5" thickBot="1" x14ac:dyDescent="0.3">
      <c r="A2" s="632"/>
      <c r="B2" s="633"/>
      <c r="C2" s="637" t="s">
        <v>1</v>
      </c>
      <c r="D2" s="638"/>
      <c r="E2" s="638"/>
      <c r="F2" s="638"/>
      <c r="G2" s="639"/>
      <c r="H2" s="352" t="s">
        <v>2</v>
      </c>
      <c r="I2" s="353" t="s">
        <v>184</v>
      </c>
      <c r="J2" s="453"/>
      <c r="K2" s="453"/>
      <c r="L2" s="453"/>
    </row>
    <row r="3" spans="1:12" ht="19.5" thickBot="1" x14ac:dyDescent="0.25">
      <c r="A3" s="632"/>
      <c r="B3" s="633"/>
      <c r="C3" s="640" t="s">
        <v>203</v>
      </c>
      <c r="D3" s="641"/>
      <c r="E3" s="641"/>
      <c r="F3" s="641"/>
      <c r="G3" s="642"/>
      <c r="H3" s="643" t="s">
        <v>3</v>
      </c>
      <c r="I3" s="621">
        <v>45613</v>
      </c>
      <c r="J3" s="453"/>
      <c r="K3" s="453"/>
      <c r="L3" s="453"/>
    </row>
    <row r="4" spans="1:12" ht="18.75" x14ac:dyDescent="0.25">
      <c r="A4" s="632"/>
      <c r="B4" s="633"/>
      <c r="C4" s="354" t="s">
        <v>4</v>
      </c>
      <c r="D4" s="624" t="s">
        <v>143</v>
      </c>
      <c r="E4" s="625"/>
      <c r="F4" s="625"/>
      <c r="G4" s="626"/>
      <c r="H4" s="644"/>
      <c r="I4" s="622"/>
      <c r="J4" s="453"/>
      <c r="K4" s="453"/>
      <c r="L4" s="453"/>
    </row>
    <row r="5" spans="1:12" ht="19.5" thickBot="1" x14ac:dyDescent="0.3">
      <c r="A5" s="634"/>
      <c r="B5" s="635"/>
      <c r="C5" s="355" t="s">
        <v>5</v>
      </c>
      <c r="D5" s="627" t="s">
        <v>35</v>
      </c>
      <c r="E5" s="628"/>
      <c r="F5" s="628"/>
      <c r="G5" s="629"/>
      <c r="H5" s="645"/>
      <c r="I5" s="623"/>
      <c r="J5" s="453"/>
      <c r="K5" s="453"/>
      <c r="L5" s="453"/>
    </row>
    <row r="6" spans="1:12" ht="39.75" thickBot="1" x14ac:dyDescent="0.35">
      <c r="A6" s="652" t="s">
        <v>39</v>
      </c>
      <c r="B6" s="652"/>
      <c r="C6" s="652"/>
      <c r="D6" s="653" t="s">
        <v>204</v>
      </c>
      <c r="E6" s="653"/>
      <c r="F6" s="653"/>
      <c r="G6" s="654" t="s">
        <v>40</v>
      </c>
      <c r="H6" s="654"/>
      <c r="I6" s="356" t="s">
        <v>204</v>
      </c>
      <c r="J6" s="453"/>
      <c r="K6" s="453"/>
      <c r="L6" s="453"/>
    </row>
    <row r="7" spans="1:12" ht="56.25" x14ac:dyDescent="0.2">
      <c r="A7" s="655" t="s">
        <v>6</v>
      </c>
      <c r="B7" s="657" t="s">
        <v>41</v>
      </c>
      <c r="C7" s="659" t="s">
        <v>7</v>
      </c>
      <c r="D7" s="659" t="s">
        <v>8</v>
      </c>
      <c r="E7" s="659" t="s">
        <v>22</v>
      </c>
      <c r="F7" s="659"/>
      <c r="G7" s="659" t="s">
        <v>42</v>
      </c>
      <c r="H7" s="659"/>
      <c r="I7" s="454" t="s">
        <v>43</v>
      </c>
      <c r="J7" s="453"/>
      <c r="K7" s="453"/>
      <c r="L7" s="453"/>
    </row>
    <row r="8" spans="1:12" ht="57" thickBot="1" x14ac:dyDescent="0.3">
      <c r="A8" s="656"/>
      <c r="B8" s="658"/>
      <c r="C8" s="660"/>
      <c r="D8" s="660"/>
      <c r="E8" s="455" t="s">
        <v>9</v>
      </c>
      <c r="F8" s="456" t="s">
        <v>10</v>
      </c>
      <c r="G8" s="455" t="s">
        <v>9</v>
      </c>
      <c r="H8" s="456" t="s">
        <v>10</v>
      </c>
      <c r="I8" s="457" t="s">
        <v>44</v>
      </c>
      <c r="J8" s="453"/>
      <c r="K8" s="453"/>
      <c r="L8" s="453"/>
    </row>
    <row r="9" spans="1:12" ht="19.5" x14ac:dyDescent="0.3">
      <c r="A9" s="458"/>
      <c r="B9" s="459"/>
      <c r="C9" s="460" t="s">
        <v>24</v>
      </c>
      <c r="D9" s="461"/>
      <c r="E9" s="462"/>
      <c r="F9" s="463"/>
      <c r="G9" s="462"/>
      <c r="H9" s="463"/>
      <c r="I9" s="464"/>
      <c r="J9" s="453"/>
      <c r="K9" s="453"/>
      <c r="L9" s="453"/>
    </row>
    <row r="10" spans="1:12" ht="19.5" x14ac:dyDescent="0.3">
      <c r="A10" s="465" t="s">
        <v>205</v>
      </c>
      <c r="B10" s="466" t="s">
        <v>37</v>
      </c>
      <c r="C10" s="467" t="s">
        <v>206</v>
      </c>
      <c r="D10" s="468" t="s">
        <v>46</v>
      </c>
      <c r="E10" s="469">
        <v>934.57943925233656</v>
      </c>
      <c r="F10" s="470" t="s">
        <v>11</v>
      </c>
      <c r="G10" s="471"/>
      <c r="H10" s="472"/>
      <c r="I10" s="464"/>
      <c r="J10" s="453"/>
      <c r="K10" s="453"/>
      <c r="L10" s="453"/>
    </row>
    <row r="11" spans="1:12" ht="19.5" x14ac:dyDescent="0.3">
      <c r="A11" s="465" t="s">
        <v>192</v>
      </c>
      <c r="B11" s="473"/>
      <c r="C11" s="474" t="s">
        <v>193</v>
      </c>
      <c r="D11" s="468" t="s">
        <v>34</v>
      </c>
      <c r="E11" s="475">
        <v>74.766355140186917</v>
      </c>
      <c r="F11" s="476" t="s">
        <v>11</v>
      </c>
      <c r="G11" s="471"/>
      <c r="H11" s="472"/>
      <c r="I11" s="464"/>
      <c r="J11" s="453"/>
      <c r="K11" s="453"/>
      <c r="L11" s="453"/>
    </row>
    <row r="12" spans="1:12" ht="19.5" x14ac:dyDescent="0.3">
      <c r="A12" s="465"/>
      <c r="B12" s="473"/>
      <c r="C12" s="474"/>
      <c r="D12" s="468"/>
      <c r="E12" s="475"/>
      <c r="F12" s="476"/>
      <c r="G12" s="477"/>
      <c r="H12" s="472"/>
      <c r="I12" s="464"/>
      <c r="J12" s="453"/>
      <c r="K12" s="453"/>
      <c r="L12" s="453"/>
    </row>
    <row r="13" spans="1:12" ht="19.5" x14ac:dyDescent="0.3">
      <c r="A13" s="465"/>
      <c r="B13" s="473"/>
      <c r="C13" s="474"/>
      <c r="D13" s="468"/>
      <c r="E13" s="475"/>
      <c r="F13" s="476"/>
      <c r="G13" s="477"/>
      <c r="H13" s="472"/>
      <c r="I13" s="464"/>
      <c r="J13" s="453"/>
      <c r="K13" s="453"/>
      <c r="L13" s="453"/>
    </row>
    <row r="14" spans="1:12" ht="19.5" x14ac:dyDescent="0.3">
      <c r="A14" s="478"/>
      <c r="B14" s="479"/>
      <c r="C14" s="480"/>
      <c r="D14" s="477"/>
      <c r="E14" s="477"/>
      <c r="F14" s="481"/>
      <c r="G14" s="477"/>
      <c r="H14" s="472"/>
      <c r="I14" s="464"/>
      <c r="J14" s="453"/>
      <c r="K14" s="453"/>
      <c r="L14" s="453"/>
    </row>
    <row r="15" spans="1:12" ht="19.5" x14ac:dyDescent="0.3">
      <c r="A15" s="482"/>
      <c r="B15" s="479"/>
      <c r="C15" s="483"/>
      <c r="D15" s="477"/>
      <c r="E15" s="477"/>
      <c r="F15" s="481"/>
      <c r="G15" s="477"/>
      <c r="H15" s="472"/>
      <c r="I15" s="464"/>
      <c r="J15" s="453"/>
      <c r="K15" s="453"/>
      <c r="L15" s="453"/>
    </row>
    <row r="16" spans="1:12" ht="19.5" x14ac:dyDescent="0.3">
      <c r="A16" s="477"/>
      <c r="B16" s="477"/>
      <c r="C16" s="484"/>
      <c r="D16" s="485"/>
      <c r="E16" s="485"/>
      <c r="F16" s="471"/>
      <c r="G16" s="477"/>
      <c r="H16" s="472"/>
      <c r="I16" s="464"/>
      <c r="J16" s="453"/>
      <c r="K16" s="453"/>
      <c r="L16" s="453">
        <v>1</v>
      </c>
    </row>
    <row r="17" spans="1:9" ht="19.5" x14ac:dyDescent="0.3">
      <c r="A17" s="479"/>
      <c r="B17" s="479"/>
      <c r="C17" s="486"/>
      <c r="D17" s="477"/>
      <c r="E17" s="477"/>
      <c r="F17" s="481"/>
      <c r="G17" s="477"/>
      <c r="H17" s="472"/>
      <c r="I17" s="464"/>
    </row>
    <row r="18" spans="1:9" ht="19.5" x14ac:dyDescent="0.3">
      <c r="A18" s="478"/>
      <c r="B18" s="479"/>
      <c r="C18" s="480"/>
      <c r="D18" s="477"/>
      <c r="E18" s="477"/>
      <c r="F18" s="481"/>
      <c r="G18" s="477"/>
      <c r="H18" s="472"/>
      <c r="I18" s="464"/>
    </row>
    <row r="19" spans="1:9" ht="19.5" x14ac:dyDescent="0.3">
      <c r="A19" s="487"/>
      <c r="B19" s="487"/>
      <c r="C19" s="488"/>
      <c r="D19" s="489"/>
      <c r="E19" s="490"/>
      <c r="F19" s="491"/>
      <c r="G19" s="462"/>
      <c r="H19" s="472"/>
      <c r="I19" s="464"/>
    </row>
    <row r="20" spans="1:9" ht="19.5" x14ac:dyDescent="0.3">
      <c r="A20" s="492"/>
      <c r="B20" s="493"/>
      <c r="C20" s="494" t="s">
        <v>25</v>
      </c>
      <c r="D20" s="495"/>
      <c r="E20" s="496"/>
      <c r="F20" s="491"/>
      <c r="G20" s="462"/>
      <c r="H20" s="463"/>
      <c r="I20" s="464"/>
    </row>
    <row r="21" spans="1:9" ht="19.5" x14ac:dyDescent="0.3">
      <c r="A21" s="465"/>
      <c r="B21" s="497"/>
      <c r="C21" s="467"/>
      <c r="D21" s="468"/>
      <c r="E21" s="475"/>
      <c r="F21" s="476"/>
      <c r="G21" s="462"/>
      <c r="H21" s="463"/>
      <c r="I21" s="464"/>
    </row>
    <row r="22" spans="1:9" ht="19.5" x14ac:dyDescent="0.3">
      <c r="A22" s="465"/>
      <c r="B22" s="497"/>
      <c r="C22" s="467"/>
      <c r="D22" s="468"/>
      <c r="E22" s="498"/>
      <c r="F22" s="476"/>
      <c r="G22" s="462"/>
      <c r="H22" s="463"/>
      <c r="I22" s="464"/>
    </row>
    <row r="23" spans="1:9" ht="19.5" x14ac:dyDescent="0.3">
      <c r="A23" s="465"/>
      <c r="B23" s="497"/>
      <c r="C23" s="467"/>
      <c r="D23" s="468"/>
      <c r="E23" s="475"/>
      <c r="F23" s="476"/>
      <c r="G23" s="462"/>
      <c r="H23" s="463"/>
      <c r="I23" s="464"/>
    </row>
    <row r="24" spans="1:9" ht="19.5" x14ac:dyDescent="0.3">
      <c r="A24" s="465"/>
      <c r="B24" s="497"/>
      <c r="C24" s="467"/>
      <c r="D24" s="468"/>
      <c r="E24" s="469"/>
      <c r="F24" s="470"/>
      <c r="G24" s="462"/>
      <c r="H24" s="463"/>
      <c r="I24" s="464"/>
    </row>
    <row r="25" spans="1:9" ht="19.5" x14ac:dyDescent="0.3">
      <c r="A25" s="465"/>
      <c r="B25" s="497"/>
      <c r="C25" s="467"/>
      <c r="D25" s="468"/>
      <c r="E25" s="469"/>
      <c r="F25" s="470"/>
      <c r="G25" s="462"/>
      <c r="H25" s="463"/>
      <c r="I25" s="464"/>
    </row>
    <row r="26" spans="1:9" ht="19.5" x14ac:dyDescent="0.3">
      <c r="A26" s="499"/>
      <c r="B26" s="499"/>
      <c r="C26" s="500"/>
      <c r="D26" s="501"/>
      <c r="E26" s="502"/>
      <c r="F26" s="503"/>
      <c r="G26" s="462"/>
      <c r="H26" s="463"/>
      <c r="I26" s="464"/>
    </row>
    <row r="27" spans="1:9" ht="19.5" x14ac:dyDescent="0.3">
      <c r="A27" s="487"/>
      <c r="B27" s="487"/>
      <c r="C27" s="488"/>
      <c r="D27" s="504"/>
      <c r="E27" s="505"/>
      <c r="F27" s="503"/>
      <c r="G27" s="462"/>
      <c r="H27" s="463"/>
      <c r="I27" s="464"/>
    </row>
    <row r="28" spans="1:9" ht="19.5" x14ac:dyDescent="0.3">
      <c r="A28" s="487"/>
      <c r="B28" s="487"/>
      <c r="C28" s="488"/>
      <c r="D28" s="504"/>
      <c r="E28" s="498"/>
      <c r="F28" s="506"/>
      <c r="G28" s="462"/>
      <c r="H28" s="463"/>
      <c r="I28" s="464"/>
    </row>
    <row r="29" spans="1:9" ht="19.5" x14ac:dyDescent="0.3">
      <c r="A29" s="507"/>
      <c r="B29" s="508"/>
      <c r="C29" s="509" t="s">
        <v>45</v>
      </c>
      <c r="D29" s="510"/>
      <c r="E29" s="511"/>
      <c r="F29" s="463"/>
      <c r="G29" s="462"/>
      <c r="H29" s="500"/>
      <c r="I29" s="464"/>
    </row>
    <row r="30" spans="1:9" ht="19.5" x14ac:dyDescent="0.3">
      <c r="A30" s="512" t="s">
        <v>207</v>
      </c>
      <c r="B30" s="512" t="s">
        <v>208</v>
      </c>
      <c r="C30" s="513" t="s">
        <v>209</v>
      </c>
      <c r="D30" s="514" t="s">
        <v>178</v>
      </c>
      <c r="E30" s="505">
        <v>20</v>
      </c>
      <c r="F30" s="485" t="s">
        <v>210</v>
      </c>
      <c r="G30" s="515"/>
      <c r="H30" s="463"/>
      <c r="I30" s="464"/>
    </row>
    <row r="31" spans="1:9" ht="19.5" x14ac:dyDescent="0.3">
      <c r="A31" s="512" t="s">
        <v>211</v>
      </c>
      <c r="B31" s="512" t="s">
        <v>212</v>
      </c>
      <c r="C31" s="513" t="s">
        <v>213</v>
      </c>
      <c r="D31" s="514" t="s">
        <v>30</v>
      </c>
      <c r="E31" s="505">
        <v>1</v>
      </c>
      <c r="F31" s="485" t="s">
        <v>214</v>
      </c>
      <c r="G31" s="515"/>
      <c r="H31" s="463"/>
      <c r="I31" s="464"/>
    </row>
    <row r="32" spans="1:9" ht="19.5" x14ac:dyDescent="0.3">
      <c r="A32" s="512" t="s">
        <v>215</v>
      </c>
      <c r="B32" s="512" t="s">
        <v>216</v>
      </c>
      <c r="C32" s="513" t="s">
        <v>217</v>
      </c>
      <c r="D32" s="514" t="s">
        <v>173</v>
      </c>
      <c r="E32" s="505">
        <v>1</v>
      </c>
      <c r="F32" s="485" t="s">
        <v>214</v>
      </c>
      <c r="G32" s="515"/>
      <c r="H32" s="463"/>
      <c r="I32" s="464"/>
    </row>
    <row r="33" spans="1:9" ht="19.5" x14ac:dyDescent="0.3">
      <c r="A33" s="516"/>
      <c r="B33" s="516"/>
      <c r="C33" s="517"/>
      <c r="D33" s="495"/>
      <c r="E33" s="518"/>
      <c r="F33" s="519"/>
      <c r="G33" s="462"/>
      <c r="H33" s="463"/>
      <c r="I33" s="464"/>
    </row>
    <row r="34" spans="1:9" ht="19.5" x14ac:dyDescent="0.3">
      <c r="A34" s="516"/>
      <c r="B34" s="516"/>
      <c r="C34" s="520"/>
      <c r="D34" s="495"/>
      <c r="E34" s="495"/>
      <c r="F34" s="519"/>
      <c r="G34" s="462"/>
      <c r="H34" s="463"/>
      <c r="I34" s="464"/>
    </row>
    <row r="35" spans="1:9" ht="19.5" x14ac:dyDescent="0.3">
      <c r="A35" s="516"/>
      <c r="B35" s="516"/>
      <c r="C35" s="520"/>
      <c r="D35" s="495"/>
      <c r="E35" s="495"/>
      <c r="F35" s="519"/>
      <c r="G35" s="521"/>
      <c r="H35" s="463"/>
      <c r="I35" s="464"/>
    </row>
    <row r="36" spans="1:9" ht="19.5" x14ac:dyDescent="0.3">
      <c r="A36" s="522"/>
      <c r="B36" s="523"/>
      <c r="C36" s="524"/>
      <c r="D36" s="525"/>
      <c r="E36" s="525"/>
      <c r="F36" s="526"/>
      <c r="G36" s="490"/>
      <c r="H36" s="463"/>
      <c r="I36" s="464"/>
    </row>
    <row r="37" spans="1:9" ht="19.5" x14ac:dyDescent="0.3">
      <c r="A37" s="492"/>
      <c r="B37" s="493"/>
      <c r="C37" s="513"/>
      <c r="D37" s="495"/>
      <c r="E37" s="490"/>
      <c r="F37" s="491"/>
      <c r="G37" s="490"/>
      <c r="H37" s="463"/>
      <c r="I37" s="464"/>
    </row>
    <row r="38" spans="1:9" ht="19.5" x14ac:dyDescent="0.3">
      <c r="A38" s="492"/>
      <c r="B38" s="493"/>
      <c r="C38" s="513"/>
      <c r="D38" s="495"/>
      <c r="E38" s="495"/>
      <c r="F38" s="491"/>
      <c r="G38" s="495"/>
      <c r="H38" s="495"/>
      <c r="I38" s="464"/>
    </row>
    <row r="39" spans="1:9" ht="19.5" thickBot="1" x14ac:dyDescent="0.3">
      <c r="A39" s="527"/>
      <c r="B39" s="528"/>
      <c r="C39" s="529"/>
      <c r="D39" s="529"/>
      <c r="E39" s="530"/>
      <c r="F39" s="531"/>
      <c r="G39" s="529"/>
      <c r="H39" s="529"/>
      <c r="I39" s="532"/>
    </row>
    <row r="40" spans="1:9" ht="19.5" thickBot="1" x14ac:dyDescent="0.3">
      <c r="A40" s="533"/>
      <c r="B40" s="534"/>
      <c r="C40" s="535"/>
      <c r="D40" s="536" t="s">
        <v>9</v>
      </c>
      <c r="E40" s="537" t="s">
        <v>12</v>
      </c>
      <c r="F40" s="538"/>
      <c r="G40" s="535"/>
      <c r="H40" s="535"/>
      <c r="I40" s="539"/>
    </row>
    <row r="41" spans="1:9" ht="18.75" x14ac:dyDescent="0.25">
      <c r="A41" s="661" t="s">
        <v>13</v>
      </c>
      <c r="B41" s="662"/>
      <c r="C41" s="663"/>
      <c r="D41" s="505">
        <v>1000</v>
      </c>
      <c r="E41" s="540" t="s">
        <v>11</v>
      </c>
      <c r="F41" s="664" t="s">
        <v>48</v>
      </c>
      <c r="G41" s="664"/>
      <c r="H41" s="665"/>
      <c r="I41" s="666"/>
    </row>
    <row r="42" spans="1:9" ht="18.75" x14ac:dyDescent="0.25">
      <c r="A42" s="646" t="s">
        <v>14</v>
      </c>
      <c r="B42" s="647"/>
      <c r="C42" s="648"/>
      <c r="D42" s="477">
        <v>3</v>
      </c>
      <c r="E42" s="477" t="s">
        <v>19</v>
      </c>
      <c r="F42" s="649" t="s">
        <v>23</v>
      </c>
      <c r="G42" s="649"/>
      <c r="H42" s="650"/>
      <c r="I42" s="651"/>
    </row>
    <row r="43" spans="1:9" ht="18.75" x14ac:dyDescent="0.25">
      <c r="A43" s="646" t="s">
        <v>15</v>
      </c>
      <c r="B43" s="647"/>
      <c r="C43" s="648"/>
      <c r="D43" s="477">
        <v>1</v>
      </c>
      <c r="E43" s="477" t="s">
        <v>149</v>
      </c>
      <c r="F43" s="649" t="s">
        <v>49</v>
      </c>
      <c r="G43" s="649"/>
      <c r="H43" s="650"/>
      <c r="I43" s="651"/>
    </row>
    <row r="44" spans="1:9" ht="18.75" x14ac:dyDescent="0.25">
      <c r="A44" s="646" t="s">
        <v>16</v>
      </c>
      <c r="B44" s="647"/>
      <c r="C44" s="648"/>
      <c r="D44" s="498">
        <v>1000</v>
      </c>
      <c r="E44" s="477" t="s">
        <v>11</v>
      </c>
      <c r="F44" s="673" t="s">
        <v>50</v>
      </c>
      <c r="G44" s="674"/>
      <c r="H44" s="675"/>
      <c r="I44" s="676"/>
    </row>
    <row r="45" spans="1:9" ht="19.5" thickBot="1" x14ac:dyDescent="0.3">
      <c r="A45" s="677" t="s">
        <v>17</v>
      </c>
      <c r="B45" s="678"/>
      <c r="C45" s="679"/>
      <c r="D45" s="541">
        <v>9.3457943925234304</v>
      </c>
      <c r="E45" s="542" t="s">
        <v>11</v>
      </c>
      <c r="F45" s="680"/>
      <c r="G45" s="680"/>
      <c r="H45" s="650"/>
      <c r="I45" s="651"/>
    </row>
    <row r="46" spans="1:9" ht="19.5" thickBot="1" x14ac:dyDescent="0.3">
      <c r="A46" s="681" t="s">
        <v>18</v>
      </c>
      <c r="B46" s="682"/>
      <c r="C46" s="682"/>
      <c r="D46" s="682"/>
      <c r="E46" s="682"/>
      <c r="F46" s="682"/>
      <c r="G46" s="682"/>
      <c r="H46" s="682"/>
      <c r="I46" s="683"/>
    </row>
    <row r="47" spans="1:9" ht="18.75" x14ac:dyDescent="0.25">
      <c r="A47" s="669" t="s">
        <v>218</v>
      </c>
      <c r="B47" s="670"/>
      <c r="C47" s="671"/>
      <c r="D47" s="671"/>
      <c r="E47" s="671"/>
      <c r="F47" s="671"/>
      <c r="G47" s="671"/>
      <c r="H47" s="671"/>
      <c r="I47" s="672"/>
    </row>
    <row r="48" spans="1:9" ht="18.75" x14ac:dyDescent="0.25">
      <c r="A48" s="669" t="s">
        <v>219</v>
      </c>
      <c r="B48" s="670"/>
      <c r="C48" s="671"/>
      <c r="D48" s="671"/>
      <c r="E48" s="671"/>
      <c r="F48" s="671"/>
      <c r="G48" s="671"/>
      <c r="H48" s="671"/>
      <c r="I48" s="672"/>
    </row>
    <row r="49" spans="1:9" ht="18.75" x14ac:dyDescent="0.25">
      <c r="A49" s="669" t="s">
        <v>220</v>
      </c>
      <c r="B49" s="670"/>
      <c r="C49" s="671"/>
      <c r="D49" s="671"/>
      <c r="E49" s="671"/>
      <c r="F49" s="671"/>
      <c r="G49" s="671"/>
      <c r="H49" s="671"/>
      <c r="I49" s="672"/>
    </row>
    <row r="50" spans="1:9" ht="18.75" x14ac:dyDescent="0.25">
      <c r="A50" s="692" t="s">
        <v>221</v>
      </c>
      <c r="B50" s="693"/>
      <c r="C50" s="694"/>
      <c r="D50" s="694"/>
      <c r="E50" s="694"/>
      <c r="F50" s="694"/>
      <c r="G50" s="694"/>
      <c r="H50" s="694"/>
      <c r="I50" s="695"/>
    </row>
    <row r="51" spans="1:9" ht="18.75" x14ac:dyDescent="0.25">
      <c r="A51" s="696"/>
      <c r="B51" s="697"/>
      <c r="C51" s="698"/>
      <c r="D51" s="698"/>
      <c r="E51" s="698"/>
      <c r="F51" s="698"/>
      <c r="G51" s="698"/>
      <c r="H51" s="698"/>
      <c r="I51" s="699"/>
    </row>
    <row r="52" spans="1:9" ht="18.75" x14ac:dyDescent="0.25">
      <c r="A52" s="700"/>
      <c r="B52" s="701"/>
      <c r="C52" s="702"/>
      <c r="D52" s="702"/>
      <c r="E52" s="702"/>
      <c r="F52" s="702"/>
      <c r="G52" s="702"/>
      <c r="H52" s="702"/>
      <c r="I52" s="703"/>
    </row>
    <row r="53" spans="1:9" ht="18.75" x14ac:dyDescent="0.25">
      <c r="A53" s="704"/>
      <c r="B53" s="705"/>
      <c r="C53" s="705"/>
      <c r="D53" s="705"/>
      <c r="E53" s="705"/>
      <c r="F53" s="705"/>
      <c r="G53" s="705"/>
      <c r="H53" s="705"/>
      <c r="I53" s="706"/>
    </row>
    <row r="54" spans="1:9" ht="19.5" thickBot="1" x14ac:dyDescent="0.3">
      <c r="A54" s="689"/>
      <c r="B54" s="690"/>
      <c r="C54" s="690"/>
      <c r="D54" s="690"/>
      <c r="E54" s="690"/>
      <c r="F54" s="690"/>
      <c r="G54" s="690"/>
      <c r="H54" s="690"/>
      <c r="I54" s="691"/>
    </row>
    <row r="55" spans="1:9" ht="20.25" thickBot="1" x14ac:dyDescent="0.35">
      <c r="A55" s="684"/>
      <c r="B55" s="685"/>
      <c r="C55" s="685"/>
      <c r="D55" s="685"/>
      <c r="E55" s="685"/>
      <c r="F55" s="685"/>
      <c r="G55" s="685"/>
      <c r="H55" s="685"/>
      <c r="I55" s="686"/>
    </row>
    <row r="56" spans="1:9" ht="18.75" x14ac:dyDescent="0.25">
      <c r="A56" s="687" t="s">
        <v>51</v>
      </c>
      <c r="B56" s="688"/>
      <c r="C56" s="688"/>
      <c r="D56" s="688"/>
      <c r="E56" s="688"/>
      <c r="F56" s="688"/>
      <c r="G56" s="688"/>
      <c r="H56" s="688"/>
      <c r="I56" s="688"/>
    </row>
    <row r="57" spans="1:9" ht="18.75" x14ac:dyDescent="0.25">
      <c r="A57" s="627" t="s">
        <v>222</v>
      </c>
      <c r="B57" s="628"/>
      <c r="C57" s="628"/>
      <c r="D57" s="628"/>
      <c r="E57" s="628"/>
      <c r="F57" s="628"/>
      <c r="G57" s="628"/>
      <c r="H57" s="628"/>
      <c r="I57" s="629"/>
    </row>
    <row r="58" spans="1:9" ht="18.75" x14ac:dyDescent="0.25">
      <c r="A58" s="667"/>
      <c r="B58" s="668"/>
      <c r="C58" s="668"/>
      <c r="D58" s="668"/>
      <c r="E58" s="668"/>
      <c r="F58" s="668"/>
      <c r="G58" s="668"/>
      <c r="H58" s="668"/>
      <c r="I58" s="668"/>
    </row>
  </sheetData>
  <mergeCells count="45">
    <mergeCell ref="A54:I54"/>
    <mergeCell ref="A49:I49"/>
    <mergeCell ref="A50:I50"/>
    <mergeCell ref="A51:I51"/>
    <mergeCell ref="A52:I52"/>
    <mergeCell ref="A53:I53"/>
    <mergeCell ref="A58:I58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62C3-ADC7-4462-BCBA-730357887E95}">
  <dimension ref="A1"/>
  <sheetViews>
    <sheetView workbookViewId="0">
      <selection activeCell="Q12" sqref="Q12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DA5-2D70-4A48-A91C-B81078F6DB32}">
  <dimension ref="A1:Q91"/>
  <sheetViews>
    <sheetView workbookViewId="0">
      <selection activeCell="B66" sqref="B66:E66"/>
    </sheetView>
  </sheetViews>
  <sheetFormatPr baseColWidth="10" defaultColWidth="8.42578125" defaultRowHeight="12.75" x14ac:dyDescent="0.2"/>
  <cols>
    <col min="1" max="1" width="10" style="155" bestFit="1" customWidth="1"/>
    <col min="2" max="2" width="44.28515625" style="155" bestFit="1" customWidth="1"/>
    <col min="3" max="3" width="10.42578125" style="155" bestFit="1" customWidth="1"/>
    <col min="4" max="4" width="10.42578125" style="155" customWidth="1"/>
    <col min="5" max="5" width="11" style="155" customWidth="1"/>
    <col min="6" max="6" width="9.5703125" style="155" bestFit="1" customWidth="1"/>
    <col min="7" max="7" width="10.85546875" style="237" customWidth="1"/>
    <col min="8" max="8" width="10.42578125" style="228" bestFit="1" customWidth="1"/>
    <col min="9" max="9" width="4.5703125" style="228" customWidth="1"/>
    <col min="10" max="10" width="1.85546875" style="154" customWidth="1"/>
    <col min="11" max="11" width="7" style="155" bestFit="1" customWidth="1"/>
    <col min="12" max="12" width="6.28515625" style="155" customWidth="1"/>
    <col min="13" max="13" width="20.42578125" style="155" customWidth="1"/>
    <col min="14" max="14" width="6.42578125" style="155" bestFit="1" customWidth="1"/>
    <col min="15" max="16" width="8.42578125" style="155"/>
    <col min="17" max="17" width="3.28515625" style="155" customWidth="1"/>
    <col min="18" max="16384" width="8.42578125" style="155"/>
  </cols>
  <sheetData>
    <row r="1" spans="1:10" ht="27.75" customHeight="1" x14ac:dyDescent="0.2">
      <c r="A1" s="150"/>
      <c r="B1" s="150"/>
      <c r="C1" s="150"/>
      <c r="D1" s="150"/>
      <c r="E1" s="151" t="s">
        <v>83</v>
      </c>
      <c r="F1" s="152" t="s">
        <v>84</v>
      </c>
      <c r="G1" s="152" t="s">
        <v>85</v>
      </c>
      <c r="H1" s="152" t="s">
        <v>86</v>
      </c>
      <c r="I1" s="153"/>
    </row>
    <row r="2" spans="1:10" ht="30.75" customHeight="1" x14ac:dyDescent="0.2">
      <c r="A2" s="150"/>
      <c r="B2" s="150"/>
      <c r="C2" s="150"/>
      <c r="D2" s="150"/>
      <c r="E2" s="156">
        <f>IFERROR(O62,"")</f>
        <v>2956.8953527599565</v>
      </c>
      <c r="F2" s="156">
        <f>IFERROR(H53,"")</f>
        <v>1602.1337662337662</v>
      </c>
      <c r="G2" s="156">
        <f>IFERROR(H54,"")</f>
        <v>522.22401094184943</v>
      </c>
      <c r="H2" s="156">
        <f>IFERROR(H56,"")</f>
        <v>400.65870824996409</v>
      </c>
      <c r="I2" s="157"/>
    </row>
    <row r="3" spans="1:10" ht="15" customHeight="1" x14ac:dyDescent="0.2">
      <c r="A3" s="150"/>
      <c r="B3" s="150"/>
      <c r="C3" s="150"/>
      <c r="D3" s="150"/>
      <c r="E3" s="150"/>
      <c r="F3" s="158"/>
      <c r="G3" s="158"/>
      <c r="H3" s="158"/>
      <c r="I3" s="158"/>
    </row>
    <row r="4" spans="1:10" ht="24.75" customHeight="1" thickBot="1" x14ac:dyDescent="0.25">
      <c r="A4" s="733"/>
      <c r="B4" s="733"/>
      <c r="C4" s="733"/>
      <c r="D4" s="733"/>
      <c r="E4" s="733"/>
      <c r="F4" s="733"/>
      <c r="G4" s="733"/>
      <c r="H4" s="733"/>
      <c r="I4" s="159"/>
    </row>
    <row r="5" spans="1:10" ht="19.5" customHeight="1" thickBot="1" x14ac:dyDescent="0.25">
      <c r="A5" s="734" t="s">
        <v>87</v>
      </c>
      <c r="B5" s="735"/>
      <c r="C5" s="735"/>
      <c r="D5" s="735"/>
      <c r="E5" s="735"/>
      <c r="F5" s="735"/>
      <c r="G5" s="735"/>
      <c r="H5" s="736"/>
      <c r="I5" s="160"/>
    </row>
    <row r="6" spans="1:10" ht="19.5" thickBot="1" x14ac:dyDescent="0.25">
      <c r="A6" s="160"/>
      <c r="B6" s="160"/>
      <c r="C6" s="160"/>
      <c r="D6" s="160"/>
      <c r="E6" s="160"/>
      <c r="F6" s="737" t="s">
        <v>88</v>
      </c>
      <c r="G6" s="737"/>
      <c r="H6" s="161">
        <f ca="1">TODAY()</f>
        <v>46129</v>
      </c>
      <c r="I6" s="161"/>
    </row>
    <row r="7" spans="1:10" ht="26.25" thickBot="1" x14ac:dyDescent="0.25">
      <c r="A7" s="162" t="s">
        <v>89</v>
      </c>
      <c r="B7" s="163" t="s">
        <v>90</v>
      </c>
      <c r="C7" s="163" t="s">
        <v>89</v>
      </c>
      <c r="D7" s="164" t="s">
        <v>91</v>
      </c>
      <c r="E7" s="164" t="s">
        <v>92</v>
      </c>
      <c r="F7" s="164" t="s">
        <v>93</v>
      </c>
      <c r="G7" s="164" t="s">
        <v>94</v>
      </c>
      <c r="H7" s="165" t="s">
        <v>95</v>
      </c>
      <c r="I7" s="166"/>
    </row>
    <row r="8" spans="1:10" ht="13.5" x14ac:dyDescent="0.25">
      <c r="A8" s="167">
        <v>390</v>
      </c>
      <c r="B8" s="155" t="s">
        <v>57</v>
      </c>
      <c r="C8" s="168">
        <f>+A8</f>
        <v>390</v>
      </c>
      <c r="D8" s="169" t="s">
        <v>135</v>
      </c>
      <c r="E8" s="169">
        <v>1.96</v>
      </c>
      <c r="F8" s="169">
        <f>IFERROR(C8*E8,"")</f>
        <v>764.4</v>
      </c>
      <c r="G8" s="170">
        <f t="shared" ref="G8:G14" si="0">IFERROR(F8/$F$66,"")</f>
        <v>0.32018088930135485</v>
      </c>
      <c r="H8" s="171" t="s">
        <v>56</v>
      </c>
      <c r="I8" s="171"/>
      <c r="J8" s="172"/>
    </row>
    <row r="9" spans="1:10" ht="13.5" x14ac:dyDescent="0.25">
      <c r="A9" s="167">
        <v>10</v>
      </c>
      <c r="B9" s="155" t="s">
        <v>36</v>
      </c>
      <c r="C9" s="168">
        <f t="shared" ref="C9:C14" si="1">+A9</f>
        <v>10</v>
      </c>
      <c r="D9" s="169" t="s">
        <v>135</v>
      </c>
      <c r="E9" s="169">
        <v>2.5499999999999998</v>
      </c>
      <c r="F9" s="169">
        <f t="shared" ref="F9:F14" si="2">IFERROR(C9*E9,"")</f>
        <v>25.5</v>
      </c>
      <c r="G9" s="170">
        <f t="shared" si="0"/>
        <v>1.0681073622690409E-2</v>
      </c>
      <c r="H9" s="171" t="s">
        <v>37</v>
      </c>
      <c r="I9" s="171"/>
      <c r="J9" s="172"/>
    </row>
    <row r="10" spans="1:10" ht="13.5" hidden="1" x14ac:dyDescent="0.25">
      <c r="A10" s="167"/>
      <c r="B10" s="155" t="str">
        <f>IFERROR(VLOOKUP(H10,'[1]Consolidado MP Planta'!$A$2:$M$823,3,0),"")</f>
        <v/>
      </c>
      <c r="C10" s="168">
        <f t="shared" si="1"/>
        <v>0</v>
      </c>
      <c r="D10" s="169" t="str">
        <f>IFERROR(VLOOKUP(H10,'[1]Consolidado MP Planta'!$A$2:$M$823,13,0),"")</f>
        <v/>
      </c>
      <c r="E10" s="169" t="str">
        <f>IFERROR(VLOOKUP(H10,'[1]Consolidado MP Planta'!$A$2:$M$823,12,0),"")</f>
        <v/>
      </c>
      <c r="F10" s="169" t="str">
        <f t="shared" si="2"/>
        <v/>
      </c>
      <c r="G10" s="170" t="str">
        <f t="shared" si="0"/>
        <v/>
      </c>
      <c r="H10" s="171"/>
      <c r="I10" s="171"/>
      <c r="J10" s="172"/>
    </row>
    <row r="11" spans="1:10" ht="13.5" hidden="1" x14ac:dyDescent="0.25">
      <c r="A11" s="167"/>
      <c r="B11" s="155" t="str">
        <f>IFERROR(VLOOKUP(H11,'[1]Consolidado MP Planta'!$A$2:$M$823,3,0),"")</f>
        <v/>
      </c>
      <c r="C11" s="168">
        <f t="shared" si="1"/>
        <v>0</v>
      </c>
      <c r="D11" s="169" t="str">
        <f>IFERROR(VLOOKUP(H11,'[1]Consolidado MP Planta'!$A$2:$M$823,13,0),"")</f>
        <v/>
      </c>
      <c r="E11" s="169" t="str">
        <f>IFERROR(VLOOKUP(H11,'[1]Consolidado MP Planta'!$A$2:$M$823,12,0),"")</f>
        <v/>
      </c>
      <c r="F11" s="169" t="str">
        <f t="shared" si="2"/>
        <v/>
      </c>
      <c r="G11" s="170" t="str">
        <f t="shared" si="0"/>
        <v/>
      </c>
      <c r="H11" s="171"/>
      <c r="I11" s="171"/>
      <c r="J11" s="172"/>
    </row>
    <row r="12" spans="1:10" ht="13.5" hidden="1" x14ac:dyDescent="0.25">
      <c r="A12" s="167"/>
      <c r="B12" s="155" t="str">
        <f>IFERROR(VLOOKUP(H12,'[1]Consolidado MP Planta'!$A$2:$M$823,3,0),"")</f>
        <v/>
      </c>
      <c r="C12" s="168">
        <f t="shared" si="1"/>
        <v>0</v>
      </c>
      <c r="D12" s="169" t="str">
        <f>IFERROR(VLOOKUP(H12,'[1]Consolidado MP Planta'!$A$2:$M$823,13,0),"")</f>
        <v/>
      </c>
      <c r="E12" s="169" t="str">
        <f>IFERROR(VLOOKUP(H12,'[1]Consolidado MP Planta'!$A$2:$M$823,12,0),"")</f>
        <v/>
      </c>
      <c r="F12" s="169" t="str">
        <f t="shared" si="2"/>
        <v/>
      </c>
      <c r="G12" s="170" t="str">
        <f t="shared" si="0"/>
        <v/>
      </c>
      <c r="H12" s="171"/>
      <c r="I12" s="171"/>
      <c r="J12" s="172"/>
    </row>
    <row r="13" spans="1:10" ht="13.5" hidden="1" x14ac:dyDescent="0.25">
      <c r="A13" s="167"/>
      <c r="B13" s="155" t="str">
        <f>IFERROR(VLOOKUP(H13,'[1]Consolidado MP Planta'!$A$2:$M$823,3,0),"")</f>
        <v/>
      </c>
      <c r="C13" s="168">
        <f t="shared" si="1"/>
        <v>0</v>
      </c>
      <c r="D13" s="169" t="str">
        <f>IFERROR(VLOOKUP(H13,'[1]Consolidado MP Planta'!$A$2:$M$823,13,0),"")</f>
        <v/>
      </c>
      <c r="E13" s="169" t="str">
        <f>IFERROR(VLOOKUP(H13,'[1]Consolidado MP Planta'!$A$2:$M$823,12,0),"")</f>
        <v/>
      </c>
      <c r="F13" s="169" t="str">
        <f t="shared" si="2"/>
        <v/>
      </c>
      <c r="G13" s="170" t="str">
        <f t="shared" si="0"/>
        <v/>
      </c>
      <c r="H13" s="171"/>
      <c r="I13" s="171"/>
      <c r="J13" s="172"/>
    </row>
    <row r="14" spans="1:10" ht="13.5" hidden="1" x14ac:dyDescent="0.25">
      <c r="A14" s="167"/>
      <c r="B14" s="155" t="str">
        <f>IFERROR(VLOOKUP(H14,'[1]Consolidado MP Planta'!$A$2:$M$823,3,0),"")</f>
        <v/>
      </c>
      <c r="C14" s="168">
        <f t="shared" si="1"/>
        <v>0</v>
      </c>
      <c r="D14" s="169" t="str">
        <f>IFERROR(VLOOKUP(H14,'[1]Consolidado MP Planta'!$A$2:$M$823,13,0),"")</f>
        <v/>
      </c>
      <c r="E14" s="169" t="str">
        <f>IFERROR(VLOOKUP(H14,'[1]Consolidado MP Planta'!$A$2:$M$823,12,0),"")</f>
        <v/>
      </c>
      <c r="F14" s="169" t="str">
        <f t="shared" si="2"/>
        <v/>
      </c>
      <c r="G14" s="170" t="str">
        <f t="shared" si="0"/>
        <v/>
      </c>
      <c r="H14" s="171"/>
      <c r="I14" s="171"/>
      <c r="J14" s="172"/>
    </row>
    <row r="15" spans="1:10" ht="14.25" thickBot="1" x14ac:dyDescent="0.3">
      <c r="A15" s="167"/>
      <c r="B15" s="155" t="str">
        <f>IFERROR(VLOOKUP(H15,[2]Hoja2!$A$2:$G$589,2,0),"")</f>
        <v/>
      </c>
      <c r="C15" s="168"/>
      <c r="D15" s="169"/>
      <c r="E15" s="169"/>
      <c r="F15" s="169"/>
      <c r="G15" s="170"/>
      <c r="H15" s="171"/>
      <c r="I15" s="171"/>
      <c r="J15" s="172"/>
    </row>
    <row r="16" spans="1:10" ht="26.25" thickBot="1" x14ac:dyDescent="0.25">
      <c r="A16" s="162" t="s">
        <v>89</v>
      </c>
      <c r="B16" s="163" t="s">
        <v>96</v>
      </c>
      <c r="C16" s="163" t="s">
        <v>89</v>
      </c>
      <c r="D16" s="164" t="s">
        <v>91</v>
      </c>
      <c r="E16" s="164" t="s">
        <v>92</v>
      </c>
      <c r="F16" s="164" t="s">
        <v>93</v>
      </c>
      <c r="G16" s="164" t="s">
        <v>94</v>
      </c>
      <c r="H16" s="165" t="s">
        <v>95</v>
      </c>
      <c r="I16" s="166"/>
      <c r="J16" s="172"/>
    </row>
    <row r="17" spans="1:12" ht="13.5" x14ac:dyDescent="0.25">
      <c r="A17" s="167">
        <v>4</v>
      </c>
      <c r="B17" s="155" t="s">
        <v>74</v>
      </c>
      <c r="C17" s="168">
        <f>+A17</f>
        <v>4</v>
      </c>
      <c r="D17" s="168" t="s">
        <v>135</v>
      </c>
      <c r="E17" s="169">
        <f>+'Costo Galleta '!H53</f>
        <v>127.55844155844156</v>
      </c>
      <c r="F17" s="169">
        <f>IFERROR(E17*C17,"")</f>
        <v>510.23376623376623</v>
      </c>
      <c r="G17" s="170">
        <f t="shared" ref="G17:G24" si="3">IFERROR(F17/$F$66,"")</f>
        <v>0.21371938909511626</v>
      </c>
      <c r="H17" s="171" t="s">
        <v>53</v>
      </c>
      <c r="I17" s="171"/>
      <c r="J17" s="172"/>
    </row>
    <row r="18" spans="1:12" ht="13.5" x14ac:dyDescent="0.25">
      <c r="A18" s="167">
        <v>130</v>
      </c>
      <c r="B18" s="155" t="s">
        <v>80</v>
      </c>
      <c r="C18" s="168">
        <f t="shared" ref="C18:C24" si="4">+A18</f>
        <v>130</v>
      </c>
      <c r="D18" s="168" t="s">
        <v>135</v>
      </c>
      <c r="E18" s="169">
        <v>2.17</v>
      </c>
      <c r="F18" s="169">
        <f t="shared" ref="F18:F24" si="5">IFERROR(E18*C18,"")</f>
        <v>282.09999999999997</v>
      </c>
      <c r="G18" s="170">
        <f t="shared" si="3"/>
        <v>0.11816199486121427</v>
      </c>
      <c r="H18" s="171" t="s">
        <v>79</v>
      </c>
      <c r="I18" s="171"/>
      <c r="J18" s="172"/>
    </row>
    <row r="19" spans="1:12" ht="13.5" x14ac:dyDescent="0.25">
      <c r="A19" s="167">
        <v>10</v>
      </c>
      <c r="B19" s="155" t="s">
        <v>82</v>
      </c>
      <c r="C19" s="168">
        <f>+A19</f>
        <v>10</v>
      </c>
      <c r="D19" s="168" t="s">
        <v>135</v>
      </c>
      <c r="E19" s="169">
        <v>1.99</v>
      </c>
      <c r="F19" s="169">
        <f>IFERROR(E19*C19,"")</f>
        <v>19.899999999999999</v>
      </c>
      <c r="G19" s="170">
        <f t="shared" si="3"/>
        <v>8.3354260820211416E-3</v>
      </c>
      <c r="H19" s="171" t="s">
        <v>81</v>
      </c>
      <c r="I19" s="171"/>
      <c r="J19" s="172"/>
    </row>
    <row r="20" spans="1:12" ht="13.5" hidden="1" x14ac:dyDescent="0.25">
      <c r="A20" s="167"/>
      <c r="B20" s="155" t="str">
        <f>IFERROR(VLOOKUP(H20,[1]SEMIELABORADOS!$A$2:$M$6000,2,0),"")</f>
        <v/>
      </c>
      <c r="C20" s="168">
        <f>+A20</f>
        <v>0</v>
      </c>
      <c r="D20" s="168" t="str">
        <f>IFERROR(VLOOKUP(H20,[1]SEMIELABORADOS!$A$2:$M$6000,6,0),"")</f>
        <v/>
      </c>
      <c r="E20" s="169" t="str">
        <f>IFERROR(VLOOKUP(H20,[1]SEMIELABORADOS!$A$2:$H$65536,8,0),"")</f>
        <v/>
      </c>
      <c r="F20" s="169" t="str">
        <f>IFERROR(E20*C20,"")</f>
        <v/>
      </c>
      <c r="G20" s="170" t="str">
        <f t="shared" si="3"/>
        <v/>
      </c>
      <c r="H20" s="171"/>
      <c r="I20" s="171"/>
      <c r="J20" s="172"/>
    </row>
    <row r="21" spans="1:12" ht="13.5" hidden="1" x14ac:dyDescent="0.25">
      <c r="A21" s="167"/>
      <c r="B21" s="155" t="str">
        <f>IFERROR(VLOOKUP(H21,[1]SEMIELABORADOS!$A$2:$M$6000,2,0),"")</f>
        <v/>
      </c>
      <c r="C21" s="168">
        <f>+A21</f>
        <v>0</v>
      </c>
      <c r="D21" s="168" t="str">
        <f>IFERROR(VLOOKUP(H21,[1]SEMIELABORADOS!$A$2:$M$6000,6,0),"")</f>
        <v/>
      </c>
      <c r="E21" s="169" t="str">
        <f>IFERROR(VLOOKUP(H21,[1]SEMIELABORADOS!$A$2:$H$65536,8,0),"")</f>
        <v/>
      </c>
      <c r="F21" s="169" t="str">
        <f>IFERROR(E21*C21,"")</f>
        <v/>
      </c>
      <c r="G21" s="170" t="str">
        <f t="shared" si="3"/>
        <v/>
      </c>
      <c r="H21" s="171"/>
      <c r="I21" s="171"/>
      <c r="J21" s="172"/>
    </row>
    <row r="22" spans="1:12" ht="13.5" hidden="1" x14ac:dyDescent="0.25">
      <c r="A22" s="167"/>
      <c r="B22" s="155" t="str">
        <f>IFERROR(VLOOKUP(H22,[1]SEMIELABORADOS!$A$2:$M$6000,2,0),"")</f>
        <v/>
      </c>
      <c r="C22" s="168">
        <f t="shared" si="4"/>
        <v>0</v>
      </c>
      <c r="D22" s="168" t="str">
        <f>IFERROR(VLOOKUP(H22,[1]SEMIELABORADOS!$A$2:$M$6000,6,0),"")</f>
        <v/>
      </c>
      <c r="E22" s="169" t="str">
        <f>IFERROR(VLOOKUP(H22,[1]SEMIELABORADOS!$A$2:$H$65536,8,0),"")</f>
        <v/>
      </c>
      <c r="F22" s="169" t="str">
        <f t="shared" si="5"/>
        <v/>
      </c>
      <c r="G22" s="170" t="str">
        <f t="shared" si="3"/>
        <v/>
      </c>
      <c r="H22" s="171"/>
      <c r="I22" s="171"/>
      <c r="J22" s="172"/>
    </row>
    <row r="23" spans="1:12" ht="13.5" hidden="1" x14ac:dyDescent="0.25">
      <c r="A23" s="167"/>
      <c r="B23" s="155" t="str">
        <f>IFERROR(VLOOKUP(H23,[1]SEMIELABORADOS!$A$2:$M$6000,2,0),"")</f>
        <v/>
      </c>
      <c r="C23" s="168">
        <f t="shared" si="4"/>
        <v>0</v>
      </c>
      <c r="D23" s="168" t="str">
        <f>IFERROR(VLOOKUP(H23,[1]SEMIELABORADOS!$A$2:$M$6000,6,0),"")</f>
        <v/>
      </c>
      <c r="E23" s="169" t="str">
        <f>IFERROR(VLOOKUP(H23,[1]SEMIELABORADOS!$A$2:$H$65536,8,0),"")</f>
        <v/>
      </c>
      <c r="F23" s="169" t="str">
        <f t="shared" si="5"/>
        <v/>
      </c>
      <c r="G23" s="170" t="str">
        <f t="shared" si="3"/>
        <v/>
      </c>
      <c r="H23" s="171"/>
      <c r="I23" s="171"/>
      <c r="J23" s="172"/>
    </row>
    <row r="24" spans="1:12" ht="13.5" hidden="1" x14ac:dyDescent="0.25">
      <c r="A24" s="167"/>
      <c r="B24" s="155" t="str">
        <f>IFERROR(VLOOKUP(H24,[1]SEMIELABORADOS!$A$2:$M$6000,2,0),"")</f>
        <v/>
      </c>
      <c r="C24" s="168">
        <f t="shared" si="4"/>
        <v>0</v>
      </c>
      <c r="D24" s="168" t="str">
        <f>IFERROR(VLOOKUP(H24,[1]SEMIELABORADOS!$A$2:$M$6000,6,0),"")</f>
        <v/>
      </c>
      <c r="E24" s="169" t="str">
        <f>IFERROR(VLOOKUP(H24,[1]SEMIELABORADOS!$A$2:$H$65536,8,0),"")</f>
        <v/>
      </c>
      <c r="F24" s="169" t="str">
        <f t="shared" si="5"/>
        <v/>
      </c>
      <c r="G24" s="170" t="str">
        <f t="shared" si="3"/>
        <v/>
      </c>
      <c r="H24" s="171"/>
      <c r="I24" s="171"/>
      <c r="J24" s="172"/>
    </row>
    <row r="25" spans="1:12" ht="14.25" thickBot="1" x14ac:dyDescent="0.3">
      <c r="A25" s="167"/>
      <c r="C25" s="168"/>
      <c r="D25" s="168"/>
      <c r="E25" s="169"/>
      <c r="F25" s="169"/>
      <c r="G25" s="170"/>
      <c r="H25" s="171"/>
      <c r="I25" s="171"/>
      <c r="J25" s="172"/>
    </row>
    <row r="26" spans="1:12" ht="26.25" thickBot="1" x14ac:dyDescent="0.25">
      <c r="A26" s="162" t="s">
        <v>89</v>
      </c>
      <c r="B26" s="163" t="s">
        <v>97</v>
      </c>
      <c r="C26" s="163" t="s">
        <v>89</v>
      </c>
      <c r="D26" s="164" t="s">
        <v>91</v>
      </c>
      <c r="E26" s="164" t="s">
        <v>92</v>
      </c>
      <c r="F26" s="164" t="s">
        <v>93</v>
      </c>
      <c r="G26" s="164" t="s">
        <v>94</v>
      </c>
      <c r="H26" s="165" t="s">
        <v>95</v>
      </c>
      <c r="I26" s="166"/>
    </row>
    <row r="27" spans="1:12" ht="13.5" x14ac:dyDescent="0.25">
      <c r="A27" s="167">
        <v>1</v>
      </c>
      <c r="B27" s="173" t="s">
        <v>26</v>
      </c>
      <c r="C27" s="168">
        <v>1</v>
      </c>
      <c r="D27" s="169" t="s">
        <v>136</v>
      </c>
      <c r="E27" s="169">
        <v>2.5</v>
      </c>
      <c r="F27" s="169">
        <v>2.5</v>
      </c>
      <c r="G27" s="170">
        <v>1.0418745624283571E-3</v>
      </c>
      <c r="H27" s="174" t="s">
        <v>137</v>
      </c>
      <c r="I27" s="174"/>
      <c r="J27" s="172"/>
      <c r="K27" s="727"/>
      <c r="L27" s="727"/>
    </row>
    <row r="28" spans="1:12" ht="13.5" x14ac:dyDescent="0.25">
      <c r="A28" s="167">
        <v>1</v>
      </c>
      <c r="B28" s="173" t="s">
        <v>138</v>
      </c>
      <c r="C28" s="168">
        <v>1</v>
      </c>
      <c r="D28" s="169" t="s">
        <v>136</v>
      </c>
      <c r="E28" s="169">
        <v>0.33333333333333331</v>
      </c>
      <c r="F28" s="169">
        <v>0.33333333333333331</v>
      </c>
      <c r="G28" s="170">
        <v>1.3891660832378094E-4</v>
      </c>
      <c r="H28" s="174" t="s">
        <v>27</v>
      </c>
      <c r="I28" s="174"/>
      <c r="J28" s="172"/>
      <c r="K28" s="727"/>
      <c r="L28" s="727"/>
    </row>
    <row r="29" spans="1:12" ht="13.5" x14ac:dyDescent="0.25">
      <c r="A29" s="167">
        <v>1</v>
      </c>
      <c r="B29" s="173" t="s">
        <v>59</v>
      </c>
      <c r="C29" s="168">
        <v>1</v>
      </c>
      <c r="D29" s="169" t="s">
        <v>136</v>
      </c>
      <c r="E29" s="169">
        <v>406.67</v>
      </c>
      <c r="F29" s="169">
        <v>406.67</v>
      </c>
      <c r="G29" s="170">
        <v>0.16947965132109599</v>
      </c>
      <c r="H29" s="174" t="s">
        <v>58</v>
      </c>
      <c r="I29" s="174"/>
      <c r="J29" s="172"/>
      <c r="K29" s="727"/>
      <c r="L29" s="727"/>
    </row>
    <row r="30" spans="1:12" ht="13.5" x14ac:dyDescent="0.25">
      <c r="A30" s="167">
        <v>1</v>
      </c>
      <c r="B30" s="173" t="s">
        <v>61</v>
      </c>
      <c r="C30" s="168">
        <v>1</v>
      </c>
      <c r="D30" s="169" t="s">
        <v>136</v>
      </c>
      <c r="E30" s="169">
        <v>78</v>
      </c>
      <c r="F30" s="169">
        <v>78</v>
      </c>
      <c r="G30" s="170">
        <v>3.2506486347764742E-2</v>
      </c>
      <c r="H30" s="174" t="s">
        <v>60</v>
      </c>
      <c r="I30" s="174"/>
      <c r="J30" s="172"/>
      <c r="K30" s="727"/>
      <c r="L30" s="727"/>
    </row>
    <row r="31" spans="1:12" ht="13.5" x14ac:dyDescent="0.25">
      <c r="A31" s="167">
        <v>1</v>
      </c>
      <c r="B31" s="173" t="s">
        <v>29</v>
      </c>
      <c r="C31" s="168">
        <v>1</v>
      </c>
      <c r="D31" s="169" t="s">
        <v>136</v>
      </c>
      <c r="E31" s="169">
        <v>6</v>
      </c>
      <c r="F31" s="169">
        <v>6</v>
      </c>
      <c r="G31" s="170">
        <v>2.5004989498280572E-3</v>
      </c>
      <c r="H31" s="174" t="s">
        <v>28</v>
      </c>
      <c r="I31" s="174"/>
      <c r="J31" s="172"/>
      <c r="K31" s="175"/>
      <c r="L31" s="176"/>
    </row>
    <row r="32" spans="1:12" ht="13.5" x14ac:dyDescent="0.25">
      <c r="A32" s="167">
        <v>1</v>
      </c>
      <c r="B32" s="173" t="s">
        <v>32</v>
      </c>
      <c r="C32" s="168">
        <v>1</v>
      </c>
      <c r="D32" s="169" t="s">
        <v>136</v>
      </c>
      <c r="E32" s="169">
        <v>13.45</v>
      </c>
      <c r="F32" s="169">
        <v>13.45</v>
      </c>
      <c r="G32" s="170">
        <v>5.6052851458645607E-3</v>
      </c>
      <c r="H32" s="174" t="s">
        <v>139</v>
      </c>
      <c r="I32" s="174"/>
      <c r="J32" s="172"/>
    </row>
    <row r="33" spans="1:13" ht="14.25" thickBot="1" x14ac:dyDescent="0.3">
      <c r="A33" s="167"/>
      <c r="B33" s="173"/>
      <c r="C33" s="168"/>
      <c r="D33" s="169"/>
      <c r="E33" s="169"/>
      <c r="F33" s="169"/>
      <c r="G33" s="170"/>
      <c r="H33" s="174"/>
      <c r="I33" s="174"/>
      <c r="J33" s="172"/>
    </row>
    <row r="34" spans="1:13" ht="26.25" thickBot="1" x14ac:dyDescent="0.25">
      <c r="A34" s="162" t="s">
        <v>89</v>
      </c>
      <c r="B34" s="163" t="s">
        <v>98</v>
      </c>
      <c r="C34" s="163" t="s">
        <v>89</v>
      </c>
      <c r="D34" s="164" t="s">
        <v>91</v>
      </c>
      <c r="E34" s="164" t="s">
        <v>92</v>
      </c>
      <c r="F34" s="164" t="s">
        <v>93</v>
      </c>
      <c r="G34" s="164" t="s">
        <v>94</v>
      </c>
      <c r="H34" s="165" t="s">
        <v>95</v>
      </c>
      <c r="I34" s="174"/>
      <c r="J34" s="172"/>
    </row>
    <row r="35" spans="1:13" ht="13.5" x14ac:dyDescent="0.25">
      <c r="A35" s="167">
        <f>+A17</f>
        <v>4</v>
      </c>
      <c r="B35" s="173" t="s">
        <v>74</v>
      </c>
      <c r="C35" s="168">
        <f>+A35</f>
        <v>4</v>
      </c>
      <c r="D35" s="169" t="s">
        <v>135</v>
      </c>
      <c r="E35" s="169">
        <f>+'Costo Galleta '!H54</f>
        <v>0.51766940212901391</v>
      </c>
      <c r="F35" s="169">
        <f>IFERROR(E35*C35,"")</f>
        <v>2.0706776085160556</v>
      </c>
      <c r="G35" s="170">
        <f t="shared" ref="G35:G41" si="6">IFERROR(F35/$F$66,"")</f>
        <v>8.6733568570260776E-4</v>
      </c>
      <c r="H35" s="174" t="s">
        <v>53</v>
      </c>
      <c r="I35" s="174"/>
      <c r="J35" s="172"/>
    </row>
    <row r="36" spans="1:13" ht="13.5" x14ac:dyDescent="0.25">
      <c r="A36" s="167">
        <f t="shared" ref="A36:A41" si="7">+A18</f>
        <v>130</v>
      </c>
      <c r="B36" s="173" t="s">
        <v>80</v>
      </c>
      <c r="C36" s="168">
        <f t="shared" ref="C36:C41" si="8">+A36</f>
        <v>130</v>
      </c>
      <c r="D36" s="169" t="s">
        <v>135</v>
      </c>
      <c r="E36" s="169">
        <v>0.1</v>
      </c>
      <c r="F36" s="169">
        <f t="shared" ref="F36:F41" si="9">IFERROR(E36*C36,"")</f>
        <v>13</v>
      </c>
      <c r="G36" s="170">
        <f t="shared" si="6"/>
        <v>5.4452532194107965E-3</v>
      </c>
      <c r="H36" s="174" t="s">
        <v>79</v>
      </c>
      <c r="I36" s="174"/>
      <c r="J36" s="172"/>
    </row>
    <row r="37" spans="1:13" ht="13.5" x14ac:dyDescent="0.25">
      <c r="A37" s="167">
        <f t="shared" si="7"/>
        <v>10</v>
      </c>
      <c r="B37" s="173" t="s">
        <v>82</v>
      </c>
      <c r="C37" s="168">
        <f t="shared" si="8"/>
        <v>10</v>
      </c>
      <c r="D37" s="169" t="s">
        <v>135</v>
      </c>
      <c r="E37" s="169">
        <v>0.02</v>
      </c>
      <c r="F37" s="169">
        <f t="shared" si="9"/>
        <v>0.2</v>
      </c>
      <c r="G37" s="170">
        <f t="shared" si="6"/>
        <v>8.3773126452473803E-5</v>
      </c>
      <c r="H37" s="174" t="s">
        <v>81</v>
      </c>
      <c r="I37" s="174"/>
      <c r="J37" s="172"/>
    </row>
    <row r="38" spans="1:13" ht="13.5" hidden="1" x14ac:dyDescent="0.25">
      <c r="A38" s="167">
        <f t="shared" si="7"/>
        <v>0</v>
      </c>
      <c r="B38" s="173" t="str">
        <f>IFERROR(VLOOKUP(H38,[1]SEMIELABORADOS!$A$2:$M$6000,2,0),"")</f>
        <v/>
      </c>
      <c r="C38" s="168">
        <f>+A38</f>
        <v>0</v>
      </c>
      <c r="D38" s="169" t="str">
        <f>IFERROR(VLOOKUP(H38,[1]SEMIELABORADOS!$A$2:$M$6000,6,0),"")</f>
        <v/>
      </c>
      <c r="E38" s="169" t="str">
        <f>IFERROR(VLOOKUP(H38,[1]SEMIELABORADOS!$A$2:$M$65536,10,0),"")</f>
        <v/>
      </c>
      <c r="F38" s="169" t="str">
        <f>IFERROR(E38*C38,"")</f>
        <v/>
      </c>
      <c r="G38" s="170" t="str">
        <f t="shared" si="6"/>
        <v/>
      </c>
      <c r="H38" s="174"/>
      <c r="I38" s="174"/>
      <c r="J38" s="172"/>
    </row>
    <row r="39" spans="1:13" ht="13.5" hidden="1" x14ac:dyDescent="0.25">
      <c r="A39" s="167">
        <f t="shared" si="7"/>
        <v>0</v>
      </c>
      <c r="B39" s="173" t="str">
        <f>IFERROR(VLOOKUP(H39,[1]SEMIELABORADOS!$A$2:$M$6000,2,0),"")</f>
        <v/>
      </c>
      <c r="C39" s="168">
        <f>+A39</f>
        <v>0</v>
      </c>
      <c r="D39" s="169" t="str">
        <f>IFERROR(VLOOKUP(H39,[1]SEMIELABORADOS!$A$2:$M$6000,6,0),"")</f>
        <v/>
      </c>
      <c r="E39" s="169" t="str">
        <f>IFERROR(VLOOKUP(H39,[1]SEMIELABORADOS!$A$2:$M$65536,10,0),"")</f>
        <v/>
      </c>
      <c r="F39" s="169" t="str">
        <f>IFERROR(E39*C39,"")</f>
        <v/>
      </c>
      <c r="G39" s="170" t="str">
        <f t="shared" si="6"/>
        <v/>
      </c>
      <c r="H39" s="174"/>
      <c r="I39" s="174"/>
      <c r="J39" s="172"/>
    </row>
    <row r="40" spans="1:13" ht="13.5" hidden="1" x14ac:dyDescent="0.25">
      <c r="A40" s="167">
        <f t="shared" si="7"/>
        <v>0</v>
      </c>
      <c r="B40" s="173" t="str">
        <f>IFERROR(VLOOKUP(H40,[1]SEMIELABORADOS!$A$2:$M$6000,2,0),"")</f>
        <v/>
      </c>
      <c r="C40" s="168">
        <f t="shared" si="8"/>
        <v>0</v>
      </c>
      <c r="D40" s="169" t="str">
        <f>IFERROR(VLOOKUP(H40,[1]SEMIELABORADOS!$A$2:$M$6000,6,0),"")</f>
        <v/>
      </c>
      <c r="E40" s="169" t="str">
        <f>IFERROR(VLOOKUP(H40,[1]SEMIELABORADOS!$A$2:$M$65536,10,0),"")</f>
        <v/>
      </c>
      <c r="F40" s="169" t="str">
        <f t="shared" si="9"/>
        <v/>
      </c>
      <c r="G40" s="170" t="str">
        <f t="shared" si="6"/>
        <v/>
      </c>
      <c r="H40" s="174"/>
      <c r="I40" s="174"/>
      <c r="J40" s="172"/>
    </row>
    <row r="41" spans="1:13" ht="13.5" hidden="1" x14ac:dyDescent="0.25">
      <c r="A41" s="167">
        <f t="shared" si="7"/>
        <v>0</v>
      </c>
      <c r="B41" s="173" t="str">
        <f>IFERROR(VLOOKUP(H41,[1]SEMIELABORADOS!$A$2:$M$6000,2,0),"")</f>
        <v/>
      </c>
      <c r="C41" s="168">
        <f t="shared" si="8"/>
        <v>0</v>
      </c>
      <c r="D41" s="169" t="str">
        <f>IFERROR(VLOOKUP(H41,[1]SEMIELABORADOS!$A$2:$M$6000,6,0),"")</f>
        <v/>
      </c>
      <c r="E41" s="169" t="str">
        <f>IFERROR(VLOOKUP(H41,[1]SEMIELABORADOS!$A$2:$M$65536,10,0),"")</f>
        <v/>
      </c>
      <c r="F41" s="169" t="str">
        <f t="shared" si="9"/>
        <v/>
      </c>
      <c r="G41" s="170" t="str">
        <f t="shared" si="6"/>
        <v/>
      </c>
      <c r="H41" s="174"/>
      <c r="I41" s="174"/>
      <c r="J41" s="172"/>
    </row>
    <row r="42" spans="1:13" ht="14.25" thickBot="1" x14ac:dyDescent="0.3">
      <c r="A42" s="167"/>
      <c r="B42" s="173"/>
      <c r="C42" s="168"/>
      <c r="D42" s="169"/>
      <c r="E42" s="169"/>
      <c r="F42" s="169"/>
      <c r="G42" s="170"/>
      <c r="H42" s="174"/>
      <c r="I42" s="174"/>
      <c r="J42" s="172"/>
    </row>
    <row r="43" spans="1:13" ht="26.25" thickBot="1" x14ac:dyDescent="0.25">
      <c r="A43" s="162" t="s">
        <v>89</v>
      </c>
      <c r="B43" s="163" t="s">
        <v>99</v>
      </c>
      <c r="C43" s="163" t="s">
        <v>89</v>
      </c>
      <c r="D43" s="164" t="s">
        <v>91</v>
      </c>
      <c r="E43" s="164" t="s">
        <v>92</v>
      </c>
      <c r="F43" s="164" t="s">
        <v>93</v>
      </c>
      <c r="G43" s="164" t="s">
        <v>94</v>
      </c>
      <c r="H43" s="165" t="s">
        <v>95</v>
      </c>
      <c r="I43" s="166"/>
      <c r="J43" s="172"/>
    </row>
    <row r="44" spans="1:13" ht="13.5" x14ac:dyDescent="0.25">
      <c r="A44" s="167">
        <f>+A35</f>
        <v>4</v>
      </c>
      <c r="B44" s="173" t="s">
        <v>74</v>
      </c>
      <c r="C44" s="168">
        <f>+A44</f>
        <v>4</v>
      </c>
      <c r="D44" s="169" t="s">
        <v>135</v>
      </c>
      <c r="E44" s="169">
        <f>+'Costo Galleta '!H56</f>
        <v>41.364677062491026</v>
      </c>
      <c r="F44" s="169">
        <f>IFERROR(E44*C44,"")</f>
        <v>165.4587082499641</v>
      </c>
      <c r="G44" s="170">
        <f>IFERROR(F44/$F$66,"")</f>
        <v>6.9304966444436053E-2</v>
      </c>
      <c r="H44" s="174" t="s">
        <v>53</v>
      </c>
      <c r="I44" s="166"/>
      <c r="J44" s="172"/>
    </row>
    <row r="45" spans="1:13" ht="13.5" x14ac:dyDescent="0.25">
      <c r="A45" s="167">
        <f t="shared" ref="A45:A50" si="10">+A36</f>
        <v>130</v>
      </c>
      <c r="B45" s="173" t="s">
        <v>80</v>
      </c>
      <c r="C45" s="168">
        <f t="shared" ref="C45:C50" si="11">+A45</f>
        <v>130</v>
      </c>
      <c r="D45" s="169" t="s">
        <v>135</v>
      </c>
      <c r="E45" s="169">
        <v>0.03</v>
      </c>
      <c r="F45" s="169">
        <f t="shared" ref="F45:F50" si="12">IFERROR(E45*C45,"")</f>
        <v>3.9</v>
      </c>
      <c r="G45" s="170">
        <f t="shared" ref="G45:G50" si="13">IFERROR(F45/$F$66,"")</f>
        <v>1.6335759658232388E-3</v>
      </c>
      <c r="H45" s="174" t="s">
        <v>79</v>
      </c>
      <c r="I45" s="166"/>
      <c r="J45" s="172"/>
      <c r="M45" s="177"/>
    </row>
    <row r="46" spans="1:13" ht="13.5" x14ac:dyDescent="0.25">
      <c r="A46" s="167">
        <f t="shared" si="10"/>
        <v>10</v>
      </c>
      <c r="B46" s="173" t="s">
        <v>82</v>
      </c>
      <c r="C46" s="168">
        <f t="shared" si="11"/>
        <v>10</v>
      </c>
      <c r="D46" s="169" t="s">
        <v>135</v>
      </c>
      <c r="E46" s="169">
        <v>0.03</v>
      </c>
      <c r="F46" s="169">
        <f t="shared" si="12"/>
        <v>0.3</v>
      </c>
      <c r="G46" s="170">
        <f t="shared" si="13"/>
        <v>1.2565968967871068E-4</v>
      </c>
      <c r="H46" s="174" t="s">
        <v>81</v>
      </c>
      <c r="I46" s="166"/>
      <c r="J46" s="172"/>
    </row>
    <row r="47" spans="1:13" ht="13.5" hidden="1" x14ac:dyDescent="0.25">
      <c r="A47" s="167">
        <f t="shared" si="10"/>
        <v>0</v>
      </c>
      <c r="B47" s="173" t="str">
        <f>IFERROR(VLOOKUP(H47,[1]SEMIELABORADOS!$A$2:$M$6000,2,0),"")</f>
        <v/>
      </c>
      <c r="C47" s="168">
        <f t="shared" si="11"/>
        <v>0</v>
      </c>
      <c r="D47" s="169" t="str">
        <f>IFERROR(VLOOKUP(H47,[1]SEMIELABORADOS!$A$2:$M$6000,6,0),"")</f>
        <v/>
      </c>
      <c r="E47" s="169" t="str">
        <f>IFERROR(VLOOKUP(H47,[1]SEMIELABORADOS!$A$2:$M$65536,12,0),"")</f>
        <v/>
      </c>
      <c r="F47" s="169" t="str">
        <f t="shared" si="12"/>
        <v/>
      </c>
      <c r="G47" s="170" t="str">
        <f t="shared" si="13"/>
        <v/>
      </c>
      <c r="H47" s="174"/>
      <c r="I47" s="166"/>
      <c r="J47" s="172"/>
    </row>
    <row r="48" spans="1:13" ht="13.5" hidden="1" x14ac:dyDescent="0.25">
      <c r="A48" s="167">
        <f t="shared" si="10"/>
        <v>0</v>
      </c>
      <c r="B48" s="173" t="str">
        <f>IFERROR(VLOOKUP(H48,[1]SEMIELABORADOS!$A$2:$M$6000,2,0),"")</f>
        <v/>
      </c>
      <c r="C48" s="168">
        <f t="shared" si="11"/>
        <v>0</v>
      </c>
      <c r="D48" s="169" t="str">
        <f>IFERROR(VLOOKUP(H48,[1]SEMIELABORADOS!$A$2:$M$6000,6,0),"")</f>
        <v/>
      </c>
      <c r="E48" s="169" t="str">
        <f>IFERROR(VLOOKUP(H48,[1]SEMIELABORADOS!$A$2:$M$65536,12,0),"")</f>
        <v/>
      </c>
      <c r="F48" s="169" t="str">
        <f t="shared" si="12"/>
        <v/>
      </c>
      <c r="G48" s="170" t="str">
        <f t="shared" si="13"/>
        <v/>
      </c>
      <c r="H48" s="174"/>
      <c r="I48" s="166"/>
      <c r="J48" s="172"/>
    </row>
    <row r="49" spans="1:17" ht="13.5" hidden="1" x14ac:dyDescent="0.25">
      <c r="A49" s="167">
        <f t="shared" si="10"/>
        <v>0</v>
      </c>
      <c r="B49" s="173" t="str">
        <f>IFERROR(VLOOKUP(H49,[1]SEMIELABORADOS!$A$2:$M$6000,2,0),"")</f>
        <v/>
      </c>
      <c r="C49" s="168">
        <f t="shared" si="11"/>
        <v>0</v>
      </c>
      <c r="D49" s="169" t="str">
        <f>IFERROR(VLOOKUP(H49,[1]SEMIELABORADOS!$A$2:$M$6000,6,0),"")</f>
        <v/>
      </c>
      <c r="E49" s="169" t="str">
        <f>IFERROR(VLOOKUP(H49,[1]SEMIELABORADOS!$A$2:$M$65536,12,0),"")</f>
        <v/>
      </c>
      <c r="F49" s="169" t="str">
        <f t="shared" si="12"/>
        <v/>
      </c>
      <c r="G49" s="170" t="str">
        <f t="shared" si="13"/>
        <v/>
      </c>
      <c r="H49" s="174"/>
      <c r="I49" s="166"/>
      <c r="J49" s="172"/>
    </row>
    <row r="50" spans="1:17" ht="13.5" hidden="1" x14ac:dyDescent="0.25">
      <c r="A50" s="167">
        <f t="shared" si="10"/>
        <v>0</v>
      </c>
      <c r="B50" s="173" t="str">
        <f>IFERROR(VLOOKUP(H50,[1]SEMIELABORADOS!$A$2:$M$6000,2,0),"")</f>
        <v/>
      </c>
      <c r="C50" s="168">
        <f t="shared" si="11"/>
        <v>0</v>
      </c>
      <c r="D50" s="169" t="str">
        <f>IFERROR(VLOOKUP(H50,[1]SEMIELABORADOS!$A$2:$M$6000,6,0),"")</f>
        <v/>
      </c>
      <c r="E50" s="169" t="str">
        <f>IFERROR(VLOOKUP(H50,[1]SEMIELABORADOS!$A$2:$M$65536,12,0),"")</f>
        <v/>
      </c>
      <c r="F50" s="169" t="str">
        <f t="shared" si="12"/>
        <v/>
      </c>
      <c r="G50" s="170" t="str">
        <f t="shared" si="13"/>
        <v/>
      </c>
      <c r="H50" s="173"/>
      <c r="I50" s="166"/>
      <c r="J50" s="172"/>
    </row>
    <row r="51" spans="1:17" ht="13.5" x14ac:dyDescent="0.25">
      <c r="A51" s="167">
        <v>1</v>
      </c>
      <c r="B51" s="173" t="s">
        <v>100</v>
      </c>
      <c r="C51" s="168">
        <f>+A51</f>
        <v>1</v>
      </c>
      <c r="D51" s="168" t="s">
        <v>101</v>
      </c>
      <c r="E51" s="169">
        <f>+F65</f>
        <v>231</v>
      </c>
      <c r="F51" s="169">
        <f>IFERROR(C51*E51,"")</f>
        <v>231</v>
      </c>
      <c r="G51" s="170">
        <f>IFERROR(F51/$F$66,"")</f>
        <v>9.6757961052607228E-2</v>
      </c>
      <c r="H51" s="178"/>
      <c r="I51" s="178"/>
      <c r="J51" s="172"/>
    </row>
    <row r="52" spans="1:17" ht="14.25" thickBot="1" x14ac:dyDescent="0.3">
      <c r="A52" s="167"/>
      <c r="B52" s="173"/>
      <c r="C52" s="168"/>
      <c r="D52" s="168"/>
      <c r="E52" s="169"/>
      <c r="F52" s="169"/>
      <c r="G52" s="170"/>
      <c r="H52" s="178"/>
      <c r="I52" s="178"/>
      <c r="J52" s="172"/>
    </row>
    <row r="53" spans="1:17" ht="13.5" thickBot="1" x14ac:dyDescent="0.25">
      <c r="A53" s="179"/>
      <c r="B53" s="728" t="s">
        <v>102</v>
      </c>
      <c r="C53" s="728"/>
      <c r="D53" s="728"/>
      <c r="E53" s="728"/>
      <c r="F53" s="181">
        <f>SUM(F8:F14,F17:F24)</f>
        <v>1602.1337662337662</v>
      </c>
      <c r="G53" s="170">
        <f>+F53/$F$66</f>
        <v>0.67107877296239693</v>
      </c>
      <c r="H53" s="182">
        <f>+F53/$D$60</f>
        <v>1602.1337662337662</v>
      </c>
      <c r="I53" s="182"/>
      <c r="J53" s="183"/>
      <c r="K53" s="184"/>
      <c r="L53" s="184"/>
      <c r="M53" s="184"/>
      <c r="N53" s="184"/>
      <c r="O53" s="184"/>
      <c r="P53" s="184"/>
      <c r="Q53" s="185"/>
    </row>
    <row r="54" spans="1:17" x14ac:dyDescent="0.2">
      <c r="A54" s="179"/>
      <c r="B54" s="728" t="s">
        <v>103</v>
      </c>
      <c r="C54" s="728"/>
      <c r="D54" s="728"/>
      <c r="E54" s="728"/>
      <c r="F54" s="181">
        <f>SUM(F27:F32,F35:F41)</f>
        <v>522.22401094184943</v>
      </c>
      <c r="G54" s="170">
        <f>+F54/$F$66</f>
        <v>0.21874169052574804</v>
      </c>
      <c r="H54" s="182">
        <f>+F54/$D$60</f>
        <v>522.22401094184943</v>
      </c>
      <c r="I54" s="182"/>
      <c r="J54" s="186"/>
      <c r="K54" s="729" t="s">
        <v>104</v>
      </c>
      <c r="L54" s="730"/>
      <c r="M54" s="730"/>
      <c r="N54" s="730"/>
      <c r="O54" s="187">
        <f>+F55</f>
        <v>2124.3577771756154</v>
      </c>
      <c r="P54" s="187"/>
      <c r="Q54" s="188"/>
    </row>
    <row r="55" spans="1:17" x14ac:dyDescent="0.2">
      <c r="A55" s="179"/>
      <c r="B55" s="728" t="s">
        <v>105</v>
      </c>
      <c r="C55" s="728"/>
      <c r="D55" s="728"/>
      <c r="E55" s="728"/>
      <c r="F55" s="181">
        <f>+F53+F54</f>
        <v>2124.3577771756154</v>
      </c>
      <c r="G55" s="170">
        <f>+F55/$F$66</f>
        <v>0.88982046348814492</v>
      </c>
      <c r="H55" s="182">
        <f>+F55/$D$60</f>
        <v>2124.3577771756154</v>
      </c>
      <c r="I55" s="182"/>
      <c r="J55" s="189"/>
      <c r="K55" s="190"/>
      <c r="M55" s="191" t="s">
        <v>106</v>
      </c>
      <c r="N55" s="192"/>
      <c r="O55" s="187">
        <f>+H56</f>
        <v>400.65870824996409</v>
      </c>
      <c r="P55" s="187"/>
      <c r="Q55" s="188"/>
    </row>
    <row r="56" spans="1:17" ht="13.5" thickBot="1" x14ac:dyDescent="0.25">
      <c r="A56" s="179"/>
      <c r="B56" s="180"/>
      <c r="C56" s="728" t="s">
        <v>107</v>
      </c>
      <c r="D56" s="728"/>
      <c r="E56" s="728"/>
      <c r="F56" s="181">
        <f>SUM(F44:F51)</f>
        <v>400.65870824996409</v>
      </c>
      <c r="G56" s="170">
        <f>+F56/$F$66</f>
        <v>0.16782216315254522</v>
      </c>
      <c r="H56" s="182">
        <f>+F56/$D$60</f>
        <v>400.65870824996409</v>
      </c>
      <c r="I56" s="182"/>
      <c r="J56" s="189"/>
      <c r="K56" s="190"/>
      <c r="L56" s="190"/>
      <c r="M56" s="190" t="s">
        <v>108</v>
      </c>
      <c r="N56" s="193"/>
      <c r="O56" s="187">
        <f>O54*N56</f>
        <v>0</v>
      </c>
      <c r="P56" s="187"/>
      <c r="Q56" s="188"/>
    </row>
    <row r="57" spans="1:17" ht="13.5" thickBot="1" x14ac:dyDescent="0.25">
      <c r="A57" s="179"/>
      <c r="B57" s="194"/>
      <c r="C57" s="194"/>
      <c r="D57" s="194"/>
      <c r="E57" s="194"/>
      <c r="F57" s="195"/>
      <c r="G57" s="170"/>
      <c r="H57" s="196"/>
      <c r="I57" s="182"/>
      <c r="J57" s="189"/>
      <c r="K57" s="197"/>
      <c r="M57" s="198" t="s">
        <v>109</v>
      </c>
      <c r="N57" s="199"/>
      <c r="O57" s="200">
        <f>SUM(O54:O56)</f>
        <v>2525.0164854255795</v>
      </c>
      <c r="P57" s="201"/>
      <c r="Q57" s="188"/>
    </row>
    <row r="58" spans="1:17" x14ac:dyDescent="0.2">
      <c r="B58" s="731" t="s">
        <v>110</v>
      </c>
      <c r="C58" s="731"/>
      <c r="D58" s="202">
        <v>615</v>
      </c>
      <c r="E58" s="203"/>
      <c r="G58" s="170"/>
      <c r="H58" s="196">
        <f>+H56/77</f>
        <v>5.2033598474021314</v>
      </c>
      <c r="I58" s="204"/>
      <c r="J58" s="189"/>
      <c r="K58" s="197"/>
      <c r="L58" s="190"/>
      <c r="M58" s="190" t="s">
        <v>111</v>
      </c>
      <c r="N58" s="205"/>
      <c r="O58" s="187">
        <f>+H59</f>
        <v>431.87886733437693</v>
      </c>
      <c r="P58" s="187"/>
      <c r="Q58" s="188"/>
    </row>
    <row r="59" spans="1:17" x14ac:dyDescent="0.2">
      <c r="B59" s="731" t="s">
        <v>112</v>
      </c>
      <c r="C59" s="731"/>
      <c r="D59" s="206">
        <v>615</v>
      </c>
      <c r="E59" s="203"/>
      <c r="G59" s="170"/>
      <c r="H59" s="196">
        <f>+H58*83</f>
        <v>431.87886733437693</v>
      </c>
      <c r="I59" s="204"/>
      <c r="J59" s="189"/>
      <c r="K59" s="197"/>
      <c r="L59" s="190"/>
      <c r="M59" s="732" t="s">
        <v>109</v>
      </c>
      <c r="N59" s="732"/>
      <c r="O59" s="187">
        <f>SUM(O57:O58)</f>
        <v>2956.8953527599565</v>
      </c>
      <c r="P59" s="187"/>
      <c r="Q59" s="188"/>
    </row>
    <row r="60" spans="1:17" ht="13.5" thickBot="1" x14ac:dyDescent="0.25">
      <c r="B60" s="723" t="s">
        <v>113</v>
      </c>
      <c r="C60" s="723"/>
      <c r="D60" s="202">
        <f>+D58/D59</f>
        <v>1</v>
      </c>
      <c r="E60" s="203"/>
      <c r="F60" s="207"/>
      <c r="G60" s="170"/>
      <c r="H60" s="196"/>
      <c r="I60" s="204"/>
      <c r="J60" s="189"/>
      <c r="K60" s="197"/>
      <c r="L60" s="732"/>
      <c r="M60" s="732"/>
      <c r="N60" s="205"/>
      <c r="O60" s="187">
        <f>+O59*N60</f>
        <v>0</v>
      </c>
      <c r="P60" s="187"/>
      <c r="Q60" s="188"/>
    </row>
    <row r="61" spans="1:17" ht="13.5" thickBot="1" x14ac:dyDescent="0.25">
      <c r="B61" s="723" t="s">
        <v>114</v>
      </c>
      <c r="C61" s="723"/>
      <c r="D61" s="208"/>
      <c r="E61" s="203"/>
      <c r="F61" s="207"/>
      <c r="G61" s="170"/>
      <c r="H61" s="196"/>
      <c r="I61" s="204"/>
      <c r="J61" s="189"/>
      <c r="K61" s="724" t="s">
        <v>115</v>
      </c>
      <c r="L61" s="725"/>
      <c r="M61" s="725"/>
      <c r="N61" s="726"/>
      <c r="O61" s="200">
        <f>SUM(O59:O60)</f>
        <v>2956.8953527599565</v>
      </c>
      <c r="P61" s="209" t="s">
        <v>116</v>
      </c>
      <c r="Q61" s="188"/>
    </row>
    <row r="62" spans="1:17" ht="13.5" thickBot="1" x14ac:dyDescent="0.25">
      <c r="C62" s="179" t="s">
        <v>117</v>
      </c>
      <c r="D62" s="210"/>
      <c r="E62" s="153" t="s">
        <v>118</v>
      </c>
      <c r="F62" s="211" t="s">
        <v>119</v>
      </c>
      <c r="G62" s="170"/>
      <c r="H62" s="196"/>
      <c r="I62" s="204"/>
      <c r="J62" s="212"/>
      <c r="K62" s="213"/>
      <c r="L62" s="712" t="s">
        <v>120</v>
      </c>
      <c r="M62" s="712"/>
      <c r="N62" s="712"/>
      <c r="O62" s="214">
        <f>+O61/D60</f>
        <v>2956.8953527599565</v>
      </c>
      <c r="P62" s="215">
        <f>+O62/D59</f>
        <v>4.807959923186921</v>
      </c>
      <c r="Q62" s="216"/>
    </row>
    <row r="63" spans="1:17" ht="13.5" thickBot="1" x14ac:dyDescent="0.25">
      <c r="B63" s="713" t="s">
        <v>105</v>
      </c>
      <c r="C63" s="713"/>
      <c r="D63" s="713"/>
      <c r="E63" s="217">
        <f>+F63/F63</f>
        <v>1</v>
      </c>
      <c r="F63" s="218">
        <f>SUM(F55)</f>
        <v>2124.3577771756154</v>
      </c>
      <c r="G63" s="170">
        <f>+F63/$F$66</f>
        <v>0.88982046348814492</v>
      </c>
      <c r="H63" s="196"/>
      <c r="I63" s="204"/>
      <c r="K63" s="714"/>
      <c r="L63" s="715"/>
      <c r="M63" s="715"/>
      <c r="N63" s="715"/>
      <c r="O63" s="219"/>
      <c r="P63" s="220"/>
    </row>
    <row r="64" spans="1:17" ht="13.5" thickBot="1" x14ac:dyDescent="0.25">
      <c r="B64" s="716" t="s">
        <v>121</v>
      </c>
      <c r="C64" s="716"/>
      <c r="D64" s="716"/>
      <c r="E64" s="221">
        <v>0.02</v>
      </c>
      <c r="F64" s="218">
        <f>+F53*E64</f>
        <v>32.042675324675322</v>
      </c>
      <c r="G64" s="170">
        <f>+F64/$F$66</f>
        <v>1.3421575459247938E-2</v>
      </c>
      <c r="H64" s="182"/>
      <c r="I64" s="204"/>
      <c r="J64" s="222"/>
      <c r="O64" s="223"/>
      <c r="P64" s="180"/>
    </row>
    <row r="65" spans="2:13" ht="13.5" thickBot="1" x14ac:dyDescent="0.25">
      <c r="B65" s="717" t="s">
        <v>122</v>
      </c>
      <c r="C65" s="718"/>
      <c r="D65" s="224">
        <v>3</v>
      </c>
      <c r="E65" s="225">
        <v>77</v>
      </c>
      <c r="F65" s="218">
        <f>+E65*D65</f>
        <v>231</v>
      </c>
      <c r="G65" s="170">
        <f>+F65/$F$66</f>
        <v>9.6757961052607228E-2</v>
      </c>
      <c r="H65" s="182"/>
      <c r="I65" s="182"/>
      <c r="J65" s="172"/>
    </row>
    <row r="66" spans="2:13" ht="13.5" thickBot="1" x14ac:dyDescent="0.25">
      <c r="B66" s="719" t="s">
        <v>123</v>
      </c>
      <c r="C66" s="720"/>
      <c r="D66" s="720"/>
      <c r="E66" s="721"/>
      <c r="F66" s="195">
        <f>SUM(F63:F65)</f>
        <v>2387.4004525002906</v>
      </c>
      <c r="G66" s="170">
        <f>+F66/$F$66</f>
        <v>1</v>
      </c>
      <c r="H66" s="722"/>
      <c r="I66" s="182"/>
      <c r="J66" s="172"/>
      <c r="M66" s="155" t="s">
        <v>124</v>
      </c>
    </row>
    <row r="67" spans="2:13" x14ac:dyDescent="0.2">
      <c r="C67" s="177"/>
      <c r="D67" s="177"/>
      <c r="E67" s="227"/>
      <c r="F67" s="218"/>
      <c r="G67" s="170"/>
      <c r="H67" s="722"/>
      <c r="I67" s="226"/>
      <c r="J67" s="155"/>
      <c r="M67" s="155" t="s">
        <v>125</v>
      </c>
    </row>
    <row r="68" spans="2:13" ht="13.5" thickBot="1" x14ac:dyDescent="0.25">
      <c r="B68" s="707" t="s">
        <v>126</v>
      </c>
      <c r="C68" s="707"/>
      <c r="D68" s="707"/>
      <c r="E68" s="707"/>
      <c r="F68" s="707"/>
      <c r="G68" s="170"/>
      <c r="H68" s="229"/>
      <c r="I68" s="226"/>
      <c r="J68" s="155"/>
      <c r="M68" s="155" t="s">
        <v>127</v>
      </c>
    </row>
    <row r="69" spans="2:13" ht="13.5" thickBot="1" x14ac:dyDescent="0.25">
      <c r="B69" s="230" t="s">
        <v>128</v>
      </c>
      <c r="C69" s="231">
        <f>+F53</f>
        <v>1602.1337662337662</v>
      </c>
      <c r="D69" s="231">
        <f>+D58</f>
        <v>615</v>
      </c>
      <c r="E69" s="232">
        <f>+C69/D69</f>
        <v>2.6050955548516526</v>
      </c>
      <c r="F69" s="170"/>
      <c r="G69" s="229"/>
      <c r="H69" s="172"/>
      <c r="I69" s="229"/>
      <c r="J69" s="155"/>
    </row>
    <row r="70" spans="2:13" x14ac:dyDescent="0.2">
      <c r="B70" s="233"/>
      <c r="C70" s="234"/>
      <c r="D70" s="235"/>
      <c r="E70" s="218"/>
      <c r="F70" s="170"/>
      <c r="G70" s="229"/>
      <c r="H70" s="172"/>
      <c r="I70" s="172"/>
      <c r="J70" s="155"/>
    </row>
    <row r="71" spans="2:13" x14ac:dyDescent="0.2">
      <c r="B71" s="230" t="s">
        <v>129</v>
      </c>
      <c r="C71" s="231">
        <f>SUM(F63:F64)</f>
        <v>2156.4004525002906</v>
      </c>
      <c r="D71" s="231">
        <f>+D58</f>
        <v>615</v>
      </c>
      <c r="E71" s="236">
        <f>+C71/D71</f>
        <v>3.5063421991874644</v>
      </c>
      <c r="F71" s="170"/>
      <c r="G71" s="229"/>
      <c r="H71" s="172"/>
      <c r="I71" s="172"/>
      <c r="J71" s="155"/>
    </row>
    <row r="72" spans="2:13" x14ac:dyDescent="0.2">
      <c r="B72" s="230"/>
      <c r="C72" s="231"/>
      <c r="D72" s="231"/>
      <c r="E72" s="236"/>
      <c r="F72" s="170"/>
      <c r="G72" s="229"/>
      <c r="H72" s="172"/>
      <c r="I72" s="172"/>
      <c r="J72" s="155"/>
    </row>
    <row r="73" spans="2:13" ht="13.5" thickBot="1" x14ac:dyDescent="0.25">
      <c r="B73" s="230" t="s">
        <v>130</v>
      </c>
      <c r="C73" s="231">
        <f>+F65</f>
        <v>231</v>
      </c>
      <c r="D73" s="231">
        <f>+D58</f>
        <v>615</v>
      </c>
      <c r="E73" s="236">
        <f>+C73/D73</f>
        <v>0.37560975609756098</v>
      </c>
      <c r="F73" s="170"/>
      <c r="G73" s="229"/>
      <c r="H73" s="172"/>
      <c r="I73" s="172"/>
      <c r="J73" s="155"/>
    </row>
    <row r="74" spans="2:13" ht="13.5" thickBot="1" x14ac:dyDescent="0.25">
      <c r="B74" s="230" t="s">
        <v>131</v>
      </c>
      <c r="C74" s="231">
        <f>+F56</f>
        <v>400.65870824996409</v>
      </c>
      <c r="D74" s="231">
        <f>+D73</f>
        <v>615</v>
      </c>
      <c r="E74" s="232">
        <f>+C74/D74</f>
        <v>0.6514775743901855</v>
      </c>
      <c r="F74" s="170"/>
      <c r="G74" s="229"/>
      <c r="H74" s="172"/>
      <c r="I74" s="172"/>
      <c r="J74" s="155"/>
    </row>
    <row r="75" spans="2:13" ht="13.5" thickBot="1" x14ac:dyDescent="0.25">
      <c r="B75" s="194"/>
      <c r="C75" s="195"/>
      <c r="D75" s="195"/>
      <c r="E75" s="236"/>
      <c r="F75" s="170"/>
      <c r="G75" s="229"/>
      <c r="H75" s="172"/>
      <c r="I75" s="172"/>
      <c r="J75" s="155"/>
    </row>
    <row r="76" spans="2:13" ht="13.5" thickBot="1" x14ac:dyDescent="0.25">
      <c r="B76" s="230" t="s">
        <v>132</v>
      </c>
      <c r="C76" s="231">
        <f>+F54</f>
        <v>522.22401094184943</v>
      </c>
      <c r="D76" s="231">
        <f>+D74</f>
        <v>615</v>
      </c>
      <c r="E76" s="232">
        <f>+C76/D76</f>
        <v>0.84914473323877959</v>
      </c>
      <c r="F76" s="170"/>
      <c r="G76" s="229"/>
      <c r="H76" s="172"/>
      <c r="I76" s="172"/>
      <c r="J76" s="172"/>
    </row>
    <row r="77" spans="2:13" ht="13.5" thickBot="1" x14ac:dyDescent="0.25">
      <c r="B77" s="194"/>
      <c r="C77" s="195"/>
      <c r="D77" s="195"/>
      <c r="E77" s="236"/>
      <c r="F77" s="170"/>
      <c r="G77" s="229"/>
      <c r="H77" s="172"/>
      <c r="I77" s="172"/>
    </row>
    <row r="78" spans="2:13" ht="13.5" thickBot="1" x14ac:dyDescent="0.25">
      <c r="B78" s="708" t="s">
        <v>133</v>
      </c>
      <c r="C78" s="709"/>
      <c r="D78" s="710"/>
      <c r="E78" s="232">
        <f>+E69+E74</f>
        <v>3.2565731292418381</v>
      </c>
      <c r="G78" s="170"/>
      <c r="H78" s="229"/>
      <c r="I78" s="172"/>
      <c r="J78" s="236"/>
    </row>
    <row r="79" spans="2:13" x14ac:dyDescent="0.2">
      <c r="I79" s="229"/>
      <c r="J79" s="155"/>
    </row>
    <row r="80" spans="2:13" ht="13.5" thickBot="1" x14ac:dyDescent="0.25">
      <c r="B80" s="707" t="s">
        <v>134</v>
      </c>
      <c r="C80" s="707"/>
      <c r="D80" s="707"/>
      <c r="E80" s="707"/>
      <c r="F80" s="707"/>
      <c r="G80" s="170"/>
      <c r="H80" s="229"/>
      <c r="J80" s="155"/>
    </row>
    <row r="81" spans="1:10" ht="13.5" thickBot="1" x14ac:dyDescent="0.25">
      <c r="B81" s="230" t="s">
        <v>128</v>
      </c>
      <c r="C81" s="231">
        <f>+C69</f>
        <v>1602.1337662337662</v>
      </c>
      <c r="D81" s="231">
        <f>+D60</f>
        <v>1</v>
      </c>
      <c r="E81" s="232">
        <f>+C81/D81</f>
        <v>1602.1337662337662</v>
      </c>
      <c r="F81" s="170"/>
      <c r="G81" s="229"/>
      <c r="H81" s="172"/>
      <c r="I81" s="229"/>
      <c r="J81" s="155"/>
    </row>
    <row r="82" spans="1:10" x14ac:dyDescent="0.2">
      <c r="B82" s="233"/>
      <c r="C82" s="234"/>
      <c r="D82" s="235"/>
      <c r="E82" s="218"/>
      <c r="F82" s="170"/>
      <c r="G82" s="229"/>
      <c r="H82" s="172"/>
      <c r="I82" s="172"/>
      <c r="J82" s="155"/>
    </row>
    <row r="83" spans="1:10" x14ac:dyDescent="0.2">
      <c r="B83" s="230" t="s">
        <v>129</v>
      </c>
      <c r="C83" s="231">
        <f>+C71</f>
        <v>2156.4004525002906</v>
      </c>
      <c r="D83" s="231">
        <f>+D60</f>
        <v>1</v>
      </c>
      <c r="E83" s="236">
        <f>+C83/D83</f>
        <v>2156.4004525002906</v>
      </c>
      <c r="F83" s="170"/>
      <c r="G83" s="229"/>
      <c r="H83" s="172"/>
      <c r="I83" s="172"/>
      <c r="J83" s="155"/>
    </row>
    <row r="84" spans="1:10" x14ac:dyDescent="0.2">
      <c r="B84" s="230"/>
      <c r="C84" s="231"/>
      <c r="D84" s="231"/>
      <c r="E84" s="236"/>
      <c r="F84" s="170"/>
      <c r="G84" s="229"/>
      <c r="H84" s="172"/>
      <c r="I84" s="172"/>
      <c r="J84" s="155"/>
    </row>
    <row r="85" spans="1:10" ht="13.5" thickBot="1" x14ac:dyDescent="0.25">
      <c r="B85" s="230" t="s">
        <v>131</v>
      </c>
      <c r="C85" s="231">
        <f>+C73</f>
        <v>231</v>
      </c>
      <c r="D85" s="231">
        <f>+D60</f>
        <v>1</v>
      </c>
      <c r="E85" s="236">
        <f>+C85/D85</f>
        <v>231</v>
      </c>
      <c r="F85" s="238"/>
      <c r="G85" s="228"/>
      <c r="H85" s="154"/>
      <c r="I85" s="172"/>
    </row>
    <row r="86" spans="1:10" ht="13.5" thickBot="1" x14ac:dyDescent="0.25">
      <c r="B86" s="230" t="s">
        <v>131</v>
      </c>
      <c r="C86" s="231">
        <f>+C74</f>
        <v>400.65870824996409</v>
      </c>
      <c r="D86" s="231">
        <f>+D85</f>
        <v>1</v>
      </c>
      <c r="E86" s="232">
        <f>+C86/D86</f>
        <v>400.65870824996409</v>
      </c>
      <c r="F86" s="237"/>
      <c r="G86" s="228"/>
      <c r="H86" s="154"/>
      <c r="I86" s="154"/>
    </row>
    <row r="87" spans="1:10" x14ac:dyDescent="0.2">
      <c r="I87" s="154"/>
    </row>
    <row r="88" spans="1:10" x14ac:dyDescent="0.2">
      <c r="A88" s="711"/>
      <c r="B88" s="711"/>
      <c r="C88" s="239"/>
      <c r="D88" s="239"/>
      <c r="E88" s="240"/>
      <c r="G88" s="241"/>
    </row>
    <row r="89" spans="1:10" x14ac:dyDescent="0.2">
      <c r="A89" s="173"/>
      <c r="B89" s="242"/>
      <c r="C89" s="243"/>
      <c r="D89" s="243"/>
      <c r="E89" s="244"/>
      <c r="G89" s="241"/>
    </row>
    <row r="90" spans="1:10" x14ac:dyDescent="0.2">
      <c r="A90" s="173"/>
      <c r="B90" s="242"/>
      <c r="C90" s="245"/>
      <c r="D90" s="245"/>
      <c r="E90" s="173"/>
      <c r="G90" s="241"/>
    </row>
    <row r="91" spans="1:10" x14ac:dyDescent="0.2">
      <c r="A91" s="173"/>
      <c r="B91" s="242"/>
      <c r="C91" s="246"/>
      <c r="D91" s="246"/>
      <c r="E91" s="173"/>
      <c r="G91" s="24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019A-271A-41E0-BAAA-5301BED5599A}">
  <dimension ref="A1:I39"/>
  <sheetViews>
    <sheetView workbookViewId="0">
      <selection activeCell="D15" sqref="D15"/>
    </sheetView>
  </sheetViews>
  <sheetFormatPr baseColWidth="10" defaultRowHeight="12.75" x14ac:dyDescent="0.2"/>
  <cols>
    <col min="3" max="3" width="38.28515625" customWidth="1"/>
  </cols>
  <sheetData>
    <row r="1" spans="1:9" ht="15.75" x14ac:dyDescent="0.25">
      <c r="A1" s="747"/>
      <c r="B1" s="748"/>
      <c r="C1" s="753" t="s">
        <v>21</v>
      </c>
      <c r="D1" s="753"/>
      <c r="E1" s="753"/>
      <c r="F1" s="753"/>
      <c r="G1" s="753"/>
      <c r="H1" s="78" t="s">
        <v>0</v>
      </c>
      <c r="I1" s="79"/>
    </row>
    <row r="2" spans="1:9" ht="16.5" thickBot="1" x14ac:dyDescent="0.3">
      <c r="A2" s="749"/>
      <c r="B2" s="750"/>
      <c r="C2" s="754" t="s">
        <v>1</v>
      </c>
      <c r="D2" s="755"/>
      <c r="E2" s="755"/>
      <c r="F2" s="755"/>
      <c r="G2" s="756"/>
      <c r="H2" s="80" t="s">
        <v>2</v>
      </c>
      <c r="I2" s="81"/>
    </row>
    <row r="3" spans="1:9" ht="18.75" thickBot="1" x14ac:dyDescent="0.25">
      <c r="A3" s="749"/>
      <c r="B3" s="750"/>
      <c r="C3" s="757" t="s">
        <v>223</v>
      </c>
      <c r="D3" s="758"/>
      <c r="E3" s="758"/>
      <c r="F3" s="758"/>
      <c r="G3" s="759"/>
      <c r="H3" s="760" t="s">
        <v>3</v>
      </c>
      <c r="I3" s="738"/>
    </row>
    <row r="4" spans="1:9" ht="13.5" x14ac:dyDescent="0.25">
      <c r="A4" s="749"/>
      <c r="B4" s="750"/>
      <c r="C4" s="82" t="s">
        <v>4</v>
      </c>
      <c r="D4" s="741" t="s">
        <v>52</v>
      </c>
      <c r="E4" s="742"/>
      <c r="F4" s="742"/>
      <c r="G4" s="743"/>
      <c r="H4" s="761"/>
      <c r="I4" s="739"/>
    </row>
    <row r="5" spans="1:9" ht="14.25" thickBot="1" x14ac:dyDescent="0.3">
      <c r="A5" s="751"/>
      <c r="B5" s="752"/>
      <c r="C5" s="83" t="s">
        <v>5</v>
      </c>
      <c r="D5" s="744" t="s">
        <v>35</v>
      </c>
      <c r="E5" s="745"/>
      <c r="F5" s="745"/>
      <c r="G5" s="746"/>
      <c r="H5" s="762"/>
      <c r="I5" s="740"/>
    </row>
    <row r="6" spans="1:9" ht="18.75" thickBot="1" x14ac:dyDescent="0.3">
      <c r="A6" s="578" t="s">
        <v>39</v>
      </c>
      <c r="B6" s="578"/>
      <c r="C6" s="578"/>
      <c r="D6" s="763" t="s">
        <v>62</v>
      </c>
      <c r="E6" s="763"/>
      <c r="F6" s="763"/>
      <c r="G6" s="580" t="s">
        <v>40</v>
      </c>
      <c r="H6" s="580"/>
      <c r="I6" s="84" t="s">
        <v>62</v>
      </c>
    </row>
    <row r="7" spans="1:9" ht="25.5" x14ac:dyDescent="0.2">
      <c r="A7" s="764" t="s">
        <v>6</v>
      </c>
      <c r="B7" s="766" t="s">
        <v>41</v>
      </c>
      <c r="C7" s="768" t="s">
        <v>7</v>
      </c>
      <c r="D7" s="768" t="s">
        <v>8</v>
      </c>
      <c r="E7" s="768" t="s">
        <v>22</v>
      </c>
      <c r="F7" s="768"/>
      <c r="G7" s="768" t="s">
        <v>42</v>
      </c>
      <c r="H7" s="768"/>
      <c r="I7" s="85" t="s">
        <v>43</v>
      </c>
    </row>
    <row r="8" spans="1:9" ht="26.25" thickBot="1" x14ac:dyDescent="0.25">
      <c r="A8" s="765"/>
      <c r="B8" s="767"/>
      <c r="C8" s="769"/>
      <c r="D8" s="769"/>
      <c r="E8" s="86" t="s">
        <v>9</v>
      </c>
      <c r="F8" s="87" t="s">
        <v>10</v>
      </c>
      <c r="G8" s="86" t="s">
        <v>9</v>
      </c>
      <c r="H8" s="87" t="s">
        <v>10</v>
      </c>
      <c r="I8" s="88" t="s">
        <v>44</v>
      </c>
    </row>
    <row r="9" spans="1:9" ht="15" x14ac:dyDescent="0.25">
      <c r="A9" s="89"/>
      <c r="B9" s="90"/>
      <c r="C9" s="91" t="s">
        <v>24</v>
      </c>
      <c r="D9" s="92"/>
      <c r="E9" s="93"/>
      <c r="F9" s="94"/>
      <c r="G9" s="93"/>
      <c r="H9" s="94"/>
      <c r="I9" s="95"/>
    </row>
    <row r="10" spans="1:9" ht="15" x14ac:dyDescent="0.25">
      <c r="A10" s="96" t="s">
        <v>63</v>
      </c>
      <c r="B10" s="97" t="s">
        <v>64</v>
      </c>
      <c r="C10" s="98" t="s">
        <v>65</v>
      </c>
      <c r="D10" s="99" t="s">
        <v>34</v>
      </c>
      <c r="E10" s="100">
        <v>1001</v>
      </c>
      <c r="F10" s="100" t="s">
        <v>11</v>
      </c>
      <c r="G10" s="101"/>
      <c r="H10" s="100"/>
      <c r="I10" s="95"/>
    </row>
    <row r="11" spans="1:9" ht="15" x14ac:dyDescent="0.25">
      <c r="A11" s="102" t="s">
        <v>66</v>
      </c>
      <c r="B11" s="102" t="s">
        <v>67</v>
      </c>
      <c r="C11" s="103" t="s">
        <v>68</v>
      </c>
      <c r="D11" s="104" t="s">
        <v>34</v>
      </c>
      <c r="E11" s="104">
        <v>20</v>
      </c>
      <c r="F11" s="105" t="s">
        <v>11</v>
      </c>
      <c r="G11" s="106"/>
      <c r="H11" s="107"/>
      <c r="I11" s="95"/>
    </row>
    <row r="12" spans="1:9" ht="15" x14ac:dyDescent="0.25">
      <c r="A12" s="108"/>
      <c r="B12" s="108"/>
      <c r="C12" s="109"/>
      <c r="D12" s="110"/>
      <c r="E12" s="111"/>
      <c r="F12" s="111"/>
      <c r="G12" s="106"/>
      <c r="H12" s="107"/>
      <c r="I12" s="95"/>
    </row>
    <row r="13" spans="1:9" ht="15" x14ac:dyDescent="0.25">
      <c r="A13" s="113"/>
      <c r="B13" s="113"/>
      <c r="C13" s="115"/>
      <c r="D13" s="116"/>
      <c r="E13" s="116"/>
      <c r="F13" s="117"/>
      <c r="G13" s="93"/>
      <c r="H13" s="94"/>
      <c r="I13" s="95"/>
    </row>
    <row r="14" spans="1:9" ht="15.75" x14ac:dyDescent="0.25">
      <c r="A14" s="118"/>
      <c r="B14" s="119"/>
      <c r="C14" s="120" t="s">
        <v>25</v>
      </c>
      <c r="D14" s="121"/>
      <c r="E14" s="122"/>
      <c r="F14" s="117"/>
      <c r="G14" s="93"/>
      <c r="H14" s="94"/>
      <c r="I14" s="95"/>
    </row>
    <row r="15" spans="1:9" ht="15" x14ac:dyDescent="0.25">
      <c r="A15" s="123"/>
      <c r="B15" s="114"/>
      <c r="C15" s="124"/>
      <c r="D15" s="125"/>
      <c r="E15" s="116"/>
      <c r="F15" s="117"/>
      <c r="G15" s="93"/>
      <c r="H15" s="94"/>
      <c r="I15" s="95"/>
    </row>
    <row r="16" spans="1:9" ht="15" x14ac:dyDescent="0.25">
      <c r="A16" s="113"/>
      <c r="B16" s="113"/>
      <c r="C16" s="115"/>
      <c r="D16" s="125"/>
      <c r="E16" s="116"/>
      <c r="F16" s="117"/>
      <c r="G16" s="93"/>
      <c r="H16" s="94"/>
      <c r="I16" s="95"/>
    </row>
    <row r="17" spans="1:9" ht="15.75" x14ac:dyDescent="0.25">
      <c r="A17" s="126"/>
      <c r="B17" s="127"/>
      <c r="C17" s="128" t="s">
        <v>45</v>
      </c>
      <c r="D17" s="129"/>
      <c r="E17" s="130"/>
      <c r="F17" s="94"/>
      <c r="G17" s="93"/>
      <c r="I17" s="95"/>
    </row>
    <row r="18" spans="1:9" ht="15" x14ac:dyDescent="0.25">
      <c r="A18" s="102"/>
      <c r="B18" s="102"/>
      <c r="C18" s="103"/>
      <c r="D18" s="104"/>
      <c r="E18" s="104"/>
      <c r="F18" s="105"/>
      <c r="G18" s="131"/>
      <c r="H18" s="94"/>
      <c r="I18" s="95"/>
    </row>
    <row r="19" spans="1:9" ht="15" x14ac:dyDescent="0.25">
      <c r="A19" s="112"/>
      <c r="B19" s="108"/>
      <c r="C19" s="109"/>
      <c r="D19" s="104"/>
      <c r="E19" s="104"/>
      <c r="F19" s="105"/>
      <c r="G19" s="131"/>
      <c r="H19" s="94"/>
      <c r="I19" s="95"/>
    </row>
    <row r="20" spans="1:9" ht="14.25" thickBot="1" x14ac:dyDescent="0.3">
      <c r="A20" s="132"/>
      <c r="B20" s="133"/>
      <c r="C20" s="134"/>
      <c r="D20" s="134"/>
      <c r="E20" s="135"/>
      <c r="F20" s="136"/>
      <c r="G20" s="134"/>
      <c r="H20" s="134"/>
      <c r="I20" s="137"/>
    </row>
    <row r="21" spans="1:9" ht="14.25" thickBot="1" x14ac:dyDescent="0.3">
      <c r="A21" s="138"/>
      <c r="B21" s="139"/>
      <c r="C21" s="140"/>
      <c r="D21" s="141" t="s">
        <v>9</v>
      </c>
      <c r="E21" s="142" t="s">
        <v>12</v>
      </c>
      <c r="F21" s="143"/>
      <c r="G21" s="140"/>
      <c r="H21" s="140"/>
      <c r="I21" s="144"/>
    </row>
    <row r="22" spans="1:9" ht="13.5" x14ac:dyDescent="0.25">
      <c r="A22" s="770" t="s">
        <v>13</v>
      </c>
      <c r="B22" s="771"/>
      <c r="C22" s="772"/>
      <c r="D22" s="101">
        <v>1001</v>
      </c>
      <c r="E22" s="145" t="s">
        <v>11</v>
      </c>
      <c r="F22" s="773" t="s">
        <v>48</v>
      </c>
      <c r="G22" s="773"/>
      <c r="H22" s="774"/>
      <c r="I22" s="775"/>
    </row>
    <row r="23" spans="1:9" ht="13.5" x14ac:dyDescent="0.25">
      <c r="A23" s="776" t="s">
        <v>14</v>
      </c>
      <c r="B23" s="777"/>
      <c r="C23" s="778"/>
      <c r="D23" s="146">
        <v>2</v>
      </c>
      <c r="E23" s="111" t="s">
        <v>69</v>
      </c>
      <c r="F23" s="779" t="s">
        <v>23</v>
      </c>
      <c r="G23" s="779"/>
      <c r="H23" s="780"/>
      <c r="I23" s="781"/>
    </row>
    <row r="24" spans="1:9" ht="13.5" x14ac:dyDescent="0.25">
      <c r="A24" s="776" t="s">
        <v>15</v>
      </c>
      <c r="B24" s="777"/>
      <c r="C24" s="778"/>
      <c r="D24" s="147">
        <f>D22/D25</f>
        <v>8.3416666666666668</v>
      </c>
      <c r="E24" s="111" t="s">
        <v>70</v>
      </c>
      <c r="F24" s="779" t="s">
        <v>49</v>
      </c>
      <c r="G24" s="779"/>
      <c r="H24" s="780"/>
      <c r="I24" s="781"/>
    </row>
    <row r="25" spans="1:9" ht="13.5" x14ac:dyDescent="0.25">
      <c r="A25" s="776" t="s">
        <v>16</v>
      </c>
      <c r="B25" s="777"/>
      <c r="C25" s="778"/>
      <c r="D25" s="147">
        <v>120</v>
      </c>
      <c r="E25" s="111" t="s">
        <v>11</v>
      </c>
      <c r="F25" s="785" t="s">
        <v>50</v>
      </c>
      <c r="G25" s="786"/>
      <c r="H25" s="780"/>
      <c r="I25" s="781"/>
    </row>
    <row r="26" spans="1:9" ht="14.25" thickBot="1" x14ac:dyDescent="0.3">
      <c r="A26" s="787" t="s">
        <v>17</v>
      </c>
      <c r="B26" s="788"/>
      <c r="C26" s="789"/>
      <c r="D26" s="148">
        <v>0</v>
      </c>
      <c r="E26" s="149" t="s">
        <v>11</v>
      </c>
      <c r="F26" s="790"/>
      <c r="G26" s="790"/>
      <c r="H26" s="791"/>
      <c r="I26" s="792"/>
    </row>
    <row r="27" spans="1:9" ht="13.5" thickBot="1" x14ac:dyDescent="0.25">
      <c r="A27" s="793" t="s">
        <v>18</v>
      </c>
      <c r="B27" s="794"/>
      <c r="C27" s="794"/>
      <c r="D27" s="794"/>
      <c r="E27" s="794"/>
      <c r="F27" s="794"/>
      <c r="G27" s="794"/>
      <c r="H27" s="794"/>
      <c r="I27" s="795"/>
    </row>
    <row r="28" spans="1:9" ht="15.75" x14ac:dyDescent="0.25">
      <c r="A28" s="796" t="s">
        <v>71</v>
      </c>
      <c r="B28" s="797"/>
      <c r="C28" s="797"/>
      <c r="D28" s="797"/>
      <c r="E28" s="797"/>
      <c r="F28" s="797"/>
      <c r="G28" s="797"/>
      <c r="H28" s="797"/>
      <c r="I28" s="798"/>
    </row>
    <row r="29" spans="1:9" ht="15.75" x14ac:dyDescent="0.25">
      <c r="A29" s="782" t="s">
        <v>75</v>
      </c>
      <c r="B29" s="783"/>
      <c r="C29" s="783"/>
      <c r="D29" s="783"/>
      <c r="E29" s="783"/>
      <c r="F29" s="783"/>
      <c r="G29" s="783"/>
      <c r="H29" s="783"/>
      <c r="I29" s="784"/>
    </row>
    <row r="30" spans="1:9" ht="15.75" x14ac:dyDescent="0.25">
      <c r="A30" s="782" t="s">
        <v>72</v>
      </c>
      <c r="B30" s="783"/>
      <c r="C30" s="783"/>
      <c r="D30" s="783"/>
      <c r="E30" s="783"/>
      <c r="F30" s="783"/>
      <c r="G30" s="783"/>
      <c r="H30" s="783"/>
      <c r="I30" s="784"/>
    </row>
    <row r="31" spans="1:9" ht="15.75" x14ac:dyDescent="0.25">
      <c r="A31" s="806" t="s">
        <v>73</v>
      </c>
      <c r="B31" s="807"/>
      <c r="C31" s="807"/>
      <c r="D31" s="807"/>
      <c r="E31" s="807"/>
      <c r="F31" s="807"/>
      <c r="G31" s="807"/>
      <c r="H31" s="807"/>
      <c r="I31" s="808"/>
    </row>
    <row r="32" spans="1:9" x14ac:dyDescent="0.2">
      <c r="A32" s="809"/>
      <c r="B32" s="810"/>
      <c r="C32" s="810"/>
      <c r="D32" s="810"/>
      <c r="E32" s="810"/>
      <c r="F32" s="810"/>
      <c r="G32" s="810"/>
      <c r="H32" s="810"/>
      <c r="I32" s="811"/>
    </row>
    <row r="33" spans="1:9" ht="15" x14ac:dyDescent="0.25">
      <c r="A33" s="812"/>
      <c r="B33" s="813"/>
      <c r="C33" s="813"/>
      <c r="D33" s="813"/>
      <c r="E33" s="813"/>
      <c r="F33" s="813"/>
      <c r="G33" s="813"/>
      <c r="H33" s="813"/>
      <c r="I33" s="814"/>
    </row>
    <row r="34" spans="1:9" x14ac:dyDescent="0.2">
      <c r="A34" s="809"/>
      <c r="B34" s="810"/>
      <c r="C34" s="810"/>
      <c r="D34" s="810"/>
      <c r="E34" s="810"/>
      <c r="F34" s="810"/>
      <c r="G34" s="810"/>
      <c r="H34" s="810"/>
      <c r="I34" s="811"/>
    </row>
    <row r="35" spans="1:9" ht="13.5" x14ac:dyDescent="0.25">
      <c r="A35" s="815"/>
      <c r="B35" s="816"/>
      <c r="C35" s="816"/>
      <c r="D35" s="816"/>
      <c r="E35" s="816"/>
      <c r="F35" s="816"/>
      <c r="G35" s="816"/>
      <c r="H35" s="816"/>
      <c r="I35" s="817"/>
    </row>
    <row r="36" spans="1:9" ht="14.25" thickBot="1" x14ac:dyDescent="0.3">
      <c r="A36" s="799"/>
      <c r="B36" s="800"/>
      <c r="C36" s="800"/>
      <c r="D36" s="800"/>
      <c r="E36" s="800"/>
      <c r="F36" s="800"/>
      <c r="G36" s="800"/>
      <c r="H36" s="800"/>
      <c r="I36" s="801"/>
    </row>
    <row r="37" spans="1:9" x14ac:dyDescent="0.2">
      <c r="A37" s="802" t="s">
        <v>51</v>
      </c>
      <c r="B37" s="803"/>
      <c r="C37" s="803"/>
      <c r="D37" s="803"/>
      <c r="E37" s="803"/>
      <c r="F37" s="803"/>
      <c r="G37" s="803"/>
      <c r="H37" s="803"/>
      <c r="I37" s="803"/>
    </row>
    <row r="38" spans="1:9" ht="13.5" x14ac:dyDescent="0.25">
      <c r="A38" s="804"/>
      <c r="B38" s="805"/>
      <c r="C38" s="805"/>
      <c r="D38" s="805"/>
      <c r="E38" s="805"/>
      <c r="F38" s="805"/>
      <c r="G38" s="805"/>
      <c r="H38" s="805"/>
      <c r="I38" s="805"/>
    </row>
    <row r="39" spans="1:9" ht="13.5" x14ac:dyDescent="0.25">
      <c r="A39" s="804"/>
      <c r="B39" s="805"/>
      <c r="C39" s="805"/>
      <c r="D39" s="805"/>
      <c r="E39" s="805"/>
      <c r="F39" s="805"/>
      <c r="G39" s="805"/>
      <c r="H39" s="805"/>
      <c r="I39" s="805"/>
    </row>
  </sheetData>
  <mergeCells count="45">
    <mergeCell ref="A36:I36"/>
    <mergeCell ref="A37:I37"/>
    <mergeCell ref="A38:I38"/>
    <mergeCell ref="A39:I39"/>
    <mergeCell ref="A30:I30"/>
    <mergeCell ref="A31:I31"/>
    <mergeCell ref="A32:I32"/>
    <mergeCell ref="A33:I33"/>
    <mergeCell ref="A34:I34"/>
    <mergeCell ref="A35:I35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DA6D-4EDC-4123-807B-688B6B6C8F00}">
  <dimension ref="A1:I51"/>
  <sheetViews>
    <sheetView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747"/>
      <c r="B1" s="748"/>
      <c r="C1" s="753" t="s">
        <v>21</v>
      </c>
      <c r="D1" s="753"/>
      <c r="E1" s="753"/>
      <c r="F1" s="753"/>
      <c r="G1" s="753"/>
      <c r="H1" s="78" t="s">
        <v>0</v>
      </c>
      <c r="I1" s="79" t="s">
        <v>140</v>
      </c>
    </row>
    <row r="2" spans="1:9" ht="18" customHeight="1" thickBot="1" x14ac:dyDescent="0.3">
      <c r="A2" s="749"/>
      <c r="B2" s="750"/>
      <c r="C2" s="754" t="s">
        <v>1</v>
      </c>
      <c r="D2" s="755"/>
      <c r="E2" s="755"/>
      <c r="F2" s="755"/>
      <c r="G2" s="756"/>
      <c r="H2" s="80" t="s">
        <v>2</v>
      </c>
      <c r="I2" s="81" t="s">
        <v>141</v>
      </c>
    </row>
    <row r="3" spans="1:9" ht="31.5" customHeight="1" thickBot="1" x14ac:dyDescent="0.25">
      <c r="A3" s="749"/>
      <c r="B3" s="750"/>
      <c r="C3" s="757" t="s">
        <v>142</v>
      </c>
      <c r="D3" s="758"/>
      <c r="E3" s="758"/>
      <c r="F3" s="758"/>
      <c r="G3" s="759"/>
      <c r="H3" s="760" t="s">
        <v>3</v>
      </c>
      <c r="I3" s="738">
        <v>45611</v>
      </c>
    </row>
    <row r="4" spans="1:9" ht="18" customHeight="1" x14ac:dyDescent="0.25">
      <c r="A4" s="749"/>
      <c r="B4" s="750"/>
      <c r="C4" s="82" t="s">
        <v>4</v>
      </c>
      <c r="D4" s="741" t="s">
        <v>143</v>
      </c>
      <c r="E4" s="742"/>
      <c r="F4" s="742"/>
      <c r="G4" s="743"/>
      <c r="H4" s="761"/>
      <c r="I4" s="739"/>
    </row>
    <row r="5" spans="1:9" ht="14.25" thickBot="1" x14ac:dyDescent="0.3">
      <c r="A5" s="751"/>
      <c r="B5" s="752"/>
      <c r="C5" s="83" t="s">
        <v>5</v>
      </c>
      <c r="D5" s="744" t="s">
        <v>35</v>
      </c>
      <c r="E5" s="745"/>
      <c r="F5" s="745"/>
      <c r="G5" s="746"/>
      <c r="H5" s="762"/>
      <c r="I5" s="740"/>
    </row>
    <row r="6" spans="1:9" ht="18.75" thickBot="1" x14ac:dyDescent="0.3">
      <c r="A6" s="578" t="s">
        <v>39</v>
      </c>
      <c r="B6" s="578"/>
      <c r="C6" s="578"/>
      <c r="D6" s="763" t="s">
        <v>62</v>
      </c>
      <c r="E6" s="763"/>
      <c r="F6" s="763"/>
      <c r="G6" s="580" t="s">
        <v>40</v>
      </c>
      <c r="H6" s="580"/>
      <c r="I6" s="84" t="s">
        <v>62</v>
      </c>
    </row>
    <row r="7" spans="1:9" ht="25.5" x14ac:dyDescent="0.2">
      <c r="A7" s="764" t="s">
        <v>6</v>
      </c>
      <c r="B7" s="766" t="s">
        <v>41</v>
      </c>
      <c r="C7" s="768" t="s">
        <v>7</v>
      </c>
      <c r="D7" s="768" t="s">
        <v>8</v>
      </c>
      <c r="E7" s="768" t="s">
        <v>22</v>
      </c>
      <c r="F7" s="768"/>
      <c r="G7" s="768" t="s">
        <v>42</v>
      </c>
      <c r="H7" s="768"/>
      <c r="I7" s="85" t="s">
        <v>43</v>
      </c>
    </row>
    <row r="8" spans="1:9" ht="26.25" thickBot="1" x14ac:dyDescent="0.25">
      <c r="A8" s="765"/>
      <c r="B8" s="767"/>
      <c r="C8" s="769"/>
      <c r="D8" s="769"/>
      <c r="E8" s="86" t="s">
        <v>9</v>
      </c>
      <c r="F8" s="87" t="s">
        <v>10</v>
      </c>
      <c r="G8" s="86" t="s">
        <v>9</v>
      </c>
      <c r="H8" s="87" t="s">
        <v>10</v>
      </c>
      <c r="I8" s="88" t="s">
        <v>44</v>
      </c>
    </row>
    <row r="9" spans="1:9" ht="15" x14ac:dyDescent="0.25">
      <c r="A9" s="89"/>
      <c r="B9" s="90"/>
      <c r="C9" s="91" t="s">
        <v>24</v>
      </c>
      <c r="D9" s="92"/>
      <c r="E9" s="93"/>
      <c r="F9" s="94"/>
      <c r="G9" s="93"/>
      <c r="H9" s="94"/>
      <c r="I9" s="95"/>
    </row>
    <row r="10" spans="1:9" ht="18" customHeight="1" x14ac:dyDescent="0.25">
      <c r="A10" s="108">
        <v>901000014</v>
      </c>
      <c r="B10" s="97" t="s">
        <v>144</v>
      </c>
      <c r="C10" s="247" t="s">
        <v>145</v>
      </c>
      <c r="D10" s="248" t="s">
        <v>146</v>
      </c>
      <c r="E10" s="249">
        <v>23524</v>
      </c>
      <c r="F10" s="250" t="s">
        <v>11</v>
      </c>
      <c r="G10" s="101"/>
      <c r="H10" s="100"/>
      <c r="I10" s="95"/>
    </row>
    <row r="11" spans="1:9" ht="15" x14ac:dyDescent="0.25">
      <c r="A11" s="102"/>
      <c r="B11" s="102"/>
      <c r="C11" s="103"/>
      <c r="D11" s="110"/>
      <c r="E11" s="111"/>
      <c r="F11" s="111"/>
      <c r="G11" s="106"/>
      <c r="H11" s="107"/>
      <c r="I11" s="95"/>
    </row>
    <row r="12" spans="1:9" ht="15" x14ac:dyDescent="0.25">
      <c r="A12" s="108"/>
      <c r="B12" s="108"/>
      <c r="C12" s="109"/>
      <c r="D12" s="110"/>
      <c r="E12" s="111"/>
      <c r="F12" s="111"/>
      <c r="G12" s="106"/>
      <c r="H12" s="107"/>
      <c r="I12" s="95"/>
    </row>
    <row r="13" spans="1:9" ht="15" x14ac:dyDescent="0.25">
      <c r="A13" s="108"/>
      <c r="B13" s="108"/>
      <c r="D13" s="110"/>
      <c r="E13" s="110"/>
      <c r="F13" s="251"/>
      <c r="G13" s="106"/>
      <c r="H13" s="252"/>
      <c r="I13" s="95"/>
    </row>
    <row r="14" spans="1:9" ht="15" x14ac:dyDescent="0.25">
      <c r="A14" s="253"/>
      <c r="B14" s="108"/>
      <c r="C14" s="254"/>
      <c r="D14" s="104"/>
      <c r="E14" s="104"/>
      <c r="F14" s="105"/>
      <c r="G14" s="106"/>
      <c r="H14" s="252"/>
      <c r="I14" s="95"/>
    </row>
    <row r="15" spans="1:9" ht="15" x14ac:dyDescent="0.25">
      <c r="A15" s="113"/>
      <c r="B15" s="113"/>
      <c r="C15" s="115"/>
      <c r="D15" s="116"/>
      <c r="E15" s="116"/>
      <c r="F15" s="117"/>
      <c r="G15" s="93"/>
      <c r="H15" s="94"/>
      <c r="I15" s="95"/>
    </row>
    <row r="16" spans="1:9" ht="15.75" x14ac:dyDescent="0.25">
      <c r="A16" s="118"/>
      <c r="B16" s="119"/>
      <c r="C16" s="120" t="s">
        <v>25</v>
      </c>
      <c r="D16" s="121"/>
      <c r="E16" s="122"/>
      <c r="F16" s="117"/>
      <c r="G16" s="93"/>
      <c r="H16" s="94"/>
      <c r="I16" s="95"/>
    </row>
    <row r="17" spans="1:9" ht="15" x14ac:dyDescent="0.25">
      <c r="A17" s="123"/>
      <c r="B17" s="114"/>
      <c r="C17" s="124"/>
      <c r="D17" s="125"/>
      <c r="E17" s="116"/>
      <c r="F17" s="117"/>
      <c r="G17" s="93"/>
      <c r="H17" s="94"/>
      <c r="I17" s="95"/>
    </row>
    <row r="18" spans="1:9" ht="15" x14ac:dyDescent="0.25">
      <c r="A18" s="113"/>
      <c r="B18" s="113"/>
      <c r="C18" s="115"/>
      <c r="D18" s="125"/>
      <c r="E18" s="116"/>
      <c r="F18" s="117"/>
      <c r="G18" s="93"/>
      <c r="H18" s="94"/>
      <c r="I18" s="95"/>
    </row>
    <row r="19" spans="1:9" ht="15" x14ac:dyDescent="0.25">
      <c r="A19" s="255"/>
      <c r="B19" s="255"/>
      <c r="C19" s="124"/>
      <c r="D19" s="125"/>
      <c r="E19" s="116"/>
      <c r="F19" s="117"/>
      <c r="G19" s="93"/>
      <c r="H19" s="94"/>
      <c r="I19" s="95"/>
    </row>
    <row r="20" spans="1:9" ht="15" x14ac:dyDescent="0.25">
      <c r="A20" s="113"/>
      <c r="B20" s="113"/>
      <c r="C20" s="115"/>
      <c r="D20" s="116"/>
      <c r="E20" s="121"/>
      <c r="F20" s="117"/>
      <c r="G20" s="93"/>
      <c r="H20" s="94"/>
      <c r="I20" s="95"/>
    </row>
    <row r="21" spans="1:9" ht="15" x14ac:dyDescent="0.25">
      <c r="A21" s="113"/>
      <c r="B21" s="113"/>
      <c r="C21" s="115"/>
      <c r="D21" s="256"/>
      <c r="E21" s="257"/>
      <c r="F21" s="258"/>
      <c r="G21" s="93"/>
      <c r="H21" s="94"/>
      <c r="I21" s="95"/>
    </row>
    <row r="22" spans="1:9" ht="15.75" x14ac:dyDescent="0.25">
      <c r="A22" s="126"/>
      <c r="B22" s="127"/>
      <c r="C22" s="128" t="s">
        <v>45</v>
      </c>
      <c r="D22" s="129"/>
      <c r="E22" s="130"/>
      <c r="F22" s="94"/>
      <c r="G22" s="93"/>
      <c r="I22" s="95"/>
    </row>
    <row r="23" spans="1:9" ht="15" x14ac:dyDescent="0.25">
      <c r="A23" s="102"/>
      <c r="B23" s="102"/>
      <c r="C23" s="103"/>
      <c r="D23" s="104"/>
      <c r="E23" s="104"/>
      <c r="F23" s="105"/>
      <c r="G23" s="259"/>
      <c r="H23" s="94"/>
      <c r="I23" s="95"/>
    </row>
    <row r="24" spans="1:9" ht="15" x14ac:dyDescent="0.25">
      <c r="A24" s="112"/>
      <c r="B24" s="108"/>
      <c r="C24" s="109"/>
      <c r="D24" s="104"/>
      <c r="E24" s="104"/>
      <c r="F24" s="105"/>
      <c r="G24" s="259"/>
      <c r="H24" s="94"/>
      <c r="I24" s="95"/>
    </row>
    <row r="25" spans="1:9" ht="15" x14ac:dyDescent="0.25">
      <c r="A25" s="260"/>
      <c r="B25" s="260"/>
      <c r="C25" s="261"/>
      <c r="D25" s="104"/>
      <c r="E25" s="262"/>
      <c r="F25" s="100"/>
      <c r="G25" s="259"/>
      <c r="H25" s="94"/>
      <c r="I25" s="95"/>
    </row>
    <row r="26" spans="1:9" ht="15" x14ac:dyDescent="0.25">
      <c r="A26" s="260"/>
      <c r="B26" s="108"/>
      <c r="C26" s="261"/>
      <c r="D26" s="104"/>
      <c r="E26" s="263"/>
      <c r="F26" s="100"/>
      <c r="G26" s="93"/>
      <c r="H26" s="94"/>
      <c r="I26" s="95"/>
    </row>
    <row r="27" spans="1:9" ht="15" x14ac:dyDescent="0.25">
      <c r="A27" s="264"/>
      <c r="B27" s="265"/>
      <c r="C27" s="266"/>
      <c r="D27" s="104"/>
      <c r="E27" s="267"/>
      <c r="F27" s="268"/>
      <c r="G27" s="93"/>
      <c r="H27" s="94"/>
      <c r="I27" s="95"/>
    </row>
    <row r="28" spans="1:9" ht="15" x14ac:dyDescent="0.25">
      <c r="A28" s="269"/>
      <c r="B28" s="270"/>
      <c r="C28" s="271"/>
      <c r="D28" s="104"/>
      <c r="E28" s="116"/>
      <c r="F28" s="117"/>
      <c r="G28" s="272"/>
      <c r="H28" s="121"/>
      <c r="I28" s="95"/>
    </row>
    <row r="29" spans="1:9" ht="15" x14ac:dyDescent="0.25">
      <c r="A29" s="118"/>
      <c r="B29" s="119"/>
      <c r="C29" s="273"/>
      <c r="D29" s="104"/>
      <c r="E29" s="116"/>
      <c r="F29" s="117"/>
      <c r="G29" s="116"/>
      <c r="H29" s="121"/>
      <c r="I29" s="95"/>
    </row>
    <row r="30" spans="1:9" ht="15.75" x14ac:dyDescent="0.25">
      <c r="A30" s="118"/>
      <c r="B30" s="119"/>
      <c r="C30" s="273"/>
      <c r="D30" s="104"/>
      <c r="E30" s="116"/>
      <c r="F30" s="117"/>
      <c r="G30" s="274"/>
      <c r="H30" s="117"/>
      <c r="I30" s="95"/>
    </row>
    <row r="31" spans="1:9" ht="15.75" x14ac:dyDescent="0.25">
      <c r="A31" s="118"/>
      <c r="B31" s="119"/>
      <c r="C31" s="273"/>
      <c r="D31" s="121"/>
      <c r="E31" s="121"/>
      <c r="F31" s="117"/>
      <c r="G31" s="275"/>
      <c r="H31" s="275"/>
      <c r="I31" s="95"/>
    </row>
    <row r="32" spans="1:9" ht="14.25" thickBot="1" x14ac:dyDescent="0.3">
      <c r="A32" s="132"/>
      <c r="B32" s="133"/>
      <c r="C32" s="134"/>
      <c r="D32" s="134"/>
      <c r="E32" s="135"/>
      <c r="F32" s="136"/>
      <c r="G32" s="134"/>
      <c r="H32" s="134"/>
      <c r="I32" s="137"/>
    </row>
    <row r="33" spans="1:9" ht="14.25" thickBot="1" x14ac:dyDescent="0.3">
      <c r="A33" s="138"/>
      <c r="B33" s="139"/>
      <c r="C33" s="140"/>
      <c r="D33" s="141" t="s">
        <v>9</v>
      </c>
      <c r="E33" s="142" t="s">
        <v>12</v>
      </c>
      <c r="F33" s="143"/>
      <c r="G33" s="140"/>
      <c r="H33" s="140"/>
      <c r="I33" s="144"/>
    </row>
    <row r="34" spans="1:9" ht="13.5" x14ac:dyDescent="0.25">
      <c r="A34" s="770" t="s">
        <v>13</v>
      </c>
      <c r="B34" s="771"/>
      <c r="C34" s="772"/>
      <c r="D34" s="101">
        <v>23300</v>
      </c>
      <c r="E34" s="145" t="s">
        <v>11</v>
      </c>
      <c r="F34" s="773" t="s">
        <v>48</v>
      </c>
      <c r="G34" s="773"/>
      <c r="H34" s="774" t="s">
        <v>147</v>
      </c>
      <c r="I34" s="775"/>
    </row>
    <row r="35" spans="1:9" ht="13.5" x14ac:dyDescent="0.25">
      <c r="A35" s="776" t="s">
        <v>14</v>
      </c>
      <c r="B35" s="777"/>
      <c r="C35" s="778"/>
      <c r="D35" s="146">
        <v>8</v>
      </c>
      <c r="E35" s="111" t="s">
        <v>69</v>
      </c>
      <c r="F35" s="779" t="s">
        <v>23</v>
      </c>
      <c r="G35" s="779"/>
      <c r="H35" s="780" t="s">
        <v>148</v>
      </c>
      <c r="I35" s="781"/>
    </row>
    <row r="36" spans="1:9" ht="13.5" x14ac:dyDescent="0.25">
      <c r="A36" s="776" t="s">
        <v>15</v>
      </c>
      <c r="B36" s="777"/>
      <c r="C36" s="778"/>
      <c r="D36" s="111">
        <v>1</v>
      </c>
      <c r="E36" s="111" t="s">
        <v>149</v>
      </c>
      <c r="F36" s="779" t="s">
        <v>49</v>
      </c>
      <c r="G36" s="779"/>
      <c r="H36" s="780" t="s">
        <v>150</v>
      </c>
      <c r="I36" s="781"/>
    </row>
    <row r="37" spans="1:9" ht="13.5" x14ac:dyDescent="0.25">
      <c r="A37" s="776" t="s">
        <v>16</v>
      </c>
      <c r="B37" s="777"/>
      <c r="C37" s="778"/>
      <c r="D37" s="147">
        <v>23300</v>
      </c>
      <c r="E37" s="111" t="s">
        <v>11</v>
      </c>
      <c r="F37" s="785" t="s">
        <v>50</v>
      </c>
      <c r="G37" s="786"/>
      <c r="H37" s="780"/>
      <c r="I37" s="781"/>
    </row>
    <row r="38" spans="1:9" ht="14.25" thickBot="1" x14ac:dyDescent="0.3">
      <c r="A38" s="787" t="s">
        <v>17</v>
      </c>
      <c r="B38" s="788"/>
      <c r="C38" s="789"/>
      <c r="D38" s="148">
        <v>224</v>
      </c>
      <c r="E38" s="149" t="s">
        <v>11</v>
      </c>
      <c r="F38" s="790"/>
      <c r="G38" s="790"/>
      <c r="H38" s="791"/>
      <c r="I38" s="792"/>
    </row>
    <row r="39" spans="1:9" ht="13.5" thickBot="1" x14ac:dyDescent="0.25">
      <c r="A39" s="793" t="s">
        <v>18</v>
      </c>
      <c r="B39" s="794"/>
      <c r="C39" s="794"/>
      <c r="D39" s="794"/>
      <c r="E39" s="794"/>
      <c r="F39" s="794"/>
      <c r="G39" s="794"/>
      <c r="H39" s="794"/>
      <c r="I39" s="795"/>
    </row>
    <row r="40" spans="1:9" ht="18.600000000000001" customHeight="1" x14ac:dyDescent="0.25">
      <c r="A40" s="806" t="s">
        <v>151</v>
      </c>
      <c r="B40" s="807"/>
      <c r="C40" s="807"/>
      <c r="D40" s="807"/>
      <c r="E40" s="807"/>
      <c r="F40" s="807"/>
      <c r="G40" s="807"/>
      <c r="H40" s="807"/>
      <c r="I40" s="808"/>
    </row>
    <row r="41" spans="1:9" ht="14.45" customHeight="1" x14ac:dyDescent="0.25">
      <c r="A41" s="806" t="s">
        <v>152</v>
      </c>
      <c r="B41" s="807"/>
      <c r="C41" s="807"/>
      <c r="D41" s="807"/>
      <c r="E41" s="807"/>
      <c r="F41" s="807"/>
      <c r="G41" s="807"/>
      <c r="H41" s="807"/>
      <c r="I41" s="808"/>
    </row>
    <row r="42" spans="1:9" ht="14.45" customHeight="1" x14ac:dyDescent="0.2">
      <c r="A42" s="821"/>
      <c r="B42" s="822"/>
      <c r="C42" s="822"/>
      <c r="D42" s="822"/>
      <c r="E42" s="822"/>
      <c r="F42" s="822"/>
      <c r="G42" s="822"/>
      <c r="H42" s="822"/>
      <c r="I42" s="823"/>
    </row>
    <row r="43" spans="1:9" ht="14.25" x14ac:dyDescent="0.2">
      <c r="A43" s="824"/>
      <c r="B43" s="825"/>
      <c r="C43" s="826"/>
      <c r="D43" s="826"/>
      <c r="E43" s="826"/>
      <c r="F43" s="826"/>
      <c r="G43" s="826"/>
      <c r="H43" s="826"/>
      <c r="I43" s="827"/>
    </row>
    <row r="44" spans="1:9" ht="14.45" customHeight="1" x14ac:dyDescent="0.2">
      <c r="A44" s="824"/>
      <c r="B44" s="825"/>
      <c r="C44" s="826"/>
      <c r="D44" s="826"/>
      <c r="E44" s="826"/>
      <c r="F44" s="826"/>
      <c r="G44" s="826"/>
      <c r="H44" s="826"/>
      <c r="I44" s="827"/>
    </row>
    <row r="45" spans="1:9" ht="14.45" customHeight="1" x14ac:dyDescent="0.2">
      <c r="A45" s="828"/>
      <c r="B45" s="829"/>
      <c r="C45" s="829"/>
      <c r="D45" s="829"/>
      <c r="E45" s="829"/>
      <c r="F45" s="829"/>
      <c r="G45" s="829"/>
      <c r="H45" s="829"/>
      <c r="I45" s="830"/>
    </row>
    <row r="46" spans="1:9" ht="18" customHeight="1" x14ac:dyDescent="0.2">
      <c r="A46" s="818"/>
      <c r="B46" s="819"/>
      <c r="C46" s="819"/>
      <c r="D46" s="819"/>
      <c r="E46" s="819"/>
      <c r="F46" s="819"/>
      <c r="G46" s="819"/>
      <c r="H46" s="819"/>
      <c r="I46" s="820"/>
    </row>
    <row r="47" spans="1:9" ht="14.25" x14ac:dyDescent="0.2">
      <c r="A47" s="818"/>
      <c r="B47" s="819"/>
      <c r="C47" s="819"/>
      <c r="D47" s="819"/>
      <c r="E47" s="819"/>
      <c r="F47" s="819"/>
      <c r="G47" s="819"/>
      <c r="H47" s="819"/>
      <c r="I47" s="820"/>
    </row>
    <row r="48" spans="1:9" ht="15" thickBot="1" x14ac:dyDescent="0.25">
      <c r="A48" s="818"/>
      <c r="B48" s="819"/>
      <c r="C48" s="819"/>
      <c r="D48" s="819"/>
      <c r="E48" s="819"/>
      <c r="F48" s="819"/>
      <c r="G48" s="819"/>
      <c r="H48" s="819"/>
      <c r="I48" s="820"/>
    </row>
    <row r="49" spans="1:9" x14ac:dyDescent="0.2">
      <c r="A49" s="802" t="s">
        <v>51</v>
      </c>
      <c r="B49" s="803"/>
      <c r="C49" s="803"/>
      <c r="D49" s="803"/>
      <c r="E49" s="803"/>
      <c r="F49" s="803"/>
      <c r="G49" s="803"/>
      <c r="H49" s="803"/>
      <c r="I49" s="803"/>
    </row>
    <row r="50" spans="1:9" ht="13.5" x14ac:dyDescent="0.25">
      <c r="A50" s="804"/>
      <c r="B50" s="805"/>
      <c r="C50" s="805"/>
      <c r="D50" s="805"/>
      <c r="E50" s="805"/>
      <c r="F50" s="805"/>
      <c r="G50" s="805"/>
      <c r="H50" s="805"/>
      <c r="I50" s="805"/>
    </row>
    <row r="51" spans="1:9" ht="13.5" x14ac:dyDescent="0.25">
      <c r="A51" s="804"/>
      <c r="B51" s="805"/>
      <c r="C51" s="805"/>
      <c r="D51" s="805"/>
      <c r="E51" s="805"/>
      <c r="F51" s="805"/>
      <c r="G51" s="805"/>
      <c r="H51" s="805"/>
      <c r="I51" s="8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30E3-7B97-4598-B6E0-F914CE789AFB}">
  <dimension ref="A1:I55"/>
  <sheetViews>
    <sheetView workbookViewId="0">
      <selection activeCell="C14" sqref="C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47"/>
      <c r="B1" s="748"/>
      <c r="C1" s="753" t="s">
        <v>21</v>
      </c>
      <c r="D1" s="753"/>
      <c r="E1" s="753"/>
      <c r="F1" s="753"/>
      <c r="G1" s="753"/>
      <c r="H1" s="78" t="s">
        <v>0</v>
      </c>
      <c r="I1" s="79" t="s">
        <v>153</v>
      </c>
    </row>
    <row r="2" spans="1:9" ht="18" customHeight="1" thickBot="1" x14ac:dyDescent="0.3">
      <c r="A2" s="749"/>
      <c r="B2" s="750"/>
      <c r="C2" s="754" t="s">
        <v>1</v>
      </c>
      <c r="D2" s="755"/>
      <c r="E2" s="755"/>
      <c r="F2" s="755"/>
      <c r="G2" s="756"/>
      <c r="H2" s="80" t="s">
        <v>2</v>
      </c>
      <c r="I2" s="81" t="s">
        <v>141</v>
      </c>
    </row>
    <row r="3" spans="1:9" ht="31.5" customHeight="1" thickBot="1" x14ac:dyDescent="0.25">
      <c r="A3" s="749"/>
      <c r="B3" s="750"/>
      <c r="C3" s="757" t="s">
        <v>154</v>
      </c>
      <c r="D3" s="758"/>
      <c r="E3" s="758"/>
      <c r="F3" s="758"/>
      <c r="G3" s="759"/>
      <c r="H3" s="760" t="s">
        <v>3</v>
      </c>
      <c r="I3" s="738">
        <v>45616</v>
      </c>
    </row>
    <row r="4" spans="1:9" ht="18" customHeight="1" x14ac:dyDescent="0.25">
      <c r="A4" s="749"/>
      <c r="B4" s="750"/>
      <c r="C4" s="82" t="s">
        <v>4</v>
      </c>
      <c r="D4" s="741" t="s">
        <v>143</v>
      </c>
      <c r="E4" s="742"/>
      <c r="F4" s="742"/>
      <c r="G4" s="743"/>
      <c r="H4" s="761"/>
      <c r="I4" s="739"/>
    </row>
    <row r="5" spans="1:9" ht="14.25" thickBot="1" x14ac:dyDescent="0.3">
      <c r="A5" s="751"/>
      <c r="B5" s="752"/>
      <c r="C5" s="83" t="s">
        <v>5</v>
      </c>
      <c r="D5" s="744" t="s">
        <v>35</v>
      </c>
      <c r="E5" s="745"/>
      <c r="F5" s="745"/>
      <c r="G5" s="746"/>
      <c r="H5" s="762"/>
      <c r="I5" s="740"/>
    </row>
    <row r="6" spans="1:9" ht="18.75" thickBot="1" x14ac:dyDescent="0.3">
      <c r="A6" s="578" t="s">
        <v>39</v>
      </c>
      <c r="B6" s="578"/>
      <c r="C6" s="578"/>
      <c r="D6" s="763" t="s">
        <v>155</v>
      </c>
      <c r="E6" s="763"/>
      <c r="F6" s="763"/>
      <c r="G6" s="580" t="s">
        <v>40</v>
      </c>
      <c r="H6" s="580"/>
      <c r="I6" s="84" t="s">
        <v>155</v>
      </c>
    </row>
    <row r="7" spans="1:9" x14ac:dyDescent="0.2">
      <c r="A7" s="764" t="s">
        <v>6</v>
      </c>
      <c r="B7" s="766" t="s">
        <v>41</v>
      </c>
      <c r="C7" s="768" t="s">
        <v>7</v>
      </c>
      <c r="D7" s="768" t="s">
        <v>8</v>
      </c>
      <c r="E7" s="768" t="s">
        <v>22</v>
      </c>
      <c r="F7" s="768"/>
      <c r="G7" s="768" t="s">
        <v>42</v>
      </c>
      <c r="H7" s="768"/>
      <c r="I7" s="85" t="s">
        <v>43</v>
      </c>
    </row>
    <row r="8" spans="1:9" ht="26.25" thickBot="1" x14ac:dyDescent="0.25">
      <c r="A8" s="765"/>
      <c r="B8" s="767"/>
      <c r="C8" s="769"/>
      <c r="D8" s="769"/>
      <c r="E8" s="86" t="s">
        <v>9</v>
      </c>
      <c r="F8" s="87" t="s">
        <v>10</v>
      </c>
      <c r="G8" s="86" t="s">
        <v>9</v>
      </c>
      <c r="H8" s="87" t="s">
        <v>10</v>
      </c>
      <c r="I8" s="88" t="s">
        <v>44</v>
      </c>
    </row>
    <row r="9" spans="1:9" ht="18.600000000000001" customHeight="1" x14ac:dyDescent="0.25">
      <c r="A9" s="89"/>
      <c r="B9" s="90"/>
      <c r="C9" s="91" t="s">
        <v>24</v>
      </c>
      <c r="D9" s="92"/>
      <c r="E9" s="93"/>
      <c r="F9" s="94"/>
      <c r="G9" s="93"/>
      <c r="H9" s="94"/>
      <c r="I9" s="95"/>
    </row>
    <row r="10" spans="1:9" ht="18" customHeight="1" x14ac:dyDescent="0.25">
      <c r="A10" s="276"/>
      <c r="B10" s="276" t="s">
        <v>156</v>
      </c>
      <c r="C10" s="277" t="s">
        <v>157</v>
      </c>
      <c r="D10" s="99" t="s">
        <v>158</v>
      </c>
      <c r="E10" s="278">
        <v>9000</v>
      </c>
      <c r="F10" s="279" t="s">
        <v>11</v>
      </c>
      <c r="G10" s="280"/>
      <c r="H10" s="281"/>
      <c r="I10" s="95"/>
    </row>
    <row r="11" spans="1:9" ht="15" x14ac:dyDescent="0.25">
      <c r="A11" s="276"/>
      <c r="B11" s="276" t="s">
        <v>159</v>
      </c>
      <c r="C11" s="277" t="s">
        <v>160</v>
      </c>
      <c r="D11" s="104" t="s">
        <v>161</v>
      </c>
      <c r="E11" s="249">
        <v>1</v>
      </c>
      <c r="F11" s="250" t="s">
        <v>162</v>
      </c>
      <c r="G11" s="280"/>
      <c r="H11" s="281"/>
      <c r="I11" s="95"/>
    </row>
    <row r="12" spans="1:9" ht="15.75" x14ac:dyDescent="0.25">
      <c r="A12" s="276"/>
      <c r="B12" s="276" t="s">
        <v>163</v>
      </c>
      <c r="C12" s="277" t="s">
        <v>164</v>
      </c>
      <c r="D12" s="282" t="s">
        <v>165</v>
      </c>
      <c r="E12" s="282">
        <v>12000</v>
      </c>
      <c r="F12" s="282" t="s">
        <v>11</v>
      </c>
      <c r="G12" s="111"/>
      <c r="H12" s="281"/>
      <c r="I12" s="95"/>
    </row>
    <row r="13" spans="1:9" ht="15.75" x14ac:dyDescent="0.25">
      <c r="A13" s="113"/>
      <c r="B13" s="113" t="s">
        <v>166</v>
      </c>
      <c r="C13" s="283" t="s">
        <v>167</v>
      </c>
      <c r="D13" s="282" t="s">
        <v>168</v>
      </c>
      <c r="E13" s="282">
        <v>24</v>
      </c>
      <c r="F13" s="282" t="s">
        <v>11</v>
      </c>
      <c r="G13" s="111"/>
      <c r="H13" s="281"/>
      <c r="I13" s="95"/>
    </row>
    <row r="14" spans="1:9" ht="15.75" x14ac:dyDescent="0.25">
      <c r="A14" s="276"/>
      <c r="B14" s="276"/>
      <c r="C14" s="284"/>
      <c r="D14" s="282"/>
      <c r="E14" s="282"/>
      <c r="F14" s="282"/>
      <c r="G14" s="111"/>
      <c r="H14" s="281"/>
      <c r="I14" s="95"/>
    </row>
    <row r="15" spans="1:9" ht="15.75" x14ac:dyDescent="0.25">
      <c r="A15" s="113"/>
      <c r="B15" s="113"/>
      <c r="C15" s="285"/>
      <c r="D15" s="282"/>
      <c r="E15" s="282"/>
      <c r="F15" s="282"/>
      <c r="G15" s="111"/>
      <c r="H15" s="281"/>
      <c r="I15" s="95"/>
    </row>
    <row r="16" spans="1:9" ht="15.75" x14ac:dyDescent="0.25">
      <c r="A16" s="113"/>
      <c r="B16" s="113"/>
      <c r="C16" s="285"/>
      <c r="D16" s="282"/>
      <c r="E16" s="282"/>
      <c r="F16" s="282"/>
      <c r="G16" s="111"/>
      <c r="H16" s="281"/>
      <c r="I16" s="95"/>
    </row>
    <row r="17" spans="1:9" ht="15.75" x14ac:dyDescent="0.25">
      <c r="A17" s="113"/>
      <c r="B17" s="113"/>
      <c r="C17" s="285"/>
      <c r="D17" s="282"/>
      <c r="E17" s="282"/>
      <c r="F17" s="282"/>
      <c r="G17" s="111"/>
      <c r="H17" s="281"/>
      <c r="I17" s="95"/>
    </row>
    <row r="18" spans="1:9" ht="15.75" x14ac:dyDescent="0.25">
      <c r="A18" s="118"/>
      <c r="B18" s="119"/>
      <c r="C18" s="120" t="s">
        <v>25</v>
      </c>
      <c r="D18" s="286"/>
      <c r="E18" s="286"/>
      <c r="F18" s="286"/>
      <c r="G18" s="93"/>
      <c r="H18" s="281"/>
      <c r="I18" s="95"/>
    </row>
    <row r="19" spans="1:9" ht="15.75" x14ac:dyDescent="0.25">
      <c r="A19" s="118"/>
      <c r="B19" s="119"/>
      <c r="C19" s="120"/>
      <c r="D19" s="121"/>
      <c r="E19" s="122"/>
      <c r="F19" s="117"/>
      <c r="G19" s="93"/>
      <c r="H19" s="281"/>
      <c r="I19" s="95"/>
    </row>
    <row r="20" spans="1:9" ht="15" x14ac:dyDescent="0.25">
      <c r="A20" s="287"/>
      <c r="B20" s="288"/>
      <c r="C20" s="289"/>
      <c r="D20" s="290"/>
      <c r="E20" s="291"/>
      <c r="F20" s="292"/>
      <c r="G20" s="93"/>
      <c r="H20" s="281"/>
      <c r="I20" s="95"/>
    </row>
    <row r="21" spans="1:9" ht="15" x14ac:dyDescent="0.25">
      <c r="A21" s="287"/>
      <c r="B21" s="288"/>
      <c r="C21" s="289"/>
      <c r="D21" s="290"/>
      <c r="E21" s="293"/>
      <c r="F21" s="292"/>
      <c r="G21" s="93"/>
      <c r="H21" s="94"/>
      <c r="I21" s="95"/>
    </row>
    <row r="22" spans="1:9" ht="15" x14ac:dyDescent="0.25">
      <c r="A22" s="287"/>
      <c r="B22" s="288"/>
      <c r="C22" s="289"/>
      <c r="D22" s="290"/>
      <c r="E22" s="291"/>
      <c r="F22" s="292"/>
      <c r="G22" s="93"/>
      <c r="H22" s="94"/>
      <c r="I22" s="95"/>
    </row>
    <row r="23" spans="1:9" ht="15" x14ac:dyDescent="0.25">
      <c r="A23" s="287"/>
      <c r="B23" s="288"/>
      <c r="C23" s="289"/>
      <c r="D23" s="290"/>
      <c r="E23" s="294"/>
      <c r="F23" s="295"/>
      <c r="G23" s="93"/>
      <c r="H23" s="94"/>
      <c r="I23" s="95"/>
    </row>
    <row r="24" spans="1:9" ht="15" x14ac:dyDescent="0.25">
      <c r="A24" s="113"/>
      <c r="B24" s="113"/>
      <c r="C24" s="285"/>
      <c r="D24" s="296"/>
      <c r="E24" s="147"/>
      <c r="F24" s="262"/>
      <c r="G24" s="93"/>
      <c r="H24" s="94"/>
      <c r="I24" s="95"/>
    </row>
    <row r="25" spans="1:9" ht="15.75" x14ac:dyDescent="0.25">
      <c r="A25" s="126"/>
      <c r="B25" s="127"/>
      <c r="C25" s="128" t="s">
        <v>45</v>
      </c>
      <c r="D25" s="129"/>
      <c r="E25" s="130"/>
      <c r="F25" s="94"/>
      <c r="G25" s="93"/>
      <c r="I25" s="95"/>
    </row>
    <row r="26" spans="1:9" ht="15" x14ac:dyDescent="0.25">
      <c r="A26" s="297"/>
      <c r="B26" s="298" t="s">
        <v>38</v>
      </c>
      <c r="C26" s="299" t="s">
        <v>169</v>
      </c>
      <c r="D26" s="104" t="s">
        <v>30</v>
      </c>
      <c r="E26" s="249">
        <v>2</v>
      </c>
      <c r="F26" s="250" t="s">
        <v>170</v>
      </c>
      <c r="G26" s="259"/>
      <c r="H26" s="94"/>
      <c r="I26" s="95"/>
    </row>
    <row r="27" spans="1:9" ht="15" x14ac:dyDescent="0.25">
      <c r="A27" s="297"/>
      <c r="B27" s="298" t="s">
        <v>171</v>
      </c>
      <c r="C27" s="299" t="s">
        <v>172</v>
      </c>
      <c r="D27" s="104" t="s">
        <v>173</v>
      </c>
      <c r="E27" s="249">
        <v>2</v>
      </c>
      <c r="F27" s="250" t="s">
        <v>170</v>
      </c>
      <c r="G27" s="259"/>
      <c r="H27" s="94"/>
      <c r="I27" s="95"/>
    </row>
    <row r="28" spans="1:9" ht="15" x14ac:dyDescent="0.25">
      <c r="A28" s="300"/>
      <c r="B28" s="301" t="s">
        <v>174</v>
      </c>
      <c r="C28" s="302" t="s">
        <v>175</v>
      </c>
      <c r="D28" s="104" t="s">
        <v>30</v>
      </c>
      <c r="E28" s="249">
        <v>1</v>
      </c>
      <c r="F28" s="250" t="s">
        <v>170</v>
      </c>
      <c r="G28" s="259"/>
      <c r="H28" s="94"/>
      <c r="I28" s="95"/>
    </row>
    <row r="29" spans="1:9" ht="15" x14ac:dyDescent="0.25">
      <c r="A29" s="303"/>
      <c r="B29" s="303" t="s">
        <v>176</v>
      </c>
      <c r="C29" s="304" t="s">
        <v>177</v>
      </c>
      <c r="D29" s="104" t="s">
        <v>178</v>
      </c>
      <c r="E29" s="249">
        <v>2</v>
      </c>
      <c r="F29" s="250" t="s">
        <v>170</v>
      </c>
      <c r="G29" s="93"/>
      <c r="H29" s="94"/>
      <c r="I29" s="95"/>
    </row>
    <row r="30" spans="1:9" ht="15" x14ac:dyDescent="0.25">
      <c r="A30" s="303"/>
      <c r="B30" s="303"/>
      <c r="C30" s="304"/>
      <c r="D30" s="104"/>
      <c r="E30" s="249"/>
      <c r="F30" s="250"/>
      <c r="G30" s="93"/>
      <c r="H30" s="94"/>
      <c r="I30" s="95"/>
    </row>
    <row r="31" spans="1:9" ht="15" x14ac:dyDescent="0.25">
      <c r="A31" s="303"/>
      <c r="B31" s="303"/>
      <c r="C31" s="304"/>
      <c r="D31" s="104"/>
      <c r="E31" s="249"/>
      <c r="F31" s="250"/>
      <c r="G31" s="272"/>
      <c r="H31" s="94"/>
      <c r="I31" s="95"/>
    </row>
    <row r="32" spans="1:9" ht="15.75" x14ac:dyDescent="0.25">
      <c r="A32" s="303"/>
      <c r="B32" s="303"/>
      <c r="C32" s="304"/>
      <c r="D32" s="282"/>
      <c r="E32" s="249"/>
      <c r="F32" s="250"/>
      <c r="G32" s="116"/>
      <c r="H32" s="94"/>
      <c r="I32" s="95"/>
    </row>
    <row r="33" spans="1:9" ht="15" x14ac:dyDescent="0.25">
      <c r="A33" s="305"/>
      <c r="B33" s="305"/>
      <c r="C33" s="306"/>
      <c r="D33" s="104"/>
      <c r="E33" s="262"/>
      <c r="F33" s="262"/>
      <c r="G33" s="116"/>
      <c r="H33" s="94"/>
      <c r="I33" s="95"/>
    </row>
    <row r="34" spans="1:9" ht="15" x14ac:dyDescent="0.25">
      <c r="A34" s="260"/>
      <c r="B34" s="113"/>
      <c r="C34" s="261"/>
      <c r="D34" s="256"/>
      <c r="E34" s="147"/>
      <c r="F34" s="111"/>
      <c r="G34" s="116"/>
      <c r="H34" s="94"/>
      <c r="I34" s="95"/>
    </row>
    <row r="35" spans="1:9" ht="15.75" x14ac:dyDescent="0.25">
      <c r="A35" s="303"/>
      <c r="B35" s="303"/>
      <c r="C35" s="304"/>
      <c r="D35" s="104"/>
      <c r="E35" s="147"/>
      <c r="F35" s="111"/>
      <c r="G35" s="274"/>
      <c r="H35" s="94"/>
      <c r="I35" s="95"/>
    </row>
    <row r="36" spans="1:9" ht="15.75" x14ac:dyDescent="0.25">
      <c r="A36" s="118"/>
      <c r="B36" s="119"/>
      <c r="C36" s="273"/>
      <c r="D36" s="121"/>
      <c r="E36" s="121"/>
      <c r="F36" s="117"/>
      <c r="G36" s="275"/>
      <c r="H36" s="275"/>
      <c r="I36" s="95"/>
    </row>
    <row r="37" spans="1:9" ht="14.25" thickBot="1" x14ac:dyDescent="0.3">
      <c r="A37" s="132"/>
      <c r="B37" s="133"/>
      <c r="C37" s="134"/>
      <c r="D37" s="134"/>
      <c r="E37" s="135"/>
      <c r="F37" s="136"/>
      <c r="G37" s="134"/>
      <c r="H37" s="134"/>
      <c r="I37" s="137"/>
    </row>
    <row r="38" spans="1:9" ht="14.25" thickBot="1" x14ac:dyDescent="0.3">
      <c r="A38" s="138"/>
      <c r="B38" s="139"/>
      <c r="C38" s="140"/>
      <c r="D38" s="141" t="s">
        <v>9</v>
      </c>
      <c r="E38" s="142" t="s">
        <v>12</v>
      </c>
      <c r="F38" s="143"/>
      <c r="G38" s="140"/>
      <c r="H38" s="140"/>
      <c r="I38" s="144"/>
    </row>
    <row r="39" spans="1:9" ht="13.5" x14ac:dyDescent="0.25">
      <c r="A39" s="770" t="s">
        <v>13</v>
      </c>
      <c r="B39" s="771"/>
      <c r="C39" s="772"/>
      <c r="D39" s="101">
        <v>23524</v>
      </c>
      <c r="E39" s="145" t="s">
        <v>11</v>
      </c>
      <c r="F39" s="773" t="s">
        <v>48</v>
      </c>
      <c r="G39" s="773"/>
      <c r="H39" s="774"/>
      <c r="I39" s="775"/>
    </row>
    <row r="40" spans="1:9" ht="13.5" x14ac:dyDescent="0.25">
      <c r="A40" s="776" t="s">
        <v>14</v>
      </c>
      <c r="B40" s="777"/>
      <c r="C40" s="778"/>
      <c r="D40" s="307">
        <v>0.14583333333333334</v>
      </c>
      <c r="E40" s="111" t="s">
        <v>179</v>
      </c>
      <c r="F40" s="779" t="s">
        <v>23</v>
      </c>
      <c r="G40" s="779"/>
      <c r="H40" s="780"/>
      <c r="I40" s="781"/>
    </row>
    <row r="41" spans="1:9" ht="13.5" x14ac:dyDescent="0.25">
      <c r="A41" s="776" t="s">
        <v>15</v>
      </c>
      <c r="B41" s="777"/>
      <c r="C41" s="778"/>
      <c r="D41" s="147">
        <v>1</v>
      </c>
      <c r="E41" s="111" t="s">
        <v>149</v>
      </c>
      <c r="F41" s="779" t="s">
        <v>49</v>
      </c>
      <c r="G41" s="779"/>
      <c r="H41" s="780"/>
      <c r="I41" s="781"/>
    </row>
    <row r="42" spans="1:9" ht="13.5" x14ac:dyDescent="0.25">
      <c r="A42" s="776" t="s">
        <v>16</v>
      </c>
      <c r="B42" s="777"/>
      <c r="C42" s="778"/>
      <c r="D42" s="147">
        <v>23524</v>
      </c>
      <c r="E42" s="111" t="s">
        <v>11</v>
      </c>
      <c r="F42" s="785" t="s">
        <v>50</v>
      </c>
      <c r="G42" s="786"/>
      <c r="H42" s="848"/>
      <c r="I42" s="849"/>
    </row>
    <row r="43" spans="1:9" ht="14.25" thickBot="1" x14ac:dyDescent="0.3">
      <c r="A43" s="787" t="s">
        <v>17</v>
      </c>
      <c r="B43" s="788"/>
      <c r="C43" s="789"/>
      <c r="D43" s="148">
        <v>0</v>
      </c>
      <c r="E43" s="149" t="s">
        <v>11</v>
      </c>
      <c r="F43" s="790"/>
      <c r="G43" s="790"/>
      <c r="H43" s="780"/>
      <c r="I43" s="781"/>
    </row>
    <row r="44" spans="1:9" ht="13.5" thickBot="1" x14ac:dyDescent="0.25">
      <c r="A44" s="793" t="s">
        <v>18</v>
      </c>
      <c r="B44" s="794"/>
      <c r="C44" s="794"/>
      <c r="D44" s="794"/>
      <c r="E44" s="794"/>
      <c r="F44" s="794"/>
      <c r="G44" s="794"/>
      <c r="H44" s="794"/>
      <c r="I44" s="795"/>
    </row>
    <row r="45" spans="1:9" ht="14.45" customHeight="1" x14ac:dyDescent="0.25">
      <c r="A45" s="850" t="s">
        <v>180</v>
      </c>
      <c r="B45" s="851"/>
      <c r="C45" s="851"/>
      <c r="D45" s="851"/>
      <c r="E45" s="851"/>
      <c r="F45" s="851"/>
      <c r="G45" s="851"/>
      <c r="H45" s="851"/>
      <c r="I45" s="852"/>
    </row>
    <row r="46" spans="1:9" ht="15.6" customHeight="1" x14ac:dyDescent="0.25">
      <c r="A46" s="834" t="s">
        <v>181</v>
      </c>
      <c r="B46" s="835"/>
      <c r="C46" s="836"/>
      <c r="D46" s="836"/>
      <c r="E46" s="836"/>
      <c r="F46" s="836"/>
      <c r="G46" s="836"/>
      <c r="H46" s="836"/>
      <c r="I46" s="837"/>
    </row>
    <row r="47" spans="1:9" ht="14.45" customHeight="1" thickBot="1" x14ac:dyDescent="0.3">
      <c r="A47" s="831" t="s">
        <v>182</v>
      </c>
      <c r="B47" s="832"/>
      <c r="C47" s="832"/>
      <c r="D47" s="832"/>
      <c r="E47" s="832"/>
      <c r="F47" s="832"/>
      <c r="G47" s="832"/>
      <c r="H47" s="832"/>
      <c r="I47" s="833"/>
    </row>
    <row r="48" spans="1:9" ht="14.45" customHeight="1" x14ac:dyDescent="0.25">
      <c r="A48" s="834"/>
      <c r="B48" s="835"/>
      <c r="C48" s="836"/>
      <c r="D48" s="836"/>
      <c r="E48" s="836"/>
      <c r="F48" s="836"/>
      <c r="G48" s="836"/>
      <c r="H48" s="836"/>
      <c r="I48" s="837"/>
    </row>
    <row r="49" spans="1:9" ht="14.45" customHeight="1" x14ac:dyDescent="0.25">
      <c r="A49" s="834"/>
      <c r="B49" s="835"/>
      <c r="C49" s="836"/>
      <c r="D49" s="836"/>
      <c r="E49" s="836"/>
      <c r="F49" s="836"/>
      <c r="G49" s="836"/>
      <c r="H49" s="836"/>
      <c r="I49" s="837"/>
    </row>
    <row r="50" spans="1:9" ht="18" customHeight="1" thickBot="1" x14ac:dyDescent="0.3">
      <c r="A50" s="838"/>
      <c r="B50" s="839"/>
      <c r="C50" s="840"/>
      <c r="D50" s="840"/>
      <c r="E50" s="840"/>
      <c r="F50" s="840"/>
      <c r="G50" s="840"/>
      <c r="H50" s="840"/>
      <c r="I50" s="841"/>
    </row>
    <row r="51" spans="1:9" ht="15.75" x14ac:dyDescent="0.25">
      <c r="A51" s="842"/>
      <c r="B51" s="843"/>
      <c r="C51" s="843"/>
      <c r="D51" s="843"/>
      <c r="E51" s="843"/>
      <c r="F51" s="843"/>
      <c r="G51" s="843"/>
      <c r="H51" s="843"/>
      <c r="I51" s="844"/>
    </row>
    <row r="52" spans="1:9" ht="15" thickBot="1" x14ac:dyDescent="0.25">
      <c r="A52" s="845"/>
      <c r="B52" s="846"/>
      <c r="C52" s="846"/>
      <c r="D52" s="846"/>
      <c r="E52" s="846"/>
      <c r="F52" s="846"/>
      <c r="G52" s="846"/>
      <c r="H52" s="846"/>
      <c r="I52" s="847"/>
    </row>
    <row r="53" spans="1:9" x14ac:dyDescent="0.2">
      <c r="A53" s="802" t="s">
        <v>51</v>
      </c>
      <c r="B53" s="803"/>
      <c r="C53" s="803"/>
      <c r="D53" s="803"/>
      <c r="E53" s="803"/>
      <c r="F53" s="803"/>
      <c r="G53" s="803"/>
      <c r="H53" s="803"/>
      <c r="I53" s="803"/>
    </row>
    <row r="54" spans="1:9" ht="13.5" x14ac:dyDescent="0.25">
      <c r="A54" s="804"/>
      <c r="B54" s="805"/>
      <c r="C54" s="805"/>
      <c r="D54" s="805"/>
      <c r="E54" s="805"/>
      <c r="F54" s="805"/>
      <c r="G54" s="805"/>
      <c r="H54" s="805"/>
      <c r="I54" s="805"/>
    </row>
    <row r="55" spans="1:9" ht="13.5" x14ac:dyDescent="0.25">
      <c r="A55" s="804"/>
      <c r="B55" s="805"/>
      <c r="C55" s="805"/>
      <c r="D55" s="805"/>
      <c r="E55" s="805"/>
      <c r="F55" s="805"/>
      <c r="G55" s="805"/>
      <c r="H55" s="805"/>
      <c r="I55" s="8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7706-888B-4CFD-BC08-839A1F7E79E2}">
  <dimension ref="A1:I58"/>
  <sheetViews>
    <sheetView zoomScale="70" zoomScaleNormal="70" workbookViewId="0">
      <selection activeCell="D16" sqref="D16"/>
    </sheetView>
  </sheetViews>
  <sheetFormatPr baseColWidth="10" defaultRowHeight="12.75" x14ac:dyDescent="0.2"/>
  <cols>
    <col min="1" max="1" width="15" customWidth="1"/>
    <col min="2" max="2" width="21.140625" bestFit="1" customWidth="1"/>
    <col min="3" max="3" width="55.5703125" customWidth="1"/>
    <col min="4" max="4" width="22.42578125" customWidth="1"/>
    <col min="5" max="5" width="15.85546875" customWidth="1"/>
    <col min="6" max="6" width="17.140625" customWidth="1"/>
    <col min="7" max="7" width="12.85546875" customWidth="1"/>
    <col min="8" max="8" width="17.140625" customWidth="1"/>
    <col min="9" max="9" width="21.85546875" bestFit="1" customWidth="1"/>
  </cols>
  <sheetData>
    <row r="1" spans="1:9" ht="17.25" x14ac:dyDescent="0.3">
      <c r="A1" s="893"/>
      <c r="B1" s="894"/>
      <c r="C1" s="753" t="s">
        <v>21</v>
      </c>
      <c r="D1" s="753"/>
      <c r="E1" s="753"/>
      <c r="F1" s="753"/>
      <c r="G1" s="753"/>
      <c r="H1" s="308" t="s">
        <v>0</v>
      </c>
      <c r="I1" s="309" t="s">
        <v>183</v>
      </c>
    </row>
    <row r="2" spans="1:9" ht="18" customHeight="1" thickBot="1" x14ac:dyDescent="0.35">
      <c r="A2" s="895"/>
      <c r="B2" s="896"/>
      <c r="C2" s="754" t="s">
        <v>1</v>
      </c>
      <c r="D2" s="755"/>
      <c r="E2" s="755"/>
      <c r="F2" s="755"/>
      <c r="G2" s="756"/>
      <c r="H2" s="310" t="s">
        <v>2</v>
      </c>
      <c r="I2" s="311" t="s">
        <v>184</v>
      </c>
    </row>
    <row r="3" spans="1:9" ht="31.5" customHeight="1" thickBot="1" x14ac:dyDescent="0.25">
      <c r="A3" s="895"/>
      <c r="B3" s="896"/>
      <c r="C3" s="899" t="s">
        <v>185</v>
      </c>
      <c r="D3" s="900"/>
      <c r="E3" s="900"/>
      <c r="F3" s="900"/>
      <c r="G3" s="901"/>
      <c r="H3" s="902" t="s">
        <v>3</v>
      </c>
      <c r="I3" s="884">
        <v>45613</v>
      </c>
    </row>
    <row r="4" spans="1:9" ht="18" customHeight="1" x14ac:dyDescent="0.3">
      <c r="A4" s="895"/>
      <c r="B4" s="896"/>
      <c r="C4" s="312" t="s">
        <v>4</v>
      </c>
      <c r="D4" s="887" t="s">
        <v>143</v>
      </c>
      <c r="E4" s="888"/>
      <c r="F4" s="888"/>
      <c r="G4" s="889"/>
      <c r="H4" s="903"/>
      <c r="I4" s="885"/>
    </row>
    <row r="5" spans="1:9" ht="18" thickBot="1" x14ac:dyDescent="0.35">
      <c r="A5" s="897"/>
      <c r="B5" s="898"/>
      <c r="C5" s="313" t="s">
        <v>5</v>
      </c>
      <c r="D5" s="890" t="s">
        <v>35</v>
      </c>
      <c r="E5" s="891"/>
      <c r="F5" s="891"/>
      <c r="G5" s="892"/>
      <c r="H5" s="904"/>
      <c r="I5" s="886"/>
    </row>
    <row r="6" spans="1:9" ht="16.5" thickBot="1" x14ac:dyDescent="0.3">
      <c r="A6" s="875" t="s">
        <v>39</v>
      </c>
      <c r="B6" s="875"/>
      <c r="C6" s="875"/>
      <c r="D6" s="876" t="s">
        <v>25</v>
      </c>
      <c r="E6" s="876"/>
      <c r="F6" s="876"/>
      <c r="G6" s="877" t="s">
        <v>40</v>
      </c>
      <c r="H6" s="877"/>
      <c r="I6" s="314" t="s">
        <v>186</v>
      </c>
    </row>
    <row r="7" spans="1:9" ht="15" x14ac:dyDescent="0.2">
      <c r="A7" s="878" t="s">
        <v>6</v>
      </c>
      <c r="B7" s="880" t="s">
        <v>41</v>
      </c>
      <c r="C7" s="882" t="s">
        <v>7</v>
      </c>
      <c r="D7" s="882" t="s">
        <v>8</v>
      </c>
      <c r="E7" s="882" t="s">
        <v>22</v>
      </c>
      <c r="F7" s="882"/>
      <c r="G7" s="882" t="s">
        <v>42</v>
      </c>
      <c r="H7" s="882"/>
      <c r="I7" s="315" t="s">
        <v>43</v>
      </c>
    </row>
    <row r="8" spans="1:9" ht="30.75" thickBot="1" x14ac:dyDescent="0.25">
      <c r="A8" s="879"/>
      <c r="B8" s="881"/>
      <c r="C8" s="883"/>
      <c r="D8" s="883"/>
      <c r="E8" s="316" t="s">
        <v>9</v>
      </c>
      <c r="F8" s="317" t="s">
        <v>10</v>
      </c>
      <c r="G8" s="316" t="s">
        <v>9</v>
      </c>
      <c r="H8" s="317" t="s">
        <v>10</v>
      </c>
      <c r="I8" s="318" t="s">
        <v>44</v>
      </c>
    </row>
    <row r="9" spans="1:9" ht="20.25" x14ac:dyDescent="0.3">
      <c r="A9" s="11"/>
      <c r="B9" s="12"/>
      <c r="C9" s="13" t="s">
        <v>24</v>
      </c>
      <c r="D9" s="14"/>
      <c r="E9" s="15"/>
      <c r="F9" s="16"/>
      <c r="G9" s="15"/>
      <c r="H9" s="16"/>
      <c r="I9" s="17"/>
    </row>
    <row r="10" spans="1:9" ht="20.25" x14ac:dyDescent="0.3">
      <c r="A10" s="35">
        <v>310148</v>
      </c>
      <c r="B10" s="319" t="s">
        <v>187</v>
      </c>
      <c r="C10" s="37" t="s">
        <v>188</v>
      </c>
      <c r="D10" s="38" t="s">
        <v>189</v>
      </c>
      <c r="E10" s="320">
        <v>12800</v>
      </c>
      <c r="F10" s="321" t="s">
        <v>11</v>
      </c>
      <c r="G10" s="22"/>
      <c r="H10" s="23"/>
      <c r="I10" s="17"/>
    </row>
    <row r="11" spans="1:9" ht="20.25" x14ac:dyDescent="0.3">
      <c r="A11" s="35">
        <v>11400031</v>
      </c>
      <c r="B11" s="322" t="s">
        <v>190</v>
      </c>
      <c r="C11" s="323" t="s">
        <v>191</v>
      </c>
      <c r="D11" s="38" t="s">
        <v>189</v>
      </c>
      <c r="E11" s="39">
        <v>3200</v>
      </c>
      <c r="F11" s="40" t="s">
        <v>11</v>
      </c>
      <c r="G11" s="22"/>
      <c r="H11" s="23"/>
      <c r="I11" s="17"/>
    </row>
    <row r="12" spans="1:9" ht="20.25" x14ac:dyDescent="0.3">
      <c r="A12" s="35" t="s">
        <v>192</v>
      </c>
      <c r="B12" s="322"/>
      <c r="C12" s="323" t="s">
        <v>193</v>
      </c>
      <c r="D12" s="38" t="s">
        <v>194</v>
      </c>
      <c r="E12" s="39">
        <v>800</v>
      </c>
      <c r="F12" s="40" t="s">
        <v>11</v>
      </c>
      <c r="G12" s="24"/>
      <c r="H12" s="23"/>
      <c r="I12" s="17"/>
    </row>
    <row r="13" spans="1:9" ht="20.25" x14ac:dyDescent="0.3">
      <c r="A13" s="35">
        <v>1212410</v>
      </c>
      <c r="B13" s="322" t="s">
        <v>166</v>
      </c>
      <c r="C13" s="323" t="s">
        <v>167</v>
      </c>
      <c r="D13" s="38" t="s">
        <v>168</v>
      </c>
      <c r="E13" s="39">
        <v>12</v>
      </c>
      <c r="F13" s="40" t="s">
        <v>11</v>
      </c>
      <c r="G13" s="24"/>
      <c r="H13" s="23"/>
      <c r="I13" s="17"/>
    </row>
    <row r="14" spans="1:9" ht="20.25" x14ac:dyDescent="0.3">
      <c r="A14" s="324"/>
      <c r="B14" s="325"/>
      <c r="C14" s="326"/>
      <c r="D14" s="24"/>
      <c r="E14" s="24"/>
      <c r="F14" s="327"/>
      <c r="G14" s="24"/>
      <c r="H14" s="23"/>
      <c r="I14" s="17"/>
    </row>
    <row r="15" spans="1:9" ht="20.25" x14ac:dyDescent="0.3">
      <c r="A15" s="328"/>
      <c r="B15" s="325"/>
      <c r="C15" s="329"/>
      <c r="D15" s="24"/>
      <c r="E15" s="24"/>
      <c r="F15" s="327"/>
      <c r="G15" s="24"/>
      <c r="H15" s="23"/>
      <c r="I15" s="17"/>
    </row>
    <row r="16" spans="1:9" ht="20.25" x14ac:dyDescent="0.3">
      <c r="A16" s="24"/>
      <c r="B16" s="24"/>
      <c r="C16" s="330"/>
      <c r="D16" s="331"/>
      <c r="E16" s="331"/>
      <c r="F16" s="22"/>
      <c r="G16" s="24"/>
      <c r="H16" s="23"/>
      <c r="I16" s="17"/>
    </row>
    <row r="17" spans="1:9" ht="20.25" x14ac:dyDescent="0.3">
      <c r="A17" s="325"/>
      <c r="B17" s="325"/>
      <c r="C17" s="332"/>
      <c r="D17" s="24"/>
      <c r="E17" s="24"/>
      <c r="F17" s="327"/>
      <c r="G17" s="24"/>
      <c r="H17" s="23"/>
      <c r="I17" s="17"/>
    </row>
    <row r="18" spans="1:9" ht="20.25" x14ac:dyDescent="0.3">
      <c r="A18" s="324"/>
      <c r="B18" s="325"/>
      <c r="C18" s="326"/>
      <c r="D18" s="24"/>
      <c r="E18" s="24"/>
      <c r="F18" s="327"/>
      <c r="G18" s="24"/>
      <c r="H18" s="23"/>
      <c r="I18" s="17"/>
    </row>
    <row r="19" spans="1:9" ht="20.25" x14ac:dyDescent="0.3">
      <c r="A19" s="24"/>
      <c r="B19" s="24"/>
      <c r="C19" s="28"/>
      <c r="D19" s="333"/>
      <c r="E19" s="44"/>
      <c r="F19" s="45"/>
      <c r="G19" s="15"/>
      <c r="H19" s="23"/>
      <c r="I19" s="17"/>
    </row>
    <row r="20" spans="1:9" ht="20.25" x14ac:dyDescent="0.3">
      <c r="A20" s="31"/>
      <c r="B20" s="32"/>
      <c r="C20" s="33" t="s">
        <v>25</v>
      </c>
      <c r="D20" s="20"/>
      <c r="E20" s="34"/>
      <c r="F20" s="21"/>
      <c r="G20" s="15"/>
      <c r="H20" s="16"/>
      <c r="I20" s="17"/>
    </row>
    <row r="21" spans="1:9" ht="20.25" x14ac:dyDescent="0.3">
      <c r="A21" s="35"/>
      <c r="B21" s="36"/>
      <c r="C21" s="37"/>
      <c r="D21" s="38"/>
      <c r="E21" s="39"/>
      <c r="F21" s="40"/>
      <c r="G21" s="15"/>
      <c r="H21" s="16"/>
      <c r="I21" s="17"/>
    </row>
    <row r="22" spans="1:9" ht="20.25" x14ac:dyDescent="0.3">
      <c r="A22" s="35"/>
      <c r="B22" s="36"/>
      <c r="C22" s="37"/>
      <c r="D22" s="38"/>
      <c r="E22" s="44"/>
      <c r="F22" s="40"/>
      <c r="G22" s="15"/>
      <c r="H22" s="16"/>
      <c r="I22" s="17"/>
    </row>
    <row r="23" spans="1:9" ht="20.25" x14ac:dyDescent="0.3">
      <c r="A23" s="35"/>
      <c r="B23" s="36"/>
      <c r="C23" s="37"/>
      <c r="D23" s="38"/>
      <c r="E23" s="39"/>
      <c r="F23" s="40"/>
      <c r="G23" s="15"/>
      <c r="H23" s="16"/>
      <c r="I23" s="17"/>
    </row>
    <row r="24" spans="1:9" ht="20.25" x14ac:dyDescent="0.3">
      <c r="A24" s="35"/>
      <c r="B24" s="36"/>
      <c r="C24" s="37"/>
      <c r="D24" s="38"/>
      <c r="E24" s="334"/>
      <c r="F24" s="335"/>
      <c r="G24" s="15"/>
      <c r="H24" s="16"/>
      <c r="I24" s="17"/>
    </row>
    <row r="25" spans="1:9" ht="20.25" x14ac:dyDescent="0.3">
      <c r="A25" s="35"/>
      <c r="B25" s="36"/>
      <c r="C25" s="37"/>
      <c r="D25" s="38"/>
      <c r="E25" s="320"/>
      <c r="F25" s="335"/>
      <c r="G25" s="15"/>
      <c r="H25" s="16"/>
      <c r="I25" s="17"/>
    </row>
    <row r="26" spans="1:9" ht="20.25" x14ac:dyDescent="0.3">
      <c r="A26" s="336"/>
      <c r="B26" s="336"/>
      <c r="C26" s="41"/>
      <c r="D26" s="337"/>
      <c r="E26" s="338"/>
      <c r="F26" s="339"/>
      <c r="G26" s="15"/>
      <c r="H26" s="16"/>
      <c r="I26" s="17"/>
    </row>
    <row r="27" spans="1:9" ht="20.25" x14ac:dyDescent="0.3">
      <c r="A27" s="24"/>
      <c r="B27" s="24"/>
      <c r="C27" s="28"/>
      <c r="D27" s="42"/>
      <c r="E27" s="43"/>
      <c r="F27" s="339"/>
      <c r="G27" s="15"/>
      <c r="H27" s="16"/>
      <c r="I27" s="17"/>
    </row>
    <row r="28" spans="1:9" ht="20.25" x14ac:dyDescent="0.3">
      <c r="A28" s="24"/>
      <c r="B28" s="24"/>
      <c r="C28" s="28"/>
      <c r="D28" s="42"/>
      <c r="E28" s="44"/>
      <c r="F28" s="45"/>
      <c r="G28" s="15"/>
      <c r="H28" s="16"/>
      <c r="I28" s="17"/>
    </row>
    <row r="29" spans="1:9" ht="20.25" x14ac:dyDescent="0.3">
      <c r="A29" s="46"/>
      <c r="B29" s="47"/>
      <c r="C29" s="48" t="s">
        <v>45</v>
      </c>
      <c r="D29" s="49"/>
      <c r="E29" s="50"/>
      <c r="F29" s="16"/>
      <c r="G29" s="15"/>
      <c r="H29" s="41"/>
      <c r="I29" s="17"/>
    </row>
    <row r="30" spans="1:9" ht="20.25" x14ac:dyDescent="0.3">
      <c r="A30" s="18">
        <v>702123</v>
      </c>
      <c r="B30" s="18" t="s">
        <v>38</v>
      </c>
      <c r="C30" s="61" t="s">
        <v>169</v>
      </c>
      <c r="D30" s="340" t="s">
        <v>195</v>
      </c>
      <c r="E30" s="341">
        <v>1</v>
      </c>
      <c r="F30" s="342" t="s">
        <v>170</v>
      </c>
      <c r="G30" s="53"/>
      <c r="H30" s="16"/>
      <c r="I30" s="17"/>
    </row>
    <row r="31" spans="1:9" ht="20.25" x14ac:dyDescent="0.3">
      <c r="A31" s="18"/>
      <c r="B31" s="18"/>
      <c r="C31" s="61"/>
      <c r="D31" s="340"/>
      <c r="E31" s="341"/>
      <c r="F31" s="342"/>
      <c r="G31" s="53"/>
      <c r="H31" s="16"/>
      <c r="I31" s="17"/>
    </row>
    <row r="32" spans="1:9" ht="20.25" x14ac:dyDescent="0.3">
      <c r="A32" s="18"/>
      <c r="B32" s="18"/>
      <c r="C32" s="61"/>
      <c r="D32" s="340"/>
      <c r="E32" s="341"/>
      <c r="F32" s="342"/>
      <c r="G32" s="53"/>
      <c r="H32" s="16"/>
      <c r="I32" s="17"/>
    </row>
    <row r="33" spans="1:9" ht="20.25" x14ac:dyDescent="0.3">
      <c r="A33" s="56"/>
      <c r="B33" s="56"/>
      <c r="C33" s="57"/>
      <c r="D33" s="24"/>
      <c r="E33" s="343"/>
      <c r="F33" s="327"/>
      <c r="G33" s="15"/>
      <c r="H33" s="16"/>
      <c r="I33" s="17"/>
    </row>
    <row r="34" spans="1:9" ht="20.25" x14ac:dyDescent="0.3">
      <c r="A34" s="56"/>
      <c r="B34" s="56"/>
      <c r="C34" s="344"/>
      <c r="D34" s="24"/>
      <c r="E34" s="24"/>
      <c r="F34" s="327"/>
      <c r="G34" s="15"/>
      <c r="H34" s="16"/>
      <c r="I34" s="17"/>
    </row>
    <row r="35" spans="1:9" ht="20.25" x14ac:dyDescent="0.3">
      <c r="A35" s="56"/>
      <c r="B35" s="56"/>
      <c r="C35" s="344"/>
      <c r="D35" s="24"/>
      <c r="E35" s="24"/>
      <c r="F35" s="327"/>
      <c r="G35" s="58"/>
      <c r="H35" s="16"/>
      <c r="I35" s="17"/>
    </row>
    <row r="36" spans="1:9" ht="20.25" x14ac:dyDescent="0.3">
      <c r="A36" s="345"/>
      <c r="B36" s="346"/>
      <c r="C36" s="347"/>
      <c r="D36" s="348"/>
      <c r="E36" s="348"/>
      <c r="F36" s="349"/>
      <c r="G36" s="26"/>
      <c r="H36" s="16"/>
      <c r="I36" s="17"/>
    </row>
    <row r="37" spans="1:9" ht="20.25" x14ac:dyDescent="0.3">
      <c r="A37" s="31"/>
      <c r="B37" s="32"/>
      <c r="C37" s="61"/>
      <c r="D37" s="24"/>
      <c r="E37" s="26"/>
      <c r="F37" s="21"/>
      <c r="G37" s="26"/>
      <c r="H37" s="16"/>
      <c r="I37" s="17"/>
    </row>
    <row r="38" spans="1:9" ht="20.25" x14ac:dyDescent="0.3">
      <c r="A38" s="31"/>
      <c r="B38" s="32"/>
      <c r="C38" s="61"/>
      <c r="D38" s="20"/>
      <c r="E38" s="20"/>
      <c r="F38" s="21"/>
      <c r="G38" s="20"/>
      <c r="H38" s="20"/>
      <c r="I38" s="17"/>
    </row>
    <row r="39" spans="1:9" ht="21" thickBot="1" x14ac:dyDescent="0.35">
      <c r="A39" s="62"/>
      <c r="B39" s="63"/>
      <c r="C39" s="64"/>
      <c r="D39" s="64"/>
      <c r="E39" s="65"/>
      <c r="F39" s="66"/>
      <c r="G39" s="64"/>
      <c r="H39" s="64"/>
      <c r="I39" s="67"/>
    </row>
    <row r="40" spans="1:9" ht="21" thickBot="1" x14ac:dyDescent="0.35">
      <c r="A40" s="68"/>
      <c r="B40" s="69"/>
      <c r="C40" s="70"/>
      <c r="D40" s="71" t="s">
        <v>9</v>
      </c>
      <c r="E40" s="72" t="s">
        <v>12</v>
      </c>
      <c r="F40" s="73"/>
      <c r="G40" s="70"/>
      <c r="H40" s="70"/>
      <c r="I40" s="74"/>
    </row>
    <row r="41" spans="1:9" ht="20.25" x14ac:dyDescent="0.3">
      <c r="A41" s="587" t="s">
        <v>13</v>
      </c>
      <c r="B41" s="588"/>
      <c r="C41" s="589"/>
      <c r="D41" s="43">
        <v>16597</v>
      </c>
      <c r="E41" s="75" t="s">
        <v>11</v>
      </c>
      <c r="F41" s="590" t="s">
        <v>48</v>
      </c>
      <c r="G41" s="590"/>
      <c r="H41" s="591"/>
      <c r="I41" s="592"/>
    </row>
    <row r="42" spans="1:9" ht="20.25" x14ac:dyDescent="0.3">
      <c r="A42" s="593" t="s">
        <v>14</v>
      </c>
      <c r="B42" s="594"/>
      <c r="C42" s="595"/>
      <c r="D42" s="24">
        <v>17</v>
      </c>
      <c r="E42" s="24" t="s">
        <v>69</v>
      </c>
      <c r="F42" s="596" t="s">
        <v>23</v>
      </c>
      <c r="G42" s="596"/>
      <c r="H42" s="597"/>
      <c r="I42" s="598"/>
    </row>
    <row r="43" spans="1:9" ht="20.25" x14ac:dyDescent="0.3">
      <c r="A43" s="593" t="s">
        <v>15</v>
      </c>
      <c r="B43" s="594"/>
      <c r="C43" s="595"/>
      <c r="D43" s="24">
        <v>1</v>
      </c>
      <c r="E43" s="24" t="s">
        <v>149</v>
      </c>
      <c r="F43" s="596" t="s">
        <v>49</v>
      </c>
      <c r="G43" s="596"/>
      <c r="H43" s="597"/>
      <c r="I43" s="598"/>
    </row>
    <row r="44" spans="1:9" ht="20.25" x14ac:dyDescent="0.3">
      <c r="A44" s="593" t="s">
        <v>16</v>
      </c>
      <c r="B44" s="594"/>
      <c r="C44" s="595"/>
      <c r="D44" s="44">
        <v>16597</v>
      </c>
      <c r="E44" s="24" t="s">
        <v>11</v>
      </c>
      <c r="F44" s="609" t="s">
        <v>50</v>
      </c>
      <c r="G44" s="610"/>
      <c r="H44" s="611"/>
      <c r="I44" s="612"/>
    </row>
    <row r="45" spans="1:9" ht="21" thickBot="1" x14ac:dyDescent="0.35">
      <c r="A45" s="599" t="s">
        <v>17</v>
      </c>
      <c r="B45" s="600"/>
      <c r="C45" s="601"/>
      <c r="D45" s="76">
        <v>215</v>
      </c>
      <c r="E45" s="77" t="s">
        <v>11</v>
      </c>
      <c r="F45" s="602"/>
      <c r="G45" s="602"/>
      <c r="H45" s="597"/>
      <c r="I45" s="598"/>
    </row>
    <row r="46" spans="1:9" ht="21" thickBot="1" x14ac:dyDescent="0.35">
      <c r="A46" s="872" t="s">
        <v>18</v>
      </c>
      <c r="B46" s="873"/>
      <c r="C46" s="873"/>
      <c r="D46" s="873"/>
      <c r="E46" s="873"/>
      <c r="F46" s="873"/>
      <c r="G46" s="873"/>
      <c r="H46" s="873"/>
      <c r="I46" s="874"/>
    </row>
    <row r="47" spans="1:9" ht="20.25" x14ac:dyDescent="0.3">
      <c r="A47" s="861" t="s">
        <v>196</v>
      </c>
      <c r="B47" s="862"/>
      <c r="C47" s="862"/>
      <c r="D47" s="862"/>
      <c r="E47" s="862"/>
      <c r="F47" s="862"/>
      <c r="G47" s="862"/>
      <c r="H47" s="862"/>
      <c r="I47" s="863"/>
    </row>
    <row r="48" spans="1:9" ht="20.25" x14ac:dyDescent="0.3">
      <c r="A48" s="861" t="s">
        <v>197</v>
      </c>
      <c r="B48" s="862"/>
      <c r="C48" s="862"/>
      <c r="D48" s="862"/>
      <c r="E48" s="862"/>
      <c r="F48" s="862"/>
      <c r="G48" s="862"/>
      <c r="H48" s="862"/>
      <c r="I48" s="863"/>
    </row>
    <row r="49" spans="1:9" ht="20.25" x14ac:dyDescent="0.3">
      <c r="A49" s="861" t="s">
        <v>198</v>
      </c>
      <c r="B49" s="862"/>
      <c r="C49" s="862"/>
      <c r="D49" s="862"/>
      <c r="E49" s="862"/>
      <c r="F49" s="862"/>
      <c r="G49" s="862"/>
      <c r="H49" s="862"/>
      <c r="I49" s="863"/>
    </row>
    <row r="50" spans="1:9" ht="20.25" x14ac:dyDescent="0.3">
      <c r="A50" s="861" t="s">
        <v>199</v>
      </c>
      <c r="B50" s="862"/>
      <c r="C50" s="862"/>
      <c r="D50" s="862"/>
      <c r="E50" s="862"/>
      <c r="F50" s="862"/>
      <c r="G50" s="862"/>
      <c r="H50" s="862"/>
      <c r="I50" s="863"/>
    </row>
    <row r="51" spans="1:9" ht="20.25" x14ac:dyDescent="0.3">
      <c r="A51" s="861" t="s">
        <v>200</v>
      </c>
      <c r="B51" s="862"/>
      <c r="C51" s="862"/>
      <c r="D51" s="862"/>
      <c r="E51" s="862"/>
      <c r="F51" s="862"/>
      <c r="G51" s="862"/>
      <c r="H51" s="862"/>
      <c r="I51" s="863"/>
    </row>
    <row r="52" spans="1:9" ht="14.65" customHeight="1" x14ac:dyDescent="0.3">
      <c r="A52" s="864"/>
      <c r="B52" s="865"/>
      <c r="C52" s="866"/>
      <c r="D52" s="866"/>
      <c r="E52" s="866"/>
      <c r="F52" s="866"/>
      <c r="G52" s="866"/>
      <c r="H52" s="866"/>
      <c r="I52" s="867"/>
    </row>
    <row r="53" spans="1:9" ht="18" customHeight="1" x14ac:dyDescent="0.3">
      <c r="A53" s="618"/>
      <c r="B53" s="619"/>
      <c r="C53" s="619"/>
      <c r="D53" s="619"/>
      <c r="E53" s="619"/>
      <c r="F53" s="619"/>
      <c r="G53" s="619"/>
      <c r="H53" s="619"/>
      <c r="I53" s="868"/>
    </row>
    <row r="54" spans="1:9" ht="21" thickBot="1" x14ac:dyDescent="0.35">
      <c r="A54" s="869"/>
      <c r="B54" s="870"/>
      <c r="C54" s="870"/>
      <c r="D54" s="870"/>
      <c r="E54" s="870"/>
      <c r="F54" s="870"/>
      <c r="G54" s="870"/>
      <c r="H54" s="870"/>
      <c r="I54" s="871"/>
    </row>
    <row r="55" spans="1:9" ht="21" thickBot="1" x14ac:dyDescent="0.35">
      <c r="A55" s="853"/>
      <c r="B55" s="854"/>
      <c r="C55" s="854"/>
      <c r="D55" s="854"/>
      <c r="E55" s="854"/>
      <c r="F55" s="854"/>
      <c r="G55" s="854"/>
      <c r="H55" s="854"/>
      <c r="I55" s="855"/>
    </row>
    <row r="56" spans="1:9" ht="20.25" x14ac:dyDescent="0.3">
      <c r="A56" s="616" t="s">
        <v>51</v>
      </c>
      <c r="B56" s="617"/>
      <c r="C56" s="617"/>
      <c r="D56" s="617"/>
      <c r="E56" s="617"/>
      <c r="F56" s="617"/>
      <c r="G56" s="617"/>
      <c r="H56" s="617"/>
      <c r="I56" s="617"/>
    </row>
    <row r="57" spans="1:9" ht="20.25" x14ac:dyDescent="0.3">
      <c r="A57" s="856" t="s">
        <v>201</v>
      </c>
      <c r="B57" s="857"/>
      <c r="C57" s="857"/>
      <c r="D57" s="857"/>
      <c r="E57" s="857"/>
      <c r="F57" s="857"/>
      <c r="G57" s="857"/>
      <c r="H57" s="857"/>
      <c r="I57" s="858"/>
    </row>
    <row r="58" spans="1:9" ht="17.25" x14ac:dyDescent="0.3">
      <c r="A58" s="859"/>
      <c r="B58" s="860"/>
      <c r="C58" s="860"/>
      <c r="D58" s="860"/>
      <c r="E58" s="860"/>
      <c r="F58" s="860"/>
      <c r="G58" s="860"/>
      <c r="H58" s="860"/>
      <c r="I58" s="86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3929-8030-4AB7-A2BC-B72EB8CF9BBF}">
  <dimension ref="A1:L58"/>
  <sheetViews>
    <sheetView workbookViewId="0">
      <selection activeCell="C7" sqref="C7:C8"/>
    </sheetView>
  </sheetViews>
  <sheetFormatPr baseColWidth="10" defaultRowHeight="12.75" x14ac:dyDescent="0.2"/>
  <cols>
    <col min="1" max="1" width="15.140625" bestFit="1" customWidth="1"/>
    <col min="2" max="2" width="14.42578125" bestFit="1" customWidth="1"/>
    <col min="3" max="3" width="49" customWidth="1"/>
    <col min="4" max="4" width="34.28515625" bestFit="1" customWidth="1"/>
    <col min="5" max="5" width="14.42578125" bestFit="1" customWidth="1"/>
    <col min="8" max="8" width="33.7109375" bestFit="1" customWidth="1"/>
    <col min="9" max="9" width="22.7109375" bestFit="1" customWidth="1"/>
  </cols>
  <sheetData>
    <row r="1" spans="1:12" ht="18.75" x14ac:dyDescent="0.25">
      <c r="A1" s="630"/>
      <c r="B1" s="631"/>
      <c r="C1" s="636" t="s">
        <v>21</v>
      </c>
      <c r="D1" s="636"/>
      <c r="E1" s="636"/>
      <c r="F1" s="636"/>
      <c r="G1" s="636"/>
      <c r="H1" s="350" t="s">
        <v>0</v>
      </c>
      <c r="I1" s="351" t="s">
        <v>202</v>
      </c>
    </row>
    <row r="2" spans="1:12" ht="18" customHeight="1" thickBot="1" x14ac:dyDescent="0.3">
      <c r="A2" s="632"/>
      <c r="B2" s="633"/>
      <c r="C2" s="637" t="s">
        <v>1</v>
      </c>
      <c r="D2" s="638"/>
      <c r="E2" s="638"/>
      <c r="F2" s="638"/>
      <c r="G2" s="639"/>
      <c r="H2" s="352" t="s">
        <v>2</v>
      </c>
      <c r="I2" s="353" t="s">
        <v>184</v>
      </c>
    </row>
    <row r="3" spans="1:12" ht="31.5" customHeight="1" thickBot="1" x14ac:dyDescent="0.25">
      <c r="A3" s="632"/>
      <c r="B3" s="633"/>
      <c r="C3" s="640" t="s">
        <v>203</v>
      </c>
      <c r="D3" s="641"/>
      <c r="E3" s="641"/>
      <c r="F3" s="641"/>
      <c r="G3" s="642"/>
      <c r="H3" s="643" t="s">
        <v>3</v>
      </c>
      <c r="I3" s="621">
        <v>45613</v>
      </c>
    </row>
    <row r="4" spans="1:12" ht="18" customHeight="1" x14ac:dyDescent="0.25">
      <c r="A4" s="632"/>
      <c r="B4" s="633"/>
      <c r="C4" s="354" t="s">
        <v>4</v>
      </c>
      <c r="D4" s="624" t="s">
        <v>143</v>
      </c>
      <c r="E4" s="625"/>
      <c r="F4" s="625"/>
      <c r="G4" s="626"/>
      <c r="H4" s="644"/>
      <c r="I4" s="622"/>
    </row>
    <row r="5" spans="1:12" ht="19.5" thickBot="1" x14ac:dyDescent="0.3">
      <c r="A5" s="634"/>
      <c r="B5" s="635"/>
      <c r="C5" s="355" t="s">
        <v>5</v>
      </c>
      <c r="D5" s="627" t="s">
        <v>35</v>
      </c>
      <c r="E5" s="628"/>
      <c r="F5" s="628"/>
      <c r="G5" s="629"/>
      <c r="H5" s="645"/>
      <c r="I5" s="623"/>
    </row>
    <row r="6" spans="1:12" ht="20.25" thickBot="1" x14ac:dyDescent="0.35">
      <c r="A6" s="652" t="s">
        <v>39</v>
      </c>
      <c r="B6" s="652"/>
      <c r="C6" s="652"/>
      <c r="D6" s="653" t="s">
        <v>204</v>
      </c>
      <c r="E6" s="653"/>
      <c r="F6" s="653"/>
      <c r="G6" s="654" t="s">
        <v>40</v>
      </c>
      <c r="H6" s="654"/>
      <c r="I6" s="356" t="s">
        <v>204</v>
      </c>
    </row>
    <row r="7" spans="1:12" ht="37.5" x14ac:dyDescent="0.2">
      <c r="A7" s="953" t="s">
        <v>6</v>
      </c>
      <c r="B7" s="955" t="s">
        <v>41</v>
      </c>
      <c r="C7" s="957" t="s">
        <v>7</v>
      </c>
      <c r="D7" s="957" t="s">
        <v>8</v>
      </c>
      <c r="E7" s="957" t="s">
        <v>22</v>
      </c>
      <c r="F7" s="957"/>
      <c r="G7" s="957" t="s">
        <v>42</v>
      </c>
      <c r="H7" s="957"/>
      <c r="I7" s="357" t="s">
        <v>43</v>
      </c>
    </row>
    <row r="8" spans="1:12" ht="57" thickBot="1" x14ac:dyDescent="0.3">
      <c r="A8" s="954"/>
      <c r="B8" s="956"/>
      <c r="C8" s="958"/>
      <c r="D8" s="958"/>
      <c r="E8" s="358" t="s">
        <v>9</v>
      </c>
      <c r="F8" s="359" t="s">
        <v>10</v>
      </c>
      <c r="G8" s="358" t="s">
        <v>9</v>
      </c>
      <c r="H8" s="359" t="s">
        <v>10</v>
      </c>
      <c r="I8" s="360" t="s">
        <v>44</v>
      </c>
    </row>
    <row r="9" spans="1:12" ht="19.5" x14ac:dyDescent="0.3">
      <c r="A9" s="361"/>
      <c r="B9" s="362"/>
      <c r="C9" s="363" t="s">
        <v>24</v>
      </c>
      <c r="D9" s="364"/>
      <c r="E9" s="365"/>
      <c r="F9" s="366"/>
      <c r="G9" s="365"/>
      <c r="H9" s="366"/>
      <c r="I9" s="367"/>
    </row>
    <row r="10" spans="1:12" ht="18" customHeight="1" x14ac:dyDescent="0.3">
      <c r="A10" s="368" t="s">
        <v>205</v>
      </c>
      <c r="B10" s="369" t="s">
        <v>37</v>
      </c>
      <c r="C10" s="370" t="s">
        <v>206</v>
      </c>
      <c r="D10" s="371" t="s">
        <v>46</v>
      </c>
      <c r="E10" s="372">
        <f>5000/5.35</f>
        <v>934.57943925233656</v>
      </c>
      <c r="F10" s="373" t="s">
        <v>11</v>
      </c>
      <c r="G10" s="374"/>
      <c r="H10" s="375"/>
      <c r="I10" s="367"/>
    </row>
    <row r="11" spans="1:12" ht="19.5" x14ac:dyDescent="0.3">
      <c r="A11" s="368" t="s">
        <v>192</v>
      </c>
      <c r="B11" s="376"/>
      <c r="C11" s="377" t="s">
        <v>193</v>
      </c>
      <c r="D11" s="371" t="s">
        <v>34</v>
      </c>
      <c r="E11" s="378">
        <f>400/5.35</f>
        <v>74.766355140186917</v>
      </c>
      <c r="F11" s="379" t="s">
        <v>11</v>
      </c>
      <c r="G11" s="374"/>
      <c r="H11" s="375"/>
      <c r="I11" s="367"/>
    </row>
    <row r="12" spans="1:12" ht="19.5" x14ac:dyDescent="0.3">
      <c r="A12" s="368"/>
      <c r="B12" s="376"/>
      <c r="C12" s="377"/>
      <c r="D12" s="371"/>
      <c r="E12" s="378"/>
      <c r="F12" s="379"/>
      <c r="G12" s="380"/>
      <c r="H12" s="375"/>
      <c r="I12" s="367"/>
    </row>
    <row r="13" spans="1:12" ht="19.5" x14ac:dyDescent="0.3">
      <c r="A13" s="368"/>
      <c r="B13" s="376"/>
      <c r="C13" s="377"/>
      <c r="D13" s="371"/>
      <c r="E13" s="378"/>
      <c r="F13" s="379"/>
      <c r="G13" s="380"/>
      <c r="H13" s="375"/>
      <c r="I13" s="367"/>
    </row>
    <row r="14" spans="1:12" ht="19.5" x14ac:dyDescent="0.3">
      <c r="A14" s="381"/>
      <c r="B14" s="382"/>
      <c r="C14" s="383"/>
      <c r="D14" s="380"/>
      <c r="E14" s="380"/>
      <c r="F14" s="384"/>
      <c r="G14" s="380"/>
      <c r="H14" s="375"/>
      <c r="I14" s="367"/>
    </row>
    <row r="15" spans="1:12" ht="19.5" x14ac:dyDescent="0.3">
      <c r="A15" s="385"/>
      <c r="B15" s="382"/>
      <c r="C15" s="386"/>
      <c r="D15" s="380"/>
      <c r="E15" s="380"/>
      <c r="F15" s="384"/>
      <c r="G15" s="380"/>
      <c r="H15" s="375"/>
      <c r="I15" s="367"/>
    </row>
    <row r="16" spans="1:12" ht="19.5" x14ac:dyDescent="0.3">
      <c r="A16" s="380"/>
      <c r="B16" s="380"/>
      <c r="C16" s="387"/>
      <c r="D16" s="388"/>
      <c r="E16" s="388"/>
      <c r="F16" s="374"/>
      <c r="G16" s="380"/>
      <c r="H16" s="375"/>
      <c r="I16" s="367"/>
      <c r="L16">
        <f>D41/1000</f>
        <v>1</v>
      </c>
    </row>
    <row r="17" spans="1:9" ht="19.5" x14ac:dyDescent="0.3">
      <c r="A17" s="382"/>
      <c r="B17" s="382"/>
      <c r="C17" s="389"/>
      <c r="D17" s="380"/>
      <c r="E17" s="380"/>
      <c r="F17" s="384"/>
      <c r="G17" s="380"/>
      <c r="H17" s="375"/>
      <c r="I17" s="367"/>
    </row>
    <row r="18" spans="1:9" ht="19.5" x14ac:dyDescent="0.3">
      <c r="A18" s="381"/>
      <c r="B18" s="382"/>
      <c r="C18" s="383"/>
      <c r="D18" s="380"/>
      <c r="E18" s="380"/>
      <c r="F18" s="384"/>
      <c r="G18" s="380"/>
      <c r="H18" s="375"/>
      <c r="I18" s="367"/>
    </row>
    <row r="19" spans="1:9" ht="19.5" x14ac:dyDescent="0.3">
      <c r="A19" s="390"/>
      <c r="B19" s="390"/>
      <c r="C19" s="391"/>
      <c r="D19" s="392"/>
      <c r="E19" s="393"/>
      <c r="F19" s="394"/>
      <c r="G19" s="365"/>
      <c r="H19" s="375"/>
      <c r="I19" s="367"/>
    </row>
    <row r="20" spans="1:9" ht="19.5" x14ac:dyDescent="0.3">
      <c r="A20" s="395"/>
      <c r="B20" s="396"/>
      <c r="C20" s="397" t="s">
        <v>25</v>
      </c>
      <c r="D20" s="398"/>
      <c r="E20" s="399"/>
      <c r="F20" s="400"/>
      <c r="G20" s="365"/>
      <c r="H20" s="366"/>
      <c r="I20" s="367"/>
    </row>
    <row r="21" spans="1:9" ht="19.5" x14ac:dyDescent="0.3">
      <c r="A21" s="368"/>
      <c r="B21" s="401"/>
      <c r="C21" s="370"/>
      <c r="D21" s="371"/>
      <c r="E21" s="378"/>
      <c r="F21" s="379"/>
      <c r="G21" s="365"/>
      <c r="H21" s="366"/>
      <c r="I21" s="367"/>
    </row>
    <row r="22" spans="1:9" ht="19.5" x14ac:dyDescent="0.3">
      <c r="A22" s="368"/>
      <c r="B22" s="401"/>
      <c r="C22" s="370"/>
      <c r="D22" s="371"/>
      <c r="E22" s="402"/>
      <c r="F22" s="379"/>
      <c r="G22" s="365"/>
      <c r="H22" s="366"/>
      <c r="I22" s="367"/>
    </row>
    <row r="23" spans="1:9" ht="19.5" x14ac:dyDescent="0.3">
      <c r="A23" s="368"/>
      <c r="B23" s="401"/>
      <c r="C23" s="370"/>
      <c r="D23" s="371"/>
      <c r="E23" s="378"/>
      <c r="F23" s="379"/>
      <c r="G23" s="365"/>
      <c r="H23" s="366"/>
      <c r="I23" s="367"/>
    </row>
    <row r="24" spans="1:9" ht="19.5" x14ac:dyDescent="0.3">
      <c r="A24" s="368"/>
      <c r="B24" s="401"/>
      <c r="C24" s="370"/>
      <c r="D24" s="371"/>
      <c r="E24" s="403"/>
      <c r="F24" s="404"/>
      <c r="G24" s="365"/>
      <c r="H24" s="366"/>
      <c r="I24" s="367"/>
    </row>
    <row r="25" spans="1:9" ht="19.5" x14ac:dyDescent="0.3">
      <c r="A25" s="368"/>
      <c r="B25" s="401"/>
      <c r="C25" s="370"/>
      <c r="D25" s="371"/>
      <c r="E25" s="372"/>
      <c r="F25" s="404"/>
      <c r="G25" s="365"/>
      <c r="H25" s="366"/>
      <c r="I25" s="367"/>
    </row>
    <row r="26" spans="1:9" ht="19.5" x14ac:dyDescent="0.3">
      <c r="A26" s="405"/>
      <c r="B26" s="405"/>
      <c r="C26" s="406"/>
      <c r="D26" s="407"/>
      <c r="E26" s="408"/>
      <c r="F26" s="409"/>
      <c r="G26" s="365"/>
      <c r="H26" s="366"/>
      <c r="I26" s="367"/>
    </row>
    <row r="27" spans="1:9" ht="19.5" x14ac:dyDescent="0.3">
      <c r="A27" s="390"/>
      <c r="B27" s="390"/>
      <c r="C27" s="391"/>
      <c r="D27" s="410"/>
      <c r="E27" s="411"/>
      <c r="F27" s="409"/>
      <c r="G27" s="365"/>
      <c r="H27" s="366"/>
      <c r="I27" s="367"/>
    </row>
    <row r="28" spans="1:9" ht="19.5" x14ac:dyDescent="0.3">
      <c r="A28" s="390"/>
      <c r="B28" s="390"/>
      <c r="C28" s="391"/>
      <c r="D28" s="410"/>
      <c r="E28" s="402"/>
      <c r="F28" s="412"/>
      <c r="G28" s="365"/>
      <c r="H28" s="366"/>
      <c r="I28" s="367"/>
    </row>
    <row r="29" spans="1:9" ht="19.5" x14ac:dyDescent="0.3">
      <c r="A29" s="413"/>
      <c r="B29" s="414"/>
      <c r="C29" s="415" t="s">
        <v>45</v>
      </c>
      <c r="D29" s="416"/>
      <c r="E29" s="417"/>
      <c r="F29" s="366"/>
      <c r="G29" s="365"/>
      <c r="H29" s="406"/>
      <c r="I29" s="367"/>
    </row>
    <row r="30" spans="1:9" ht="19.5" x14ac:dyDescent="0.3">
      <c r="A30" s="418" t="s">
        <v>207</v>
      </c>
      <c r="B30" s="418" t="s">
        <v>208</v>
      </c>
      <c r="C30" s="419" t="s">
        <v>209</v>
      </c>
      <c r="D30" s="420" t="s">
        <v>178</v>
      </c>
      <c r="E30" s="421">
        <v>20</v>
      </c>
      <c r="F30" s="422" t="s">
        <v>210</v>
      </c>
      <c r="G30" s="423"/>
      <c r="H30" s="366"/>
      <c r="I30" s="367"/>
    </row>
    <row r="31" spans="1:9" ht="19.5" x14ac:dyDescent="0.3">
      <c r="A31" s="418" t="s">
        <v>211</v>
      </c>
      <c r="B31" s="418" t="s">
        <v>212</v>
      </c>
      <c r="C31" s="419" t="s">
        <v>213</v>
      </c>
      <c r="D31" s="420" t="s">
        <v>30</v>
      </c>
      <c r="E31" s="421">
        <v>1</v>
      </c>
      <c r="F31" s="422" t="s">
        <v>214</v>
      </c>
      <c r="G31" s="423"/>
      <c r="H31" s="366"/>
      <c r="I31" s="367"/>
    </row>
    <row r="32" spans="1:9" ht="19.5" x14ac:dyDescent="0.3">
      <c r="A32" s="418" t="s">
        <v>215</v>
      </c>
      <c r="B32" s="418" t="s">
        <v>216</v>
      </c>
      <c r="C32" s="419" t="s">
        <v>217</v>
      </c>
      <c r="D32" s="420" t="s">
        <v>173</v>
      </c>
      <c r="E32" s="421">
        <v>1</v>
      </c>
      <c r="F32" s="422" t="s">
        <v>214</v>
      </c>
      <c r="G32" s="423"/>
      <c r="H32" s="366"/>
      <c r="I32" s="367"/>
    </row>
    <row r="33" spans="1:9" ht="19.5" x14ac:dyDescent="0.3">
      <c r="A33" s="424"/>
      <c r="B33" s="424"/>
      <c r="C33" s="425"/>
      <c r="D33" s="426"/>
      <c r="E33" s="427"/>
      <c r="F33" s="428"/>
      <c r="G33" s="365"/>
      <c r="H33" s="366"/>
      <c r="I33" s="367"/>
    </row>
    <row r="34" spans="1:9" ht="19.5" x14ac:dyDescent="0.3">
      <c r="A34" s="424"/>
      <c r="B34" s="424"/>
      <c r="C34" s="429"/>
      <c r="D34" s="426"/>
      <c r="E34" s="426"/>
      <c r="F34" s="428"/>
      <c r="G34" s="365"/>
      <c r="H34" s="366"/>
      <c r="I34" s="367"/>
    </row>
    <row r="35" spans="1:9" ht="19.5" x14ac:dyDescent="0.3">
      <c r="A35" s="424"/>
      <c r="B35" s="424"/>
      <c r="C35" s="429"/>
      <c r="D35" s="426"/>
      <c r="E35" s="426"/>
      <c r="F35" s="428"/>
      <c r="G35" s="430"/>
      <c r="H35" s="366"/>
      <c r="I35" s="367"/>
    </row>
    <row r="36" spans="1:9" ht="19.5" x14ac:dyDescent="0.3">
      <c r="A36" s="431"/>
      <c r="B36" s="432"/>
      <c r="C36" s="433"/>
      <c r="D36" s="434"/>
      <c r="E36" s="434"/>
      <c r="F36" s="435"/>
      <c r="G36" s="436"/>
      <c r="H36" s="366"/>
      <c r="I36" s="367"/>
    </row>
    <row r="37" spans="1:9" ht="19.5" x14ac:dyDescent="0.3">
      <c r="A37" s="395"/>
      <c r="B37" s="396"/>
      <c r="C37" s="419"/>
      <c r="D37" s="426"/>
      <c r="E37" s="436"/>
      <c r="F37" s="400"/>
      <c r="G37" s="436"/>
      <c r="H37" s="366"/>
      <c r="I37" s="367"/>
    </row>
    <row r="38" spans="1:9" ht="19.5" x14ac:dyDescent="0.3">
      <c r="A38" s="395"/>
      <c r="B38" s="396"/>
      <c r="C38" s="419"/>
      <c r="D38" s="398"/>
      <c r="E38" s="398"/>
      <c r="F38" s="400"/>
      <c r="G38" s="398"/>
      <c r="H38" s="398"/>
      <c r="I38" s="367"/>
    </row>
    <row r="39" spans="1:9" ht="19.5" thickBot="1" x14ac:dyDescent="0.3">
      <c r="A39" s="437"/>
      <c r="B39" s="438"/>
      <c r="C39" s="439"/>
      <c r="D39" s="439"/>
      <c r="E39" s="440"/>
      <c r="F39" s="441"/>
      <c r="G39" s="439"/>
      <c r="H39" s="439"/>
      <c r="I39" s="442"/>
    </row>
    <row r="40" spans="1:9" ht="19.5" thickBot="1" x14ac:dyDescent="0.3">
      <c r="A40" s="443"/>
      <c r="B40" s="444"/>
      <c r="C40" s="445"/>
      <c r="D40" s="446" t="s">
        <v>9</v>
      </c>
      <c r="E40" s="447" t="s">
        <v>12</v>
      </c>
      <c r="F40" s="448"/>
      <c r="G40" s="445"/>
      <c r="H40" s="445"/>
      <c r="I40" s="449"/>
    </row>
    <row r="41" spans="1:9" ht="18.75" x14ac:dyDescent="0.25">
      <c r="A41" s="947" t="s">
        <v>13</v>
      </c>
      <c r="B41" s="948"/>
      <c r="C41" s="949"/>
      <c r="D41" s="411">
        <v>1000</v>
      </c>
      <c r="E41" s="450" t="s">
        <v>11</v>
      </c>
      <c r="F41" s="950" t="s">
        <v>48</v>
      </c>
      <c r="G41" s="950"/>
      <c r="H41" s="951"/>
      <c r="I41" s="952"/>
    </row>
    <row r="42" spans="1:9" ht="18.75" x14ac:dyDescent="0.25">
      <c r="A42" s="930" t="s">
        <v>14</v>
      </c>
      <c r="B42" s="931"/>
      <c r="C42" s="932"/>
      <c r="D42" s="380">
        <v>3</v>
      </c>
      <c r="E42" s="380" t="s">
        <v>19</v>
      </c>
      <c r="F42" s="933" t="s">
        <v>23</v>
      </c>
      <c r="G42" s="933"/>
      <c r="H42" s="934"/>
      <c r="I42" s="935"/>
    </row>
    <row r="43" spans="1:9" ht="18.75" x14ac:dyDescent="0.25">
      <c r="A43" s="930" t="s">
        <v>15</v>
      </c>
      <c r="B43" s="931"/>
      <c r="C43" s="932"/>
      <c r="D43" s="380">
        <v>1</v>
      </c>
      <c r="E43" s="380" t="s">
        <v>149</v>
      </c>
      <c r="F43" s="933" t="s">
        <v>49</v>
      </c>
      <c r="G43" s="933"/>
      <c r="H43" s="934"/>
      <c r="I43" s="935"/>
    </row>
    <row r="44" spans="1:9" ht="18.75" x14ac:dyDescent="0.25">
      <c r="A44" s="930" t="s">
        <v>16</v>
      </c>
      <c r="B44" s="931"/>
      <c r="C44" s="932"/>
      <c r="D44" s="402">
        <v>1000</v>
      </c>
      <c r="E44" s="380" t="s">
        <v>11</v>
      </c>
      <c r="F44" s="936" t="s">
        <v>50</v>
      </c>
      <c r="G44" s="937"/>
      <c r="H44" s="938"/>
      <c r="I44" s="939"/>
    </row>
    <row r="45" spans="1:9" ht="19.5" thickBot="1" x14ac:dyDescent="0.3">
      <c r="A45" s="940" t="s">
        <v>17</v>
      </c>
      <c r="B45" s="941"/>
      <c r="C45" s="942"/>
      <c r="D45" s="451">
        <f>SUM(E10:E11)-D41</f>
        <v>9.3457943925234304</v>
      </c>
      <c r="E45" s="452" t="s">
        <v>11</v>
      </c>
      <c r="F45" s="943"/>
      <c r="G45" s="943"/>
      <c r="H45" s="934"/>
      <c r="I45" s="935"/>
    </row>
    <row r="46" spans="1:9" ht="19.5" thickBot="1" x14ac:dyDescent="0.3">
      <c r="A46" s="944" t="s">
        <v>18</v>
      </c>
      <c r="B46" s="945"/>
      <c r="C46" s="945"/>
      <c r="D46" s="945"/>
      <c r="E46" s="945"/>
      <c r="F46" s="945"/>
      <c r="G46" s="945"/>
      <c r="H46" s="945"/>
      <c r="I46" s="946"/>
    </row>
    <row r="47" spans="1:9" ht="18.399999999999999" customHeight="1" x14ac:dyDescent="0.25">
      <c r="A47" s="908" t="s">
        <v>218</v>
      </c>
      <c r="B47" s="909"/>
      <c r="C47" s="910"/>
      <c r="D47" s="910"/>
      <c r="E47" s="910"/>
      <c r="F47" s="910"/>
      <c r="G47" s="910"/>
      <c r="H47" s="910"/>
      <c r="I47" s="911"/>
    </row>
    <row r="48" spans="1:9" ht="14.65" customHeight="1" x14ac:dyDescent="0.25">
      <c r="A48" s="908" t="s">
        <v>219</v>
      </c>
      <c r="B48" s="909"/>
      <c r="C48" s="910"/>
      <c r="D48" s="910"/>
      <c r="E48" s="910"/>
      <c r="F48" s="910"/>
      <c r="G48" s="910"/>
      <c r="H48" s="910"/>
      <c r="I48" s="911"/>
    </row>
    <row r="49" spans="1:9" ht="14.65" customHeight="1" x14ac:dyDescent="0.25">
      <c r="A49" s="908" t="s">
        <v>220</v>
      </c>
      <c r="B49" s="909"/>
      <c r="C49" s="910"/>
      <c r="D49" s="910"/>
      <c r="E49" s="910"/>
      <c r="F49" s="910"/>
      <c r="G49" s="910"/>
      <c r="H49" s="910"/>
      <c r="I49" s="911"/>
    </row>
    <row r="50" spans="1:9" ht="14.65" customHeight="1" x14ac:dyDescent="0.25">
      <c r="A50" s="912" t="s">
        <v>221</v>
      </c>
      <c r="B50" s="913"/>
      <c r="C50" s="914"/>
      <c r="D50" s="914"/>
      <c r="E50" s="914"/>
      <c r="F50" s="914"/>
      <c r="G50" s="914"/>
      <c r="H50" s="914"/>
      <c r="I50" s="915"/>
    </row>
    <row r="51" spans="1:9" ht="14.65" customHeight="1" x14ac:dyDescent="0.25">
      <c r="A51" s="916"/>
      <c r="B51" s="917"/>
      <c r="C51" s="918"/>
      <c r="D51" s="918"/>
      <c r="E51" s="918"/>
      <c r="F51" s="918"/>
      <c r="G51" s="918"/>
      <c r="H51" s="918"/>
      <c r="I51" s="919"/>
    </row>
    <row r="52" spans="1:9" ht="14.65" customHeight="1" x14ac:dyDescent="0.25">
      <c r="A52" s="920"/>
      <c r="B52" s="921"/>
      <c r="C52" s="922"/>
      <c r="D52" s="922"/>
      <c r="E52" s="922"/>
      <c r="F52" s="922"/>
      <c r="G52" s="922"/>
      <c r="H52" s="922"/>
      <c r="I52" s="923"/>
    </row>
    <row r="53" spans="1:9" ht="18" customHeight="1" x14ac:dyDescent="0.25">
      <c r="A53" s="924"/>
      <c r="B53" s="925"/>
      <c r="C53" s="925"/>
      <c r="D53" s="925"/>
      <c r="E53" s="925"/>
      <c r="F53" s="925"/>
      <c r="G53" s="925"/>
      <c r="H53" s="925"/>
      <c r="I53" s="926"/>
    </row>
    <row r="54" spans="1:9" ht="19.5" thickBot="1" x14ac:dyDescent="0.3">
      <c r="A54" s="927"/>
      <c r="B54" s="928"/>
      <c r="C54" s="928"/>
      <c r="D54" s="928"/>
      <c r="E54" s="928"/>
      <c r="F54" s="928"/>
      <c r="G54" s="928"/>
      <c r="H54" s="928"/>
      <c r="I54" s="929"/>
    </row>
    <row r="55" spans="1:9" ht="20.25" thickBot="1" x14ac:dyDescent="0.35">
      <c r="A55" s="905"/>
      <c r="B55" s="906"/>
      <c r="C55" s="906"/>
      <c r="D55" s="906"/>
      <c r="E55" s="906"/>
      <c r="F55" s="906"/>
      <c r="G55" s="906"/>
      <c r="H55" s="906"/>
      <c r="I55" s="907"/>
    </row>
    <row r="56" spans="1:9" ht="18.75" x14ac:dyDescent="0.25">
      <c r="A56" s="687" t="s">
        <v>51</v>
      </c>
      <c r="B56" s="688"/>
      <c r="C56" s="688"/>
      <c r="D56" s="688"/>
      <c r="E56" s="688"/>
      <c r="F56" s="688"/>
      <c r="G56" s="688"/>
      <c r="H56" s="688"/>
      <c r="I56" s="688"/>
    </row>
    <row r="57" spans="1:9" ht="18.75" x14ac:dyDescent="0.25">
      <c r="A57" s="627" t="s">
        <v>222</v>
      </c>
      <c r="B57" s="628"/>
      <c r="C57" s="628"/>
      <c r="D57" s="628"/>
      <c r="E57" s="628"/>
      <c r="F57" s="628"/>
      <c r="G57" s="628"/>
      <c r="H57" s="628"/>
      <c r="I57" s="629"/>
    </row>
    <row r="58" spans="1:9" ht="18.75" x14ac:dyDescent="0.25">
      <c r="A58" s="667"/>
      <c r="B58" s="668"/>
      <c r="C58" s="668"/>
      <c r="D58" s="668"/>
      <c r="E58" s="668"/>
      <c r="F58" s="668"/>
      <c r="G58" s="668"/>
      <c r="H58" s="668"/>
      <c r="I58" s="66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BE69-0335-4A7A-A1A2-9BC0824F253F}">
  <dimension ref="A1:Q91"/>
  <sheetViews>
    <sheetView topLeftCell="A35" workbookViewId="0">
      <selection activeCell="G54" sqref="G54"/>
    </sheetView>
  </sheetViews>
  <sheetFormatPr baseColWidth="10" defaultColWidth="8.42578125" defaultRowHeight="12.75" x14ac:dyDescent="0.2"/>
  <cols>
    <col min="1" max="1" width="10" style="155" bestFit="1" customWidth="1"/>
    <col min="2" max="2" width="44.28515625" style="155" bestFit="1" customWidth="1"/>
    <col min="3" max="3" width="10.42578125" style="155" bestFit="1" customWidth="1"/>
    <col min="4" max="4" width="10.42578125" style="155" customWidth="1"/>
    <col min="5" max="5" width="11" style="155" customWidth="1"/>
    <col min="6" max="6" width="9.5703125" style="155" bestFit="1" customWidth="1"/>
    <col min="7" max="7" width="10.85546875" style="237" customWidth="1"/>
    <col min="8" max="8" width="10.42578125" style="228" bestFit="1" customWidth="1"/>
    <col min="9" max="9" width="4.5703125" style="228" customWidth="1"/>
    <col min="10" max="10" width="1.85546875" style="154" customWidth="1"/>
    <col min="11" max="11" width="7" style="155" bestFit="1" customWidth="1"/>
    <col min="12" max="12" width="6.28515625" style="155" customWidth="1"/>
    <col min="13" max="13" width="20.42578125" style="155" customWidth="1"/>
    <col min="14" max="14" width="6.42578125" style="155" bestFit="1" customWidth="1"/>
    <col min="15" max="16" width="8.42578125" style="155"/>
    <col min="17" max="17" width="3.28515625" style="155" customWidth="1"/>
    <col min="18" max="16384" width="8.42578125" style="155"/>
  </cols>
  <sheetData>
    <row r="1" spans="1:10" ht="27.75" customHeight="1" x14ac:dyDescent="0.2">
      <c r="A1" s="150"/>
      <c r="B1" s="150"/>
      <c r="C1" s="150"/>
      <c r="D1" s="150"/>
      <c r="E1" s="151" t="s">
        <v>83</v>
      </c>
      <c r="F1" s="152" t="s">
        <v>84</v>
      </c>
      <c r="G1" s="152" t="s">
        <v>85</v>
      </c>
      <c r="H1" s="152" t="s">
        <v>86</v>
      </c>
      <c r="I1" s="153"/>
    </row>
    <row r="2" spans="1:10" ht="30.75" customHeight="1" x14ac:dyDescent="0.2">
      <c r="A2" s="150"/>
      <c r="B2" s="150"/>
      <c r="C2" s="150"/>
      <c r="D2" s="150"/>
      <c r="E2" s="156">
        <f>IFERROR(O62,"")</f>
        <v>138.38011604120194</v>
      </c>
      <c r="F2" s="156">
        <f>IFERROR(H53,"")</f>
        <v>127.55844155844156</v>
      </c>
      <c r="G2" s="156">
        <f>IFERROR(H54,"")</f>
        <v>0.51766940212901391</v>
      </c>
      <c r="H2" s="156">
        <f>IFERROR(H56,"")</f>
        <v>41.364677062491026</v>
      </c>
      <c r="I2" s="157"/>
    </row>
    <row r="3" spans="1:10" ht="15" customHeight="1" x14ac:dyDescent="0.2">
      <c r="A3" s="150"/>
      <c r="B3" s="150"/>
      <c r="C3" s="150"/>
      <c r="D3" s="150"/>
      <c r="E3" s="150"/>
      <c r="F3" s="158"/>
      <c r="G3" s="158"/>
      <c r="H3" s="158"/>
      <c r="I3" s="158"/>
    </row>
    <row r="4" spans="1:10" ht="24.75" customHeight="1" thickBot="1" x14ac:dyDescent="0.25">
      <c r="A4" s="733"/>
      <c r="B4" s="733"/>
      <c r="C4" s="733"/>
      <c r="D4" s="733"/>
      <c r="E4" s="733"/>
      <c r="F4" s="733"/>
      <c r="G4" s="733"/>
      <c r="H4" s="733"/>
      <c r="I4" s="159"/>
    </row>
    <row r="5" spans="1:10" ht="19.5" customHeight="1" thickBot="1" x14ac:dyDescent="0.25">
      <c r="A5" s="734" t="s">
        <v>87</v>
      </c>
      <c r="B5" s="735"/>
      <c r="C5" s="735"/>
      <c r="D5" s="735"/>
      <c r="E5" s="735"/>
      <c r="F5" s="735"/>
      <c r="G5" s="735"/>
      <c r="H5" s="736"/>
      <c r="I5" s="160"/>
    </row>
    <row r="6" spans="1:10" ht="19.5" thickBot="1" x14ac:dyDescent="0.25">
      <c r="A6" s="160"/>
      <c r="B6" s="160"/>
      <c r="C6" s="160"/>
      <c r="D6" s="160"/>
      <c r="E6" s="160"/>
      <c r="F6" s="737" t="s">
        <v>88</v>
      </c>
      <c r="G6" s="737"/>
      <c r="H6" s="161">
        <f ca="1">TODAY()</f>
        <v>46129</v>
      </c>
      <c r="I6" s="161"/>
    </row>
    <row r="7" spans="1:10" ht="26.25" hidden="1" thickBot="1" x14ac:dyDescent="0.25">
      <c r="A7" s="162" t="s">
        <v>89</v>
      </c>
      <c r="B7" s="163" t="s">
        <v>90</v>
      </c>
      <c r="C7" s="163" t="s">
        <v>89</v>
      </c>
      <c r="D7" s="164" t="s">
        <v>91</v>
      </c>
      <c r="E7" s="164" t="s">
        <v>92</v>
      </c>
      <c r="F7" s="164" t="s">
        <v>93</v>
      </c>
      <c r="G7" s="164" t="s">
        <v>94</v>
      </c>
      <c r="H7" s="165" t="s">
        <v>95</v>
      </c>
      <c r="I7" s="166"/>
    </row>
    <row r="8" spans="1:10" ht="13.5" hidden="1" x14ac:dyDescent="0.25">
      <c r="A8" s="167"/>
      <c r="B8" s="155" t="str">
        <f>IFERROR(VLOOKUP(H8,'[1]Consolidado MP Planta'!$A$2:$M$823,3,0),"")</f>
        <v/>
      </c>
      <c r="C8" s="168">
        <f>+A8</f>
        <v>0</v>
      </c>
      <c r="D8" s="169" t="str">
        <f>IFERROR(VLOOKUP(H8,'[1]Consolidado MP Planta'!$A$2:$M$823,13,0),"")</f>
        <v/>
      </c>
      <c r="E8" s="169" t="str">
        <f>IFERROR(VLOOKUP(H8,'[1]Consolidado MP Planta'!$A$2:$M$823,12,0),"")</f>
        <v/>
      </c>
      <c r="F8" s="169" t="str">
        <f>IFERROR(C8*E8,"")</f>
        <v/>
      </c>
      <c r="G8" s="170" t="str">
        <f t="shared" ref="G8:G14" si="0">IFERROR(F8/$F$66,"")</f>
        <v/>
      </c>
      <c r="H8" s="171"/>
      <c r="I8" s="171"/>
      <c r="J8" s="172"/>
    </row>
    <row r="9" spans="1:10" ht="13.5" hidden="1" x14ac:dyDescent="0.25">
      <c r="A9" s="167"/>
      <c r="B9" s="155" t="str">
        <f>IFERROR(VLOOKUP(H9,'[1]Consolidado MP Planta'!$A$2:$M$823,3,0),"")</f>
        <v/>
      </c>
      <c r="C9" s="168">
        <f t="shared" ref="C9:C14" si="1">+A9</f>
        <v>0</v>
      </c>
      <c r="D9" s="169" t="str">
        <f>IFERROR(VLOOKUP(H9,'[1]Consolidado MP Planta'!$A$2:$M$823,13,0),"")</f>
        <v/>
      </c>
      <c r="E9" s="169" t="str">
        <f>IFERROR(VLOOKUP(H9,'[1]Consolidado MP Planta'!$A$2:$M$823,12,0),"")</f>
        <v/>
      </c>
      <c r="F9" s="169" t="str">
        <f t="shared" ref="F9:F14" si="2">IFERROR(C9*E9,"")</f>
        <v/>
      </c>
      <c r="G9" s="170" t="str">
        <f t="shared" si="0"/>
        <v/>
      </c>
      <c r="H9" s="171"/>
      <c r="I9" s="171"/>
      <c r="J9" s="172"/>
    </row>
    <row r="10" spans="1:10" ht="13.5" hidden="1" x14ac:dyDescent="0.25">
      <c r="A10" s="167"/>
      <c r="B10" s="155" t="str">
        <f>IFERROR(VLOOKUP(H10,'[1]Consolidado MP Planta'!$A$2:$M$823,3,0),"")</f>
        <v/>
      </c>
      <c r="C10" s="168">
        <f t="shared" si="1"/>
        <v>0</v>
      </c>
      <c r="D10" s="169" t="str">
        <f>IFERROR(VLOOKUP(H10,'[1]Consolidado MP Planta'!$A$2:$M$823,13,0),"")</f>
        <v/>
      </c>
      <c r="E10" s="169" t="str">
        <f>IFERROR(VLOOKUP(H10,'[1]Consolidado MP Planta'!$A$2:$M$823,12,0),"")</f>
        <v/>
      </c>
      <c r="F10" s="169" t="str">
        <f t="shared" si="2"/>
        <v/>
      </c>
      <c r="G10" s="170" t="str">
        <f t="shared" si="0"/>
        <v/>
      </c>
      <c r="H10" s="171"/>
      <c r="I10" s="171"/>
      <c r="J10" s="172"/>
    </row>
    <row r="11" spans="1:10" ht="13.5" hidden="1" x14ac:dyDescent="0.25">
      <c r="A11" s="167"/>
      <c r="B11" s="155" t="str">
        <f>IFERROR(VLOOKUP(H11,'[1]Consolidado MP Planta'!$A$2:$M$823,3,0),"")</f>
        <v/>
      </c>
      <c r="C11" s="168">
        <f t="shared" si="1"/>
        <v>0</v>
      </c>
      <c r="D11" s="169" t="str">
        <f>IFERROR(VLOOKUP(H11,'[1]Consolidado MP Planta'!$A$2:$M$823,13,0),"")</f>
        <v/>
      </c>
      <c r="E11" s="169" t="str">
        <f>IFERROR(VLOOKUP(H11,'[1]Consolidado MP Planta'!$A$2:$M$823,12,0),"")</f>
        <v/>
      </c>
      <c r="F11" s="169" t="str">
        <f t="shared" si="2"/>
        <v/>
      </c>
      <c r="G11" s="170" t="str">
        <f t="shared" si="0"/>
        <v/>
      </c>
      <c r="H11" s="171"/>
      <c r="I11" s="171"/>
      <c r="J11" s="172"/>
    </row>
    <row r="12" spans="1:10" ht="13.5" hidden="1" x14ac:dyDescent="0.25">
      <c r="A12" s="167"/>
      <c r="B12" s="155" t="str">
        <f>IFERROR(VLOOKUP(H12,'[1]Consolidado MP Planta'!$A$2:$M$823,3,0),"")</f>
        <v/>
      </c>
      <c r="C12" s="168">
        <f t="shared" si="1"/>
        <v>0</v>
      </c>
      <c r="D12" s="169" t="str">
        <f>IFERROR(VLOOKUP(H12,'[1]Consolidado MP Planta'!$A$2:$M$823,13,0),"")</f>
        <v/>
      </c>
      <c r="E12" s="169" t="str">
        <f>IFERROR(VLOOKUP(H12,'[1]Consolidado MP Planta'!$A$2:$M$823,12,0),"")</f>
        <v/>
      </c>
      <c r="F12" s="169" t="str">
        <f t="shared" si="2"/>
        <v/>
      </c>
      <c r="G12" s="170" t="str">
        <f t="shared" si="0"/>
        <v/>
      </c>
      <c r="H12" s="171"/>
      <c r="I12" s="171"/>
      <c r="J12" s="172"/>
    </row>
    <row r="13" spans="1:10" ht="13.5" hidden="1" x14ac:dyDescent="0.25">
      <c r="A13" s="167"/>
      <c r="B13" s="155" t="str">
        <f>IFERROR(VLOOKUP(H13,'[1]Consolidado MP Planta'!$A$2:$M$823,3,0),"")</f>
        <v/>
      </c>
      <c r="C13" s="168">
        <f t="shared" si="1"/>
        <v>0</v>
      </c>
      <c r="D13" s="169" t="str">
        <f>IFERROR(VLOOKUP(H13,'[1]Consolidado MP Planta'!$A$2:$M$823,13,0),"")</f>
        <v/>
      </c>
      <c r="E13" s="169" t="str">
        <f>IFERROR(VLOOKUP(H13,'[1]Consolidado MP Planta'!$A$2:$M$823,12,0),"")</f>
        <v/>
      </c>
      <c r="F13" s="169" t="str">
        <f t="shared" si="2"/>
        <v/>
      </c>
      <c r="G13" s="170" t="str">
        <f t="shared" si="0"/>
        <v/>
      </c>
      <c r="H13" s="171"/>
      <c r="I13" s="171"/>
      <c r="J13" s="172"/>
    </row>
    <row r="14" spans="1:10" ht="13.5" hidden="1" x14ac:dyDescent="0.25">
      <c r="A14" s="167"/>
      <c r="B14" s="155" t="str">
        <f>IFERROR(VLOOKUP(H14,'[1]Consolidado MP Planta'!$A$2:$M$823,3,0),"")</f>
        <v/>
      </c>
      <c r="C14" s="168">
        <f t="shared" si="1"/>
        <v>0</v>
      </c>
      <c r="D14" s="169" t="str">
        <f>IFERROR(VLOOKUP(H14,'[1]Consolidado MP Planta'!$A$2:$M$823,13,0),"")</f>
        <v/>
      </c>
      <c r="E14" s="169" t="str">
        <f>IFERROR(VLOOKUP(H14,'[1]Consolidado MP Planta'!$A$2:$M$823,12,0),"")</f>
        <v/>
      </c>
      <c r="F14" s="169" t="str">
        <f t="shared" si="2"/>
        <v/>
      </c>
      <c r="G14" s="170" t="str">
        <f t="shared" si="0"/>
        <v/>
      </c>
      <c r="H14" s="171"/>
      <c r="I14" s="171"/>
      <c r="J14" s="172"/>
    </row>
    <row r="15" spans="1:10" ht="14.25" hidden="1" thickBot="1" x14ac:dyDescent="0.3">
      <c r="A15" s="167"/>
      <c r="B15" s="155" t="str">
        <f>IFERROR(VLOOKUP(H15,[2]Hoja2!$A$2:$G$589,2,0),"")</f>
        <v/>
      </c>
      <c r="C15" s="168"/>
      <c r="D15" s="169"/>
      <c r="E15" s="169"/>
      <c r="F15" s="169"/>
      <c r="G15" s="170"/>
      <c r="H15" s="171"/>
      <c r="I15" s="171"/>
      <c r="J15" s="172"/>
    </row>
    <row r="16" spans="1:10" ht="26.25" thickBot="1" x14ac:dyDescent="0.25">
      <c r="A16" s="162" t="s">
        <v>89</v>
      </c>
      <c r="B16" s="163" t="s">
        <v>96</v>
      </c>
      <c r="C16" s="163" t="s">
        <v>89</v>
      </c>
      <c r="D16" s="164" t="s">
        <v>91</v>
      </c>
      <c r="E16" s="164" t="s">
        <v>92</v>
      </c>
      <c r="F16" s="164" t="s">
        <v>93</v>
      </c>
      <c r="G16" s="164" t="s">
        <v>94</v>
      </c>
      <c r="H16" s="165" t="s">
        <v>95</v>
      </c>
      <c r="I16" s="166"/>
      <c r="J16" s="172"/>
    </row>
    <row r="17" spans="1:12" ht="13.5" x14ac:dyDescent="0.25">
      <c r="A17" s="167">
        <v>1001</v>
      </c>
      <c r="B17" s="155" t="str">
        <f>IFERROR(VLOOKUP(H17,[1]SEMIELABORADOS!$A$2:$M$6000,2,0),"")</f>
        <v>PASTA TORTA CHILENA SPOON KILO</v>
      </c>
      <c r="C17" s="168">
        <f>+A17</f>
        <v>1001</v>
      </c>
      <c r="D17" s="168" t="str">
        <f>IFERROR(VLOOKUP(H17,[1]SEMIELABORADOS!$A$2:$M$6000,6,0),"")</f>
        <v>Gramo</v>
      </c>
      <c r="E17" s="169">
        <v>1.05</v>
      </c>
      <c r="F17" s="169">
        <f>IFERROR(E17*C17,"")</f>
        <v>1051.05</v>
      </c>
      <c r="G17" s="170">
        <f t="shared" ref="G17:G24" si="3">IFERROR(F17/$F$66,"")</f>
        <v>0.84513380330070309</v>
      </c>
      <c r="H17" s="171" t="s">
        <v>63</v>
      </c>
      <c r="I17" s="171"/>
      <c r="J17" s="172"/>
    </row>
    <row r="18" spans="1:12" ht="13.5" x14ac:dyDescent="0.25">
      <c r="A18" s="167">
        <v>20</v>
      </c>
      <c r="B18" s="155" t="str">
        <f>IFERROR(VLOOKUP(H18,[1]SEMIELABORADOS!$A$2:$M$6000,2,0),"")</f>
        <v>EMPAQUE HARINA ESTANDAR (KILO)</v>
      </c>
      <c r="C18" s="168">
        <f t="shared" ref="C18:C24" si="4">+A18</f>
        <v>20</v>
      </c>
      <c r="D18" s="168" t="str">
        <f>IFERROR(VLOOKUP(H18,[1]SEMIELABORADOS!$A$2:$M$6000,6,0),"")</f>
        <v>Gramo</v>
      </c>
      <c r="E18" s="169">
        <v>0.65</v>
      </c>
      <c r="F18" s="169">
        <f t="shared" ref="F18:F24" si="5">IFERROR(E18*C18,"")</f>
        <v>13</v>
      </c>
      <c r="G18" s="170">
        <f t="shared" si="3"/>
        <v>1.0453108265933249E-2</v>
      </c>
      <c r="H18" s="171" t="s">
        <v>66</v>
      </c>
      <c r="I18" s="171"/>
      <c r="J18" s="172"/>
    </row>
    <row r="19" spans="1:12" ht="13.5" hidden="1" x14ac:dyDescent="0.25">
      <c r="A19" s="167"/>
      <c r="B19" s="155" t="str">
        <f>IFERROR(VLOOKUP(H19,[1]SEMIELABORADOS!$A$2:$M$6000,2,0),"")</f>
        <v/>
      </c>
      <c r="C19" s="168">
        <f>+A19</f>
        <v>0</v>
      </c>
      <c r="D19" s="168" t="str">
        <f>IFERROR(VLOOKUP(H19,[1]SEMIELABORADOS!$A$2:$M$6000,6,0),"")</f>
        <v/>
      </c>
      <c r="E19" s="169" t="str">
        <f>IFERROR(VLOOKUP(H19,[1]SEMIELABORADOS!$A$2:$H$65536,8,0),"")</f>
        <v/>
      </c>
      <c r="F19" s="169" t="str">
        <f>IFERROR(E19*C19,"")</f>
        <v/>
      </c>
      <c r="G19" s="170" t="str">
        <f t="shared" si="3"/>
        <v/>
      </c>
      <c r="H19" s="171"/>
      <c r="I19" s="171"/>
      <c r="J19" s="172"/>
    </row>
    <row r="20" spans="1:12" ht="13.5" hidden="1" x14ac:dyDescent="0.25">
      <c r="A20" s="167"/>
      <c r="B20" s="155" t="str">
        <f>IFERROR(VLOOKUP(H20,[1]SEMIELABORADOS!$A$2:$M$6000,2,0),"")</f>
        <v/>
      </c>
      <c r="C20" s="168">
        <f>+A20</f>
        <v>0</v>
      </c>
      <c r="D20" s="168" t="str">
        <f>IFERROR(VLOOKUP(H20,[1]SEMIELABORADOS!$A$2:$M$6000,6,0),"")</f>
        <v/>
      </c>
      <c r="E20" s="169" t="str">
        <f>IFERROR(VLOOKUP(H20,[1]SEMIELABORADOS!$A$2:$H$65536,8,0),"")</f>
        <v/>
      </c>
      <c r="F20" s="169" t="str">
        <f>IFERROR(E20*C20,"")</f>
        <v/>
      </c>
      <c r="G20" s="170" t="str">
        <f t="shared" si="3"/>
        <v/>
      </c>
      <c r="H20" s="171"/>
      <c r="I20" s="171"/>
      <c r="J20" s="172"/>
    </row>
    <row r="21" spans="1:12" ht="13.5" hidden="1" x14ac:dyDescent="0.25">
      <c r="A21" s="167"/>
      <c r="B21" s="155" t="str">
        <f>IFERROR(VLOOKUP(H21,[1]SEMIELABORADOS!$A$2:$M$6000,2,0),"")</f>
        <v/>
      </c>
      <c r="C21" s="168">
        <f>+A21</f>
        <v>0</v>
      </c>
      <c r="D21" s="168" t="str">
        <f>IFERROR(VLOOKUP(H21,[1]SEMIELABORADOS!$A$2:$M$6000,6,0),"")</f>
        <v/>
      </c>
      <c r="E21" s="169" t="str">
        <f>IFERROR(VLOOKUP(H21,[1]SEMIELABORADOS!$A$2:$H$65536,8,0),"")</f>
        <v/>
      </c>
      <c r="F21" s="169" t="str">
        <f>IFERROR(E21*C21,"")</f>
        <v/>
      </c>
      <c r="G21" s="170" t="str">
        <f t="shared" si="3"/>
        <v/>
      </c>
      <c r="H21" s="171"/>
      <c r="I21" s="171"/>
      <c r="J21" s="172"/>
    </row>
    <row r="22" spans="1:12" ht="13.5" hidden="1" x14ac:dyDescent="0.25">
      <c r="A22" s="167"/>
      <c r="B22" s="155" t="str">
        <f>IFERROR(VLOOKUP(H22,[1]SEMIELABORADOS!$A$2:$M$6000,2,0),"")</f>
        <v/>
      </c>
      <c r="C22" s="168">
        <f t="shared" si="4"/>
        <v>0</v>
      </c>
      <c r="D22" s="168" t="str">
        <f>IFERROR(VLOOKUP(H22,[1]SEMIELABORADOS!$A$2:$M$6000,6,0),"")</f>
        <v/>
      </c>
      <c r="E22" s="169" t="str">
        <f>IFERROR(VLOOKUP(H22,[1]SEMIELABORADOS!$A$2:$H$65536,8,0),"")</f>
        <v/>
      </c>
      <c r="F22" s="169" t="str">
        <f t="shared" si="5"/>
        <v/>
      </c>
      <c r="G22" s="170" t="str">
        <f t="shared" si="3"/>
        <v/>
      </c>
      <c r="H22" s="171"/>
      <c r="I22" s="171"/>
      <c r="J22" s="172"/>
    </row>
    <row r="23" spans="1:12" ht="13.5" hidden="1" x14ac:dyDescent="0.25">
      <c r="A23" s="167"/>
      <c r="B23" s="155" t="str">
        <f>IFERROR(VLOOKUP(H23,[1]SEMIELABORADOS!$A$2:$M$6000,2,0),"")</f>
        <v/>
      </c>
      <c r="C23" s="168">
        <f t="shared" si="4"/>
        <v>0</v>
      </c>
      <c r="D23" s="168" t="str">
        <f>IFERROR(VLOOKUP(H23,[1]SEMIELABORADOS!$A$2:$M$6000,6,0),"")</f>
        <v/>
      </c>
      <c r="E23" s="169" t="str">
        <f>IFERROR(VLOOKUP(H23,[1]SEMIELABORADOS!$A$2:$H$65536,8,0),"")</f>
        <v/>
      </c>
      <c r="F23" s="169" t="str">
        <f t="shared" si="5"/>
        <v/>
      </c>
      <c r="G23" s="170" t="str">
        <f t="shared" si="3"/>
        <v/>
      </c>
      <c r="H23" s="171"/>
      <c r="I23" s="171"/>
      <c r="J23" s="172"/>
    </row>
    <row r="24" spans="1:12" ht="13.5" hidden="1" x14ac:dyDescent="0.25">
      <c r="A24" s="167"/>
      <c r="B24" s="155" t="str">
        <f>IFERROR(VLOOKUP(H24,[1]SEMIELABORADOS!$A$2:$M$6000,2,0),"")</f>
        <v/>
      </c>
      <c r="C24" s="168">
        <f t="shared" si="4"/>
        <v>0</v>
      </c>
      <c r="D24" s="168" t="str">
        <f>IFERROR(VLOOKUP(H24,[1]SEMIELABORADOS!$A$2:$M$6000,6,0),"")</f>
        <v/>
      </c>
      <c r="E24" s="169" t="str">
        <f>IFERROR(VLOOKUP(H24,[1]SEMIELABORADOS!$A$2:$H$65536,8,0),"")</f>
        <v/>
      </c>
      <c r="F24" s="169" t="str">
        <f t="shared" si="5"/>
        <v/>
      </c>
      <c r="G24" s="170" t="str">
        <f t="shared" si="3"/>
        <v/>
      </c>
      <c r="H24" s="171"/>
      <c r="I24" s="171"/>
      <c r="J24" s="172"/>
    </row>
    <row r="25" spans="1:12" ht="14.25" thickBot="1" x14ac:dyDescent="0.3">
      <c r="A25" s="167"/>
      <c r="C25" s="168"/>
      <c r="D25" s="168"/>
      <c r="E25" s="169"/>
      <c r="F25" s="169"/>
      <c r="G25" s="170"/>
      <c r="H25" s="171"/>
      <c r="I25" s="171"/>
      <c r="J25" s="172"/>
    </row>
    <row r="26" spans="1:12" ht="26.25" hidden="1" thickBot="1" x14ac:dyDescent="0.25">
      <c r="A26" s="162" t="s">
        <v>89</v>
      </c>
      <c r="B26" s="163" t="s">
        <v>97</v>
      </c>
      <c r="C26" s="163" t="s">
        <v>89</v>
      </c>
      <c r="D26" s="164" t="s">
        <v>91</v>
      </c>
      <c r="E26" s="164" t="s">
        <v>92</v>
      </c>
      <c r="F26" s="164" t="s">
        <v>93</v>
      </c>
      <c r="G26" s="164" t="s">
        <v>94</v>
      </c>
      <c r="H26" s="165" t="s">
        <v>95</v>
      </c>
      <c r="I26" s="166"/>
    </row>
    <row r="27" spans="1:12" ht="13.5" hidden="1" x14ac:dyDescent="0.25">
      <c r="A27" s="167">
        <v>0</v>
      </c>
      <c r="B27" s="173" t="str">
        <f>IFERROR(VLOOKUP(H27,'[1]Consolidado MP Planta'!$A$2:$M$823,3,0),"")</f>
        <v/>
      </c>
      <c r="C27" s="168">
        <f t="shared" ref="C27:C32" si="6">+A27</f>
        <v>0</v>
      </c>
      <c r="D27" s="169" t="str">
        <f>IFERROR(VLOOKUP(H27,'[1]Consolidado MP Planta'!$A$2:$M$823,13,0),"")</f>
        <v/>
      </c>
      <c r="E27" s="169" t="str">
        <f>IFERROR(VLOOKUP(H27,'[1]Consolidado MP Planta'!$A$2:$M$823,12,0),"")</f>
        <v/>
      </c>
      <c r="F27" s="169" t="str">
        <f t="shared" ref="F27:F32" si="7">IFERROR(C27*E27,"")</f>
        <v/>
      </c>
      <c r="G27" s="170" t="str">
        <f t="shared" ref="G27:G32" si="8">IFERROR(F27/$F$66,"")</f>
        <v/>
      </c>
      <c r="H27" s="174"/>
      <c r="I27" s="174"/>
      <c r="J27" s="172"/>
      <c r="K27" s="727"/>
      <c r="L27" s="727"/>
    </row>
    <row r="28" spans="1:12" ht="13.5" hidden="1" x14ac:dyDescent="0.25">
      <c r="A28" s="167"/>
      <c r="B28" s="173" t="str">
        <f>IFERROR(VLOOKUP(H28,'[1]Consolidado MP Planta'!$A$2:$M$823,3,0),"")</f>
        <v/>
      </c>
      <c r="C28" s="168">
        <f t="shared" si="6"/>
        <v>0</v>
      </c>
      <c r="D28" s="169" t="str">
        <f>IFERROR(VLOOKUP(H28,'[1]Consolidado MP Planta'!$A$2:$M$823,13,0),"")</f>
        <v/>
      </c>
      <c r="E28" s="169" t="str">
        <f>IFERROR(VLOOKUP(H28,'[1]Consolidado MP Planta'!$A$2:$M$823,12,0),"")</f>
        <v/>
      </c>
      <c r="F28" s="169" t="str">
        <f t="shared" si="7"/>
        <v/>
      </c>
      <c r="G28" s="170" t="str">
        <f t="shared" si="8"/>
        <v/>
      </c>
      <c r="H28" s="174"/>
      <c r="I28" s="174"/>
      <c r="J28" s="172"/>
      <c r="K28" s="727"/>
      <c r="L28" s="727"/>
    </row>
    <row r="29" spans="1:12" ht="13.5" hidden="1" x14ac:dyDescent="0.25">
      <c r="A29" s="167"/>
      <c r="B29" s="173" t="str">
        <f>IFERROR(VLOOKUP(H29,'[1]Consolidado MP Planta'!$A$2:$M$823,3,0),"")</f>
        <v/>
      </c>
      <c r="C29" s="168">
        <f t="shared" si="6"/>
        <v>0</v>
      </c>
      <c r="D29" s="169" t="str">
        <f>IFERROR(VLOOKUP(H29,'[1]Consolidado MP Planta'!$A$2:$M$823,13,0),"")</f>
        <v/>
      </c>
      <c r="E29" s="169" t="str">
        <f>IFERROR(VLOOKUP(H29,'[1]Consolidado MP Planta'!$A$2:$M$823,12,0),"")</f>
        <v/>
      </c>
      <c r="F29" s="169" t="str">
        <f t="shared" si="7"/>
        <v/>
      </c>
      <c r="G29" s="170" t="str">
        <f t="shared" si="8"/>
        <v/>
      </c>
      <c r="H29" s="174"/>
      <c r="I29" s="174"/>
      <c r="J29" s="172"/>
      <c r="K29" s="727"/>
      <c r="L29" s="727"/>
    </row>
    <row r="30" spans="1:12" ht="13.5" hidden="1" x14ac:dyDescent="0.25">
      <c r="A30" s="167"/>
      <c r="B30" s="173" t="str">
        <f>IFERROR(VLOOKUP(H30,'[1]Consolidado MP Planta'!$A$2:$M$823,3,0),"")</f>
        <v/>
      </c>
      <c r="C30" s="168">
        <f t="shared" si="6"/>
        <v>0</v>
      </c>
      <c r="D30" s="169" t="str">
        <f>IFERROR(VLOOKUP(H30,'[1]Consolidado MP Planta'!$A$2:$M$823,13,0),"")</f>
        <v/>
      </c>
      <c r="E30" s="169" t="str">
        <f>IFERROR(VLOOKUP(H30,'[1]Consolidado MP Planta'!$A$2:$M$823,12,0),"")</f>
        <v/>
      </c>
      <c r="F30" s="169" t="str">
        <f t="shared" si="7"/>
        <v/>
      </c>
      <c r="G30" s="170" t="str">
        <f t="shared" si="8"/>
        <v/>
      </c>
      <c r="H30" s="174"/>
      <c r="I30" s="174"/>
      <c r="J30" s="172"/>
      <c r="K30" s="727"/>
      <c r="L30" s="727"/>
    </row>
    <row r="31" spans="1:12" ht="13.5" hidden="1" x14ac:dyDescent="0.25">
      <c r="A31" s="167"/>
      <c r="B31" s="173" t="str">
        <f>IFERROR(VLOOKUP(H31,'[1]Consolidado MP Planta'!$A$2:$M$823,3,0),"")</f>
        <v/>
      </c>
      <c r="C31" s="168">
        <f t="shared" si="6"/>
        <v>0</v>
      </c>
      <c r="D31" s="169" t="str">
        <f>IFERROR(VLOOKUP(H31,'[1]Consolidado MP Planta'!$A$2:$M$823,13,0),"")</f>
        <v/>
      </c>
      <c r="E31" s="169" t="str">
        <f>IFERROR(VLOOKUP(H31,'[1]Consolidado MP Planta'!$A$2:$M$823,12,0),"")</f>
        <v/>
      </c>
      <c r="F31" s="169" t="str">
        <f t="shared" si="7"/>
        <v/>
      </c>
      <c r="G31" s="170" t="str">
        <f t="shared" si="8"/>
        <v/>
      </c>
      <c r="H31" s="174"/>
      <c r="I31" s="174"/>
      <c r="J31" s="172"/>
      <c r="K31" s="175"/>
      <c r="L31" s="176"/>
    </row>
    <row r="32" spans="1:12" ht="13.5" hidden="1" x14ac:dyDescent="0.25">
      <c r="A32" s="167"/>
      <c r="B32" s="173" t="str">
        <f>IFERROR(VLOOKUP(H32,'[1]Consolidado MP Planta'!$A$2:$M$823,3,0),"")</f>
        <v/>
      </c>
      <c r="C32" s="168">
        <f t="shared" si="6"/>
        <v>0</v>
      </c>
      <c r="D32" s="169" t="str">
        <f>IFERROR(VLOOKUP(H32,'[1]Consolidado MP Planta'!$A$2:$M$823,13,0),"")</f>
        <v/>
      </c>
      <c r="E32" s="169" t="str">
        <f>IFERROR(VLOOKUP(H32,'[1]Consolidado MP Planta'!$A$2:$M$823,12,0),"")</f>
        <v/>
      </c>
      <c r="F32" s="169" t="str">
        <f t="shared" si="7"/>
        <v/>
      </c>
      <c r="G32" s="170" t="str">
        <f t="shared" si="8"/>
        <v/>
      </c>
      <c r="H32" s="174"/>
      <c r="I32" s="174"/>
      <c r="J32" s="172"/>
    </row>
    <row r="33" spans="1:13" ht="14.25" hidden="1" thickBot="1" x14ac:dyDescent="0.3">
      <c r="A33" s="167"/>
      <c r="B33" s="173"/>
      <c r="C33" s="168"/>
      <c r="D33" s="169"/>
      <c r="E33" s="169"/>
      <c r="F33" s="169"/>
      <c r="G33" s="170"/>
      <c r="H33" s="174"/>
      <c r="I33" s="174"/>
      <c r="J33" s="172"/>
    </row>
    <row r="34" spans="1:13" ht="26.25" thickBot="1" x14ac:dyDescent="0.25">
      <c r="A34" s="162" t="s">
        <v>89</v>
      </c>
      <c r="B34" s="163" t="s">
        <v>98</v>
      </c>
      <c r="C34" s="163" t="s">
        <v>89</v>
      </c>
      <c r="D34" s="164" t="s">
        <v>91</v>
      </c>
      <c r="E34" s="164" t="s">
        <v>92</v>
      </c>
      <c r="F34" s="164" t="s">
        <v>93</v>
      </c>
      <c r="G34" s="164" t="s">
        <v>94</v>
      </c>
      <c r="H34" s="165" t="s">
        <v>95</v>
      </c>
      <c r="I34" s="174"/>
      <c r="J34" s="172"/>
    </row>
    <row r="35" spans="1:13" ht="13.5" x14ac:dyDescent="0.25">
      <c r="A35" s="167">
        <f>+A17</f>
        <v>1001</v>
      </c>
      <c r="B35" s="173" t="str">
        <f>IFERROR(VLOOKUP(H35,[1]SEMIELABORADOS!$A$2:$M$6000,2,0),"")</f>
        <v>PASTA TORTA CHILENA SPOON KILO</v>
      </c>
      <c r="C35" s="168">
        <f>+A35</f>
        <v>1001</v>
      </c>
      <c r="D35" s="169" t="str">
        <f>IFERROR(VLOOKUP(H35,[1]SEMIELABORADOS!$A$2:$M$6000,6,0),"")</f>
        <v>Gramo</v>
      </c>
      <c r="E35" s="169">
        <f>IFERROR(VLOOKUP(H35,[1]SEMIELABORADOS!$A$2:$M$65536,10,0),"")</f>
        <v>4.1151222833333339E-3</v>
      </c>
      <c r="F35" s="169">
        <f>IFERROR(E35*C35,"")</f>
        <v>4.1192374056166674</v>
      </c>
      <c r="G35" s="170">
        <f t="shared" ref="G35:G41" si="9">IFERROR(F35/$F$66,"")</f>
        <v>3.3122180441533091E-3</v>
      </c>
      <c r="H35" s="174" t="s">
        <v>63</v>
      </c>
      <c r="I35" s="174"/>
      <c r="J35" s="172"/>
    </row>
    <row r="36" spans="1:13" ht="13.5" x14ac:dyDescent="0.25">
      <c r="A36" s="167">
        <f t="shared" ref="A36:A41" si="10">+A18</f>
        <v>20</v>
      </c>
      <c r="B36" s="173" t="str">
        <f>IFERROR(VLOOKUP(H36,[1]SEMIELABORADOS!$A$2:$M$6000,2,0),"")</f>
        <v>EMPAQUE HARINA ESTANDAR (KILO)</v>
      </c>
      <c r="C36" s="168">
        <f t="shared" ref="C36:C41" si="11">+A36</f>
        <v>20</v>
      </c>
      <c r="D36" s="169" t="str">
        <f>IFERROR(VLOOKUP(H36,[1]SEMIELABORADOS!$A$2:$M$6000,6,0),"")</f>
        <v>Gramo</v>
      </c>
      <c r="E36" s="169">
        <f>IFERROR(VLOOKUP(H36,[1]SEMIELABORADOS!$A$2:$M$65536,10,0),"")</f>
        <v>9.9494095238095229E-3</v>
      </c>
      <c r="F36" s="169">
        <f t="shared" ref="F36:F41" si="12">IFERROR(E36*C36,"")</f>
        <v>0.19898819047619046</v>
      </c>
      <c r="G36" s="170">
        <f t="shared" si="9"/>
        <v>1.6000346912998202E-4</v>
      </c>
      <c r="H36" s="174" t="s">
        <v>66</v>
      </c>
      <c r="I36" s="174"/>
      <c r="J36" s="172"/>
    </row>
    <row r="37" spans="1:13" ht="13.5" hidden="1" x14ac:dyDescent="0.25">
      <c r="A37" s="167">
        <f t="shared" si="10"/>
        <v>0</v>
      </c>
      <c r="B37" s="173" t="str">
        <f>IFERROR(VLOOKUP(H37,[1]SEMIELABORADOS!$A$2:$M$6000,2,0),"")</f>
        <v/>
      </c>
      <c r="C37" s="168">
        <f t="shared" si="11"/>
        <v>0</v>
      </c>
      <c r="D37" s="169" t="str">
        <f>IFERROR(VLOOKUP(H37,[1]SEMIELABORADOS!$A$2:$M$6000,6,0),"")</f>
        <v/>
      </c>
      <c r="E37" s="169" t="str">
        <f>IFERROR(VLOOKUP(H37,[1]SEMIELABORADOS!$A$2:$M$65536,10,0),"")</f>
        <v/>
      </c>
      <c r="F37" s="169" t="str">
        <f t="shared" si="12"/>
        <v/>
      </c>
      <c r="G37" s="170" t="str">
        <f t="shared" si="9"/>
        <v/>
      </c>
      <c r="H37" s="174"/>
      <c r="I37" s="174"/>
      <c r="J37" s="172"/>
    </row>
    <row r="38" spans="1:13" ht="13.5" hidden="1" x14ac:dyDescent="0.25">
      <c r="A38" s="167">
        <f t="shared" si="10"/>
        <v>0</v>
      </c>
      <c r="B38" s="173" t="str">
        <f>IFERROR(VLOOKUP(H38,[1]SEMIELABORADOS!$A$2:$M$6000,2,0),"")</f>
        <v/>
      </c>
      <c r="C38" s="168">
        <f>+A38</f>
        <v>0</v>
      </c>
      <c r="D38" s="169" t="str">
        <f>IFERROR(VLOOKUP(H38,[1]SEMIELABORADOS!$A$2:$M$6000,6,0),"")</f>
        <v/>
      </c>
      <c r="E38" s="169" t="str">
        <f>IFERROR(VLOOKUP(H38,[1]SEMIELABORADOS!$A$2:$M$65536,10,0),"")</f>
        <v/>
      </c>
      <c r="F38" s="169" t="str">
        <f>IFERROR(E38*C38,"")</f>
        <v/>
      </c>
      <c r="G38" s="170" t="str">
        <f t="shared" si="9"/>
        <v/>
      </c>
      <c r="H38" s="174"/>
      <c r="I38" s="174"/>
      <c r="J38" s="172"/>
    </row>
    <row r="39" spans="1:13" ht="13.5" hidden="1" x14ac:dyDescent="0.25">
      <c r="A39" s="167">
        <f t="shared" si="10"/>
        <v>0</v>
      </c>
      <c r="B39" s="173" t="str">
        <f>IFERROR(VLOOKUP(H39,[1]SEMIELABORADOS!$A$2:$M$6000,2,0),"")</f>
        <v/>
      </c>
      <c r="C39" s="168">
        <f>+A39</f>
        <v>0</v>
      </c>
      <c r="D39" s="169" t="str">
        <f>IFERROR(VLOOKUP(H39,[1]SEMIELABORADOS!$A$2:$M$6000,6,0),"")</f>
        <v/>
      </c>
      <c r="E39" s="169" t="str">
        <f>IFERROR(VLOOKUP(H39,[1]SEMIELABORADOS!$A$2:$M$65536,10,0),"")</f>
        <v/>
      </c>
      <c r="F39" s="169" t="str">
        <f>IFERROR(E39*C39,"")</f>
        <v/>
      </c>
      <c r="G39" s="170" t="str">
        <f t="shared" si="9"/>
        <v/>
      </c>
      <c r="H39" s="174"/>
      <c r="I39" s="174"/>
      <c r="J39" s="172"/>
    </row>
    <row r="40" spans="1:13" ht="13.5" hidden="1" x14ac:dyDescent="0.25">
      <c r="A40" s="167">
        <f t="shared" si="10"/>
        <v>0</v>
      </c>
      <c r="B40" s="173" t="str">
        <f>IFERROR(VLOOKUP(H40,[1]SEMIELABORADOS!$A$2:$M$6000,2,0),"")</f>
        <v/>
      </c>
      <c r="C40" s="168">
        <f t="shared" si="11"/>
        <v>0</v>
      </c>
      <c r="D40" s="169" t="str">
        <f>IFERROR(VLOOKUP(H40,[1]SEMIELABORADOS!$A$2:$M$6000,6,0),"")</f>
        <v/>
      </c>
      <c r="E40" s="169" t="str">
        <f>IFERROR(VLOOKUP(H40,[1]SEMIELABORADOS!$A$2:$M$65536,10,0),"")</f>
        <v/>
      </c>
      <c r="F40" s="169" t="str">
        <f t="shared" si="12"/>
        <v/>
      </c>
      <c r="G40" s="170" t="str">
        <f t="shared" si="9"/>
        <v/>
      </c>
      <c r="H40" s="174"/>
      <c r="I40" s="174"/>
      <c r="J40" s="172"/>
    </row>
    <row r="41" spans="1:13" ht="13.5" hidden="1" x14ac:dyDescent="0.25">
      <c r="A41" s="167">
        <f t="shared" si="10"/>
        <v>0</v>
      </c>
      <c r="B41" s="173" t="str">
        <f>IFERROR(VLOOKUP(H41,[1]SEMIELABORADOS!$A$2:$M$6000,2,0),"")</f>
        <v/>
      </c>
      <c r="C41" s="168">
        <f t="shared" si="11"/>
        <v>0</v>
      </c>
      <c r="D41" s="169" t="str">
        <f>IFERROR(VLOOKUP(H41,[1]SEMIELABORADOS!$A$2:$M$6000,6,0),"")</f>
        <v/>
      </c>
      <c r="E41" s="169" t="str">
        <f>IFERROR(VLOOKUP(H41,[1]SEMIELABORADOS!$A$2:$M$65536,10,0),"")</f>
        <v/>
      </c>
      <c r="F41" s="169" t="str">
        <f t="shared" si="12"/>
        <v/>
      </c>
      <c r="G41" s="170" t="str">
        <f t="shared" si="9"/>
        <v/>
      </c>
      <c r="H41" s="174"/>
      <c r="I41" s="174"/>
      <c r="J41" s="172"/>
    </row>
    <row r="42" spans="1:13" ht="14.25" thickBot="1" x14ac:dyDescent="0.3">
      <c r="A42" s="167"/>
      <c r="B42" s="173"/>
      <c r="C42" s="168"/>
      <c r="D42" s="169"/>
      <c r="E42" s="169"/>
      <c r="F42" s="169"/>
      <c r="G42" s="170"/>
      <c r="H42" s="174"/>
      <c r="I42" s="174"/>
      <c r="J42" s="172"/>
    </row>
    <row r="43" spans="1:13" ht="26.25" thickBot="1" x14ac:dyDescent="0.25">
      <c r="A43" s="162" t="s">
        <v>89</v>
      </c>
      <c r="B43" s="163" t="s">
        <v>99</v>
      </c>
      <c r="C43" s="163" t="s">
        <v>89</v>
      </c>
      <c r="D43" s="164" t="s">
        <v>91</v>
      </c>
      <c r="E43" s="164" t="s">
        <v>92</v>
      </c>
      <c r="F43" s="164" t="s">
        <v>93</v>
      </c>
      <c r="G43" s="164" t="s">
        <v>94</v>
      </c>
      <c r="H43" s="165" t="s">
        <v>95</v>
      </c>
      <c r="I43" s="166"/>
      <c r="J43" s="172"/>
    </row>
    <row r="44" spans="1:13" ht="13.5" x14ac:dyDescent="0.25">
      <c r="A44" s="167">
        <f>+A35</f>
        <v>1001</v>
      </c>
      <c r="B44" s="173" t="str">
        <f>IFERROR(VLOOKUP(H44,[1]SEMIELABORADOS!$A$2:$M$6000,2,0),"")</f>
        <v>PASTA TORTA CHILENA SPOON KILO</v>
      </c>
      <c r="C44" s="168">
        <f>+A44</f>
        <v>1001</v>
      </c>
      <c r="D44" s="169" t="str">
        <f>IFERROR(VLOOKUP(H44,[1]SEMIELABORADOS!$A$2:$M$6000,6,0),"")</f>
        <v>Gramo</v>
      </c>
      <c r="E44" s="169">
        <f>IFERROR(VLOOKUP(H44,[1]SEMIELABORADOS!$A$2:$M$65536,12,0),"")</f>
        <v>0.18848797135357331</v>
      </c>
      <c r="F44" s="169">
        <f>IFERROR(E44*C44,"")</f>
        <v>188.6764593249269</v>
      </c>
      <c r="G44" s="170">
        <f>IFERROR(F44/$F$66,"")</f>
        <v>0.15171195819664704</v>
      </c>
      <c r="H44" s="174" t="s">
        <v>63</v>
      </c>
      <c r="I44" s="166"/>
      <c r="J44" s="172"/>
    </row>
    <row r="45" spans="1:13" ht="13.5" x14ac:dyDescent="0.25">
      <c r="A45" s="167">
        <f t="shared" ref="A45:A50" si="13">+A36</f>
        <v>20</v>
      </c>
      <c r="B45" s="173" t="str">
        <f>IFERROR(VLOOKUP(H45,[1]SEMIELABORADOS!$A$2:$M$6000,2,0),"")</f>
        <v>EMPAQUE HARINA ESTANDAR (KILO)</v>
      </c>
      <c r="C45" s="168">
        <f t="shared" ref="C45:C50" si="14">+A45</f>
        <v>20</v>
      </c>
      <c r="D45" s="169" t="str">
        <f>IFERROR(VLOOKUP(H45,[1]SEMIELABORADOS!$A$2:$M$6000,6,0),"")</f>
        <v>Gramo</v>
      </c>
      <c r="E45" s="169">
        <f>IFERROR(VLOOKUP(H45,[1]SEMIELABORADOS!$A$2:$M$65536,12,0),"")</f>
        <v>0.11869442523428572</v>
      </c>
      <c r="F45" s="169">
        <f t="shared" ref="F45:F50" si="15">IFERROR(E45*C45,"")</f>
        <v>2.3738885046857146</v>
      </c>
      <c r="G45" s="170">
        <f t="shared" ref="G45:G50" si="16">IFERROR(F45/$F$66,"")</f>
        <v>1.9088087346718586E-3</v>
      </c>
      <c r="H45" s="174" t="s">
        <v>66</v>
      </c>
      <c r="I45" s="166"/>
      <c r="J45" s="172"/>
      <c r="M45" s="177"/>
    </row>
    <row r="46" spans="1:13" ht="13.5" hidden="1" x14ac:dyDescent="0.25">
      <c r="A46" s="167">
        <f t="shared" si="13"/>
        <v>0</v>
      </c>
      <c r="B46" s="173" t="str">
        <f>IFERROR(VLOOKUP(H46,[1]SEMIELABORADOS!$A$2:$M$6000,2,0),"")</f>
        <v/>
      </c>
      <c r="C46" s="168">
        <f t="shared" si="14"/>
        <v>0</v>
      </c>
      <c r="D46" s="169" t="str">
        <f>IFERROR(VLOOKUP(H46,[1]SEMIELABORADOS!$A$2:$M$6000,6,0),"")</f>
        <v/>
      </c>
      <c r="E46" s="169" t="str">
        <f>IFERROR(VLOOKUP(H46,[1]SEMIELABORADOS!$A$2:$M$65536,12,0),"")</f>
        <v/>
      </c>
      <c r="F46" s="169" t="str">
        <f t="shared" si="15"/>
        <v/>
      </c>
      <c r="G46" s="170" t="str">
        <f t="shared" si="16"/>
        <v/>
      </c>
      <c r="H46" s="174"/>
      <c r="I46" s="166"/>
      <c r="J46" s="172"/>
    </row>
    <row r="47" spans="1:13" ht="13.5" hidden="1" x14ac:dyDescent="0.25">
      <c r="A47" s="167">
        <f t="shared" si="13"/>
        <v>0</v>
      </c>
      <c r="B47" s="173" t="str">
        <f>IFERROR(VLOOKUP(H47,[1]SEMIELABORADOS!$A$2:$M$6000,2,0),"")</f>
        <v/>
      </c>
      <c r="C47" s="168">
        <f t="shared" si="14"/>
        <v>0</v>
      </c>
      <c r="D47" s="169" t="str">
        <f>IFERROR(VLOOKUP(H47,[1]SEMIELABORADOS!$A$2:$M$6000,6,0),"")</f>
        <v/>
      </c>
      <c r="E47" s="169" t="str">
        <f>IFERROR(VLOOKUP(H47,[1]SEMIELABORADOS!$A$2:$M$65536,12,0),"")</f>
        <v/>
      </c>
      <c r="F47" s="169" t="str">
        <f t="shared" si="15"/>
        <v/>
      </c>
      <c r="G47" s="170" t="str">
        <f t="shared" si="16"/>
        <v/>
      </c>
      <c r="H47" s="174"/>
      <c r="I47" s="166"/>
      <c r="J47" s="172"/>
    </row>
    <row r="48" spans="1:13" ht="13.5" hidden="1" x14ac:dyDescent="0.25">
      <c r="A48" s="167">
        <f t="shared" si="13"/>
        <v>0</v>
      </c>
      <c r="B48" s="173" t="str">
        <f>IFERROR(VLOOKUP(H48,[1]SEMIELABORADOS!$A$2:$M$6000,2,0),"")</f>
        <v/>
      </c>
      <c r="C48" s="168">
        <f t="shared" si="14"/>
        <v>0</v>
      </c>
      <c r="D48" s="169" t="str">
        <f>IFERROR(VLOOKUP(H48,[1]SEMIELABORADOS!$A$2:$M$6000,6,0),"")</f>
        <v/>
      </c>
      <c r="E48" s="169" t="str">
        <f>IFERROR(VLOOKUP(H48,[1]SEMIELABORADOS!$A$2:$M$65536,12,0),"")</f>
        <v/>
      </c>
      <c r="F48" s="169" t="str">
        <f t="shared" si="15"/>
        <v/>
      </c>
      <c r="G48" s="170" t="str">
        <f t="shared" si="16"/>
        <v/>
      </c>
      <c r="H48" s="174"/>
      <c r="I48" s="166"/>
      <c r="J48" s="172"/>
    </row>
    <row r="49" spans="1:17" ht="13.5" hidden="1" x14ac:dyDescent="0.25">
      <c r="A49" s="167">
        <f t="shared" si="13"/>
        <v>0</v>
      </c>
      <c r="B49" s="173" t="str">
        <f>IFERROR(VLOOKUP(H49,[1]SEMIELABORADOS!$A$2:$M$6000,2,0),"")</f>
        <v/>
      </c>
      <c r="C49" s="168">
        <f t="shared" si="14"/>
        <v>0</v>
      </c>
      <c r="D49" s="169" t="str">
        <f>IFERROR(VLOOKUP(H49,[1]SEMIELABORADOS!$A$2:$M$6000,6,0),"")</f>
        <v/>
      </c>
      <c r="E49" s="169" t="str">
        <f>IFERROR(VLOOKUP(H49,[1]SEMIELABORADOS!$A$2:$M$65536,12,0),"")</f>
        <v/>
      </c>
      <c r="F49" s="169" t="str">
        <f t="shared" si="15"/>
        <v/>
      </c>
      <c r="G49" s="170" t="str">
        <f t="shared" si="16"/>
        <v/>
      </c>
      <c r="H49" s="174"/>
      <c r="I49" s="166"/>
      <c r="J49" s="172"/>
    </row>
    <row r="50" spans="1:17" ht="13.5" hidden="1" x14ac:dyDescent="0.25">
      <c r="A50" s="167">
        <f t="shared" si="13"/>
        <v>0</v>
      </c>
      <c r="B50" s="173" t="str">
        <f>IFERROR(VLOOKUP(H50,[1]SEMIELABORADOS!$A$2:$M$6000,2,0),"")</f>
        <v/>
      </c>
      <c r="C50" s="168">
        <f t="shared" si="14"/>
        <v>0</v>
      </c>
      <c r="D50" s="169" t="str">
        <f>IFERROR(VLOOKUP(H50,[1]SEMIELABORADOS!$A$2:$M$6000,6,0),"")</f>
        <v/>
      </c>
      <c r="E50" s="169" t="str">
        <f>IFERROR(VLOOKUP(H50,[1]SEMIELABORADOS!$A$2:$M$65536,12,0),"")</f>
        <v/>
      </c>
      <c r="F50" s="169" t="str">
        <f t="shared" si="15"/>
        <v/>
      </c>
      <c r="G50" s="170" t="str">
        <f t="shared" si="16"/>
        <v/>
      </c>
      <c r="H50" s="173"/>
      <c r="I50" s="166"/>
      <c r="J50" s="172"/>
    </row>
    <row r="51" spans="1:17" ht="13.5" x14ac:dyDescent="0.25">
      <c r="A51" s="167">
        <v>1</v>
      </c>
      <c r="B51" s="173" t="s">
        <v>100</v>
      </c>
      <c r="C51" s="168">
        <f>+A51</f>
        <v>1</v>
      </c>
      <c r="D51" s="168" t="s">
        <v>101</v>
      </c>
      <c r="E51" s="169">
        <f>+F65</f>
        <v>154</v>
      </c>
      <c r="F51" s="169">
        <f>IFERROR(C51*E51,"")</f>
        <v>154</v>
      </c>
      <c r="G51" s="170">
        <f>IFERROR(F51/$F$66,"")</f>
        <v>0.12382912868874771</v>
      </c>
      <c r="H51" s="178"/>
      <c r="I51" s="178"/>
      <c r="J51" s="172"/>
    </row>
    <row r="52" spans="1:17" ht="14.25" thickBot="1" x14ac:dyDescent="0.3">
      <c r="A52" s="167"/>
      <c r="B52" s="173"/>
      <c r="C52" s="168"/>
      <c r="D52" s="168"/>
      <c r="E52" s="169"/>
      <c r="F52" s="169"/>
      <c r="G52" s="170"/>
      <c r="H52" s="178"/>
      <c r="I52" s="178"/>
      <c r="J52" s="172"/>
    </row>
    <row r="53" spans="1:17" ht="13.5" thickBot="1" x14ac:dyDescent="0.25">
      <c r="A53" s="179"/>
      <c r="B53" s="728" t="s">
        <v>102</v>
      </c>
      <c r="C53" s="728"/>
      <c r="D53" s="728"/>
      <c r="E53" s="728"/>
      <c r="F53" s="181">
        <f>SUM(F8:F14,F17:F24)</f>
        <v>1064.05</v>
      </c>
      <c r="G53" s="170">
        <f>+F53/$F$66</f>
        <v>0.85558691156663635</v>
      </c>
      <c r="H53" s="182">
        <f>+F53/$D$60</f>
        <v>127.55844155844156</v>
      </c>
      <c r="I53" s="182"/>
      <c r="J53" s="183"/>
      <c r="K53" s="184"/>
      <c r="L53" s="184"/>
      <c r="M53" s="184"/>
      <c r="N53" s="184"/>
      <c r="O53" s="184"/>
      <c r="P53" s="184"/>
      <c r="Q53" s="185"/>
    </row>
    <row r="54" spans="1:17" x14ac:dyDescent="0.2">
      <c r="A54" s="179"/>
      <c r="B54" s="728" t="s">
        <v>103</v>
      </c>
      <c r="C54" s="728"/>
      <c r="D54" s="728"/>
      <c r="E54" s="728"/>
      <c r="F54" s="181">
        <f>SUM(F27:F32,F35:F41)</f>
        <v>4.3182255960928577</v>
      </c>
      <c r="G54" s="170">
        <f>+F54/$F$66</f>
        <v>3.4722215132832906E-3</v>
      </c>
      <c r="H54" s="182">
        <f>+F54/$D$60</f>
        <v>0.51766940212901391</v>
      </c>
      <c r="I54" s="182"/>
      <c r="J54" s="186"/>
      <c r="K54" s="729" t="s">
        <v>104</v>
      </c>
      <c r="L54" s="730"/>
      <c r="M54" s="730"/>
      <c r="N54" s="730"/>
      <c r="O54" s="187">
        <f>+F55</f>
        <v>1068.3682255960928</v>
      </c>
      <c r="P54" s="187"/>
      <c r="Q54" s="188"/>
    </row>
    <row r="55" spans="1:17" x14ac:dyDescent="0.2">
      <c r="A55" s="179"/>
      <c r="B55" s="728" t="s">
        <v>105</v>
      </c>
      <c r="C55" s="728"/>
      <c r="D55" s="728"/>
      <c r="E55" s="728"/>
      <c r="F55" s="181">
        <f>+F53+F54</f>
        <v>1068.3682255960928</v>
      </c>
      <c r="G55" s="170">
        <f>+F55/$F$66</f>
        <v>0.85905913307991966</v>
      </c>
      <c r="H55" s="182">
        <f>+F55/$D$60</f>
        <v>128.07611096057056</v>
      </c>
      <c r="I55" s="182"/>
      <c r="J55" s="189"/>
      <c r="K55" s="190"/>
      <c r="M55" s="191" t="s">
        <v>106</v>
      </c>
      <c r="N55" s="192"/>
      <c r="O55" s="187">
        <f>+H56</f>
        <v>41.364677062491026</v>
      </c>
      <c r="P55" s="187"/>
      <c r="Q55" s="188"/>
    </row>
    <row r="56" spans="1:17" ht="13.5" thickBot="1" x14ac:dyDescent="0.25">
      <c r="A56" s="179"/>
      <c r="B56" s="180"/>
      <c r="C56" s="728" t="s">
        <v>107</v>
      </c>
      <c r="D56" s="728"/>
      <c r="E56" s="728"/>
      <c r="F56" s="181">
        <f>SUM(F44:F51)</f>
        <v>345.05034782961263</v>
      </c>
      <c r="G56" s="170">
        <f>+F56/$F$66</f>
        <v>0.27744989562006667</v>
      </c>
      <c r="H56" s="182">
        <f>+F56/$D$60</f>
        <v>41.364677062491026</v>
      </c>
      <c r="I56" s="182"/>
      <c r="J56" s="189"/>
      <c r="K56" s="190"/>
      <c r="L56" s="190"/>
      <c r="M56" s="190" t="s">
        <v>108</v>
      </c>
      <c r="N56" s="193"/>
      <c r="O56" s="187">
        <f>O54*N56</f>
        <v>0</v>
      </c>
      <c r="P56" s="187"/>
      <c r="Q56" s="188"/>
    </row>
    <row r="57" spans="1:17" ht="13.5" thickBot="1" x14ac:dyDescent="0.25">
      <c r="A57" s="179"/>
      <c r="B57" s="194"/>
      <c r="C57" s="194"/>
      <c r="D57" s="194"/>
      <c r="E57" s="194"/>
      <c r="F57" s="195"/>
      <c r="G57" s="170"/>
      <c r="H57" s="196"/>
      <c r="I57" s="182"/>
      <c r="J57" s="189"/>
      <c r="K57" s="197"/>
      <c r="M57" s="198" t="s">
        <v>109</v>
      </c>
      <c r="N57" s="199"/>
      <c r="O57" s="200">
        <f>SUM(O54:O56)</f>
        <v>1109.7329026585837</v>
      </c>
      <c r="P57" s="201"/>
      <c r="Q57" s="188"/>
    </row>
    <row r="58" spans="1:17" x14ac:dyDescent="0.2">
      <c r="B58" s="731" t="s">
        <v>110</v>
      </c>
      <c r="C58" s="731"/>
      <c r="D58" s="202">
        <v>1001</v>
      </c>
      <c r="E58" s="203"/>
      <c r="G58" s="170"/>
      <c r="H58" s="196">
        <f>+H56/77</f>
        <v>0.53720359821416919</v>
      </c>
      <c r="I58" s="204"/>
      <c r="J58" s="189"/>
      <c r="K58" s="197"/>
      <c r="L58" s="190"/>
      <c r="M58" s="190" t="s">
        <v>111</v>
      </c>
      <c r="N58" s="205"/>
      <c r="O58" s="187">
        <f>+H59</f>
        <v>44.587898651776044</v>
      </c>
      <c r="P58" s="187"/>
      <c r="Q58" s="188"/>
    </row>
    <row r="59" spans="1:17" x14ac:dyDescent="0.2">
      <c r="B59" s="731" t="s">
        <v>112</v>
      </c>
      <c r="C59" s="731"/>
      <c r="D59" s="206">
        <v>120</v>
      </c>
      <c r="E59" s="203"/>
      <c r="G59" s="170"/>
      <c r="H59" s="196">
        <f>+H58*83</f>
        <v>44.587898651776044</v>
      </c>
      <c r="I59" s="204"/>
      <c r="J59" s="189"/>
      <c r="K59" s="197"/>
      <c r="L59" s="190"/>
      <c r="M59" s="732" t="s">
        <v>109</v>
      </c>
      <c r="N59" s="732"/>
      <c r="O59" s="187">
        <f>SUM(O57:O58)</f>
        <v>1154.3208013103597</v>
      </c>
      <c r="P59" s="187"/>
      <c r="Q59" s="188"/>
    </row>
    <row r="60" spans="1:17" ht="13.5" thickBot="1" x14ac:dyDescent="0.25">
      <c r="B60" s="723" t="s">
        <v>113</v>
      </c>
      <c r="C60" s="723"/>
      <c r="D60" s="202">
        <f>+D58/D59</f>
        <v>8.3416666666666668</v>
      </c>
      <c r="E60" s="203"/>
      <c r="F60" s="207"/>
      <c r="G60" s="170"/>
      <c r="H60" s="196"/>
      <c r="I60" s="204"/>
      <c r="J60" s="189"/>
      <c r="K60" s="197"/>
      <c r="L60" s="732"/>
      <c r="M60" s="732"/>
      <c r="N60" s="205"/>
      <c r="O60" s="187">
        <f>+O59*N60</f>
        <v>0</v>
      </c>
      <c r="P60" s="187"/>
      <c r="Q60" s="188"/>
    </row>
    <row r="61" spans="1:17" ht="13.5" thickBot="1" x14ac:dyDescent="0.25">
      <c r="B61" s="723" t="s">
        <v>114</v>
      </c>
      <c r="C61" s="723"/>
      <c r="D61" s="208"/>
      <c r="E61" s="203"/>
      <c r="F61" s="207"/>
      <c r="G61" s="170"/>
      <c r="H61" s="196"/>
      <c r="I61" s="204"/>
      <c r="J61" s="189"/>
      <c r="K61" s="724" t="s">
        <v>115</v>
      </c>
      <c r="L61" s="725"/>
      <c r="M61" s="725"/>
      <c r="N61" s="726"/>
      <c r="O61" s="200">
        <f>SUM(O59:O60)</f>
        <v>1154.3208013103597</v>
      </c>
      <c r="P61" s="209" t="s">
        <v>116</v>
      </c>
      <c r="Q61" s="188"/>
    </row>
    <row r="62" spans="1:17" ht="13.5" thickBot="1" x14ac:dyDescent="0.25">
      <c r="C62" s="179" t="s">
        <v>117</v>
      </c>
      <c r="D62" s="210"/>
      <c r="E62" s="153" t="s">
        <v>118</v>
      </c>
      <c r="F62" s="211" t="s">
        <v>119</v>
      </c>
      <c r="G62" s="170"/>
      <c r="H62" s="196"/>
      <c r="I62" s="204"/>
      <c r="J62" s="212"/>
      <c r="K62" s="213"/>
      <c r="L62" s="712" t="s">
        <v>120</v>
      </c>
      <c r="M62" s="712"/>
      <c r="N62" s="712"/>
      <c r="O62" s="214">
        <f>+O61/D60</f>
        <v>138.38011604120194</v>
      </c>
      <c r="P62" s="215">
        <f>+O62/D59</f>
        <v>1.153167633676683</v>
      </c>
      <c r="Q62" s="216"/>
    </row>
    <row r="63" spans="1:17" ht="13.5" thickBot="1" x14ac:dyDescent="0.25">
      <c r="B63" s="713" t="s">
        <v>105</v>
      </c>
      <c r="C63" s="713"/>
      <c r="D63" s="713"/>
      <c r="E63" s="217">
        <f>+F63/F63</f>
        <v>1</v>
      </c>
      <c r="F63" s="218">
        <f>SUM(F55)</f>
        <v>1068.3682255960928</v>
      </c>
      <c r="G63" s="170">
        <f>+F63/$F$66</f>
        <v>0.85905913307991966</v>
      </c>
      <c r="H63" s="196"/>
      <c r="I63" s="204"/>
      <c r="K63" s="714"/>
      <c r="L63" s="715"/>
      <c r="M63" s="715"/>
      <c r="N63" s="715"/>
      <c r="O63" s="219"/>
      <c r="P63" s="220"/>
    </row>
    <row r="64" spans="1:17" ht="13.5" thickBot="1" x14ac:dyDescent="0.25">
      <c r="B64" s="716" t="s">
        <v>121</v>
      </c>
      <c r="C64" s="716"/>
      <c r="D64" s="716"/>
      <c r="E64" s="221">
        <v>0.02</v>
      </c>
      <c r="F64" s="218">
        <f>+F53*E64</f>
        <v>21.280999999999999</v>
      </c>
      <c r="G64" s="170">
        <f>+F64/$F$66</f>
        <v>1.7111738231332725E-2</v>
      </c>
      <c r="H64" s="182"/>
      <c r="I64" s="204"/>
      <c r="J64" s="222"/>
      <c r="O64" s="223"/>
      <c r="P64" s="180"/>
    </row>
    <row r="65" spans="2:13" ht="13.5" thickBot="1" x14ac:dyDescent="0.25">
      <c r="B65" s="717" t="s">
        <v>122</v>
      </c>
      <c r="C65" s="718"/>
      <c r="D65" s="224">
        <v>2</v>
      </c>
      <c r="E65" s="225">
        <v>77</v>
      </c>
      <c r="F65" s="218">
        <f>+E65*D65</f>
        <v>154</v>
      </c>
      <c r="G65" s="170">
        <f>+F65/$F$66</f>
        <v>0.12382912868874771</v>
      </c>
      <c r="H65" s="182"/>
      <c r="I65" s="182"/>
      <c r="J65" s="172"/>
    </row>
    <row r="66" spans="2:13" ht="13.5" thickBot="1" x14ac:dyDescent="0.25">
      <c r="B66" s="719" t="s">
        <v>123</v>
      </c>
      <c r="C66" s="720"/>
      <c r="D66" s="720"/>
      <c r="E66" s="721"/>
      <c r="F66" s="195">
        <f>SUM(F63:F65)</f>
        <v>1243.6492255960927</v>
      </c>
      <c r="G66" s="170">
        <f>+F66/$F$66</f>
        <v>1</v>
      </c>
      <c r="H66" s="722"/>
      <c r="I66" s="182"/>
      <c r="J66" s="172"/>
      <c r="M66" s="155" t="s">
        <v>124</v>
      </c>
    </row>
    <row r="67" spans="2:13" x14ac:dyDescent="0.2">
      <c r="C67" s="177"/>
      <c r="D67" s="177"/>
      <c r="E67" s="227"/>
      <c r="F67" s="218"/>
      <c r="G67" s="170"/>
      <c r="H67" s="722"/>
      <c r="I67" s="226"/>
      <c r="J67" s="155"/>
      <c r="M67" s="155" t="s">
        <v>125</v>
      </c>
    </row>
    <row r="68" spans="2:13" ht="13.5" thickBot="1" x14ac:dyDescent="0.25">
      <c r="B68" s="707" t="s">
        <v>126</v>
      </c>
      <c r="C68" s="707"/>
      <c r="D68" s="707"/>
      <c r="E68" s="707"/>
      <c r="F68" s="707"/>
      <c r="G68" s="170"/>
      <c r="H68" s="229"/>
      <c r="I68" s="226"/>
      <c r="J68" s="155"/>
      <c r="M68" s="155" t="s">
        <v>127</v>
      </c>
    </row>
    <row r="69" spans="2:13" ht="13.5" thickBot="1" x14ac:dyDescent="0.25">
      <c r="B69" s="230" t="s">
        <v>128</v>
      </c>
      <c r="C69" s="231">
        <f>+F53</f>
        <v>1064.05</v>
      </c>
      <c r="D69" s="231">
        <f>+D58</f>
        <v>1001</v>
      </c>
      <c r="E69" s="232">
        <f>+C69/D69</f>
        <v>1.0629870129870129</v>
      </c>
      <c r="F69" s="170"/>
      <c r="G69" s="229"/>
      <c r="H69" s="172"/>
      <c r="I69" s="229"/>
      <c r="J69" s="155"/>
    </row>
    <row r="70" spans="2:13" x14ac:dyDescent="0.2">
      <c r="B70" s="233"/>
      <c r="C70" s="234"/>
      <c r="D70" s="235"/>
      <c r="E70" s="218"/>
      <c r="F70" s="170"/>
      <c r="G70" s="229"/>
      <c r="H70" s="172"/>
      <c r="I70" s="172"/>
      <c r="J70" s="155"/>
    </row>
    <row r="71" spans="2:13" x14ac:dyDescent="0.2">
      <c r="B71" s="230" t="s">
        <v>129</v>
      </c>
      <c r="C71" s="231">
        <f>SUM(F63:F64)</f>
        <v>1089.6492255960927</v>
      </c>
      <c r="D71" s="231">
        <f>+D58</f>
        <v>1001</v>
      </c>
      <c r="E71" s="236">
        <f>+C71/D71</f>
        <v>1.0885606649311617</v>
      </c>
      <c r="F71" s="170"/>
      <c r="G71" s="229"/>
      <c r="H71" s="172"/>
      <c r="I71" s="172"/>
      <c r="J71" s="155"/>
    </row>
    <row r="72" spans="2:13" x14ac:dyDescent="0.2">
      <c r="B72" s="230"/>
      <c r="C72" s="231"/>
      <c r="D72" s="231"/>
      <c r="E72" s="236"/>
      <c r="F72" s="170"/>
      <c r="G72" s="229"/>
      <c r="H72" s="172"/>
      <c r="I72" s="172"/>
      <c r="J72" s="155"/>
    </row>
    <row r="73" spans="2:13" ht="13.5" thickBot="1" x14ac:dyDescent="0.25">
      <c r="B73" s="230" t="s">
        <v>130</v>
      </c>
      <c r="C73" s="231">
        <f>+F65</f>
        <v>154</v>
      </c>
      <c r="D73" s="231">
        <f>+D58</f>
        <v>1001</v>
      </c>
      <c r="E73" s="236">
        <f>+C73/D73</f>
        <v>0.15384615384615385</v>
      </c>
      <c r="F73" s="170"/>
      <c r="G73" s="229"/>
      <c r="H73" s="172"/>
      <c r="I73" s="172"/>
      <c r="J73" s="155"/>
    </row>
    <row r="74" spans="2:13" ht="13.5" thickBot="1" x14ac:dyDescent="0.25">
      <c r="B74" s="230" t="s">
        <v>131</v>
      </c>
      <c r="C74" s="231">
        <f>+F56</f>
        <v>345.05034782961263</v>
      </c>
      <c r="D74" s="231">
        <f>+D73</f>
        <v>1001</v>
      </c>
      <c r="E74" s="232">
        <f>+C74/D74</f>
        <v>0.34470564218742522</v>
      </c>
      <c r="F74" s="170"/>
      <c r="G74" s="229"/>
      <c r="H74" s="172"/>
      <c r="I74" s="172"/>
      <c r="J74" s="155"/>
    </row>
    <row r="75" spans="2:13" ht="13.5" thickBot="1" x14ac:dyDescent="0.25">
      <c r="B75" s="194"/>
      <c r="C75" s="195"/>
      <c r="D75" s="195"/>
      <c r="E75" s="236"/>
      <c r="F75" s="170"/>
      <c r="G75" s="229"/>
      <c r="H75" s="172"/>
      <c r="I75" s="172"/>
      <c r="J75" s="155"/>
    </row>
    <row r="76" spans="2:13" ht="13.5" thickBot="1" x14ac:dyDescent="0.25">
      <c r="B76" s="230" t="s">
        <v>132</v>
      </c>
      <c r="C76" s="231">
        <f>+F54</f>
        <v>4.3182255960928577</v>
      </c>
      <c r="D76" s="231">
        <f>+D74</f>
        <v>1001</v>
      </c>
      <c r="E76" s="232">
        <f>+C76/D76</f>
        <v>4.3139116844084493E-3</v>
      </c>
      <c r="F76" s="170"/>
      <c r="G76" s="229"/>
      <c r="H76" s="172"/>
      <c r="I76" s="172"/>
      <c r="J76" s="172"/>
    </row>
    <row r="77" spans="2:13" ht="13.5" thickBot="1" x14ac:dyDescent="0.25">
      <c r="B77" s="194"/>
      <c r="C77" s="195"/>
      <c r="D77" s="195"/>
      <c r="E77" s="236"/>
      <c r="F77" s="170"/>
      <c r="G77" s="229"/>
      <c r="H77" s="172"/>
      <c r="I77" s="172"/>
    </row>
    <row r="78" spans="2:13" ht="13.5" thickBot="1" x14ac:dyDescent="0.25">
      <c r="B78" s="708" t="s">
        <v>133</v>
      </c>
      <c r="C78" s="709"/>
      <c r="D78" s="710"/>
      <c r="E78" s="232">
        <f>+E69+E74</f>
        <v>1.4076926551744382</v>
      </c>
      <c r="G78" s="170"/>
      <c r="H78" s="229"/>
      <c r="I78" s="172"/>
      <c r="J78" s="236"/>
    </row>
    <row r="79" spans="2:13" x14ac:dyDescent="0.2">
      <c r="I79" s="229"/>
      <c r="J79" s="155"/>
    </row>
    <row r="80" spans="2:13" ht="13.5" thickBot="1" x14ac:dyDescent="0.25">
      <c r="B80" s="707" t="s">
        <v>134</v>
      </c>
      <c r="C80" s="707"/>
      <c r="D80" s="707"/>
      <c r="E80" s="707"/>
      <c r="F80" s="707"/>
      <c r="G80" s="170"/>
      <c r="H80" s="229"/>
      <c r="J80" s="155"/>
    </row>
    <row r="81" spans="1:10" ht="13.5" thickBot="1" x14ac:dyDescent="0.25">
      <c r="B81" s="230" t="s">
        <v>128</v>
      </c>
      <c r="C81" s="231">
        <f>+C69</f>
        <v>1064.05</v>
      </c>
      <c r="D81" s="231">
        <f>+D60</f>
        <v>8.3416666666666668</v>
      </c>
      <c r="E81" s="232">
        <f>+C81/D81</f>
        <v>127.55844155844156</v>
      </c>
      <c r="F81" s="170"/>
      <c r="G81" s="229"/>
      <c r="H81" s="172"/>
      <c r="I81" s="229"/>
      <c r="J81" s="155"/>
    </row>
    <row r="82" spans="1:10" x14ac:dyDescent="0.2">
      <c r="B82" s="233"/>
      <c r="C82" s="234"/>
      <c r="D82" s="235"/>
      <c r="E82" s="218"/>
      <c r="F82" s="170"/>
      <c r="G82" s="229"/>
      <c r="H82" s="172"/>
      <c r="I82" s="172"/>
      <c r="J82" s="155"/>
    </row>
    <row r="83" spans="1:10" x14ac:dyDescent="0.2">
      <c r="B83" s="230" t="s">
        <v>129</v>
      </c>
      <c r="C83" s="231">
        <f>+C71</f>
        <v>1089.6492255960927</v>
      </c>
      <c r="D83" s="231">
        <f>+D60</f>
        <v>8.3416666666666668</v>
      </c>
      <c r="E83" s="236">
        <f>+C83/D83</f>
        <v>130.6272797917394</v>
      </c>
      <c r="F83" s="170"/>
      <c r="G83" s="229"/>
      <c r="H83" s="172"/>
      <c r="I83" s="172"/>
      <c r="J83" s="155"/>
    </row>
    <row r="84" spans="1:10" x14ac:dyDescent="0.2">
      <c r="B84" s="230"/>
      <c r="C84" s="231"/>
      <c r="D84" s="231"/>
      <c r="E84" s="236"/>
      <c r="F84" s="170"/>
      <c r="G84" s="229"/>
      <c r="H84" s="172"/>
      <c r="I84" s="172"/>
      <c r="J84" s="155"/>
    </row>
    <row r="85" spans="1:10" ht="13.5" thickBot="1" x14ac:dyDescent="0.25">
      <c r="B85" s="230" t="s">
        <v>131</v>
      </c>
      <c r="C85" s="231">
        <f>+C73</f>
        <v>154</v>
      </c>
      <c r="D85" s="231">
        <f>+D60</f>
        <v>8.3416666666666668</v>
      </c>
      <c r="E85" s="236">
        <f>+C85/D85</f>
        <v>18.46153846153846</v>
      </c>
      <c r="F85" s="238"/>
      <c r="G85" s="228"/>
      <c r="H85" s="154"/>
      <c r="I85" s="172"/>
    </row>
    <row r="86" spans="1:10" ht="13.5" thickBot="1" x14ac:dyDescent="0.25">
      <c r="B86" s="230" t="s">
        <v>131</v>
      </c>
      <c r="C86" s="231">
        <f>+C74</f>
        <v>345.05034782961263</v>
      </c>
      <c r="D86" s="231">
        <f>+D85</f>
        <v>8.3416666666666668</v>
      </c>
      <c r="E86" s="232">
        <f>+C86/D86</f>
        <v>41.364677062491026</v>
      </c>
      <c r="F86" s="237"/>
      <c r="G86" s="228"/>
      <c r="H86" s="154"/>
      <c r="I86" s="154"/>
    </row>
    <row r="87" spans="1:10" x14ac:dyDescent="0.2">
      <c r="I87" s="154"/>
    </row>
    <row r="88" spans="1:10" x14ac:dyDescent="0.2">
      <c r="A88" s="711"/>
      <c r="B88" s="711"/>
      <c r="C88" s="239"/>
      <c r="D88" s="239"/>
      <c r="E88" s="240"/>
      <c r="G88" s="241"/>
    </row>
    <row r="89" spans="1:10" x14ac:dyDescent="0.2">
      <c r="A89" s="173"/>
      <c r="B89" s="242"/>
      <c r="C89" s="243"/>
      <c r="D89" s="243"/>
      <c r="E89" s="244"/>
      <c r="G89" s="241"/>
    </row>
    <row r="90" spans="1:10" x14ac:dyDescent="0.2">
      <c r="A90" s="173"/>
      <c r="B90" s="242"/>
      <c r="C90" s="245"/>
      <c r="D90" s="245"/>
      <c r="E90" s="173"/>
      <c r="G90" s="241"/>
    </row>
    <row r="91" spans="1:10" x14ac:dyDescent="0.2">
      <c r="A91" s="173"/>
      <c r="B91" s="242"/>
      <c r="C91" s="246"/>
      <c r="D91" s="246"/>
      <c r="E91" s="173"/>
      <c r="G91" s="24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174027F-09D1-4B51-810E-349537AFB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247DA-5CFD-4458-9B17-B228448EC4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933D96-B93F-48FF-9566-98C526DB488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Ensamble Torta chilena </vt:lpstr>
      <vt:lpstr>Hoja1</vt:lpstr>
      <vt:lpstr>Apertura codigos Tati</vt:lpstr>
      <vt:lpstr>Costo Torta Chilena </vt:lpstr>
      <vt:lpstr>Galleta</vt:lpstr>
      <vt:lpstr>Pasta Torta Chilena </vt:lpstr>
      <vt:lpstr>Premezcla Pasta Chilena </vt:lpstr>
      <vt:lpstr>Crema Chantilly Blanca </vt:lpstr>
      <vt:lpstr>Mezcla Sirope Dulce Leche</vt:lpstr>
      <vt:lpstr>Costo Galleta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2026-02-27T17:41:18Z</cp:lastPrinted>
  <dcterms:created xsi:type="dcterms:W3CDTF">2012-05-10T22:32:20Z</dcterms:created>
  <dcterms:modified xsi:type="dcterms:W3CDTF">2026-04-17T22:15:59Z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942400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
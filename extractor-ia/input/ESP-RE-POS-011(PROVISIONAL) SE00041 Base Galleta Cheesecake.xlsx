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" documentId="8_{51FCC54E-8451-42D0-80BF-3F37C1A22C8E}" xr6:coauthVersionLast="47" xr6:coauthVersionMax="47" xr10:uidLastSave="{7E379CB8-9790-4C75-91FB-9E5CF607D94E}"/>
  <bookViews>
    <workbookView xWindow="-120" yWindow="-120" windowWidth="20730" windowHeight="11040" xr2:uid="{00000000-000D-0000-FFFF-FFFF00000000}"/>
  </bookViews>
  <sheets>
    <sheet name="Ensamble" sheetId="17" r:id="rId1"/>
  </sheets>
  <definedNames>
    <definedName name="_xlnm.Print_Area" localSheetId="0">Ensamble!$A$1:$M$52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17" l="1"/>
  <c r="P40" i="17"/>
  <c r="J11" i="17"/>
  <c r="K11" i="17" s="1"/>
  <c r="K24" i="17"/>
  <c r="N12" i="17"/>
  <c r="J10" i="17"/>
  <c r="K10" i="17" s="1"/>
  <c r="J14" i="17"/>
  <c r="K14" i="17" s="1"/>
  <c r="J13" i="17"/>
  <c r="K13" i="17" s="1"/>
  <c r="J12" i="17"/>
  <c r="K12" i="17" s="1"/>
</calcChain>
</file>

<file path=xl/sharedStrings.xml><?xml version="1.0" encoding="utf-8"?>
<sst xmlns="http://schemas.openxmlformats.org/spreadsheetml/2006/main" count="75" uniqueCount="63">
  <si>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</si>
  <si>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</si>
  <si>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</si>
  <si>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</si>
  <si>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</si>
  <si>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</si>
  <si>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</si>
  <si>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</si>
  <si>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</si>
  <si>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</si>
  <si>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g</t>
  </si>
  <si>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</si>
  <si>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</si>
  <si>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</si>
  <si>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</si>
  <si>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</si>
  <si>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</si>
  <si>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</si>
  <si>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</si>
  <si>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</si>
  <si>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>Unidad</t>
  </si>
  <si>
    <t>CANTIDAD DE PORCIONES OBTENIDAS</t>
  </si>
  <si>
    <t>Tanda</t>
  </si>
  <si>
    <t>PESO DE CADA PORCIÓN</t>
  </si>
  <si>
    <t>MERMA</t>
  </si>
  <si>
    <t>PROCEDIMIENTO DE PREPARACION DE LA  RECETA</t>
  </si>
  <si>
    <t>min</t>
  </si>
  <si>
    <t>1.- Derretir la lactocrema. No hervir.</t>
  </si>
  <si>
    <t>Postres</t>
  </si>
  <si>
    <t>POZUELO</t>
  </si>
  <si>
    <t>LACTOCREMA GRANEL (CAJA:25 KG)</t>
  </si>
  <si>
    <t>DOS PINOS</t>
  </si>
  <si>
    <t>1212410</t>
  </si>
  <si>
    <t>PRESERVANTE 1047S (PAQ=5 KILO)</t>
  </si>
  <si>
    <t>MP10008</t>
  </si>
  <si>
    <t>0310107</t>
  </si>
  <si>
    <t>MP10022</t>
  </si>
  <si>
    <t>906000002</t>
  </si>
  <si>
    <t>SE00204</t>
  </si>
  <si>
    <t>FAS</t>
  </si>
  <si>
    <t xml:space="preserve">2, Mezclar la galletas procesada con el azucar y la lactocrema, en batidora con paleta, hasta homogeneo. </t>
  </si>
  <si>
    <t># Código Netsuite</t>
  </si>
  <si>
    <t>Medida alternativa</t>
  </si>
  <si>
    <t>Ensamble</t>
  </si>
  <si>
    <t>CORTE GALLETA CHILENA GRANDE</t>
  </si>
  <si>
    <t>Decoración</t>
  </si>
  <si>
    <t>Empaque</t>
  </si>
  <si>
    <t/>
  </si>
  <si>
    <t>Tiempo de Horneo:</t>
  </si>
  <si>
    <t>Horno:</t>
  </si>
  <si>
    <t>Temperatura de Horneo:</t>
  </si>
  <si>
    <t>Otros</t>
  </si>
  <si>
    <t>90100132</t>
  </si>
  <si>
    <t>SE00226</t>
  </si>
  <si>
    <t>EMPAQUE AZUCAR REFINO</t>
  </si>
  <si>
    <t>VICTORIA</t>
  </si>
  <si>
    <t>Mariela Barrantes, Chef</t>
  </si>
  <si>
    <t>Sebastian Díaz, Gte Manufactura</t>
  </si>
  <si>
    <t xml:space="preserve">Galleta Artesanas Clasicas </t>
  </si>
  <si>
    <t>MP10915</t>
  </si>
  <si>
    <t>ESP-RE-POS-011</t>
  </si>
  <si>
    <t>PROVISIONAL</t>
  </si>
  <si>
    <r>
      <t xml:space="preserve">SE00041 Base Galleta Cheesecake </t>
    </r>
    <r>
      <rPr>
        <b/>
        <i/>
        <sz val="18"/>
        <color rgb="FFFFFF00"/>
        <rFont val="Arial"/>
        <family val="2"/>
      </rPr>
      <t>Provisional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</si>
</sst>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6"/>
      <name val="Arial"/>
      <family val="2"/>
    </font>
    <font>
      <b/>
      <i/>
      <sz val="18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  <font>
      <b/>
      <i/>
      <sz val="18"/>
      <color rgb="FFFFFF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2" fillId="0" borderId="0"/>
    <xf numFmtId="0" fontId="3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69">
    <xf numFmtId="0" fontId="0" fillId="0" borderId="0" xfId="0"/>
    <xf numFmtId="0" fontId="8" fillId="2" borderId="1" xfId="2" applyFont="1" applyFill="1" applyBorder="1" applyAlignment="1">
      <alignment horizontal="right"/>
    </xf>
    <xf numFmtId="0" fontId="8" fillId="2" borderId="2" xfId="2" applyFont="1" applyFill="1" applyBorder="1" applyAlignment="1">
      <alignment horizontal="right"/>
    </xf>
    <xf numFmtId="0" fontId="6" fillId="2" borderId="9" xfId="2" applyFont="1" applyFill="1" applyBorder="1" applyAlignment="1">
      <alignment horizontal="right"/>
    </xf>
    <xf numFmtId="0" fontId="6" fillId="2" borderId="2" xfId="2" applyFont="1" applyFill="1" applyBorder="1" applyAlignment="1">
      <alignment horizontal="right"/>
    </xf>
    <xf numFmtId="0" fontId="8" fillId="3" borderId="6" xfId="1" applyFont="1" applyFill="1" applyBorder="1" applyAlignment="1">
      <alignment horizontal="center" vertical="center" wrapText="1"/>
    </xf>
    <xf numFmtId="1" fontId="8" fillId="3" borderId="7" xfId="1" applyNumberFormat="1" applyFont="1" applyFill="1" applyBorder="1" applyAlignment="1">
      <alignment horizontal="center"/>
    </xf>
    <xf numFmtId="1" fontId="8" fillId="3" borderId="7" xfId="1" applyNumberFormat="1" applyFont="1" applyFill="1" applyBorder="1" applyAlignment="1">
      <alignment horizontal="center" wrapText="1"/>
    </xf>
    <xf numFmtId="0" fontId="8" fillId="3" borderId="8" xfId="1" applyFont="1" applyFill="1" applyBorder="1" applyAlignment="1">
      <alignment horizontal="center"/>
    </xf>
    <xf numFmtId="0" fontId="9" fillId="0" borderId="2" xfId="0" applyFont="1" applyBorder="1" applyAlignment="1">
      <alignment horizontal="center" vertical="top"/>
    </xf>
    <xf numFmtId="0" fontId="9" fillId="0" borderId="19" xfId="0" applyFont="1" applyBorder="1" applyAlignment="1">
      <alignment horizontal="center" vertical="top"/>
    </xf>
    <xf numFmtId="0" fontId="9" fillId="5" borderId="2" xfId="0" applyFont="1" applyFill="1" applyBorder="1"/>
    <xf numFmtId="0" fontId="9" fillId="0" borderId="18" xfId="0" quotePrefix="1" applyFont="1" applyBorder="1" applyAlignment="1">
      <alignment horizontal="center"/>
    </xf>
    <xf numFmtId="0" fontId="9" fillId="0" borderId="19" xfId="0" quotePrefix="1" applyFont="1" applyBorder="1" applyAlignment="1">
      <alignment horizontal="center"/>
    </xf>
    <xf numFmtId="0" fontId="9" fillId="0" borderId="2" xfId="0" quotePrefix="1" applyFont="1" applyBorder="1"/>
    <xf numFmtId="0" fontId="9" fillId="0" borderId="2" xfId="0" applyFont="1" applyBorder="1" applyAlignment="1">
      <alignment horizontal="center"/>
    </xf>
    <xf numFmtId="1" fontId="9" fillId="0" borderId="2" xfId="0" applyNumberFormat="1" applyFont="1" applyBorder="1"/>
    <xf numFmtId="0" fontId="9" fillId="0" borderId="2" xfId="0" applyFont="1" applyBorder="1"/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16" fontId="9" fillId="2" borderId="2" xfId="0" applyNumberFormat="1" applyFont="1" applyFill="1" applyBorder="1" applyAlignment="1">
      <alignment horizontal="center"/>
    </xf>
    <xf numFmtId="1" fontId="9" fillId="2" borderId="2" xfId="0" applyNumberFormat="1" applyFont="1" applyFill="1" applyBorder="1" applyAlignment="1">
      <alignment horizontal="center"/>
    </xf>
    <xf numFmtId="1" fontId="9" fillId="2" borderId="2" xfId="0" applyNumberFormat="1" applyFont="1" applyFill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12" fontId="9" fillId="0" borderId="9" xfId="0" applyNumberFormat="1" applyFont="1" applyBorder="1" applyAlignment="1">
      <alignment horizontal="center"/>
    </xf>
    <xf numFmtId="0" fontId="9" fillId="0" borderId="3" xfId="1" applyFont="1" applyBorder="1" applyAlignment="1">
      <alignment horizontal="center"/>
    </xf>
    <xf numFmtId="1" fontId="9" fillId="0" borderId="2" xfId="1" applyNumberFormat="1" applyFont="1" applyBorder="1" applyAlignment="1">
      <alignment horizontal="center"/>
    </xf>
    <xf numFmtId="0" fontId="9" fillId="0" borderId="2" xfId="1" applyFont="1" applyBorder="1" applyAlignment="1">
      <alignment horizontal="center"/>
    </xf>
    <xf numFmtId="1" fontId="9" fillId="0" borderId="2" xfId="1" applyNumberFormat="1" applyFont="1" applyBorder="1" applyAlignment="1">
      <alignment horizontal="center" wrapText="1"/>
    </xf>
    <xf numFmtId="0" fontId="9" fillId="5" borderId="2" xfId="1" applyFont="1" applyFill="1" applyBorder="1" applyAlignment="1">
      <alignment horizontal="center"/>
    </xf>
    <xf numFmtId="1" fontId="11" fillId="0" borderId="2" xfId="1" applyNumberFormat="1" applyFont="1" applyBorder="1" applyAlignment="1">
      <alignment horizontal="center"/>
    </xf>
    <xf numFmtId="49" fontId="9" fillId="0" borderId="18" xfId="1" applyNumberFormat="1" applyFont="1" applyBorder="1" applyAlignment="1">
      <alignment horizontal="center"/>
    </xf>
    <xf numFmtId="49" fontId="9" fillId="0" borderId="19" xfId="1" applyNumberFormat="1" applyFont="1" applyBorder="1" applyAlignment="1">
      <alignment horizontal="center"/>
    </xf>
    <xf numFmtId="0" fontId="11" fillId="5" borderId="2" xfId="1" applyFont="1" applyFill="1" applyBorder="1" applyAlignment="1">
      <alignment horizontal="left"/>
    </xf>
    <xf numFmtId="165" fontId="9" fillId="0" borderId="2" xfId="1" applyNumberFormat="1" applyFont="1" applyBorder="1" applyAlignment="1">
      <alignment horizontal="center"/>
    </xf>
    <xf numFmtId="1" fontId="11" fillId="0" borderId="2" xfId="1" applyNumberFormat="1" applyFont="1" applyBorder="1" applyAlignment="1">
      <alignment horizontal="center" wrapText="1"/>
    </xf>
    <xf numFmtId="0" fontId="12" fillId="5" borderId="18" xfId="0" applyFont="1" applyFill="1" applyBorder="1" applyAlignment="1">
      <alignment horizontal="center"/>
    </xf>
    <xf numFmtId="0" fontId="12" fillId="5" borderId="17" xfId="0" applyFont="1" applyFill="1" applyBorder="1" applyAlignment="1">
      <alignment horizontal="center"/>
    </xf>
    <xf numFmtId="0" fontId="12" fillId="5" borderId="9" xfId="0" applyFont="1" applyFill="1" applyBorder="1"/>
    <xf numFmtId="0" fontId="9" fillId="5" borderId="19" xfId="0" applyFont="1" applyFill="1" applyBorder="1" applyAlignment="1">
      <alignment horizontal="center"/>
    </xf>
    <xf numFmtId="1" fontId="9" fillId="5" borderId="9" xfId="0" applyNumberFormat="1" applyFont="1" applyFill="1" applyBorder="1" applyAlignment="1">
      <alignment horizontal="center"/>
    </xf>
    <xf numFmtId="1" fontId="9" fillId="5" borderId="9" xfId="0" applyNumberFormat="1" applyFont="1" applyFill="1" applyBorder="1" applyAlignment="1">
      <alignment horizontal="center" wrapText="1"/>
    </xf>
    <xf numFmtId="49" fontId="9" fillId="5" borderId="9" xfId="0" applyNumberFormat="1" applyFont="1" applyFill="1" applyBorder="1" applyAlignment="1">
      <alignment horizontal="center"/>
    </xf>
    <xf numFmtId="1" fontId="9" fillId="5" borderId="2" xfId="1" applyNumberFormat="1" applyFont="1" applyFill="1" applyBorder="1" applyAlignment="1">
      <alignment horizontal="center"/>
    </xf>
    <xf numFmtId="1" fontId="9" fillId="5" borderId="2" xfId="1" applyNumberFormat="1" applyFont="1" applyFill="1" applyBorder="1" applyAlignment="1">
      <alignment horizontal="center" wrapText="1"/>
    </xf>
    <xf numFmtId="1" fontId="9" fillId="5" borderId="2" xfId="0" applyNumberFormat="1" applyFont="1" applyFill="1" applyBorder="1" applyAlignment="1">
      <alignment horizontal="center"/>
    </xf>
    <xf numFmtId="16" fontId="9" fillId="5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1" fontId="9" fillId="0" borderId="9" xfId="0" applyNumberFormat="1" applyFont="1" applyBorder="1" applyAlignment="1">
      <alignment horizontal="center" wrapText="1"/>
    </xf>
    <xf numFmtId="16" fontId="9" fillId="0" borderId="2" xfId="0" applyNumberFormat="1" applyFont="1" applyBorder="1" applyAlignment="1">
      <alignment horizontal="center"/>
    </xf>
    <xf numFmtId="1" fontId="9" fillId="0" borderId="9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 wrapText="1"/>
    </xf>
    <xf numFmtId="49" fontId="11" fillId="0" borderId="27" xfId="1" applyNumberFormat="1" applyFont="1" applyBorder="1" applyAlignment="1">
      <alignment horizontal="center"/>
    </xf>
    <xf numFmtId="49" fontId="11" fillId="0" borderId="28" xfId="1" applyNumberFormat="1" applyFont="1" applyBorder="1" applyAlignment="1">
      <alignment horizontal="center"/>
    </xf>
    <xf numFmtId="0" fontId="13" fillId="5" borderId="2" xfId="1" applyFont="1" applyFill="1" applyBorder="1" applyAlignment="1">
      <alignment vertical="center"/>
    </xf>
    <xf numFmtId="0" fontId="11" fillId="0" borderId="19" xfId="1" applyFont="1" applyBorder="1" applyAlignment="1">
      <alignment horizontal="center"/>
    </xf>
    <xf numFmtId="165" fontId="11" fillId="0" borderId="2" xfId="1" applyNumberFormat="1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9" fontId="9" fillId="0" borderId="2" xfId="0" applyNumberFormat="1" applyFont="1" applyBorder="1"/>
    <xf numFmtId="166" fontId="11" fillId="5" borderId="2" xfId="5" applyNumberFormat="1" applyFont="1" applyFill="1" applyBorder="1" applyAlignment="1">
      <alignment horizontal="center"/>
    </xf>
    <xf numFmtId="0" fontId="12" fillId="0" borderId="2" xfId="6" applyFont="1" applyBorder="1" applyAlignment="1">
      <alignment horizontal="center"/>
    </xf>
    <xf numFmtId="0" fontId="12" fillId="0" borderId="2" xfId="6" applyFont="1" applyBorder="1" applyAlignment="1">
      <alignment horizontal="left"/>
    </xf>
    <xf numFmtId="12" fontId="9" fillId="0" borderId="2" xfId="1" applyNumberFormat="1" applyFont="1" applyBorder="1" applyAlignment="1">
      <alignment horizontal="center"/>
    </xf>
    <xf numFmtId="0" fontId="9" fillId="0" borderId="2" xfId="0" quotePrefix="1" applyFont="1" applyBorder="1" applyAlignment="1">
      <alignment horizontal="center"/>
    </xf>
    <xf numFmtId="49" fontId="9" fillId="0" borderId="2" xfId="1" applyNumberFormat="1" applyFont="1" applyBorder="1"/>
    <xf numFmtId="49" fontId="14" fillId="2" borderId="11" xfId="1" applyNumberFormat="1" applyFont="1" applyFill="1" applyBorder="1" applyAlignment="1">
      <alignment horizontal="center" vertical="center"/>
    </xf>
    <xf numFmtId="49" fontId="14" fillId="2" borderId="0" xfId="1" applyNumberFormat="1" applyFont="1" applyFill="1" applyAlignment="1">
      <alignment horizontal="center" vertical="center"/>
    </xf>
    <xf numFmtId="0" fontId="9" fillId="2" borderId="0" xfId="1" applyFont="1" applyFill="1"/>
    <xf numFmtId="1" fontId="9" fillId="2" borderId="0" xfId="1" applyNumberFormat="1" applyFont="1" applyFill="1" applyAlignment="1">
      <alignment horizontal="center"/>
    </xf>
    <xf numFmtId="164" fontId="9" fillId="2" borderId="0" xfId="1" applyNumberFormat="1" applyFont="1" applyFill="1" applyAlignment="1">
      <alignment horizontal="center" wrapText="1"/>
    </xf>
    <xf numFmtId="0" fontId="9" fillId="2" borderId="5" xfId="1" applyFont="1" applyFill="1" applyBorder="1" applyAlignment="1">
      <alignment horizontal="center"/>
    </xf>
    <xf numFmtId="0" fontId="9" fillId="3" borderId="12" xfId="1" applyFont="1" applyFill="1" applyBorder="1" applyAlignment="1">
      <alignment horizontal="center"/>
    </xf>
    <xf numFmtId="0" fontId="9" fillId="3" borderId="13" xfId="1" applyFont="1" applyFill="1" applyBorder="1" applyAlignment="1">
      <alignment horizontal="center"/>
    </xf>
    <xf numFmtId="0" fontId="9" fillId="3" borderId="13" xfId="1" applyFont="1" applyFill="1" applyBorder="1"/>
    <xf numFmtId="0" fontId="11" fillId="3" borderId="13" xfId="1" applyFont="1" applyFill="1" applyBorder="1" applyAlignment="1">
      <alignment horizontal="center"/>
    </xf>
    <xf numFmtId="1" fontId="11" fillId="3" borderId="13" xfId="1" applyNumberFormat="1" applyFont="1" applyFill="1" applyBorder="1" applyAlignment="1">
      <alignment horizontal="center"/>
    </xf>
    <xf numFmtId="164" fontId="9" fillId="3" borderId="13" xfId="1" applyNumberFormat="1" applyFont="1" applyFill="1" applyBorder="1" applyAlignment="1">
      <alignment horizontal="center" wrapText="1"/>
    </xf>
    <xf numFmtId="0" fontId="9" fillId="3" borderId="14" xfId="1" applyFont="1" applyFill="1" applyBorder="1" applyAlignment="1">
      <alignment horizontal="center"/>
    </xf>
    <xf numFmtId="0" fontId="9" fillId="0" borderId="15" xfId="0" applyFont="1" applyBorder="1" applyAlignment="1">
      <alignment horizontal="center"/>
    </xf>
    <xf numFmtId="1" fontId="9" fillId="0" borderId="7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1" fillId="0" borderId="18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3" fillId="0" borderId="2" xfId="1" applyFont="1" applyBorder="1" applyAlignment="1">
      <alignment vertical="center"/>
    </xf>
    <xf numFmtId="0" fontId="11" fillId="0" borderId="2" xfId="1" applyFont="1" applyBorder="1" applyAlignment="1">
      <alignment horizontal="center" vertical="center"/>
    </xf>
    <xf numFmtId="14" fontId="15" fillId="2" borderId="0" xfId="2" applyNumberFormat="1" applyFont="1" applyFill="1" applyAlignment="1">
      <alignment horizontal="center" vertical="center" wrapText="1"/>
    </xf>
    <xf numFmtId="49" fontId="9" fillId="0" borderId="18" xfId="0" applyNumberFormat="1" applyFont="1" applyBorder="1" applyAlignment="1">
      <alignment horizontal="center"/>
    </xf>
    <xf numFmtId="49" fontId="9" fillId="0" borderId="19" xfId="0" applyNumberFormat="1" applyFont="1" applyBorder="1" applyAlignment="1">
      <alignment horizontal="center"/>
    </xf>
    <xf numFmtId="2" fontId="0" fillId="0" borderId="0" xfId="0" applyNumberFormat="1"/>
    <xf numFmtId="0" fontId="6" fillId="2" borderId="6" xfId="2" applyFont="1" applyFill="1" applyBorder="1" applyAlignment="1">
      <alignment horizontal="center"/>
    </xf>
    <xf numFmtId="49" fontId="8" fillId="7" borderId="3" xfId="2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left"/>
    </xf>
    <xf numFmtId="14" fontId="6" fillId="2" borderId="34" xfId="2" applyNumberFormat="1" applyFont="1" applyFill="1" applyBorder="1" applyAlignment="1">
      <alignment horizontal="center" vertical="center" wrapText="1"/>
    </xf>
    <xf numFmtId="14" fontId="6" fillId="2" borderId="38" xfId="2" applyNumberFormat="1" applyFont="1" applyFill="1" applyBorder="1" applyAlignment="1">
      <alignment horizontal="center" vertical="center" wrapText="1"/>
    </xf>
    <xf numFmtId="14" fontId="6" fillId="2" borderId="10" xfId="2" applyNumberFormat="1" applyFont="1" applyFill="1" applyBorder="1" applyAlignment="1">
      <alignment horizontal="center" vertical="center" wrapText="1"/>
    </xf>
    <xf numFmtId="0" fontId="6" fillId="2" borderId="35" xfId="2" applyFont="1" applyFill="1" applyBorder="1" applyAlignment="1">
      <alignment horizontal="left"/>
    </xf>
    <xf numFmtId="0" fontId="6" fillId="2" borderId="36" xfId="2" applyFont="1" applyFill="1" applyBorder="1" applyAlignment="1">
      <alignment horizontal="left"/>
    </xf>
    <xf numFmtId="0" fontId="6" fillId="2" borderId="20" xfId="2" applyFont="1" applyFill="1" applyBorder="1" applyAlignment="1">
      <alignment horizontal="left"/>
    </xf>
    <xf numFmtId="0" fontId="6" fillId="2" borderId="16" xfId="2" applyFont="1" applyFill="1" applyBorder="1" applyAlignment="1">
      <alignment horizontal="left"/>
    </xf>
    <xf numFmtId="0" fontId="6" fillId="2" borderId="28" xfId="2" applyFont="1" applyFill="1" applyBorder="1" applyAlignment="1">
      <alignment horizontal="left"/>
    </xf>
    <xf numFmtId="0" fontId="6" fillId="2" borderId="19" xfId="2" applyFont="1" applyFill="1" applyBorder="1" applyAlignment="1">
      <alignment horizontal="left"/>
    </xf>
    <xf numFmtId="0" fontId="6" fillId="2" borderId="30" xfId="2" applyFont="1" applyFill="1" applyBorder="1" applyAlignment="1">
      <alignment horizontal="center"/>
    </xf>
    <xf numFmtId="0" fontId="6" fillId="2" borderId="31" xfId="2" applyFont="1" applyFill="1" applyBorder="1" applyAlignment="1">
      <alignment horizontal="center"/>
    </xf>
    <xf numFmtId="0" fontId="6" fillId="2" borderId="11" xfId="2" applyFont="1" applyFill="1" applyBorder="1" applyAlignment="1">
      <alignment horizontal="center"/>
    </xf>
    <xf numFmtId="0" fontId="6" fillId="2" borderId="0" xfId="2" applyFont="1" applyFill="1" applyAlignment="1">
      <alignment horizontal="center"/>
    </xf>
    <xf numFmtId="0" fontId="6" fillId="2" borderId="25" xfId="2" applyFont="1" applyFill="1" applyBorder="1" applyAlignment="1">
      <alignment horizontal="center"/>
    </xf>
    <xf numFmtId="0" fontId="6" fillId="2" borderId="26" xfId="2" applyFont="1" applyFill="1" applyBorder="1" applyAlignment="1">
      <alignment horizontal="center"/>
    </xf>
    <xf numFmtId="0" fontId="7" fillId="2" borderId="1" xfId="2" applyFont="1" applyFill="1" applyBorder="1" applyAlignment="1">
      <alignment horizontal="center"/>
    </xf>
    <xf numFmtId="0" fontId="7" fillId="2" borderId="32" xfId="2" applyFont="1" applyFill="1" applyBorder="1" applyAlignment="1">
      <alignment horizontal="center"/>
    </xf>
    <xf numFmtId="0" fontId="7" fillId="2" borderId="33" xfId="2" applyFont="1" applyFill="1" applyBorder="1" applyAlignment="1">
      <alignment horizontal="center"/>
    </xf>
    <xf numFmtId="0" fontId="7" fillId="2" borderId="4" xfId="2" applyFont="1" applyFill="1" applyBorder="1" applyAlignment="1">
      <alignment horizontal="center"/>
    </xf>
    <xf numFmtId="0" fontId="10" fillId="4" borderId="13" xfId="2" applyFont="1" applyFill="1" applyBorder="1" applyAlignment="1">
      <alignment horizontal="center" vertical="center" wrapText="1"/>
    </xf>
    <xf numFmtId="0" fontId="10" fillId="4" borderId="14" xfId="2" applyFont="1" applyFill="1" applyBorder="1" applyAlignment="1">
      <alignment horizontal="center" vertical="center" wrapText="1"/>
    </xf>
    <xf numFmtId="0" fontId="8" fillId="2" borderId="22" xfId="2" applyFont="1" applyFill="1" applyBorder="1" applyAlignment="1">
      <alignment horizontal="right" vertical="top" wrapText="1"/>
    </xf>
    <xf numFmtId="0" fontId="8" fillId="2" borderId="37" xfId="2" applyFont="1" applyFill="1" applyBorder="1" applyAlignment="1">
      <alignment horizontal="right" vertical="top" wrapText="1"/>
    </xf>
    <xf numFmtId="0" fontId="8" fillId="2" borderId="39" xfId="2" applyFont="1" applyFill="1" applyBorder="1" applyAlignment="1">
      <alignment horizontal="right" vertical="top" wrapText="1"/>
    </xf>
    <xf numFmtId="0" fontId="4" fillId="2" borderId="0" xfId="2" applyFont="1" applyFill="1" applyAlignment="1">
      <alignment horizontal="right"/>
    </xf>
    <xf numFmtId="0" fontId="15" fillId="2" borderId="21" xfId="2" applyFont="1" applyFill="1" applyBorder="1" applyAlignment="1">
      <alignment horizontal="center"/>
    </xf>
    <xf numFmtId="0" fontId="4" fillId="2" borderId="0" xfId="2" applyFont="1" applyFill="1"/>
    <xf numFmtId="0" fontId="8" fillId="3" borderId="24" xfId="1" applyFont="1" applyFill="1" applyBorder="1" applyAlignment="1">
      <alignment horizontal="center" vertical="center"/>
    </xf>
    <xf numFmtId="0" fontId="8" fillId="3" borderId="40" xfId="1" applyFont="1" applyFill="1" applyBorder="1" applyAlignment="1">
      <alignment horizontal="center" vertical="center"/>
    </xf>
    <xf numFmtId="0" fontId="8" fillId="3" borderId="24" xfId="1" applyFont="1" applyFill="1" applyBorder="1" applyAlignment="1">
      <alignment horizontal="center" vertical="center" wrapText="1"/>
    </xf>
    <xf numFmtId="0" fontId="8" fillId="3" borderId="40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/>
    </xf>
    <xf numFmtId="0" fontId="8" fillId="3" borderId="7" xfId="1" applyFont="1" applyFill="1" applyBorder="1" applyAlignment="1">
      <alignment horizontal="center" vertical="center"/>
    </xf>
    <xf numFmtId="0" fontId="11" fillId="0" borderId="25" xfId="1" applyFont="1" applyBorder="1" applyAlignment="1">
      <alignment horizontal="right"/>
    </xf>
    <xf numFmtId="0" fontId="11" fillId="0" borderId="26" xfId="1" applyFont="1" applyBorder="1" applyAlignment="1">
      <alignment horizontal="right"/>
    </xf>
    <xf numFmtId="0" fontId="11" fillId="0" borderId="17" xfId="1" applyFont="1" applyBorder="1" applyAlignment="1">
      <alignment horizontal="right"/>
    </xf>
    <xf numFmtId="164" fontId="9" fillId="0" borderId="9" xfId="1" applyNumberFormat="1" applyFont="1" applyBorder="1" applyAlignment="1">
      <alignment horizontal="right"/>
    </xf>
    <xf numFmtId="0" fontId="9" fillId="2" borderId="15" xfId="1" applyFont="1" applyFill="1" applyBorder="1" applyAlignment="1">
      <alignment horizontal="center"/>
    </xf>
    <xf numFmtId="0" fontId="9" fillId="2" borderId="29" xfId="1" applyFont="1" applyFill="1" applyBorder="1" applyAlignment="1">
      <alignment horizontal="center"/>
    </xf>
    <xf numFmtId="0" fontId="11" fillId="0" borderId="27" xfId="1" applyFont="1" applyBorder="1" applyAlignment="1">
      <alignment horizontal="right"/>
    </xf>
    <xf numFmtId="0" fontId="11" fillId="0" borderId="28" xfId="1" applyFont="1" applyBorder="1" applyAlignment="1">
      <alignment horizontal="right"/>
    </xf>
    <xf numFmtId="0" fontId="11" fillId="0" borderId="19" xfId="1" applyFont="1" applyBorder="1" applyAlignment="1">
      <alignment horizontal="right"/>
    </xf>
    <xf numFmtId="0" fontId="9" fillId="0" borderId="2" xfId="1" applyFont="1" applyBorder="1" applyAlignment="1">
      <alignment horizontal="right"/>
    </xf>
    <xf numFmtId="164" fontId="9" fillId="0" borderId="16" xfId="1" applyNumberFormat="1" applyFont="1" applyBorder="1" applyAlignment="1">
      <alignment horizontal="center"/>
    </xf>
    <xf numFmtId="164" fontId="9" fillId="0" borderId="23" xfId="1" applyNumberFormat="1" applyFont="1" applyBorder="1" applyAlignment="1">
      <alignment horizontal="center"/>
    </xf>
    <xf numFmtId="0" fontId="9" fillId="0" borderId="25" xfId="1" applyFont="1" applyBorder="1" applyAlignment="1">
      <alignment horizontal="left"/>
    </xf>
    <xf numFmtId="0" fontId="9" fillId="0" borderId="26" xfId="1" applyFont="1" applyBorder="1" applyAlignment="1">
      <alignment horizontal="left"/>
    </xf>
    <xf numFmtId="0" fontId="9" fillId="0" borderId="29" xfId="1" applyFont="1" applyBorder="1" applyAlignment="1">
      <alignment horizontal="left"/>
    </xf>
    <xf numFmtId="164" fontId="9" fillId="0" borderId="16" xfId="1" applyNumberFormat="1" applyFont="1" applyBorder="1" applyAlignment="1">
      <alignment horizontal="right" wrapText="1"/>
    </xf>
    <xf numFmtId="164" fontId="9" fillId="0" borderId="19" xfId="1" applyNumberFormat="1" applyFont="1" applyBorder="1" applyAlignment="1">
      <alignment horizontal="right" wrapText="1"/>
    </xf>
    <xf numFmtId="164" fontId="9" fillId="0" borderId="16" xfId="0" applyNumberFormat="1" applyFont="1" applyBorder="1" applyAlignment="1">
      <alignment horizontal="center" wrapText="1"/>
    </xf>
    <xf numFmtId="164" fontId="9" fillId="0" borderId="23" xfId="0" applyNumberFormat="1" applyFont="1" applyBorder="1" applyAlignment="1">
      <alignment horizontal="center" wrapText="1"/>
    </xf>
    <xf numFmtId="0" fontId="11" fillId="0" borderId="40" xfId="1" applyFont="1" applyBorder="1" applyAlignment="1">
      <alignment horizontal="right"/>
    </xf>
    <xf numFmtId="0" fontId="11" fillId="0" borderId="4" xfId="1" applyFont="1" applyBorder="1" applyAlignment="1">
      <alignment horizontal="right"/>
    </xf>
    <xf numFmtId="0" fontId="11" fillId="0" borderId="7" xfId="1" applyFont="1" applyBorder="1" applyAlignment="1">
      <alignment horizontal="right"/>
    </xf>
    <xf numFmtId="0" fontId="9" fillId="0" borderId="7" xfId="1" applyFont="1" applyBorder="1" applyAlignment="1">
      <alignment horizontal="right"/>
    </xf>
    <xf numFmtId="0" fontId="11" fillId="3" borderId="12" xfId="1" applyFont="1" applyFill="1" applyBorder="1" applyAlignment="1">
      <alignment horizontal="center"/>
    </xf>
    <xf numFmtId="0" fontId="11" fillId="3" borderId="13" xfId="1" applyFont="1" applyFill="1" applyBorder="1" applyAlignment="1">
      <alignment horizontal="center"/>
    </xf>
    <xf numFmtId="0" fontId="11" fillId="3" borderId="14" xfId="1" applyFont="1" applyFill="1" applyBorder="1" applyAlignment="1">
      <alignment horizontal="center"/>
    </xf>
    <xf numFmtId="0" fontId="9" fillId="0" borderId="27" xfId="0" applyFont="1" applyBorder="1" applyAlignment="1">
      <alignment horizontal="left"/>
    </xf>
    <xf numFmtId="0" fontId="9" fillId="0" borderId="28" xfId="0" applyFont="1" applyBorder="1" applyAlignment="1">
      <alignment horizontal="left"/>
    </xf>
    <xf numFmtId="0" fontId="9" fillId="0" borderId="23" xfId="0" applyFont="1" applyBorder="1" applyAlignment="1">
      <alignment horizontal="left"/>
    </xf>
    <xf numFmtId="0" fontId="9" fillId="2" borderId="30" xfId="2" applyFont="1" applyFill="1" applyBorder="1" applyAlignment="1">
      <alignment horizontal="left"/>
    </xf>
    <xf numFmtId="0" fontId="9" fillId="2" borderId="31" xfId="2" applyFont="1" applyFill="1" applyBorder="1" applyAlignment="1">
      <alignment horizontal="left"/>
    </xf>
    <xf numFmtId="0" fontId="9" fillId="2" borderId="42" xfId="2" applyFont="1" applyFill="1" applyBorder="1" applyAlignment="1">
      <alignment horizontal="left"/>
    </xf>
    <xf numFmtId="0" fontId="9" fillId="2" borderId="2" xfId="2" applyFont="1" applyFill="1" applyBorder="1" applyAlignment="1">
      <alignment horizontal="left"/>
    </xf>
    <xf numFmtId="0" fontId="11" fillId="0" borderId="25" xfId="1" applyFont="1" applyBorder="1" applyAlignment="1">
      <alignment horizontal="left" wrapText="1"/>
    </xf>
    <xf numFmtId="0" fontId="11" fillId="0" borderId="26" xfId="1" applyFont="1" applyBorder="1" applyAlignment="1">
      <alignment horizontal="left" wrapText="1"/>
    </xf>
    <xf numFmtId="0" fontId="11" fillId="0" borderId="29" xfId="1" applyFont="1" applyBorder="1" applyAlignment="1">
      <alignment horizontal="left" wrapText="1"/>
    </xf>
    <xf numFmtId="0" fontId="11" fillId="0" borderId="27" xfId="0" applyFont="1" applyBorder="1" applyAlignment="1">
      <alignment horizontal="left"/>
    </xf>
    <xf numFmtId="0" fontId="11" fillId="0" borderId="28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0" fontId="11" fillId="6" borderId="41" xfId="2" applyFont="1" applyFill="1" applyBorder="1" applyAlignment="1">
      <alignment horizontal="center"/>
    </xf>
    <xf numFmtId="0" fontId="11" fillId="6" borderId="31" xfId="2" applyFont="1" applyFill="1" applyBorder="1" applyAlignment="1">
      <alignment horizontal="center"/>
    </xf>
  </cellXfs>
  <cellStyles count="7">
    <cellStyle name="Millares" xfId="5" builtinId="3"/>
    <cellStyle name="Normal" xfId="0" builtinId="0"/>
    <cellStyle name="Normal 2" xfId="1" xr:uid="{00000000-0005-0000-0000-000001000000}"/>
    <cellStyle name="Normal 3" xfId="6" xr:uid="{3DE977A1-E14E-4DF3-A54C-C408A0D66585}"/>
    <cellStyle name="Normal_CRITERIOS DE EVALUACION PT DE GB 2" xfId="2" xr:uid="{00000000-0005-0000-0000-000002000000}"/>
    <cellStyle name="Porcentaje 2" xfId="3" xr:uid="{00000000-0005-0000-0000-000003000000}"/>
    <cellStyle name="Porcentaje 3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478632</xdr:colOff>
      <xdr:row>0</xdr:row>
      <xdr:rowOff>139813</xdr:rowOff>
    </xdr:from>
    <xdr:to>
      <xdr:col>1</xdr:col>
      <xdr:colOff>799159</xdr:colOff>
      <xdr:row>4</xdr:row>
      <xdr:rowOff>95250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3A138DBF-6A2C-44A6-8D24-920D0D170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632" y="139813"/>
          <a:ext cx="1499246" cy="10150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7328C-05A6-445C-844C-2E5DECEAC7B9}">
  <sheetPr>
    <pageSetUpPr fitToPage="1"/>
  </sheetPr>
  <dimension ref="A1:P55"/>
  <sheetViews>
    <sheetView tabSelected="1" zoomScale="80" zoomScaleNormal="80" zoomScaleSheetLayoutView="80" workbookViewId="0">
      <selection activeCell="C1" sqref="C1:G1"/>
    </sheetView>
  </sheetViews>
  <sheetFormatPr baseColWidth="10" defaultRowHeight="12.75" x14ac:dyDescent="0.2"/>
  <cols>
    <col min="1" max="1" width="17.7109375" customWidth="1"/>
    <col min="2" max="2" width="18.5703125" bestFit="1" customWidth="1"/>
    <col min="3" max="3" width="54.5703125" customWidth="1"/>
    <col min="4" max="4" width="22.28515625" customWidth="1"/>
    <col min="5" max="5" width="11.85546875" bestFit="1" customWidth="1"/>
    <col min="7" max="7" width="22.42578125" customWidth="1"/>
    <col min="8" max="8" width="14.85546875" customWidth="1"/>
    <col min="9" max="9" width="19.28515625" bestFit="1" customWidth="1"/>
    <col min="10" max="15" width="0" hidden="1" customWidth="1"/>
  </cols>
  <sheetData>
    <row r="1" spans="1:16" ht="15.75" x14ac:dyDescent="0.25">
      <c r="A1" s="104"/>
      <c r="B1" s="105"/>
      <c r="C1" s="110" t="s">
        <v>11</v>
      </c>
      <c r="D1" s="110"/>
      <c r="E1" s="110"/>
      <c r="F1" s="110"/>
      <c r="G1" s="110"/>
      <c r="H1" s="1" t="s">
        <v>12</v>
      </c>
      <c r="I1" s="92" t="s">
        <v>60</v>
      </c>
    </row>
    <row r="2" spans="1:16" ht="18" customHeight="1" thickBot="1" x14ac:dyDescent="0.25">
      <c r="A2" s="106"/>
      <c r="B2" s="107"/>
      <c r="C2" s="111" t="s">
        <v>13</v>
      </c>
      <c r="D2" s="112"/>
      <c r="E2" s="112"/>
      <c r="F2" s="112"/>
      <c r="G2" s="113"/>
      <c r="H2" s="2" t="s">
        <v>14</v>
      </c>
      <c r="I2" s="93" t="s">
        <v>61</v>
      </c>
    </row>
    <row r="3" spans="1:16" ht="31.5" customHeight="1" thickBot="1" x14ac:dyDescent="0.25">
      <c r="A3" s="106"/>
      <c r="B3" s="107"/>
      <c r="C3" s="114" t="s">
        <v>62</v>
      </c>
      <c r="D3" s="114"/>
      <c r="E3" s="114"/>
      <c r="F3" s="114"/>
      <c r="G3" s="115"/>
      <c r="H3" s="116" t="s">
        <v>15</v>
      </c>
      <c r="I3" s="95">
        <v>46057</v>
      </c>
    </row>
    <row r="4" spans="1:16" ht="18" customHeight="1" x14ac:dyDescent="0.25">
      <c r="A4" s="106"/>
      <c r="B4" s="107"/>
      <c r="C4" s="3" t="s">
        <v>16</v>
      </c>
      <c r="D4" s="98" t="s">
        <v>56</v>
      </c>
      <c r="E4" s="99"/>
      <c r="F4" s="99"/>
      <c r="G4" s="100"/>
      <c r="H4" s="117"/>
      <c r="I4" s="96"/>
    </row>
    <row r="5" spans="1:16" ht="14.25" thickBot="1" x14ac:dyDescent="0.3">
      <c r="A5" s="108"/>
      <c r="B5" s="109"/>
      <c r="C5" s="4" t="s">
        <v>17</v>
      </c>
      <c r="D5" s="101" t="s">
        <v>57</v>
      </c>
      <c r="E5" s="102"/>
      <c r="F5" s="102"/>
      <c r="G5" s="103"/>
      <c r="H5" s="118"/>
      <c r="I5" s="97"/>
    </row>
    <row r="6" spans="1:16" ht="18.75" thickBot="1" x14ac:dyDescent="0.3">
      <c r="A6" s="119" t="s">
        <v>18</v>
      </c>
      <c r="B6" s="119"/>
      <c r="C6" s="119"/>
      <c r="D6" s="120" t="s">
        <v>28</v>
      </c>
      <c r="E6" s="120"/>
      <c r="F6" s="120"/>
      <c r="G6" s="121" t="s">
        <v>19</v>
      </c>
      <c r="H6" s="121"/>
      <c r="I6" s="88" t="s">
        <v>28</v>
      </c>
    </row>
    <row r="7" spans="1:16" x14ac:dyDescent="0.2">
      <c r="A7" s="122" t="s">
        <v>0</v>
      </c>
      <c r="B7" s="124" t="s">
        <v>41</v>
      </c>
      <c r="C7" s="126" t="s">
        <v>1</v>
      </c>
      <c r="D7" s="126" t="s">
        <v>2</v>
      </c>
      <c r="E7" s="126" t="s">
        <v>3</v>
      </c>
      <c r="F7" s="126"/>
      <c r="G7" s="126" t="s">
        <v>42</v>
      </c>
      <c r="H7" s="126"/>
      <c r="I7" s="5" t="s">
        <v>4</v>
      </c>
    </row>
    <row r="8" spans="1:16" ht="26.25" thickBot="1" x14ac:dyDescent="0.25">
      <c r="A8" s="123"/>
      <c r="B8" s="125"/>
      <c r="C8" s="127"/>
      <c r="D8" s="127"/>
      <c r="E8" s="6" t="s">
        <v>5</v>
      </c>
      <c r="F8" s="7" t="s">
        <v>6</v>
      </c>
      <c r="G8" s="6" t="s">
        <v>5</v>
      </c>
      <c r="H8" s="7" t="s">
        <v>6</v>
      </c>
      <c r="I8" s="8" t="s">
        <v>7</v>
      </c>
    </row>
    <row r="9" spans="1:16" ht="18.399999999999999" customHeight="1" x14ac:dyDescent="0.3">
      <c r="A9" s="84"/>
      <c r="B9" s="85"/>
      <c r="C9" s="86" t="s">
        <v>43</v>
      </c>
      <c r="D9" s="87"/>
      <c r="E9" s="32"/>
      <c r="F9" s="37"/>
      <c r="G9" s="32"/>
      <c r="H9" s="37"/>
      <c r="I9" s="27"/>
    </row>
    <row r="10" spans="1:16" ht="20.25" x14ac:dyDescent="0.3">
      <c r="A10" s="9"/>
      <c r="B10" s="10" t="s">
        <v>59</v>
      </c>
      <c r="C10" s="11" t="s">
        <v>58</v>
      </c>
      <c r="D10" s="22" t="s">
        <v>29</v>
      </c>
      <c r="E10" s="23">
        <v>4222</v>
      </c>
      <c r="F10" s="24" t="s">
        <v>10</v>
      </c>
      <c r="G10" s="25"/>
      <c r="H10" s="26"/>
      <c r="I10" s="27"/>
      <c r="J10">
        <f>+E10/$D$40</f>
        <v>0.56293333333333329</v>
      </c>
      <c r="K10">
        <f>+J10*1000</f>
        <v>562.93333333333328</v>
      </c>
      <c r="P10" s="91"/>
    </row>
    <row r="11" spans="1:16" ht="20.25" x14ac:dyDescent="0.3">
      <c r="A11" s="12" t="s">
        <v>37</v>
      </c>
      <c r="B11" s="13" t="s">
        <v>38</v>
      </c>
      <c r="C11" s="14" t="s">
        <v>44</v>
      </c>
      <c r="D11" s="15" t="s">
        <v>39</v>
      </c>
      <c r="E11" s="15">
        <v>745</v>
      </c>
      <c r="F11" s="15" t="s">
        <v>10</v>
      </c>
      <c r="G11" s="15"/>
      <c r="H11" s="26"/>
      <c r="I11" s="27"/>
      <c r="J11">
        <f>17.37/D40</f>
        <v>2.3159999999999999E-3</v>
      </c>
      <c r="K11">
        <f t="shared" ref="K11:K14" si="0">+J11*1000</f>
        <v>2.3159999999999998</v>
      </c>
      <c r="N11">
        <v>143</v>
      </c>
      <c r="P11" s="91"/>
    </row>
    <row r="12" spans="1:16" ht="20.25" x14ac:dyDescent="0.3">
      <c r="A12" s="12" t="s">
        <v>35</v>
      </c>
      <c r="B12" s="13" t="s">
        <v>36</v>
      </c>
      <c r="C12" s="14" t="s">
        <v>30</v>
      </c>
      <c r="D12" s="15" t="s">
        <v>31</v>
      </c>
      <c r="E12" s="15">
        <v>1946</v>
      </c>
      <c r="F12" s="15" t="s">
        <v>10</v>
      </c>
      <c r="G12" s="15"/>
      <c r="H12" s="26"/>
      <c r="I12" s="27"/>
      <c r="J12">
        <f t="shared" ref="J12:J14" si="1">+E12/$D$40</f>
        <v>0.25946666666666668</v>
      </c>
      <c r="K12">
        <f t="shared" si="0"/>
        <v>259.4666666666667</v>
      </c>
      <c r="N12">
        <f>+N11*2</f>
        <v>286</v>
      </c>
      <c r="P12" s="91"/>
    </row>
    <row r="13" spans="1:16" ht="20.25" x14ac:dyDescent="0.3">
      <c r="A13" s="89" t="s">
        <v>52</v>
      </c>
      <c r="B13" s="90" t="s">
        <v>53</v>
      </c>
      <c r="C13" s="61" t="s">
        <v>54</v>
      </c>
      <c r="D13" s="51" t="s">
        <v>55</v>
      </c>
      <c r="E13" s="29">
        <v>700</v>
      </c>
      <c r="F13" s="30" t="s">
        <v>10</v>
      </c>
      <c r="G13" s="15"/>
      <c r="H13" s="26"/>
      <c r="I13" s="27"/>
      <c r="J13">
        <f t="shared" si="1"/>
        <v>9.3333333333333338E-2</v>
      </c>
      <c r="K13">
        <f t="shared" si="0"/>
        <v>93.333333333333343</v>
      </c>
      <c r="P13" s="91"/>
    </row>
    <row r="14" spans="1:16" ht="20.25" x14ac:dyDescent="0.3">
      <c r="A14" s="15" t="s">
        <v>32</v>
      </c>
      <c r="B14" s="15" t="s">
        <v>34</v>
      </c>
      <c r="C14" s="11" t="s">
        <v>33</v>
      </c>
      <c r="D14" s="28"/>
      <c r="E14" s="29">
        <v>10</v>
      </c>
      <c r="F14" s="30" t="s">
        <v>10</v>
      </c>
      <c r="G14" s="15"/>
      <c r="H14" s="26"/>
      <c r="I14" s="27"/>
      <c r="J14">
        <f t="shared" si="1"/>
        <v>1.3333333333333333E-3</v>
      </c>
      <c r="K14">
        <f t="shared" si="0"/>
        <v>1.3333333333333333</v>
      </c>
      <c r="P14" s="91"/>
    </row>
    <row r="15" spans="1:16" ht="20.25" x14ac:dyDescent="0.3">
      <c r="A15" s="15"/>
      <c r="B15" s="15"/>
      <c r="C15" s="11"/>
      <c r="D15" s="28"/>
      <c r="E15" s="29"/>
      <c r="F15" s="30"/>
      <c r="G15" s="15"/>
      <c r="H15" s="26"/>
      <c r="I15" s="27"/>
    </row>
    <row r="16" spans="1:16" ht="20.25" x14ac:dyDescent="0.3">
      <c r="A16" s="16"/>
      <c r="B16" s="15"/>
      <c r="C16" s="17"/>
      <c r="D16" s="31"/>
      <c r="E16" s="45"/>
      <c r="F16" s="31"/>
      <c r="G16" s="32"/>
      <c r="H16" s="26"/>
      <c r="I16" s="27"/>
      <c r="P16" s="91"/>
    </row>
    <row r="17" spans="1:12" ht="20.25" x14ac:dyDescent="0.3">
      <c r="A17" s="33"/>
      <c r="B17" s="34"/>
      <c r="C17" s="35" t="s">
        <v>45</v>
      </c>
      <c r="D17" s="29"/>
      <c r="E17" s="36"/>
      <c r="F17" s="30"/>
      <c r="G17" s="32"/>
      <c r="H17" s="37"/>
      <c r="I17" s="27"/>
    </row>
    <row r="18" spans="1:12" ht="20.25" x14ac:dyDescent="0.3">
      <c r="A18" s="38"/>
      <c r="B18" s="39"/>
      <c r="C18" s="40"/>
      <c r="D18" s="41"/>
      <c r="E18" s="42"/>
      <c r="F18" s="43"/>
      <c r="G18" s="32"/>
      <c r="H18" s="37"/>
      <c r="I18" s="27"/>
    </row>
    <row r="19" spans="1:12" ht="20.25" x14ac:dyDescent="0.3">
      <c r="A19" s="38"/>
      <c r="B19" s="39"/>
      <c r="C19" s="40"/>
      <c r="D19" s="41"/>
      <c r="E19" s="44"/>
      <c r="F19" s="43"/>
      <c r="G19" s="32"/>
      <c r="H19" s="37"/>
      <c r="I19" s="27"/>
    </row>
    <row r="20" spans="1:12" ht="20.25" x14ac:dyDescent="0.3">
      <c r="A20" s="38"/>
      <c r="B20" s="39"/>
      <c r="C20" s="40"/>
      <c r="D20" s="41"/>
      <c r="E20" s="42"/>
      <c r="F20" s="43"/>
      <c r="G20" s="32"/>
      <c r="H20" s="37"/>
      <c r="I20" s="27"/>
    </row>
    <row r="21" spans="1:12" ht="20.25" x14ac:dyDescent="0.3">
      <c r="A21" s="38"/>
      <c r="B21" s="39"/>
      <c r="C21" s="40"/>
      <c r="D21" s="41"/>
      <c r="E21" s="45"/>
      <c r="F21" s="46"/>
      <c r="G21" s="32"/>
      <c r="H21" s="37"/>
      <c r="I21" s="27"/>
      <c r="K21">
        <v>1</v>
      </c>
      <c r="L21">
        <v>143</v>
      </c>
    </row>
    <row r="22" spans="1:12" ht="20.25" x14ac:dyDescent="0.3">
      <c r="A22" s="38"/>
      <c r="B22" s="39"/>
      <c r="C22" s="40"/>
      <c r="D22" s="41"/>
      <c r="E22" s="47"/>
      <c r="F22" s="46"/>
      <c r="G22" s="32"/>
      <c r="H22" s="37"/>
      <c r="I22" s="27"/>
      <c r="L22">
        <v>2484</v>
      </c>
    </row>
    <row r="23" spans="1:12" ht="20.25" x14ac:dyDescent="0.3">
      <c r="A23" s="18"/>
      <c r="B23" s="18"/>
      <c r="C23" s="19"/>
      <c r="D23" s="48"/>
      <c r="E23" s="49"/>
      <c r="F23" s="50"/>
      <c r="G23" s="32"/>
      <c r="H23" s="37"/>
      <c r="I23" s="27"/>
    </row>
    <row r="24" spans="1:12" ht="20.25" x14ac:dyDescent="0.3">
      <c r="A24" s="15"/>
      <c r="B24" s="15"/>
      <c r="C24" s="17"/>
      <c r="D24" s="51"/>
      <c r="E24" s="52"/>
      <c r="F24" s="50"/>
      <c r="G24" s="32"/>
      <c r="H24" s="37"/>
      <c r="I24" s="27"/>
      <c r="K24">
        <f>2484/143</f>
        <v>17.37062937062937</v>
      </c>
    </row>
    <row r="25" spans="1:12" ht="20.25" x14ac:dyDescent="0.3">
      <c r="A25" s="15"/>
      <c r="B25" s="15"/>
      <c r="C25" s="17"/>
      <c r="D25" s="51"/>
      <c r="E25" s="53"/>
      <c r="F25" s="54"/>
      <c r="G25" s="32"/>
      <c r="H25" s="37"/>
      <c r="I25" s="27"/>
    </row>
    <row r="26" spans="1:12" ht="20.25" x14ac:dyDescent="0.3">
      <c r="A26" s="55"/>
      <c r="B26" s="56"/>
      <c r="C26" s="57" t="s">
        <v>46</v>
      </c>
      <c r="D26" s="58"/>
      <c r="E26" s="59"/>
      <c r="F26" s="37"/>
      <c r="G26" s="32"/>
      <c r="H26" s="19"/>
      <c r="I26" s="27"/>
    </row>
    <row r="27" spans="1:12" ht="20.25" x14ac:dyDescent="0.3">
      <c r="A27" s="60"/>
      <c r="B27" s="60"/>
      <c r="C27" s="61"/>
      <c r="D27" s="15"/>
      <c r="E27" s="53"/>
      <c r="F27" s="54"/>
      <c r="G27" s="62"/>
      <c r="H27" s="37"/>
      <c r="I27" s="27"/>
    </row>
    <row r="28" spans="1:12" ht="20.25" x14ac:dyDescent="0.3">
      <c r="A28" s="63"/>
      <c r="B28" s="63"/>
      <c r="C28" s="64"/>
      <c r="D28" s="15"/>
      <c r="E28" s="53"/>
      <c r="F28" s="54"/>
      <c r="G28" s="62"/>
      <c r="H28" s="37"/>
      <c r="I28" s="27"/>
    </row>
    <row r="29" spans="1:12" ht="20.25" x14ac:dyDescent="0.3">
      <c r="A29" s="15"/>
      <c r="B29" s="15"/>
      <c r="C29" s="17"/>
      <c r="D29" s="51"/>
      <c r="E29" s="53"/>
      <c r="F29" s="15"/>
      <c r="G29" s="62"/>
      <c r="H29" s="37"/>
      <c r="I29" s="27"/>
    </row>
    <row r="30" spans="1:12" ht="20.25" x14ac:dyDescent="0.3">
      <c r="A30" s="20"/>
      <c r="B30" s="20"/>
      <c r="C30" s="21"/>
      <c r="D30" s="15"/>
      <c r="E30" s="53"/>
      <c r="F30" s="54"/>
      <c r="G30" s="32"/>
      <c r="H30" s="37"/>
      <c r="I30" s="27"/>
    </row>
    <row r="31" spans="1:12" ht="20.25" x14ac:dyDescent="0.3">
      <c r="A31" s="20"/>
      <c r="B31" s="20"/>
      <c r="C31" s="21"/>
      <c r="D31" s="15"/>
      <c r="E31" s="53"/>
      <c r="F31" s="54"/>
      <c r="G31" s="32"/>
      <c r="H31" s="37"/>
      <c r="I31" s="27"/>
    </row>
    <row r="32" spans="1:12" ht="20.25" x14ac:dyDescent="0.3">
      <c r="A32" s="20"/>
      <c r="B32" s="20"/>
      <c r="C32" s="21" t="s">
        <v>47</v>
      </c>
      <c r="D32" s="15"/>
      <c r="E32" s="53"/>
      <c r="F32" s="54"/>
      <c r="G32" s="65"/>
      <c r="H32" s="37"/>
      <c r="I32" s="27"/>
    </row>
    <row r="33" spans="1:16" ht="20.25" x14ac:dyDescent="0.3">
      <c r="A33" s="20"/>
      <c r="B33" s="20"/>
      <c r="C33" s="21" t="s">
        <v>47</v>
      </c>
      <c r="D33" s="15"/>
      <c r="E33" s="53"/>
      <c r="F33" s="54"/>
      <c r="G33" s="28"/>
      <c r="H33" s="37"/>
      <c r="I33" s="27"/>
    </row>
    <row r="34" spans="1:16" ht="20.25" x14ac:dyDescent="0.3">
      <c r="A34" s="66"/>
      <c r="B34" s="66"/>
      <c r="C34" s="14"/>
      <c r="D34" s="15"/>
      <c r="E34" s="54"/>
      <c r="F34" s="54"/>
      <c r="G34" s="28"/>
      <c r="H34" s="37"/>
      <c r="I34" s="27"/>
    </row>
    <row r="35" spans="1:16" ht="20.25" x14ac:dyDescent="0.3">
      <c r="A35" s="60"/>
      <c r="B35" s="15"/>
      <c r="C35" s="61"/>
      <c r="D35" s="51"/>
      <c r="E35" s="53"/>
      <c r="F35" s="15"/>
      <c r="G35" s="28"/>
      <c r="H35" s="37"/>
      <c r="I35" s="27"/>
    </row>
    <row r="36" spans="1:16" ht="20.25" x14ac:dyDescent="0.3">
      <c r="A36" s="20"/>
      <c r="B36" s="20"/>
      <c r="C36" s="21"/>
      <c r="D36" s="15"/>
      <c r="E36" s="53"/>
      <c r="F36" s="15"/>
      <c r="G36" s="28"/>
      <c r="H36" s="37"/>
      <c r="I36" s="27"/>
    </row>
    <row r="37" spans="1:16" ht="20.25" x14ac:dyDescent="0.3">
      <c r="A37" s="33"/>
      <c r="B37" s="34"/>
      <c r="C37" s="67"/>
      <c r="D37" s="29"/>
      <c r="E37" s="29"/>
      <c r="F37" s="30"/>
      <c r="G37" s="29"/>
      <c r="H37" s="29"/>
      <c r="I37" s="27"/>
    </row>
    <row r="38" spans="1:16" ht="21" thickBot="1" x14ac:dyDescent="0.35">
      <c r="A38" s="68"/>
      <c r="B38" s="69"/>
      <c r="C38" s="70"/>
      <c r="D38" s="70"/>
      <c r="E38" s="71"/>
      <c r="F38" s="72"/>
      <c r="G38" s="70"/>
      <c r="H38" s="70"/>
      <c r="I38" s="73"/>
    </row>
    <row r="39" spans="1:16" ht="21" thickBot="1" x14ac:dyDescent="0.35">
      <c r="A39" s="74"/>
      <c r="B39" s="75"/>
      <c r="C39" s="76"/>
      <c r="D39" s="77" t="s">
        <v>5</v>
      </c>
      <c r="E39" s="78" t="s">
        <v>20</v>
      </c>
      <c r="F39" s="79"/>
      <c r="G39" s="76"/>
      <c r="H39" s="76"/>
      <c r="I39" s="80"/>
    </row>
    <row r="40" spans="1:16" ht="20.25" x14ac:dyDescent="0.3">
      <c r="A40" s="128" t="s">
        <v>9</v>
      </c>
      <c r="B40" s="129"/>
      <c r="C40" s="130"/>
      <c r="D40" s="52">
        <v>7500</v>
      </c>
      <c r="E40" s="81" t="s">
        <v>10</v>
      </c>
      <c r="F40" s="131" t="s">
        <v>48</v>
      </c>
      <c r="G40" s="131"/>
      <c r="H40" s="132"/>
      <c r="I40" s="133"/>
      <c r="P40">
        <f>D40/300</f>
        <v>25</v>
      </c>
    </row>
    <row r="41" spans="1:16" ht="20.25" x14ac:dyDescent="0.3">
      <c r="A41" s="134" t="s">
        <v>8</v>
      </c>
      <c r="B41" s="135"/>
      <c r="C41" s="136"/>
      <c r="D41" s="53">
        <v>15</v>
      </c>
      <c r="E41" s="15" t="s">
        <v>26</v>
      </c>
      <c r="F41" s="137" t="s">
        <v>49</v>
      </c>
      <c r="G41" s="137"/>
      <c r="H41" s="138"/>
      <c r="I41" s="139"/>
    </row>
    <row r="42" spans="1:16" ht="20.25" x14ac:dyDescent="0.3">
      <c r="A42" s="134" t="s">
        <v>21</v>
      </c>
      <c r="B42" s="135"/>
      <c r="C42" s="136"/>
      <c r="D42" s="53">
        <v>1</v>
      </c>
      <c r="E42" s="15" t="s">
        <v>22</v>
      </c>
      <c r="F42" s="137" t="s">
        <v>50</v>
      </c>
      <c r="G42" s="137"/>
      <c r="H42" s="138"/>
      <c r="I42" s="139"/>
    </row>
    <row r="43" spans="1:16" ht="20.25" x14ac:dyDescent="0.3">
      <c r="A43" s="134" t="s">
        <v>23</v>
      </c>
      <c r="B43" s="135"/>
      <c r="C43" s="136"/>
      <c r="D43" s="53">
        <v>7500</v>
      </c>
      <c r="E43" s="15" t="s">
        <v>10</v>
      </c>
      <c r="F43" s="143" t="s">
        <v>51</v>
      </c>
      <c r="G43" s="144"/>
      <c r="H43" s="145"/>
      <c r="I43" s="146"/>
    </row>
    <row r="44" spans="1:16" ht="21" thickBot="1" x14ac:dyDescent="0.35">
      <c r="A44" s="147" t="s">
        <v>24</v>
      </c>
      <c r="B44" s="148"/>
      <c r="C44" s="149"/>
      <c r="D44" s="82">
        <f>SUM(E10:E14)-D40</f>
        <v>123</v>
      </c>
      <c r="E44" s="83" t="s">
        <v>10</v>
      </c>
      <c r="F44" s="150"/>
      <c r="G44" s="150"/>
      <c r="H44" s="138"/>
      <c r="I44" s="139"/>
    </row>
    <row r="45" spans="1:16" ht="21" thickBot="1" x14ac:dyDescent="0.35">
      <c r="A45" s="151" t="s">
        <v>25</v>
      </c>
      <c r="B45" s="152"/>
      <c r="C45" s="152"/>
      <c r="D45" s="152"/>
      <c r="E45" s="152"/>
      <c r="F45" s="152"/>
      <c r="G45" s="152"/>
      <c r="H45" s="152"/>
      <c r="I45" s="153"/>
    </row>
    <row r="46" spans="1:16" ht="18.399999999999999" customHeight="1" x14ac:dyDescent="0.3">
      <c r="A46" s="154" t="s">
        <v>27</v>
      </c>
      <c r="B46" s="155"/>
      <c r="C46" s="155"/>
      <c r="D46" s="155"/>
      <c r="E46" s="155"/>
      <c r="F46" s="155"/>
      <c r="G46" s="155"/>
      <c r="H46" s="155"/>
      <c r="I46" s="156"/>
    </row>
    <row r="47" spans="1:16" ht="20.25" x14ac:dyDescent="0.3">
      <c r="A47" s="140" t="s">
        <v>40</v>
      </c>
      <c r="B47" s="141"/>
      <c r="C47" s="141"/>
      <c r="D47" s="141"/>
      <c r="E47" s="141"/>
      <c r="F47" s="141"/>
      <c r="G47" s="141"/>
      <c r="H47" s="141"/>
      <c r="I47" s="142"/>
    </row>
    <row r="48" spans="1:16" ht="14.65" customHeight="1" x14ac:dyDescent="0.3">
      <c r="A48" s="154"/>
      <c r="B48" s="155"/>
      <c r="C48" s="155"/>
      <c r="D48" s="155"/>
      <c r="E48" s="155"/>
      <c r="F48" s="155"/>
      <c r="G48" s="155"/>
      <c r="H48" s="155"/>
      <c r="I48" s="156"/>
    </row>
    <row r="49" spans="1:9" ht="20.25" x14ac:dyDescent="0.3">
      <c r="A49" s="161"/>
      <c r="B49" s="162"/>
      <c r="C49" s="162"/>
      <c r="D49" s="162"/>
      <c r="E49" s="162"/>
      <c r="F49" s="162"/>
      <c r="G49" s="162"/>
      <c r="H49" s="162"/>
      <c r="I49" s="163"/>
    </row>
    <row r="50" spans="1:9" ht="21" thickBot="1" x14ac:dyDescent="0.35">
      <c r="A50" s="164"/>
      <c r="B50" s="165"/>
      <c r="C50" s="165"/>
      <c r="D50" s="165"/>
      <c r="E50" s="165"/>
      <c r="F50" s="165"/>
      <c r="G50" s="165"/>
      <c r="H50" s="165"/>
      <c r="I50" s="166"/>
    </row>
    <row r="51" spans="1:9" ht="21" thickBot="1" x14ac:dyDescent="0.35">
      <c r="A51" s="167"/>
      <c r="B51" s="168"/>
      <c r="C51" s="168"/>
      <c r="D51" s="168"/>
      <c r="E51" s="168"/>
      <c r="F51" s="168"/>
      <c r="G51" s="168"/>
      <c r="H51" s="168"/>
      <c r="I51" s="168"/>
    </row>
    <row r="52" spans="1:9" ht="20.25" x14ac:dyDescent="0.3">
      <c r="A52" s="157"/>
      <c r="B52" s="158"/>
      <c r="C52" s="158"/>
      <c r="D52" s="158"/>
      <c r="E52" s="158"/>
      <c r="F52" s="158"/>
      <c r="G52" s="158"/>
      <c r="H52" s="158"/>
      <c r="I52" s="159"/>
    </row>
    <row r="53" spans="1:9" ht="20.25" x14ac:dyDescent="0.3">
      <c r="A53" s="160"/>
      <c r="B53" s="160"/>
      <c r="C53" s="160"/>
      <c r="D53" s="160"/>
      <c r="E53" s="160"/>
      <c r="F53" s="160"/>
      <c r="G53" s="160"/>
      <c r="H53" s="160"/>
      <c r="I53" s="160"/>
    </row>
    <row r="54" spans="1:9" ht="20.25" x14ac:dyDescent="0.3">
      <c r="A54" s="94"/>
      <c r="B54" s="94"/>
      <c r="C54" s="94"/>
      <c r="D54" s="94"/>
      <c r="E54" s="94"/>
      <c r="F54" s="94"/>
      <c r="G54" s="94"/>
      <c r="H54" s="94"/>
      <c r="I54" s="94"/>
    </row>
    <row r="55" spans="1:9" ht="20.25" x14ac:dyDescent="0.3">
      <c r="A55" s="94"/>
      <c r="B55" s="94"/>
      <c r="C55" s="94"/>
      <c r="D55" s="94"/>
      <c r="E55" s="94"/>
      <c r="F55" s="94"/>
      <c r="G55" s="94"/>
      <c r="H55" s="94"/>
      <c r="I55" s="94"/>
    </row>
  </sheetData>
  <mergeCells count="43">
    <mergeCell ref="A52:I52"/>
    <mergeCell ref="A53:I53"/>
    <mergeCell ref="A48:I48"/>
    <mergeCell ref="A49:I49"/>
    <mergeCell ref="A50:I50"/>
    <mergeCell ref="A51:I51"/>
    <mergeCell ref="A41:C41"/>
    <mergeCell ref="F41:G41"/>
    <mergeCell ref="H41:I41"/>
    <mergeCell ref="A47:I47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I46"/>
    <mergeCell ref="D7:D8"/>
    <mergeCell ref="E7:F7"/>
    <mergeCell ref="G7:H7"/>
    <mergeCell ref="A40:C40"/>
    <mergeCell ref="F40:G40"/>
    <mergeCell ref="H40:I40"/>
    <mergeCell ref="A55:I55"/>
    <mergeCell ref="A54:I54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</mergeCells>
  <pageMargins left="0.25" right="0.25" top="0.75" bottom="0.75" header="0.3" footer="0.3"/>
  <pageSetup scale="5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12C7C7-B371-407D-97B5-DE12A24326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57DCEC-6065-40F9-8395-2D0AF145579A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E35607F6-4304-4F56-A83E-C4F8519F44F7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schemas.openxmlformats.org/package/2006/metadata/core-properties"/>
    <ds:schemaRef ds:uri="7b4e74ba-38a7-42d4-a9ca-1da0fc041db0"/>
    <ds:schemaRef ds:uri="eae225b5-53a6-4b69-be5f-a92fedf9fd97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956B1185-14F7-4CEC-959C-F0F9AA7228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</vt:lpstr>
      <vt:lpstr>Ensamble!Área_de_impresión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2026-02-04T16:44:44Z</cp:lastPrinted>
  <dcterms:created xsi:type="dcterms:W3CDTF">2003-03-11T22:35:36Z</dcterms:created>
  <dcterms:modified xsi:type="dcterms:W3CDTF">2026-02-12T21:19:19Z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396600.000000000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
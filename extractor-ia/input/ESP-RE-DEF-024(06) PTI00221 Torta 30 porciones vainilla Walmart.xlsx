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FAS/"/>
    </mc:Choice>
  </mc:AlternateContent>
  <xr:revisionPtr revIDLastSave="2" documentId="8_{5C0BBFB8-12A3-4972-992D-30D99208709F}" xr6:coauthVersionLast="47" xr6:coauthVersionMax="47" xr10:uidLastSave="{95A24432-8A98-4079-82B0-8897E6C7A46B}"/>
  <bookViews>
    <workbookView xWindow="-120" yWindow="-120" windowWidth="20730" windowHeight="11040" tabRatio="781" firstSheet="7" activeTab="7" xr2:uid="{E00F8112-4DB9-4877-BB96-5E43F5A84BFB}"/>
  </bookViews>
  <sheets>
    <sheet name="Rosquete Vainilla  1220 g" sheetId="1" state="hidden" r:id="rId1"/>
    <sheet name="Costo Rosquete " sheetId="2" state="hidden" r:id="rId2"/>
    <sheet name="Ensamble " sheetId="3" state="hidden" r:id="rId3"/>
    <sheet name="COSTO ENSAMBLE " sheetId="4" state="hidden" r:id="rId4"/>
    <sheet name="Batido Easy  Vainilla Sp" sheetId="10" state="hidden" r:id="rId5"/>
    <sheet name="Rosquete Vainilla 1000" sheetId="6" state="hidden" r:id="rId6"/>
    <sheet name="Costo Rosquete 1000" sheetId="7" state="hidden" r:id="rId7"/>
    <sheet name="Hoja1" sheetId="11" r:id="rId8"/>
    <sheet name="Costo ensamble 2" sheetId="9" state="hidden" r:id="rId9"/>
    <sheet name="Hoja5" sheetId="5" state="hidden" r:id="rId10"/>
  </sheets>
  <externalReferences>
    <externalReference r:id="rId11"/>
    <externalReference r:id="rId12"/>
    <externalReference r:id="rId13"/>
    <externalReference r:id="rId14"/>
    <externalReference r:id="rId15"/>
  </externalReferences>
  <definedNames>
    <definedName name="_xlnm.Print_Area" localSheetId="7">Hoja1!$A$1:$I$47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4" i="11" l="1"/>
  <c r="D22" i="10" l="1"/>
  <c r="D85" i="9"/>
  <c r="D75" i="9"/>
  <c r="D76" i="9"/>
  <c r="D78" i="9"/>
  <c r="D73" i="9"/>
  <c r="D71" i="9"/>
  <c r="F67" i="9"/>
  <c r="E53" i="9"/>
  <c r="F53" i="9"/>
  <c r="D62" i="9"/>
  <c r="D87" i="9"/>
  <c r="D88" i="9"/>
  <c r="C53" i="9"/>
  <c r="E52" i="9"/>
  <c r="D52" i="9"/>
  <c r="B52" i="9"/>
  <c r="E51" i="9"/>
  <c r="D51" i="9"/>
  <c r="B51" i="9"/>
  <c r="A51" i="9"/>
  <c r="C51" i="9"/>
  <c r="E50" i="9"/>
  <c r="D49" i="9"/>
  <c r="B49" i="9"/>
  <c r="E46" i="9"/>
  <c r="E43" i="9"/>
  <c r="D43" i="9"/>
  <c r="B43" i="9"/>
  <c r="A43" i="9"/>
  <c r="A52" i="9"/>
  <c r="C52" i="9"/>
  <c r="E42" i="9"/>
  <c r="F42" i="9" s="1"/>
  <c r="D42" i="9"/>
  <c r="C42" i="9"/>
  <c r="B42" i="9"/>
  <c r="A42" i="9"/>
  <c r="E41" i="9"/>
  <c r="A41" i="9"/>
  <c r="A50" i="9"/>
  <c r="C50" i="9"/>
  <c r="E40" i="9"/>
  <c r="F40" i="9" s="1"/>
  <c r="D40" i="9"/>
  <c r="C40" i="9"/>
  <c r="B40" i="9"/>
  <c r="A40" i="9"/>
  <c r="A49" i="9"/>
  <c r="C49" i="9"/>
  <c r="F49" i="9"/>
  <c r="A39" i="9"/>
  <c r="C39" i="9"/>
  <c r="F39" i="9"/>
  <c r="A38" i="9"/>
  <c r="C38" i="9"/>
  <c r="E37" i="9"/>
  <c r="F37" i="9" s="1"/>
  <c r="C37" i="9"/>
  <c r="A37" i="9"/>
  <c r="A46" i="9"/>
  <c r="C46" i="9"/>
  <c r="E34" i="9"/>
  <c r="F34" i="9" s="1"/>
  <c r="D34" i="9"/>
  <c r="C34" i="9"/>
  <c r="B34" i="9"/>
  <c r="E33" i="9"/>
  <c r="D33" i="9"/>
  <c r="C33" i="9"/>
  <c r="B33" i="9"/>
  <c r="E32" i="9"/>
  <c r="F32" i="9" s="1"/>
  <c r="D32" i="9"/>
  <c r="C32" i="9"/>
  <c r="B32" i="9"/>
  <c r="E31" i="9"/>
  <c r="D31" i="9"/>
  <c r="C31" i="9"/>
  <c r="B31" i="9"/>
  <c r="E30" i="9"/>
  <c r="F30" i="9" s="1"/>
  <c r="D30" i="9"/>
  <c r="C30" i="9"/>
  <c r="B30" i="9"/>
  <c r="E29" i="9"/>
  <c r="D29" i="9"/>
  <c r="C29" i="9"/>
  <c r="B29" i="9"/>
  <c r="D28" i="9"/>
  <c r="C28" i="9"/>
  <c r="F28" i="9"/>
  <c r="B28" i="9"/>
  <c r="F27" i="9"/>
  <c r="C27" i="9"/>
  <c r="E24" i="9"/>
  <c r="F24" i="9" s="1"/>
  <c r="D24" i="9"/>
  <c r="C24" i="9"/>
  <c r="B24" i="9"/>
  <c r="E23" i="9"/>
  <c r="F23" i="9" s="1"/>
  <c r="D23" i="9"/>
  <c r="C23" i="9"/>
  <c r="B23" i="9"/>
  <c r="E22" i="9"/>
  <c r="F22" i="9" s="1"/>
  <c r="D22" i="9"/>
  <c r="C22" i="9"/>
  <c r="B22" i="9"/>
  <c r="E21" i="9"/>
  <c r="F21" i="9" s="1"/>
  <c r="C21" i="9"/>
  <c r="F20" i="9"/>
  <c r="D20" i="9"/>
  <c r="C20" i="9"/>
  <c r="B20" i="9"/>
  <c r="C19" i="9"/>
  <c r="F19" i="9"/>
  <c r="C18" i="9"/>
  <c r="C17" i="9"/>
  <c r="B15" i="9"/>
  <c r="E14" i="9"/>
  <c r="D14" i="9"/>
  <c r="C14" i="9"/>
  <c r="B14" i="9"/>
  <c r="E13" i="9"/>
  <c r="F13" i="9" s="1"/>
  <c r="D13" i="9"/>
  <c r="C13" i="9"/>
  <c r="B13" i="9"/>
  <c r="E12" i="9"/>
  <c r="D12" i="9"/>
  <c r="C12" i="9"/>
  <c r="B12" i="9"/>
  <c r="E11" i="9"/>
  <c r="F11" i="9" s="1"/>
  <c r="D11" i="9"/>
  <c r="C11" i="9"/>
  <c r="B11" i="9"/>
  <c r="E10" i="9"/>
  <c r="D10" i="9"/>
  <c r="C10" i="9"/>
  <c r="B10" i="9"/>
  <c r="E9" i="9"/>
  <c r="D9" i="9"/>
  <c r="C9" i="9"/>
  <c r="B9" i="9"/>
  <c r="F8" i="9"/>
  <c r="C8" i="9"/>
  <c r="H6" i="9"/>
  <c r="D73" i="7"/>
  <c r="D74" i="7"/>
  <c r="D76" i="7"/>
  <c r="D71" i="7"/>
  <c r="D69" i="7"/>
  <c r="F65" i="7"/>
  <c r="E51" i="7"/>
  <c r="F51" i="7"/>
  <c r="D60" i="7"/>
  <c r="D85" i="7"/>
  <c r="D86" i="7"/>
  <c r="C51" i="7"/>
  <c r="E50" i="7"/>
  <c r="D50" i="7"/>
  <c r="B50" i="7"/>
  <c r="E49" i="7"/>
  <c r="F49" i="7" s="1"/>
  <c r="D49" i="7"/>
  <c r="B49" i="7"/>
  <c r="A49" i="7"/>
  <c r="C49" i="7"/>
  <c r="E48" i="7"/>
  <c r="F48" i="7" s="1"/>
  <c r="D48" i="7"/>
  <c r="B48" i="7"/>
  <c r="E47" i="7"/>
  <c r="D47" i="7"/>
  <c r="B47" i="7"/>
  <c r="E46" i="7"/>
  <c r="D46" i="7"/>
  <c r="B46" i="7"/>
  <c r="E45" i="7"/>
  <c r="F45" i="7" s="1"/>
  <c r="D45" i="7"/>
  <c r="B45" i="7"/>
  <c r="A45" i="7"/>
  <c r="C45" i="7"/>
  <c r="A44" i="7"/>
  <c r="C44" i="7"/>
  <c r="F44" i="7"/>
  <c r="E41" i="7"/>
  <c r="F41" i="7" s="1"/>
  <c r="D41" i="7"/>
  <c r="C41" i="7"/>
  <c r="B41" i="7"/>
  <c r="A41" i="7"/>
  <c r="A50" i="7"/>
  <c r="C50" i="7"/>
  <c r="E40" i="7"/>
  <c r="F40" i="7" s="1"/>
  <c r="D40" i="7"/>
  <c r="C40" i="7"/>
  <c r="B40" i="7"/>
  <c r="A40" i="7"/>
  <c r="E39" i="7"/>
  <c r="D39" i="7"/>
  <c r="B39" i="7"/>
  <c r="A39" i="7"/>
  <c r="A48" i="7"/>
  <c r="C48" i="7"/>
  <c r="E38" i="7"/>
  <c r="D38" i="7"/>
  <c r="B38" i="7"/>
  <c r="A38" i="7"/>
  <c r="A47" i="7"/>
  <c r="C47" i="7"/>
  <c r="E37" i="7"/>
  <c r="F37" i="7" s="1"/>
  <c r="D37" i="7"/>
  <c r="C37" i="7"/>
  <c r="B37" i="7"/>
  <c r="A37" i="7"/>
  <c r="A46" i="7"/>
  <c r="C46" i="7"/>
  <c r="E36" i="7"/>
  <c r="D36" i="7"/>
  <c r="C36" i="7"/>
  <c r="B36" i="7"/>
  <c r="A36" i="7"/>
  <c r="F35" i="7"/>
  <c r="C35" i="7"/>
  <c r="A35" i="7"/>
  <c r="E32" i="7"/>
  <c r="F32" i="7" s="1"/>
  <c r="D32" i="7"/>
  <c r="C32" i="7"/>
  <c r="B32" i="7"/>
  <c r="E31" i="7"/>
  <c r="D31" i="7"/>
  <c r="C31" i="7"/>
  <c r="B31" i="7"/>
  <c r="E30" i="7"/>
  <c r="F30" i="7" s="1"/>
  <c r="D30" i="7"/>
  <c r="C30" i="7"/>
  <c r="B30" i="7"/>
  <c r="E29" i="7"/>
  <c r="D29" i="7"/>
  <c r="C29" i="7"/>
  <c r="B29" i="7"/>
  <c r="E28" i="7"/>
  <c r="F28" i="7" s="1"/>
  <c r="D28" i="7"/>
  <c r="C28" i="7"/>
  <c r="B28" i="7"/>
  <c r="E27" i="7"/>
  <c r="F27" i="7" s="1"/>
  <c r="D27" i="7"/>
  <c r="C27" i="7"/>
  <c r="B27" i="7"/>
  <c r="E24" i="7"/>
  <c r="F24" i="7" s="1"/>
  <c r="D24" i="7"/>
  <c r="C24" i="7"/>
  <c r="B24" i="7"/>
  <c r="E23" i="7"/>
  <c r="F23" i="7" s="1"/>
  <c r="D23" i="7"/>
  <c r="C23" i="7"/>
  <c r="B23" i="7"/>
  <c r="E22" i="7"/>
  <c r="F22" i="7" s="1"/>
  <c r="D22" i="7"/>
  <c r="C22" i="7"/>
  <c r="B22" i="7"/>
  <c r="E21" i="7"/>
  <c r="F21" i="7" s="1"/>
  <c r="D21" i="7"/>
  <c r="C21" i="7"/>
  <c r="B21" i="7"/>
  <c r="E20" i="7"/>
  <c r="F20" i="7" s="1"/>
  <c r="D20" i="7"/>
  <c r="C20" i="7"/>
  <c r="B20" i="7"/>
  <c r="E19" i="7"/>
  <c r="F19" i="7"/>
  <c r="D19" i="7"/>
  <c r="C19" i="7"/>
  <c r="B19" i="7"/>
  <c r="F18" i="7"/>
  <c r="D18" i="7"/>
  <c r="C18" i="7"/>
  <c r="B18" i="7"/>
  <c r="F17" i="7"/>
  <c r="C17" i="7"/>
  <c r="B15" i="7"/>
  <c r="E14" i="7"/>
  <c r="D14" i="7"/>
  <c r="C14" i="7"/>
  <c r="B14" i="7"/>
  <c r="E13" i="7"/>
  <c r="F13" i="7"/>
  <c r="D13" i="7"/>
  <c r="C13" i="7"/>
  <c r="B13" i="7"/>
  <c r="E12" i="7"/>
  <c r="D12" i="7"/>
  <c r="C12" i="7"/>
  <c r="B12" i="7"/>
  <c r="E11" i="7"/>
  <c r="F11" i="7" s="1"/>
  <c r="D11" i="7"/>
  <c r="C11" i="7"/>
  <c r="B11" i="7"/>
  <c r="E10" i="7"/>
  <c r="D10" i="7"/>
  <c r="C10" i="7"/>
  <c r="B10" i="7"/>
  <c r="E9" i="7"/>
  <c r="F9" i="7" s="1"/>
  <c r="D9" i="7"/>
  <c r="C9" i="7"/>
  <c r="B9" i="7"/>
  <c r="E8" i="7"/>
  <c r="D8" i="7"/>
  <c r="C8" i="7"/>
  <c r="B8" i="7"/>
  <c r="H6" i="7"/>
  <c r="D85" i="4"/>
  <c r="D75" i="4"/>
  <c r="D76" i="4"/>
  <c r="D78" i="4"/>
  <c r="D73" i="4"/>
  <c r="D71" i="4"/>
  <c r="F67" i="4"/>
  <c r="E53" i="4"/>
  <c r="F53" i="4"/>
  <c r="D62" i="4"/>
  <c r="D87" i="4"/>
  <c r="D88" i="4"/>
  <c r="C53" i="4"/>
  <c r="E52" i="4"/>
  <c r="D52" i="4"/>
  <c r="B52" i="4"/>
  <c r="E51" i="4"/>
  <c r="F51" i="4"/>
  <c r="D51" i="4"/>
  <c r="B51" i="4"/>
  <c r="A51" i="4"/>
  <c r="C51" i="4"/>
  <c r="E50" i="4"/>
  <c r="F50" i="4" s="1"/>
  <c r="D49" i="4"/>
  <c r="B49" i="4"/>
  <c r="E43" i="4"/>
  <c r="D43" i="4"/>
  <c r="B43" i="4"/>
  <c r="A43" i="4"/>
  <c r="A52" i="4"/>
  <c r="C52" i="4"/>
  <c r="E42" i="4"/>
  <c r="F42" i="4" s="1"/>
  <c r="D42" i="4"/>
  <c r="B42" i="4"/>
  <c r="A42" i="4"/>
  <c r="C42" i="4"/>
  <c r="E41" i="4"/>
  <c r="A41" i="4"/>
  <c r="A50" i="4"/>
  <c r="C50" i="4"/>
  <c r="E40" i="4"/>
  <c r="D40" i="4"/>
  <c r="B40" i="4"/>
  <c r="A40" i="4"/>
  <c r="C40" i="4"/>
  <c r="A39" i="4"/>
  <c r="C39" i="4"/>
  <c r="F39" i="4"/>
  <c r="A38" i="4"/>
  <c r="C38" i="4"/>
  <c r="C37" i="4"/>
  <c r="A37" i="4"/>
  <c r="A46" i="4"/>
  <c r="C46" i="4"/>
  <c r="E34" i="4"/>
  <c r="F34" i="4" s="1"/>
  <c r="D34" i="4"/>
  <c r="C34" i="4"/>
  <c r="B34" i="4"/>
  <c r="E33" i="4"/>
  <c r="D33" i="4"/>
  <c r="C33" i="4"/>
  <c r="B33" i="4"/>
  <c r="E32" i="4"/>
  <c r="F32" i="4"/>
  <c r="D32" i="4"/>
  <c r="C32" i="4"/>
  <c r="B32" i="4"/>
  <c r="E31" i="4"/>
  <c r="D31" i="4"/>
  <c r="C31" i="4"/>
  <c r="B31" i="4"/>
  <c r="E30" i="4"/>
  <c r="F30" i="4" s="1"/>
  <c r="D30" i="4"/>
  <c r="C30" i="4"/>
  <c r="B30" i="4"/>
  <c r="E29" i="4"/>
  <c r="D29" i="4"/>
  <c r="C29" i="4"/>
  <c r="B29" i="4"/>
  <c r="F28" i="4"/>
  <c r="D28" i="4"/>
  <c r="C28" i="4"/>
  <c r="B28" i="4"/>
  <c r="F27" i="4"/>
  <c r="C27" i="4"/>
  <c r="E24" i="4"/>
  <c r="F24" i="4"/>
  <c r="D24" i="4"/>
  <c r="C24" i="4"/>
  <c r="B24" i="4"/>
  <c r="E23" i="4"/>
  <c r="F23" i="4" s="1"/>
  <c r="D23" i="4"/>
  <c r="C23" i="4"/>
  <c r="B23" i="4"/>
  <c r="E22" i="4"/>
  <c r="F22" i="4"/>
  <c r="D22" i="4"/>
  <c r="C22" i="4"/>
  <c r="B22" i="4"/>
  <c r="E21" i="4"/>
  <c r="F21" i="4" s="1"/>
  <c r="C21" i="4"/>
  <c r="D20" i="4"/>
  <c r="C20" i="4"/>
  <c r="F20" i="4"/>
  <c r="B20" i="4"/>
  <c r="C19" i="4"/>
  <c r="F19" i="4"/>
  <c r="C18" i="4"/>
  <c r="C17" i="4"/>
  <c r="B15" i="4"/>
  <c r="E14" i="4"/>
  <c r="F14" i="4"/>
  <c r="D14" i="4"/>
  <c r="C14" i="4"/>
  <c r="B14" i="4"/>
  <c r="E13" i="4"/>
  <c r="F13" i="4"/>
  <c r="D13" i="4"/>
  <c r="C13" i="4"/>
  <c r="B13" i="4"/>
  <c r="E12" i="4"/>
  <c r="F12" i="4" s="1"/>
  <c r="D12" i="4"/>
  <c r="C12" i="4"/>
  <c r="B12" i="4"/>
  <c r="E11" i="4"/>
  <c r="F11" i="4"/>
  <c r="D11" i="4"/>
  <c r="C11" i="4"/>
  <c r="B11" i="4"/>
  <c r="E10" i="4"/>
  <c r="F10" i="4" s="1"/>
  <c r="D10" i="4"/>
  <c r="C10" i="4"/>
  <c r="B10" i="4"/>
  <c r="E9" i="4"/>
  <c r="F9" i="4"/>
  <c r="D9" i="4"/>
  <c r="C9" i="4"/>
  <c r="B9" i="4"/>
  <c r="E8" i="4"/>
  <c r="F8" i="4" s="1"/>
  <c r="D8" i="4"/>
  <c r="C8" i="4"/>
  <c r="B8" i="4"/>
  <c r="H6" i="4"/>
  <c r="D83" i="2"/>
  <c r="D81" i="2"/>
  <c r="D73" i="2"/>
  <c r="D74" i="2"/>
  <c r="D76" i="2"/>
  <c r="D71" i="2"/>
  <c r="D69" i="2"/>
  <c r="F65" i="2"/>
  <c r="E51" i="2"/>
  <c r="F51" i="2"/>
  <c r="D60" i="2"/>
  <c r="D85" i="2"/>
  <c r="D86" i="2"/>
  <c r="C51" i="2"/>
  <c r="E50" i="2"/>
  <c r="D50" i="2"/>
  <c r="B50" i="2"/>
  <c r="E49" i="2"/>
  <c r="F49" i="2"/>
  <c r="D49" i="2"/>
  <c r="B49" i="2"/>
  <c r="A49" i="2"/>
  <c r="C49" i="2"/>
  <c r="E48" i="2"/>
  <c r="F48" i="2"/>
  <c r="D48" i="2"/>
  <c r="B48" i="2"/>
  <c r="A48" i="2"/>
  <c r="C48" i="2"/>
  <c r="E47" i="2"/>
  <c r="F47" i="2"/>
  <c r="D47" i="2"/>
  <c r="B47" i="2"/>
  <c r="E46" i="2"/>
  <c r="F46" i="2" s="1"/>
  <c r="D46" i="2"/>
  <c r="B46" i="2"/>
  <c r="E45" i="2"/>
  <c r="F45" i="2" s="1"/>
  <c r="D45" i="2"/>
  <c r="B45" i="2"/>
  <c r="A45" i="2"/>
  <c r="C45" i="2"/>
  <c r="A44" i="2"/>
  <c r="C44" i="2"/>
  <c r="F44" i="2"/>
  <c r="E41" i="2"/>
  <c r="D41" i="2"/>
  <c r="B41" i="2"/>
  <c r="A41" i="2"/>
  <c r="A50" i="2"/>
  <c r="C50" i="2"/>
  <c r="E40" i="2"/>
  <c r="F40" i="2" s="1"/>
  <c r="D40" i="2"/>
  <c r="C40" i="2"/>
  <c r="B40" i="2"/>
  <c r="A40" i="2"/>
  <c r="E39" i="2"/>
  <c r="F39" i="2" s="1"/>
  <c r="D39" i="2"/>
  <c r="C39" i="2"/>
  <c r="B39" i="2"/>
  <c r="A39" i="2"/>
  <c r="E38" i="2"/>
  <c r="F38" i="2" s="1"/>
  <c r="D38" i="2"/>
  <c r="B38" i="2"/>
  <c r="A38" i="2"/>
  <c r="A47" i="2"/>
  <c r="C47" i="2"/>
  <c r="E37" i="2"/>
  <c r="D37" i="2"/>
  <c r="B37" i="2"/>
  <c r="A37" i="2"/>
  <c r="A46" i="2"/>
  <c r="C46" i="2"/>
  <c r="E36" i="2"/>
  <c r="D36" i="2"/>
  <c r="C36" i="2"/>
  <c r="B36" i="2"/>
  <c r="A36" i="2"/>
  <c r="F35" i="2"/>
  <c r="C35" i="2"/>
  <c r="A35" i="2"/>
  <c r="E32" i="2"/>
  <c r="F32" i="2"/>
  <c r="D32" i="2"/>
  <c r="C32" i="2"/>
  <c r="B32" i="2"/>
  <c r="E31" i="2"/>
  <c r="F31" i="2" s="1"/>
  <c r="D31" i="2"/>
  <c r="C31" i="2"/>
  <c r="B31" i="2"/>
  <c r="E30" i="2"/>
  <c r="F30" i="2"/>
  <c r="D30" i="2"/>
  <c r="C30" i="2"/>
  <c r="B30" i="2"/>
  <c r="E29" i="2"/>
  <c r="F29" i="2" s="1"/>
  <c r="D29" i="2"/>
  <c r="C29" i="2"/>
  <c r="B29" i="2"/>
  <c r="E28" i="2"/>
  <c r="F28" i="2"/>
  <c r="D28" i="2"/>
  <c r="C28" i="2"/>
  <c r="B28" i="2"/>
  <c r="E27" i="2"/>
  <c r="D27" i="2"/>
  <c r="C27" i="2"/>
  <c r="B27" i="2"/>
  <c r="E24" i="2"/>
  <c r="F24" i="2" s="1"/>
  <c r="D24" i="2"/>
  <c r="C24" i="2"/>
  <c r="B24" i="2"/>
  <c r="E23" i="2"/>
  <c r="F23" i="2"/>
  <c r="D23" i="2"/>
  <c r="C23" i="2"/>
  <c r="B23" i="2"/>
  <c r="E22" i="2"/>
  <c r="F22" i="2"/>
  <c r="D22" i="2"/>
  <c r="C22" i="2"/>
  <c r="B22" i="2"/>
  <c r="E21" i="2"/>
  <c r="F21" i="2"/>
  <c r="D21" i="2"/>
  <c r="C21" i="2"/>
  <c r="B21" i="2"/>
  <c r="E20" i="2"/>
  <c r="F20" i="2" s="1"/>
  <c r="D20" i="2"/>
  <c r="C20" i="2"/>
  <c r="B20" i="2"/>
  <c r="E19" i="2"/>
  <c r="F19" i="2"/>
  <c r="D19" i="2"/>
  <c r="C19" i="2"/>
  <c r="B19" i="2"/>
  <c r="F18" i="2"/>
  <c r="D18" i="2"/>
  <c r="C18" i="2"/>
  <c r="B18" i="2"/>
  <c r="F17" i="2"/>
  <c r="C17" i="2"/>
  <c r="B15" i="2"/>
  <c r="E14" i="2"/>
  <c r="F14" i="2" s="1"/>
  <c r="D14" i="2"/>
  <c r="C14" i="2"/>
  <c r="B14" i="2"/>
  <c r="E13" i="2"/>
  <c r="F13" i="2"/>
  <c r="D13" i="2"/>
  <c r="C13" i="2"/>
  <c r="B13" i="2"/>
  <c r="E12" i="2"/>
  <c r="D12" i="2"/>
  <c r="C12" i="2"/>
  <c r="B12" i="2"/>
  <c r="E11" i="2"/>
  <c r="F11" i="2"/>
  <c r="D11" i="2"/>
  <c r="C11" i="2"/>
  <c r="B11" i="2"/>
  <c r="E10" i="2"/>
  <c r="D10" i="2"/>
  <c r="C10" i="2"/>
  <c r="B10" i="2"/>
  <c r="E9" i="2"/>
  <c r="F9" i="2"/>
  <c r="D9" i="2"/>
  <c r="C9" i="2"/>
  <c r="B9" i="2"/>
  <c r="E8" i="2"/>
  <c r="D8" i="2"/>
  <c r="C8" i="2"/>
  <c r="B8" i="2"/>
  <c r="H6" i="2"/>
  <c r="F36" i="7"/>
  <c r="F50" i="7"/>
  <c r="F46" i="7"/>
  <c r="F50" i="9"/>
  <c r="F29" i="9"/>
  <c r="F31" i="9"/>
  <c r="F33" i="9"/>
  <c r="F52" i="9"/>
  <c r="F12" i="7"/>
  <c r="F14" i="7"/>
  <c r="F8" i="7"/>
  <c r="F10" i="7"/>
  <c r="F29" i="7"/>
  <c r="F31" i="7"/>
  <c r="F9" i="9"/>
  <c r="F10" i="9"/>
  <c r="F12" i="9"/>
  <c r="F14" i="9"/>
  <c r="F46" i="9"/>
  <c r="F51" i="9"/>
  <c r="A47" i="9"/>
  <c r="C47" i="9"/>
  <c r="C41" i="9"/>
  <c r="F41" i="9"/>
  <c r="A48" i="9"/>
  <c r="C48" i="9"/>
  <c r="F48" i="9"/>
  <c r="D83" i="9"/>
  <c r="C43" i="9"/>
  <c r="F43" i="9"/>
  <c r="C75" i="9"/>
  <c r="D83" i="7"/>
  <c r="F47" i="7"/>
  <c r="F38" i="7"/>
  <c r="C39" i="7"/>
  <c r="F39" i="7"/>
  <c r="D81" i="7"/>
  <c r="C38" i="7"/>
  <c r="C73" i="7"/>
  <c r="F27" i="2"/>
  <c r="F29" i="4"/>
  <c r="F31" i="4"/>
  <c r="F33" i="4"/>
  <c r="F36" i="2"/>
  <c r="F52" i="4"/>
  <c r="F50" i="2"/>
  <c r="F8" i="2"/>
  <c r="F10" i="2"/>
  <c r="F12" i="2"/>
  <c r="F40" i="4"/>
  <c r="A47" i="4"/>
  <c r="C47" i="4"/>
  <c r="C41" i="4"/>
  <c r="F41" i="4"/>
  <c r="A48" i="4"/>
  <c r="C48" i="4"/>
  <c r="F48" i="4"/>
  <c r="A49" i="4"/>
  <c r="C49" i="4"/>
  <c r="F49" i="4"/>
  <c r="D83" i="4"/>
  <c r="C43" i="4"/>
  <c r="F43" i="4"/>
  <c r="C75" i="4"/>
  <c r="C38" i="2"/>
  <c r="C73" i="2"/>
  <c r="C37" i="2"/>
  <c r="F37" i="2"/>
  <c r="C41" i="2"/>
  <c r="F41" i="2"/>
  <c r="C87" i="9"/>
  <c r="E87" i="9"/>
  <c r="E75" i="9"/>
  <c r="C85" i="7"/>
  <c r="E85" i="7"/>
  <c r="E73" i="7"/>
  <c r="C87" i="4"/>
  <c r="E87" i="4"/>
  <c r="E75" i="4"/>
  <c r="C85" i="2"/>
  <c r="E85" i="2"/>
  <c r="E73" i="2"/>
  <c r="E46" i="4"/>
  <c r="F46" i="4"/>
  <c r="E37" i="4"/>
  <c r="F37" i="4"/>
  <c r="E38" i="4"/>
  <c r="F38" i="4" s="1"/>
  <c r="E38" i="9"/>
  <c r="F38" i="9"/>
  <c r="E18" i="9"/>
  <c r="F18" i="9"/>
  <c r="E18" i="4"/>
  <c r="F18" i="4"/>
  <c r="E47" i="9"/>
  <c r="F47" i="9" s="1"/>
  <c r="E47" i="4"/>
  <c r="F47" i="4"/>
  <c r="F56" i="4" l="1"/>
  <c r="H56" i="4" s="1"/>
  <c r="G2" i="4" s="1"/>
  <c r="F54" i="2"/>
  <c r="F58" i="9"/>
  <c r="F54" i="7"/>
  <c r="C76" i="7" s="1"/>
  <c r="E76" i="7" s="1"/>
  <c r="F53" i="7"/>
  <c r="F58" i="4"/>
  <c r="H58" i="4" s="1"/>
  <c r="O57" i="4" s="1"/>
  <c r="C69" i="7"/>
  <c r="F55" i="7"/>
  <c r="H55" i="7" s="1"/>
  <c r="F53" i="2"/>
  <c r="C69" i="2" s="1"/>
  <c r="H2" i="4"/>
  <c r="H60" i="4"/>
  <c r="H61" i="4" s="1"/>
  <c r="O60" i="4" s="1"/>
  <c r="F56" i="2"/>
  <c r="H54" i="2"/>
  <c r="G2" i="2" s="1"/>
  <c r="C76" i="2"/>
  <c r="E76" i="2" s="1"/>
  <c r="C76" i="9"/>
  <c r="H58" i="9"/>
  <c r="C76" i="4"/>
  <c r="F56" i="9"/>
  <c r="H53" i="7"/>
  <c r="C78" i="4"/>
  <c r="E78" i="4" s="1"/>
  <c r="F64" i="7"/>
  <c r="F56" i="7"/>
  <c r="H54" i="7" l="1"/>
  <c r="G2" i="7" s="1"/>
  <c r="O54" i="7"/>
  <c r="O56" i="7" s="1"/>
  <c r="F63" i="7"/>
  <c r="F66" i="7" s="1"/>
  <c r="G56" i="7" s="1"/>
  <c r="F64" i="2"/>
  <c r="E69" i="7"/>
  <c r="C81" i="7"/>
  <c r="E81" i="7" s="1"/>
  <c r="H53" i="2"/>
  <c r="E17" i="4" s="1"/>
  <c r="F17" i="4" s="1"/>
  <c r="F55" i="2"/>
  <c r="H55" i="2" s="1"/>
  <c r="E76" i="9"/>
  <c r="C88" i="9"/>
  <c r="E88" i="9" s="1"/>
  <c r="C74" i="2"/>
  <c r="H56" i="2"/>
  <c r="E17" i="9"/>
  <c r="F17" i="9" s="1"/>
  <c r="F2" i="7"/>
  <c r="H2" i="9"/>
  <c r="O57" i="9"/>
  <c r="H60" i="9"/>
  <c r="H61" i="9" s="1"/>
  <c r="O60" i="9" s="1"/>
  <c r="H56" i="7"/>
  <c r="C74" i="7"/>
  <c r="E69" i="2"/>
  <c r="C81" i="2"/>
  <c r="E81" i="2" s="1"/>
  <c r="C88" i="4"/>
  <c r="E88" i="4" s="1"/>
  <c r="E76" i="4"/>
  <c r="E63" i="7"/>
  <c r="C71" i="7"/>
  <c r="H56" i="9"/>
  <c r="G2" i="9" s="1"/>
  <c r="C78" i="9"/>
  <c r="E78" i="9" s="1"/>
  <c r="O54" i="2" l="1"/>
  <c r="F63" i="2"/>
  <c r="E63" i="2" s="1"/>
  <c r="F2" i="2"/>
  <c r="H58" i="7"/>
  <c r="H59" i="7" s="1"/>
  <c r="O58" i="7" s="1"/>
  <c r="H2" i="7"/>
  <c r="O55" i="7"/>
  <c r="O57" i="7" s="1"/>
  <c r="O59" i="7" s="1"/>
  <c r="O56" i="2"/>
  <c r="F66" i="2"/>
  <c r="G63" i="2" s="1"/>
  <c r="C71" i="2"/>
  <c r="H2" i="2"/>
  <c r="O55" i="2"/>
  <c r="H58" i="2"/>
  <c r="H59" i="2" s="1"/>
  <c r="O58" i="2" s="1"/>
  <c r="G44" i="7"/>
  <c r="G66" i="7"/>
  <c r="G13" i="7"/>
  <c r="G50" i="7"/>
  <c r="G35" i="7"/>
  <c r="G24" i="7"/>
  <c r="G22" i="7"/>
  <c r="G51" i="7"/>
  <c r="G10" i="7"/>
  <c r="G9" i="7"/>
  <c r="G41" i="7"/>
  <c r="G40" i="7"/>
  <c r="G36" i="7"/>
  <c r="G21" i="7"/>
  <c r="G17" i="7"/>
  <c r="G29" i="7"/>
  <c r="G49" i="7"/>
  <c r="G45" i="7"/>
  <c r="G30" i="7"/>
  <c r="G65" i="7"/>
  <c r="G38" i="7"/>
  <c r="G27" i="7"/>
  <c r="G28" i="7"/>
  <c r="G32" i="7"/>
  <c r="G54" i="7"/>
  <c r="G23" i="7"/>
  <c r="G12" i="7"/>
  <c r="G11" i="7"/>
  <c r="G18" i="7"/>
  <c r="G14" i="7"/>
  <c r="G19" i="7"/>
  <c r="G8" i="7"/>
  <c r="G31" i="7"/>
  <c r="G46" i="7"/>
  <c r="G37" i="7"/>
  <c r="G48" i="7"/>
  <c r="G39" i="7"/>
  <c r="G55" i="7"/>
  <c r="G53" i="7"/>
  <c r="G20" i="7"/>
  <c r="G47" i="7"/>
  <c r="F55" i="9"/>
  <c r="G64" i="7"/>
  <c r="C86" i="2"/>
  <c r="E86" i="2" s="1"/>
  <c r="E74" i="2"/>
  <c r="F55" i="4"/>
  <c r="E78" i="2"/>
  <c r="E71" i="7"/>
  <c r="C83" i="7"/>
  <c r="E83" i="7" s="1"/>
  <c r="G63" i="7"/>
  <c r="E74" i="7"/>
  <c r="E78" i="7" s="1"/>
  <c r="C86" i="7"/>
  <c r="E86" i="7" s="1"/>
  <c r="O57" i="2" l="1"/>
  <c r="O59" i="2" s="1"/>
  <c r="O60" i="2"/>
  <c r="O61" i="2" s="1"/>
  <c r="O62" i="2" s="1"/>
  <c r="C71" i="4"/>
  <c r="F57" i="4"/>
  <c r="H55" i="4"/>
  <c r="F2" i="4" s="1"/>
  <c r="F66" i="4"/>
  <c r="O60" i="7"/>
  <c r="O61" i="7" s="1"/>
  <c r="O62" i="7" s="1"/>
  <c r="G66" i="2"/>
  <c r="G23" i="2"/>
  <c r="G17" i="2"/>
  <c r="G51" i="2"/>
  <c r="G35" i="2"/>
  <c r="G40" i="2"/>
  <c r="G29" i="2"/>
  <c r="G19" i="2"/>
  <c r="G14" i="2"/>
  <c r="G10" i="2"/>
  <c r="G47" i="2"/>
  <c r="G65" i="2"/>
  <c r="G13" i="2"/>
  <c r="G18" i="2"/>
  <c r="G32" i="2"/>
  <c r="G12" i="2"/>
  <c r="G24" i="2"/>
  <c r="G39" i="2"/>
  <c r="G44" i="2"/>
  <c r="G9" i="2"/>
  <c r="G38" i="2"/>
  <c r="G49" i="2"/>
  <c r="G30" i="2"/>
  <c r="G41" i="2"/>
  <c r="G31" i="2"/>
  <c r="G53" i="2"/>
  <c r="G37" i="2"/>
  <c r="G50" i="2"/>
  <c r="G54" i="2"/>
  <c r="G28" i="2"/>
  <c r="G27" i="2"/>
  <c r="G11" i="2"/>
  <c r="G45" i="2"/>
  <c r="G48" i="2"/>
  <c r="G46" i="2"/>
  <c r="G21" i="2"/>
  <c r="G36" i="2"/>
  <c r="G20" i="2"/>
  <c r="G22" i="2"/>
  <c r="G8" i="2"/>
  <c r="G56" i="2"/>
  <c r="G64" i="2"/>
  <c r="G55" i="2"/>
  <c r="H55" i="9"/>
  <c r="F2" i="9" s="1"/>
  <c r="F57" i="9"/>
  <c r="C71" i="9"/>
  <c r="F66" i="9"/>
  <c r="C83" i="2"/>
  <c r="E83" i="2" s="1"/>
  <c r="E71" i="2"/>
  <c r="P62" i="2" l="1"/>
  <c r="E2" i="2"/>
  <c r="E71" i="9"/>
  <c r="E80" i="9" s="1"/>
  <c r="C83" i="9"/>
  <c r="E83" i="9" s="1"/>
  <c r="E2" i="7"/>
  <c r="P62" i="7"/>
  <c r="O56" i="9"/>
  <c r="H57" i="9"/>
  <c r="F65" i="9"/>
  <c r="F65" i="4"/>
  <c r="O56" i="4"/>
  <c r="H57" i="4"/>
  <c r="E71" i="4"/>
  <c r="E80" i="4" s="1"/>
  <c r="C83" i="4"/>
  <c r="E83" i="4" s="1"/>
  <c r="O58" i="9" l="1"/>
  <c r="O59" i="9"/>
  <c r="O61" i="9" s="1"/>
  <c r="E65" i="4"/>
  <c r="C73" i="4"/>
  <c r="F68" i="4"/>
  <c r="O58" i="4"/>
  <c r="O59" i="4" s="1"/>
  <c r="O61" i="4" s="1"/>
  <c r="C73" i="9"/>
  <c r="F68" i="9"/>
  <c r="G65" i="9" s="1"/>
  <c r="E65" i="9"/>
  <c r="O62" i="4" l="1"/>
  <c r="O63" i="4" s="1"/>
  <c r="O64" i="4" s="1"/>
  <c r="G24" i="4"/>
  <c r="G32" i="4"/>
  <c r="G37" i="4"/>
  <c r="G67" i="4"/>
  <c r="G21" i="4"/>
  <c r="G22" i="4"/>
  <c r="G41" i="4"/>
  <c r="G18" i="4"/>
  <c r="G43" i="4"/>
  <c r="G51" i="4"/>
  <c r="G12" i="4"/>
  <c r="G53" i="4"/>
  <c r="G68" i="4"/>
  <c r="G11" i="4"/>
  <c r="G38" i="4"/>
  <c r="G40" i="4"/>
  <c r="G39" i="4"/>
  <c r="G42" i="4"/>
  <c r="G47" i="4"/>
  <c r="G46" i="4"/>
  <c r="G8" i="4"/>
  <c r="G29" i="4"/>
  <c r="G14" i="4"/>
  <c r="G20" i="4"/>
  <c r="G19" i="4"/>
  <c r="G58" i="4"/>
  <c r="G10" i="4"/>
  <c r="G23" i="4"/>
  <c r="G27" i="4"/>
  <c r="G34" i="4"/>
  <c r="G50" i="4"/>
  <c r="G33" i="4"/>
  <c r="G31" i="4"/>
  <c r="G48" i="4"/>
  <c r="G49" i="4"/>
  <c r="G13" i="4"/>
  <c r="G28" i="4"/>
  <c r="G30" i="4"/>
  <c r="G56" i="4"/>
  <c r="G52" i="4"/>
  <c r="G9" i="4"/>
  <c r="G17" i="4"/>
  <c r="G55" i="4"/>
  <c r="G66" i="4"/>
  <c r="G57" i="4"/>
  <c r="G48" i="9"/>
  <c r="G21" i="9"/>
  <c r="G50" i="9"/>
  <c r="G28" i="9"/>
  <c r="G20" i="9"/>
  <c r="G19" i="9"/>
  <c r="G24" i="9"/>
  <c r="G8" i="9"/>
  <c r="G43" i="9"/>
  <c r="G18" i="9"/>
  <c r="G46" i="9"/>
  <c r="G31" i="9"/>
  <c r="G29" i="9"/>
  <c r="G68" i="9"/>
  <c r="G33" i="9"/>
  <c r="G40" i="9"/>
  <c r="G67" i="9"/>
  <c r="G13" i="9"/>
  <c r="G32" i="9"/>
  <c r="G14" i="9"/>
  <c r="G34" i="9"/>
  <c r="G22" i="9"/>
  <c r="G37" i="9"/>
  <c r="G41" i="9"/>
  <c r="G39" i="9"/>
  <c r="G23" i="9"/>
  <c r="G53" i="9"/>
  <c r="G42" i="9"/>
  <c r="G38" i="9"/>
  <c r="G9" i="9"/>
  <c r="G27" i="9"/>
  <c r="G30" i="9"/>
  <c r="G47" i="9"/>
  <c r="G11" i="9"/>
  <c r="G12" i="9"/>
  <c r="G51" i="9"/>
  <c r="G49" i="9"/>
  <c r="G52" i="9"/>
  <c r="G58" i="9"/>
  <c r="G10" i="9"/>
  <c r="G56" i="9"/>
  <c r="G17" i="9"/>
  <c r="G55" i="9"/>
  <c r="G66" i="9"/>
  <c r="G57" i="9"/>
  <c r="G65" i="4"/>
  <c r="E73" i="4"/>
  <c r="C85" i="4"/>
  <c r="E85" i="4" s="1"/>
  <c r="O62" i="9"/>
  <c r="O63" i="9" s="1"/>
  <c r="O64" i="9" s="1"/>
  <c r="C85" i="9"/>
  <c r="E85" i="9" s="1"/>
  <c r="E73" i="9"/>
  <c r="P64" i="9" l="1"/>
  <c r="E2" i="9"/>
  <c r="P64" i="4"/>
  <c r="E2" i="4"/>
</calcChain>
</file>

<file path=xl/sharedStrings.xml><?xml version="1.0" encoding="utf-8"?>
<sst xmlns="http://schemas.openxmlformats.org/spreadsheetml/2006/main" count="869" uniqueCount="218">
  <si>
    <t>SERVICIOS DE PASTELERIA S.A.</t>
  </si>
  <si>
    <t>CÓDIGO:</t>
  </si>
  <si>
    <t>ESPECIFICACION DE RECETA</t>
  </si>
  <si>
    <t>REVISIÓN:</t>
  </si>
  <si>
    <t>Rosquete vainilla Easy SP 1220g</t>
  </si>
  <si>
    <t>FECHA DE APROBACIÓN:</t>
  </si>
  <si>
    <t>Elaborado</t>
  </si>
  <si>
    <t>Javier Tong, Chef</t>
  </si>
  <si>
    <t>Aprobado</t>
  </si>
  <si>
    <t>Esteban Cartin, Gte Manufactura</t>
  </si>
  <si>
    <t xml:space="preserve"># Código </t>
  </si>
  <si>
    <t># Codigo Netsuite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</si>
  <si>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</si>
  <si>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</si>
  <si>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</si>
  <si>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</si>
  <si>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</si>
  <si>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</si>
  <si>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</si>
  <si>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</si>
  <si>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SE00434</t>
  </si>
  <si>
    <t>BATIDO EASY QUEQUE VAINILLA SP</t>
  </si>
  <si>
    <t>FAS</t>
  </si>
  <si>
    <t>g</t>
  </si>
  <si>
    <t>EMPAQUE</t>
  </si>
  <si>
    <t>MEZCLA P/ENGRASE MOLDES KILO</t>
  </si>
  <si>
    <t>AS00028</t>
  </si>
  <si>
    <t>BOLSA TRANSPARENTE 56X96X1.80 (KILO)</t>
  </si>
  <si>
    <t>Plasticos P</t>
  </si>
  <si>
    <t>ud</t>
  </si>
  <si>
    <t>EM10011</t>
  </si>
  <si>
    <t>ETIQUETA BLANCA 2 5/8X1 15/16 (UND)</t>
  </si>
  <si>
    <t>Cemusa</t>
  </si>
  <si>
    <t>EM10004</t>
  </si>
  <si>
    <t>ETIQ.FECHA VENCIMIENTO BLANCO (ROLLO)</t>
  </si>
  <si>
    <t>Etiplas</t>
  </si>
  <si>
    <t>Unidad</t>
  </si>
  <si>
    <t>PESO TOTAL OBTENIDO</t>
  </si>
  <si>
    <t>Tiempo de Horneo:</t>
  </si>
  <si>
    <t>TIEMPO TOTAL DE PREPARACION</t>
  </si>
  <si>
    <t>min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</si>
  <si>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</si>
  <si>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</si>
  <si>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</si>
  <si>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</si>
  <si>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</si>
  <si>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</si>
  <si>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</si>
  <si>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1.- Dosificar la mezcla en el molde engrasado.</t>
  </si>
  <si>
    <t>2.- Hornear en horno Dicte 1 o 2 a 175°C por 56 minutos .</t>
  </si>
  <si>
    <t>3.- Desmoldar y colocar en latas, cubrir con bolsa plastica, etiquetar con nombre y fecha de vencimiento.</t>
  </si>
  <si>
    <t>Control de cambios</t>
  </si>
  <si>
    <t>Torta 30 porciones vainilla Walmart</t>
  </si>
  <si>
    <t>Juan Pablo Brenes, Chef</t>
  </si>
  <si>
    <t>Esteban Cartín, Gerente de Manufactura</t>
  </si>
  <si>
    <t>Ensamble</t>
  </si>
  <si>
    <t>NUEVO</t>
  </si>
  <si>
    <t>1 UD</t>
  </si>
  <si>
    <t>SE00032</t>
  </si>
  <si>
    <t>CREMA DULCE LECHE KILO</t>
  </si>
  <si>
    <t>Decoración</t>
  </si>
  <si>
    <t>CREMA CHANTILLY BLANCA BUCCA</t>
  </si>
  <si>
    <t>Encremar</t>
  </si>
  <si>
    <t>CREMA CHANTILLY FUCSIA BUCCA</t>
  </si>
  <si>
    <t>COLOCHO</t>
  </si>
  <si>
    <t>MANJAR CON AGUA</t>
  </si>
  <si>
    <t>Empaqye</t>
  </si>
  <si>
    <t>1950818</t>
  </si>
  <si>
    <t>NetSuiteCode</t>
  </si>
  <si>
    <t>QUEQUERA RECT. T41 (CAJA:50 UND)</t>
  </si>
  <si>
    <t>Export pmt</t>
  </si>
  <si>
    <t>1950811</t>
  </si>
  <si>
    <t>EM10033</t>
  </si>
  <si>
    <t>BASE CARTON 15 PORCIONES (UND)</t>
  </si>
  <si>
    <t>Estuardo</t>
  </si>
  <si>
    <t>0702007</t>
  </si>
  <si>
    <t>Etiplast</t>
  </si>
  <si>
    <t>701096</t>
  </si>
  <si>
    <t>EM10124</t>
  </si>
  <si>
    <t>ETIQUETA BLANCA R-153 (UND)</t>
  </si>
  <si>
    <t>60100011</t>
  </si>
  <si>
    <t>EM10118</t>
  </si>
  <si>
    <t>ETIQ TORTA GENERICA BUCCA GRANDE (UND)</t>
  </si>
  <si>
    <t>Litografia CR</t>
  </si>
  <si>
    <t>0702123</t>
  </si>
  <si>
    <t>703020</t>
  </si>
  <si>
    <t>EM10248</t>
  </si>
  <si>
    <t>CINTA ADHESIVA TRANSPARENT 2*100 M (UND)</t>
  </si>
  <si>
    <t>CM</t>
  </si>
  <si>
    <t>1.-Partir el rosquete por la mitad y rellenar con la crema chantilly blanca. Colocar sobre la orla</t>
  </si>
  <si>
    <t>2.- Encremar con la crema blanca lisa, y hacer colochos en el borde con la crema marmoleada con el manjar con agua.</t>
  </si>
  <si>
    <t>3.- Empacar en quequera, etiquetar con nombre, ingredientes, código, fecha de vencimiento, día juliano.</t>
  </si>
  <si>
    <t>CONTROL DE CAMBIOS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</si>
  <si>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</si>
  <si>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</si>
  <si>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</si>
  <si>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</si>
  <si>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</si>
  <si>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</si>
  <si>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</si>
  <si>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</si>
  <si>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</si>
  <si>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</si>
  <si>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</si>
  <si>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</si>
  <si>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</si>
  <si>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</si>
  <si>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 xml:space="preserve">Gramos </t>
  </si>
  <si>
    <t>907000285</t>
  </si>
  <si>
    <t>902000019</t>
  </si>
  <si>
    <t>1950928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</si>
  <si>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</si>
  <si>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</si>
  <si>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</si>
  <si>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</si>
  <si>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</si>
  <si>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</si>
  <si>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</si>
  <si>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</si>
  <si>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</si>
  <si>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</si>
  <si>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</si>
  <si>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</si>
  <si>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</si>
  <si>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MK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</si>
  <si>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</si>
  <si>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</si>
  <si>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</si>
  <si>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</si>
  <si>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</si>
  <si>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</si>
  <si>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</si>
  <si>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</si>
  <si>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</si>
  <si>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</si>
  <si>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</si>
  <si>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</si>
  <si>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61 COLONES X MIN</t>
  </si>
  <si>
    <t xml:space="preserve">Gf 58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</si>
  <si>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</si>
  <si>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</si>
  <si>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</si>
  <si>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</si>
  <si>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</si>
  <si>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</si>
  <si>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</si>
  <si>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</si>
  <si>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</si>
  <si>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Rosquete vainilla Easy SP 1000g</t>
  </si>
  <si>
    <t xml:space="preserve">UND </t>
  </si>
  <si>
    <t>905000108</t>
  </si>
  <si>
    <t>96344</t>
  </si>
  <si>
    <t>QUEQUERA RECT. 1/4</t>
  </si>
  <si>
    <t>Und</t>
  </si>
  <si>
    <t>UND</t>
  </si>
  <si>
    <t>905000100</t>
  </si>
  <si>
    <t>SE00065</t>
  </si>
  <si>
    <t>Crema Chantilly Lila</t>
  </si>
  <si>
    <t>PALITOS COLORES MAVALERIO</t>
  </si>
  <si>
    <t xml:space="preserve">Grams </t>
  </si>
  <si>
    <t xml:space="preserve">ESP-RE-BAF-119 </t>
  </si>
  <si>
    <t>01</t>
  </si>
  <si>
    <t>907000285(SE00434) Batido Easy queque vainilla SP</t>
  </si>
  <si>
    <t>Juan Pablo Brenes,chef</t>
  </si>
  <si>
    <t>Esteban Cartin, Gerente de Manufactura</t>
  </si>
  <si>
    <t>AREA QUE PRODUCE:</t>
  </si>
  <si>
    <t>Batidos</t>
  </si>
  <si>
    <t xml:space="preserve">AREA QUE EMPACA: </t>
  </si>
  <si>
    <t>SE00435</t>
  </si>
  <si>
    <t>PREMEZCLA EASY QUEQUE VAINILLA SP</t>
  </si>
  <si>
    <t>1210482</t>
  </si>
  <si>
    <t>MP10005</t>
  </si>
  <si>
    <t>HUEVO LIQUIDO ESPECIAL INNOV (CAJA:10 K)</t>
  </si>
  <si>
    <t>INNOVO</t>
  </si>
  <si>
    <t>10415</t>
  </si>
  <si>
    <t>AGUA POTABLE (PLANTA)</t>
  </si>
  <si>
    <t>MP10002</t>
  </si>
  <si>
    <t>ACEITE CAPULLO RBD (UND:17 L)</t>
  </si>
  <si>
    <t>CAPULLO</t>
  </si>
  <si>
    <t>1.- Colocar todos los ingredientes en la batidora y batir con paleta.</t>
  </si>
  <si>
    <t>2.- Batir por 2 minutos en velocidad 1.</t>
  </si>
  <si>
    <t>3.- Luego batir por 7 minutos a velocidad 2.</t>
  </si>
  <si>
    <t>4.- Pasar a dosificar.</t>
  </si>
  <si>
    <t>SE00638</t>
  </si>
  <si>
    <t>SE00634</t>
  </si>
  <si>
    <t>EM10262</t>
  </si>
  <si>
    <t>Decoracion</t>
  </si>
  <si>
    <t># Código Netsuite</t>
  </si>
  <si>
    <t>ROSQUETE VAINILLA EASY SP 1000G</t>
  </si>
  <si>
    <t>1 UND</t>
  </si>
  <si>
    <t>ENCREMAR</t>
  </si>
  <si>
    <t>CREMA CHANTILLY LILA</t>
  </si>
  <si>
    <t>BOQUILLA 22</t>
  </si>
  <si>
    <t>Empaque</t>
  </si>
  <si>
    <t>EXPORT PMT</t>
  </si>
  <si>
    <t>ETIPLAST</t>
  </si>
  <si>
    <t>CEMUSA</t>
  </si>
  <si>
    <t>EM10390</t>
  </si>
  <si>
    <t>ETIQUETA TORTA 30 PORCIONES VAINILLA</t>
  </si>
  <si>
    <t>LITOGRAFIA CR</t>
  </si>
  <si>
    <t>ESP-RE-DEF-024</t>
  </si>
  <si>
    <t>4 tazas</t>
  </si>
  <si>
    <t>Revision #2: Aumento en la cantidad de la crema dulce en el relleno.</t>
  </si>
  <si>
    <t>0.01 ud</t>
  </si>
  <si>
    <t>calzas</t>
  </si>
  <si>
    <t>Revision #3: Actualizacion pesos de, rosquete, relleno, encremado y colocho.  Se le agrego etiqueta 3x3</t>
  </si>
  <si>
    <t>Revision  #4: Actualizacion de procedimiento donde se agregan las calzas</t>
  </si>
  <si>
    <t>PTI00221 Torta 30 porciones vainilla Walmart</t>
  </si>
  <si>
    <t>BOQUILLA 17</t>
  </si>
  <si>
    <t>EM10436</t>
  </si>
  <si>
    <t>ORLA 30 PORCIONES</t>
  </si>
  <si>
    <t>2.- Encremar con la crema blanca lisa, y hacer colochos blancos con boquilla 22 (colcoho blanco) y boquilla 17 (colocho lila) en el borde de arriba de la torta, la segunda fila con la crema lila y abajo alrededor de la torta.</t>
  </si>
  <si>
    <t>Revision  #5: Se corrige el codigo de la orla de carton y cambia boquilla para colocho lila</t>
  </si>
  <si>
    <t>1.-Partir el rosquete por la mitad y rellenar con la crema chantilly dulce, de ser necesario utilizar calzas del mismo rosquete para nivelar la torta. Colocar 
sobre la orla</t>
  </si>
  <si>
    <t>EM10443</t>
  </si>
  <si>
    <t>Etiqueta Blanca Lisa Bopp Brillante</t>
  </si>
  <si>
    <t xml:space="preserve">Revision  #6:Se actualiza etiqueta de ingredientes </t>
  </si>
  <si>
    <t>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</si>
</sst>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&quot;$&quot;#,##0_);[Red]\(&quot;$&quot;#,##0\)"/>
    <numFmt numFmtId="165" formatCode="0.000"/>
    <numFmt numFmtId="166" formatCode="[$-409]d\-mmm\-yy;@"/>
    <numFmt numFmtId="167" formatCode="_-* #,##0.0\ _€_-;\-* #,##0.0\ _€_-;_-* &quot;-&quot;??\ _€_-;_-@_-"/>
    <numFmt numFmtId="168" formatCode="_(* #,##0.00_);_(* \(#,##0.00\);_(* &quot;-&quot;??_);_(@_)"/>
    <numFmt numFmtId="169" formatCode="0.0"/>
    <numFmt numFmtId="170" formatCode="_(* #,##0.000_);_(* \(#,##0.000\);_(* &quot;-&quot;??_);_(@_)"/>
  </numFmts>
  <fonts count="6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2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color indexed="8"/>
      <name val="Century Gothic"/>
      <family val="2"/>
    </font>
    <font>
      <b/>
      <sz val="14"/>
      <name val="Century Gothic"/>
      <family val="2"/>
    </font>
    <font>
      <sz val="10"/>
      <name val="Times New Roman"/>
      <family val="1"/>
    </font>
    <font>
      <sz val="12"/>
      <name val="Times New Roman"/>
      <family val="1"/>
    </font>
    <font>
      <b/>
      <sz val="10"/>
      <name val="Arial"/>
      <family val="2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indexed="1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sz val="11"/>
      <name val="Times New Roman"/>
      <family val="1"/>
    </font>
    <font>
      <b/>
      <sz val="9"/>
      <color rgb="FFFF0000"/>
      <name val="Times New Roman"/>
      <family val="1"/>
    </font>
    <font>
      <sz val="11"/>
      <color rgb="FF000000"/>
      <name val="Calibri"/>
      <family val="2"/>
    </font>
    <font>
      <sz val="10"/>
      <color rgb="FF000000"/>
      <name val="Century Gothic"/>
      <family val="2"/>
    </font>
    <font>
      <b/>
      <sz val="14"/>
      <name val="Arial"/>
      <family val="2"/>
    </font>
    <font>
      <b/>
      <i/>
      <sz val="12"/>
      <name val="Arial"/>
      <family val="2"/>
    </font>
    <font>
      <b/>
      <sz val="10"/>
      <color rgb="FFFF0000"/>
      <name val="Arial"/>
      <family val="2"/>
    </font>
    <font>
      <sz val="9.85"/>
      <color indexed="8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4"/>
      <name val="Century Gothic"/>
      <family val="2"/>
    </font>
    <font>
      <b/>
      <sz val="14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rgb="FF000000"/>
      <name val="Arial"/>
      <family val="2"/>
    </font>
    <font>
      <sz val="16"/>
      <color indexed="8"/>
      <name val="Arial"/>
      <family val="2"/>
    </font>
    <font>
      <sz val="16"/>
      <color theme="1"/>
      <name val="Aptos Narrow"/>
      <family val="2"/>
      <scheme val="minor"/>
    </font>
    <font>
      <b/>
      <sz val="18"/>
      <name val="Century Gothic"/>
      <family val="2"/>
    </font>
  </fonts>
  <fills count="1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31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3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" fillId="0" borderId="0"/>
    <xf numFmtId="9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30">
    <xf numFmtId="0" fontId="0" fillId="0" borderId="0" xfId="0"/>
    <xf numFmtId="0" fontId="5" fillId="0" borderId="6" xfId="3" applyFont="1" applyBorder="1" applyAlignment="1">
      <alignment horizontal="center"/>
    </xf>
    <xf numFmtId="1" fontId="5" fillId="0" borderId="4" xfId="3" applyNumberFormat="1" applyFont="1" applyBorder="1" applyAlignment="1">
      <alignment horizontal="center"/>
    </xf>
    <xf numFmtId="0" fontId="5" fillId="0" borderId="4" xfId="3" applyFont="1" applyBorder="1" applyAlignment="1">
      <alignment horizontal="center"/>
    </xf>
    <xf numFmtId="0" fontId="5" fillId="0" borderId="10" xfId="3" applyFont="1" applyBorder="1" applyAlignment="1">
      <alignment horizontal="center"/>
    </xf>
    <xf numFmtId="0" fontId="5" fillId="12" borderId="0" xfId="3" applyFont="1" applyFill="1" applyAlignment="1">
      <alignment horizontal="center"/>
    </xf>
    <xf numFmtId="0" fontId="6" fillId="12" borderId="3" xfId="3" applyFont="1" applyFill="1" applyBorder="1" applyAlignment="1">
      <alignment horizontal="right"/>
    </xf>
    <xf numFmtId="0" fontId="5" fillId="12" borderId="1" xfId="3" applyFont="1" applyFill="1" applyBorder="1" applyAlignment="1">
      <alignment horizontal="center"/>
    </xf>
    <xf numFmtId="0" fontId="6" fillId="12" borderId="4" xfId="3" applyFont="1" applyFill="1" applyBorder="1" applyAlignment="1">
      <alignment horizontal="right"/>
    </xf>
    <xf numFmtId="0" fontId="5" fillId="12" borderId="6" xfId="3" applyFont="1" applyFill="1" applyBorder="1" applyAlignment="1">
      <alignment horizontal="center"/>
    </xf>
    <xf numFmtId="0" fontId="5" fillId="12" borderId="12" xfId="3" applyFont="1" applyFill="1" applyBorder="1" applyAlignment="1">
      <alignment horizontal="right"/>
    </xf>
    <xf numFmtId="0" fontId="5" fillId="12" borderId="13" xfId="3" applyFont="1" applyFill="1" applyBorder="1" applyAlignment="1">
      <alignment horizontal="right"/>
    </xf>
    <xf numFmtId="0" fontId="6" fillId="13" borderId="1" xfId="3" applyFont="1" applyFill="1" applyBorder="1" applyAlignment="1">
      <alignment horizontal="center" vertical="center" wrapText="1"/>
    </xf>
    <xf numFmtId="0" fontId="6" fillId="13" borderId="2" xfId="3" applyFont="1" applyFill="1" applyBorder="1" applyAlignment="1">
      <alignment horizontal="center"/>
    </xf>
    <xf numFmtId="0" fontId="6" fillId="13" borderId="2" xfId="3" applyFont="1" applyFill="1" applyBorder="1" applyAlignment="1">
      <alignment horizontal="center" wrapText="1"/>
    </xf>
    <xf numFmtId="0" fontId="6" fillId="13" borderId="11" xfId="3" applyFont="1" applyFill="1" applyBorder="1" applyAlignment="1">
      <alignment horizontal="center"/>
    </xf>
    <xf numFmtId="0" fontId="41" fillId="0" borderId="0" xfId="3" applyFont="1" applyAlignment="1">
      <alignment horizontal="center"/>
    </xf>
    <xf numFmtId="0" fontId="2" fillId="0" borderId="0" xfId="3"/>
    <xf numFmtId="0" fontId="6" fillId="0" borderId="4" xfId="3" applyFont="1" applyBorder="1" applyAlignment="1">
      <alignment horizontal="center"/>
    </xf>
    <xf numFmtId="0" fontId="5" fillId="0" borderId="4" xfId="3" applyFont="1" applyBorder="1" applyAlignment="1">
      <alignment horizontal="center" wrapText="1"/>
    </xf>
    <xf numFmtId="0" fontId="6" fillId="12" borderId="6" xfId="3" applyFont="1" applyFill="1" applyBorder="1" applyAlignment="1">
      <alignment horizontal="center"/>
    </xf>
    <xf numFmtId="0" fontId="39" fillId="0" borderId="27" xfId="3" applyFont="1" applyBorder="1" applyAlignment="1">
      <alignment horizontal="right"/>
    </xf>
    <xf numFmtId="0" fontId="39" fillId="0" borderId="28" xfId="3" applyFont="1" applyBorder="1" applyAlignment="1">
      <alignment horizontal="right"/>
    </xf>
    <xf numFmtId="0" fontId="9" fillId="0" borderId="4" xfId="3" applyFont="1" applyBorder="1"/>
    <xf numFmtId="0" fontId="39" fillId="12" borderId="13" xfId="3" applyFont="1" applyFill="1" applyBorder="1"/>
    <xf numFmtId="0" fontId="10" fillId="12" borderId="4" xfId="3" applyFont="1" applyFill="1" applyBorder="1" applyAlignment="1">
      <alignment horizontal="center"/>
    </xf>
    <xf numFmtId="0" fontId="39" fillId="12" borderId="4" xfId="3" applyFont="1" applyFill="1" applyBorder="1" applyAlignment="1">
      <alignment horizontal="center" wrapText="1"/>
    </xf>
    <xf numFmtId="0" fontId="5" fillId="0" borderId="5" xfId="3" applyFont="1" applyBorder="1" applyAlignment="1">
      <alignment horizontal="center"/>
    </xf>
    <xf numFmtId="0" fontId="5" fillId="0" borderId="29" xfId="3" applyFont="1" applyBorder="1" applyAlignment="1">
      <alignment horizontal="right"/>
    </xf>
    <xf numFmtId="0" fontId="5" fillId="0" borderId="30" xfId="3" applyFont="1" applyBorder="1" applyAlignment="1">
      <alignment horizontal="right"/>
    </xf>
    <xf numFmtId="0" fontId="39" fillId="0" borderId="13" xfId="3" applyFont="1" applyBorder="1" applyAlignment="1">
      <alignment horizontal="center"/>
    </xf>
    <xf numFmtId="0" fontId="41" fillId="0" borderId="4" xfId="3" applyFont="1" applyBorder="1" applyAlignment="1">
      <alignment horizontal="center"/>
    </xf>
    <xf numFmtId="0" fontId="41" fillId="0" borderId="0" xfId="3" applyFont="1"/>
    <xf numFmtId="0" fontId="41" fillId="0" borderId="4" xfId="3" applyFont="1" applyBorder="1"/>
    <xf numFmtId="0" fontId="39" fillId="0" borderId="4" xfId="3" applyFont="1" applyBorder="1" applyAlignment="1">
      <alignment horizontal="center"/>
    </xf>
    <xf numFmtId="0" fontId="39" fillId="0" borderId="4" xfId="3" applyFont="1" applyBorder="1" applyAlignment="1">
      <alignment horizontal="center" wrapText="1"/>
    </xf>
    <xf numFmtId="0" fontId="5" fillId="0" borderId="31" xfId="3" applyFont="1" applyBorder="1" applyAlignment="1">
      <alignment horizontal="right"/>
    </xf>
    <xf numFmtId="0" fontId="5" fillId="0" borderId="13" xfId="3" applyFont="1" applyBorder="1" applyAlignment="1">
      <alignment horizontal="right"/>
    </xf>
    <xf numFmtId="0" fontId="5" fillId="0" borderId="4" xfId="3" applyFont="1" applyBorder="1"/>
    <xf numFmtId="0" fontId="39" fillId="0" borderId="4" xfId="3" applyFont="1" applyBorder="1"/>
    <xf numFmtId="0" fontId="42" fillId="12" borderId="26" xfId="3" applyFont="1" applyFill="1" applyBorder="1" applyAlignment="1">
      <alignment horizontal="center" vertical="center"/>
    </xf>
    <xf numFmtId="0" fontId="42" fillId="12" borderId="0" xfId="3" applyFont="1" applyFill="1" applyAlignment="1">
      <alignment horizontal="center" vertical="center"/>
    </xf>
    <xf numFmtId="0" fontId="5" fillId="12" borderId="0" xfId="3" applyFont="1" applyFill="1" applyAlignment="1">
      <alignment horizontal="center" wrapText="1"/>
    </xf>
    <xf numFmtId="0" fontId="5" fillId="12" borderId="7" xfId="3" applyFont="1" applyFill="1" applyBorder="1" applyAlignment="1">
      <alignment horizontal="center"/>
    </xf>
    <xf numFmtId="0" fontId="5" fillId="13" borderId="32" xfId="3" applyFont="1" applyFill="1" applyBorder="1" applyAlignment="1">
      <alignment horizontal="center"/>
    </xf>
    <xf numFmtId="0" fontId="5" fillId="13" borderId="8" xfId="3" applyFont="1" applyFill="1" applyBorder="1" applyAlignment="1">
      <alignment horizontal="center"/>
    </xf>
    <xf numFmtId="0" fontId="5" fillId="13" borderId="8" xfId="3" applyFont="1" applyFill="1" applyBorder="1"/>
    <xf numFmtId="0" fontId="6" fillId="13" borderId="8" xfId="3" applyFont="1" applyFill="1" applyBorder="1" applyAlignment="1">
      <alignment horizontal="center"/>
    </xf>
    <xf numFmtId="0" fontId="5" fillId="13" borderId="8" xfId="3" applyFont="1" applyFill="1" applyBorder="1" applyAlignment="1">
      <alignment horizontal="center" wrapText="1"/>
    </xf>
    <xf numFmtId="0" fontId="5" fillId="13" borderId="9" xfId="3" applyFont="1" applyFill="1" applyBorder="1" applyAlignment="1">
      <alignment horizontal="center"/>
    </xf>
    <xf numFmtId="0" fontId="6" fillId="0" borderId="5" xfId="3" applyFont="1" applyBorder="1" applyAlignment="1">
      <alignment horizontal="center"/>
    </xf>
    <xf numFmtId="0" fontId="5" fillId="0" borderId="2" xfId="3" applyFont="1" applyBorder="1" applyAlignment="1">
      <alignment horizontal="center"/>
    </xf>
    <xf numFmtId="0" fontId="2" fillId="0" borderId="0" xfId="9"/>
    <xf numFmtId="0" fontId="6" fillId="3" borderId="1" xfId="9" applyFont="1" applyFill="1" applyBorder="1" applyAlignment="1">
      <alignment horizontal="center" vertical="center" wrapText="1"/>
    </xf>
    <xf numFmtId="1" fontId="6" fillId="3" borderId="2" xfId="9" applyNumberFormat="1" applyFont="1" applyFill="1" applyBorder="1" applyAlignment="1">
      <alignment horizontal="center"/>
    </xf>
    <xf numFmtId="1" fontId="6" fillId="3" borderId="2" xfId="9" applyNumberFormat="1" applyFont="1" applyFill="1" applyBorder="1" applyAlignment="1">
      <alignment horizontal="center" wrapText="1"/>
    </xf>
    <xf numFmtId="0" fontId="6" fillId="2" borderId="3" xfId="10" applyFont="1" applyFill="1" applyBorder="1" applyAlignment="1">
      <alignment horizontal="right"/>
    </xf>
    <xf numFmtId="0" fontId="6" fillId="2" borderId="4" xfId="10" applyFont="1" applyFill="1" applyBorder="1" applyAlignment="1">
      <alignment horizontal="right"/>
    </xf>
    <xf numFmtId="1" fontId="5" fillId="0" borderId="5" xfId="9" applyNumberFormat="1" applyFont="1" applyBorder="1" applyAlignment="1">
      <alignment horizontal="center"/>
    </xf>
    <xf numFmtId="0" fontId="5" fillId="0" borderId="5" xfId="9" applyFont="1" applyBorder="1" applyAlignment="1">
      <alignment horizontal="center"/>
    </xf>
    <xf numFmtId="0" fontId="5" fillId="0" borderId="4" xfId="9" applyFont="1" applyBorder="1" applyAlignment="1">
      <alignment horizontal="center"/>
    </xf>
    <xf numFmtId="0" fontId="5" fillId="0" borderId="6" xfId="9" applyFont="1" applyBorder="1" applyAlignment="1">
      <alignment horizontal="center"/>
    </xf>
    <xf numFmtId="1" fontId="5" fillId="0" borderId="4" xfId="9" applyNumberFormat="1" applyFont="1" applyBorder="1" applyAlignment="1">
      <alignment horizontal="center"/>
    </xf>
    <xf numFmtId="1" fontId="5" fillId="0" borderId="4" xfId="9" applyNumberFormat="1" applyFont="1" applyBorder="1" applyAlignment="1">
      <alignment horizontal="center" wrapText="1"/>
    </xf>
    <xf numFmtId="0" fontId="5" fillId="2" borderId="0" xfId="9" applyFont="1" applyFill="1"/>
    <xf numFmtId="1" fontId="5" fillId="2" borderId="0" xfId="9" applyNumberFormat="1" applyFont="1" applyFill="1" applyAlignment="1">
      <alignment horizontal="center"/>
    </xf>
    <xf numFmtId="165" fontId="5" fillId="2" borderId="0" xfId="9" applyNumberFormat="1" applyFont="1" applyFill="1" applyAlignment="1">
      <alignment horizontal="center" wrapText="1"/>
    </xf>
    <xf numFmtId="0" fontId="5" fillId="2" borderId="7" xfId="9" applyFont="1" applyFill="1" applyBorder="1" applyAlignment="1">
      <alignment horizontal="center"/>
    </xf>
    <xf numFmtId="0" fontId="6" fillId="3" borderId="8" xfId="9" applyFont="1" applyFill="1" applyBorder="1" applyAlignment="1">
      <alignment horizontal="center"/>
    </xf>
    <xf numFmtId="1" fontId="6" fillId="3" borderId="8" xfId="9" applyNumberFormat="1" applyFont="1" applyFill="1" applyBorder="1" applyAlignment="1">
      <alignment horizontal="center"/>
    </xf>
    <xf numFmtId="165" fontId="5" fillId="3" borderId="8" xfId="9" applyNumberFormat="1" applyFont="1" applyFill="1" applyBorder="1" applyAlignment="1">
      <alignment horizontal="center" wrapText="1"/>
    </xf>
    <xf numFmtId="0" fontId="5" fillId="3" borderId="8" xfId="9" applyFont="1" applyFill="1" applyBorder="1"/>
    <xf numFmtId="0" fontId="5" fillId="3" borderId="9" xfId="9" applyFont="1" applyFill="1" applyBorder="1" applyAlignment="1">
      <alignment horizontal="center"/>
    </xf>
    <xf numFmtId="0" fontId="5" fillId="0" borderId="10" xfId="9" applyFont="1" applyBorder="1" applyAlignment="1">
      <alignment horizontal="center"/>
    </xf>
    <xf numFmtId="0" fontId="5" fillId="0" borderId="2" xfId="9" applyFont="1" applyBorder="1" applyAlignment="1">
      <alignment horizontal="center"/>
    </xf>
    <xf numFmtId="1" fontId="5" fillId="0" borderId="2" xfId="9" applyNumberFormat="1" applyFont="1" applyBorder="1" applyAlignment="1">
      <alignment horizontal="center"/>
    </xf>
    <xf numFmtId="49" fontId="5" fillId="2" borderId="6" xfId="10" applyNumberFormat="1" applyFont="1" applyFill="1" applyBorder="1" applyAlignment="1">
      <alignment horizontal="center"/>
    </xf>
    <xf numFmtId="0" fontId="5" fillId="2" borderId="1" xfId="10" applyFont="1" applyFill="1" applyBorder="1" applyAlignment="1">
      <alignment horizontal="center"/>
    </xf>
    <xf numFmtId="0" fontId="6" fillId="3" borderId="11" xfId="9" applyFont="1" applyFill="1" applyBorder="1" applyAlignment="1">
      <alignment horizontal="center"/>
    </xf>
    <xf numFmtId="0" fontId="6" fillId="9" borderId="6" xfId="9" applyFont="1" applyFill="1" applyBorder="1" applyAlignment="1">
      <alignment horizontal="center"/>
    </xf>
    <xf numFmtId="0" fontId="5" fillId="2" borderId="12" xfId="10" applyFont="1" applyFill="1" applyBorder="1" applyAlignment="1">
      <alignment horizontal="right"/>
    </xf>
    <xf numFmtId="0" fontId="5" fillId="2" borderId="13" xfId="10" applyFont="1" applyFill="1" applyBorder="1" applyAlignment="1">
      <alignment horizontal="right"/>
    </xf>
    <xf numFmtId="0" fontId="6" fillId="9" borderId="14" xfId="9" applyFont="1" applyFill="1" applyBorder="1" applyAlignment="1">
      <alignment horizontal="center"/>
    </xf>
    <xf numFmtId="16" fontId="5" fillId="0" borderId="13" xfId="9" applyNumberFormat="1" applyFont="1" applyBorder="1" applyAlignment="1">
      <alignment horizontal="center"/>
    </xf>
    <xf numFmtId="49" fontId="9" fillId="0" borderId="15" xfId="9" applyNumberFormat="1" applyFont="1" applyBorder="1" applyAlignment="1">
      <alignment horizontal="center"/>
    </xf>
    <xf numFmtId="49" fontId="9" fillId="0" borderId="16" xfId="9" applyNumberFormat="1" applyFont="1" applyBorder="1" applyAlignment="1">
      <alignment horizontal="center"/>
    </xf>
    <xf numFmtId="1" fontId="5" fillId="0" borderId="13" xfId="9" applyNumberFormat="1" applyFont="1" applyBorder="1" applyAlignment="1">
      <alignment horizontal="center"/>
    </xf>
    <xf numFmtId="0" fontId="2" fillId="0" borderId="4" xfId="9" applyBorder="1" applyAlignment="1">
      <alignment horizontal="center"/>
    </xf>
    <xf numFmtId="1" fontId="5" fillId="0" borderId="12" xfId="9" applyNumberFormat="1" applyFont="1" applyBorder="1" applyAlignment="1">
      <alignment horizontal="center"/>
    </xf>
    <xf numFmtId="0" fontId="6" fillId="0" borderId="13" xfId="9" applyFont="1" applyBorder="1" applyAlignment="1">
      <alignment horizontal="center"/>
    </xf>
    <xf numFmtId="0" fontId="5" fillId="0" borderId="13" xfId="9" applyFont="1" applyBorder="1" applyAlignment="1">
      <alignment horizontal="center"/>
    </xf>
    <xf numFmtId="49" fontId="5" fillId="0" borderId="4" xfId="9" applyNumberFormat="1" applyFont="1" applyBorder="1" applyAlignment="1">
      <alignment horizontal="center"/>
    </xf>
    <xf numFmtId="49" fontId="6" fillId="0" borderId="4" xfId="9" applyNumberFormat="1" applyFont="1" applyBorder="1"/>
    <xf numFmtId="0" fontId="5" fillId="3" borderId="4" xfId="9" applyFont="1" applyFill="1" applyBorder="1" applyAlignment="1">
      <alignment horizontal="center"/>
    </xf>
    <xf numFmtId="0" fontId="5" fillId="3" borderId="4" xfId="9" applyFont="1" applyFill="1" applyBorder="1"/>
    <xf numFmtId="49" fontId="7" fillId="2" borderId="5" xfId="9" applyNumberFormat="1" applyFont="1" applyFill="1" applyBorder="1" applyAlignment="1">
      <alignment horizontal="center" vertical="center"/>
    </xf>
    <xf numFmtId="0" fontId="5" fillId="2" borderId="5" xfId="9" applyFont="1" applyFill="1" applyBorder="1"/>
    <xf numFmtId="0" fontId="2" fillId="0" borderId="4" xfId="9" applyBorder="1"/>
    <xf numFmtId="0" fontId="11" fillId="0" borderId="4" xfId="9" applyFont="1" applyBorder="1"/>
    <xf numFmtId="10" fontId="12" fillId="0" borderId="0" xfId="12" applyNumberFormat="1" applyFont="1" applyFill="1" applyAlignment="1">
      <alignment vertical="center"/>
    </xf>
    <xf numFmtId="10" fontId="13" fillId="0" borderId="0" xfId="12" applyNumberFormat="1" applyFont="1" applyFill="1" applyAlignment="1">
      <alignment vertical="center"/>
    </xf>
    <xf numFmtId="10" fontId="13" fillId="4" borderId="20" xfId="12" applyNumberFormat="1" applyFont="1" applyFill="1" applyBorder="1" applyAlignment="1">
      <alignment vertical="center"/>
    </xf>
    <xf numFmtId="10" fontId="13" fillId="4" borderId="21" xfId="12" applyNumberFormat="1" applyFont="1" applyFill="1" applyBorder="1" applyAlignment="1">
      <alignment vertical="center"/>
    </xf>
    <xf numFmtId="9" fontId="40" fillId="0" borderId="0" xfId="12" applyFont="1" applyFill="1" applyAlignment="1">
      <alignment horizontal="center"/>
    </xf>
    <xf numFmtId="10" fontId="23" fillId="0" borderId="0" xfId="12" applyNumberFormat="1" applyFont="1" applyFill="1" applyAlignment="1">
      <alignment horizontal="right"/>
    </xf>
    <xf numFmtId="10" fontId="9" fillId="0" borderId="0" xfId="12" applyNumberFormat="1" applyFont="1" applyFill="1" applyAlignment="1">
      <alignment vertical="center"/>
    </xf>
    <xf numFmtId="10" fontId="13" fillId="0" borderId="0" xfId="12" applyNumberFormat="1" applyFont="1" applyFill="1" applyBorder="1" applyAlignment="1">
      <alignment vertical="center"/>
    </xf>
    <xf numFmtId="10" fontId="28" fillId="0" borderId="0" xfId="12" applyNumberFormat="1" applyFont="1" applyFill="1" applyAlignment="1">
      <alignment vertical="center"/>
    </xf>
    <xf numFmtId="10" fontId="28" fillId="0" borderId="0" xfId="12" applyNumberFormat="1" applyFont="1" applyFill="1" applyBorder="1" applyAlignment="1">
      <alignment vertical="center"/>
    </xf>
    <xf numFmtId="0" fontId="5" fillId="2" borderId="25" xfId="10" applyFont="1" applyFill="1" applyBorder="1" applyAlignment="1">
      <alignment horizontal="center"/>
    </xf>
    <xf numFmtId="0" fontId="5" fillId="2" borderId="0" xfId="10" applyFont="1" applyFill="1" applyAlignment="1">
      <alignment horizontal="center"/>
    </xf>
    <xf numFmtId="0" fontId="5" fillId="2" borderId="26" xfId="10" applyFont="1" applyFill="1" applyBorder="1" applyAlignment="1">
      <alignment horizontal="center"/>
    </xf>
    <xf numFmtId="0" fontId="41" fillId="0" borderId="4" xfId="9" applyFont="1" applyBorder="1"/>
    <xf numFmtId="0" fontId="2" fillId="11" borderId="4" xfId="9" applyFill="1" applyBorder="1" applyAlignment="1">
      <alignment horizontal="center"/>
    </xf>
    <xf numFmtId="0" fontId="2" fillId="11" borderId="4" xfId="9" applyFill="1" applyBorder="1"/>
    <xf numFmtId="0" fontId="2" fillId="0" borderId="31" xfId="9" applyBorder="1" applyAlignment="1">
      <alignment horizontal="center"/>
    </xf>
    <xf numFmtId="0" fontId="2" fillId="0" borderId="13" xfId="9" applyBorder="1" applyAlignment="1">
      <alignment horizontal="center"/>
    </xf>
    <xf numFmtId="0" fontId="9" fillId="9" borderId="0" xfId="0" applyFont="1" applyFill="1" applyAlignment="1">
      <alignment vertical="center"/>
    </xf>
    <xf numFmtId="0" fontId="12" fillId="10" borderId="4" xfId="0" applyFont="1" applyFill="1" applyBorder="1" applyAlignment="1">
      <alignment horizontal="center" vertical="center" wrapText="1"/>
    </xf>
    <xf numFmtId="0" fontId="12" fillId="10" borderId="4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43" fontId="12" fillId="0" borderId="4" xfId="1" applyFont="1" applyFill="1" applyBorder="1" applyAlignment="1">
      <alignment horizontal="center" vertical="center"/>
    </xf>
    <xf numFmtId="43" fontId="12" fillId="0" borderId="0" xfId="1" applyFont="1" applyFill="1" applyBorder="1" applyAlignment="1">
      <alignment horizontal="center" vertical="center"/>
    </xf>
    <xf numFmtId="43" fontId="14" fillId="0" borderId="0" xfId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166" fontId="17" fillId="0" borderId="0" xfId="0" applyNumberFormat="1" applyFont="1" applyAlignment="1">
      <alignment horizontal="center" vertical="center" wrapText="1"/>
    </xf>
    <xf numFmtId="0" fontId="12" fillId="4" borderId="17" xfId="0" applyFont="1" applyFill="1" applyBorder="1" applyAlignment="1">
      <alignment horizontal="center" vertical="center"/>
    </xf>
    <xf numFmtId="0" fontId="12" fillId="4" borderId="18" xfId="0" applyFont="1" applyFill="1" applyBorder="1" applyAlignment="1">
      <alignment horizontal="center" vertical="center"/>
    </xf>
    <xf numFmtId="0" fontId="12" fillId="4" borderId="18" xfId="0" applyFont="1" applyFill="1" applyBorder="1" applyAlignment="1">
      <alignment horizontal="center" vertical="center" wrapText="1"/>
    </xf>
    <xf numFmtId="0" fontId="12" fillId="4" borderId="19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2" fontId="18" fillId="0" borderId="0" xfId="0" applyNumberFormat="1" applyFont="1" applyAlignment="1">
      <alignment horizontal="center"/>
    </xf>
    <xf numFmtId="4" fontId="18" fillId="0" borderId="0" xfId="2" applyNumberFormat="1" applyFont="1" applyFill="1" applyAlignment="1">
      <alignment horizontal="center" vertical="center"/>
    </xf>
    <xf numFmtId="4" fontId="12" fillId="0" borderId="0" xfId="2" applyNumberFormat="1" applyFont="1" applyFill="1" applyAlignment="1">
      <alignment horizontal="center" vertical="center"/>
    </xf>
    <xf numFmtId="49" fontId="12" fillId="0" borderId="0" xfId="0" applyNumberFormat="1" applyFont="1" applyAlignment="1">
      <alignment horizontal="center" vertical="center"/>
    </xf>
    <xf numFmtId="0" fontId="9" fillId="0" borderId="0" xfId="0" applyFont="1"/>
    <xf numFmtId="49" fontId="12" fillId="0" borderId="0" xfId="0" applyNumberFormat="1" applyFont="1" applyAlignment="1">
      <alignment horizontal="center"/>
    </xf>
    <xf numFmtId="164" fontId="9" fillId="0" borderId="0" xfId="0" applyNumberFormat="1" applyFont="1" applyAlignment="1">
      <alignment vertical="center"/>
    </xf>
    <xf numFmtId="0" fontId="9" fillId="0" borderId="0" xfId="0" applyFont="1" applyAlignment="1">
      <alignment horizontal="left" vertical="center"/>
    </xf>
    <xf numFmtId="43" fontId="9" fillId="0" borderId="0" xfId="1" applyFont="1" applyFill="1" applyAlignment="1">
      <alignment vertical="center"/>
    </xf>
    <xf numFmtId="49" fontId="1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4" fontId="12" fillId="0" borderId="0" xfId="1" applyNumberFormat="1" applyFont="1" applyFill="1" applyAlignment="1">
      <alignment vertical="center"/>
    </xf>
    <xf numFmtId="43" fontId="20" fillId="0" borderId="0" xfId="1" applyFont="1" applyFill="1" applyAlignment="1">
      <alignment horizontal="center" vertical="center"/>
    </xf>
    <xf numFmtId="0" fontId="9" fillId="4" borderId="8" xfId="0" applyFont="1" applyFill="1" applyBorder="1" applyAlignment="1">
      <alignment vertical="center"/>
    </xf>
    <xf numFmtId="0" fontId="9" fillId="4" borderId="20" xfId="0" applyFont="1" applyFill="1" applyBorder="1" applyAlignment="1">
      <alignment vertical="center"/>
    </xf>
    <xf numFmtId="43" fontId="20" fillId="4" borderId="21" xfId="1" applyFont="1" applyFill="1" applyBorder="1" applyAlignment="1">
      <alignment horizontal="center" vertical="center"/>
    </xf>
    <xf numFmtId="43" fontId="22" fillId="0" borderId="0" xfId="1" applyFont="1" applyFill="1" applyBorder="1" applyAlignment="1">
      <alignment horizontal="right"/>
    </xf>
    <xf numFmtId="0" fontId="9" fillId="4" borderId="21" xfId="0" applyFont="1" applyFill="1" applyBorder="1" applyAlignment="1">
      <alignment vertical="center"/>
    </xf>
    <xf numFmtId="0" fontId="21" fillId="0" borderId="0" xfId="0" applyFont="1" applyAlignment="1">
      <alignment horizontal="right"/>
    </xf>
    <xf numFmtId="0" fontId="21" fillId="0" borderId="0" xfId="0" applyFont="1"/>
    <xf numFmtId="9" fontId="21" fillId="0" borderId="0" xfId="0" applyNumberFormat="1" applyFont="1"/>
    <xf numFmtId="0" fontId="20" fillId="0" borderId="0" xfId="0" applyFont="1" applyAlignment="1">
      <alignment horizontal="right" vertical="center"/>
    </xf>
    <xf numFmtId="4" fontId="20" fillId="0" borderId="0" xfId="1" applyNumberFormat="1" applyFont="1" applyFill="1" applyAlignment="1">
      <alignment vertical="center"/>
    </xf>
    <xf numFmtId="4" fontId="20" fillId="0" borderId="0" xfId="2" applyNumberFormat="1" applyFont="1" applyAlignment="1">
      <alignment horizontal="center" vertical="center"/>
    </xf>
    <xf numFmtId="0" fontId="24" fillId="0" borderId="0" xfId="0" applyFont="1" applyAlignment="1">
      <alignment horizontal="right"/>
    </xf>
    <xf numFmtId="0" fontId="25" fillId="0" borderId="0" xfId="0" applyFont="1" applyAlignment="1">
      <alignment horizontal="right"/>
    </xf>
    <xf numFmtId="0" fontId="25" fillId="0" borderId="7" xfId="0" applyFont="1" applyBorder="1" applyAlignment="1">
      <alignment horizontal="right"/>
    </xf>
    <xf numFmtId="43" fontId="26" fillId="5" borderId="22" xfId="1" applyFont="1" applyFill="1" applyBorder="1" applyAlignment="1">
      <alignment horizontal="right"/>
    </xf>
    <xf numFmtId="43" fontId="26" fillId="0" borderId="0" xfId="1" applyFont="1" applyFill="1" applyBorder="1" applyAlignment="1">
      <alignment horizontal="right"/>
    </xf>
    <xf numFmtId="43" fontId="12" fillId="0" borderId="4" xfId="1" applyFont="1" applyFill="1" applyBorder="1" applyAlignment="1">
      <alignment vertical="center"/>
    </xf>
    <xf numFmtId="0" fontId="27" fillId="0" borderId="0" xfId="0" applyFont="1" applyAlignment="1">
      <alignment horizontal="left" vertical="center"/>
    </xf>
    <xf numFmtId="4" fontId="20" fillId="0" borderId="0" xfId="2" applyNumberFormat="1" applyFont="1" applyFill="1" applyAlignment="1">
      <alignment horizontal="center" vertical="center"/>
    </xf>
    <xf numFmtId="167" fontId="12" fillId="4" borderId="4" xfId="1" applyNumberFormat="1" applyFont="1" applyFill="1" applyBorder="1" applyAlignment="1">
      <alignment vertical="center"/>
    </xf>
    <xf numFmtId="4" fontId="9" fillId="0" borderId="0" xfId="0" applyNumberFormat="1" applyFont="1" applyAlignment="1">
      <alignment horizontal="center" vertical="center"/>
    </xf>
    <xf numFmtId="43" fontId="12" fillId="6" borderId="4" xfId="1" applyFont="1" applyFill="1" applyBorder="1" applyAlignment="1">
      <alignment vertical="center"/>
    </xf>
    <xf numFmtId="168" fontId="28" fillId="0" borderId="0" xfId="0" applyNumberFormat="1" applyFont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4" fontId="12" fillId="0" borderId="0" xfId="0" applyNumberFormat="1" applyFont="1" applyAlignment="1">
      <alignment horizontal="center" vertical="center"/>
    </xf>
    <xf numFmtId="0" fontId="13" fillId="4" borderId="23" xfId="0" applyFont="1" applyFill="1" applyBorder="1" applyAlignment="1">
      <alignment vertical="center"/>
    </xf>
    <xf numFmtId="0" fontId="30" fillId="0" borderId="0" xfId="0" applyFont="1" applyAlignment="1">
      <alignment vertical="center"/>
    </xf>
    <xf numFmtId="2" fontId="23" fillId="0" borderId="0" xfId="1" applyNumberFormat="1" applyFont="1" applyFill="1" applyBorder="1" applyAlignment="1">
      <alignment horizontal="center"/>
    </xf>
    <xf numFmtId="2" fontId="25" fillId="0" borderId="0" xfId="1" applyNumberFormat="1" applyFont="1" applyFill="1" applyBorder="1" applyAlignment="1">
      <alignment horizontal="center"/>
    </xf>
    <xf numFmtId="0" fontId="9" fillId="4" borderId="23" xfId="0" applyFont="1" applyFill="1" applyBorder="1" applyAlignment="1">
      <alignment vertical="center"/>
    </xf>
    <xf numFmtId="4" fontId="9" fillId="0" borderId="0" xfId="1" applyNumberFormat="1" applyFont="1" applyFill="1" applyAlignment="1">
      <alignment vertical="center"/>
    </xf>
    <xf numFmtId="43" fontId="26" fillId="4" borderId="8" xfId="1" applyFont="1" applyFill="1" applyBorder="1" applyAlignment="1">
      <alignment horizontal="right"/>
    </xf>
    <xf numFmtId="0" fontId="12" fillId="4" borderId="9" xfId="0" applyFont="1" applyFill="1" applyBorder="1" applyAlignment="1">
      <alignment horizontal="right" vertical="center"/>
    </xf>
    <xf numFmtId="10" fontId="31" fillId="0" borderId="0" xfId="1" applyNumberFormat="1" applyFont="1" applyFill="1" applyAlignment="1">
      <alignment vertical="center"/>
    </xf>
    <xf numFmtId="168" fontId="32" fillId="0" borderId="0" xfId="0" applyNumberFormat="1" applyFont="1" applyAlignment="1">
      <alignment horizontal="center" vertical="center"/>
    </xf>
    <xf numFmtId="0" fontId="9" fillId="9" borderId="22" xfId="0" applyFont="1" applyFill="1" applyBorder="1" applyAlignment="1">
      <alignment horizontal="center" vertical="center"/>
    </xf>
    <xf numFmtId="43" fontId="33" fillId="0" borderId="0" xfId="1" applyFont="1" applyFill="1" applyAlignment="1">
      <alignment vertical="center"/>
    </xf>
    <xf numFmtId="4" fontId="34" fillId="0" borderId="0" xfId="2" applyNumberFormat="1" applyFont="1" applyFill="1" applyAlignment="1">
      <alignment horizontal="center" vertical="center" wrapText="1"/>
    </xf>
    <xf numFmtId="9" fontId="9" fillId="0" borderId="0" xfId="1" applyNumberFormat="1" applyFont="1" applyFill="1" applyAlignment="1">
      <alignment vertical="center"/>
    </xf>
    <xf numFmtId="0" fontId="2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9" fillId="0" borderId="0" xfId="0" applyFont="1" applyAlignment="1">
      <alignment horizontal="right" vertical="center"/>
    </xf>
    <xf numFmtId="4" fontId="19" fillId="0" borderId="0" xfId="1" applyNumberFormat="1" applyFont="1" applyFill="1" applyAlignment="1">
      <alignment vertical="center"/>
    </xf>
    <xf numFmtId="4" fontId="12" fillId="7" borderId="22" xfId="1" applyNumberFormat="1" applyFont="1" applyFill="1" applyBorder="1" applyAlignment="1">
      <alignment horizontal="center" vertical="center"/>
    </xf>
    <xf numFmtId="0" fontId="35" fillId="0" borderId="0" xfId="0" applyFont="1" applyAlignment="1">
      <alignment vertical="center"/>
    </xf>
    <xf numFmtId="43" fontId="35" fillId="0" borderId="0" xfId="1" applyFont="1" applyFill="1" applyAlignment="1">
      <alignment vertical="center"/>
    </xf>
    <xf numFmtId="9" fontId="35" fillId="0" borderId="0" xfId="1" applyNumberFormat="1" applyFont="1" applyFill="1" applyAlignment="1">
      <alignment vertical="center"/>
    </xf>
    <xf numFmtId="4" fontId="12" fillId="0" borderId="0" xfId="1" applyNumberFormat="1" applyFont="1" applyFill="1" applyAlignment="1">
      <alignment horizontal="center" vertical="center"/>
    </xf>
    <xf numFmtId="43" fontId="28" fillId="0" borderId="0" xfId="1" applyFont="1" applyFill="1" applyBorder="1" applyAlignment="1">
      <alignment vertical="center"/>
    </xf>
    <xf numFmtId="4" fontId="9" fillId="0" borderId="0" xfId="0" applyNumberFormat="1" applyFont="1" applyAlignment="1">
      <alignment horizontal="center"/>
    </xf>
    <xf numFmtId="43" fontId="9" fillId="0" borderId="0" xfId="1" applyFont="1" applyFill="1" applyBorder="1"/>
    <xf numFmtId="0" fontId="28" fillId="0" borderId="0" xfId="0" applyFont="1" applyAlignment="1">
      <alignment horizontal="right"/>
    </xf>
    <xf numFmtId="43" fontId="9" fillId="0" borderId="0" xfId="1" applyFont="1" applyFill="1" applyBorder="1" applyAlignment="1">
      <alignment horizontal="center"/>
    </xf>
    <xf numFmtId="9" fontId="38" fillId="0" borderId="0" xfId="0" applyNumberFormat="1" applyFont="1" applyAlignment="1">
      <alignment horizontal="left"/>
    </xf>
    <xf numFmtId="4" fontId="12" fillId="0" borderId="0" xfId="0" applyNumberFormat="1" applyFont="1" applyAlignment="1">
      <alignment horizontal="center"/>
    </xf>
    <xf numFmtId="168" fontId="12" fillId="0" borderId="0" xfId="0" applyNumberFormat="1" applyFont="1"/>
    <xf numFmtId="2" fontId="18" fillId="11" borderId="0" xfId="0" applyNumberFormat="1" applyFont="1" applyFill="1" applyAlignment="1">
      <alignment horizontal="center"/>
    </xf>
    <xf numFmtId="0" fontId="9" fillId="11" borderId="0" xfId="0" applyFont="1" applyFill="1" applyAlignment="1">
      <alignment vertical="center"/>
    </xf>
    <xf numFmtId="0" fontId="5" fillId="0" borderId="13" xfId="9" applyFont="1" applyBorder="1" applyAlignment="1">
      <alignment horizontal="right"/>
    </xf>
    <xf numFmtId="0" fontId="5" fillId="12" borderId="0" xfId="9" applyFont="1" applyFill="1" applyAlignment="1">
      <alignment horizontal="center"/>
    </xf>
    <xf numFmtId="0" fontId="6" fillId="12" borderId="3" xfId="9" applyFont="1" applyFill="1" applyBorder="1" applyAlignment="1">
      <alignment horizontal="right"/>
    </xf>
    <xf numFmtId="0" fontId="5" fillId="12" borderId="1" xfId="9" applyFont="1" applyFill="1" applyBorder="1" applyAlignment="1">
      <alignment horizontal="center"/>
    </xf>
    <xf numFmtId="0" fontId="6" fillId="12" borderId="4" xfId="9" applyFont="1" applyFill="1" applyBorder="1" applyAlignment="1">
      <alignment horizontal="right"/>
    </xf>
    <xf numFmtId="0" fontId="5" fillId="12" borderId="6" xfId="9" applyFont="1" applyFill="1" applyBorder="1" applyAlignment="1">
      <alignment horizontal="center"/>
    </xf>
    <xf numFmtId="0" fontId="5" fillId="12" borderId="12" xfId="9" applyFont="1" applyFill="1" applyBorder="1" applyAlignment="1">
      <alignment horizontal="right"/>
    </xf>
    <xf numFmtId="0" fontId="5" fillId="12" borderId="13" xfId="9" applyFont="1" applyFill="1" applyBorder="1" applyAlignment="1">
      <alignment horizontal="right"/>
    </xf>
    <xf numFmtId="0" fontId="6" fillId="13" borderId="1" xfId="9" applyFont="1" applyFill="1" applyBorder="1" applyAlignment="1">
      <alignment horizontal="center" vertical="center" wrapText="1"/>
    </xf>
    <xf numFmtId="0" fontId="6" fillId="13" borderId="2" xfId="9" applyFont="1" applyFill="1" applyBorder="1" applyAlignment="1">
      <alignment horizontal="center"/>
    </xf>
    <xf numFmtId="0" fontId="6" fillId="13" borderId="2" xfId="9" applyFont="1" applyFill="1" applyBorder="1" applyAlignment="1">
      <alignment horizontal="center" wrapText="1"/>
    </xf>
    <xf numFmtId="0" fontId="6" fillId="13" borderId="11" xfId="9" applyFont="1" applyFill="1" applyBorder="1" applyAlignment="1">
      <alignment horizontal="center"/>
    </xf>
    <xf numFmtId="0" fontId="41" fillId="0" borderId="0" xfId="9" applyFont="1" applyAlignment="1">
      <alignment horizontal="center"/>
    </xf>
    <xf numFmtId="0" fontId="6" fillId="0" borderId="4" xfId="9" applyFont="1" applyBorder="1" applyAlignment="1">
      <alignment horizontal="center"/>
    </xf>
    <xf numFmtId="0" fontId="5" fillId="0" borderId="4" xfId="9" applyFont="1" applyBorder="1" applyAlignment="1">
      <alignment horizontal="center" wrapText="1"/>
    </xf>
    <xf numFmtId="0" fontId="6" fillId="12" borderId="6" xfId="9" applyFont="1" applyFill="1" applyBorder="1" applyAlignment="1">
      <alignment horizontal="center"/>
    </xf>
    <xf numFmtId="0" fontId="39" fillId="0" borderId="27" xfId="9" applyFont="1" applyBorder="1" applyAlignment="1">
      <alignment horizontal="right"/>
    </xf>
    <xf numFmtId="0" fontId="39" fillId="0" borderId="28" xfId="9" applyFont="1" applyBorder="1" applyAlignment="1">
      <alignment horizontal="right"/>
    </xf>
    <xf numFmtId="0" fontId="9" fillId="0" borderId="4" xfId="9" applyFont="1" applyBorder="1"/>
    <xf numFmtId="0" fontId="39" fillId="12" borderId="13" xfId="9" applyFont="1" applyFill="1" applyBorder="1"/>
    <xf numFmtId="0" fontId="10" fillId="12" borderId="4" xfId="9" applyFont="1" applyFill="1" applyBorder="1" applyAlignment="1">
      <alignment horizontal="center"/>
    </xf>
    <xf numFmtId="0" fontId="39" fillId="12" borderId="4" xfId="9" applyFont="1" applyFill="1" applyBorder="1" applyAlignment="1">
      <alignment horizontal="center" wrapText="1"/>
    </xf>
    <xf numFmtId="0" fontId="5" fillId="0" borderId="29" xfId="9" applyFont="1" applyBorder="1" applyAlignment="1">
      <alignment horizontal="right"/>
    </xf>
    <xf numFmtId="0" fontId="5" fillId="0" borderId="30" xfId="9" applyFont="1" applyBorder="1" applyAlignment="1">
      <alignment horizontal="right"/>
    </xf>
    <xf numFmtId="0" fontId="39" fillId="0" borderId="13" xfId="9" applyFont="1" applyBorder="1" applyAlignment="1">
      <alignment horizontal="center"/>
    </xf>
    <xf numFmtId="0" fontId="41" fillId="0" borderId="4" xfId="9" applyFont="1" applyBorder="1" applyAlignment="1">
      <alignment horizontal="center"/>
    </xf>
    <xf numFmtId="0" fontId="41" fillId="0" borderId="0" xfId="9" applyFont="1"/>
    <xf numFmtId="0" fontId="39" fillId="0" borderId="4" xfId="9" applyFont="1" applyBorder="1" applyAlignment="1">
      <alignment horizontal="center"/>
    </xf>
    <xf numFmtId="0" fontId="39" fillId="0" borderId="4" xfId="9" applyFont="1" applyBorder="1" applyAlignment="1">
      <alignment horizontal="center" wrapText="1"/>
    </xf>
    <xf numFmtId="0" fontId="5" fillId="0" borderId="31" xfId="9" applyFont="1" applyBorder="1" applyAlignment="1">
      <alignment horizontal="right"/>
    </xf>
    <xf numFmtId="0" fontId="5" fillId="0" borderId="4" xfId="9" applyFont="1" applyBorder="1"/>
    <xf numFmtId="0" fontId="39" fillId="0" borderId="4" xfId="9" applyFont="1" applyBorder="1"/>
    <xf numFmtId="0" fontId="42" fillId="12" borderId="26" xfId="9" applyFont="1" applyFill="1" applyBorder="1" applyAlignment="1">
      <alignment horizontal="center" vertical="center"/>
    </xf>
    <xf numFmtId="0" fontId="42" fillId="12" borderId="0" xfId="9" applyFont="1" applyFill="1" applyAlignment="1">
      <alignment horizontal="center" vertical="center"/>
    </xf>
    <xf numFmtId="0" fontId="5" fillId="12" borderId="0" xfId="9" applyFont="1" applyFill="1" applyAlignment="1">
      <alignment horizontal="center" wrapText="1"/>
    </xf>
    <xf numFmtId="0" fontId="5" fillId="12" borderId="7" xfId="9" applyFont="1" applyFill="1" applyBorder="1" applyAlignment="1">
      <alignment horizontal="center"/>
    </xf>
    <xf numFmtId="0" fontId="5" fillId="13" borderId="32" xfId="9" applyFont="1" applyFill="1" applyBorder="1" applyAlignment="1">
      <alignment horizontal="center"/>
    </xf>
    <xf numFmtId="0" fontId="5" fillId="13" borderId="8" xfId="9" applyFont="1" applyFill="1" applyBorder="1" applyAlignment="1">
      <alignment horizontal="center"/>
    </xf>
    <xf numFmtId="0" fontId="5" fillId="13" borderId="8" xfId="9" applyFont="1" applyFill="1" applyBorder="1"/>
    <xf numFmtId="0" fontId="6" fillId="13" borderId="8" xfId="9" applyFont="1" applyFill="1" applyBorder="1" applyAlignment="1">
      <alignment horizontal="center"/>
    </xf>
    <xf numFmtId="0" fontId="5" fillId="13" borderId="8" xfId="9" applyFont="1" applyFill="1" applyBorder="1" applyAlignment="1">
      <alignment horizontal="center" wrapText="1"/>
    </xf>
    <xf numFmtId="0" fontId="5" fillId="13" borderId="9" xfId="9" applyFont="1" applyFill="1" applyBorder="1" applyAlignment="1">
      <alignment horizontal="center"/>
    </xf>
    <xf numFmtId="0" fontId="6" fillId="0" borderId="5" xfId="9" applyFont="1" applyBorder="1" applyAlignment="1">
      <alignment horizontal="center"/>
    </xf>
    <xf numFmtId="0" fontId="11" fillId="2" borderId="3" xfId="17" applyFont="1" applyFill="1" applyBorder="1" applyAlignment="1">
      <alignment horizontal="right"/>
    </xf>
    <xf numFmtId="0" fontId="2" fillId="2" borderId="1" xfId="17" applyFont="1" applyFill="1" applyBorder="1" applyAlignment="1">
      <alignment horizontal="center"/>
    </xf>
    <xf numFmtId="0" fontId="2" fillId="2" borderId="0" xfId="0" applyFont="1" applyFill="1"/>
    <xf numFmtId="0" fontId="11" fillId="2" borderId="4" xfId="17" applyFont="1" applyFill="1" applyBorder="1" applyAlignment="1">
      <alignment horizontal="right"/>
    </xf>
    <xf numFmtId="49" fontId="2" fillId="2" borderId="6" xfId="17" applyNumberFormat="1" applyFont="1" applyFill="1" applyBorder="1" applyAlignment="1">
      <alignment horizontal="center"/>
    </xf>
    <xf numFmtId="0" fontId="2" fillId="2" borderId="4" xfId="17" applyFont="1" applyFill="1" applyBorder="1" applyAlignment="1">
      <alignment horizontal="right"/>
    </xf>
    <xf numFmtId="0" fontId="2" fillId="2" borderId="2" xfId="17" applyFont="1" applyFill="1" applyBorder="1" applyAlignment="1">
      <alignment horizontal="right"/>
    </xf>
    <xf numFmtId="0" fontId="2" fillId="2" borderId="0" xfId="17" applyFont="1" applyFill="1" applyAlignment="1">
      <alignment horizontal="center"/>
    </xf>
    <xf numFmtId="0" fontId="2" fillId="2" borderId="0" xfId="17" applyFont="1" applyFill="1" applyAlignment="1">
      <alignment horizontal="right"/>
    </xf>
    <xf numFmtId="0" fontId="2" fillId="2" borderId="0" xfId="17" applyFont="1" applyFill="1" applyAlignment="1">
      <alignment horizontal="left"/>
    </xf>
    <xf numFmtId="0" fontId="11" fillId="2" borderId="0" xfId="17" applyFont="1" applyFill="1" applyAlignment="1">
      <alignment horizontal="right" vertical="top" wrapText="1"/>
    </xf>
    <xf numFmtId="14" fontId="2" fillId="2" borderId="0" xfId="17" applyNumberFormat="1" applyFont="1" applyFill="1" applyAlignment="1">
      <alignment horizontal="center" vertical="center" wrapText="1"/>
    </xf>
    <xf numFmtId="14" fontId="45" fillId="2" borderId="0" xfId="17" applyNumberFormat="1" applyFont="1" applyFill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1" fontId="11" fillId="3" borderId="52" xfId="0" applyNumberFormat="1" applyFont="1" applyFill="1" applyBorder="1" applyAlignment="1">
      <alignment horizontal="center"/>
    </xf>
    <xf numFmtId="1" fontId="11" fillId="3" borderId="2" xfId="0" applyNumberFormat="1" applyFont="1" applyFill="1" applyBorder="1" applyAlignment="1">
      <alignment horizontal="center" wrapText="1"/>
    </xf>
    <xf numFmtId="1" fontId="11" fillId="3" borderId="2" xfId="0" applyNumberFormat="1" applyFont="1" applyFill="1" applyBorder="1" applyAlignment="1">
      <alignment horizontal="center"/>
    </xf>
    <xf numFmtId="0" fontId="11" fillId="3" borderId="61" xfId="0" applyFont="1" applyFill="1" applyBorder="1" applyAlignment="1">
      <alignment horizontal="center"/>
    </xf>
    <xf numFmtId="0" fontId="41" fillId="0" borderId="4" xfId="0" applyFont="1" applyBorder="1" applyAlignment="1">
      <alignment horizontal="center"/>
    </xf>
    <xf numFmtId="0" fontId="9" fillId="0" borderId="4" xfId="0" applyFont="1" applyBorder="1"/>
    <xf numFmtId="0" fontId="10" fillId="0" borderId="4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1" fillId="9" borderId="1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/>
    <xf numFmtId="0" fontId="46" fillId="0" borderId="4" xfId="0" applyFont="1" applyBorder="1" applyAlignment="1">
      <alignment horizontal="center" vertical="center"/>
    </xf>
    <xf numFmtId="0" fontId="46" fillId="0" borderId="42" xfId="0" applyFont="1" applyBorder="1" applyAlignment="1">
      <alignment horizontal="center" vertical="center"/>
    </xf>
    <xf numFmtId="0" fontId="46" fillId="0" borderId="12" xfId="0" applyFont="1" applyBorder="1" applyAlignment="1">
      <alignment horizontal="center" vertical="center"/>
    </xf>
    <xf numFmtId="0" fontId="9" fillId="0" borderId="5" xfId="0" applyFont="1" applyBorder="1"/>
    <xf numFmtId="0" fontId="3" fillId="0" borderId="5" xfId="0" applyFont="1" applyBorder="1"/>
    <xf numFmtId="49" fontId="47" fillId="2" borderId="26" xfId="0" applyNumberFormat="1" applyFont="1" applyFill="1" applyBorder="1" applyAlignment="1">
      <alignment horizontal="center" vertical="center"/>
    </xf>
    <xf numFmtId="49" fontId="47" fillId="2" borderId="0" xfId="0" applyNumberFormat="1" applyFont="1" applyFill="1" applyAlignment="1">
      <alignment horizontal="center" vertical="center"/>
    </xf>
    <xf numFmtId="1" fontId="2" fillId="2" borderId="0" xfId="0" applyNumberFormat="1" applyFont="1" applyFill="1" applyAlignment="1">
      <alignment horizontal="center"/>
    </xf>
    <xf numFmtId="165" fontId="2" fillId="2" borderId="0" xfId="0" applyNumberFormat="1" applyFont="1" applyFill="1" applyAlignment="1">
      <alignment horizontal="center" wrapText="1"/>
    </xf>
    <xf numFmtId="0" fontId="2" fillId="2" borderId="7" xfId="0" applyFont="1" applyFill="1" applyBorder="1" applyAlignment="1">
      <alignment horizontal="center"/>
    </xf>
    <xf numFmtId="0" fontId="2" fillId="2" borderId="0" xfId="0" applyFont="1" applyFill="1" applyAlignment="1">
      <alignment horizontal="left" indent="1"/>
    </xf>
    <xf numFmtId="0" fontId="2" fillId="3" borderId="32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8" xfId="0" applyFont="1" applyFill="1" applyBorder="1"/>
    <xf numFmtId="0" fontId="11" fillId="3" borderId="8" xfId="0" applyFont="1" applyFill="1" applyBorder="1" applyAlignment="1">
      <alignment horizontal="center"/>
    </xf>
    <xf numFmtId="1" fontId="11" fillId="3" borderId="8" xfId="0" applyNumberFormat="1" applyFont="1" applyFill="1" applyBorder="1" applyAlignment="1">
      <alignment horizontal="center"/>
    </xf>
    <xf numFmtId="165" fontId="2" fillId="3" borderId="8" xfId="0" applyNumberFormat="1" applyFont="1" applyFill="1" applyBorder="1" applyAlignment="1">
      <alignment horizontal="center" wrapText="1"/>
    </xf>
    <xf numFmtId="0" fontId="2" fillId="3" borderId="9" xfId="0" applyFont="1" applyFill="1" applyBorder="1" applyAlignment="1">
      <alignment horizontal="center"/>
    </xf>
    <xf numFmtId="1" fontId="2" fillId="0" borderId="5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" fontId="2" fillId="0" borderId="4" xfId="0" applyNumberFormat="1" applyFont="1" applyBorder="1" applyAlignment="1">
      <alignment horizontal="center"/>
    </xf>
    <xf numFmtId="9" fontId="2" fillId="2" borderId="0" xfId="18" applyFill="1"/>
    <xf numFmtId="1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47" fillId="2" borderId="0" xfId="0" applyFont="1" applyFill="1" applyAlignment="1">
      <alignment vertical="center"/>
    </xf>
    <xf numFmtId="1" fontId="0" fillId="0" borderId="0" xfId="0" applyNumberFormat="1"/>
    <xf numFmtId="0" fontId="8" fillId="2" borderId="3" xfId="10" applyFont="1" applyFill="1" applyBorder="1" applyAlignment="1">
      <alignment horizontal="right"/>
    </xf>
    <xf numFmtId="0" fontId="50" fillId="2" borderId="1" xfId="10" applyFont="1" applyFill="1" applyBorder="1" applyAlignment="1">
      <alignment horizontal="center"/>
    </xf>
    <xf numFmtId="0" fontId="8" fillId="2" borderId="4" xfId="10" applyFont="1" applyFill="1" applyBorder="1" applyAlignment="1">
      <alignment horizontal="right"/>
    </xf>
    <xf numFmtId="49" fontId="50" fillId="2" borderId="6" xfId="10" applyNumberFormat="1" applyFont="1" applyFill="1" applyBorder="1" applyAlignment="1">
      <alignment horizontal="center"/>
    </xf>
    <xf numFmtId="0" fontId="50" fillId="2" borderId="5" xfId="10" applyFont="1" applyFill="1" applyBorder="1" applyAlignment="1">
      <alignment horizontal="right"/>
    </xf>
    <xf numFmtId="0" fontId="50" fillId="2" borderId="4" xfId="10" applyFont="1" applyFill="1" applyBorder="1" applyAlignment="1">
      <alignment horizontal="right"/>
    </xf>
    <xf numFmtId="14" fontId="51" fillId="2" borderId="0" xfId="17" applyNumberFormat="1" applyFont="1" applyFill="1" applyAlignment="1">
      <alignment horizontal="center" vertical="center" wrapText="1"/>
    </xf>
    <xf numFmtId="0" fontId="8" fillId="3" borderId="1" xfId="9" applyFont="1" applyFill="1" applyBorder="1" applyAlignment="1">
      <alignment horizontal="center" vertical="center" wrapText="1"/>
    </xf>
    <xf numFmtId="1" fontId="8" fillId="3" borderId="2" xfId="9" applyNumberFormat="1" applyFont="1" applyFill="1" applyBorder="1" applyAlignment="1">
      <alignment horizontal="center"/>
    </xf>
    <xf numFmtId="1" fontId="8" fillId="3" borderId="2" xfId="9" applyNumberFormat="1" applyFont="1" applyFill="1" applyBorder="1" applyAlignment="1">
      <alignment horizontal="center" wrapText="1"/>
    </xf>
    <xf numFmtId="0" fontId="8" fillId="3" borderId="61" xfId="9" applyFont="1" applyFill="1" applyBorder="1" applyAlignment="1">
      <alignment horizontal="center"/>
    </xf>
    <xf numFmtId="0" fontId="52" fillId="0" borderId="31" xfId="9" applyFont="1" applyBorder="1" applyAlignment="1">
      <alignment horizontal="center" vertical="center"/>
    </xf>
    <xf numFmtId="0" fontId="52" fillId="0" borderId="13" xfId="9" applyFont="1" applyBorder="1" applyAlignment="1">
      <alignment horizontal="center" vertical="center"/>
    </xf>
    <xf numFmtId="0" fontId="53" fillId="0" borderId="4" xfId="9" applyFont="1" applyBorder="1" applyAlignment="1">
      <alignment vertical="center"/>
    </xf>
    <xf numFmtId="0" fontId="52" fillId="0" borderId="4" xfId="9" applyFont="1" applyBorder="1" applyAlignment="1">
      <alignment horizontal="center" vertical="center"/>
    </xf>
    <xf numFmtId="1" fontId="52" fillId="0" borderId="4" xfId="9" applyNumberFormat="1" applyFont="1" applyBorder="1" applyAlignment="1">
      <alignment horizontal="center"/>
    </xf>
    <xf numFmtId="1" fontId="52" fillId="0" borderId="4" xfId="9" applyNumberFormat="1" applyFont="1" applyBorder="1" applyAlignment="1">
      <alignment horizontal="center" wrapText="1"/>
    </xf>
    <xf numFmtId="0" fontId="54" fillId="0" borderId="6" xfId="9" applyFont="1" applyBorder="1" applyAlignment="1">
      <alignment horizontal="center"/>
    </xf>
    <xf numFmtId="0" fontId="55" fillId="0" borderId="4" xfId="0" applyFont="1" applyBorder="1" applyAlignment="1">
      <alignment horizontal="center"/>
    </xf>
    <xf numFmtId="0" fontId="55" fillId="0" borderId="4" xfId="0" applyFont="1" applyBorder="1"/>
    <xf numFmtId="16" fontId="54" fillId="0" borderId="4" xfId="0" applyNumberFormat="1" applyFont="1" applyBorder="1" applyAlignment="1">
      <alignment horizontal="center"/>
    </xf>
    <xf numFmtId="1" fontId="54" fillId="0" borderId="4" xfId="0" applyNumberFormat="1" applyFont="1" applyBorder="1" applyAlignment="1">
      <alignment horizontal="center"/>
    </xf>
    <xf numFmtId="1" fontId="54" fillId="0" borderId="4" xfId="0" applyNumberFormat="1" applyFont="1" applyBorder="1" applyAlignment="1">
      <alignment horizontal="center" wrapText="1"/>
    </xf>
    <xf numFmtId="1" fontId="54" fillId="0" borderId="5" xfId="9" applyNumberFormat="1" applyFont="1" applyBorder="1" applyAlignment="1">
      <alignment horizontal="center"/>
    </xf>
    <xf numFmtId="12" fontId="54" fillId="0" borderId="5" xfId="0" applyNumberFormat="1" applyFont="1" applyBorder="1" applyAlignment="1">
      <alignment horizontal="center"/>
    </xf>
    <xf numFmtId="169" fontId="54" fillId="0" borderId="4" xfId="9" applyNumberFormat="1" applyFont="1" applyBorder="1" applyAlignment="1">
      <alignment horizontal="center"/>
    </xf>
    <xf numFmtId="1" fontId="54" fillId="11" borderId="5" xfId="9" applyNumberFormat="1" applyFont="1" applyFill="1" applyBorder="1" applyAlignment="1">
      <alignment horizontal="center"/>
    </xf>
    <xf numFmtId="49" fontId="54" fillId="0" borderId="31" xfId="9" applyNumberFormat="1" applyFont="1" applyBorder="1" applyAlignment="1">
      <alignment horizontal="center"/>
    </xf>
    <xf numFmtId="49" fontId="54" fillId="0" borderId="13" xfId="9" applyNumberFormat="1" applyFont="1" applyBorder="1" applyAlignment="1">
      <alignment horizontal="center"/>
    </xf>
    <xf numFmtId="0" fontId="52" fillId="9" borderId="4" xfId="9" applyFont="1" applyFill="1" applyBorder="1" applyAlignment="1">
      <alignment horizontal="left"/>
    </xf>
    <xf numFmtId="0" fontId="54" fillId="0" borderId="4" xfId="9" applyFont="1" applyBorder="1" applyAlignment="1">
      <alignment horizontal="center"/>
    </xf>
    <xf numFmtId="1" fontId="54" fillId="0" borderId="4" xfId="9" applyNumberFormat="1" applyFont="1" applyBorder="1" applyAlignment="1">
      <alignment horizontal="center" wrapText="1"/>
    </xf>
    <xf numFmtId="0" fontId="55" fillId="9" borderId="4" xfId="0" applyFont="1" applyFill="1" applyBorder="1" applyAlignment="1">
      <alignment horizontal="center"/>
    </xf>
    <xf numFmtId="0" fontId="54" fillId="9" borderId="4" xfId="0" applyFont="1" applyFill="1" applyBorder="1" applyAlignment="1">
      <alignment horizontal="center"/>
    </xf>
    <xf numFmtId="0" fontId="55" fillId="9" borderId="4" xfId="0" applyFont="1" applyFill="1" applyBorder="1"/>
    <xf numFmtId="0" fontId="54" fillId="9" borderId="4" xfId="0" applyFont="1" applyFill="1" applyBorder="1"/>
    <xf numFmtId="16" fontId="54" fillId="9" borderId="4" xfId="0" applyNumberFormat="1" applyFont="1" applyFill="1" applyBorder="1" applyAlignment="1">
      <alignment horizontal="center"/>
    </xf>
    <xf numFmtId="1" fontId="54" fillId="9" borderId="4" xfId="0" applyNumberFormat="1" applyFont="1" applyFill="1" applyBorder="1" applyAlignment="1">
      <alignment horizontal="center" wrapText="1"/>
    </xf>
    <xf numFmtId="49" fontId="52" fillId="0" borderId="27" xfId="9" applyNumberFormat="1" applyFont="1" applyBorder="1" applyAlignment="1">
      <alignment horizontal="center"/>
    </xf>
    <xf numFmtId="49" fontId="52" fillId="0" borderId="28" xfId="9" applyNumberFormat="1" applyFont="1" applyBorder="1" applyAlignment="1">
      <alignment horizontal="center"/>
    </xf>
    <xf numFmtId="0" fontId="53" fillId="9" borderId="4" xfId="9" applyFont="1" applyFill="1" applyBorder="1" applyAlignment="1">
      <alignment vertical="center"/>
    </xf>
    <xf numFmtId="0" fontId="52" fillId="0" borderId="13" xfId="9" applyFont="1" applyBorder="1" applyAlignment="1">
      <alignment horizontal="center"/>
    </xf>
    <xf numFmtId="169" fontId="52" fillId="0" borderId="4" xfId="9" applyNumberFormat="1" applyFont="1" applyBorder="1" applyAlignment="1">
      <alignment horizontal="center"/>
    </xf>
    <xf numFmtId="0" fontId="55" fillId="0" borderId="0" xfId="0" applyFont="1"/>
    <xf numFmtId="0" fontId="54" fillId="9" borderId="5" xfId="0" applyFont="1" applyFill="1" applyBorder="1" applyAlignment="1">
      <alignment horizontal="center"/>
    </xf>
    <xf numFmtId="170" fontId="52" fillId="9" borderId="4" xfId="1" applyNumberFormat="1" applyFont="1" applyFill="1" applyBorder="1" applyAlignment="1">
      <alignment horizontal="center"/>
    </xf>
    <xf numFmtId="1" fontId="55" fillId="0" borderId="0" xfId="0" applyNumberFormat="1" applyFont="1" applyAlignment="1">
      <alignment horizontal="center"/>
    </xf>
    <xf numFmtId="0" fontId="54" fillId="9" borderId="4" xfId="0" applyFont="1" applyFill="1" applyBorder="1" applyAlignment="1">
      <alignment horizontal="center" wrapText="1"/>
    </xf>
    <xf numFmtId="12" fontId="54" fillId="0" borderId="4" xfId="9" applyNumberFormat="1" applyFont="1" applyBorder="1" applyAlignment="1">
      <alignment horizontal="center"/>
    </xf>
    <xf numFmtId="0" fontId="54" fillId="9" borderId="31" xfId="0" applyFont="1" applyFill="1" applyBorder="1" applyAlignment="1">
      <alignment horizontal="center"/>
    </xf>
    <xf numFmtId="0" fontId="56" fillId="9" borderId="0" xfId="0" applyFont="1" applyFill="1" applyAlignment="1">
      <alignment horizontal="center"/>
    </xf>
    <xf numFmtId="1" fontId="54" fillId="0" borderId="4" xfId="9" applyNumberFormat="1" applyFont="1" applyBorder="1" applyAlignment="1">
      <alignment horizontal="center"/>
    </xf>
    <xf numFmtId="49" fontId="54" fillId="0" borderId="4" xfId="9" applyNumberFormat="1" applyFont="1" applyBorder="1"/>
    <xf numFmtId="0" fontId="54" fillId="0" borderId="4" xfId="0" applyFont="1" applyBorder="1" applyAlignment="1">
      <alignment horizontal="center"/>
    </xf>
    <xf numFmtId="49" fontId="57" fillId="2" borderId="26" xfId="9" applyNumberFormat="1" applyFont="1" applyFill="1" applyBorder="1" applyAlignment="1">
      <alignment horizontal="center" vertical="center"/>
    </xf>
    <xf numFmtId="49" fontId="57" fillId="2" borderId="0" xfId="9" applyNumberFormat="1" applyFont="1" applyFill="1" applyAlignment="1">
      <alignment horizontal="center" vertical="center"/>
    </xf>
    <xf numFmtId="0" fontId="54" fillId="2" borderId="0" xfId="9" applyFont="1" applyFill="1"/>
    <xf numFmtId="1" fontId="54" fillId="2" borderId="0" xfId="9" applyNumberFormat="1" applyFont="1" applyFill="1" applyAlignment="1">
      <alignment horizontal="center"/>
    </xf>
    <xf numFmtId="165" fontId="54" fillId="2" borderId="0" xfId="9" applyNumberFormat="1" applyFont="1" applyFill="1" applyAlignment="1">
      <alignment horizontal="center" wrapText="1"/>
    </xf>
    <xf numFmtId="0" fontId="54" fillId="2" borderId="7" xfId="9" applyFont="1" applyFill="1" applyBorder="1" applyAlignment="1">
      <alignment horizontal="center"/>
    </xf>
    <xf numFmtId="0" fontId="54" fillId="3" borderId="32" xfId="9" applyFont="1" applyFill="1" applyBorder="1" applyAlignment="1">
      <alignment horizontal="center"/>
    </xf>
    <xf numFmtId="0" fontId="54" fillId="3" borderId="8" xfId="9" applyFont="1" applyFill="1" applyBorder="1" applyAlignment="1">
      <alignment horizontal="center"/>
    </xf>
    <xf numFmtId="0" fontId="54" fillId="3" borderId="8" xfId="9" applyFont="1" applyFill="1" applyBorder="1"/>
    <xf numFmtId="0" fontId="52" fillId="3" borderId="8" xfId="9" applyFont="1" applyFill="1" applyBorder="1" applyAlignment="1">
      <alignment horizontal="center"/>
    </xf>
    <xf numFmtId="1" fontId="52" fillId="3" borderId="8" xfId="9" applyNumberFormat="1" applyFont="1" applyFill="1" applyBorder="1" applyAlignment="1">
      <alignment horizontal="center"/>
    </xf>
    <xf numFmtId="165" fontId="54" fillId="3" borderId="8" xfId="9" applyNumberFormat="1" applyFont="1" applyFill="1" applyBorder="1" applyAlignment="1">
      <alignment horizontal="center" wrapText="1"/>
    </xf>
    <xf numFmtId="0" fontId="54" fillId="3" borderId="9" xfId="9" applyFont="1" applyFill="1" applyBorder="1" applyAlignment="1">
      <alignment horizontal="center"/>
    </xf>
    <xf numFmtId="1" fontId="54" fillId="0" borderId="5" xfId="0" applyNumberFormat="1" applyFont="1" applyBorder="1" applyAlignment="1">
      <alignment horizontal="center"/>
    </xf>
    <xf numFmtId="0" fontId="54" fillId="0" borderId="10" xfId="0" applyFont="1" applyBorder="1" applyAlignment="1">
      <alignment horizontal="center"/>
    </xf>
    <xf numFmtId="0" fontId="52" fillId="0" borderId="4" xfId="0" applyFont="1" applyBorder="1" applyAlignment="1">
      <alignment horizontal="center"/>
    </xf>
    <xf numFmtId="1" fontId="54" fillId="0" borderId="2" xfId="0" applyNumberFormat="1" applyFont="1" applyBorder="1" applyAlignment="1">
      <alignment horizontal="center"/>
    </xf>
    <xf numFmtId="0" fontId="54" fillId="0" borderId="2" xfId="0" applyFont="1" applyBorder="1" applyAlignment="1">
      <alignment horizontal="center"/>
    </xf>
    <xf numFmtId="0" fontId="54" fillId="9" borderId="5" xfId="0" applyFont="1" applyFill="1" applyBorder="1"/>
    <xf numFmtId="0" fontId="58" fillId="0" borderId="4" xfId="0" applyFont="1" applyBorder="1" applyAlignment="1">
      <alignment horizontal="center"/>
    </xf>
    <xf numFmtId="0" fontId="10" fillId="0" borderId="33" xfId="3" applyFont="1" applyBorder="1" applyAlignment="1">
      <alignment horizontal="left"/>
    </xf>
    <xf numFmtId="0" fontId="10" fillId="0" borderId="34" xfId="3" applyFont="1" applyBorder="1" applyAlignment="1">
      <alignment horizontal="left"/>
    </xf>
    <xf numFmtId="0" fontId="6" fillId="13" borderId="32" xfId="3" applyFont="1" applyFill="1" applyBorder="1" applyAlignment="1">
      <alignment horizontal="left"/>
    </xf>
    <xf numFmtId="0" fontId="6" fillId="13" borderId="8" xfId="3" applyFont="1" applyFill="1" applyBorder="1" applyAlignment="1">
      <alignment horizontal="left"/>
    </xf>
    <xf numFmtId="0" fontId="6" fillId="0" borderId="33" xfId="3" applyFont="1" applyBorder="1" applyAlignment="1">
      <alignment horizontal="right"/>
    </xf>
    <xf numFmtId="0" fontId="6" fillId="0" borderId="34" xfId="3" applyFont="1" applyBorder="1" applyAlignment="1">
      <alignment horizontal="right"/>
    </xf>
    <xf numFmtId="0" fontId="6" fillId="0" borderId="35" xfId="3" applyFont="1" applyBorder="1" applyAlignment="1">
      <alignment horizontal="right"/>
    </xf>
    <xf numFmtId="0" fontId="5" fillId="0" borderId="36" xfId="3" applyFont="1" applyBorder="1" applyAlignment="1">
      <alignment horizontal="right"/>
    </xf>
    <xf numFmtId="0" fontId="5" fillId="0" borderId="35" xfId="3" applyFont="1" applyBorder="1" applyAlignment="1">
      <alignment horizontal="right"/>
    </xf>
    <xf numFmtId="0" fontId="5" fillId="0" borderId="36" xfId="3" applyFont="1" applyBorder="1" applyAlignment="1">
      <alignment horizontal="center"/>
    </xf>
    <xf numFmtId="0" fontId="5" fillId="0" borderId="34" xfId="3" applyFont="1" applyBorder="1" applyAlignment="1">
      <alignment horizontal="center"/>
    </xf>
    <xf numFmtId="0" fontId="10" fillId="0" borderId="37" xfId="3" applyFont="1" applyBorder="1" applyAlignment="1">
      <alignment horizontal="left"/>
    </xf>
    <xf numFmtId="0" fontId="10" fillId="0" borderId="38" xfId="3" applyFont="1" applyBorder="1" applyAlignment="1">
      <alignment horizontal="left"/>
    </xf>
    <xf numFmtId="0" fontId="10" fillId="0" borderId="27" xfId="3" applyFont="1" applyBorder="1" applyAlignment="1">
      <alignment horizontal="left"/>
    </xf>
    <xf numFmtId="0" fontId="10" fillId="0" borderId="28" xfId="3" applyFont="1" applyBorder="1" applyAlignment="1">
      <alignment horizontal="left"/>
    </xf>
    <xf numFmtId="0" fontId="6" fillId="0" borderId="27" xfId="3" applyFont="1" applyBorder="1" applyAlignment="1">
      <alignment horizontal="right"/>
    </xf>
    <xf numFmtId="0" fontId="6" fillId="0" borderId="28" xfId="3" applyFont="1" applyBorder="1" applyAlignment="1">
      <alignment horizontal="right"/>
    </xf>
    <xf numFmtId="0" fontId="6" fillId="0" borderId="13" xfId="3" applyFont="1" applyBorder="1" applyAlignment="1">
      <alignment horizontal="right"/>
    </xf>
    <xf numFmtId="0" fontId="5" fillId="0" borderId="15" xfId="3" applyFont="1" applyBorder="1" applyAlignment="1">
      <alignment horizontal="right"/>
    </xf>
    <xf numFmtId="0" fontId="5" fillId="0" borderId="13" xfId="3" applyFont="1" applyBorder="1" applyAlignment="1">
      <alignment horizontal="right"/>
    </xf>
    <xf numFmtId="0" fontId="5" fillId="0" borderId="15" xfId="3" applyFont="1" applyBorder="1" applyAlignment="1">
      <alignment horizontal="center"/>
    </xf>
    <xf numFmtId="0" fontId="5" fillId="0" borderId="28" xfId="3" applyFont="1" applyBorder="1" applyAlignment="1">
      <alignment horizontal="center"/>
    </xf>
    <xf numFmtId="0" fontId="5" fillId="0" borderId="15" xfId="3" applyFont="1" applyBorder="1" applyAlignment="1">
      <alignment horizontal="right" wrapText="1"/>
    </xf>
    <xf numFmtId="0" fontId="5" fillId="0" borderId="13" xfId="3" applyFont="1" applyBorder="1" applyAlignment="1">
      <alignment horizontal="right" wrapText="1"/>
    </xf>
    <xf numFmtId="0" fontId="6" fillId="0" borderId="37" xfId="3" applyFont="1" applyBorder="1" applyAlignment="1">
      <alignment horizontal="right"/>
    </xf>
    <xf numFmtId="0" fontId="6" fillId="0" borderId="38" xfId="3" applyFont="1" applyBorder="1" applyAlignment="1">
      <alignment horizontal="right"/>
    </xf>
    <xf numFmtId="0" fontId="6" fillId="0" borderId="39" xfId="3" applyFont="1" applyBorder="1" applyAlignment="1">
      <alignment horizontal="right"/>
    </xf>
    <xf numFmtId="0" fontId="5" fillId="0" borderId="40" xfId="3" applyFont="1" applyBorder="1" applyAlignment="1">
      <alignment horizontal="right"/>
    </xf>
    <xf numFmtId="0" fontId="5" fillId="0" borderId="39" xfId="3" applyFont="1" applyBorder="1" applyAlignment="1">
      <alignment horizontal="right"/>
    </xf>
    <xf numFmtId="0" fontId="5" fillId="12" borderId="40" xfId="3" applyFont="1" applyFill="1" applyBorder="1" applyAlignment="1">
      <alignment horizontal="center"/>
    </xf>
    <xf numFmtId="0" fontId="5" fillId="12" borderId="38" xfId="3" applyFont="1" applyFill="1" applyBorder="1" applyAlignment="1">
      <alignment horizontal="center"/>
    </xf>
    <xf numFmtId="14" fontId="5" fillId="12" borderId="11" xfId="3" applyNumberFormat="1" applyFont="1" applyFill="1" applyBorder="1" applyAlignment="1">
      <alignment horizontal="center" vertical="center" wrapText="1"/>
    </xf>
    <xf numFmtId="14" fontId="5" fillId="12" borderId="50" xfId="3" applyNumberFormat="1" applyFont="1" applyFill="1" applyBorder="1" applyAlignment="1">
      <alignment horizontal="center" vertical="center" wrapText="1"/>
    </xf>
    <xf numFmtId="14" fontId="5" fillId="12" borderId="51" xfId="3" applyNumberFormat="1" applyFont="1" applyFill="1" applyBorder="1" applyAlignment="1">
      <alignment horizontal="center" vertical="center" wrapText="1"/>
    </xf>
    <xf numFmtId="0" fontId="5" fillId="12" borderId="40" xfId="3" applyFont="1" applyFill="1" applyBorder="1" applyAlignment="1">
      <alignment horizontal="left"/>
    </xf>
    <xf numFmtId="0" fontId="5" fillId="12" borderId="38" xfId="3" applyFont="1" applyFill="1" applyBorder="1" applyAlignment="1">
      <alignment horizontal="left"/>
    </xf>
    <xf numFmtId="0" fontId="5" fillId="12" borderId="36" xfId="3" applyFont="1" applyFill="1" applyBorder="1" applyAlignment="1">
      <alignment horizontal="left"/>
    </xf>
    <xf numFmtId="0" fontId="5" fillId="12" borderId="34" xfId="3" applyFont="1" applyFill="1" applyBorder="1" applyAlignment="1">
      <alignment horizontal="left"/>
    </xf>
    <xf numFmtId="0" fontId="6" fillId="13" borderId="40" xfId="3" applyFont="1" applyFill="1" applyBorder="1" applyAlignment="1">
      <alignment horizontal="center" vertical="center"/>
    </xf>
    <xf numFmtId="0" fontId="6" fillId="13" borderId="39" xfId="3" applyFont="1" applyFill="1" applyBorder="1" applyAlignment="1">
      <alignment horizontal="center" vertical="center"/>
    </xf>
    <xf numFmtId="0" fontId="5" fillId="12" borderId="45" xfId="3" applyFont="1" applyFill="1" applyBorder="1" applyAlignment="1">
      <alignment horizontal="center"/>
    </xf>
    <xf numFmtId="0" fontId="5" fillId="12" borderId="25" xfId="3" applyFont="1" applyFill="1" applyBorder="1" applyAlignment="1">
      <alignment horizontal="center"/>
    </xf>
    <xf numFmtId="0" fontId="5" fillId="12" borderId="26" xfId="3" applyFont="1" applyFill="1" applyBorder="1" applyAlignment="1">
      <alignment horizontal="center"/>
    </xf>
    <xf numFmtId="0" fontId="5" fillId="12" borderId="0" xfId="3" applyFont="1" applyFill="1" applyAlignment="1">
      <alignment horizontal="center"/>
    </xf>
    <xf numFmtId="0" fontId="5" fillId="12" borderId="46" xfId="3" applyFont="1" applyFill="1" applyBorder="1" applyAlignment="1">
      <alignment horizontal="center"/>
    </xf>
    <xf numFmtId="0" fontId="5" fillId="12" borderId="24" xfId="3" applyFont="1" applyFill="1" applyBorder="1" applyAlignment="1">
      <alignment horizontal="center"/>
    </xf>
    <xf numFmtId="0" fontId="4" fillId="12" borderId="38" xfId="3" applyFont="1" applyFill="1" applyBorder="1" applyAlignment="1">
      <alignment horizontal="center"/>
    </xf>
    <xf numFmtId="0" fontId="4" fillId="12" borderId="39" xfId="3" applyFont="1" applyFill="1" applyBorder="1" applyAlignment="1">
      <alignment horizontal="center"/>
    </xf>
    <xf numFmtId="0" fontId="4" fillId="12" borderId="34" xfId="3" applyFont="1" applyFill="1" applyBorder="1" applyAlignment="1">
      <alignment horizontal="center"/>
    </xf>
    <xf numFmtId="0" fontId="4" fillId="12" borderId="35" xfId="3" applyFont="1" applyFill="1" applyBorder="1" applyAlignment="1">
      <alignment horizontal="center"/>
    </xf>
    <xf numFmtId="0" fontId="8" fillId="14" borderId="32" xfId="3" applyFont="1" applyFill="1" applyBorder="1" applyAlignment="1">
      <alignment horizontal="center" vertical="center" wrapText="1"/>
    </xf>
    <xf numFmtId="0" fontId="8" fillId="14" borderId="8" xfId="3" applyFont="1" applyFill="1" applyBorder="1" applyAlignment="1">
      <alignment horizontal="center" vertical="center" wrapText="1"/>
    </xf>
    <xf numFmtId="0" fontId="6" fillId="12" borderId="47" xfId="3" applyFont="1" applyFill="1" applyBorder="1" applyAlignment="1">
      <alignment horizontal="right" vertical="top" wrapText="1"/>
    </xf>
    <xf numFmtId="0" fontId="6" fillId="12" borderId="48" xfId="3" applyFont="1" applyFill="1" applyBorder="1" applyAlignment="1">
      <alignment horizontal="right" vertical="top" wrapText="1"/>
    </xf>
    <xf numFmtId="0" fontId="6" fillId="12" borderId="49" xfId="3" applyFont="1" applyFill="1" applyBorder="1" applyAlignment="1">
      <alignment horizontal="right" vertical="top" wrapText="1"/>
    </xf>
    <xf numFmtId="0" fontId="6" fillId="13" borderId="41" xfId="3" applyFont="1" applyFill="1" applyBorder="1" applyAlignment="1">
      <alignment horizontal="center" vertical="center"/>
    </xf>
    <xf numFmtId="0" fontId="6" fillId="13" borderId="42" xfId="3" applyFont="1" applyFill="1" applyBorder="1" applyAlignment="1">
      <alignment horizontal="center" vertical="center"/>
    </xf>
    <xf numFmtId="0" fontId="6" fillId="13" borderId="43" xfId="3" applyFont="1" applyFill="1" applyBorder="1" applyAlignment="1">
      <alignment horizontal="center" vertical="center"/>
    </xf>
    <xf numFmtId="0" fontId="6" fillId="13" borderId="44" xfId="3" applyFont="1" applyFill="1" applyBorder="1" applyAlignment="1">
      <alignment horizontal="center" vertical="center"/>
    </xf>
    <xf numFmtId="0" fontId="6" fillId="13" borderId="5" xfId="3" applyFont="1" applyFill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right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21" fillId="0" borderId="45" xfId="0" applyFont="1" applyBorder="1" applyAlignment="1">
      <alignment horizontal="right"/>
    </xf>
    <xf numFmtId="0" fontId="21" fillId="0" borderId="25" xfId="0" applyFont="1" applyBorder="1" applyAlignment="1">
      <alignment horizontal="right"/>
    </xf>
    <xf numFmtId="0" fontId="9" fillId="0" borderId="4" xfId="0" applyFont="1" applyBorder="1" applyAlignment="1">
      <alignment horizontal="right" vertical="center"/>
    </xf>
    <xf numFmtId="0" fontId="21" fillId="0" borderId="0" xfId="0" applyFont="1" applyAlignment="1">
      <alignment horizontal="right"/>
    </xf>
    <xf numFmtId="0" fontId="28" fillId="0" borderId="4" xfId="0" applyFont="1" applyBorder="1" applyAlignment="1">
      <alignment horizontal="right" vertical="center"/>
    </xf>
    <xf numFmtId="0" fontId="29" fillId="0" borderId="26" xfId="0" applyFont="1" applyBorder="1" applyAlignment="1">
      <alignment horizontal="right"/>
    </xf>
    <xf numFmtId="0" fontId="29" fillId="0" borderId="0" xfId="0" applyFont="1" applyAlignment="1">
      <alignment horizontal="right"/>
    </xf>
    <xf numFmtId="0" fontId="29" fillId="0" borderId="7" xfId="0" applyFont="1" applyBorder="1" applyAlignment="1">
      <alignment horizontal="right"/>
    </xf>
    <xf numFmtId="0" fontId="23" fillId="0" borderId="24" xfId="0" applyFont="1" applyBorder="1" applyAlignment="1">
      <alignment horizontal="right"/>
    </xf>
    <xf numFmtId="0" fontId="20" fillId="0" borderId="0" xfId="0" applyFont="1" applyAlignment="1">
      <alignment horizontal="right" vertical="center"/>
    </xf>
    <xf numFmtId="0" fontId="26" fillId="4" borderId="32" xfId="0" applyFont="1" applyFill="1" applyBorder="1" applyAlignment="1">
      <alignment horizontal="right"/>
    </xf>
    <xf numFmtId="0" fontId="26" fillId="4" borderId="8" xfId="0" applyFont="1" applyFill="1" applyBorder="1" applyAlignment="1">
      <alignment horizontal="right"/>
    </xf>
    <xf numFmtId="0" fontId="9" fillId="0" borderId="0" xfId="0" applyFont="1" applyAlignment="1">
      <alignment horizontal="right" vertical="center"/>
    </xf>
    <xf numFmtId="0" fontId="12" fillId="0" borderId="24" xfId="0" applyFont="1" applyBorder="1" applyAlignment="1">
      <alignment horizontal="right" vertical="center"/>
    </xf>
    <xf numFmtId="0" fontId="12" fillId="0" borderId="55" xfId="0" applyFont="1" applyBorder="1" applyAlignment="1">
      <alignment horizontal="right" vertical="center"/>
    </xf>
    <xf numFmtId="0" fontId="37" fillId="0" borderId="0" xfId="0" applyFont="1" applyAlignment="1">
      <alignment horizontal="right"/>
    </xf>
    <xf numFmtId="0" fontId="12" fillId="8" borderId="32" xfId="0" applyFont="1" applyFill="1" applyBorder="1" applyAlignment="1">
      <alignment horizontal="right" vertical="center"/>
    </xf>
    <xf numFmtId="0" fontId="12" fillId="8" borderId="8" xfId="0" applyFont="1" applyFill="1" applyBorder="1" applyAlignment="1">
      <alignment horizontal="right" vertical="center"/>
    </xf>
    <xf numFmtId="0" fontId="12" fillId="8" borderId="9" xfId="0" applyFont="1" applyFill="1" applyBorder="1" applyAlignment="1">
      <alignment horizontal="right" vertical="center"/>
    </xf>
    <xf numFmtId="4" fontId="34" fillId="0" borderId="0" xfId="2" applyNumberFormat="1" applyFont="1" applyFill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36" fillId="0" borderId="32" xfId="0" applyFont="1" applyBorder="1" applyAlignment="1">
      <alignment horizontal="right" vertical="center"/>
    </xf>
    <xf numFmtId="0" fontId="36" fillId="0" borderId="8" xfId="0" applyFont="1" applyBorder="1" applyAlignment="1">
      <alignment horizontal="right" vertical="center"/>
    </xf>
    <xf numFmtId="0" fontId="36" fillId="0" borderId="9" xfId="0" applyFont="1" applyBorder="1" applyAlignment="1">
      <alignment horizontal="right" vertical="center"/>
    </xf>
    <xf numFmtId="0" fontId="5" fillId="0" borderId="2" xfId="9" applyFont="1" applyBorder="1" applyAlignment="1">
      <alignment horizontal="right"/>
    </xf>
    <xf numFmtId="165" fontId="5" fillId="0" borderId="36" xfId="9" applyNumberFormat="1" applyFont="1" applyBorder="1" applyAlignment="1">
      <alignment horizontal="center"/>
    </xf>
    <xf numFmtId="165" fontId="5" fillId="0" borderId="59" xfId="9" applyNumberFormat="1" applyFont="1" applyBorder="1" applyAlignment="1">
      <alignment horizontal="center"/>
    </xf>
    <xf numFmtId="0" fontId="6" fillId="0" borderId="4" xfId="9" applyFont="1" applyBorder="1" applyAlignment="1">
      <alignment horizontal="right"/>
    </xf>
    <xf numFmtId="0" fontId="5" fillId="0" borderId="4" xfId="9" applyFont="1" applyBorder="1" applyAlignment="1">
      <alignment horizontal="right"/>
    </xf>
    <xf numFmtId="165" fontId="5" fillId="0" borderId="15" xfId="9" applyNumberFormat="1" applyFont="1" applyBorder="1" applyAlignment="1">
      <alignment horizontal="center"/>
    </xf>
    <xf numFmtId="165" fontId="5" fillId="0" borderId="16" xfId="9" applyNumberFormat="1" applyFont="1" applyBorder="1" applyAlignment="1">
      <alignment horizontal="center"/>
    </xf>
    <xf numFmtId="165" fontId="5" fillId="0" borderId="15" xfId="9" applyNumberFormat="1" applyFont="1" applyBorder="1" applyAlignment="1">
      <alignment horizontal="right" wrapText="1"/>
    </xf>
    <xf numFmtId="165" fontId="5" fillId="0" borderId="13" xfId="9" applyNumberFormat="1" applyFont="1" applyBorder="1" applyAlignment="1">
      <alignment horizontal="right" wrapText="1"/>
    </xf>
    <xf numFmtId="0" fontId="5" fillId="2" borderId="46" xfId="10" applyFont="1" applyFill="1" applyBorder="1" applyAlignment="1">
      <alignment horizontal="left" wrapText="1"/>
    </xf>
    <xf numFmtId="0" fontId="5" fillId="2" borderId="24" xfId="10" applyFont="1" applyFill="1" applyBorder="1" applyAlignment="1">
      <alignment horizontal="left" wrapText="1"/>
    </xf>
    <xf numFmtId="0" fontId="5" fillId="2" borderId="55" xfId="10" applyFont="1" applyFill="1" applyBorder="1" applyAlignment="1">
      <alignment horizontal="left" wrapText="1"/>
    </xf>
    <xf numFmtId="0" fontId="6" fillId="3" borderId="32" xfId="9" applyFont="1" applyFill="1" applyBorder="1" applyAlignment="1">
      <alignment horizontal="left"/>
    </xf>
    <xf numFmtId="0" fontId="6" fillId="3" borderId="8" xfId="9" applyFont="1" applyFill="1" applyBorder="1" applyAlignment="1">
      <alignment horizontal="left"/>
    </xf>
    <xf numFmtId="0" fontId="6" fillId="3" borderId="9" xfId="9" applyFont="1" applyFill="1" applyBorder="1" applyAlignment="1">
      <alignment horizontal="left"/>
    </xf>
    <xf numFmtId="0" fontId="10" fillId="0" borderId="27" xfId="9" applyFont="1" applyBorder="1" applyAlignment="1">
      <alignment horizontal="left"/>
    </xf>
    <xf numFmtId="0" fontId="10" fillId="0" borderId="28" xfId="9" applyFont="1" applyBorder="1" applyAlignment="1">
      <alignment horizontal="left"/>
    </xf>
    <xf numFmtId="0" fontId="10" fillId="0" borderId="16" xfId="9" applyFont="1" applyBorder="1" applyAlignment="1">
      <alignment horizontal="left"/>
    </xf>
    <xf numFmtId="14" fontId="5" fillId="2" borderId="11" xfId="10" applyNumberFormat="1" applyFont="1" applyFill="1" applyBorder="1" applyAlignment="1">
      <alignment horizontal="center" vertical="center" wrapText="1"/>
    </xf>
    <xf numFmtId="14" fontId="5" fillId="2" borderId="50" xfId="10" applyNumberFormat="1" applyFont="1" applyFill="1" applyBorder="1" applyAlignment="1">
      <alignment horizontal="center" vertical="center" wrapText="1"/>
    </xf>
    <xf numFmtId="0" fontId="5" fillId="2" borderId="40" xfId="10" applyFont="1" applyFill="1" applyBorder="1" applyAlignment="1">
      <alignment horizontal="left"/>
    </xf>
    <xf numFmtId="0" fontId="5" fillId="2" borderId="38" xfId="10" applyFont="1" applyFill="1" applyBorder="1" applyAlignment="1">
      <alignment horizontal="left"/>
    </xf>
    <xf numFmtId="0" fontId="5" fillId="2" borderId="39" xfId="10" applyFont="1" applyFill="1" applyBorder="1" applyAlignment="1">
      <alignment horizontal="left"/>
    </xf>
    <xf numFmtId="0" fontId="5" fillId="2" borderId="15" xfId="10" applyFont="1" applyFill="1" applyBorder="1" applyAlignment="1">
      <alignment horizontal="left"/>
    </xf>
    <xf numFmtId="0" fontId="5" fillId="2" borderId="28" xfId="10" applyFont="1" applyFill="1" applyBorder="1" applyAlignment="1">
      <alignment horizontal="left"/>
    </xf>
    <xf numFmtId="0" fontId="5" fillId="2" borderId="13" xfId="10" applyFont="1" applyFill="1" applyBorder="1" applyAlignment="1">
      <alignment horizontal="left"/>
    </xf>
    <xf numFmtId="1" fontId="5" fillId="0" borderId="15" xfId="9" applyNumberFormat="1" applyFont="1" applyBorder="1" applyAlignment="1">
      <alignment horizontal="center"/>
    </xf>
    <xf numFmtId="1" fontId="5" fillId="0" borderId="13" xfId="9" applyNumberFormat="1" applyFont="1" applyBorder="1" applyAlignment="1">
      <alignment horizontal="center"/>
    </xf>
    <xf numFmtId="0" fontId="5" fillId="2" borderId="20" xfId="10" applyFont="1" applyFill="1" applyBorder="1" applyAlignment="1">
      <alignment horizontal="center"/>
    </xf>
    <xf numFmtId="0" fontId="5" fillId="2" borderId="21" xfId="10" applyFont="1" applyFill="1" applyBorder="1" applyAlignment="1">
      <alignment horizontal="center"/>
    </xf>
    <xf numFmtId="0" fontId="5" fillId="2" borderId="23" xfId="10" applyFont="1" applyFill="1" applyBorder="1" applyAlignment="1">
      <alignment horizontal="center"/>
    </xf>
    <xf numFmtId="0" fontId="10" fillId="0" borderId="27" xfId="9" applyFont="1" applyBorder="1" applyAlignment="1">
      <alignment horizontal="left" wrapText="1"/>
    </xf>
    <xf numFmtId="0" fontId="10" fillId="0" borderId="28" xfId="9" applyFont="1" applyBorder="1" applyAlignment="1">
      <alignment horizontal="left" wrapText="1"/>
    </xf>
    <xf numFmtId="0" fontId="10" fillId="0" borderId="16" xfId="9" applyFont="1" applyBorder="1" applyAlignment="1">
      <alignment horizontal="left" wrapText="1"/>
    </xf>
    <xf numFmtId="0" fontId="10" fillId="0" borderId="29" xfId="9" applyFont="1" applyBorder="1" applyAlignment="1">
      <alignment horizontal="left"/>
    </xf>
    <xf numFmtId="0" fontId="10" fillId="0" borderId="30" xfId="9" applyFont="1" applyBorder="1" applyAlignment="1">
      <alignment horizontal="left"/>
    </xf>
    <xf numFmtId="0" fontId="10" fillId="0" borderId="57" xfId="9" applyFont="1" applyBorder="1" applyAlignment="1">
      <alignment horizontal="left"/>
    </xf>
    <xf numFmtId="0" fontId="6" fillId="0" borderId="58" xfId="9" applyFont="1" applyBorder="1" applyAlignment="1">
      <alignment horizontal="right"/>
    </xf>
    <xf numFmtId="0" fontId="6" fillId="0" borderId="35" xfId="9" applyFont="1" applyBorder="1" applyAlignment="1">
      <alignment horizontal="right"/>
    </xf>
    <xf numFmtId="0" fontId="6" fillId="0" borderId="2" xfId="9" applyFont="1" applyBorder="1" applyAlignment="1">
      <alignment horizontal="right"/>
    </xf>
    <xf numFmtId="0" fontId="10" fillId="15" borderId="22" xfId="9" applyFont="1" applyFill="1" applyBorder="1" applyAlignment="1">
      <alignment horizontal="center"/>
    </xf>
    <xf numFmtId="165" fontId="5" fillId="0" borderId="5" xfId="9" applyNumberFormat="1" applyFont="1" applyBorder="1" applyAlignment="1">
      <alignment horizontal="right"/>
    </xf>
    <xf numFmtId="0" fontId="5" fillId="2" borderId="10" xfId="9" applyFont="1" applyFill="1" applyBorder="1" applyAlignment="1">
      <alignment horizontal="center"/>
    </xf>
    <xf numFmtId="0" fontId="5" fillId="2" borderId="56" xfId="9" applyFont="1" applyFill="1" applyBorder="1" applyAlignment="1">
      <alignment horizontal="center"/>
    </xf>
    <xf numFmtId="0" fontId="6" fillId="3" borderId="3" xfId="9" applyFont="1" applyFill="1" applyBorder="1" applyAlignment="1">
      <alignment horizontal="center" vertical="center"/>
    </xf>
    <xf numFmtId="0" fontId="6" fillId="3" borderId="2" xfId="9" applyFont="1" applyFill="1" applyBorder="1" applyAlignment="1">
      <alignment horizontal="center" vertical="center"/>
    </xf>
    <xf numFmtId="0" fontId="5" fillId="9" borderId="15" xfId="9" applyFont="1" applyFill="1" applyBorder="1" applyAlignment="1">
      <alignment horizontal="center"/>
    </xf>
    <xf numFmtId="0" fontId="5" fillId="9" borderId="28" xfId="9" applyFont="1" applyFill="1" applyBorder="1" applyAlignment="1">
      <alignment horizontal="center"/>
    </xf>
    <xf numFmtId="0" fontId="5" fillId="9" borderId="16" xfId="9" applyFont="1" applyFill="1" applyBorder="1" applyAlignment="1">
      <alignment horizontal="center"/>
    </xf>
    <xf numFmtId="49" fontId="9" fillId="0" borderId="15" xfId="9" applyNumberFormat="1" applyFont="1" applyBorder="1" applyAlignment="1">
      <alignment horizontal="center"/>
    </xf>
    <xf numFmtId="49" fontId="9" fillId="0" borderId="28" xfId="9" applyNumberFormat="1" applyFont="1" applyBorder="1" applyAlignment="1">
      <alignment horizontal="center"/>
    </xf>
    <xf numFmtId="49" fontId="9" fillId="0" borderId="16" xfId="9" applyNumberFormat="1" applyFont="1" applyBorder="1" applyAlignment="1">
      <alignment horizontal="center"/>
    </xf>
    <xf numFmtId="1" fontId="5" fillId="0" borderId="28" xfId="9" applyNumberFormat="1" applyFont="1" applyBorder="1" applyAlignment="1">
      <alignment horizontal="center"/>
    </xf>
    <xf numFmtId="1" fontId="5" fillId="0" borderId="16" xfId="9" applyNumberFormat="1" applyFont="1" applyBorder="1" applyAlignment="1">
      <alignment horizontal="center"/>
    </xf>
    <xf numFmtId="0" fontId="4" fillId="2" borderId="39" xfId="10" applyFont="1" applyFill="1" applyBorder="1" applyAlignment="1">
      <alignment horizontal="center"/>
    </xf>
    <xf numFmtId="0" fontId="4" fillId="2" borderId="3" xfId="10" applyFont="1" applyFill="1" applyBorder="1" applyAlignment="1">
      <alignment horizontal="center"/>
    </xf>
    <xf numFmtId="0" fontId="4" fillId="2" borderId="47" xfId="10" applyFont="1" applyFill="1" applyBorder="1" applyAlignment="1">
      <alignment horizontal="center"/>
    </xf>
    <xf numFmtId="0" fontId="4" fillId="2" borderId="52" xfId="10" applyFont="1" applyFill="1" applyBorder="1" applyAlignment="1">
      <alignment horizontal="center"/>
    </xf>
    <xf numFmtId="0" fontId="8" fillId="5" borderId="32" xfId="10" applyFont="1" applyFill="1" applyBorder="1" applyAlignment="1">
      <alignment horizontal="center" vertical="center" wrapText="1"/>
    </xf>
    <xf numFmtId="0" fontId="8" fillId="5" borderId="8" xfId="10" applyFont="1" applyFill="1" applyBorder="1" applyAlignment="1">
      <alignment horizontal="center" vertical="center" wrapText="1"/>
    </xf>
    <xf numFmtId="0" fontId="8" fillId="5" borderId="9" xfId="10" applyFont="1" applyFill="1" applyBorder="1" applyAlignment="1">
      <alignment horizontal="center" vertical="center" wrapText="1"/>
    </xf>
    <xf numFmtId="0" fontId="6" fillId="2" borderId="47" xfId="10" applyFont="1" applyFill="1" applyBorder="1" applyAlignment="1">
      <alignment horizontal="right" vertical="top" wrapText="1"/>
    </xf>
    <xf numFmtId="0" fontId="6" fillId="2" borderId="48" xfId="10" applyFont="1" applyFill="1" applyBorder="1" applyAlignment="1">
      <alignment horizontal="right" vertical="top" wrapText="1"/>
    </xf>
    <xf numFmtId="0" fontId="6" fillId="2" borderId="49" xfId="10" applyFont="1" applyFill="1" applyBorder="1" applyAlignment="1">
      <alignment horizontal="right" vertical="top" wrapText="1"/>
    </xf>
    <xf numFmtId="0" fontId="6" fillId="3" borderId="53" xfId="9" applyFont="1" applyFill="1" applyBorder="1" applyAlignment="1">
      <alignment horizontal="center" vertical="center"/>
    </xf>
    <xf numFmtId="0" fontId="6" fillId="3" borderId="54" xfId="9" applyFont="1" applyFill="1" applyBorder="1" applyAlignment="1">
      <alignment horizontal="center" vertical="center"/>
    </xf>
    <xf numFmtId="0" fontId="6" fillId="3" borderId="52" xfId="9" applyFont="1" applyFill="1" applyBorder="1" applyAlignment="1">
      <alignment horizontal="center" vertical="center"/>
    </xf>
    <xf numFmtId="0" fontId="6" fillId="3" borderId="43" xfId="9" applyFont="1" applyFill="1" applyBorder="1" applyAlignment="1">
      <alignment horizontal="center" vertical="center"/>
    </xf>
    <xf numFmtId="0" fontId="6" fillId="3" borderId="5" xfId="9" applyFont="1" applyFill="1" applyBorder="1" applyAlignment="1">
      <alignment horizontal="center" vertical="center"/>
    </xf>
    <xf numFmtId="0" fontId="49" fillId="0" borderId="46" xfId="9" applyFont="1" applyBorder="1" applyAlignment="1">
      <alignment horizontal="left"/>
    </xf>
    <xf numFmtId="0" fontId="49" fillId="0" borderId="24" xfId="9" applyFont="1" applyBorder="1" applyAlignment="1">
      <alignment horizontal="left"/>
    </xf>
    <xf numFmtId="0" fontId="49" fillId="0" borderId="55" xfId="9" applyFont="1" applyBorder="1" applyAlignment="1">
      <alignment horizontal="left"/>
    </xf>
    <xf numFmtId="0" fontId="48" fillId="0" borderId="62" xfId="9" applyFont="1" applyBorder="1" applyAlignment="1">
      <alignment horizontal="left" wrapText="1"/>
    </xf>
    <xf numFmtId="0" fontId="48" fillId="0" borderId="63" xfId="9" applyFont="1" applyBorder="1" applyAlignment="1">
      <alignment horizontal="left" wrapText="1"/>
    </xf>
    <xf numFmtId="0" fontId="48" fillId="0" borderId="56" xfId="9" applyFont="1" applyBorder="1" applyAlignment="1">
      <alignment horizontal="left" wrapText="1"/>
    </xf>
    <xf numFmtId="0" fontId="49" fillId="0" borderId="62" xfId="9" applyFont="1" applyBorder="1" applyAlignment="1">
      <alignment horizontal="left"/>
    </xf>
    <xf numFmtId="0" fontId="49" fillId="0" borderId="63" xfId="9" applyFont="1" applyBorder="1" applyAlignment="1">
      <alignment horizontal="left"/>
    </xf>
    <xf numFmtId="0" fontId="49" fillId="0" borderId="56" xfId="9" applyFont="1" applyBorder="1" applyAlignment="1">
      <alignment horizontal="left"/>
    </xf>
    <xf numFmtId="0" fontId="11" fillId="0" borderId="27" xfId="0" applyFont="1" applyBorder="1" applyAlignment="1">
      <alignment horizontal="right"/>
    </xf>
    <xf numFmtId="0" fontId="11" fillId="0" borderId="28" xfId="0" applyFont="1" applyBorder="1" applyAlignment="1">
      <alignment horizontal="right"/>
    </xf>
    <xf numFmtId="0" fontId="11" fillId="0" borderId="13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165" fontId="2" fillId="0" borderId="15" xfId="0" applyNumberFormat="1" applyFont="1" applyBorder="1" applyAlignment="1">
      <alignment horizontal="center"/>
    </xf>
    <xf numFmtId="165" fontId="2" fillId="0" borderId="16" xfId="0" applyNumberFormat="1" applyFont="1" applyBorder="1" applyAlignment="1">
      <alignment horizontal="center"/>
    </xf>
    <xf numFmtId="165" fontId="2" fillId="0" borderId="15" xfId="0" applyNumberFormat="1" applyFont="1" applyBorder="1" applyAlignment="1">
      <alignment horizontal="right" wrapText="1"/>
    </xf>
    <xf numFmtId="165" fontId="2" fillId="0" borderId="13" xfId="0" applyNumberFormat="1" applyFont="1" applyBorder="1" applyAlignment="1">
      <alignment horizontal="right" wrapText="1"/>
    </xf>
    <xf numFmtId="0" fontId="11" fillId="0" borderId="58" xfId="0" applyFont="1" applyBorder="1" applyAlignment="1">
      <alignment horizontal="right"/>
    </xf>
    <xf numFmtId="0" fontId="11" fillId="0" borderId="35" xfId="0" applyFont="1" applyBorder="1" applyAlignment="1">
      <alignment horizontal="right"/>
    </xf>
    <xf numFmtId="0" fontId="11" fillId="0" borderId="2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165" fontId="2" fillId="0" borderId="36" xfId="0" applyNumberFormat="1" applyFont="1" applyBorder="1" applyAlignment="1">
      <alignment horizontal="center"/>
    </xf>
    <xf numFmtId="165" fontId="2" fillId="0" borderId="59" xfId="0" applyNumberFormat="1" applyFont="1" applyBorder="1" applyAlignment="1">
      <alignment horizontal="center"/>
    </xf>
    <xf numFmtId="0" fontId="11" fillId="3" borderId="32" xfId="0" applyFont="1" applyFill="1" applyBorder="1" applyAlignment="1">
      <alignment horizontal="left"/>
    </xf>
    <xf numFmtId="0" fontId="11" fillId="3" borderId="8" xfId="0" applyFont="1" applyFill="1" applyBorder="1" applyAlignment="1">
      <alignment horizontal="left"/>
    </xf>
    <xf numFmtId="0" fontId="11" fillId="3" borderId="9" xfId="0" applyFont="1" applyFill="1" applyBorder="1" applyAlignment="1">
      <alignment horizontal="left"/>
    </xf>
    <xf numFmtId="0" fontId="11" fillId="0" borderId="62" xfId="0" applyFont="1" applyBorder="1" applyAlignment="1">
      <alignment horizontal="right"/>
    </xf>
    <xf numFmtId="0" fontId="11" fillId="0" borderId="63" xfId="0" applyFont="1" applyBorder="1" applyAlignment="1">
      <alignment horizontal="right"/>
    </xf>
    <xf numFmtId="0" fontId="11" fillId="0" borderId="12" xfId="0" applyFont="1" applyBorder="1" applyAlignment="1">
      <alignment horizontal="right"/>
    </xf>
    <xf numFmtId="165" fontId="2" fillId="0" borderId="5" xfId="0" applyNumberFormat="1" applyFont="1" applyBorder="1" applyAlignment="1">
      <alignment horizontal="right"/>
    </xf>
    <xf numFmtId="0" fontId="2" fillId="2" borderId="10" xfId="0" applyFont="1" applyFill="1" applyBorder="1" applyAlignment="1">
      <alignment horizontal="center"/>
    </xf>
    <xf numFmtId="0" fontId="2" fillId="2" borderId="56" xfId="0" applyFont="1" applyFill="1" applyBorder="1" applyAlignment="1">
      <alignment horizontal="center"/>
    </xf>
    <xf numFmtId="0" fontId="43" fillId="2" borderId="0" xfId="17" applyFont="1" applyFill="1" applyAlignment="1">
      <alignment horizontal="right"/>
    </xf>
    <xf numFmtId="0" fontId="45" fillId="2" borderId="24" xfId="17" applyFont="1" applyFill="1" applyBorder="1" applyAlignment="1">
      <alignment horizontal="center"/>
    </xf>
    <xf numFmtId="0" fontId="43" fillId="2" borderId="0" xfId="17" applyFont="1" applyFill="1"/>
    <xf numFmtId="0" fontId="11" fillId="3" borderId="53" xfId="0" applyFont="1" applyFill="1" applyBorder="1" applyAlignment="1">
      <alignment horizontal="center" vertical="center"/>
    </xf>
    <xf numFmtId="0" fontId="11" fillId="3" borderId="54" xfId="0" applyFont="1" applyFill="1" applyBorder="1" applyAlignment="1">
      <alignment horizontal="center" vertical="center"/>
    </xf>
    <xf numFmtId="0" fontId="11" fillId="3" borderId="43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2" xfId="0" applyFont="1" applyFill="1" applyBorder="1" applyAlignment="1">
      <alignment horizontal="center" vertical="center"/>
    </xf>
    <xf numFmtId="14" fontId="2" fillId="2" borderId="6" xfId="17" applyNumberFormat="1" applyFont="1" applyFill="1" applyBorder="1" applyAlignment="1">
      <alignment horizontal="center" vertical="center" wrapText="1"/>
    </xf>
    <xf numFmtId="14" fontId="2" fillId="2" borderId="61" xfId="17" applyNumberFormat="1" applyFont="1" applyFill="1" applyBorder="1" applyAlignment="1">
      <alignment horizontal="center" vertical="center" wrapText="1"/>
    </xf>
    <xf numFmtId="0" fontId="2" fillId="2" borderId="4" xfId="17" applyFont="1" applyFill="1" applyBorder="1" applyAlignment="1">
      <alignment horizontal="left"/>
    </xf>
    <xf numFmtId="0" fontId="2" fillId="2" borderId="2" xfId="17" applyFont="1" applyFill="1" applyBorder="1" applyAlignment="1">
      <alignment horizontal="left"/>
    </xf>
    <xf numFmtId="0" fontId="2" fillId="2" borderId="45" xfId="17" applyFont="1" applyFill="1" applyBorder="1" applyAlignment="1">
      <alignment horizontal="center"/>
    </xf>
    <xf numFmtId="0" fontId="2" fillId="2" borderId="60" xfId="17" applyFont="1" applyFill="1" applyBorder="1" applyAlignment="1">
      <alignment horizontal="center"/>
    </xf>
    <xf numFmtId="0" fontId="2" fillId="2" borderId="26" xfId="17" applyFont="1" applyFill="1" applyBorder="1" applyAlignment="1">
      <alignment horizontal="center"/>
    </xf>
    <xf numFmtId="0" fontId="2" fillId="2" borderId="48" xfId="17" applyFont="1" applyFill="1" applyBorder="1" applyAlignment="1">
      <alignment horizontal="center"/>
    </xf>
    <xf numFmtId="0" fontId="2" fillId="2" borderId="46" xfId="17" applyFont="1" applyFill="1" applyBorder="1" applyAlignment="1">
      <alignment horizontal="center"/>
    </xf>
    <xf numFmtId="0" fontId="2" fillId="2" borderId="49" xfId="17" applyFont="1" applyFill="1" applyBorder="1" applyAlignment="1">
      <alignment horizontal="center"/>
    </xf>
    <xf numFmtId="0" fontId="43" fillId="2" borderId="3" xfId="17" applyFont="1" applyFill="1" applyBorder="1" applyAlignment="1">
      <alignment horizontal="center"/>
    </xf>
    <xf numFmtId="0" fontId="43" fillId="2" borderId="4" xfId="17" applyFont="1" applyFill="1" applyBorder="1" applyAlignment="1">
      <alignment horizontal="center"/>
    </xf>
    <xf numFmtId="0" fontId="44" fillId="5" borderId="15" xfId="17" applyFont="1" applyFill="1" applyBorder="1" applyAlignment="1">
      <alignment horizontal="center" vertical="center" wrapText="1"/>
    </xf>
    <xf numFmtId="0" fontId="44" fillId="5" borderId="28" xfId="17" applyFont="1" applyFill="1" applyBorder="1" applyAlignment="1">
      <alignment horizontal="center" vertical="center" wrapText="1"/>
    </xf>
    <xf numFmtId="0" fontId="44" fillId="5" borderId="13" xfId="17" applyFont="1" applyFill="1" applyBorder="1" applyAlignment="1">
      <alignment horizontal="center" vertical="center" wrapText="1"/>
    </xf>
    <xf numFmtId="0" fontId="11" fillId="2" borderId="4" xfId="17" applyFont="1" applyFill="1" applyBorder="1" applyAlignment="1">
      <alignment horizontal="right" vertical="top" wrapText="1"/>
    </xf>
    <xf numFmtId="0" fontId="11" fillId="2" borderId="2" xfId="17" applyFont="1" applyFill="1" applyBorder="1" applyAlignment="1">
      <alignment horizontal="right" vertical="top" wrapText="1"/>
    </xf>
    <xf numFmtId="0" fontId="5" fillId="12" borderId="40" xfId="9" applyFont="1" applyFill="1" applyBorder="1" applyAlignment="1">
      <alignment horizontal="center"/>
    </xf>
    <xf numFmtId="0" fontId="5" fillId="12" borderId="38" xfId="9" applyFont="1" applyFill="1" applyBorder="1" applyAlignment="1">
      <alignment horizontal="center"/>
    </xf>
    <xf numFmtId="0" fontId="6" fillId="0" borderId="27" xfId="9" applyFont="1" applyBorder="1" applyAlignment="1">
      <alignment horizontal="right"/>
    </xf>
    <xf numFmtId="0" fontId="6" fillId="0" borderId="28" xfId="9" applyFont="1" applyBorder="1" applyAlignment="1">
      <alignment horizontal="right"/>
    </xf>
    <xf numFmtId="0" fontId="6" fillId="0" borderId="13" xfId="9" applyFont="1" applyBorder="1" applyAlignment="1">
      <alignment horizontal="right"/>
    </xf>
    <xf numFmtId="0" fontId="5" fillId="0" borderId="15" xfId="9" applyFont="1" applyBorder="1" applyAlignment="1">
      <alignment horizontal="right"/>
    </xf>
    <xf numFmtId="0" fontId="5" fillId="0" borderId="13" xfId="9" applyFont="1" applyBorder="1" applyAlignment="1">
      <alignment horizontal="right"/>
    </xf>
    <xf numFmtId="0" fontId="5" fillId="0" borderId="15" xfId="9" applyFont="1" applyBorder="1" applyAlignment="1">
      <alignment horizontal="center"/>
    </xf>
    <xf numFmtId="0" fontId="5" fillId="0" borderId="28" xfId="9" applyFont="1" applyBorder="1" applyAlignment="1">
      <alignment horizontal="center"/>
    </xf>
    <xf numFmtId="0" fontId="5" fillId="12" borderId="45" xfId="9" applyFont="1" applyFill="1" applyBorder="1" applyAlignment="1">
      <alignment horizontal="center"/>
    </xf>
    <xf numFmtId="0" fontId="5" fillId="12" borderId="25" xfId="9" applyFont="1" applyFill="1" applyBorder="1" applyAlignment="1">
      <alignment horizontal="center"/>
    </xf>
    <xf numFmtId="0" fontId="5" fillId="12" borderId="26" xfId="9" applyFont="1" applyFill="1" applyBorder="1" applyAlignment="1">
      <alignment horizontal="center"/>
    </xf>
    <xf numFmtId="0" fontId="5" fillId="12" borderId="0" xfId="9" applyFont="1" applyFill="1" applyAlignment="1">
      <alignment horizontal="center"/>
    </xf>
    <xf numFmtId="0" fontId="5" fillId="12" borderId="46" xfId="9" applyFont="1" applyFill="1" applyBorder="1" applyAlignment="1">
      <alignment horizontal="center"/>
    </xf>
    <xf numFmtId="0" fontId="5" fillId="12" borderId="24" xfId="9" applyFont="1" applyFill="1" applyBorder="1" applyAlignment="1">
      <alignment horizontal="center"/>
    </xf>
    <xf numFmtId="0" fontId="4" fillId="12" borderId="38" xfId="9" applyFont="1" applyFill="1" applyBorder="1" applyAlignment="1">
      <alignment horizontal="center"/>
    </xf>
    <xf numFmtId="0" fontId="4" fillId="12" borderId="39" xfId="9" applyFont="1" applyFill="1" applyBorder="1" applyAlignment="1">
      <alignment horizontal="center"/>
    </xf>
    <xf numFmtId="0" fontId="4" fillId="12" borderId="34" xfId="9" applyFont="1" applyFill="1" applyBorder="1" applyAlignment="1">
      <alignment horizontal="center"/>
    </xf>
    <xf numFmtId="0" fontId="4" fillId="12" borderId="35" xfId="9" applyFont="1" applyFill="1" applyBorder="1" applyAlignment="1">
      <alignment horizontal="center"/>
    </xf>
    <xf numFmtId="0" fontId="8" fillId="14" borderId="32" xfId="9" applyFont="1" applyFill="1" applyBorder="1" applyAlignment="1">
      <alignment horizontal="center" vertical="center" wrapText="1"/>
    </xf>
    <xf numFmtId="0" fontId="8" fillId="14" borderId="8" xfId="9" applyFont="1" applyFill="1" applyBorder="1" applyAlignment="1">
      <alignment horizontal="center" vertical="center" wrapText="1"/>
    </xf>
    <xf numFmtId="0" fontId="6" fillId="0" borderId="37" xfId="9" applyFont="1" applyBorder="1" applyAlignment="1">
      <alignment horizontal="right"/>
    </xf>
    <xf numFmtId="0" fontId="6" fillId="0" borderId="38" xfId="9" applyFont="1" applyBorder="1" applyAlignment="1">
      <alignment horizontal="right"/>
    </xf>
    <xf numFmtId="0" fontId="6" fillId="0" borderId="39" xfId="9" applyFont="1" applyBorder="1" applyAlignment="1">
      <alignment horizontal="right"/>
    </xf>
    <xf numFmtId="0" fontId="5" fillId="0" borderId="40" xfId="9" applyFont="1" applyBorder="1" applyAlignment="1">
      <alignment horizontal="right"/>
    </xf>
    <xf numFmtId="0" fontId="5" fillId="0" borderId="39" xfId="9" applyFont="1" applyBorder="1" applyAlignment="1">
      <alignment horizontal="right"/>
    </xf>
    <xf numFmtId="0" fontId="6" fillId="13" borderId="32" xfId="9" applyFont="1" applyFill="1" applyBorder="1" applyAlignment="1">
      <alignment horizontal="left"/>
    </xf>
    <xf numFmtId="0" fontId="6" fillId="13" borderId="8" xfId="9" applyFont="1" applyFill="1" applyBorder="1" applyAlignment="1">
      <alignment horizontal="left"/>
    </xf>
    <xf numFmtId="0" fontId="6" fillId="0" borderId="33" xfId="9" applyFont="1" applyBorder="1" applyAlignment="1">
      <alignment horizontal="right"/>
    </xf>
    <xf numFmtId="0" fontId="6" fillId="0" borderId="34" xfId="9" applyFont="1" applyBorder="1" applyAlignment="1">
      <alignment horizontal="right"/>
    </xf>
    <xf numFmtId="0" fontId="5" fillId="0" borderId="36" xfId="9" applyFont="1" applyBorder="1" applyAlignment="1">
      <alignment horizontal="right"/>
    </xf>
    <xf numFmtId="0" fontId="5" fillId="0" borderId="35" xfId="9" applyFont="1" applyBorder="1" applyAlignment="1">
      <alignment horizontal="right"/>
    </xf>
    <xf numFmtId="0" fontId="5" fillId="0" borderId="36" xfId="9" applyFont="1" applyBorder="1" applyAlignment="1">
      <alignment horizontal="center"/>
    </xf>
    <xf numFmtId="0" fontId="5" fillId="0" borderId="34" xfId="9" applyFont="1" applyBorder="1" applyAlignment="1">
      <alignment horizontal="center"/>
    </xf>
    <xf numFmtId="0" fontId="10" fillId="0" borderId="37" xfId="9" applyFont="1" applyBorder="1" applyAlignment="1">
      <alignment horizontal="left"/>
    </xf>
    <xf numFmtId="0" fontId="10" fillId="0" borderId="38" xfId="9" applyFont="1" applyBorder="1" applyAlignment="1">
      <alignment horizontal="left"/>
    </xf>
    <xf numFmtId="0" fontId="6" fillId="12" borderId="47" xfId="9" applyFont="1" applyFill="1" applyBorder="1" applyAlignment="1">
      <alignment horizontal="right" vertical="top" wrapText="1"/>
    </xf>
    <xf numFmtId="0" fontId="6" fillId="12" borderId="48" xfId="9" applyFont="1" applyFill="1" applyBorder="1" applyAlignment="1">
      <alignment horizontal="right" vertical="top" wrapText="1"/>
    </xf>
    <xf numFmtId="0" fontId="6" fillId="12" borderId="49" xfId="9" applyFont="1" applyFill="1" applyBorder="1" applyAlignment="1">
      <alignment horizontal="right" vertical="top" wrapText="1"/>
    </xf>
    <xf numFmtId="14" fontId="5" fillId="12" borderId="11" xfId="9" applyNumberFormat="1" applyFont="1" applyFill="1" applyBorder="1" applyAlignment="1">
      <alignment horizontal="center" vertical="center" wrapText="1"/>
    </xf>
    <xf numFmtId="14" fontId="5" fillId="12" borderId="50" xfId="9" applyNumberFormat="1" applyFont="1" applyFill="1" applyBorder="1" applyAlignment="1">
      <alignment horizontal="center" vertical="center" wrapText="1"/>
    </xf>
    <xf numFmtId="14" fontId="5" fillId="12" borderId="51" xfId="9" applyNumberFormat="1" applyFont="1" applyFill="1" applyBorder="1" applyAlignment="1">
      <alignment horizontal="center" vertical="center" wrapText="1"/>
    </xf>
    <xf numFmtId="0" fontId="5" fillId="12" borderId="40" xfId="9" applyFont="1" applyFill="1" applyBorder="1" applyAlignment="1">
      <alignment horizontal="left"/>
    </xf>
    <xf numFmtId="0" fontId="5" fillId="12" borderId="38" xfId="9" applyFont="1" applyFill="1" applyBorder="1" applyAlignment="1">
      <alignment horizontal="left"/>
    </xf>
    <xf numFmtId="0" fontId="5" fillId="12" borderId="36" xfId="9" applyFont="1" applyFill="1" applyBorder="1" applyAlignment="1">
      <alignment horizontal="left"/>
    </xf>
    <xf numFmtId="0" fontId="5" fillId="12" borderId="34" xfId="9" applyFont="1" applyFill="1" applyBorder="1" applyAlignment="1">
      <alignment horizontal="left"/>
    </xf>
    <xf numFmtId="0" fontId="10" fillId="0" borderId="33" xfId="9" applyFont="1" applyBorder="1" applyAlignment="1">
      <alignment horizontal="left"/>
    </xf>
    <xf numFmtId="0" fontId="10" fillId="0" borderId="34" xfId="9" applyFont="1" applyBorder="1" applyAlignment="1">
      <alignment horizontal="left"/>
    </xf>
    <xf numFmtId="0" fontId="5" fillId="0" borderId="15" xfId="9" applyFont="1" applyBorder="1" applyAlignment="1">
      <alignment horizontal="right" wrapText="1"/>
    </xf>
    <xf numFmtId="0" fontId="5" fillId="0" borderId="13" xfId="9" applyFont="1" applyBorder="1" applyAlignment="1">
      <alignment horizontal="right" wrapText="1"/>
    </xf>
    <xf numFmtId="0" fontId="6" fillId="13" borderId="41" xfId="9" applyFont="1" applyFill="1" applyBorder="1" applyAlignment="1">
      <alignment horizontal="center" vertical="center"/>
    </xf>
    <xf numFmtId="0" fontId="6" fillId="13" borderId="42" xfId="9" applyFont="1" applyFill="1" applyBorder="1" applyAlignment="1">
      <alignment horizontal="center" vertical="center"/>
    </xf>
    <xf numFmtId="0" fontId="6" fillId="13" borderId="43" xfId="9" applyFont="1" applyFill="1" applyBorder="1" applyAlignment="1">
      <alignment horizontal="center" vertical="center"/>
    </xf>
    <xf numFmtId="0" fontId="6" fillId="13" borderId="44" xfId="9" applyFont="1" applyFill="1" applyBorder="1" applyAlignment="1">
      <alignment horizontal="center" vertical="center"/>
    </xf>
    <xf numFmtId="0" fontId="6" fillId="13" borderId="5" xfId="9" applyFont="1" applyFill="1" applyBorder="1" applyAlignment="1">
      <alignment horizontal="center" vertical="center"/>
    </xf>
    <xf numFmtId="0" fontId="6" fillId="13" borderId="40" xfId="9" applyFont="1" applyFill="1" applyBorder="1" applyAlignment="1">
      <alignment horizontal="center" vertical="center"/>
    </xf>
    <xf numFmtId="0" fontId="6" fillId="13" borderId="39" xfId="9" applyFont="1" applyFill="1" applyBorder="1" applyAlignment="1">
      <alignment horizontal="center" vertical="center"/>
    </xf>
    <xf numFmtId="14" fontId="50" fillId="2" borderId="11" xfId="10" applyNumberFormat="1" applyFont="1" applyFill="1" applyBorder="1" applyAlignment="1">
      <alignment horizontal="center" vertical="center" wrapText="1"/>
    </xf>
    <xf numFmtId="14" fontId="50" fillId="2" borderId="50" xfId="10" applyNumberFormat="1" applyFont="1" applyFill="1" applyBorder="1" applyAlignment="1">
      <alignment horizontal="center" vertical="center" wrapText="1"/>
    </xf>
    <xf numFmtId="14" fontId="50" fillId="2" borderId="14" xfId="10" applyNumberFormat="1" applyFont="1" applyFill="1" applyBorder="1" applyAlignment="1">
      <alignment horizontal="center" vertical="center" wrapText="1"/>
    </xf>
    <xf numFmtId="0" fontId="50" fillId="2" borderId="40" xfId="10" applyFont="1" applyFill="1" applyBorder="1" applyAlignment="1">
      <alignment horizontal="left"/>
    </xf>
    <xf numFmtId="0" fontId="50" fillId="2" borderId="38" xfId="10" applyFont="1" applyFill="1" applyBorder="1" applyAlignment="1">
      <alignment horizontal="left"/>
    </xf>
    <xf numFmtId="0" fontId="50" fillId="2" borderId="39" xfId="10" applyFont="1" applyFill="1" applyBorder="1" applyAlignment="1">
      <alignment horizontal="left"/>
    </xf>
    <xf numFmtId="0" fontId="50" fillId="2" borderId="15" xfId="10" applyFont="1" applyFill="1" applyBorder="1" applyAlignment="1">
      <alignment horizontal="left"/>
    </xf>
    <xf numFmtId="0" fontId="50" fillId="2" borderId="28" xfId="10" applyFont="1" applyFill="1" applyBorder="1" applyAlignment="1">
      <alignment horizontal="left"/>
    </xf>
    <xf numFmtId="0" fontId="50" fillId="2" borderId="13" xfId="10" applyFont="1" applyFill="1" applyBorder="1" applyAlignment="1">
      <alignment horizontal="left"/>
    </xf>
    <xf numFmtId="0" fontId="50" fillId="2" borderId="45" xfId="10" applyFont="1" applyFill="1" applyBorder="1" applyAlignment="1">
      <alignment horizontal="center"/>
    </xf>
    <xf numFmtId="0" fontId="50" fillId="2" borderId="25" xfId="10" applyFont="1" applyFill="1" applyBorder="1" applyAlignment="1">
      <alignment horizontal="center"/>
    </xf>
    <xf numFmtId="0" fontId="50" fillId="2" borderId="26" xfId="10" applyFont="1" applyFill="1" applyBorder="1" applyAlignment="1">
      <alignment horizontal="center"/>
    </xf>
    <xf numFmtId="0" fontId="50" fillId="2" borderId="0" xfId="10" applyFont="1" applyFill="1" applyAlignment="1">
      <alignment horizontal="center"/>
    </xf>
    <xf numFmtId="0" fontId="50" fillId="2" borderId="62" xfId="10" applyFont="1" applyFill="1" applyBorder="1" applyAlignment="1">
      <alignment horizontal="center"/>
    </xf>
    <xf numFmtId="0" fontId="50" fillId="2" borderId="63" xfId="10" applyFont="1" applyFill="1" applyBorder="1" applyAlignment="1">
      <alignment horizontal="center"/>
    </xf>
    <xf numFmtId="0" fontId="8" fillId="2" borderId="3" xfId="10" applyFont="1" applyFill="1" applyBorder="1" applyAlignment="1">
      <alignment horizontal="center"/>
    </xf>
    <xf numFmtId="0" fontId="8" fillId="2" borderId="36" xfId="10" applyFont="1" applyFill="1" applyBorder="1" applyAlignment="1">
      <alignment horizontal="center"/>
    </xf>
    <xf numFmtId="0" fontId="8" fillId="2" borderId="34" xfId="10" applyFont="1" applyFill="1" applyBorder="1" applyAlignment="1">
      <alignment horizontal="center"/>
    </xf>
    <xf numFmtId="0" fontId="8" fillId="2" borderId="35" xfId="10" applyFont="1" applyFill="1" applyBorder="1" applyAlignment="1">
      <alignment horizontal="center"/>
    </xf>
    <xf numFmtId="0" fontId="8" fillId="2" borderId="47" xfId="10" applyFont="1" applyFill="1" applyBorder="1" applyAlignment="1">
      <alignment horizontal="right" vertical="top" wrapText="1"/>
    </xf>
    <xf numFmtId="0" fontId="8" fillId="2" borderId="48" xfId="10" applyFont="1" applyFill="1" applyBorder="1" applyAlignment="1">
      <alignment horizontal="right" vertical="top" wrapText="1"/>
    </xf>
    <xf numFmtId="0" fontId="8" fillId="2" borderId="49" xfId="10" applyFont="1" applyFill="1" applyBorder="1" applyAlignment="1">
      <alignment horizontal="right" vertical="top" wrapText="1"/>
    </xf>
    <xf numFmtId="0" fontId="51" fillId="2" borderId="24" xfId="17" applyFont="1" applyFill="1" applyBorder="1" applyAlignment="1">
      <alignment horizontal="center"/>
    </xf>
    <xf numFmtId="0" fontId="8" fillId="3" borderId="53" xfId="9" applyFont="1" applyFill="1" applyBorder="1" applyAlignment="1">
      <alignment horizontal="center" vertical="center"/>
    </xf>
    <xf numFmtId="0" fontId="8" fillId="3" borderId="58" xfId="9" applyFont="1" applyFill="1" applyBorder="1" applyAlignment="1">
      <alignment horizontal="center" vertical="center"/>
    </xf>
    <xf numFmtId="0" fontId="8" fillId="3" borderId="53" xfId="9" applyFont="1" applyFill="1" applyBorder="1" applyAlignment="1">
      <alignment horizontal="center" vertical="center" wrapText="1"/>
    </xf>
    <xf numFmtId="0" fontId="8" fillId="3" borderId="58" xfId="9" applyFont="1" applyFill="1" applyBorder="1" applyAlignment="1">
      <alignment horizontal="center" vertical="center" wrapText="1"/>
    </xf>
    <xf numFmtId="0" fontId="8" fillId="3" borderId="3" xfId="9" applyFont="1" applyFill="1" applyBorder="1" applyAlignment="1">
      <alignment horizontal="center" vertical="center"/>
    </xf>
    <xf numFmtId="0" fontId="8" fillId="3" borderId="2" xfId="9" applyFont="1" applyFill="1" applyBorder="1" applyAlignment="1">
      <alignment horizontal="center" vertical="center"/>
    </xf>
    <xf numFmtId="0" fontId="52" fillId="0" borderId="62" xfId="9" applyFont="1" applyBorder="1" applyAlignment="1">
      <alignment horizontal="right"/>
    </xf>
    <xf numFmtId="0" fontId="52" fillId="0" borderId="63" xfId="9" applyFont="1" applyBorder="1" applyAlignment="1">
      <alignment horizontal="right"/>
    </xf>
    <xf numFmtId="0" fontId="52" fillId="0" borderId="12" xfId="9" applyFont="1" applyBorder="1" applyAlignment="1">
      <alignment horizontal="right"/>
    </xf>
    <xf numFmtId="165" fontId="54" fillId="0" borderId="5" xfId="9" applyNumberFormat="1" applyFont="1" applyBorder="1" applyAlignment="1">
      <alignment horizontal="right"/>
    </xf>
    <xf numFmtId="0" fontId="54" fillId="2" borderId="10" xfId="9" applyFont="1" applyFill="1" applyBorder="1" applyAlignment="1">
      <alignment horizontal="center"/>
    </xf>
    <xf numFmtId="0" fontId="54" fillId="2" borderId="56" xfId="9" applyFont="1" applyFill="1" applyBorder="1" applyAlignment="1">
      <alignment horizontal="center"/>
    </xf>
    <xf numFmtId="0" fontId="52" fillId="0" borderId="27" xfId="9" applyFont="1" applyBorder="1" applyAlignment="1">
      <alignment horizontal="right"/>
    </xf>
    <xf numFmtId="0" fontId="52" fillId="0" borderId="28" xfId="9" applyFont="1" applyBorder="1" applyAlignment="1">
      <alignment horizontal="right"/>
    </xf>
    <xf numFmtId="0" fontId="52" fillId="0" borderId="13" xfId="9" applyFont="1" applyBorder="1" applyAlignment="1">
      <alignment horizontal="right"/>
    </xf>
    <xf numFmtId="0" fontId="54" fillId="0" borderId="4" xfId="9" applyFont="1" applyBorder="1" applyAlignment="1">
      <alignment horizontal="right"/>
    </xf>
    <xf numFmtId="165" fontId="54" fillId="0" borderId="15" xfId="9" applyNumberFormat="1" applyFont="1" applyBorder="1" applyAlignment="1">
      <alignment horizontal="center"/>
    </xf>
    <xf numFmtId="165" fontId="54" fillId="0" borderId="16" xfId="9" applyNumberFormat="1" applyFont="1" applyBorder="1" applyAlignment="1">
      <alignment horizontal="center"/>
    </xf>
    <xf numFmtId="0" fontId="54" fillId="0" borderId="27" xfId="9" applyFont="1" applyBorder="1" applyAlignment="1">
      <alignment horizontal="left" wrapText="1"/>
    </xf>
    <xf numFmtId="0" fontId="54" fillId="0" borderId="28" xfId="9" applyFont="1" applyBorder="1" applyAlignment="1">
      <alignment horizontal="left" wrapText="1"/>
    </xf>
    <xf numFmtId="0" fontId="54" fillId="0" borderId="16" xfId="9" applyFont="1" applyBorder="1" applyAlignment="1">
      <alignment horizontal="left" wrapText="1"/>
    </xf>
    <xf numFmtId="165" fontId="54" fillId="0" borderId="15" xfId="9" applyNumberFormat="1" applyFont="1" applyBorder="1" applyAlignment="1">
      <alignment horizontal="right" wrapText="1"/>
    </xf>
    <xf numFmtId="165" fontId="54" fillId="0" borderId="13" xfId="9" applyNumberFormat="1" applyFont="1" applyBorder="1" applyAlignment="1">
      <alignment horizontal="right" wrapText="1"/>
    </xf>
    <xf numFmtId="165" fontId="54" fillId="0" borderId="15" xfId="0" applyNumberFormat="1" applyFont="1" applyBorder="1" applyAlignment="1">
      <alignment horizontal="center" wrapText="1"/>
    </xf>
    <xf numFmtId="165" fontId="54" fillId="0" borderId="16" xfId="0" applyNumberFormat="1" applyFont="1" applyBorder="1" applyAlignment="1">
      <alignment horizontal="center" wrapText="1"/>
    </xf>
    <xf numFmtId="0" fontId="52" fillId="0" borderId="58" xfId="9" applyFont="1" applyBorder="1" applyAlignment="1">
      <alignment horizontal="right"/>
    </xf>
    <xf numFmtId="0" fontId="52" fillId="0" borderId="35" xfId="9" applyFont="1" applyBorder="1" applyAlignment="1">
      <alignment horizontal="right"/>
    </xf>
    <xf numFmtId="0" fontId="52" fillId="0" borderId="2" xfId="9" applyFont="1" applyBorder="1" applyAlignment="1">
      <alignment horizontal="right"/>
    </xf>
    <xf numFmtId="0" fontId="54" fillId="0" borderId="2" xfId="9" applyFont="1" applyBorder="1" applyAlignment="1">
      <alignment horizontal="right"/>
    </xf>
    <xf numFmtId="0" fontId="54" fillId="0" borderId="28" xfId="9" applyFont="1" applyBorder="1" applyAlignment="1">
      <alignment horizontal="left"/>
    </xf>
    <xf numFmtId="0" fontId="54" fillId="0" borderId="16" xfId="9" applyFont="1" applyBorder="1" applyAlignment="1">
      <alignment horizontal="left"/>
    </xf>
    <xf numFmtId="0" fontId="52" fillId="0" borderId="27" xfId="0" applyFont="1" applyBorder="1" applyAlignment="1">
      <alignment horizontal="left"/>
    </xf>
    <xf numFmtId="0" fontId="52" fillId="0" borderId="28" xfId="0" applyFont="1" applyBorder="1" applyAlignment="1">
      <alignment horizontal="left"/>
    </xf>
    <xf numFmtId="0" fontId="52" fillId="0" borderId="16" xfId="0" applyFont="1" applyBorder="1" applyAlignment="1">
      <alignment horizontal="left"/>
    </xf>
    <xf numFmtId="0" fontId="52" fillId="16" borderId="64" xfId="10" applyFont="1" applyFill="1" applyBorder="1" applyAlignment="1">
      <alignment horizontal="center"/>
    </xf>
    <xf numFmtId="0" fontId="52" fillId="16" borderId="25" xfId="10" applyFont="1" applyFill="1" applyBorder="1" applyAlignment="1">
      <alignment horizontal="center"/>
    </xf>
    <xf numFmtId="0" fontId="54" fillId="0" borderId="29" xfId="9" applyFont="1" applyBorder="1" applyAlignment="1">
      <alignment horizontal="left"/>
    </xf>
    <xf numFmtId="0" fontId="54" fillId="0" borderId="30" xfId="9" applyFont="1" applyBorder="1" applyAlignment="1">
      <alignment horizontal="left"/>
    </xf>
    <xf numFmtId="0" fontId="54" fillId="0" borderId="57" xfId="9" applyFont="1" applyBorder="1" applyAlignment="1">
      <alignment horizontal="left"/>
    </xf>
    <xf numFmtId="0" fontId="54" fillId="0" borderId="27" xfId="0" applyFont="1" applyBorder="1" applyAlignment="1">
      <alignment horizontal="left" vertical="center" wrapText="1"/>
    </xf>
    <xf numFmtId="0" fontId="54" fillId="0" borderId="28" xfId="0" applyFont="1" applyBorder="1" applyAlignment="1">
      <alignment horizontal="left" vertical="center" wrapText="1"/>
    </xf>
    <xf numFmtId="0" fontId="54" fillId="0" borderId="16" xfId="0" applyFont="1" applyBorder="1" applyAlignment="1">
      <alignment horizontal="left" vertical="center" wrapText="1"/>
    </xf>
    <xf numFmtId="0" fontId="52" fillId="3" borderId="32" xfId="9" applyFont="1" applyFill="1" applyBorder="1" applyAlignment="1">
      <alignment horizontal="center"/>
    </xf>
    <xf numFmtId="0" fontId="52" fillId="3" borderId="8" xfId="9" applyFont="1" applyFill="1" applyBorder="1" applyAlignment="1">
      <alignment horizontal="center"/>
    </xf>
    <xf numFmtId="0" fontId="52" fillId="3" borderId="9" xfId="9" applyFont="1" applyFill="1" applyBorder="1" applyAlignment="1">
      <alignment horizontal="center"/>
    </xf>
    <xf numFmtId="0" fontId="54" fillId="2" borderId="4" xfId="10" applyFont="1" applyFill="1" applyBorder="1" applyAlignment="1">
      <alignment horizontal="left"/>
    </xf>
    <xf numFmtId="0" fontId="55" fillId="0" borderId="15" xfId="0" applyFont="1" applyBorder="1" applyAlignment="1">
      <alignment horizontal="left"/>
    </xf>
    <xf numFmtId="0" fontId="55" fillId="0" borderId="28" xfId="0" applyFont="1" applyBorder="1" applyAlignment="1">
      <alignment horizontal="left"/>
    </xf>
    <xf numFmtId="0" fontId="55" fillId="0" borderId="13" xfId="0" applyFont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13" xfId="0" applyBorder="1" applyAlignment="1">
      <alignment horizontal="center"/>
    </xf>
    <xf numFmtId="0" fontId="59" fillId="5" borderId="32" xfId="10" applyFont="1" applyFill="1" applyBorder="1" applyAlignment="1">
      <alignment horizontal="center" vertical="center" wrapText="1"/>
    </xf>
    <xf numFmtId="0" fontId="59" fillId="5" borderId="8" xfId="10" applyFont="1" applyFill="1" applyBorder="1" applyAlignment="1">
      <alignment horizontal="center" vertical="center" wrapText="1"/>
    </xf>
    <xf numFmtId="0" fontId="59" fillId="5" borderId="9" xfId="10" applyFont="1" applyFill="1" applyBorder="1" applyAlignment="1">
      <alignment horizontal="center" vertical="center" wrapText="1"/>
    </xf>
  </cellXfs>
  <cellStyles count="31">
    <cellStyle name="Millares" xfId="1" builtinId="3"/>
    <cellStyle name="Millares [0]" xfId="2" builtinId="6"/>
    <cellStyle name="Millares [0] 2" xfId="6" xr:uid="{B5AFB713-7D43-4B71-A7D5-ADD6C7BA1F81}"/>
    <cellStyle name="Millares [0] 2 2" xfId="23" xr:uid="{EC4210E7-AAE5-48FF-9FB2-D7BFCC733A97}"/>
    <cellStyle name="Millares [0] 3" xfId="5" xr:uid="{3C1A3869-7D6F-419C-8FF5-968EEFBD42E5}"/>
    <cellStyle name="Millares [0] 3 2" xfId="22" xr:uid="{6C2DA8C8-0E69-4683-8303-1E55ADB84D10}"/>
    <cellStyle name="Millares [0] 4" xfId="20" xr:uid="{0E4CD01B-82DE-4148-844B-30A822714EC4}"/>
    <cellStyle name="Millares 10" xfId="30" xr:uid="{11F98E8F-466B-4DE9-A319-BA1CFF887981}"/>
    <cellStyle name="Millares 2" xfId="7" xr:uid="{54E2DCAE-EE92-457F-9C1E-8577FF8FA88F}"/>
    <cellStyle name="Millares 2 2" xfId="24" xr:uid="{B21C35F7-BB5F-4E3F-9AB8-6002B3BB2178}"/>
    <cellStyle name="Millares 3" xfId="8" xr:uid="{152B10FB-478C-492E-9294-E473E3655B16}"/>
    <cellStyle name="Millares 3 2" xfId="25" xr:uid="{C98A2C22-0DD8-4E34-9281-75F1335493C2}"/>
    <cellStyle name="Millares 4" xfId="4" xr:uid="{FBC82DA9-04CE-4A39-A3FF-FB5C50E898ED}"/>
    <cellStyle name="Millares 4 2" xfId="21" xr:uid="{F8FC5AB0-B635-4CD5-9F26-534320B4DCE2}"/>
    <cellStyle name="Millares 5" xfId="13" xr:uid="{4852D69E-210B-4ACE-A476-82E9FAAEC5BB}"/>
    <cellStyle name="Millares 5 2" xfId="26" xr:uid="{EEA21A68-4610-43A3-A41C-461A1CEE9B23}"/>
    <cellStyle name="Millares 6" xfId="14" xr:uid="{480514CF-4B8E-4F91-96F7-7DC50B316B65}"/>
    <cellStyle name="Millares 6 2" xfId="27" xr:uid="{9941DF01-A1BD-4BCB-B2DF-B103C593E1E7}"/>
    <cellStyle name="Millares 7" xfId="15" xr:uid="{D1E4E7D4-710D-4184-A354-2AB381CE72C9}"/>
    <cellStyle name="Millares 7 2" xfId="28" xr:uid="{36FCE23F-D64B-4917-BD6F-253F9A37E00D}"/>
    <cellStyle name="Millares 8" xfId="16" xr:uid="{A90CAC44-4B44-432B-9075-344E0DB1A043}"/>
    <cellStyle name="Millares 8 2" xfId="29" xr:uid="{501A26BC-3D41-4D2E-B2FF-8BF321DD7BF7}"/>
    <cellStyle name="Millares 9" xfId="19" xr:uid="{AD75D82B-AEF6-481A-B41B-D65BA3B7C290}"/>
    <cellStyle name="Normal" xfId="0" builtinId="0"/>
    <cellStyle name="Normal 2" xfId="9" xr:uid="{8E0C09A3-DA34-4442-B6DB-3AF62649CC89}"/>
    <cellStyle name="Normal 3" xfId="3" xr:uid="{6230A7E4-B1DE-4E7E-91FD-C4DD9BB67476}"/>
    <cellStyle name="Normal_CRITERIOS DE EVALUACION PT DE GB" xfId="10" xr:uid="{E6969668-6545-42E6-8696-8BF9ADA9E43F}"/>
    <cellStyle name="Normal_CRITERIOS DE EVALUACION PT DE GB 2" xfId="17" xr:uid="{54F4EF61-0BC0-4B2A-BC86-3E108F929E77}"/>
    <cellStyle name="Porcentaje 2" xfId="12" xr:uid="{3D69A99A-90F2-4089-BD29-277E559E97EF}"/>
    <cellStyle name="Porcentaje 2 2" xfId="18" xr:uid="{33AAFAC0-F49D-49D9-8328-0D7D52E14DBA}"/>
    <cellStyle name="Porcentaje 3" xfId="11" xr:uid="{4E9529B8-4B2C-4A18-966A-5FB1886E1F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104775</xdr:colOff>
      <xdr:row>20</xdr:row>
      <xdr:rowOff>19050</xdr:rowOff>
    </xdr:from>
    <xdr:to>
      <xdr:col>20</xdr:col>
      <xdr:colOff>361950</xdr:colOff>
      <xdr:row>34</xdr:row>
      <xdr:rowOff>114300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6E47C4F-C259-4CFD-A5CD-A4DDCF8B9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29650" y="2781300"/>
          <a:ext cx="7115175" cy="276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162719</xdr:colOff>
      <xdr:row>0</xdr:row>
      <xdr:rowOff>95250</xdr:rowOff>
    </xdr:from>
    <xdr:to>
      <xdr:col>1</xdr:col>
      <xdr:colOff>964721</xdr:colOff>
      <xdr:row>4</xdr:row>
      <xdr:rowOff>142875</xdr:rowOff>
    </xdr:to>
    <xdr:pic>
      <xdr:nvPicPr>
        <xdr:cNvPr id="2" name="Imagen 13">
          <a:extLst>
            <a:ext uri="{FF2B5EF4-FFF2-40B4-BE49-F238E27FC236}">
              <a16:creationId xmlns:a16="http://schemas.microsoft.com/office/drawing/2014/main" id="{A442063D-B663-40DB-8461-56FCF222A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719" y="95250"/>
          <a:ext cx="1825940" cy="11310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104775</xdr:colOff>
      <xdr:row>20</xdr:row>
      <xdr:rowOff>19050</xdr:rowOff>
    </xdr:from>
    <xdr:to>
      <xdr:col>18</xdr:col>
      <xdr:colOff>85725</xdr:colOff>
      <xdr:row>31</xdr:row>
      <xdr:rowOff>76200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6FB0F03-FCCB-4645-A3D6-EEB40EBB8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29650" y="2781300"/>
          <a:ext cx="5495925" cy="2152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OSTOS%202013/LISTA%20COSTOS%20ALE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edepast-my.sharepoint.com/personal/eramirez_fascr_com/Documents/Escritorio/INDUSTRIA%202022/INDUSTRIA%202023/PLANCHAS%20WALMART/Crema%20Blanca%20Bucca.xls" TargetMode="External"/><Relationship Id="rId1" Type="http://schemas.openxmlformats.org/officeDocument/2006/relationships/externalLinkPath" Target="/personal/eramirez_fascr_com/Documents/Escritorio/INDUSTRIA%202022/INDUSTRIA%202023/PLANCHAS%20WALMART/Crema%20Blanca%20Bucc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eramirez_fascr_com/Documents/Escritorio/INDUSTRIA%202022/INDUSTRIA%202023/PLANCHAS%20WALMART/Crema%20Fucisa%20Bucca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edepast-my.sharepoint.com/personal/eramirez_fascr_com/Documents/Escritorio/INDUSTRIA%202022/INDUSTRIA%202023/PLANCHAS%20WALMART/Plancha%2030%20porciones%20vainilla%20Walmart-1.xls" TargetMode="External"/><Relationship Id="rId1" Type="http://schemas.openxmlformats.org/officeDocument/2006/relationships/externalLinkPath" Target="/personal/eramirez_fascr_com/Documents/Escritorio/INDUSTRIA%202022/INDUSTRIA%202023/PLANCHAS%20WALMART/Plancha%2030%20porciones%20vainilla%20Walmart-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MA "/>
      <sheetName val="COSTO CREMA "/>
    </sheetNames>
    <sheetDataSet>
      <sheetData sheetId="0"/>
      <sheetData sheetId="1">
        <row r="69">
          <cell r="E69">
            <v>2.3351836439999998</v>
          </cell>
        </row>
        <row r="74">
          <cell r="E74">
            <v>3.0499999999999999E-2</v>
          </cell>
        </row>
        <row r="76">
          <cell r="E76">
            <v>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Hoja2"/>
    </sheetNames>
    <sheetDataSet>
      <sheetData sheetId="0"/>
      <sheetData sheetId="1">
        <row r="69">
          <cell r="E69">
            <v>2.48645</v>
          </cell>
        </row>
        <row r="74">
          <cell r="E74">
            <v>3.0499999999999999E-2</v>
          </cell>
        </row>
        <row r="76">
          <cell r="E76">
            <v>1.0640000000000001E-4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emezcla Sp"/>
      <sheetName val="Batido Vainilla SP"/>
      <sheetName val="Rosquete Vainilla 1000g"/>
      <sheetName val="COSTO ROSQUTE "/>
      <sheetName val="REC TORTA 30"/>
      <sheetName val="Manjar con agua "/>
      <sheetName val="Crema dulce leche "/>
      <sheetName val="Crema blanca Bucca "/>
      <sheetName val="Crema Fucsia "/>
      <sheetName val="Torta 30 2"/>
      <sheetName val="COSTO TORTA 30 porc"/>
      <sheetName val="Torta 30 Con Almibar"/>
      <sheetName val="Costo con Almibar "/>
      <sheetName val="costo feb 2023"/>
      <sheetName val="COSTEO"/>
      <sheetName val="PRECIO"/>
    </sheetNames>
    <sheetDataSet>
      <sheetData sheetId="0"/>
      <sheetData sheetId="1"/>
      <sheetData sheetId="2"/>
      <sheetData sheetId="3">
        <row r="54">
          <cell r="H54">
            <v>22.079990592869873</v>
          </cell>
        </row>
        <row r="56">
          <cell r="H56">
            <v>76.67523768648158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5C43E-57C0-4374-B062-97F1E1F3ED96}">
  <dimension ref="A1:I28"/>
  <sheetViews>
    <sheetView topLeftCell="A6" workbookViewId="0">
      <selection activeCell="F11" sqref="F11"/>
    </sheetView>
  </sheetViews>
  <sheetFormatPr baseColWidth="10" defaultRowHeight="15" x14ac:dyDescent="0.25"/>
  <cols>
    <col min="3" max="3" width="45" customWidth="1"/>
  </cols>
  <sheetData>
    <row r="1" spans="1:9" ht="15.75" x14ac:dyDescent="0.25">
      <c r="A1" s="417"/>
      <c r="B1" s="418"/>
      <c r="C1" s="423" t="s">
        <v>0</v>
      </c>
      <c r="D1" s="423"/>
      <c r="E1" s="423"/>
      <c r="F1" s="423"/>
      <c r="G1" s="424"/>
      <c r="H1" s="6" t="s">
        <v>1</v>
      </c>
      <c r="I1" s="7"/>
    </row>
    <row r="2" spans="1:9" ht="16.5" thickBot="1" x14ac:dyDescent="0.3">
      <c r="A2" s="419"/>
      <c r="B2" s="420"/>
      <c r="C2" s="425" t="s">
        <v>2</v>
      </c>
      <c r="D2" s="425"/>
      <c r="E2" s="425"/>
      <c r="F2" s="425"/>
      <c r="G2" s="426"/>
      <c r="H2" s="8" t="s">
        <v>3</v>
      </c>
      <c r="I2" s="9"/>
    </row>
    <row r="3" spans="1:9" ht="18.75" thickBot="1" x14ac:dyDescent="0.3">
      <c r="A3" s="419"/>
      <c r="B3" s="420"/>
      <c r="C3" s="427" t="s">
        <v>4</v>
      </c>
      <c r="D3" s="428"/>
      <c r="E3" s="428"/>
      <c r="F3" s="428"/>
      <c r="G3" s="428"/>
      <c r="H3" s="429" t="s">
        <v>5</v>
      </c>
      <c r="I3" s="408"/>
    </row>
    <row r="4" spans="1:9" x14ac:dyDescent="0.25">
      <c r="A4" s="419"/>
      <c r="B4" s="420"/>
      <c r="C4" s="10" t="s">
        <v>6</v>
      </c>
      <c r="D4" s="411" t="s">
        <v>7</v>
      </c>
      <c r="E4" s="412"/>
      <c r="F4" s="412"/>
      <c r="G4" s="412"/>
      <c r="H4" s="430"/>
      <c r="I4" s="409"/>
    </row>
    <row r="5" spans="1:9" ht="15.75" thickBot="1" x14ac:dyDescent="0.3">
      <c r="A5" s="421"/>
      <c r="B5" s="422"/>
      <c r="C5" s="11" t="s">
        <v>8</v>
      </c>
      <c r="D5" s="413" t="s">
        <v>9</v>
      </c>
      <c r="E5" s="414"/>
      <c r="F5" s="414"/>
      <c r="G5" s="414"/>
      <c r="H5" s="431"/>
      <c r="I5" s="410"/>
    </row>
    <row r="6" spans="1:9" ht="25.5" x14ac:dyDescent="0.25">
      <c r="A6" s="432" t="s">
        <v>10</v>
      </c>
      <c r="B6" s="434" t="s">
        <v>11</v>
      </c>
      <c r="C6" s="434" t="s">
        <v>12</v>
      </c>
      <c r="D6" s="434" t="s">
        <v>13</v>
      </c>
      <c r="E6" s="415" t="s">
        <v>14</v>
      </c>
      <c r="F6" s="416"/>
      <c r="G6" s="415" t="s">
        <v>15</v>
      </c>
      <c r="H6" s="416"/>
      <c r="I6" s="12" t="s">
        <v>16</v>
      </c>
    </row>
    <row r="7" spans="1:9" ht="27" thickBot="1" x14ac:dyDescent="0.3">
      <c r="A7" s="433"/>
      <c r="B7" s="435"/>
      <c r="C7" s="436"/>
      <c r="D7" s="436"/>
      <c r="E7" s="13" t="s">
        <v>17</v>
      </c>
      <c r="F7" s="14" t="s">
        <v>18</v>
      </c>
      <c r="G7" s="13" t="s">
        <v>17</v>
      </c>
      <c r="H7" s="14" t="s">
        <v>18</v>
      </c>
      <c r="I7" s="15" t="s">
        <v>19</v>
      </c>
    </row>
    <row r="8" spans="1:9" x14ac:dyDescent="0.25">
      <c r="A8" s="16">
        <v>907000285</v>
      </c>
      <c r="B8" s="16" t="s">
        <v>20</v>
      </c>
      <c r="C8" s="17" t="s">
        <v>21</v>
      </c>
      <c r="D8" s="3" t="s">
        <v>22</v>
      </c>
      <c r="E8" s="18">
        <v>47400</v>
      </c>
      <c r="F8" s="19" t="s">
        <v>23</v>
      </c>
      <c r="G8" s="3"/>
      <c r="H8" s="3"/>
      <c r="I8" s="20"/>
    </row>
    <row r="9" spans="1:9" ht="15.75" x14ac:dyDescent="0.25">
      <c r="A9" s="21"/>
      <c r="B9" s="22"/>
      <c r="C9" s="23"/>
      <c r="D9" s="24"/>
      <c r="E9" s="25"/>
      <c r="F9" s="26"/>
      <c r="G9" s="27"/>
      <c r="H9" s="27"/>
      <c r="I9" s="1"/>
    </row>
    <row r="10" spans="1:9" x14ac:dyDescent="0.25">
      <c r="A10" s="28"/>
      <c r="B10" s="29"/>
      <c r="C10" s="18" t="s">
        <v>24</v>
      </c>
      <c r="D10" s="30"/>
      <c r="E10" s="27"/>
      <c r="F10" s="27"/>
      <c r="G10" s="3"/>
      <c r="H10" s="3"/>
      <c r="I10" s="1"/>
    </row>
    <row r="11" spans="1:9" x14ac:dyDescent="0.25">
      <c r="A11" s="31">
        <v>902000019</v>
      </c>
      <c r="B11" s="31"/>
      <c r="C11" s="33" t="s">
        <v>25</v>
      </c>
      <c r="D11" s="30" t="s">
        <v>22</v>
      </c>
      <c r="E11" s="34">
        <v>2380</v>
      </c>
      <c r="F11" s="35" t="s">
        <v>23</v>
      </c>
      <c r="G11" s="3"/>
      <c r="H11" s="3"/>
      <c r="I11" s="1"/>
    </row>
    <row r="12" spans="1:9" x14ac:dyDescent="0.25">
      <c r="A12" s="31">
        <v>1950928</v>
      </c>
      <c r="B12" s="31" t="s">
        <v>26</v>
      </c>
      <c r="C12" s="33" t="s">
        <v>27</v>
      </c>
      <c r="D12" s="30" t="s">
        <v>28</v>
      </c>
      <c r="E12" s="34">
        <v>21</v>
      </c>
      <c r="F12" s="35" t="s">
        <v>29</v>
      </c>
      <c r="G12" s="3"/>
      <c r="H12" s="3"/>
      <c r="I12" s="1"/>
    </row>
    <row r="13" spans="1:9" x14ac:dyDescent="0.25">
      <c r="A13" s="31">
        <v>702123</v>
      </c>
      <c r="B13" s="31" t="s">
        <v>30</v>
      </c>
      <c r="C13" s="33" t="s">
        <v>31</v>
      </c>
      <c r="D13" s="30" t="s">
        <v>32</v>
      </c>
      <c r="E13" s="34">
        <v>21</v>
      </c>
      <c r="F13" s="35" t="s">
        <v>29</v>
      </c>
      <c r="G13" s="35"/>
      <c r="H13" s="3">
        <v>623.33333330000005</v>
      </c>
      <c r="I13" s="1"/>
    </row>
    <row r="14" spans="1:9" x14ac:dyDescent="0.25">
      <c r="A14" s="31">
        <v>702007</v>
      </c>
      <c r="B14" s="31" t="s">
        <v>33</v>
      </c>
      <c r="C14" s="33" t="s">
        <v>34</v>
      </c>
      <c r="D14" s="30" t="s">
        <v>35</v>
      </c>
      <c r="E14" s="34">
        <v>21</v>
      </c>
      <c r="F14" s="35" t="s">
        <v>29</v>
      </c>
      <c r="G14" s="3"/>
      <c r="H14" s="3"/>
      <c r="I14" s="1"/>
    </row>
    <row r="15" spans="1:9" x14ac:dyDescent="0.25">
      <c r="A15" s="36"/>
      <c r="B15" s="37"/>
      <c r="C15" s="38"/>
      <c r="D15" s="39"/>
      <c r="E15" s="19"/>
      <c r="F15" s="19"/>
      <c r="G15" s="19"/>
      <c r="H15" s="19"/>
      <c r="I15" s="1"/>
    </row>
    <row r="16" spans="1:9" ht="15.75" thickBot="1" x14ac:dyDescent="0.3">
      <c r="A16" s="40"/>
      <c r="B16" s="41"/>
      <c r="C16" s="32"/>
      <c r="D16" s="32"/>
      <c r="E16" s="5"/>
      <c r="F16" s="42"/>
      <c r="G16" s="32"/>
      <c r="H16" s="32"/>
      <c r="I16" s="43"/>
    </row>
    <row r="17" spans="1:9" ht="15.75" thickBot="1" x14ac:dyDescent="0.3">
      <c r="A17" s="44"/>
      <c r="B17" s="45"/>
      <c r="C17" s="46"/>
      <c r="D17" s="47" t="s">
        <v>17</v>
      </c>
      <c r="E17" s="47" t="s">
        <v>36</v>
      </c>
      <c r="F17" s="48"/>
      <c r="G17" s="46"/>
      <c r="H17" s="46"/>
      <c r="I17" s="49"/>
    </row>
    <row r="18" spans="1:9" x14ac:dyDescent="0.25">
      <c r="A18" s="401" t="s">
        <v>37</v>
      </c>
      <c r="B18" s="402"/>
      <c r="C18" s="403"/>
      <c r="D18" s="50">
        <v>46750</v>
      </c>
      <c r="E18" s="4" t="s">
        <v>23</v>
      </c>
      <c r="F18" s="404" t="s">
        <v>38</v>
      </c>
      <c r="G18" s="405"/>
      <c r="H18" s="406"/>
      <c r="I18" s="407"/>
    </row>
    <row r="19" spans="1:9" x14ac:dyDescent="0.25">
      <c r="A19" s="392" t="s">
        <v>39</v>
      </c>
      <c r="B19" s="393"/>
      <c r="C19" s="394"/>
      <c r="D19" s="3">
        <v>35</v>
      </c>
      <c r="E19" s="3" t="s">
        <v>40</v>
      </c>
      <c r="F19" s="395" t="s">
        <v>41</v>
      </c>
      <c r="G19" s="396"/>
      <c r="H19" s="397"/>
      <c r="I19" s="398"/>
    </row>
    <row r="20" spans="1:9" x14ac:dyDescent="0.25">
      <c r="A20" s="392" t="s">
        <v>42</v>
      </c>
      <c r="B20" s="393"/>
      <c r="C20" s="394"/>
      <c r="D20" s="2">
        <v>38.319672131147541</v>
      </c>
      <c r="E20" s="3" t="s">
        <v>29</v>
      </c>
      <c r="F20" s="395" t="s">
        <v>43</v>
      </c>
      <c r="G20" s="396"/>
      <c r="H20" s="397"/>
      <c r="I20" s="398"/>
    </row>
    <row r="21" spans="1:9" x14ac:dyDescent="0.25">
      <c r="A21" s="392" t="s">
        <v>44</v>
      </c>
      <c r="B21" s="393"/>
      <c r="C21" s="394"/>
      <c r="D21" s="3">
        <v>1220</v>
      </c>
      <c r="E21" s="3" t="s">
        <v>23</v>
      </c>
      <c r="F21" s="399" t="s">
        <v>45</v>
      </c>
      <c r="G21" s="400"/>
      <c r="H21" s="397"/>
      <c r="I21" s="398"/>
    </row>
    <row r="22" spans="1:9" ht="15.75" thickBot="1" x14ac:dyDescent="0.3">
      <c r="A22" s="381" t="s">
        <v>46</v>
      </c>
      <c r="B22" s="382"/>
      <c r="C22" s="383"/>
      <c r="D22" s="51">
        <v>650</v>
      </c>
      <c r="E22" s="51" t="s">
        <v>23</v>
      </c>
      <c r="F22" s="384"/>
      <c r="G22" s="385"/>
      <c r="H22" s="386"/>
      <c r="I22" s="387"/>
    </row>
    <row r="23" spans="1:9" ht="15.75" thickBot="1" x14ac:dyDescent="0.3">
      <c r="A23" s="379" t="s">
        <v>47</v>
      </c>
      <c r="B23" s="380"/>
      <c r="C23" s="380"/>
      <c r="D23" s="380"/>
      <c r="E23" s="380"/>
      <c r="F23" s="380"/>
      <c r="G23" s="380"/>
      <c r="H23" s="380"/>
      <c r="I23" s="380"/>
    </row>
    <row r="24" spans="1:9" ht="15.75" x14ac:dyDescent="0.25">
      <c r="A24" s="388" t="s">
        <v>48</v>
      </c>
      <c r="B24" s="389"/>
      <c r="C24" s="389"/>
      <c r="D24" s="389"/>
      <c r="E24" s="389"/>
      <c r="F24" s="389"/>
      <c r="G24" s="389"/>
      <c r="H24" s="389"/>
      <c r="I24" s="389"/>
    </row>
    <row r="25" spans="1:9" ht="15.75" x14ac:dyDescent="0.25">
      <c r="A25" s="390" t="s">
        <v>49</v>
      </c>
      <c r="B25" s="391"/>
      <c r="C25" s="391"/>
      <c r="D25" s="391"/>
      <c r="E25" s="391"/>
      <c r="F25" s="391"/>
      <c r="G25" s="391"/>
      <c r="H25" s="391"/>
      <c r="I25" s="391"/>
    </row>
    <row r="26" spans="1:9" ht="16.5" thickBot="1" x14ac:dyDescent="0.3">
      <c r="A26" s="377" t="s">
        <v>50</v>
      </c>
      <c r="B26" s="378"/>
      <c r="C26" s="378"/>
      <c r="D26" s="378"/>
      <c r="E26" s="378"/>
      <c r="F26" s="378"/>
      <c r="G26" s="378"/>
      <c r="H26" s="378"/>
      <c r="I26" s="378"/>
    </row>
    <row r="27" spans="1:9" ht="15.75" thickBot="1" x14ac:dyDescent="0.3">
      <c r="A27" s="379" t="s">
        <v>51</v>
      </c>
      <c r="B27" s="380"/>
      <c r="C27" s="380"/>
      <c r="D27" s="380"/>
      <c r="E27" s="380"/>
      <c r="F27" s="380"/>
      <c r="G27" s="380"/>
      <c r="H27" s="380"/>
      <c r="I27" s="380"/>
    </row>
    <row r="28" spans="1:9" x14ac:dyDescent="0.25">
      <c r="A28" s="32"/>
      <c r="B28" s="32"/>
      <c r="C28" s="32"/>
      <c r="D28" s="32"/>
      <c r="E28" s="32"/>
      <c r="F28" s="32"/>
      <c r="G28" s="32"/>
      <c r="H28" s="32"/>
      <c r="I28" s="32"/>
    </row>
  </sheetData>
  <mergeCells count="34">
    <mergeCell ref="I3:I5"/>
    <mergeCell ref="D4:G4"/>
    <mergeCell ref="D5:G5"/>
    <mergeCell ref="G6:H6"/>
    <mergeCell ref="A1:B5"/>
    <mergeCell ref="C1:G1"/>
    <mergeCell ref="C2:G2"/>
    <mergeCell ref="C3:G3"/>
    <mergeCell ref="H3:H5"/>
    <mergeCell ref="A6:A7"/>
    <mergeCell ref="B6:B7"/>
    <mergeCell ref="C6:C7"/>
    <mergeCell ref="D6:D7"/>
    <mergeCell ref="E6:F6"/>
    <mergeCell ref="A18:C18"/>
    <mergeCell ref="F18:G18"/>
    <mergeCell ref="H18:I18"/>
    <mergeCell ref="A19:C19"/>
    <mergeCell ref="F19:G19"/>
    <mergeCell ref="H19:I19"/>
    <mergeCell ref="A20:C20"/>
    <mergeCell ref="F20:G20"/>
    <mergeCell ref="H20:I20"/>
    <mergeCell ref="A21:C21"/>
    <mergeCell ref="F21:G21"/>
    <mergeCell ref="H21:I21"/>
    <mergeCell ref="A26:I26"/>
    <mergeCell ref="A27:I27"/>
    <mergeCell ref="A22:C22"/>
    <mergeCell ref="F22:G22"/>
    <mergeCell ref="H22:I22"/>
    <mergeCell ref="A23:I23"/>
    <mergeCell ref="A24:I24"/>
    <mergeCell ref="A25:I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58CD1-9203-426A-9BD9-F6A528A2E91F}">
  <dimension ref="A1:Q91"/>
  <sheetViews>
    <sheetView workbookViewId="0">
      <selection sqref="A1:XFD1048576"/>
    </sheetView>
  </sheetViews>
  <sheetFormatPr baseColWidth="10" defaultColWidth="8.42578125" defaultRowHeight="12.75" x14ac:dyDescent="0.25"/>
  <cols>
    <col min="1" max="1" width="10" style="122" bestFit="1" customWidth="1"/>
    <col min="2" max="2" width="44.28515625" style="122" bestFit="1" customWidth="1"/>
    <col min="3" max="3" width="10.42578125" style="122" bestFit="1" customWidth="1"/>
    <col min="4" max="4" width="10.42578125" style="122" customWidth="1"/>
    <col min="5" max="5" width="9.7109375" style="122" bestFit="1" customWidth="1"/>
    <col min="6" max="6" width="9.5703125" style="122" bestFit="1" customWidth="1"/>
    <col min="7" max="7" width="9.5703125" style="107" bestFit="1" customWidth="1"/>
    <col min="8" max="8" width="10.42578125" style="187" bestFit="1" customWidth="1"/>
    <col min="9" max="9" width="4.5703125" style="187" customWidth="1"/>
    <col min="10" max="10" width="1.85546875" style="121" customWidth="1"/>
    <col min="11" max="11" width="7" style="122" bestFit="1" customWidth="1"/>
    <col min="12" max="12" width="6.28515625" style="122" customWidth="1"/>
    <col min="13" max="13" width="20.42578125" style="122" customWidth="1"/>
    <col min="14" max="14" width="6.42578125" style="122" bestFit="1" customWidth="1"/>
    <col min="15" max="16" width="8.42578125" style="122"/>
    <col min="17" max="17" width="3.28515625" style="122" customWidth="1"/>
    <col min="18" max="256" width="8.42578125" style="122"/>
    <col min="257" max="257" width="10" style="122" bestFit="1" customWidth="1"/>
    <col min="258" max="258" width="44.28515625" style="122" bestFit="1" customWidth="1"/>
    <col min="259" max="259" width="10.42578125" style="122" bestFit="1" customWidth="1"/>
    <col min="260" max="260" width="10.42578125" style="122" customWidth="1"/>
    <col min="261" max="261" width="9.7109375" style="122" bestFit="1" customWidth="1"/>
    <col min="262" max="263" width="9.5703125" style="122" bestFit="1" customWidth="1"/>
    <col min="264" max="264" width="10.42578125" style="122" bestFit="1" customWidth="1"/>
    <col min="265" max="265" width="4.5703125" style="122" customWidth="1"/>
    <col min="266" max="266" width="1.85546875" style="122" customWidth="1"/>
    <col min="267" max="267" width="7" style="122" bestFit="1" customWidth="1"/>
    <col min="268" max="268" width="6.28515625" style="122" customWidth="1"/>
    <col min="269" max="269" width="20.42578125" style="122" customWidth="1"/>
    <col min="270" max="270" width="6.42578125" style="122" bestFit="1" customWidth="1"/>
    <col min="271" max="272" width="8.42578125" style="122"/>
    <col min="273" max="273" width="3.28515625" style="122" customWidth="1"/>
    <col min="274" max="512" width="8.42578125" style="122"/>
    <col min="513" max="513" width="10" style="122" bestFit="1" customWidth="1"/>
    <col min="514" max="514" width="44.28515625" style="122" bestFit="1" customWidth="1"/>
    <col min="515" max="515" width="10.42578125" style="122" bestFit="1" customWidth="1"/>
    <col min="516" max="516" width="10.42578125" style="122" customWidth="1"/>
    <col min="517" max="517" width="9.7109375" style="122" bestFit="1" customWidth="1"/>
    <col min="518" max="519" width="9.5703125" style="122" bestFit="1" customWidth="1"/>
    <col min="520" max="520" width="10.42578125" style="122" bestFit="1" customWidth="1"/>
    <col min="521" max="521" width="4.5703125" style="122" customWidth="1"/>
    <col min="522" max="522" width="1.85546875" style="122" customWidth="1"/>
    <col min="523" max="523" width="7" style="122" bestFit="1" customWidth="1"/>
    <col min="524" max="524" width="6.28515625" style="122" customWidth="1"/>
    <col min="525" max="525" width="20.42578125" style="122" customWidth="1"/>
    <col min="526" max="526" width="6.42578125" style="122" bestFit="1" customWidth="1"/>
    <col min="527" max="528" width="8.42578125" style="122"/>
    <col min="529" max="529" width="3.28515625" style="122" customWidth="1"/>
    <col min="530" max="768" width="8.42578125" style="122"/>
    <col min="769" max="769" width="10" style="122" bestFit="1" customWidth="1"/>
    <col min="770" max="770" width="44.28515625" style="122" bestFit="1" customWidth="1"/>
    <col min="771" max="771" width="10.42578125" style="122" bestFit="1" customWidth="1"/>
    <col min="772" max="772" width="10.42578125" style="122" customWidth="1"/>
    <col min="773" max="773" width="9.7109375" style="122" bestFit="1" customWidth="1"/>
    <col min="774" max="775" width="9.5703125" style="122" bestFit="1" customWidth="1"/>
    <col min="776" max="776" width="10.42578125" style="122" bestFit="1" customWidth="1"/>
    <col min="777" max="777" width="4.5703125" style="122" customWidth="1"/>
    <col min="778" max="778" width="1.85546875" style="122" customWidth="1"/>
    <col min="779" max="779" width="7" style="122" bestFit="1" customWidth="1"/>
    <col min="780" max="780" width="6.28515625" style="122" customWidth="1"/>
    <col min="781" max="781" width="20.42578125" style="122" customWidth="1"/>
    <col min="782" max="782" width="6.42578125" style="122" bestFit="1" customWidth="1"/>
    <col min="783" max="784" width="8.42578125" style="122"/>
    <col min="785" max="785" width="3.28515625" style="122" customWidth="1"/>
    <col min="786" max="1024" width="8.42578125" style="122"/>
    <col min="1025" max="1025" width="10" style="122" bestFit="1" customWidth="1"/>
    <col min="1026" max="1026" width="44.28515625" style="122" bestFit="1" customWidth="1"/>
    <col min="1027" max="1027" width="10.42578125" style="122" bestFit="1" customWidth="1"/>
    <col min="1028" max="1028" width="10.42578125" style="122" customWidth="1"/>
    <col min="1029" max="1029" width="9.7109375" style="122" bestFit="1" customWidth="1"/>
    <col min="1030" max="1031" width="9.5703125" style="122" bestFit="1" customWidth="1"/>
    <col min="1032" max="1032" width="10.42578125" style="122" bestFit="1" customWidth="1"/>
    <col min="1033" max="1033" width="4.5703125" style="122" customWidth="1"/>
    <col min="1034" max="1034" width="1.85546875" style="122" customWidth="1"/>
    <col min="1035" max="1035" width="7" style="122" bestFit="1" customWidth="1"/>
    <col min="1036" max="1036" width="6.28515625" style="122" customWidth="1"/>
    <col min="1037" max="1037" width="20.42578125" style="122" customWidth="1"/>
    <col min="1038" max="1038" width="6.42578125" style="122" bestFit="1" customWidth="1"/>
    <col min="1039" max="1040" width="8.42578125" style="122"/>
    <col min="1041" max="1041" width="3.28515625" style="122" customWidth="1"/>
    <col min="1042" max="1280" width="8.42578125" style="122"/>
    <col min="1281" max="1281" width="10" style="122" bestFit="1" customWidth="1"/>
    <col min="1282" max="1282" width="44.28515625" style="122" bestFit="1" customWidth="1"/>
    <col min="1283" max="1283" width="10.42578125" style="122" bestFit="1" customWidth="1"/>
    <col min="1284" max="1284" width="10.42578125" style="122" customWidth="1"/>
    <col min="1285" max="1285" width="9.7109375" style="122" bestFit="1" customWidth="1"/>
    <col min="1286" max="1287" width="9.5703125" style="122" bestFit="1" customWidth="1"/>
    <col min="1288" max="1288" width="10.42578125" style="122" bestFit="1" customWidth="1"/>
    <col min="1289" max="1289" width="4.5703125" style="122" customWidth="1"/>
    <col min="1290" max="1290" width="1.85546875" style="122" customWidth="1"/>
    <col min="1291" max="1291" width="7" style="122" bestFit="1" customWidth="1"/>
    <col min="1292" max="1292" width="6.28515625" style="122" customWidth="1"/>
    <col min="1293" max="1293" width="20.42578125" style="122" customWidth="1"/>
    <col min="1294" max="1294" width="6.42578125" style="122" bestFit="1" customWidth="1"/>
    <col min="1295" max="1296" width="8.42578125" style="122"/>
    <col min="1297" max="1297" width="3.28515625" style="122" customWidth="1"/>
    <col min="1298" max="1536" width="8.42578125" style="122"/>
    <col min="1537" max="1537" width="10" style="122" bestFit="1" customWidth="1"/>
    <col min="1538" max="1538" width="44.28515625" style="122" bestFit="1" customWidth="1"/>
    <col min="1539" max="1539" width="10.42578125" style="122" bestFit="1" customWidth="1"/>
    <col min="1540" max="1540" width="10.42578125" style="122" customWidth="1"/>
    <col min="1541" max="1541" width="9.7109375" style="122" bestFit="1" customWidth="1"/>
    <col min="1542" max="1543" width="9.5703125" style="122" bestFit="1" customWidth="1"/>
    <col min="1544" max="1544" width="10.42578125" style="122" bestFit="1" customWidth="1"/>
    <col min="1545" max="1545" width="4.5703125" style="122" customWidth="1"/>
    <col min="1546" max="1546" width="1.85546875" style="122" customWidth="1"/>
    <col min="1547" max="1547" width="7" style="122" bestFit="1" customWidth="1"/>
    <col min="1548" max="1548" width="6.28515625" style="122" customWidth="1"/>
    <col min="1549" max="1549" width="20.42578125" style="122" customWidth="1"/>
    <col min="1550" max="1550" width="6.42578125" style="122" bestFit="1" customWidth="1"/>
    <col min="1551" max="1552" width="8.42578125" style="122"/>
    <col min="1553" max="1553" width="3.28515625" style="122" customWidth="1"/>
    <col min="1554" max="1792" width="8.42578125" style="122"/>
    <col min="1793" max="1793" width="10" style="122" bestFit="1" customWidth="1"/>
    <col min="1794" max="1794" width="44.28515625" style="122" bestFit="1" customWidth="1"/>
    <col min="1795" max="1795" width="10.42578125" style="122" bestFit="1" customWidth="1"/>
    <col min="1796" max="1796" width="10.42578125" style="122" customWidth="1"/>
    <col min="1797" max="1797" width="9.7109375" style="122" bestFit="1" customWidth="1"/>
    <col min="1798" max="1799" width="9.5703125" style="122" bestFit="1" customWidth="1"/>
    <col min="1800" max="1800" width="10.42578125" style="122" bestFit="1" customWidth="1"/>
    <col min="1801" max="1801" width="4.5703125" style="122" customWidth="1"/>
    <col min="1802" max="1802" width="1.85546875" style="122" customWidth="1"/>
    <col min="1803" max="1803" width="7" style="122" bestFit="1" customWidth="1"/>
    <col min="1804" max="1804" width="6.28515625" style="122" customWidth="1"/>
    <col min="1805" max="1805" width="20.42578125" style="122" customWidth="1"/>
    <col min="1806" max="1806" width="6.42578125" style="122" bestFit="1" customWidth="1"/>
    <col min="1807" max="1808" width="8.42578125" style="122"/>
    <col min="1809" max="1809" width="3.28515625" style="122" customWidth="1"/>
    <col min="1810" max="2048" width="8.42578125" style="122"/>
    <col min="2049" max="2049" width="10" style="122" bestFit="1" customWidth="1"/>
    <col min="2050" max="2050" width="44.28515625" style="122" bestFit="1" customWidth="1"/>
    <col min="2051" max="2051" width="10.42578125" style="122" bestFit="1" customWidth="1"/>
    <col min="2052" max="2052" width="10.42578125" style="122" customWidth="1"/>
    <col min="2053" max="2053" width="9.7109375" style="122" bestFit="1" customWidth="1"/>
    <col min="2054" max="2055" width="9.5703125" style="122" bestFit="1" customWidth="1"/>
    <col min="2056" max="2056" width="10.42578125" style="122" bestFit="1" customWidth="1"/>
    <col min="2057" max="2057" width="4.5703125" style="122" customWidth="1"/>
    <col min="2058" max="2058" width="1.85546875" style="122" customWidth="1"/>
    <col min="2059" max="2059" width="7" style="122" bestFit="1" customWidth="1"/>
    <col min="2060" max="2060" width="6.28515625" style="122" customWidth="1"/>
    <col min="2061" max="2061" width="20.42578125" style="122" customWidth="1"/>
    <col min="2062" max="2062" width="6.42578125" style="122" bestFit="1" customWidth="1"/>
    <col min="2063" max="2064" width="8.42578125" style="122"/>
    <col min="2065" max="2065" width="3.28515625" style="122" customWidth="1"/>
    <col min="2066" max="2304" width="8.42578125" style="122"/>
    <col min="2305" max="2305" width="10" style="122" bestFit="1" customWidth="1"/>
    <col min="2306" max="2306" width="44.28515625" style="122" bestFit="1" customWidth="1"/>
    <col min="2307" max="2307" width="10.42578125" style="122" bestFit="1" customWidth="1"/>
    <col min="2308" max="2308" width="10.42578125" style="122" customWidth="1"/>
    <col min="2309" max="2309" width="9.7109375" style="122" bestFit="1" customWidth="1"/>
    <col min="2310" max="2311" width="9.5703125" style="122" bestFit="1" customWidth="1"/>
    <col min="2312" max="2312" width="10.42578125" style="122" bestFit="1" customWidth="1"/>
    <col min="2313" max="2313" width="4.5703125" style="122" customWidth="1"/>
    <col min="2314" max="2314" width="1.85546875" style="122" customWidth="1"/>
    <col min="2315" max="2315" width="7" style="122" bestFit="1" customWidth="1"/>
    <col min="2316" max="2316" width="6.28515625" style="122" customWidth="1"/>
    <col min="2317" max="2317" width="20.42578125" style="122" customWidth="1"/>
    <col min="2318" max="2318" width="6.42578125" style="122" bestFit="1" customWidth="1"/>
    <col min="2319" max="2320" width="8.42578125" style="122"/>
    <col min="2321" max="2321" width="3.28515625" style="122" customWidth="1"/>
    <col min="2322" max="2560" width="8.42578125" style="122"/>
    <col min="2561" max="2561" width="10" style="122" bestFit="1" customWidth="1"/>
    <col min="2562" max="2562" width="44.28515625" style="122" bestFit="1" customWidth="1"/>
    <col min="2563" max="2563" width="10.42578125" style="122" bestFit="1" customWidth="1"/>
    <col min="2564" max="2564" width="10.42578125" style="122" customWidth="1"/>
    <col min="2565" max="2565" width="9.7109375" style="122" bestFit="1" customWidth="1"/>
    <col min="2566" max="2567" width="9.5703125" style="122" bestFit="1" customWidth="1"/>
    <col min="2568" max="2568" width="10.42578125" style="122" bestFit="1" customWidth="1"/>
    <col min="2569" max="2569" width="4.5703125" style="122" customWidth="1"/>
    <col min="2570" max="2570" width="1.85546875" style="122" customWidth="1"/>
    <col min="2571" max="2571" width="7" style="122" bestFit="1" customWidth="1"/>
    <col min="2572" max="2572" width="6.28515625" style="122" customWidth="1"/>
    <col min="2573" max="2573" width="20.42578125" style="122" customWidth="1"/>
    <col min="2574" max="2574" width="6.42578125" style="122" bestFit="1" customWidth="1"/>
    <col min="2575" max="2576" width="8.42578125" style="122"/>
    <col min="2577" max="2577" width="3.28515625" style="122" customWidth="1"/>
    <col min="2578" max="2816" width="8.42578125" style="122"/>
    <col min="2817" max="2817" width="10" style="122" bestFit="1" customWidth="1"/>
    <col min="2818" max="2818" width="44.28515625" style="122" bestFit="1" customWidth="1"/>
    <col min="2819" max="2819" width="10.42578125" style="122" bestFit="1" customWidth="1"/>
    <col min="2820" max="2820" width="10.42578125" style="122" customWidth="1"/>
    <col min="2821" max="2821" width="9.7109375" style="122" bestFit="1" customWidth="1"/>
    <col min="2822" max="2823" width="9.5703125" style="122" bestFit="1" customWidth="1"/>
    <col min="2824" max="2824" width="10.42578125" style="122" bestFit="1" customWidth="1"/>
    <col min="2825" max="2825" width="4.5703125" style="122" customWidth="1"/>
    <col min="2826" max="2826" width="1.85546875" style="122" customWidth="1"/>
    <col min="2827" max="2827" width="7" style="122" bestFit="1" customWidth="1"/>
    <col min="2828" max="2828" width="6.28515625" style="122" customWidth="1"/>
    <col min="2829" max="2829" width="20.42578125" style="122" customWidth="1"/>
    <col min="2830" max="2830" width="6.42578125" style="122" bestFit="1" customWidth="1"/>
    <col min="2831" max="2832" width="8.42578125" style="122"/>
    <col min="2833" max="2833" width="3.28515625" style="122" customWidth="1"/>
    <col min="2834" max="3072" width="8.42578125" style="122"/>
    <col min="3073" max="3073" width="10" style="122" bestFit="1" customWidth="1"/>
    <col min="3074" max="3074" width="44.28515625" style="122" bestFit="1" customWidth="1"/>
    <col min="3075" max="3075" width="10.42578125" style="122" bestFit="1" customWidth="1"/>
    <col min="3076" max="3076" width="10.42578125" style="122" customWidth="1"/>
    <col min="3077" max="3077" width="9.7109375" style="122" bestFit="1" customWidth="1"/>
    <col min="3078" max="3079" width="9.5703125" style="122" bestFit="1" customWidth="1"/>
    <col min="3080" max="3080" width="10.42578125" style="122" bestFit="1" customWidth="1"/>
    <col min="3081" max="3081" width="4.5703125" style="122" customWidth="1"/>
    <col min="3082" max="3082" width="1.85546875" style="122" customWidth="1"/>
    <col min="3083" max="3083" width="7" style="122" bestFit="1" customWidth="1"/>
    <col min="3084" max="3084" width="6.28515625" style="122" customWidth="1"/>
    <col min="3085" max="3085" width="20.42578125" style="122" customWidth="1"/>
    <col min="3086" max="3086" width="6.42578125" style="122" bestFit="1" customWidth="1"/>
    <col min="3087" max="3088" width="8.42578125" style="122"/>
    <col min="3089" max="3089" width="3.28515625" style="122" customWidth="1"/>
    <col min="3090" max="3328" width="8.42578125" style="122"/>
    <col min="3329" max="3329" width="10" style="122" bestFit="1" customWidth="1"/>
    <col min="3330" max="3330" width="44.28515625" style="122" bestFit="1" customWidth="1"/>
    <col min="3331" max="3331" width="10.42578125" style="122" bestFit="1" customWidth="1"/>
    <col min="3332" max="3332" width="10.42578125" style="122" customWidth="1"/>
    <col min="3333" max="3333" width="9.7109375" style="122" bestFit="1" customWidth="1"/>
    <col min="3334" max="3335" width="9.5703125" style="122" bestFit="1" customWidth="1"/>
    <col min="3336" max="3336" width="10.42578125" style="122" bestFit="1" customWidth="1"/>
    <col min="3337" max="3337" width="4.5703125" style="122" customWidth="1"/>
    <col min="3338" max="3338" width="1.85546875" style="122" customWidth="1"/>
    <col min="3339" max="3339" width="7" style="122" bestFit="1" customWidth="1"/>
    <col min="3340" max="3340" width="6.28515625" style="122" customWidth="1"/>
    <col min="3341" max="3341" width="20.42578125" style="122" customWidth="1"/>
    <col min="3342" max="3342" width="6.42578125" style="122" bestFit="1" customWidth="1"/>
    <col min="3343" max="3344" width="8.42578125" style="122"/>
    <col min="3345" max="3345" width="3.28515625" style="122" customWidth="1"/>
    <col min="3346" max="3584" width="8.42578125" style="122"/>
    <col min="3585" max="3585" width="10" style="122" bestFit="1" customWidth="1"/>
    <col min="3586" max="3586" width="44.28515625" style="122" bestFit="1" customWidth="1"/>
    <col min="3587" max="3587" width="10.42578125" style="122" bestFit="1" customWidth="1"/>
    <col min="3588" max="3588" width="10.42578125" style="122" customWidth="1"/>
    <col min="3589" max="3589" width="9.7109375" style="122" bestFit="1" customWidth="1"/>
    <col min="3590" max="3591" width="9.5703125" style="122" bestFit="1" customWidth="1"/>
    <col min="3592" max="3592" width="10.42578125" style="122" bestFit="1" customWidth="1"/>
    <col min="3593" max="3593" width="4.5703125" style="122" customWidth="1"/>
    <col min="3594" max="3594" width="1.85546875" style="122" customWidth="1"/>
    <col min="3595" max="3595" width="7" style="122" bestFit="1" customWidth="1"/>
    <col min="3596" max="3596" width="6.28515625" style="122" customWidth="1"/>
    <col min="3597" max="3597" width="20.42578125" style="122" customWidth="1"/>
    <col min="3598" max="3598" width="6.42578125" style="122" bestFit="1" customWidth="1"/>
    <col min="3599" max="3600" width="8.42578125" style="122"/>
    <col min="3601" max="3601" width="3.28515625" style="122" customWidth="1"/>
    <col min="3602" max="3840" width="8.42578125" style="122"/>
    <col min="3841" max="3841" width="10" style="122" bestFit="1" customWidth="1"/>
    <col min="3842" max="3842" width="44.28515625" style="122" bestFit="1" customWidth="1"/>
    <col min="3843" max="3843" width="10.42578125" style="122" bestFit="1" customWidth="1"/>
    <col min="3844" max="3844" width="10.42578125" style="122" customWidth="1"/>
    <col min="3845" max="3845" width="9.7109375" style="122" bestFit="1" customWidth="1"/>
    <col min="3846" max="3847" width="9.5703125" style="122" bestFit="1" customWidth="1"/>
    <col min="3848" max="3848" width="10.42578125" style="122" bestFit="1" customWidth="1"/>
    <col min="3849" max="3849" width="4.5703125" style="122" customWidth="1"/>
    <col min="3850" max="3850" width="1.85546875" style="122" customWidth="1"/>
    <col min="3851" max="3851" width="7" style="122" bestFit="1" customWidth="1"/>
    <col min="3852" max="3852" width="6.28515625" style="122" customWidth="1"/>
    <col min="3853" max="3853" width="20.42578125" style="122" customWidth="1"/>
    <col min="3854" max="3854" width="6.42578125" style="122" bestFit="1" customWidth="1"/>
    <col min="3855" max="3856" width="8.42578125" style="122"/>
    <col min="3857" max="3857" width="3.28515625" style="122" customWidth="1"/>
    <col min="3858" max="4096" width="8.42578125" style="122"/>
    <col min="4097" max="4097" width="10" style="122" bestFit="1" customWidth="1"/>
    <col min="4098" max="4098" width="44.28515625" style="122" bestFit="1" customWidth="1"/>
    <col min="4099" max="4099" width="10.42578125" style="122" bestFit="1" customWidth="1"/>
    <col min="4100" max="4100" width="10.42578125" style="122" customWidth="1"/>
    <col min="4101" max="4101" width="9.7109375" style="122" bestFit="1" customWidth="1"/>
    <col min="4102" max="4103" width="9.5703125" style="122" bestFit="1" customWidth="1"/>
    <col min="4104" max="4104" width="10.42578125" style="122" bestFit="1" customWidth="1"/>
    <col min="4105" max="4105" width="4.5703125" style="122" customWidth="1"/>
    <col min="4106" max="4106" width="1.85546875" style="122" customWidth="1"/>
    <col min="4107" max="4107" width="7" style="122" bestFit="1" customWidth="1"/>
    <col min="4108" max="4108" width="6.28515625" style="122" customWidth="1"/>
    <col min="4109" max="4109" width="20.42578125" style="122" customWidth="1"/>
    <col min="4110" max="4110" width="6.42578125" style="122" bestFit="1" customWidth="1"/>
    <col min="4111" max="4112" width="8.42578125" style="122"/>
    <col min="4113" max="4113" width="3.28515625" style="122" customWidth="1"/>
    <col min="4114" max="4352" width="8.42578125" style="122"/>
    <col min="4353" max="4353" width="10" style="122" bestFit="1" customWidth="1"/>
    <col min="4354" max="4354" width="44.28515625" style="122" bestFit="1" customWidth="1"/>
    <col min="4355" max="4355" width="10.42578125" style="122" bestFit="1" customWidth="1"/>
    <col min="4356" max="4356" width="10.42578125" style="122" customWidth="1"/>
    <col min="4357" max="4357" width="9.7109375" style="122" bestFit="1" customWidth="1"/>
    <col min="4358" max="4359" width="9.5703125" style="122" bestFit="1" customWidth="1"/>
    <col min="4360" max="4360" width="10.42578125" style="122" bestFit="1" customWidth="1"/>
    <col min="4361" max="4361" width="4.5703125" style="122" customWidth="1"/>
    <col min="4362" max="4362" width="1.85546875" style="122" customWidth="1"/>
    <col min="4363" max="4363" width="7" style="122" bestFit="1" customWidth="1"/>
    <col min="4364" max="4364" width="6.28515625" style="122" customWidth="1"/>
    <col min="4365" max="4365" width="20.42578125" style="122" customWidth="1"/>
    <col min="4366" max="4366" width="6.42578125" style="122" bestFit="1" customWidth="1"/>
    <col min="4367" max="4368" width="8.42578125" style="122"/>
    <col min="4369" max="4369" width="3.28515625" style="122" customWidth="1"/>
    <col min="4370" max="4608" width="8.42578125" style="122"/>
    <col min="4609" max="4609" width="10" style="122" bestFit="1" customWidth="1"/>
    <col min="4610" max="4610" width="44.28515625" style="122" bestFit="1" customWidth="1"/>
    <col min="4611" max="4611" width="10.42578125" style="122" bestFit="1" customWidth="1"/>
    <col min="4612" max="4612" width="10.42578125" style="122" customWidth="1"/>
    <col min="4613" max="4613" width="9.7109375" style="122" bestFit="1" customWidth="1"/>
    <col min="4614" max="4615" width="9.5703125" style="122" bestFit="1" customWidth="1"/>
    <col min="4616" max="4616" width="10.42578125" style="122" bestFit="1" customWidth="1"/>
    <col min="4617" max="4617" width="4.5703125" style="122" customWidth="1"/>
    <col min="4618" max="4618" width="1.85546875" style="122" customWidth="1"/>
    <col min="4619" max="4619" width="7" style="122" bestFit="1" customWidth="1"/>
    <col min="4620" max="4620" width="6.28515625" style="122" customWidth="1"/>
    <col min="4621" max="4621" width="20.42578125" style="122" customWidth="1"/>
    <col min="4622" max="4622" width="6.42578125" style="122" bestFit="1" customWidth="1"/>
    <col min="4623" max="4624" width="8.42578125" style="122"/>
    <col min="4625" max="4625" width="3.28515625" style="122" customWidth="1"/>
    <col min="4626" max="4864" width="8.42578125" style="122"/>
    <col min="4865" max="4865" width="10" style="122" bestFit="1" customWidth="1"/>
    <col min="4866" max="4866" width="44.28515625" style="122" bestFit="1" customWidth="1"/>
    <col min="4867" max="4867" width="10.42578125" style="122" bestFit="1" customWidth="1"/>
    <col min="4868" max="4868" width="10.42578125" style="122" customWidth="1"/>
    <col min="4869" max="4869" width="9.7109375" style="122" bestFit="1" customWidth="1"/>
    <col min="4870" max="4871" width="9.5703125" style="122" bestFit="1" customWidth="1"/>
    <col min="4872" max="4872" width="10.42578125" style="122" bestFit="1" customWidth="1"/>
    <col min="4873" max="4873" width="4.5703125" style="122" customWidth="1"/>
    <col min="4874" max="4874" width="1.85546875" style="122" customWidth="1"/>
    <col min="4875" max="4875" width="7" style="122" bestFit="1" customWidth="1"/>
    <col min="4876" max="4876" width="6.28515625" style="122" customWidth="1"/>
    <col min="4877" max="4877" width="20.42578125" style="122" customWidth="1"/>
    <col min="4878" max="4878" width="6.42578125" style="122" bestFit="1" customWidth="1"/>
    <col min="4879" max="4880" width="8.42578125" style="122"/>
    <col min="4881" max="4881" width="3.28515625" style="122" customWidth="1"/>
    <col min="4882" max="5120" width="8.42578125" style="122"/>
    <col min="5121" max="5121" width="10" style="122" bestFit="1" customWidth="1"/>
    <col min="5122" max="5122" width="44.28515625" style="122" bestFit="1" customWidth="1"/>
    <col min="5123" max="5123" width="10.42578125" style="122" bestFit="1" customWidth="1"/>
    <col min="5124" max="5124" width="10.42578125" style="122" customWidth="1"/>
    <col min="5125" max="5125" width="9.7109375" style="122" bestFit="1" customWidth="1"/>
    <col min="5126" max="5127" width="9.5703125" style="122" bestFit="1" customWidth="1"/>
    <col min="5128" max="5128" width="10.42578125" style="122" bestFit="1" customWidth="1"/>
    <col min="5129" max="5129" width="4.5703125" style="122" customWidth="1"/>
    <col min="5130" max="5130" width="1.85546875" style="122" customWidth="1"/>
    <col min="5131" max="5131" width="7" style="122" bestFit="1" customWidth="1"/>
    <col min="5132" max="5132" width="6.28515625" style="122" customWidth="1"/>
    <col min="5133" max="5133" width="20.42578125" style="122" customWidth="1"/>
    <col min="5134" max="5134" width="6.42578125" style="122" bestFit="1" customWidth="1"/>
    <col min="5135" max="5136" width="8.42578125" style="122"/>
    <col min="5137" max="5137" width="3.28515625" style="122" customWidth="1"/>
    <col min="5138" max="5376" width="8.42578125" style="122"/>
    <col min="5377" max="5377" width="10" style="122" bestFit="1" customWidth="1"/>
    <col min="5378" max="5378" width="44.28515625" style="122" bestFit="1" customWidth="1"/>
    <col min="5379" max="5379" width="10.42578125" style="122" bestFit="1" customWidth="1"/>
    <col min="5380" max="5380" width="10.42578125" style="122" customWidth="1"/>
    <col min="5381" max="5381" width="9.7109375" style="122" bestFit="1" customWidth="1"/>
    <col min="5382" max="5383" width="9.5703125" style="122" bestFit="1" customWidth="1"/>
    <col min="5384" max="5384" width="10.42578125" style="122" bestFit="1" customWidth="1"/>
    <col min="5385" max="5385" width="4.5703125" style="122" customWidth="1"/>
    <col min="5386" max="5386" width="1.85546875" style="122" customWidth="1"/>
    <col min="5387" max="5387" width="7" style="122" bestFit="1" customWidth="1"/>
    <col min="5388" max="5388" width="6.28515625" style="122" customWidth="1"/>
    <col min="5389" max="5389" width="20.42578125" style="122" customWidth="1"/>
    <col min="5390" max="5390" width="6.42578125" style="122" bestFit="1" customWidth="1"/>
    <col min="5391" max="5392" width="8.42578125" style="122"/>
    <col min="5393" max="5393" width="3.28515625" style="122" customWidth="1"/>
    <col min="5394" max="5632" width="8.42578125" style="122"/>
    <col min="5633" max="5633" width="10" style="122" bestFit="1" customWidth="1"/>
    <col min="5634" max="5634" width="44.28515625" style="122" bestFit="1" customWidth="1"/>
    <col min="5635" max="5635" width="10.42578125" style="122" bestFit="1" customWidth="1"/>
    <col min="5636" max="5636" width="10.42578125" style="122" customWidth="1"/>
    <col min="5637" max="5637" width="9.7109375" style="122" bestFit="1" customWidth="1"/>
    <col min="5638" max="5639" width="9.5703125" style="122" bestFit="1" customWidth="1"/>
    <col min="5640" max="5640" width="10.42578125" style="122" bestFit="1" customWidth="1"/>
    <col min="5641" max="5641" width="4.5703125" style="122" customWidth="1"/>
    <col min="5642" max="5642" width="1.85546875" style="122" customWidth="1"/>
    <col min="5643" max="5643" width="7" style="122" bestFit="1" customWidth="1"/>
    <col min="5644" max="5644" width="6.28515625" style="122" customWidth="1"/>
    <col min="5645" max="5645" width="20.42578125" style="122" customWidth="1"/>
    <col min="5646" max="5646" width="6.42578125" style="122" bestFit="1" customWidth="1"/>
    <col min="5647" max="5648" width="8.42578125" style="122"/>
    <col min="5649" max="5649" width="3.28515625" style="122" customWidth="1"/>
    <col min="5650" max="5888" width="8.42578125" style="122"/>
    <col min="5889" max="5889" width="10" style="122" bestFit="1" customWidth="1"/>
    <col min="5890" max="5890" width="44.28515625" style="122" bestFit="1" customWidth="1"/>
    <col min="5891" max="5891" width="10.42578125" style="122" bestFit="1" customWidth="1"/>
    <col min="5892" max="5892" width="10.42578125" style="122" customWidth="1"/>
    <col min="5893" max="5893" width="9.7109375" style="122" bestFit="1" customWidth="1"/>
    <col min="5894" max="5895" width="9.5703125" style="122" bestFit="1" customWidth="1"/>
    <col min="5896" max="5896" width="10.42578125" style="122" bestFit="1" customWidth="1"/>
    <col min="5897" max="5897" width="4.5703125" style="122" customWidth="1"/>
    <col min="5898" max="5898" width="1.85546875" style="122" customWidth="1"/>
    <col min="5899" max="5899" width="7" style="122" bestFit="1" customWidth="1"/>
    <col min="5900" max="5900" width="6.28515625" style="122" customWidth="1"/>
    <col min="5901" max="5901" width="20.42578125" style="122" customWidth="1"/>
    <col min="5902" max="5902" width="6.42578125" style="122" bestFit="1" customWidth="1"/>
    <col min="5903" max="5904" width="8.42578125" style="122"/>
    <col min="5905" max="5905" width="3.28515625" style="122" customWidth="1"/>
    <col min="5906" max="6144" width="8.42578125" style="122"/>
    <col min="6145" max="6145" width="10" style="122" bestFit="1" customWidth="1"/>
    <col min="6146" max="6146" width="44.28515625" style="122" bestFit="1" customWidth="1"/>
    <col min="6147" max="6147" width="10.42578125" style="122" bestFit="1" customWidth="1"/>
    <col min="6148" max="6148" width="10.42578125" style="122" customWidth="1"/>
    <col min="6149" max="6149" width="9.7109375" style="122" bestFit="1" customWidth="1"/>
    <col min="6150" max="6151" width="9.5703125" style="122" bestFit="1" customWidth="1"/>
    <col min="6152" max="6152" width="10.42578125" style="122" bestFit="1" customWidth="1"/>
    <col min="6153" max="6153" width="4.5703125" style="122" customWidth="1"/>
    <col min="6154" max="6154" width="1.85546875" style="122" customWidth="1"/>
    <col min="6155" max="6155" width="7" style="122" bestFit="1" customWidth="1"/>
    <col min="6156" max="6156" width="6.28515625" style="122" customWidth="1"/>
    <col min="6157" max="6157" width="20.42578125" style="122" customWidth="1"/>
    <col min="6158" max="6158" width="6.42578125" style="122" bestFit="1" customWidth="1"/>
    <col min="6159" max="6160" width="8.42578125" style="122"/>
    <col min="6161" max="6161" width="3.28515625" style="122" customWidth="1"/>
    <col min="6162" max="6400" width="8.42578125" style="122"/>
    <col min="6401" max="6401" width="10" style="122" bestFit="1" customWidth="1"/>
    <col min="6402" max="6402" width="44.28515625" style="122" bestFit="1" customWidth="1"/>
    <col min="6403" max="6403" width="10.42578125" style="122" bestFit="1" customWidth="1"/>
    <col min="6404" max="6404" width="10.42578125" style="122" customWidth="1"/>
    <col min="6405" max="6405" width="9.7109375" style="122" bestFit="1" customWidth="1"/>
    <col min="6406" max="6407" width="9.5703125" style="122" bestFit="1" customWidth="1"/>
    <col min="6408" max="6408" width="10.42578125" style="122" bestFit="1" customWidth="1"/>
    <col min="6409" max="6409" width="4.5703125" style="122" customWidth="1"/>
    <col min="6410" max="6410" width="1.85546875" style="122" customWidth="1"/>
    <col min="6411" max="6411" width="7" style="122" bestFit="1" customWidth="1"/>
    <col min="6412" max="6412" width="6.28515625" style="122" customWidth="1"/>
    <col min="6413" max="6413" width="20.42578125" style="122" customWidth="1"/>
    <col min="6414" max="6414" width="6.42578125" style="122" bestFit="1" customWidth="1"/>
    <col min="6415" max="6416" width="8.42578125" style="122"/>
    <col min="6417" max="6417" width="3.28515625" style="122" customWidth="1"/>
    <col min="6418" max="6656" width="8.42578125" style="122"/>
    <col min="6657" max="6657" width="10" style="122" bestFit="1" customWidth="1"/>
    <col min="6658" max="6658" width="44.28515625" style="122" bestFit="1" customWidth="1"/>
    <col min="6659" max="6659" width="10.42578125" style="122" bestFit="1" customWidth="1"/>
    <col min="6660" max="6660" width="10.42578125" style="122" customWidth="1"/>
    <col min="6661" max="6661" width="9.7109375" style="122" bestFit="1" customWidth="1"/>
    <col min="6662" max="6663" width="9.5703125" style="122" bestFit="1" customWidth="1"/>
    <col min="6664" max="6664" width="10.42578125" style="122" bestFit="1" customWidth="1"/>
    <col min="6665" max="6665" width="4.5703125" style="122" customWidth="1"/>
    <col min="6666" max="6666" width="1.85546875" style="122" customWidth="1"/>
    <col min="6667" max="6667" width="7" style="122" bestFit="1" customWidth="1"/>
    <col min="6668" max="6668" width="6.28515625" style="122" customWidth="1"/>
    <col min="6669" max="6669" width="20.42578125" style="122" customWidth="1"/>
    <col min="6670" max="6670" width="6.42578125" style="122" bestFit="1" customWidth="1"/>
    <col min="6671" max="6672" width="8.42578125" style="122"/>
    <col min="6673" max="6673" width="3.28515625" style="122" customWidth="1"/>
    <col min="6674" max="6912" width="8.42578125" style="122"/>
    <col min="6913" max="6913" width="10" style="122" bestFit="1" customWidth="1"/>
    <col min="6914" max="6914" width="44.28515625" style="122" bestFit="1" customWidth="1"/>
    <col min="6915" max="6915" width="10.42578125" style="122" bestFit="1" customWidth="1"/>
    <col min="6916" max="6916" width="10.42578125" style="122" customWidth="1"/>
    <col min="6917" max="6917" width="9.7109375" style="122" bestFit="1" customWidth="1"/>
    <col min="6918" max="6919" width="9.5703125" style="122" bestFit="1" customWidth="1"/>
    <col min="6920" max="6920" width="10.42578125" style="122" bestFit="1" customWidth="1"/>
    <col min="6921" max="6921" width="4.5703125" style="122" customWidth="1"/>
    <col min="6922" max="6922" width="1.85546875" style="122" customWidth="1"/>
    <col min="6923" max="6923" width="7" style="122" bestFit="1" customWidth="1"/>
    <col min="6924" max="6924" width="6.28515625" style="122" customWidth="1"/>
    <col min="6925" max="6925" width="20.42578125" style="122" customWidth="1"/>
    <col min="6926" max="6926" width="6.42578125" style="122" bestFit="1" customWidth="1"/>
    <col min="6927" max="6928" width="8.42578125" style="122"/>
    <col min="6929" max="6929" width="3.28515625" style="122" customWidth="1"/>
    <col min="6930" max="7168" width="8.42578125" style="122"/>
    <col min="7169" max="7169" width="10" style="122" bestFit="1" customWidth="1"/>
    <col min="7170" max="7170" width="44.28515625" style="122" bestFit="1" customWidth="1"/>
    <col min="7171" max="7171" width="10.42578125" style="122" bestFit="1" customWidth="1"/>
    <col min="7172" max="7172" width="10.42578125" style="122" customWidth="1"/>
    <col min="7173" max="7173" width="9.7109375" style="122" bestFit="1" customWidth="1"/>
    <col min="7174" max="7175" width="9.5703125" style="122" bestFit="1" customWidth="1"/>
    <col min="7176" max="7176" width="10.42578125" style="122" bestFit="1" customWidth="1"/>
    <col min="7177" max="7177" width="4.5703125" style="122" customWidth="1"/>
    <col min="7178" max="7178" width="1.85546875" style="122" customWidth="1"/>
    <col min="7179" max="7179" width="7" style="122" bestFit="1" customWidth="1"/>
    <col min="7180" max="7180" width="6.28515625" style="122" customWidth="1"/>
    <col min="7181" max="7181" width="20.42578125" style="122" customWidth="1"/>
    <col min="7182" max="7182" width="6.42578125" style="122" bestFit="1" customWidth="1"/>
    <col min="7183" max="7184" width="8.42578125" style="122"/>
    <col min="7185" max="7185" width="3.28515625" style="122" customWidth="1"/>
    <col min="7186" max="7424" width="8.42578125" style="122"/>
    <col min="7425" max="7425" width="10" style="122" bestFit="1" customWidth="1"/>
    <col min="7426" max="7426" width="44.28515625" style="122" bestFit="1" customWidth="1"/>
    <col min="7427" max="7427" width="10.42578125" style="122" bestFit="1" customWidth="1"/>
    <col min="7428" max="7428" width="10.42578125" style="122" customWidth="1"/>
    <col min="7429" max="7429" width="9.7109375" style="122" bestFit="1" customWidth="1"/>
    <col min="7430" max="7431" width="9.5703125" style="122" bestFit="1" customWidth="1"/>
    <col min="7432" max="7432" width="10.42578125" style="122" bestFit="1" customWidth="1"/>
    <col min="7433" max="7433" width="4.5703125" style="122" customWidth="1"/>
    <col min="7434" max="7434" width="1.85546875" style="122" customWidth="1"/>
    <col min="7435" max="7435" width="7" style="122" bestFit="1" customWidth="1"/>
    <col min="7436" max="7436" width="6.28515625" style="122" customWidth="1"/>
    <col min="7437" max="7437" width="20.42578125" style="122" customWidth="1"/>
    <col min="7438" max="7438" width="6.42578125" style="122" bestFit="1" customWidth="1"/>
    <col min="7439" max="7440" width="8.42578125" style="122"/>
    <col min="7441" max="7441" width="3.28515625" style="122" customWidth="1"/>
    <col min="7442" max="7680" width="8.42578125" style="122"/>
    <col min="7681" max="7681" width="10" style="122" bestFit="1" customWidth="1"/>
    <col min="7682" max="7682" width="44.28515625" style="122" bestFit="1" customWidth="1"/>
    <col min="7683" max="7683" width="10.42578125" style="122" bestFit="1" customWidth="1"/>
    <col min="7684" max="7684" width="10.42578125" style="122" customWidth="1"/>
    <col min="7685" max="7685" width="9.7109375" style="122" bestFit="1" customWidth="1"/>
    <col min="7686" max="7687" width="9.5703125" style="122" bestFit="1" customWidth="1"/>
    <col min="7688" max="7688" width="10.42578125" style="122" bestFit="1" customWidth="1"/>
    <col min="7689" max="7689" width="4.5703125" style="122" customWidth="1"/>
    <col min="7690" max="7690" width="1.85546875" style="122" customWidth="1"/>
    <col min="7691" max="7691" width="7" style="122" bestFit="1" customWidth="1"/>
    <col min="7692" max="7692" width="6.28515625" style="122" customWidth="1"/>
    <col min="7693" max="7693" width="20.42578125" style="122" customWidth="1"/>
    <col min="7694" max="7694" width="6.42578125" style="122" bestFit="1" customWidth="1"/>
    <col min="7695" max="7696" width="8.42578125" style="122"/>
    <col min="7697" max="7697" width="3.28515625" style="122" customWidth="1"/>
    <col min="7698" max="7936" width="8.42578125" style="122"/>
    <col min="7937" max="7937" width="10" style="122" bestFit="1" customWidth="1"/>
    <col min="7938" max="7938" width="44.28515625" style="122" bestFit="1" customWidth="1"/>
    <col min="7939" max="7939" width="10.42578125" style="122" bestFit="1" customWidth="1"/>
    <col min="7940" max="7940" width="10.42578125" style="122" customWidth="1"/>
    <col min="7941" max="7941" width="9.7109375" style="122" bestFit="1" customWidth="1"/>
    <col min="7942" max="7943" width="9.5703125" style="122" bestFit="1" customWidth="1"/>
    <col min="7944" max="7944" width="10.42578125" style="122" bestFit="1" customWidth="1"/>
    <col min="7945" max="7945" width="4.5703125" style="122" customWidth="1"/>
    <col min="7946" max="7946" width="1.85546875" style="122" customWidth="1"/>
    <col min="7947" max="7947" width="7" style="122" bestFit="1" customWidth="1"/>
    <col min="7948" max="7948" width="6.28515625" style="122" customWidth="1"/>
    <col min="7949" max="7949" width="20.42578125" style="122" customWidth="1"/>
    <col min="7950" max="7950" width="6.42578125" style="122" bestFit="1" customWidth="1"/>
    <col min="7951" max="7952" width="8.42578125" style="122"/>
    <col min="7953" max="7953" width="3.28515625" style="122" customWidth="1"/>
    <col min="7954" max="8192" width="8.42578125" style="122"/>
    <col min="8193" max="8193" width="10" style="122" bestFit="1" customWidth="1"/>
    <col min="8194" max="8194" width="44.28515625" style="122" bestFit="1" customWidth="1"/>
    <col min="8195" max="8195" width="10.42578125" style="122" bestFit="1" customWidth="1"/>
    <col min="8196" max="8196" width="10.42578125" style="122" customWidth="1"/>
    <col min="8197" max="8197" width="9.7109375" style="122" bestFit="1" customWidth="1"/>
    <col min="8198" max="8199" width="9.5703125" style="122" bestFit="1" customWidth="1"/>
    <col min="8200" max="8200" width="10.42578125" style="122" bestFit="1" customWidth="1"/>
    <col min="8201" max="8201" width="4.5703125" style="122" customWidth="1"/>
    <col min="8202" max="8202" width="1.85546875" style="122" customWidth="1"/>
    <col min="8203" max="8203" width="7" style="122" bestFit="1" customWidth="1"/>
    <col min="8204" max="8204" width="6.28515625" style="122" customWidth="1"/>
    <col min="8205" max="8205" width="20.42578125" style="122" customWidth="1"/>
    <col min="8206" max="8206" width="6.42578125" style="122" bestFit="1" customWidth="1"/>
    <col min="8207" max="8208" width="8.42578125" style="122"/>
    <col min="8209" max="8209" width="3.28515625" style="122" customWidth="1"/>
    <col min="8210" max="8448" width="8.42578125" style="122"/>
    <col min="8449" max="8449" width="10" style="122" bestFit="1" customWidth="1"/>
    <col min="8450" max="8450" width="44.28515625" style="122" bestFit="1" customWidth="1"/>
    <col min="8451" max="8451" width="10.42578125" style="122" bestFit="1" customWidth="1"/>
    <col min="8452" max="8452" width="10.42578125" style="122" customWidth="1"/>
    <col min="8453" max="8453" width="9.7109375" style="122" bestFit="1" customWidth="1"/>
    <col min="8454" max="8455" width="9.5703125" style="122" bestFit="1" customWidth="1"/>
    <col min="8456" max="8456" width="10.42578125" style="122" bestFit="1" customWidth="1"/>
    <col min="8457" max="8457" width="4.5703125" style="122" customWidth="1"/>
    <col min="8458" max="8458" width="1.85546875" style="122" customWidth="1"/>
    <col min="8459" max="8459" width="7" style="122" bestFit="1" customWidth="1"/>
    <col min="8460" max="8460" width="6.28515625" style="122" customWidth="1"/>
    <col min="8461" max="8461" width="20.42578125" style="122" customWidth="1"/>
    <col min="8462" max="8462" width="6.42578125" style="122" bestFit="1" customWidth="1"/>
    <col min="8463" max="8464" width="8.42578125" style="122"/>
    <col min="8465" max="8465" width="3.28515625" style="122" customWidth="1"/>
    <col min="8466" max="8704" width="8.42578125" style="122"/>
    <col min="8705" max="8705" width="10" style="122" bestFit="1" customWidth="1"/>
    <col min="8706" max="8706" width="44.28515625" style="122" bestFit="1" customWidth="1"/>
    <col min="8707" max="8707" width="10.42578125" style="122" bestFit="1" customWidth="1"/>
    <col min="8708" max="8708" width="10.42578125" style="122" customWidth="1"/>
    <col min="8709" max="8709" width="9.7109375" style="122" bestFit="1" customWidth="1"/>
    <col min="8710" max="8711" width="9.5703125" style="122" bestFit="1" customWidth="1"/>
    <col min="8712" max="8712" width="10.42578125" style="122" bestFit="1" customWidth="1"/>
    <col min="8713" max="8713" width="4.5703125" style="122" customWidth="1"/>
    <col min="8714" max="8714" width="1.85546875" style="122" customWidth="1"/>
    <col min="8715" max="8715" width="7" style="122" bestFit="1" customWidth="1"/>
    <col min="8716" max="8716" width="6.28515625" style="122" customWidth="1"/>
    <col min="8717" max="8717" width="20.42578125" style="122" customWidth="1"/>
    <col min="8718" max="8718" width="6.42578125" style="122" bestFit="1" customWidth="1"/>
    <col min="8719" max="8720" width="8.42578125" style="122"/>
    <col min="8721" max="8721" width="3.28515625" style="122" customWidth="1"/>
    <col min="8722" max="8960" width="8.42578125" style="122"/>
    <col min="8961" max="8961" width="10" style="122" bestFit="1" customWidth="1"/>
    <col min="8962" max="8962" width="44.28515625" style="122" bestFit="1" customWidth="1"/>
    <col min="8963" max="8963" width="10.42578125" style="122" bestFit="1" customWidth="1"/>
    <col min="8964" max="8964" width="10.42578125" style="122" customWidth="1"/>
    <col min="8965" max="8965" width="9.7109375" style="122" bestFit="1" customWidth="1"/>
    <col min="8966" max="8967" width="9.5703125" style="122" bestFit="1" customWidth="1"/>
    <col min="8968" max="8968" width="10.42578125" style="122" bestFit="1" customWidth="1"/>
    <col min="8969" max="8969" width="4.5703125" style="122" customWidth="1"/>
    <col min="8970" max="8970" width="1.85546875" style="122" customWidth="1"/>
    <col min="8971" max="8971" width="7" style="122" bestFit="1" customWidth="1"/>
    <col min="8972" max="8972" width="6.28515625" style="122" customWidth="1"/>
    <col min="8973" max="8973" width="20.42578125" style="122" customWidth="1"/>
    <col min="8974" max="8974" width="6.42578125" style="122" bestFit="1" customWidth="1"/>
    <col min="8975" max="8976" width="8.42578125" style="122"/>
    <col min="8977" max="8977" width="3.28515625" style="122" customWidth="1"/>
    <col min="8978" max="9216" width="8.42578125" style="122"/>
    <col min="9217" max="9217" width="10" style="122" bestFit="1" customWidth="1"/>
    <col min="9218" max="9218" width="44.28515625" style="122" bestFit="1" customWidth="1"/>
    <col min="9219" max="9219" width="10.42578125" style="122" bestFit="1" customWidth="1"/>
    <col min="9220" max="9220" width="10.42578125" style="122" customWidth="1"/>
    <col min="9221" max="9221" width="9.7109375" style="122" bestFit="1" customWidth="1"/>
    <col min="9222" max="9223" width="9.5703125" style="122" bestFit="1" customWidth="1"/>
    <col min="9224" max="9224" width="10.42578125" style="122" bestFit="1" customWidth="1"/>
    <col min="9225" max="9225" width="4.5703125" style="122" customWidth="1"/>
    <col min="9226" max="9226" width="1.85546875" style="122" customWidth="1"/>
    <col min="9227" max="9227" width="7" style="122" bestFit="1" customWidth="1"/>
    <col min="9228" max="9228" width="6.28515625" style="122" customWidth="1"/>
    <col min="9229" max="9229" width="20.42578125" style="122" customWidth="1"/>
    <col min="9230" max="9230" width="6.42578125" style="122" bestFit="1" customWidth="1"/>
    <col min="9231" max="9232" width="8.42578125" style="122"/>
    <col min="9233" max="9233" width="3.28515625" style="122" customWidth="1"/>
    <col min="9234" max="9472" width="8.42578125" style="122"/>
    <col min="9473" max="9473" width="10" style="122" bestFit="1" customWidth="1"/>
    <col min="9474" max="9474" width="44.28515625" style="122" bestFit="1" customWidth="1"/>
    <col min="9475" max="9475" width="10.42578125" style="122" bestFit="1" customWidth="1"/>
    <col min="9476" max="9476" width="10.42578125" style="122" customWidth="1"/>
    <col min="9477" max="9477" width="9.7109375" style="122" bestFit="1" customWidth="1"/>
    <col min="9478" max="9479" width="9.5703125" style="122" bestFit="1" customWidth="1"/>
    <col min="9480" max="9480" width="10.42578125" style="122" bestFit="1" customWidth="1"/>
    <col min="9481" max="9481" width="4.5703125" style="122" customWidth="1"/>
    <col min="9482" max="9482" width="1.85546875" style="122" customWidth="1"/>
    <col min="9483" max="9483" width="7" style="122" bestFit="1" customWidth="1"/>
    <col min="9484" max="9484" width="6.28515625" style="122" customWidth="1"/>
    <col min="9485" max="9485" width="20.42578125" style="122" customWidth="1"/>
    <col min="9486" max="9486" width="6.42578125" style="122" bestFit="1" customWidth="1"/>
    <col min="9487" max="9488" width="8.42578125" style="122"/>
    <col min="9489" max="9489" width="3.28515625" style="122" customWidth="1"/>
    <col min="9490" max="9728" width="8.42578125" style="122"/>
    <col min="9729" max="9729" width="10" style="122" bestFit="1" customWidth="1"/>
    <col min="9730" max="9730" width="44.28515625" style="122" bestFit="1" customWidth="1"/>
    <col min="9731" max="9731" width="10.42578125" style="122" bestFit="1" customWidth="1"/>
    <col min="9732" max="9732" width="10.42578125" style="122" customWidth="1"/>
    <col min="9733" max="9733" width="9.7109375" style="122" bestFit="1" customWidth="1"/>
    <col min="9734" max="9735" width="9.5703125" style="122" bestFit="1" customWidth="1"/>
    <col min="9736" max="9736" width="10.42578125" style="122" bestFit="1" customWidth="1"/>
    <col min="9737" max="9737" width="4.5703125" style="122" customWidth="1"/>
    <col min="9738" max="9738" width="1.85546875" style="122" customWidth="1"/>
    <col min="9739" max="9739" width="7" style="122" bestFit="1" customWidth="1"/>
    <col min="9740" max="9740" width="6.28515625" style="122" customWidth="1"/>
    <col min="9741" max="9741" width="20.42578125" style="122" customWidth="1"/>
    <col min="9742" max="9742" width="6.42578125" style="122" bestFit="1" customWidth="1"/>
    <col min="9743" max="9744" width="8.42578125" style="122"/>
    <col min="9745" max="9745" width="3.28515625" style="122" customWidth="1"/>
    <col min="9746" max="9984" width="8.42578125" style="122"/>
    <col min="9985" max="9985" width="10" style="122" bestFit="1" customWidth="1"/>
    <col min="9986" max="9986" width="44.28515625" style="122" bestFit="1" customWidth="1"/>
    <col min="9987" max="9987" width="10.42578125" style="122" bestFit="1" customWidth="1"/>
    <col min="9988" max="9988" width="10.42578125" style="122" customWidth="1"/>
    <col min="9989" max="9989" width="9.7109375" style="122" bestFit="1" customWidth="1"/>
    <col min="9990" max="9991" width="9.5703125" style="122" bestFit="1" customWidth="1"/>
    <col min="9992" max="9992" width="10.42578125" style="122" bestFit="1" customWidth="1"/>
    <col min="9993" max="9993" width="4.5703125" style="122" customWidth="1"/>
    <col min="9994" max="9994" width="1.85546875" style="122" customWidth="1"/>
    <col min="9995" max="9995" width="7" style="122" bestFit="1" customWidth="1"/>
    <col min="9996" max="9996" width="6.28515625" style="122" customWidth="1"/>
    <col min="9997" max="9997" width="20.42578125" style="122" customWidth="1"/>
    <col min="9998" max="9998" width="6.42578125" style="122" bestFit="1" customWidth="1"/>
    <col min="9999" max="10000" width="8.42578125" style="122"/>
    <col min="10001" max="10001" width="3.28515625" style="122" customWidth="1"/>
    <col min="10002" max="10240" width="8.42578125" style="122"/>
    <col min="10241" max="10241" width="10" style="122" bestFit="1" customWidth="1"/>
    <col min="10242" max="10242" width="44.28515625" style="122" bestFit="1" customWidth="1"/>
    <col min="10243" max="10243" width="10.42578125" style="122" bestFit="1" customWidth="1"/>
    <col min="10244" max="10244" width="10.42578125" style="122" customWidth="1"/>
    <col min="10245" max="10245" width="9.7109375" style="122" bestFit="1" customWidth="1"/>
    <col min="10246" max="10247" width="9.5703125" style="122" bestFit="1" customWidth="1"/>
    <col min="10248" max="10248" width="10.42578125" style="122" bestFit="1" customWidth="1"/>
    <col min="10249" max="10249" width="4.5703125" style="122" customWidth="1"/>
    <col min="10250" max="10250" width="1.85546875" style="122" customWidth="1"/>
    <col min="10251" max="10251" width="7" style="122" bestFit="1" customWidth="1"/>
    <col min="10252" max="10252" width="6.28515625" style="122" customWidth="1"/>
    <col min="10253" max="10253" width="20.42578125" style="122" customWidth="1"/>
    <col min="10254" max="10254" width="6.42578125" style="122" bestFit="1" customWidth="1"/>
    <col min="10255" max="10256" width="8.42578125" style="122"/>
    <col min="10257" max="10257" width="3.28515625" style="122" customWidth="1"/>
    <col min="10258" max="10496" width="8.42578125" style="122"/>
    <col min="10497" max="10497" width="10" style="122" bestFit="1" customWidth="1"/>
    <col min="10498" max="10498" width="44.28515625" style="122" bestFit="1" customWidth="1"/>
    <col min="10499" max="10499" width="10.42578125" style="122" bestFit="1" customWidth="1"/>
    <col min="10500" max="10500" width="10.42578125" style="122" customWidth="1"/>
    <col min="10501" max="10501" width="9.7109375" style="122" bestFit="1" customWidth="1"/>
    <col min="10502" max="10503" width="9.5703125" style="122" bestFit="1" customWidth="1"/>
    <col min="10504" max="10504" width="10.42578125" style="122" bestFit="1" customWidth="1"/>
    <col min="10505" max="10505" width="4.5703125" style="122" customWidth="1"/>
    <col min="10506" max="10506" width="1.85546875" style="122" customWidth="1"/>
    <col min="10507" max="10507" width="7" style="122" bestFit="1" customWidth="1"/>
    <col min="10508" max="10508" width="6.28515625" style="122" customWidth="1"/>
    <col min="10509" max="10509" width="20.42578125" style="122" customWidth="1"/>
    <col min="10510" max="10510" width="6.42578125" style="122" bestFit="1" customWidth="1"/>
    <col min="10511" max="10512" width="8.42578125" style="122"/>
    <col min="10513" max="10513" width="3.28515625" style="122" customWidth="1"/>
    <col min="10514" max="10752" width="8.42578125" style="122"/>
    <col min="10753" max="10753" width="10" style="122" bestFit="1" customWidth="1"/>
    <col min="10754" max="10754" width="44.28515625" style="122" bestFit="1" customWidth="1"/>
    <col min="10755" max="10755" width="10.42578125" style="122" bestFit="1" customWidth="1"/>
    <col min="10756" max="10756" width="10.42578125" style="122" customWidth="1"/>
    <col min="10757" max="10757" width="9.7109375" style="122" bestFit="1" customWidth="1"/>
    <col min="10758" max="10759" width="9.5703125" style="122" bestFit="1" customWidth="1"/>
    <col min="10760" max="10760" width="10.42578125" style="122" bestFit="1" customWidth="1"/>
    <col min="10761" max="10761" width="4.5703125" style="122" customWidth="1"/>
    <col min="10762" max="10762" width="1.85546875" style="122" customWidth="1"/>
    <col min="10763" max="10763" width="7" style="122" bestFit="1" customWidth="1"/>
    <col min="10764" max="10764" width="6.28515625" style="122" customWidth="1"/>
    <col min="10765" max="10765" width="20.42578125" style="122" customWidth="1"/>
    <col min="10766" max="10766" width="6.42578125" style="122" bestFit="1" customWidth="1"/>
    <col min="10767" max="10768" width="8.42578125" style="122"/>
    <col min="10769" max="10769" width="3.28515625" style="122" customWidth="1"/>
    <col min="10770" max="11008" width="8.42578125" style="122"/>
    <col min="11009" max="11009" width="10" style="122" bestFit="1" customWidth="1"/>
    <col min="11010" max="11010" width="44.28515625" style="122" bestFit="1" customWidth="1"/>
    <col min="11011" max="11011" width="10.42578125" style="122" bestFit="1" customWidth="1"/>
    <col min="11012" max="11012" width="10.42578125" style="122" customWidth="1"/>
    <col min="11013" max="11013" width="9.7109375" style="122" bestFit="1" customWidth="1"/>
    <col min="11014" max="11015" width="9.5703125" style="122" bestFit="1" customWidth="1"/>
    <col min="11016" max="11016" width="10.42578125" style="122" bestFit="1" customWidth="1"/>
    <col min="11017" max="11017" width="4.5703125" style="122" customWidth="1"/>
    <col min="11018" max="11018" width="1.85546875" style="122" customWidth="1"/>
    <col min="11019" max="11019" width="7" style="122" bestFit="1" customWidth="1"/>
    <col min="11020" max="11020" width="6.28515625" style="122" customWidth="1"/>
    <col min="11021" max="11021" width="20.42578125" style="122" customWidth="1"/>
    <col min="11022" max="11022" width="6.42578125" style="122" bestFit="1" customWidth="1"/>
    <col min="11023" max="11024" width="8.42578125" style="122"/>
    <col min="11025" max="11025" width="3.28515625" style="122" customWidth="1"/>
    <col min="11026" max="11264" width="8.42578125" style="122"/>
    <col min="11265" max="11265" width="10" style="122" bestFit="1" customWidth="1"/>
    <col min="11266" max="11266" width="44.28515625" style="122" bestFit="1" customWidth="1"/>
    <col min="11267" max="11267" width="10.42578125" style="122" bestFit="1" customWidth="1"/>
    <col min="11268" max="11268" width="10.42578125" style="122" customWidth="1"/>
    <col min="11269" max="11269" width="9.7109375" style="122" bestFit="1" customWidth="1"/>
    <col min="11270" max="11271" width="9.5703125" style="122" bestFit="1" customWidth="1"/>
    <col min="11272" max="11272" width="10.42578125" style="122" bestFit="1" customWidth="1"/>
    <col min="11273" max="11273" width="4.5703125" style="122" customWidth="1"/>
    <col min="11274" max="11274" width="1.85546875" style="122" customWidth="1"/>
    <col min="11275" max="11275" width="7" style="122" bestFit="1" customWidth="1"/>
    <col min="11276" max="11276" width="6.28515625" style="122" customWidth="1"/>
    <col min="11277" max="11277" width="20.42578125" style="122" customWidth="1"/>
    <col min="11278" max="11278" width="6.42578125" style="122" bestFit="1" customWidth="1"/>
    <col min="11279" max="11280" width="8.42578125" style="122"/>
    <col min="11281" max="11281" width="3.28515625" style="122" customWidth="1"/>
    <col min="11282" max="11520" width="8.42578125" style="122"/>
    <col min="11521" max="11521" width="10" style="122" bestFit="1" customWidth="1"/>
    <col min="11522" max="11522" width="44.28515625" style="122" bestFit="1" customWidth="1"/>
    <col min="11523" max="11523" width="10.42578125" style="122" bestFit="1" customWidth="1"/>
    <col min="11524" max="11524" width="10.42578125" style="122" customWidth="1"/>
    <col min="11525" max="11525" width="9.7109375" style="122" bestFit="1" customWidth="1"/>
    <col min="11526" max="11527" width="9.5703125" style="122" bestFit="1" customWidth="1"/>
    <col min="11528" max="11528" width="10.42578125" style="122" bestFit="1" customWidth="1"/>
    <col min="11529" max="11529" width="4.5703125" style="122" customWidth="1"/>
    <col min="11530" max="11530" width="1.85546875" style="122" customWidth="1"/>
    <col min="11531" max="11531" width="7" style="122" bestFit="1" customWidth="1"/>
    <col min="11532" max="11532" width="6.28515625" style="122" customWidth="1"/>
    <col min="11533" max="11533" width="20.42578125" style="122" customWidth="1"/>
    <col min="11534" max="11534" width="6.42578125" style="122" bestFit="1" customWidth="1"/>
    <col min="11535" max="11536" width="8.42578125" style="122"/>
    <col min="11537" max="11537" width="3.28515625" style="122" customWidth="1"/>
    <col min="11538" max="11776" width="8.42578125" style="122"/>
    <col min="11777" max="11777" width="10" style="122" bestFit="1" customWidth="1"/>
    <col min="11778" max="11778" width="44.28515625" style="122" bestFit="1" customWidth="1"/>
    <col min="11779" max="11779" width="10.42578125" style="122" bestFit="1" customWidth="1"/>
    <col min="11780" max="11780" width="10.42578125" style="122" customWidth="1"/>
    <col min="11781" max="11781" width="9.7109375" style="122" bestFit="1" customWidth="1"/>
    <col min="11782" max="11783" width="9.5703125" style="122" bestFit="1" customWidth="1"/>
    <col min="11784" max="11784" width="10.42578125" style="122" bestFit="1" customWidth="1"/>
    <col min="11785" max="11785" width="4.5703125" style="122" customWidth="1"/>
    <col min="11786" max="11786" width="1.85546875" style="122" customWidth="1"/>
    <col min="11787" max="11787" width="7" style="122" bestFit="1" customWidth="1"/>
    <col min="11788" max="11788" width="6.28515625" style="122" customWidth="1"/>
    <col min="11789" max="11789" width="20.42578125" style="122" customWidth="1"/>
    <col min="11790" max="11790" width="6.42578125" style="122" bestFit="1" customWidth="1"/>
    <col min="11791" max="11792" width="8.42578125" style="122"/>
    <col min="11793" max="11793" width="3.28515625" style="122" customWidth="1"/>
    <col min="11794" max="12032" width="8.42578125" style="122"/>
    <col min="12033" max="12033" width="10" style="122" bestFit="1" customWidth="1"/>
    <col min="12034" max="12034" width="44.28515625" style="122" bestFit="1" customWidth="1"/>
    <col min="12035" max="12035" width="10.42578125" style="122" bestFit="1" customWidth="1"/>
    <col min="12036" max="12036" width="10.42578125" style="122" customWidth="1"/>
    <col min="12037" max="12037" width="9.7109375" style="122" bestFit="1" customWidth="1"/>
    <col min="12038" max="12039" width="9.5703125" style="122" bestFit="1" customWidth="1"/>
    <col min="12040" max="12040" width="10.42578125" style="122" bestFit="1" customWidth="1"/>
    <col min="12041" max="12041" width="4.5703125" style="122" customWidth="1"/>
    <col min="12042" max="12042" width="1.85546875" style="122" customWidth="1"/>
    <col min="12043" max="12043" width="7" style="122" bestFit="1" customWidth="1"/>
    <col min="12044" max="12044" width="6.28515625" style="122" customWidth="1"/>
    <col min="12045" max="12045" width="20.42578125" style="122" customWidth="1"/>
    <col min="12046" max="12046" width="6.42578125" style="122" bestFit="1" customWidth="1"/>
    <col min="12047" max="12048" width="8.42578125" style="122"/>
    <col min="12049" max="12049" width="3.28515625" style="122" customWidth="1"/>
    <col min="12050" max="12288" width="8.42578125" style="122"/>
    <col min="12289" max="12289" width="10" style="122" bestFit="1" customWidth="1"/>
    <col min="12290" max="12290" width="44.28515625" style="122" bestFit="1" customWidth="1"/>
    <col min="12291" max="12291" width="10.42578125" style="122" bestFit="1" customWidth="1"/>
    <col min="12292" max="12292" width="10.42578125" style="122" customWidth="1"/>
    <col min="12293" max="12293" width="9.7109375" style="122" bestFit="1" customWidth="1"/>
    <col min="12294" max="12295" width="9.5703125" style="122" bestFit="1" customWidth="1"/>
    <col min="12296" max="12296" width="10.42578125" style="122" bestFit="1" customWidth="1"/>
    <col min="12297" max="12297" width="4.5703125" style="122" customWidth="1"/>
    <col min="12298" max="12298" width="1.85546875" style="122" customWidth="1"/>
    <col min="12299" max="12299" width="7" style="122" bestFit="1" customWidth="1"/>
    <col min="12300" max="12300" width="6.28515625" style="122" customWidth="1"/>
    <col min="12301" max="12301" width="20.42578125" style="122" customWidth="1"/>
    <col min="12302" max="12302" width="6.42578125" style="122" bestFit="1" customWidth="1"/>
    <col min="12303" max="12304" width="8.42578125" style="122"/>
    <col min="12305" max="12305" width="3.28515625" style="122" customWidth="1"/>
    <col min="12306" max="12544" width="8.42578125" style="122"/>
    <col min="12545" max="12545" width="10" style="122" bestFit="1" customWidth="1"/>
    <col min="12546" max="12546" width="44.28515625" style="122" bestFit="1" customWidth="1"/>
    <col min="12547" max="12547" width="10.42578125" style="122" bestFit="1" customWidth="1"/>
    <col min="12548" max="12548" width="10.42578125" style="122" customWidth="1"/>
    <col min="12549" max="12549" width="9.7109375" style="122" bestFit="1" customWidth="1"/>
    <col min="12550" max="12551" width="9.5703125" style="122" bestFit="1" customWidth="1"/>
    <col min="12552" max="12552" width="10.42578125" style="122" bestFit="1" customWidth="1"/>
    <col min="12553" max="12553" width="4.5703125" style="122" customWidth="1"/>
    <col min="12554" max="12554" width="1.85546875" style="122" customWidth="1"/>
    <col min="12555" max="12555" width="7" style="122" bestFit="1" customWidth="1"/>
    <col min="12556" max="12556" width="6.28515625" style="122" customWidth="1"/>
    <col min="12557" max="12557" width="20.42578125" style="122" customWidth="1"/>
    <col min="12558" max="12558" width="6.42578125" style="122" bestFit="1" customWidth="1"/>
    <col min="12559" max="12560" width="8.42578125" style="122"/>
    <col min="12561" max="12561" width="3.28515625" style="122" customWidth="1"/>
    <col min="12562" max="12800" width="8.42578125" style="122"/>
    <col min="12801" max="12801" width="10" style="122" bestFit="1" customWidth="1"/>
    <col min="12802" max="12802" width="44.28515625" style="122" bestFit="1" customWidth="1"/>
    <col min="12803" max="12803" width="10.42578125" style="122" bestFit="1" customWidth="1"/>
    <col min="12804" max="12804" width="10.42578125" style="122" customWidth="1"/>
    <col min="12805" max="12805" width="9.7109375" style="122" bestFit="1" customWidth="1"/>
    <col min="12806" max="12807" width="9.5703125" style="122" bestFit="1" customWidth="1"/>
    <col min="12808" max="12808" width="10.42578125" style="122" bestFit="1" customWidth="1"/>
    <col min="12809" max="12809" width="4.5703125" style="122" customWidth="1"/>
    <col min="12810" max="12810" width="1.85546875" style="122" customWidth="1"/>
    <col min="12811" max="12811" width="7" style="122" bestFit="1" customWidth="1"/>
    <col min="12812" max="12812" width="6.28515625" style="122" customWidth="1"/>
    <col min="12813" max="12813" width="20.42578125" style="122" customWidth="1"/>
    <col min="12814" max="12814" width="6.42578125" style="122" bestFit="1" customWidth="1"/>
    <col min="12815" max="12816" width="8.42578125" style="122"/>
    <col min="12817" max="12817" width="3.28515625" style="122" customWidth="1"/>
    <col min="12818" max="13056" width="8.42578125" style="122"/>
    <col min="13057" max="13057" width="10" style="122" bestFit="1" customWidth="1"/>
    <col min="13058" max="13058" width="44.28515625" style="122" bestFit="1" customWidth="1"/>
    <col min="13059" max="13059" width="10.42578125" style="122" bestFit="1" customWidth="1"/>
    <col min="13060" max="13060" width="10.42578125" style="122" customWidth="1"/>
    <col min="13061" max="13061" width="9.7109375" style="122" bestFit="1" customWidth="1"/>
    <col min="13062" max="13063" width="9.5703125" style="122" bestFit="1" customWidth="1"/>
    <col min="13064" max="13064" width="10.42578125" style="122" bestFit="1" customWidth="1"/>
    <col min="13065" max="13065" width="4.5703125" style="122" customWidth="1"/>
    <col min="13066" max="13066" width="1.85546875" style="122" customWidth="1"/>
    <col min="13067" max="13067" width="7" style="122" bestFit="1" customWidth="1"/>
    <col min="13068" max="13068" width="6.28515625" style="122" customWidth="1"/>
    <col min="13069" max="13069" width="20.42578125" style="122" customWidth="1"/>
    <col min="13070" max="13070" width="6.42578125" style="122" bestFit="1" customWidth="1"/>
    <col min="13071" max="13072" width="8.42578125" style="122"/>
    <col min="13073" max="13073" width="3.28515625" style="122" customWidth="1"/>
    <col min="13074" max="13312" width="8.42578125" style="122"/>
    <col min="13313" max="13313" width="10" style="122" bestFit="1" customWidth="1"/>
    <col min="13314" max="13314" width="44.28515625" style="122" bestFit="1" customWidth="1"/>
    <col min="13315" max="13315" width="10.42578125" style="122" bestFit="1" customWidth="1"/>
    <col min="13316" max="13316" width="10.42578125" style="122" customWidth="1"/>
    <col min="13317" max="13317" width="9.7109375" style="122" bestFit="1" customWidth="1"/>
    <col min="13318" max="13319" width="9.5703125" style="122" bestFit="1" customWidth="1"/>
    <col min="13320" max="13320" width="10.42578125" style="122" bestFit="1" customWidth="1"/>
    <col min="13321" max="13321" width="4.5703125" style="122" customWidth="1"/>
    <col min="13322" max="13322" width="1.85546875" style="122" customWidth="1"/>
    <col min="13323" max="13323" width="7" style="122" bestFit="1" customWidth="1"/>
    <col min="13324" max="13324" width="6.28515625" style="122" customWidth="1"/>
    <col min="13325" max="13325" width="20.42578125" style="122" customWidth="1"/>
    <col min="13326" max="13326" width="6.42578125" style="122" bestFit="1" customWidth="1"/>
    <col min="13327" max="13328" width="8.42578125" style="122"/>
    <col min="13329" max="13329" width="3.28515625" style="122" customWidth="1"/>
    <col min="13330" max="13568" width="8.42578125" style="122"/>
    <col min="13569" max="13569" width="10" style="122" bestFit="1" customWidth="1"/>
    <col min="13570" max="13570" width="44.28515625" style="122" bestFit="1" customWidth="1"/>
    <col min="13571" max="13571" width="10.42578125" style="122" bestFit="1" customWidth="1"/>
    <col min="13572" max="13572" width="10.42578125" style="122" customWidth="1"/>
    <col min="13573" max="13573" width="9.7109375" style="122" bestFit="1" customWidth="1"/>
    <col min="13574" max="13575" width="9.5703125" style="122" bestFit="1" customWidth="1"/>
    <col min="13576" max="13576" width="10.42578125" style="122" bestFit="1" customWidth="1"/>
    <col min="13577" max="13577" width="4.5703125" style="122" customWidth="1"/>
    <col min="13578" max="13578" width="1.85546875" style="122" customWidth="1"/>
    <col min="13579" max="13579" width="7" style="122" bestFit="1" customWidth="1"/>
    <col min="13580" max="13580" width="6.28515625" style="122" customWidth="1"/>
    <col min="13581" max="13581" width="20.42578125" style="122" customWidth="1"/>
    <col min="13582" max="13582" width="6.42578125" style="122" bestFit="1" customWidth="1"/>
    <col min="13583" max="13584" width="8.42578125" style="122"/>
    <col min="13585" max="13585" width="3.28515625" style="122" customWidth="1"/>
    <col min="13586" max="13824" width="8.42578125" style="122"/>
    <col min="13825" max="13825" width="10" style="122" bestFit="1" customWidth="1"/>
    <col min="13826" max="13826" width="44.28515625" style="122" bestFit="1" customWidth="1"/>
    <col min="13827" max="13827" width="10.42578125" style="122" bestFit="1" customWidth="1"/>
    <col min="13828" max="13828" width="10.42578125" style="122" customWidth="1"/>
    <col min="13829" max="13829" width="9.7109375" style="122" bestFit="1" customWidth="1"/>
    <col min="13830" max="13831" width="9.5703125" style="122" bestFit="1" customWidth="1"/>
    <col min="13832" max="13832" width="10.42578125" style="122" bestFit="1" customWidth="1"/>
    <col min="13833" max="13833" width="4.5703125" style="122" customWidth="1"/>
    <col min="13834" max="13834" width="1.85546875" style="122" customWidth="1"/>
    <col min="13835" max="13835" width="7" style="122" bestFit="1" customWidth="1"/>
    <col min="13836" max="13836" width="6.28515625" style="122" customWidth="1"/>
    <col min="13837" max="13837" width="20.42578125" style="122" customWidth="1"/>
    <col min="13838" max="13838" width="6.42578125" style="122" bestFit="1" customWidth="1"/>
    <col min="13839" max="13840" width="8.42578125" style="122"/>
    <col min="13841" max="13841" width="3.28515625" style="122" customWidth="1"/>
    <col min="13842" max="14080" width="8.42578125" style="122"/>
    <col min="14081" max="14081" width="10" style="122" bestFit="1" customWidth="1"/>
    <col min="14082" max="14082" width="44.28515625" style="122" bestFit="1" customWidth="1"/>
    <col min="14083" max="14083" width="10.42578125" style="122" bestFit="1" customWidth="1"/>
    <col min="14084" max="14084" width="10.42578125" style="122" customWidth="1"/>
    <col min="14085" max="14085" width="9.7109375" style="122" bestFit="1" customWidth="1"/>
    <col min="14086" max="14087" width="9.5703125" style="122" bestFit="1" customWidth="1"/>
    <col min="14088" max="14088" width="10.42578125" style="122" bestFit="1" customWidth="1"/>
    <col min="14089" max="14089" width="4.5703125" style="122" customWidth="1"/>
    <col min="14090" max="14090" width="1.85546875" style="122" customWidth="1"/>
    <col min="14091" max="14091" width="7" style="122" bestFit="1" customWidth="1"/>
    <col min="14092" max="14092" width="6.28515625" style="122" customWidth="1"/>
    <col min="14093" max="14093" width="20.42578125" style="122" customWidth="1"/>
    <col min="14094" max="14094" width="6.42578125" style="122" bestFit="1" customWidth="1"/>
    <col min="14095" max="14096" width="8.42578125" style="122"/>
    <col min="14097" max="14097" width="3.28515625" style="122" customWidth="1"/>
    <col min="14098" max="14336" width="8.42578125" style="122"/>
    <col min="14337" max="14337" width="10" style="122" bestFit="1" customWidth="1"/>
    <col min="14338" max="14338" width="44.28515625" style="122" bestFit="1" customWidth="1"/>
    <col min="14339" max="14339" width="10.42578125" style="122" bestFit="1" customWidth="1"/>
    <col min="14340" max="14340" width="10.42578125" style="122" customWidth="1"/>
    <col min="14341" max="14341" width="9.7109375" style="122" bestFit="1" customWidth="1"/>
    <col min="14342" max="14343" width="9.5703125" style="122" bestFit="1" customWidth="1"/>
    <col min="14344" max="14344" width="10.42578125" style="122" bestFit="1" customWidth="1"/>
    <col min="14345" max="14345" width="4.5703125" style="122" customWidth="1"/>
    <col min="14346" max="14346" width="1.85546875" style="122" customWidth="1"/>
    <col min="14347" max="14347" width="7" style="122" bestFit="1" customWidth="1"/>
    <col min="14348" max="14348" width="6.28515625" style="122" customWidth="1"/>
    <col min="14349" max="14349" width="20.42578125" style="122" customWidth="1"/>
    <col min="14350" max="14350" width="6.42578125" style="122" bestFit="1" customWidth="1"/>
    <col min="14351" max="14352" width="8.42578125" style="122"/>
    <col min="14353" max="14353" width="3.28515625" style="122" customWidth="1"/>
    <col min="14354" max="14592" width="8.42578125" style="122"/>
    <col min="14593" max="14593" width="10" style="122" bestFit="1" customWidth="1"/>
    <col min="14594" max="14594" width="44.28515625" style="122" bestFit="1" customWidth="1"/>
    <col min="14595" max="14595" width="10.42578125" style="122" bestFit="1" customWidth="1"/>
    <col min="14596" max="14596" width="10.42578125" style="122" customWidth="1"/>
    <col min="14597" max="14597" width="9.7109375" style="122" bestFit="1" customWidth="1"/>
    <col min="14598" max="14599" width="9.5703125" style="122" bestFit="1" customWidth="1"/>
    <col min="14600" max="14600" width="10.42578125" style="122" bestFit="1" customWidth="1"/>
    <col min="14601" max="14601" width="4.5703125" style="122" customWidth="1"/>
    <col min="14602" max="14602" width="1.85546875" style="122" customWidth="1"/>
    <col min="14603" max="14603" width="7" style="122" bestFit="1" customWidth="1"/>
    <col min="14604" max="14604" width="6.28515625" style="122" customWidth="1"/>
    <col min="14605" max="14605" width="20.42578125" style="122" customWidth="1"/>
    <col min="14606" max="14606" width="6.42578125" style="122" bestFit="1" customWidth="1"/>
    <col min="14607" max="14608" width="8.42578125" style="122"/>
    <col min="14609" max="14609" width="3.28515625" style="122" customWidth="1"/>
    <col min="14610" max="14848" width="8.42578125" style="122"/>
    <col min="14849" max="14849" width="10" style="122" bestFit="1" customWidth="1"/>
    <col min="14850" max="14850" width="44.28515625" style="122" bestFit="1" customWidth="1"/>
    <col min="14851" max="14851" width="10.42578125" style="122" bestFit="1" customWidth="1"/>
    <col min="14852" max="14852" width="10.42578125" style="122" customWidth="1"/>
    <col min="14853" max="14853" width="9.7109375" style="122" bestFit="1" customWidth="1"/>
    <col min="14854" max="14855" width="9.5703125" style="122" bestFit="1" customWidth="1"/>
    <col min="14856" max="14856" width="10.42578125" style="122" bestFit="1" customWidth="1"/>
    <col min="14857" max="14857" width="4.5703125" style="122" customWidth="1"/>
    <col min="14858" max="14858" width="1.85546875" style="122" customWidth="1"/>
    <col min="14859" max="14859" width="7" style="122" bestFit="1" customWidth="1"/>
    <col min="14860" max="14860" width="6.28515625" style="122" customWidth="1"/>
    <col min="14861" max="14861" width="20.42578125" style="122" customWidth="1"/>
    <col min="14862" max="14862" width="6.42578125" style="122" bestFit="1" customWidth="1"/>
    <col min="14863" max="14864" width="8.42578125" style="122"/>
    <col min="14865" max="14865" width="3.28515625" style="122" customWidth="1"/>
    <col min="14866" max="15104" width="8.42578125" style="122"/>
    <col min="15105" max="15105" width="10" style="122" bestFit="1" customWidth="1"/>
    <col min="15106" max="15106" width="44.28515625" style="122" bestFit="1" customWidth="1"/>
    <col min="15107" max="15107" width="10.42578125" style="122" bestFit="1" customWidth="1"/>
    <col min="15108" max="15108" width="10.42578125" style="122" customWidth="1"/>
    <col min="15109" max="15109" width="9.7109375" style="122" bestFit="1" customWidth="1"/>
    <col min="15110" max="15111" width="9.5703125" style="122" bestFit="1" customWidth="1"/>
    <col min="15112" max="15112" width="10.42578125" style="122" bestFit="1" customWidth="1"/>
    <col min="15113" max="15113" width="4.5703125" style="122" customWidth="1"/>
    <col min="15114" max="15114" width="1.85546875" style="122" customWidth="1"/>
    <col min="15115" max="15115" width="7" style="122" bestFit="1" customWidth="1"/>
    <col min="15116" max="15116" width="6.28515625" style="122" customWidth="1"/>
    <col min="15117" max="15117" width="20.42578125" style="122" customWidth="1"/>
    <col min="15118" max="15118" width="6.42578125" style="122" bestFit="1" customWidth="1"/>
    <col min="15119" max="15120" width="8.42578125" style="122"/>
    <col min="15121" max="15121" width="3.28515625" style="122" customWidth="1"/>
    <col min="15122" max="15360" width="8.42578125" style="122"/>
    <col min="15361" max="15361" width="10" style="122" bestFit="1" customWidth="1"/>
    <col min="15362" max="15362" width="44.28515625" style="122" bestFit="1" customWidth="1"/>
    <col min="15363" max="15363" width="10.42578125" style="122" bestFit="1" customWidth="1"/>
    <col min="15364" max="15364" width="10.42578125" style="122" customWidth="1"/>
    <col min="15365" max="15365" width="9.7109375" style="122" bestFit="1" customWidth="1"/>
    <col min="15366" max="15367" width="9.5703125" style="122" bestFit="1" customWidth="1"/>
    <col min="15368" max="15368" width="10.42578125" style="122" bestFit="1" customWidth="1"/>
    <col min="15369" max="15369" width="4.5703125" style="122" customWidth="1"/>
    <col min="15370" max="15370" width="1.85546875" style="122" customWidth="1"/>
    <col min="15371" max="15371" width="7" style="122" bestFit="1" customWidth="1"/>
    <col min="15372" max="15372" width="6.28515625" style="122" customWidth="1"/>
    <col min="15373" max="15373" width="20.42578125" style="122" customWidth="1"/>
    <col min="15374" max="15374" width="6.42578125" style="122" bestFit="1" customWidth="1"/>
    <col min="15375" max="15376" width="8.42578125" style="122"/>
    <col min="15377" max="15377" width="3.28515625" style="122" customWidth="1"/>
    <col min="15378" max="15616" width="8.42578125" style="122"/>
    <col min="15617" max="15617" width="10" style="122" bestFit="1" customWidth="1"/>
    <col min="15618" max="15618" width="44.28515625" style="122" bestFit="1" customWidth="1"/>
    <col min="15619" max="15619" width="10.42578125" style="122" bestFit="1" customWidth="1"/>
    <col min="15620" max="15620" width="10.42578125" style="122" customWidth="1"/>
    <col min="15621" max="15621" width="9.7109375" style="122" bestFit="1" customWidth="1"/>
    <col min="15622" max="15623" width="9.5703125" style="122" bestFit="1" customWidth="1"/>
    <col min="15624" max="15624" width="10.42578125" style="122" bestFit="1" customWidth="1"/>
    <col min="15625" max="15625" width="4.5703125" style="122" customWidth="1"/>
    <col min="15626" max="15626" width="1.85546875" style="122" customWidth="1"/>
    <col min="15627" max="15627" width="7" style="122" bestFit="1" customWidth="1"/>
    <col min="15628" max="15628" width="6.28515625" style="122" customWidth="1"/>
    <col min="15629" max="15629" width="20.42578125" style="122" customWidth="1"/>
    <col min="15630" max="15630" width="6.42578125" style="122" bestFit="1" customWidth="1"/>
    <col min="15631" max="15632" width="8.42578125" style="122"/>
    <col min="15633" max="15633" width="3.28515625" style="122" customWidth="1"/>
    <col min="15634" max="15872" width="8.42578125" style="122"/>
    <col min="15873" max="15873" width="10" style="122" bestFit="1" customWidth="1"/>
    <col min="15874" max="15874" width="44.28515625" style="122" bestFit="1" customWidth="1"/>
    <col min="15875" max="15875" width="10.42578125" style="122" bestFit="1" customWidth="1"/>
    <col min="15876" max="15876" width="10.42578125" style="122" customWidth="1"/>
    <col min="15877" max="15877" width="9.7109375" style="122" bestFit="1" customWidth="1"/>
    <col min="15878" max="15879" width="9.5703125" style="122" bestFit="1" customWidth="1"/>
    <col min="15880" max="15880" width="10.42578125" style="122" bestFit="1" customWidth="1"/>
    <col min="15881" max="15881" width="4.5703125" style="122" customWidth="1"/>
    <col min="15882" max="15882" width="1.85546875" style="122" customWidth="1"/>
    <col min="15883" max="15883" width="7" style="122" bestFit="1" customWidth="1"/>
    <col min="15884" max="15884" width="6.28515625" style="122" customWidth="1"/>
    <col min="15885" max="15885" width="20.42578125" style="122" customWidth="1"/>
    <col min="15886" max="15886" width="6.42578125" style="122" bestFit="1" customWidth="1"/>
    <col min="15887" max="15888" width="8.42578125" style="122"/>
    <col min="15889" max="15889" width="3.28515625" style="122" customWidth="1"/>
    <col min="15890" max="16128" width="8.42578125" style="122"/>
    <col min="16129" max="16129" width="10" style="122" bestFit="1" customWidth="1"/>
    <col min="16130" max="16130" width="44.28515625" style="122" bestFit="1" customWidth="1"/>
    <col min="16131" max="16131" width="10.42578125" style="122" bestFit="1" customWidth="1"/>
    <col min="16132" max="16132" width="10.42578125" style="122" customWidth="1"/>
    <col min="16133" max="16133" width="9.7109375" style="122" bestFit="1" customWidth="1"/>
    <col min="16134" max="16135" width="9.5703125" style="122" bestFit="1" customWidth="1"/>
    <col min="16136" max="16136" width="10.42578125" style="122" bestFit="1" customWidth="1"/>
    <col min="16137" max="16137" width="4.5703125" style="122" customWidth="1"/>
    <col min="16138" max="16138" width="1.85546875" style="122" customWidth="1"/>
    <col min="16139" max="16139" width="7" style="122" bestFit="1" customWidth="1"/>
    <col min="16140" max="16140" width="6.28515625" style="122" customWidth="1"/>
    <col min="16141" max="16141" width="20.42578125" style="122" customWidth="1"/>
    <col min="16142" max="16142" width="6.42578125" style="122" bestFit="1" customWidth="1"/>
    <col min="16143" max="16144" width="8.42578125" style="122"/>
    <col min="16145" max="16145" width="3.28515625" style="122" customWidth="1"/>
    <col min="16146" max="16384" width="8.42578125" style="122"/>
  </cols>
  <sheetData>
    <row r="1" spans="1:10" ht="27.75" customHeight="1" x14ac:dyDescent="0.25">
      <c r="A1" s="117"/>
      <c r="B1" s="117"/>
      <c r="C1" s="117"/>
      <c r="D1" s="117"/>
      <c r="E1" s="118" t="s">
        <v>93</v>
      </c>
      <c r="F1" s="119" t="s">
        <v>94</v>
      </c>
      <c r="G1" s="119" t="s">
        <v>95</v>
      </c>
      <c r="H1" s="119" t="s">
        <v>96</v>
      </c>
      <c r="I1" s="120"/>
    </row>
    <row r="2" spans="1:10" ht="30.75" customHeight="1" x14ac:dyDescent="0.25">
      <c r="A2" s="117"/>
      <c r="B2" s="117"/>
      <c r="C2" s="117"/>
      <c r="D2" s="117"/>
      <c r="E2" s="123">
        <f>IFERROR(O62,"")</f>
        <v>1584.187427424084</v>
      </c>
      <c r="F2" s="123">
        <f>IFERROR(H53,"")</f>
        <v>1549.2094973262028</v>
      </c>
      <c r="G2" s="123">
        <f>IFERROR(H54,"")</f>
        <v>30.08753812804278</v>
      </c>
      <c r="H2" s="123">
        <f>IFERROR(H56,"")</f>
        <v>96.061270836106857</v>
      </c>
      <c r="I2" s="124"/>
    </row>
    <row r="3" spans="1:10" ht="15" customHeight="1" x14ac:dyDescent="0.25">
      <c r="A3" s="117"/>
      <c r="B3" s="117"/>
      <c r="C3" s="117"/>
      <c r="D3" s="117"/>
      <c r="E3" s="117"/>
      <c r="F3" s="125"/>
      <c r="G3" s="125"/>
      <c r="H3" s="125"/>
      <c r="I3" s="125"/>
    </row>
    <row r="4" spans="1:10" ht="24.75" customHeight="1" thickBot="1" x14ac:dyDescent="0.3">
      <c r="A4" s="437"/>
      <c r="B4" s="437"/>
      <c r="C4" s="437"/>
      <c r="D4" s="437"/>
      <c r="E4" s="437"/>
      <c r="F4" s="437"/>
      <c r="G4" s="437"/>
      <c r="H4" s="437"/>
      <c r="I4" s="126"/>
    </row>
    <row r="5" spans="1:10" ht="19.5" customHeight="1" thickBot="1" x14ac:dyDescent="0.3">
      <c r="A5" s="438" t="s">
        <v>97</v>
      </c>
      <c r="B5" s="439"/>
      <c r="C5" s="439"/>
      <c r="D5" s="439"/>
      <c r="E5" s="439"/>
      <c r="F5" s="439"/>
      <c r="G5" s="439"/>
      <c r="H5" s="440"/>
      <c r="I5" s="127"/>
    </row>
    <row r="6" spans="1:10" ht="19.5" thickBot="1" x14ac:dyDescent="0.3">
      <c r="A6" s="127"/>
      <c r="B6" s="127"/>
      <c r="C6" s="127"/>
      <c r="D6" s="127"/>
      <c r="E6" s="127"/>
      <c r="F6" s="441" t="s">
        <v>98</v>
      </c>
      <c r="G6" s="441"/>
      <c r="H6" s="128">
        <f ca="1">TODAY()</f>
        <v>45887</v>
      </c>
      <c r="I6" s="128"/>
    </row>
    <row r="7" spans="1:10" ht="26.25" hidden="1" thickBot="1" x14ac:dyDescent="0.3">
      <c r="A7" s="129" t="s">
        <v>99</v>
      </c>
      <c r="B7" s="130" t="s">
        <v>100</v>
      </c>
      <c r="C7" s="130" t="s">
        <v>99</v>
      </c>
      <c r="D7" s="131" t="s">
        <v>101</v>
      </c>
      <c r="E7" s="131" t="s">
        <v>102</v>
      </c>
      <c r="F7" s="131" t="s">
        <v>103</v>
      </c>
      <c r="G7" s="131" t="s">
        <v>104</v>
      </c>
      <c r="H7" s="132" t="s">
        <v>105</v>
      </c>
      <c r="I7" s="133"/>
    </row>
    <row r="8" spans="1:10" ht="14.25" hidden="1" thickBot="1" x14ac:dyDescent="0.3">
      <c r="A8" s="134"/>
      <c r="B8" s="122" t="str">
        <f>IFERROR(VLOOKUP(H8,'[1]Consolidado MP Planta'!$A$2:$M$823,3,0),"")</f>
        <v/>
      </c>
      <c r="C8" s="135">
        <f>+A8</f>
        <v>0</v>
      </c>
      <c r="D8" s="136" t="str">
        <f>IFERROR(VLOOKUP(H8,'[1]Consolidado MP Planta'!$A$2:$M$823,13,0),"")</f>
        <v/>
      </c>
      <c r="E8" s="136" t="str">
        <f>IFERROR(VLOOKUP(H8,'[1]Consolidado MP Planta'!$A$2:$M$823,12,0),"")</f>
        <v/>
      </c>
      <c r="F8" s="136" t="str">
        <f>IFERROR(C8*E8,"")</f>
        <v/>
      </c>
      <c r="G8" s="99" t="str">
        <f t="shared" ref="G8:G14" si="0">IFERROR(F8/$F$66,"")</f>
        <v/>
      </c>
      <c r="H8" s="137"/>
      <c r="I8" s="137"/>
      <c r="J8" s="100"/>
    </row>
    <row r="9" spans="1:10" ht="14.25" hidden="1" thickBot="1" x14ac:dyDescent="0.3">
      <c r="A9" s="134"/>
      <c r="B9" s="122" t="str">
        <f>IFERROR(VLOOKUP(H9,'[1]Consolidado MP Planta'!$A$2:$M$823,3,0),"")</f>
        <v/>
      </c>
      <c r="C9" s="135">
        <f t="shared" ref="C9:C14" si="1">+A9</f>
        <v>0</v>
      </c>
      <c r="D9" s="136" t="str">
        <f>IFERROR(VLOOKUP(H9,'[1]Consolidado MP Planta'!$A$2:$M$823,13,0),"")</f>
        <v/>
      </c>
      <c r="E9" s="136" t="str">
        <f>IFERROR(VLOOKUP(H9,'[1]Consolidado MP Planta'!$A$2:$M$823,12,0),"")</f>
        <v/>
      </c>
      <c r="F9" s="136" t="str">
        <f t="shared" ref="F9:F14" si="2">IFERROR(C9*E9,"")</f>
        <v/>
      </c>
      <c r="G9" s="99" t="str">
        <f t="shared" si="0"/>
        <v/>
      </c>
      <c r="H9" s="137"/>
      <c r="I9" s="137"/>
      <c r="J9" s="100"/>
    </row>
    <row r="10" spans="1:10" ht="14.25" hidden="1" thickBot="1" x14ac:dyDescent="0.3">
      <c r="A10" s="134"/>
      <c r="B10" s="122" t="str">
        <f>IFERROR(VLOOKUP(H10,'[1]Consolidado MP Planta'!$A$2:$M$823,3,0),"")</f>
        <v/>
      </c>
      <c r="C10" s="135">
        <f t="shared" si="1"/>
        <v>0</v>
      </c>
      <c r="D10" s="136" t="str">
        <f>IFERROR(VLOOKUP(H10,'[1]Consolidado MP Planta'!$A$2:$M$823,13,0),"")</f>
        <v/>
      </c>
      <c r="E10" s="136" t="str">
        <f>IFERROR(VLOOKUP(H10,'[1]Consolidado MP Planta'!$A$2:$M$823,12,0),"")</f>
        <v/>
      </c>
      <c r="F10" s="136" t="str">
        <f t="shared" si="2"/>
        <v/>
      </c>
      <c r="G10" s="99" t="str">
        <f t="shared" si="0"/>
        <v/>
      </c>
      <c r="H10" s="137"/>
      <c r="I10" s="137"/>
      <c r="J10" s="100"/>
    </row>
    <row r="11" spans="1:10" ht="14.25" hidden="1" thickBot="1" x14ac:dyDescent="0.3">
      <c r="A11" s="134"/>
      <c r="B11" s="122" t="str">
        <f>IFERROR(VLOOKUP(H11,'[1]Consolidado MP Planta'!$A$2:$M$823,3,0),"")</f>
        <v/>
      </c>
      <c r="C11" s="135">
        <f t="shared" si="1"/>
        <v>0</v>
      </c>
      <c r="D11" s="136" t="str">
        <f>IFERROR(VLOOKUP(H11,'[1]Consolidado MP Planta'!$A$2:$M$823,13,0),"")</f>
        <v/>
      </c>
      <c r="E11" s="136" t="str">
        <f>IFERROR(VLOOKUP(H11,'[1]Consolidado MP Planta'!$A$2:$M$823,12,0),"")</f>
        <v/>
      </c>
      <c r="F11" s="136" t="str">
        <f t="shared" si="2"/>
        <v/>
      </c>
      <c r="G11" s="99" t="str">
        <f t="shared" si="0"/>
        <v/>
      </c>
      <c r="H11" s="137"/>
      <c r="I11" s="137"/>
      <c r="J11" s="100"/>
    </row>
    <row r="12" spans="1:10" ht="14.25" hidden="1" thickBot="1" x14ac:dyDescent="0.3">
      <c r="A12" s="134"/>
      <c r="B12" s="122" t="str">
        <f>IFERROR(VLOOKUP(H12,'[1]Consolidado MP Planta'!$A$2:$M$823,3,0),"")</f>
        <v/>
      </c>
      <c r="C12" s="135">
        <f t="shared" si="1"/>
        <v>0</v>
      </c>
      <c r="D12" s="136" t="str">
        <f>IFERROR(VLOOKUP(H12,'[1]Consolidado MP Planta'!$A$2:$M$823,13,0),"")</f>
        <v/>
      </c>
      <c r="E12" s="136" t="str">
        <f>IFERROR(VLOOKUP(H12,'[1]Consolidado MP Planta'!$A$2:$M$823,12,0),"")</f>
        <v/>
      </c>
      <c r="F12" s="136" t="str">
        <f t="shared" si="2"/>
        <v/>
      </c>
      <c r="G12" s="99" t="str">
        <f t="shared" si="0"/>
        <v/>
      </c>
      <c r="H12" s="137"/>
      <c r="I12" s="137"/>
      <c r="J12" s="100"/>
    </row>
    <row r="13" spans="1:10" ht="14.25" hidden="1" thickBot="1" x14ac:dyDescent="0.3">
      <c r="A13" s="134"/>
      <c r="B13" s="122" t="str">
        <f>IFERROR(VLOOKUP(H13,'[1]Consolidado MP Planta'!$A$2:$M$823,3,0),"")</f>
        <v/>
      </c>
      <c r="C13" s="135">
        <f t="shared" si="1"/>
        <v>0</v>
      </c>
      <c r="D13" s="136" t="str">
        <f>IFERROR(VLOOKUP(H13,'[1]Consolidado MP Planta'!$A$2:$M$823,13,0),"")</f>
        <v/>
      </c>
      <c r="E13" s="136" t="str">
        <f>IFERROR(VLOOKUP(H13,'[1]Consolidado MP Planta'!$A$2:$M$823,12,0),"")</f>
        <v/>
      </c>
      <c r="F13" s="136" t="str">
        <f t="shared" si="2"/>
        <v/>
      </c>
      <c r="G13" s="99" t="str">
        <f t="shared" si="0"/>
        <v/>
      </c>
      <c r="H13" s="137"/>
      <c r="I13" s="137"/>
      <c r="J13" s="100"/>
    </row>
    <row r="14" spans="1:10" ht="14.25" hidden="1" thickBot="1" x14ac:dyDescent="0.3">
      <c r="A14" s="134"/>
      <c r="B14" s="122" t="str">
        <f>IFERROR(VLOOKUP(H14,'[1]Consolidado MP Planta'!$A$2:$M$823,3,0),"")</f>
        <v/>
      </c>
      <c r="C14" s="135">
        <f t="shared" si="1"/>
        <v>0</v>
      </c>
      <c r="D14" s="136" t="str">
        <f>IFERROR(VLOOKUP(H14,'[1]Consolidado MP Planta'!$A$2:$M$823,13,0),"")</f>
        <v/>
      </c>
      <c r="E14" s="136" t="str">
        <f>IFERROR(VLOOKUP(H14,'[1]Consolidado MP Planta'!$A$2:$M$823,12,0),"")</f>
        <v/>
      </c>
      <c r="F14" s="136" t="str">
        <f t="shared" si="2"/>
        <v/>
      </c>
      <c r="G14" s="99" t="str">
        <f t="shared" si="0"/>
        <v/>
      </c>
      <c r="H14" s="137"/>
      <c r="I14" s="137"/>
      <c r="J14" s="100"/>
    </row>
    <row r="15" spans="1:10" ht="14.25" hidden="1" thickBot="1" x14ac:dyDescent="0.3">
      <c r="A15" s="134"/>
      <c r="B15" s="122" t="str">
        <f>IFERROR(VLOOKUP(H15,'[2]ARTICULOS MP PLANTA'!$A$2:$G$589,2,0),"")</f>
        <v/>
      </c>
      <c r="C15" s="135"/>
      <c r="D15" s="136"/>
      <c r="E15" s="136"/>
      <c r="F15" s="136"/>
      <c r="G15" s="99"/>
      <c r="H15" s="137"/>
      <c r="I15" s="137"/>
      <c r="J15" s="100"/>
    </row>
    <row r="16" spans="1:10" ht="26.25" thickBot="1" x14ac:dyDescent="0.3">
      <c r="A16" s="129" t="s">
        <v>99</v>
      </c>
      <c r="B16" s="130" t="s">
        <v>106</v>
      </c>
      <c r="C16" s="130" t="s">
        <v>99</v>
      </c>
      <c r="D16" s="131" t="s">
        <v>101</v>
      </c>
      <c r="E16" s="131" t="s">
        <v>102</v>
      </c>
      <c r="F16" s="131" t="s">
        <v>103</v>
      </c>
      <c r="G16" s="131" t="s">
        <v>104</v>
      </c>
      <c r="H16" s="132" t="s">
        <v>105</v>
      </c>
      <c r="I16" s="133"/>
      <c r="J16" s="100"/>
    </row>
    <row r="17" spans="1:12" ht="13.5" x14ac:dyDescent="0.25">
      <c r="A17" s="134">
        <v>47400</v>
      </c>
      <c r="B17" s="122" t="s">
        <v>21</v>
      </c>
      <c r="C17" s="135">
        <f>+A17</f>
        <v>47400</v>
      </c>
      <c r="D17" s="135" t="s">
        <v>107</v>
      </c>
      <c r="E17" s="136">
        <v>1.1499999999999999</v>
      </c>
      <c r="F17" s="136">
        <f>IFERROR(E17*C17,"")</f>
        <v>54509.999999999993</v>
      </c>
      <c r="G17" s="99">
        <f t="shared" ref="G17:G24" si="3">IFERROR(F17/$F$66,"")</f>
        <v>0.85384738357178835</v>
      </c>
      <c r="H17" s="137" t="s">
        <v>108</v>
      </c>
      <c r="I17" s="137"/>
      <c r="J17" s="100"/>
    </row>
    <row r="18" spans="1:12" ht="13.5" x14ac:dyDescent="0.25">
      <c r="A18" s="134">
        <v>2380</v>
      </c>
      <c r="B18" s="122" t="str">
        <f>IFERROR(VLOOKUP(H18,[1]SEMIELABORADOS!$A$2:$M$6000,2,0),"")</f>
        <v>MEZCLA P/ENGRASE MOLDES KILO</v>
      </c>
      <c r="C18" s="135">
        <f t="shared" ref="C18:C24" si="4">+A18</f>
        <v>2380</v>
      </c>
      <c r="D18" s="135" t="str">
        <f>IFERROR(VLOOKUP(H18,[1]SEMIELABORADOS!$A$2:$M$6000,6,0),"")</f>
        <v>Gramo</v>
      </c>
      <c r="E18" s="136">
        <v>2.04</v>
      </c>
      <c r="F18" s="136">
        <f t="shared" ref="F18:F24" si="5">IFERROR(E18*C18,"")</f>
        <v>4855.2</v>
      </c>
      <c r="G18" s="99">
        <f t="shared" si="3"/>
        <v>7.6052097169652305E-2</v>
      </c>
      <c r="H18" s="137" t="s">
        <v>109</v>
      </c>
      <c r="I18" s="137"/>
      <c r="J18" s="100"/>
    </row>
    <row r="19" spans="1:12" ht="13.5" hidden="1" x14ac:dyDescent="0.25">
      <c r="A19" s="134"/>
      <c r="B19" s="122" t="str">
        <f>IFERROR(VLOOKUP(H19,[1]SEMIELABORADOS!$A$2:$M$6000,2,0),"")</f>
        <v/>
      </c>
      <c r="C19" s="135">
        <f>+A19</f>
        <v>0</v>
      </c>
      <c r="D19" s="135" t="str">
        <f>IFERROR(VLOOKUP(H19,[1]SEMIELABORADOS!$A$2:$M$6000,6,0),"")</f>
        <v/>
      </c>
      <c r="E19" s="136" t="str">
        <f>IFERROR(VLOOKUP(H19,[1]SEMIELABORADOS!$A$2:$H$65536,8,0),"")</f>
        <v/>
      </c>
      <c r="F19" s="136" t="str">
        <f>IFERROR(E19*C19,"")</f>
        <v/>
      </c>
      <c r="G19" s="99" t="str">
        <f t="shared" si="3"/>
        <v/>
      </c>
      <c r="H19" s="137"/>
      <c r="I19" s="137"/>
      <c r="J19" s="100"/>
    </row>
    <row r="20" spans="1:12" ht="13.5" hidden="1" x14ac:dyDescent="0.25">
      <c r="A20" s="134"/>
      <c r="B20" s="122" t="str">
        <f>IFERROR(VLOOKUP(H20,[1]SEMIELABORADOS!$A$2:$M$6000,2,0),"")</f>
        <v/>
      </c>
      <c r="C20" s="135">
        <f>+A20</f>
        <v>0</v>
      </c>
      <c r="D20" s="135" t="str">
        <f>IFERROR(VLOOKUP(H20,[1]SEMIELABORADOS!$A$2:$M$6000,6,0),"")</f>
        <v/>
      </c>
      <c r="E20" s="136" t="str">
        <f>IFERROR(VLOOKUP(H20,[1]SEMIELABORADOS!$A$2:$H$65536,8,0),"")</f>
        <v/>
      </c>
      <c r="F20" s="136" t="str">
        <f>IFERROR(E20*C20,"")</f>
        <v/>
      </c>
      <c r="G20" s="99" t="str">
        <f t="shared" si="3"/>
        <v/>
      </c>
      <c r="H20" s="137"/>
      <c r="I20" s="137"/>
      <c r="J20" s="100"/>
    </row>
    <row r="21" spans="1:12" ht="13.5" hidden="1" x14ac:dyDescent="0.25">
      <c r="A21" s="134"/>
      <c r="B21" s="122" t="str">
        <f>IFERROR(VLOOKUP(H21,[1]SEMIELABORADOS!$A$2:$M$6000,2,0),"")</f>
        <v/>
      </c>
      <c r="C21" s="135">
        <f>+A21</f>
        <v>0</v>
      </c>
      <c r="D21" s="135" t="str">
        <f>IFERROR(VLOOKUP(H21,[1]SEMIELABORADOS!$A$2:$M$6000,6,0),"")</f>
        <v/>
      </c>
      <c r="E21" s="136" t="str">
        <f>IFERROR(VLOOKUP(H21,[1]SEMIELABORADOS!$A$2:$H$65536,8,0),"")</f>
        <v/>
      </c>
      <c r="F21" s="136" t="str">
        <f>IFERROR(E21*C21,"")</f>
        <v/>
      </c>
      <c r="G21" s="99" t="str">
        <f t="shared" si="3"/>
        <v/>
      </c>
      <c r="H21" s="137"/>
      <c r="I21" s="137"/>
      <c r="J21" s="100"/>
    </row>
    <row r="22" spans="1:12" ht="13.5" hidden="1" x14ac:dyDescent="0.25">
      <c r="A22" s="134"/>
      <c r="B22" s="122" t="str">
        <f>IFERROR(VLOOKUP(H22,[1]SEMIELABORADOS!$A$2:$M$6000,2,0),"")</f>
        <v/>
      </c>
      <c r="C22" s="135">
        <f t="shared" si="4"/>
        <v>0</v>
      </c>
      <c r="D22" s="135" t="str">
        <f>IFERROR(VLOOKUP(H22,[1]SEMIELABORADOS!$A$2:$M$6000,6,0),"")</f>
        <v/>
      </c>
      <c r="E22" s="136" t="str">
        <f>IFERROR(VLOOKUP(H22,[1]SEMIELABORADOS!$A$2:$H$65536,8,0),"")</f>
        <v/>
      </c>
      <c r="F22" s="136" t="str">
        <f t="shared" si="5"/>
        <v/>
      </c>
      <c r="G22" s="99" t="str">
        <f t="shared" si="3"/>
        <v/>
      </c>
      <c r="H22" s="137"/>
      <c r="I22" s="137"/>
      <c r="J22" s="100"/>
    </row>
    <row r="23" spans="1:12" ht="13.5" hidden="1" x14ac:dyDescent="0.25">
      <c r="A23" s="134"/>
      <c r="B23" s="122" t="str">
        <f>IFERROR(VLOOKUP(H23,[1]SEMIELABORADOS!$A$2:$M$6000,2,0),"")</f>
        <v/>
      </c>
      <c r="C23" s="135">
        <f t="shared" si="4"/>
        <v>0</v>
      </c>
      <c r="D23" s="135" t="str">
        <f>IFERROR(VLOOKUP(H23,[1]SEMIELABORADOS!$A$2:$M$6000,6,0),"")</f>
        <v/>
      </c>
      <c r="E23" s="136" t="str">
        <f>IFERROR(VLOOKUP(H23,[1]SEMIELABORADOS!$A$2:$H$65536,8,0),"")</f>
        <v/>
      </c>
      <c r="F23" s="136" t="str">
        <f t="shared" si="5"/>
        <v/>
      </c>
      <c r="G23" s="99" t="str">
        <f t="shared" si="3"/>
        <v/>
      </c>
      <c r="H23" s="137"/>
      <c r="I23" s="137"/>
      <c r="J23" s="100"/>
    </row>
    <row r="24" spans="1:12" ht="13.5" hidden="1" x14ac:dyDescent="0.25">
      <c r="A24" s="134"/>
      <c r="B24" s="122" t="str">
        <f>IFERROR(VLOOKUP(H24,[1]SEMIELABORADOS!$A$2:$M$6000,2,0),"")</f>
        <v/>
      </c>
      <c r="C24" s="135">
        <f t="shared" si="4"/>
        <v>0</v>
      </c>
      <c r="D24" s="135" t="str">
        <f>IFERROR(VLOOKUP(H24,[1]SEMIELABORADOS!$A$2:$M$6000,6,0),"")</f>
        <v/>
      </c>
      <c r="E24" s="136" t="str">
        <f>IFERROR(VLOOKUP(H24,[1]SEMIELABORADOS!$A$2:$H$65536,8,0),"")</f>
        <v/>
      </c>
      <c r="F24" s="136" t="str">
        <f t="shared" si="5"/>
        <v/>
      </c>
      <c r="G24" s="99" t="str">
        <f t="shared" si="3"/>
        <v/>
      </c>
      <c r="H24" s="137"/>
      <c r="I24" s="137"/>
      <c r="J24" s="100"/>
    </row>
    <row r="25" spans="1:12" ht="14.25" thickBot="1" x14ac:dyDescent="0.3">
      <c r="A25" s="134"/>
      <c r="C25" s="135"/>
      <c r="D25" s="135"/>
      <c r="E25" s="136"/>
      <c r="F25" s="136"/>
      <c r="G25" s="99"/>
      <c r="H25" s="137"/>
      <c r="I25" s="137"/>
      <c r="J25" s="100"/>
    </row>
    <row r="26" spans="1:12" ht="26.25" thickBot="1" x14ac:dyDescent="0.3">
      <c r="A26" s="129" t="s">
        <v>99</v>
      </c>
      <c r="B26" s="130" t="s">
        <v>24</v>
      </c>
      <c r="C26" s="130" t="s">
        <v>99</v>
      </c>
      <c r="D26" s="131" t="s">
        <v>101</v>
      </c>
      <c r="E26" s="131" t="s">
        <v>102</v>
      </c>
      <c r="F26" s="131" t="s">
        <v>103</v>
      </c>
      <c r="G26" s="131" t="s">
        <v>104</v>
      </c>
      <c r="H26" s="132" t="s">
        <v>105</v>
      </c>
      <c r="I26" s="133"/>
    </row>
    <row r="27" spans="1:12" ht="13.5" x14ac:dyDescent="0.25">
      <c r="A27" s="134">
        <v>21</v>
      </c>
      <c r="B27" s="138" t="str">
        <f>IFERROR(VLOOKUP(H27,'[1]Consolidado MP Planta'!$A$2:$M$823,3,0),"")</f>
        <v>BOLSA TRANSPARENTE 56X96X1.80 KILO</v>
      </c>
      <c r="C27" s="135">
        <f t="shared" ref="C27:C32" si="6">+A27</f>
        <v>21</v>
      </c>
      <c r="D27" s="136" t="str">
        <f>IFERROR(VLOOKUP(H27,'[1]Consolidado MP Planta'!$A$2:$M$823,13,0),"")</f>
        <v>Und</v>
      </c>
      <c r="E27" s="136">
        <f>IFERROR(VLOOKUP(H27,'[1]Consolidado MP Planta'!$A$2:$M$823,12,0),"")</f>
        <v>50</v>
      </c>
      <c r="F27" s="136">
        <f t="shared" ref="F27:F32" si="7">IFERROR(C27*E27,"")</f>
        <v>1050</v>
      </c>
      <c r="G27" s="99">
        <f t="shared" ref="G27:G32" si="8">IFERROR(F27/$F$66,"")</f>
        <v>1.6447252848108197E-2</v>
      </c>
      <c r="H27" s="139" t="s">
        <v>110</v>
      </c>
      <c r="I27" s="139"/>
      <c r="J27" s="100"/>
      <c r="K27" s="442"/>
      <c r="L27" s="442"/>
    </row>
    <row r="28" spans="1:12" ht="13.5" x14ac:dyDescent="0.25">
      <c r="A28" s="134">
        <v>21</v>
      </c>
      <c r="B28" s="138" t="str">
        <f>IFERROR(VLOOKUP(H28,'[1]Consolidado MP Planta'!$A$2:$M$823,3,0),"")</f>
        <v>ETIQUETA BLANCA 2 5/8X1 15/16 (UND)</v>
      </c>
      <c r="C28" s="135">
        <f t="shared" si="6"/>
        <v>21</v>
      </c>
      <c r="D28" s="136" t="str">
        <f>IFERROR(VLOOKUP(H28,'[1]Consolidado MP Planta'!$A$2:$M$823,13,0),"")</f>
        <v>Und</v>
      </c>
      <c r="E28" s="136">
        <f>IFERROR(VLOOKUP(H28,'[1]Consolidado MP Planta'!$A$2:$M$823,12,0),"")</f>
        <v>2.1280000000000001</v>
      </c>
      <c r="F28" s="136">
        <f t="shared" si="7"/>
        <v>44.688000000000002</v>
      </c>
      <c r="G28" s="99">
        <f t="shared" si="8"/>
        <v>6.9999508121548488E-4</v>
      </c>
      <c r="H28" s="139" t="s">
        <v>84</v>
      </c>
      <c r="I28" s="139"/>
      <c r="J28" s="100"/>
      <c r="K28" s="442"/>
      <c r="L28" s="442"/>
    </row>
    <row r="29" spans="1:12" ht="13.5" x14ac:dyDescent="0.25">
      <c r="A29" s="134">
        <v>21</v>
      </c>
      <c r="B29" s="138" t="str">
        <f>IFERROR(VLOOKUP(H29,'[1]Consolidado MP Planta'!$A$2:$M$823,3,0),"")</f>
        <v>ETIQ.FECHA VENCIMIENTO BLANCO (ROLLO)</v>
      </c>
      <c r="C29" s="135">
        <f t="shared" si="6"/>
        <v>21</v>
      </c>
      <c r="D29" s="136" t="str">
        <f>IFERROR(VLOOKUP(H29,'[1]Consolidado MP Planta'!$A$2:$M$823,13,0),"")</f>
        <v>Gramos</v>
      </c>
      <c r="E29" s="136">
        <f>IFERROR(VLOOKUP(H29,'[1]Consolidado MP Planta'!$A$2:$M$823,12,0),"")</f>
        <v>0.33333333333333331</v>
      </c>
      <c r="F29" s="136">
        <f t="shared" si="7"/>
        <v>7</v>
      </c>
      <c r="G29" s="99">
        <f t="shared" si="8"/>
        <v>1.0964835232072132E-4</v>
      </c>
      <c r="H29" s="139" t="s">
        <v>75</v>
      </c>
      <c r="I29" s="139"/>
      <c r="J29" s="100"/>
      <c r="K29" s="442"/>
      <c r="L29" s="442"/>
    </row>
    <row r="30" spans="1:12" ht="13.5" hidden="1" x14ac:dyDescent="0.25">
      <c r="A30" s="134"/>
      <c r="B30" s="138" t="str">
        <f>IFERROR(VLOOKUP(H30,'[1]Consolidado MP Planta'!$A$2:$M$823,3,0),"")</f>
        <v/>
      </c>
      <c r="C30" s="135">
        <f t="shared" si="6"/>
        <v>0</v>
      </c>
      <c r="D30" s="136" t="str">
        <f>IFERROR(VLOOKUP(H30,'[1]Consolidado MP Planta'!$A$2:$M$823,13,0),"")</f>
        <v/>
      </c>
      <c r="E30" s="136" t="str">
        <f>IFERROR(VLOOKUP(H30,'[1]Consolidado MP Planta'!$A$2:$M$823,12,0),"")</f>
        <v/>
      </c>
      <c r="F30" s="136" t="str">
        <f t="shared" si="7"/>
        <v/>
      </c>
      <c r="G30" s="99" t="str">
        <f t="shared" si="8"/>
        <v/>
      </c>
      <c r="H30" s="139"/>
      <c r="I30" s="139"/>
      <c r="J30" s="100"/>
      <c r="K30" s="442"/>
      <c r="L30" s="442"/>
    </row>
    <row r="31" spans="1:12" ht="13.5" hidden="1" x14ac:dyDescent="0.25">
      <c r="A31" s="134"/>
      <c r="B31" s="138" t="str">
        <f>IFERROR(VLOOKUP(H31,'[1]Consolidado MP Planta'!$A$2:$M$823,3,0),"")</f>
        <v/>
      </c>
      <c r="C31" s="135">
        <f t="shared" si="6"/>
        <v>0</v>
      </c>
      <c r="D31" s="136" t="str">
        <f>IFERROR(VLOOKUP(H31,'[1]Consolidado MP Planta'!$A$2:$M$823,13,0),"")</f>
        <v/>
      </c>
      <c r="E31" s="136" t="str">
        <f>IFERROR(VLOOKUP(H31,'[1]Consolidado MP Planta'!$A$2:$M$823,12,0),"")</f>
        <v/>
      </c>
      <c r="F31" s="136" t="str">
        <f t="shared" si="7"/>
        <v/>
      </c>
      <c r="G31" s="99" t="str">
        <f t="shared" si="8"/>
        <v/>
      </c>
      <c r="H31" s="139"/>
      <c r="I31" s="139"/>
      <c r="J31" s="100"/>
      <c r="K31" s="140"/>
      <c r="L31" s="141"/>
    </row>
    <row r="32" spans="1:12" ht="13.5" hidden="1" x14ac:dyDescent="0.25">
      <c r="A32" s="134"/>
      <c r="B32" s="138" t="str">
        <f>IFERROR(VLOOKUP(H32,'[1]Consolidado MP Planta'!$A$2:$M$823,3,0),"")</f>
        <v/>
      </c>
      <c r="C32" s="135">
        <f t="shared" si="6"/>
        <v>0</v>
      </c>
      <c r="D32" s="136" t="str">
        <f>IFERROR(VLOOKUP(H32,'[1]Consolidado MP Planta'!$A$2:$M$823,13,0),"")</f>
        <v/>
      </c>
      <c r="E32" s="136" t="str">
        <f>IFERROR(VLOOKUP(H32,'[1]Consolidado MP Planta'!$A$2:$M$823,12,0),"")</f>
        <v/>
      </c>
      <c r="F32" s="136" t="str">
        <f t="shared" si="7"/>
        <v/>
      </c>
      <c r="G32" s="99" t="str">
        <f t="shared" si="8"/>
        <v/>
      </c>
      <c r="H32" s="139"/>
      <c r="I32" s="139"/>
      <c r="J32" s="100"/>
    </row>
    <row r="33" spans="1:13" ht="14.25" thickBot="1" x14ac:dyDescent="0.3">
      <c r="A33" s="134"/>
      <c r="B33" s="138"/>
      <c r="C33" s="135"/>
      <c r="D33" s="136"/>
      <c r="E33" s="136"/>
      <c r="F33" s="136"/>
      <c r="G33" s="99"/>
      <c r="H33" s="139"/>
      <c r="I33" s="139"/>
      <c r="J33" s="100"/>
    </row>
    <row r="34" spans="1:13" ht="26.25" thickBot="1" x14ac:dyDescent="0.25">
      <c r="A34" s="129" t="s">
        <v>99</v>
      </c>
      <c r="B34" s="130" t="s">
        <v>111</v>
      </c>
      <c r="C34" s="130" t="s">
        <v>99</v>
      </c>
      <c r="D34" s="131" t="s">
        <v>101</v>
      </c>
      <c r="E34" s="131" t="s">
        <v>102</v>
      </c>
      <c r="F34" s="131" t="s">
        <v>103</v>
      </c>
      <c r="G34" s="131" t="s">
        <v>104</v>
      </c>
      <c r="H34" s="132" t="s">
        <v>105</v>
      </c>
      <c r="I34" s="139"/>
      <c r="J34" s="100"/>
    </row>
    <row r="35" spans="1:13" ht="13.5" x14ac:dyDescent="0.25">
      <c r="A35" s="134">
        <f>+A17</f>
        <v>47400</v>
      </c>
      <c r="B35" s="138" t="s">
        <v>21</v>
      </c>
      <c r="C35" s="135">
        <f>+A35</f>
        <v>47400</v>
      </c>
      <c r="D35" s="136" t="s">
        <v>107</v>
      </c>
      <c r="E35" s="136">
        <v>0</v>
      </c>
      <c r="F35" s="136">
        <f>IFERROR(E35*C35,"")</f>
        <v>0</v>
      </c>
      <c r="G35" s="99">
        <f t="shared" ref="G35:G41" si="9">IFERROR(F35/$F$66,"")</f>
        <v>0</v>
      </c>
      <c r="H35" s="139" t="s">
        <v>108</v>
      </c>
      <c r="I35" s="139"/>
      <c r="J35" s="100"/>
    </row>
    <row r="36" spans="1:13" ht="13.5" x14ac:dyDescent="0.25">
      <c r="A36" s="134">
        <f t="shared" ref="A36:A41" si="10">+A18</f>
        <v>2380</v>
      </c>
      <c r="B36" s="138" t="str">
        <f>IFERROR(VLOOKUP(H36,[1]SEMIELABORADOS!$A$2:$M$6000,2,0),"")</f>
        <v>MEZCLA P/ENGRASE MOLDES KILO</v>
      </c>
      <c r="C36" s="135">
        <f t="shared" ref="C36:C41" si="11">+A36</f>
        <v>2380</v>
      </c>
      <c r="D36" s="136" t="str">
        <f>IFERROR(VLOOKUP(H36,[1]SEMIELABORADOS!$A$2:$M$6000,6,0),"")</f>
        <v>Gramo</v>
      </c>
      <c r="E36" s="136">
        <f>IFERROR(VLOOKUP(H36,[1]SEMIELABORADOS!$A$2:$M$65536,10,0),"")</f>
        <v>2.1536385000000002E-2</v>
      </c>
      <c r="F36" s="136">
        <f t="shared" ref="F36:F41" si="12">IFERROR(E36*C36,"")</f>
        <v>51.256596300000005</v>
      </c>
      <c r="G36" s="99">
        <f t="shared" si="9"/>
        <v>8.0288590426619733E-4</v>
      </c>
      <c r="H36" s="139" t="s">
        <v>109</v>
      </c>
      <c r="I36" s="139"/>
      <c r="J36" s="100"/>
    </row>
    <row r="37" spans="1:13" ht="13.5" hidden="1" x14ac:dyDescent="0.25">
      <c r="A37" s="134">
        <f t="shared" si="10"/>
        <v>0</v>
      </c>
      <c r="B37" s="138" t="str">
        <f>IFERROR(VLOOKUP(H37,[1]SEMIELABORADOS!$A$2:$M$6000,2,0),"")</f>
        <v/>
      </c>
      <c r="C37" s="135">
        <f t="shared" si="11"/>
        <v>0</v>
      </c>
      <c r="D37" s="136" t="str">
        <f>IFERROR(VLOOKUP(H37,[1]SEMIELABORADOS!$A$2:$M$6000,6,0),"")</f>
        <v/>
      </c>
      <c r="E37" s="136" t="str">
        <f>IFERROR(VLOOKUP(H37,[1]SEMIELABORADOS!$A$2:$M$65536,10,0),"")</f>
        <v/>
      </c>
      <c r="F37" s="136" t="str">
        <f t="shared" si="12"/>
        <v/>
      </c>
      <c r="G37" s="99" t="str">
        <f t="shared" si="9"/>
        <v/>
      </c>
      <c r="H37" s="139"/>
      <c r="I37" s="139"/>
      <c r="J37" s="100"/>
    </row>
    <row r="38" spans="1:13" ht="13.5" hidden="1" x14ac:dyDescent="0.25">
      <c r="A38" s="134">
        <f t="shared" si="10"/>
        <v>0</v>
      </c>
      <c r="B38" s="138" t="str">
        <f>IFERROR(VLOOKUP(H38,[1]SEMIELABORADOS!$A$2:$M$6000,2,0),"")</f>
        <v/>
      </c>
      <c r="C38" s="135">
        <f>+A38</f>
        <v>0</v>
      </c>
      <c r="D38" s="136" t="str">
        <f>IFERROR(VLOOKUP(H38,[1]SEMIELABORADOS!$A$2:$M$6000,6,0),"")</f>
        <v/>
      </c>
      <c r="E38" s="136" t="str">
        <f>IFERROR(VLOOKUP(H38,[1]SEMIELABORADOS!$A$2:$M$65536,10,0),"")</f>
        <v/>
      </c>
      <c r="F38" s="136" t="str">
        <f>IFERROR(E38*C38,"")</f>
        <v/>
      </c>
      <c r="G38" s="99" t="str">
        <f t="shared" si="9"/>
        <v/>
      </c>
      <c r="H38" s="139"/>
      <c r="I38" s="139"/>
      <c r="J38" s="100"/>
    </row>
    <row r="39" spans="1:13" ht="13.5" hidden="1" x14ac:dyDescent="0.25">
      <c r="A39" s="134">
        <f t="shared" si="10"/>
        <v>0</v>
      </c>
      <c r="B39" s="138" t="str">
        <f>IFERROR(VLOOKUP(H39,[1]SEMIELABORADOS!$A$2:$M$6000,2,0),"")</f>
        <v/>
      </c>
      <c r="C39" s="135">
        <f>+A39</f>
        <v>0</v>
      </c>
      <c r="D39" s="136" t="str">
        <f>IFERROR(VLOOKUP(H39,[1]SEMIELABORADOS!$A$2:$M$6000,6,0),"")</f>
        <v/>
      </c>
      <c r="E39" s="136" t="str">
        <f>IFERROR(VLOOKUP(H39,[1]SEMIELABORADOS!$A$2:$M$65536,10,0),"")</f>
        <v/>
      </c>
      <c r="F39" s="136" t="str">
        <f>IFERROR(E39*C39,"")</f>
        <v/>
      </c>
      <c r="G39" s="99" t="str">
        <f t="shared" si="9"/>
        <v/>
      </c>
      <c r="H39" s="139"/>
      <c r="I39" s="139"/>
      <c r="J39" s="100"/>
    </row>
    <row r="40" spans="1:13" ht="13.5" hidden="1" x14ac:dyDescent="0.25">
      <c r="A40" s="134">
        <f t="shared" si="10"/>
        <v>0</v>
      </c>
      <c r="B40" s="138" t="str">
        <f>IFERROR(VLOOKUP(H40,[1]SEMIELABORADOS!$A$2:$M$6000,2,0),"")</f>
        <v/>
      </c>
      <c r="C40" s="135">
        <f t="shared" si="11"/>
        <v>0</v>
      </c>
      <c r="D40" s="136" t="str">
        <f>IFERROR(VLOOKUP(H40,[1]SEMIELABORADOS!$A$2:$M$6000,6,0),"")</f>
        <v/>
      </c>
      <c r="E40" s="136" t="str">
        <f>IFERROR(VLOOKUP(H40,[1]SEMIELABORADOS!$A$2:$M$65536,10,0),"")</f>
        <v/>
      </c>
      <c r="F40" s="136" t="str">
        <f t="shared" si="12"/>
        <v/>
      </c>
      <c r="G40" s="99" t="str">
        <f t="shared" si="9"/>
        <v/>
      </c>
      <c r="H40" s="139"/>
      <c r="I40" s="139"/>
      <c r="J40" s="100"/>
    </row>
    <row r="41" spans="1:13" ht="13.5" hidden="1" x14ac:dyDescent="0.25">
      <c r="A41" s="134">
        <f t="shared" si="10"/>
        <v>0</v>
      </c>
      <c r="B41" s="138" t="str">
        <f>IFERROR(VLOOKUP(H41,[1]SEMIELABORADOS!$A$2:$M$6000,2,0),"")</f>
        <v/>
      </c>
      <c r="C41" s="135">
        <f t="shared" si="11"/>
        <v>0</v>
      </c>
      <c r="D41" s="136" t="str">
        <f>IFERROR(VLOOKUP(H41,[1]SEMIELABORADOS!$A$2:$M$6000,6,0),"")</f>
        <v/>
      </c>
      <c r="E41" s="136" t="str">
        <f>IFERROR(VLOOKUP(H41,[1]SEMIELABORADOS!$A$2:$M$65536,10,0),"")</f>
        <v/>
      </c>
      <c r="F41" s="136" t="str">
        <f t="shared" si="12"/>
        <v/>
      </c>
      <c r="G41" s="99" t="str">
        <f t="shared" si="9"/>
        <v/>
      </c>
      <c r="H41" s="139"/>
      <c r="I41" s="139"/>
      <c r="J41" s="100"/>
    </row>
    <row r="42" spans="1:13" ht="14.25" thickBot="1" x14ac:dyDescent="0.3">
      <c r="A42" s="134"/>
      <c r="B42" s="138"/>
      <c r="C42" s="135"/>
      <c r="D42" s="136"/>
      <c r="E42" s="136"/>
      <c r="F42" s="136"/>
      <c r="G42" s="99"/>
      <c r="H42" s="139"/>
      <c r="I42" s="139"/>
      <c r="J42" s="100"/>
    </row>
    <row r="43" spans="1:13" ht="26.25" thickBot="1" x14ac:dyDescent="0.3">
      <c r="A43" s="129" t="s">
        <v>99</v>
      </c>
      <c r="B43" s="130" t="s">
        <v>112</v>
      </c>
      <c r="C43" s="130" t="s">
        <v>99</v>
      </c>
      <c r="D43" s="131" t="s">
        <v>101</v>
      </c>
      <c r="E43" s="131" t="s">
        <v>102</v>
      </c>
      <c r="F43" s="131" t="s">
        <v>103</v>
      </c>
      <c r="G43" s="131" t="s">
        <v>104</v>
      </c>
      <c r="H43" s="132" t="s">
        <v>105</v>
      </c>
      <c r="I43" s="133"/>
      <c r="J43" s="100"/>
    </row>
    <row r="44" spans="1:13" ht="13.5" x14ac:dyDescent="0.25">
      <c r="A44" s="134">
        <f>+A35</f>
        <v>47400</v>
      </c>
      <c r="B44" s="138" t="s">
        <v>21</v>
      </c>
      <c r="C44" s="135">
        <f>+A44</f>
        <v>47400</v>
      </c>
      <c r="D44" s="136" t="s">
        <v>107</v>
      </c>
      <c r="E44" s="136">
        <v>0.02</v>
      </c>
      <c r="F44" s="136">
        <f>IFERROR(E44*C44,"")</f>
        <v>948</v>
      </c>
      <c r="G44" s="99">
        <f>IFERROR(F44/$F$66,"")</f>
        <v>1.4849519714291973E-2</v>
      </c>
      <c r="H44" s="139" t="s">
        <v>108</v>
      </c>
      <c r="I44" s="133"/>
      <c r="J44" s="100"/>
    </row>
    <row r="45" spans="1:13" ht="13.5" x14ac:dyDescent="0.25">
      <c r="A45" s="134">
        <f t="shared" ref="A45:A50" si="13">+A36</f>
        <v>2380</v>
      </c>
      <c r="B45" s="138" t="str">
        <f>IFERROR(VLOOKUP(H45,[1]SEMIELABORADOS!$A$2:$M$6000,2,0),"")</f>
        <v>MEZCLA P/ENGRASE MOLDES KILO</v>
      </c>
      <c r="C45" s="135">
        <f t="shared" ref="C45:C50" si="14">+A45</f>
        <v>2380</v>
      </c>
      <c r="D45" s="136" t="str">
        <f>IFERROR(VLOOKUP(H45,[1]SEMIELABORADOS!$A$2:$M$6000,6,0),"")</f>
        <v>Gramo</v>
      </c>
      <c r="E45" s="136">
        <f>IFERROR(VLOOKUP(H45,[1]SEMIELABORADOS!$A$2:$M$65536,12,0),"")</f>
        <v>0.25127579955503354</v>
      </c>
      <c r="F45" s="136">
        <f t="shared" ref="F45:F50" si="15">IFERROR(E45*C45,"")</f>
        <v>598.03640294097988</v>
      </c>
      <c r="G45" s="99">
        <f t="shared" ref="G45:G50" si="16">IFERROR(F45/$F$66,"")</f>
        <v>9.3676723157556322E-3</v>
      </c>
      <c r="H45" s="139" t="s">
        <v>109</v>
      </c>
      <c r="I45" s="133"/>
      <c r="J45" s="100"/>
      <c r="M45" s="142"/>
    </row>
    <row r="46" spans="1:13" ht="13.5" hidden="1" x14ac:dyDescent="0.25">
      <c r="A46" s="134">
        <f t="shared" si="13"/>
        <v>0</v>
      </c>
      <c r="B46" s="138" t="str">
        <f>IFERROR(VLOOKUP(H46,[1]SEMIELABORADOS!$A$2:$M$6000,2,0),"")</f>
        <v/>
      </c>
      <c r="C46" s="135">
        <f t="shared" si="14"/>
        <v>0</v>
      </c>
      <c r="D46" s="136" t="str">
        <f>IFERROR(VLOOKUP(H46,[1]SEMIELABORADOS!$A$2:$M$6000,6,0),"")</f>
        <v/>
      </c>
      <c r="E46" s="136" t="str">
        <f>IFERROR(VLOOKUP(H46,[1]SEMIELABORADOS!$A$2:$M$65536,12,0),"")</f>
        <v/>
      </c>
      <c r="F46" s="136" t="str">
        <f t="shared" si="15"/>
        <v/>
      </c>
      <c r="G46" s="99" t="str">
        <f t="shared" si="16"/>
        <v/>
      </c>
      <c r="H46" s="139"/>
      <c r="I46" s="133"/>
      <c r="J46" s="100"/>
    </row>
    <row r="47" spans="1:13" ht="13.5" hidden="1" x14ac:dyDescent="0.25">
      <c r="A47" s="134">
        <f t="shared" si="13"/>
        <v>0</v>
      </c>
      <c r="B47" s="138" t="str">
        <f>IFERROR(VLOOKUP(H47,[1]SEMIELABORADOS!$A$2:$M$6000,2,0),"")</f>
        <v/>
      </c>
      <c r="C47" s="135">
        <f t="shared" si="14"/>
        <v>0</v>
      </c>
      <c r="D47" s="136" t="str">
        <f>IFERROR(VLOOKUP(H47,[1]SEMIELABORADOS!$A$2:$M$6000,6,0),"")</f>
        <v/>
      </c>
      <c r="E47" s="136" t="str">
        <f>IFERROR(VLOOKUP(H47,[1]SEMIELABORADOS!$A$2:$M$65536,12,0),"")</f>
        <v/>
      </c>
      <c r="F47" s="136" t="str">
        <f t="shared" si="15"/>
        <v/>
      </c>
      <c r="G47" s="99" t="str">
        <f t="shared" si="16"/>
        <v/>
      </c>
      <c r="H47" s="139"/>
      <c r="I47" s="133"/>
      <c r="J47" s="100"/>
    </row>
    <row r="48" spans="1:13" ht="13.5" hidden="1" x14ac:dyDescent="0.25">
      <c r="A48" s="134">
        <f t="shared" si="13"/>
        <v>0</v>
      </c>
      <c r="B48" s="138" t="str">
        <f>IFERROR(VLOOKUP(H48,[1]SEMIELABORADOS!$A$2:$M$6000,2,0),"")</f>
        <v/>
      </c>
      <c r="C48" s="135">
        <f t="shared" si="14"/>
        <v>0</v>
      </c>
      <c r="D48" s="136" t="str">
        <f>IFERROR(VLOOKUP(H48,[1]SEMIELABORADOS!$A$2:$M$6000,6,0),"")</f>
        <v/>
      </c>
      <c r="E48" s="136" t="str">
        <f>IFERROR(VLOOKUP(H48,[1]SEMIELABORADOS!$A$2:$M$65536,12,0),"")</f>
        <v/>
      </c>
      <c r="F48" s="136" t="str">
        <f t="shared" si="15"/>
        <v/>
      </c>
      <c r="G48" s="99" t="str">
        <f t="shared" si="16"/>
        <v/>
      </c>
      <c r="H48" s="139"/>
      <c r="I48" s="133"/>
      <c r="J48" s="100"/>
    </row>
    <row r="49" spans="1:17" ht="13.5" hidden="1" x14ac:dyDescent="0.25">
      <c r="A49" s="134">
        <f t="shared" si="13"/>
        <v>0</v>
      </c>
      <c r="B49" s="138" t="str">
        <f>IFERROR(VLOOKUP(H49,[1]SEMIELABORADOS!$A$2:$M$6000,2,0),"")</f>
        <v/>
      </c>
      <c r="C49" s="135">
        <f t="shared" si="14"/>
        <v>0</v>
      </c>
      <c r="D49" s="136" t="str">
        <f>IFERROR(VLOOKUP(H49,[1]SEMIELABORADOS!$A$2:$M$6000,6,0),"")</f>
        <v/>
      </c>
      <c r="E49" s="136" t="str">
        <f>IFERROR(VLOOKUP(H49,[1]SEMIELABORADOS!$A$2:$M$65536,12,0),"")</f>
        <v/>
      </c>
      <c r="F49" s="136" t="str">
        <f t="shared" si="15"/>
        <v/>
      </c>
      <c r="G49" s="99" t="str">
        <f t="shared" si="16"/>
        <v/>
      </c>
      <c r="H49" s="139"/>
      <c r="I49" s="133"/>
      <c r="J49" s="100"/>
    </row>
    <row r="50" spans="1:17" ht="13.5" hidden="1" x14ac:dyDescent="0.25">
      <c r="A50" s="134">
        <f t="shared" si="13"/>
        <v>0</v>
      </c>
      <c r="B50" s="138" t="str">
        <f>IFERROR(VLOOKUP(H50,[1]SEMIELABORADOS!$A$2:$M$6000,2,0),"")</f>
        <v/>
      </c>
      <c r="C50" s="135">
        <f t="shared" si="14"/>
        <v>0</v>
      </c>
      <c r="D50" s="136" t="str">
        <f>IFERROR(VLOOKUP(H50,[1]SEMIELABORADOS!$A$2:$M$6000,6,0),"")</f>
        <v/>
      </c>
      <c r="E50" s="136" t="str">
        <f>IFERROR(VLOOKUP(H50,[1]SEMIELABORADOS!$A$2:$M$65536,12,0),"")</f>
        <v/>
      </c>
      <c r="F50" s="136" t="str">
        <f t="shared" si="15"/>
        <v/>
      </c>
      <c r="G50" s="99" t="str">
        <f t="shared" si="16"/>
        <v/>
      </c>
      <c r="H50" s="138"/>
      <c r="I50" s="133"/>
      <c r="J50" s="100"/>
    </row>
    <row r="51" spans="1:17" ht="13.5" x14ac:dyDescent="0.25">
      <c r="A51" s="134">
        <v>1</v>
      </c>
      <c r="B51" s="138" t="s">
        <v>113</v>
      </c>
      <c r="C51" s="135">
        <f>+A51</f>
        <v>1</v>
      </c>
      <c r="D51" s="135" t="s">
        <v>114</v>
      </c>
      <c r="E51" s="136">
        <f>+F65</f>
        <v>2135</v>
      </c>
      <c r="F51" s="136">
        <f>IFERROR(C51*E51,"")</f>
        <v>2135</v>
      </c>
      <c r="G51" s="99">
        <f>IFERROR(F51/$F$66,"")</f>
        <v>3.3442747457819999E-2</v>
      </c>
      <c r="H51" s="143"/>
      <c r="I51" s="143"/>
      <c r="J51" s="100"/>
    </row>
    <row r="52" spans="1:17" ht="14.25" thickBot="1" x14ac:dyDescent="0.3">
      <c r="A52" s="134"/>
      <c r="B52" s="138"/>
      <c r="C52" s="135"/>
      <c r="D52" s="135"/>
      <c r="E52" s="136"/>
      <c r="F52" s="136"/>
      <c r="G52" s="99"/>
      <c r="H52" s="143"/>
      <c r="I52" s="143"/>
      <c r="J52" s="100"/>
    </row>
    <row r="53" spans="1:17" ht="13.5" thickBot="1" x14ac:dyDescent="0.3">
      <c r="A53" s="144"/>
      <c r="B53" s="443" t="s">
        <v>115</v>
      </c>
      <c r="C53" s="443"/>
      <c r="D53" s="443"/>
      <c r="E53" s="443"/>
      <c r="F53" s="146">
        <f>SUM(F8:F14,F17:F24)</f>
        <v>59365.19999999999</v>
      </c>
      <c r="G53" s="99">
        <f>+F53/$F$66</f>
        <v>0.92989948074144058</v>
      </c>
      <c r="H53" s="147">
        <f>+F53/$D$60</f>
        <v>1549.2094973262028</v>
      </c>
      <c r="I53" s="147"/>
      <c r="J53" s="101"/>
      <c r="K53" s="148"/>
      <c r="L53" s="148"/>
      <c r="M53" s="148"/>
      <c r="N53" s="148"/>
      <c r="O53" s="148"/>
      <c r="P53" s="148"/>
      <c r="Q53" s="149"/>
    </row>
    <row r="54" spans="1:17" x14ac:dyDescent="0.2">
      <c r="A54" s="144"/>
      <c r="B54" s="443" t="s">
        <v>116</v>
      </c>
      <c r="C54" s="443"/>
      <c r="D54" s="443"/>
      <c r="E54" s="443"/>
      <c r="F54" s="146">
        <f>SUM(F27:F32,F35:F41)</f>
        <v>1152.9445963000001</v>
      </c>
      <c r="G54" s="99">
        <f>+F54/$F$66</f>
        <v>1.8059782185910603E-2</v>
      </c>
      <c r="H54" s="147">
        <f>+F54/$D$60</f>
        <v>30.08753812804278</v>
      </c>
      <c r="I54" s="147"/>
      <c r="J54" s="150"/>
      <c r="K54" s="444" t="s">
        <v>117</v>
      </c>
      <c r="L54" s="445"/>
      <c r="M54" s="445"/>
      <c r="N54" s="445"/>
      <c r="O54" s="151">
        <f>+F55</f>
        <v>60518.144596299993</v>
      </c>
      <c r="P54" s="151"/>
      <c r="Q54" s="152"/>
    </row>
    <row r="55" spans="1:17" x14ac:dyDescent="0.2">
      <c r="A55" s="144"/>
      <c r="B55" s="443" t="s">
        <v>118</v>
      </c>
      <c r="C55" s="443"/>
      <c r="D55" s="443"/>
      <c r="E55" s="443"/>
      <c r="F55" s="146">
        <f>+F53+F54</f>
        <v>60518.144596299993</v>
      </c>
      <c r="G55" s="99">
        <f>+F55/$F$66</f>
        <v>0.94795926292735122</v>
      </c>
      <c r="H55" s="147">
        <f>+F55/$D$60</f>
        <v>1579.2970354542458</v>
      </c>
      <c r="I55" s="147"/>
      <c r="J55" s="102"/>
      <c r="K55" s="153"/>
      <c r="M55" s="154" t="s">
        <v>119</v>
      </c>
      <c r="N55" s="155"/>
      <c r="O55" s="151">
        <f>+H56</f>
        <v>96.061270836106857</v>
      </c>
      <c r="P55" s="151"/>
      <c r="Q55" s="152"/>
    </row>
    <row r="56" spans="1:17" ht="13.5" thickBot="1" x14ac:dyDescent="0.25">
      <c r="A56" s="144"/>
      <c r="B56" s="145"/>
      <c r="C56" s="443" t="s">
        <v>120</v>
      </c>
      <c r="D56" s="443"/>
      <c r="E56" s="443"/>
      <c r="F56" s="146">
        <f>SUM(F44:F51)</f>
        <v>3681.0364029409798</v>
      </c>
      <c r="G56" s="99">
        <f>+F56/$F$66</f>
        <v>5.7659939487867608E-2</v>
      </c>
      <c r="H56" s="147">
        <f>+F56/$D$60</f>
        <v>96.061270836106857</v>
      </c>
      <c r="I56" s="147"/>
      <c r="J56" s="102"/>
      <c r="K56" s="153"/>
      <c r="L56" s="153"/>
      <c r="M56" s="153" t="s">
        <v>121</v>
      </c>
      <c r="N56" s="103"/>
      <c r="O56" s="151">
        <f>O54*N56</f>
        <v>0</v>
      </c>
      <c r="P56" s="151"/>
      <c r="Q56" s="152"/>
    </row>
    <row r="57" spans="1:17" ht="13.5" thickBot="1" x14ac:dyDescent="0.25">
      <c r="A57" s="144"/>
      <c r="B57" s="156"/>
      <c r="C57" s="156"/>
      <c r="D57" s="156"/>
      <c r="E57" s="156"/>
      <c r="F57" s="157"/>
      <c r="G57" s="99"/>
      <c r="H57" s="158"/>
      <c r="I57" s="147"/>
      <c r="J57" s="102"/>
      <c r="K57" s="159"/>
      <c r="M57" s="160" t="s">
        <v>122</v>
      </c>
      <c r="N57" s="161"/>
      <c r="O57" s="162">
        <f>SUM(O54:O56)</f>
        <v>60614.205867136101</v>
      </c>
      <c r="P57" s="163"/>
      <c r="Q57" s="152"/>
    </row>
    <row r="58" spans="1:17" x14ac:dyDescent="0.2">
      <c r="B58" s="446" t="s">
        <v>123</v>
      </c>
      <c r="C58" s="446"/>
      <c r="D58" s="164">
        <v>46750</v>
      </c>
      <c r="E58" s="165"/>
      <c r="G58" s="99"/>
      <c r="H58" s="158">
        <f>+H56/61</f>
        <v>1.5747749317394566</v>
      </c>
      <c r="I58" s="166"/>
      <c r="J58" s="102"/>
      <c r="K58" s="159"/>
      <c r="L58" s="153"/>
      <c r="M58" s="153" t="s">
        <v>124</v>
      </c>
      <c r="N58" s="104"/>
      <c r="O58" s="151">
        <f>+H59</f>
        <v>91.336946040888478</v>
      </c>
      <c r="P58" s="151"/>
      <c r="Q58" s="152"/>
    </row>
    <row r="59" spans="1:17" x14ac:dyDescent="0.2">
      <c r="B59" s="446" t="s">
        <v>125</v>
      </c>
      <c r="C59" s="446"/>
      <c r="D59" s="167">
        <v>1220</v>
      </c>
      <c r="E59" s="165"/>
      <c r="G59" s="99"/>
      <c r="H59" s="158">
        <f>+H58*58</f>
        <v>91.336946040888478</v>
      </c>
      <c r="I59" s="166"/>
      <c r="J59" s="102"/>
      <c r="K59" s="159"/>
      <c r="L59" s="153"/>
      <c r="M59" s="447" t="s">
        <v>122</v>
      </c>
      <c r="N59" s="447"/>
      <c r="O59" s="151">
        <f>SUM(O57:O58)</f>
        <v>60705.542813176988</v>
      </c>
      <c r="P59" s="151"/>
      <c r="Q59" s="152"/>
    </row>
    <row r="60" spans="1:17" ht="13.5" thickBot="1" x14ac:dyDescent="0.25">
      <c r="B60" s="448" t="s">
        <v>126</v>
      </c>
      <c r="C60" s="448"/>
      <c r="D60" s="164">
        <f>+D58/D59</f>
        <v>38.319672131147541</v>
      </c>
      <c r="E60" s="165"/>
      <c r="F60" s="168"/>
      <c r="G60" s="99"/>
      <c r="H60" s="158"/>
      <c r="I60" s="166"/>
      <c r="J60" s="102"/>
      <c r="K60" s="159"/>
      <c r="L60" s="447"/>
      <c r="M60" s="447"/>
      <c r="N60" s="104"/>
      <c r="O60" s="151">
        <f>+O59*N60</f>
        <v>0</v>
      </c>
      <c r="P60" s="151"/>
      <c r="Q60" s="152"/>
    </row>
    <row r="61" spans="1:17" ht="13.5" thickBot="1" x14ac:dyDescent="0.25">
      <c r="B61" s="448" t="s">
        <v>127</v>
      </c>
      <c r="C61" s="448"/>
      <c r="D61" s="169"/>
      <c r="E61" s="165"/>
      <c r="F61" s="168"/>
      <c r="G61" s="99"/>
      <c r="H61" s="158"/>
      <c r="I61" s="166"/>
      <c r="J61" s="102"/>
      <c r="K61" s="449" t="s">
        <v>128</v>
      </c>
      <c r="L61" s="450"/>
      <c r="M61" s="450"/>
      <c r="N61" s="451"/>
      <c r="O61" s="162">
        <f>SUM(O59:O60)</f>
        <v>60705.542813176988</v>
      </c>
      <c r="P61" s="170" t="s">
        <v>129</v>
      </c>
      <c r="Q61" s="152"/>
    </row>
    <row r="62" spans="1:17" ht="13.5" thickBot="1" x14ac:dyDescent="0.25">
      <c r="C62" s="144" t="s">
        <v>130</v>
      </c>
      <c r="D62" s="171"/>
      <c r="E62" s="120" t="s">
        <v>131</v>
      </c>
      <c r="F62" s="172" t="s">
        <v>132</v>
      </c>
      <c r="G62" s="99"/>
      <c r="H62" s="158"/>
      <c r="I62" s="166"/>
      <c r="J62" s="173"/>
      <c r="K62" s="174"/>
      <c r="L62" s="452" t="s">
        <v>133</v>
      </c>
      <c r="M62" s="452"/>
      <c r="N62" s="452"/>
      <c r="O62" s="175">
        <f>+O61/D60</f>
        <v>1584.187427424084</v>
      </c>
      <c r="P62" s="176">
        <f>+O62/D59</f>
        <v>1.2985142847738393</v>
      </c>
      <c r="Q62" s="177"/>
    </row>
    <row r="63" spans="1:17" ht="13.5" thickBot="1" x14ac:dyDescent="0.25">
      <c r="B63" s="453" t="s">
        <v>118</v>
      </c>
      <c r="C63" s="453"/>
      <c r="D63" s="453"/>
      <c r="E63" s="105">
        <f>+F63/F63</f>
        <v>1</v>
      </c>
      <c r="F63" s="178">
        <f>SUM(F55)</f>
        <v>60518.144596299993</v>
      </c>
      <c r="G63" s="99">
        <f>+F63/$F$66</f>
        <v>0.94795926292735122</v>
      </c>
      <c r="H63" s="158"/>
      <c r="I63" s="166"/>
      <c r="K63" s="454"/>
      <c r="L63" s="455"/>
      <c r="M63" s="455"/>
      <c r="N63" s="455"/>
      <c r="O63" s="179"/>
      <c r="P63" s="180"/>
    </row>
    <row r="64" spans="1:17" ht="13.5" thickBot="1" x14ac:dyDescent="0.3">
      <c r="B64" s="456" t="s">
        <v>134</v>
      </c>
      <c r="C64" s="456"/>
      <c r="D64" s="456"/>
      <c r="E64" s="181">
        <v>0.02</v>
      </c>
      <c r="F64" s="178">
        <f>+F53*E64</f>
        <v>1187.3039999999999</v>
      </c>
      <c r="G64" s="99">
        <f>+F64/$F$66</f>
        <v>1.8597989614828812E-2</v>
      </c>
      <c r="H64" s="147"/>
      <c r="I64" s="166"/>
      <c r="J64" s="106"/>
      <c r="O64" s="182"/>
      <c r="P64" s="145"/>
    </row>
    <row r="65" spans="2:13" ht="13.5" thickBot="1" x14ac:dyDescent="0.3">
      <c r="B65" s="457" t="s">
        <v>135</v>
      </c>
      <c r="C65" s="458"/>
      <c r="D65" s="183">
        <v>35</v>
      </c>
      <c r="E65" s="184">
        <v>61</v>
      </c>
      <c r="F65" s="178">
        <f>+E65*D65</f>
        <v>2135</v>
      </c>
      <c r="G65" s="99">
        <f>+F65/$F$66</f>
        <v>3.3442747457819999E-2</v>
      </c>
      <c r="H65" s="147"/>
      <c r="I65" s="147"/>
      <c r="J65" s="100"/>
    </row>
    <row r="66" spans="2:13" ht="13.5" thickBot="1" x14ac:dyDescent="0.3">
      <c r="B66" s="460" t="s">
        <v>136</v>
      </c>
      <c r="C66" s="461"/>
      <c r="D66" s="461"/>
      <c r="E66" s="462"/>
      <c r="F66" s="157">
        <f>SUM(F63:F65)</f>
        <v>63840.44859629999</v>
      </c>
      <c r="G66" s="99">
        <f>+F66/$F$66</f>
        <v>1</v>
      </c>
      <c r="H66" s="463"/>
      <c r="I66" s="147"/>
      <c r="J66" s="100"/>
      <c r="M66" s="122" t="s">
        <v>137</v>
      </c>
    </row>
    <row r="67" spans="2:13" x14ac:dyDescent="0.25">
      <c r="C67" s="142"/>
      <c r="D67" s="142"/>
      <c r="E67" s="186"/>
      <c r="F67" s="178"/>
      <c r="G67" s="99"/>
      <c r="H67" s="463"/>
      <c r="I67" s="185"/>
      <c r="J67" s="122"/>
      <c r="M67" s="122" t="s">
        <v>138</v>
      </c>
    </row>
    <row r="68" spans="2:13" ht="13.5" thickBot="1" x14ac:dyDescent="0.3">
      <c r="B68" s="464" t="s">
        <v>139</v>
      </c>
      <c r="C68" s="464"/>
      <c r="D68" s="464"/>
      <c r="E68" s="464"/>
      <c r="F68" s="464"/>
      <c r="G68" s="99"/>
      <c r="H68" s="188"/>
      <c r="I68" s="185"/>
      <c r="J68" s="122"/>
      <c r="M68" s="122" t="s">
        <v>140</v>
      </c>
    </row>
    <row r="69" spans="2:13" ht="13.5" thickBot="1" x14ac:dyDescent="0.3">
      <c r="B69" s="189" t="s">
        <v>141</v>
      </c>
      <c r="C69" s="190">
        <f>+F53</f>
        <v>59365.19999999999</v>
      </c>
      <c r="D69" s="190">
        <f>+D58</f>
        <v>46750</v>
      </c>
      <c r="E69" s="191">
        <f>+C69/D69</f>
        <v>1.2698438502673794</v>
      </c>
      <c r="F69" s="99"/>
      <c r="G69" s="188"/>
      <c r="H69" s="100"/>
      <c r="I69" s="188"/>
      <c r="J69" s="122"/>
    </row>
    <row r="70" spans="2:13" x14ac:dyDescent="0.25">
      <c r="B70" s="192"/>
      <c r="C70" s="193"/>
      <c r="D70" s="194"/>
      <c r="E70" s="178"/>
      <c r="F70" s="99"/>
      <c r="G70" s="188"/>
      <c r="H70" s="100"/>
      <c r="I70" s="100"/>
      <c r="J70" s="122"/>
    </row>
    <row r="71" spans="2:13" x14ac:dyDescent="0.25">
      <c r="B71" s="189" t="s">
        <v>142</v>
      </c>
      <c r="C71" s="190">
        <f>SUM(F63:F64)</f>
        <v>61705.44859629999</v>
      </c>
      <c r="D71" s="190">
        <f>+D58</f>
        <v>46750</v>
      </c>
      <c r="E71" s="195">
        <f>+C71/D71</f>
        <v>1.3199026437711228</v>
      </c>
      <c r="F71" s="99"/>
      <c r="G71" s="188"/>
      <c r="H71" s="100"/>
      <c r="I71" s="100"/>
      <c r="J71" s="122"/>
    </row>
    <row r="72" spans="2:13" x14ac:dyDescent="0.25">
      <c r="B72" s="189"/>
      <c r="C72" s="190"/>
      <c r="D72" s="190"/>
      <c r="E72" s="195"/>
      <c r="F72" s="99"/>
      <c r="G72" s="188"/>
      <c r="H72" s="100"/>
      <c r="I72" s="100"/>
      <c r="J72" s="122"/>
    </row>
    <row r="73" spans="2:13" ht="13.5" thickBot="1" x14ac:dyDescent="0.3">
      <c r="B73" s="189" t="s">
        <v>143</v>
      </c>
      <c r="C73" s="190">
        <f>+F65</f>
        <v>2135</v>
      </c>
      <c r="D73" s="190">
        <f>+D58</f>
        <v>46750</v>
      </c>
      <c r="E73" s="195">
        <f>+C73/D73</f>
        <v>4.5668449197860964E-2</v>
      </c>
      <c r="F73" s="99"/>
      <c r="G73" s="188"/>
      <c r="H73" s="100"/>
      <c r="I73" s="100"/>
      <c r="J73" s="122"/>
    </row>
    <row r="74" spans="2:13" ht="13.5" thickBot="1" x14ac:dyDescent="0.3">
      <c r="B74" s="189" t="s">
        <v>144</v>
      </c>
      <c r="C74" s="190">
        <f>+F56</f>
        <v>3681.0364029409798</v>
      </c>
      <c r="D74" s="190">
        <f>+D73</f>
        <v>46750</v>
      </c>
      <c r="E74" s="191">
        <f>+C74/D74</f>
        <v>7.873874658697283E-2</v>
      </c>
      <c r="F74" s="99"/>
      <c r="G74" s="188"/>
      <c r="H74" s="100"/>
      <c r="I74" s="100"/>
      <c r="J74" s="122"/>
    </row>
    <row r="75" spans="2:13" ht="13.5" thickBot="1" x14ac:dyDescent="0.3">
      <c r="B75" s="156"/>
      <c r="C75" s="157"/>
      <c r="D75" s="157"/>
      <c r="E75" s="195"/>
      <c r="F75" s="99"/>
      <c r="G75" s="188"/>
      <c r="H75" s="100"/>
      <c r="I75" s="100"/>
      <c r="J75" s="122"/>
    </row>
    <row r="76" spans="2:13" ht="13.5" thickBot="1" x14ac:dyDescent="0.3">
      <c r="B76" s="189" t="s">
        <v>145</v>
      </c>
      <c r="C76" s="190">
        <f>+F54</f>
        <v>1152.9445963000001</v>
      </c>
      <c r="D76" s="190">
        <f>+D74</f>
        <v>46750</v>
      </c>
      <c r="E76" s="191">
        <f>+C76/D76</f>
        <v>2.4661916498395723E-2</v>
      </c>
      <c r="F76" s="99"/>
      <c r="G76" s="188"/>
      <c r="H76" s="100"/>
      <c r="I76" s="100"/>
      <c r="J76" s="100"/>
    </row>
    <row r="77" spans="2:13" ht="13.5" thickBot="1" x14ac:dyDescent="0.3">
      <c r="B77" s="156"/>
      <c r="C77" s="157"/>
      <c r="D77" s="157"/>
      <c r="E77" s="195"/>
      <c r="F77" s="99"/>
      <c r="G77" s="188"/>
      <c r="H77" s="100"/>
      <c r="I77" s="100"/>
    </row>
    <row r="78" spans="2:13" ht="13.5" thickBot="1" x14ac:dyDescent="0.3">
      <c r="B78" s="465" t="s">
        <v>146</v>
      </c>
      <c r="C78" s="466"/>
      <c r="D78" s="467"/>
      <c r="E78" s="191">
        <f>+E69+E74</f>
        <v>1.3485825968543523</v>
      </c>
      <c r="G78" s="99"/>
      <c r="H78" s="188"/>
      <c r="I78" s="100"/>
      <c r="J78" s="195"/>
    </row>
    <row r="79" spans="2:13" x14ac:dyDescent="0.25">
      <c r="I79" s="188"/>
      <c r="J79" s="122"/>
    </row>
    <row r="80" spans="2:13" ht="13.5" thickBot="1" x14ac:dyDescent="0.3">
      <c r="B80" s="464" t="s">
        <v>147</v>
      </c>
      <c r="C80" s="464"/>
      <c r="D80" s="464"/>
      <c r="E80" s="464"/>
      <c r="F80" s="464"/>
      <c r="G80" s="99"/>
      <c r="H80" s="188"/>
      <c r="J80" s="122"/>
    </row>
    <row r="81" spans="1:10" ht="13.5" thickBot="1" x14ac:dyDescent="0.3">
      <c r="B81" s="189" t="s">
        <v>141</v>
      </c>
      <c r="C81" s="190">
        <f>+C69</f>
        <v>59365.19999999999</v>
      </c>
      <c r="D81" s="190">
        <f>+D60</f>
        <v>38.319672131147541</v>
      </c>
      <c r="E81" s="191">
        <f>+C81/D81</f>
        <v>1549.2094973262028</v>
      </c>
      <c r="F81" s="99"/>
      <c r="G81" s="188"/>
      <c r="H81" s="100"/>
      <c r="I81" s="188"/>
      <c r="J81" s="122"/>
    </row>
    <row r="82" spans="1:10" x14ac:dyDescent="0.25">
      <c r="B82" s="192"/>
      <c r="C82" s="193"/>
      <c r="D82" s="194"/>
      <c r="E82" s="178"/>
      <c r="F82" s="99"/>
      <c r="G82" s="188"/>
      <c r="H82" s="100"/>
      <c r="I82" s="100"/>
      <c r="J82" s="122"/>
    </row>
    <row r="83" spans="1:10" x14ac:dyDescent="0.25">
      <c r="B83" s="189" t="s">
        <v>142</v>
      </c>
      <c r="C83" s="190">
        <f>+C71</f>
        <v>61705.44859629999</v>
      </c>
      <c r="D83" s="190">
        <f>+D60</f>
        <v>38.319672131147541</v>
      </c>
      <c r="E83" s="195">
        <f>+C83/D83</f>
        <v>1610.2812254007697</v>
      </c>
      <c r="F83" s="99"/>
      <c r="G83" s="188"/>
      <c r="H83" s="100"/>
      <c r="I83" s="100"/>
      <c r="J83" s="122"/>
    </row>
    <row r="84" spans="1:10" x14ac:dyDescent="0.25">
      <c r="B84" s="189"/>
      <c r="C84" s="190"/>
      <c r="D84" s="190"/>
      <c r="E84" s="195"/>
      <c r="F84" s="99"/>
      <c r="G84" s="188"/>
      <c r="H84" s="100"/>
      <c r="I84" s="100"/>
      <c r="J84" s="122"/>
    </row>
    <row r="85" spans="1:10" ht="13.5" thickBot="1" x14ac:dyDescent="0.3">
      <c r="B85" s="189" t="s">
        <v>144</v>
      </c>
      <c r="C85" s="190">
        <f>+C73</f>
        <v>2135</v>
      </c>
      <c r="D85" s="190">
        <f>+D60</f>
        <v>38.319672131147541</v>
      </c>
      <c r="E85" s="195">
        <f>+C85/D85</f>
        <v>55.71550802139037</v>
      </c>
      <c r="F85" s="196"/>
      <c r="G85" s="187"/>
      <c r="H85" s="121"/>
      <c r="I85" s="100"/>
    </row>
    <row r="86" spans="1:10" ht="13.5" thickBot="1" x14ac:dyDescent="0.3">
      <c r="B86" s="189" t="s">
        <v>144</v>
      </c>
      <c r="C86" s="190">
        <f>+C74</f>
        <v>3681.0364029409798</v>
      </c>
      <c r="D86" s="190">
        <f>+D85</f>
        <v>38.319672131147541</v>
      </c>
      <c r="E86" s="191">
        <f>+C86/D86</f>
        <v>96.061270836106857</v>
      </c>
      <c r="F86" s="107"/>
      <c r="G86" s="187"/>
      <c r="H86" s="121"/>
      <c r="I86" s="121"/>
    </row>
    <row r="87" spans="1:10" x14ac:dyDescent="0.25">
      <c r="I87" s="121"/>
    </row>
    <row r="88" spans="1:10" x14ac:dyDescent="0.2">
      <c r="A88" s="459"/>
      <c r="B88" s="459"/>
      <c r="C88" s="197"/>
      <c r="D88" s="197"/>
      <c r="E88" s="198"/>
      <c r="G88" s="108"/>
    </row>
    <row r="89" spans="1:10" x14ac:dyDescent="0.2">
      <c r="A89" s="138"/>
      <c r="B89" s="199"/>
      <c r="C89" s="200"/>
      <c r="D89" s="200"/>
      <c r="E89" s="201"/>
      <c r="G89" s="108"/>
    </row>
    <row r="90" spans="1:10" x14ac:dyDescent="0.2">
      <c r="A90" s="138"/>
      <c r="B90" s="199"/>
      <c r="C90" s="202"/>
      <c r="D90" s="202"/>
      <c r="E90" s="138"/>
      <c r="G90" s="108"/>
    </row>
    <row r="91" spans="1:10" x14ac:dyDescent="0.2">
      <c r="A91" s="138"/>
      <c r="B91" s="199"/>
      <c r="C91" s="203"/>
      <c r="D91" s="203"/>
      <c r="E91" s="138"/>
      <c r="G91" s="108"/>
    </row>
  </sheetData>
  <mergeCells count="30">
    <mergeCell ref="B63:D63"/>
    <mergeCell ref="K63:N63"/>
    <mergeCell ref="B64:D64"/>
    <mergeCell ref="B65:C65"/>
    <mergeCell ref="A88:B88"/>
    <mergeCell ref="B66:E66"/>
    <mergeCell ref="H66:H67"/>
    <mergeCell ref="B68:F68"/>
    <mergeCell ref="B78:D78"/>
    <mergeCell ref="B80:F80"/>
    <mergeCell ref="B60:C60"/>
    <mergeCell ref="L60:M60"/>
    <mergeCell ref="B61:C61"/>
    <mergeCell ref="K61:N61"/>
    <mergeCell ref="L62:N62"/>
    <mergeCell ref="B55:E55"/>
    <mergeCell ref="C56:E56"/>
    <mergeCell ref="B58:C58"/>
    <mergeCell ref="B59:C59"/>
    <mergeCell ref="M59:N59"/>
    <mergeCell ref="K29:L29"/>
    <mergeCell ref="K30:L30"/>
    <mergeCell ref="B53:E53"/>
    <mergeCell ref="B54:E54"/>
    <mergeCell ref="K54:N54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AA8EB-09A4-4A8C-9D9C-B70E8077F21D}">
  <dimension ref="A1:J40"/>
  <sheetViews>
    <sheetView topLeftCell="A6" workbookViewId="0">
      <selection activeCell="C19" sqref="C19"/>
    </sheetView>
  </sheetViews>
  <sheetFormatPr baseColWidth="10" defaultRowHeight="15" x14ac:dyDescent="0.25"/>
  <cols>
    <col min="3" max="3" width="37.85546875" customWidth="1"/>
  </cols>
  <sheetData>
    <row r="1" spans="1:9" ht="15.75" x14ac:dyDescent="0.25">
      <c r="A1" s="496"/>
      <c r="B1" s="109"/>
      <c r="C1" s="522" t="s">
        <v>0</v>
      </c>
      <c r="D1" s="523"/>
      <c r="E1" s="523"/>
      <c r="F1" s="523"/>
      <c r="G1" s="523"/>
      <c r="H1" s="56" t="s">
        <v>1</v>
      </c>
      <c r="I1" s="77"/>
    </row>
    <row r="2" spans="1:9" ht="16.5" thickBot="1" x14ac:dyDescent="0.3">
      <c r="A2" s="497"/>
      <c r="B2" s="110"/>
      <c r="C2" s="524" t="s">
        <v>2</v>
      </c>
      <c r="D2" s="525"/>
      <c r="E2" s="525"/>
      <c r="F2" s="525"/>
      <c r="G2" s="525"/>
      <c r="H2" s="57" t="s">
        <v>3</v>
      </c>
      <c r="I2" s="76"/>
    </row>
    <row r="3" spans="1:9" ht="18.75" thickBot="1" x14ac:dyDescent="0.3">
      <c r="A3" s="497"/>
      <c r="B3" s="111"/>
      <c r="C3" s="526" t="s">
        <v>52</v>
      </c>
      <c r="D3" s="527"/>
      <c r="E3" s="527"/>
      <c r="F3" s="527"/>
      <c r="G3" s="528"/>
      <c r="H3" s="529" t="s">
        <v>5</v>
      </c>
      <c r="I3" s="486"/>
    </row>
    <row r="4" spans="1:9" x14ac:dyDescent="0.25">
      <c r="A4" s="497"/>
      <c r="B4" s="110"/>
      <c r="C4" s="80" t="s">
        <v>6</v>
      </c>
      <c r="D4" s="488" t="s">
        <v>53</v>
      </c>
      <c r="E4" s="489"/>
      <c r="F4" s="489"/>
      <c r="G4" s="490"/>
      <c r="H4" s="530"/>
      <c r="I4" s="487"/>
    </row>
    <row r="5" spans="1:9" ht="15.75" thickBot="1" x14ac:dyDescent="0.3">
      <c r="A5" s="498"/>
      <c r="B5" s="110"/>
      <c r="C5" s="81" t="s">
        <v>8</v>
      </c>
      <c r="D5" s="491" t="s">
        <v>54</v>
      </c>
      <c r="E5" s="492"/>
      <c r="F5" s="492"/>
      <c r="G5" s="493"/>
      <c r="H5" s="531"/>
      <c r="I5" s="487"/>
    </row>
    <row r="6" spans="1:9" ht="25.5" x14ac:dyDescent="0.25">
      <c r="A6" s="532" t="s">
        <v>10</v>
      </c>
      <c r="B6" s="535" t="s">
        <v>11</v>
      </c>
      <c r="C6" s="512" t="s">
        <v>12</v>
      </c>
      <c r="D6" s="512" t="s">
        <v>13</v>
      </c>
      <c r="E6" s="512" t="s">
        <v>14</v>
      </c>
      <c r="F6" s="512"/>
      <c r="G6" s="512" t="s">
        <v>15</v>
      </c>
      <c r="H6" s="512"/>
      <c r="I6" s="53" t="s">
        <v>16</v>
      </c>
    </row>
    <row r="7" spans="1:9" ht="27" thickBot="1" x14ac:dyDescent="0.3">
      <c r="A7" s="533"/>
      <c r="B7" s="536"/>
      <c r="C7" s="534"/>
      <c r="D7" s="513"/>
      <c r="E7" s="54" t="s">
        <v>17</v>
      </c>
      <c r="F7" s="55" t="s">
        <v>18</v>
      </c>
      <c r="G7" s="54" t="s">
        <v>17</v>
      </c>
      <c r="H7" s="55" t="s">
        <v>18</v>
      </c>
      <c r="I7" s="78" t="s">
        <v>19</v>
      </c>
    </row>
    <row r="8" spans="1:9" x14ac:dyDescent="0.25">
      <c r="A8" s="91"/>
      <c r="B8" s="91"/>
      <c r="C8" s="92" t="s">
        <v>55</v>
      </c>
      <c r="D8" s="83"/>
      <c r="E8" s="60"/>
      <c r="F8" s="63"/>
      <c r="G8" s="62"/>
      <c r="H8" s="60"/>
      <c r="I8" s="79"/>
    </row>
    <row r="9" spans="1:9" x14ac:dyDescent="0.25">
      <c r="A9" s="113" t="s">
        <v>56</v>
      </c>
      <c r="B9" s="113" t="s">
        <v>56</v>
      </c>
      <c r="C9" s="114" t="s">
        <v>4</v>
      </c>
      <c r="D9" s="87" t="s">
        <v>22</v>
      </c>
      <c r="E9" s="87">
        <v>1170</v>
      </c>
      <c r="F9" s="87" t="s">
        <v>23</v>
      </c>
      <c r="G9" s="494" t="s">
        <v>57</v>
      </c>
      <c r="H9" s="495"/>
      <c r="I9" s="82"/>
    </row>
    <row r="10" spans="1:9" x14ac:dyDescent="0.25">
      <c r="A10" s="115">
        <v>96344</v>
      </c>
      <c r="B10" s="116" t="s">
        <v>58</v>
      </c>
      <c r="C10" s="112" t="s">
        <v>59</v>
      </c>
      <c r="D10" s="87" t="s">
        <v>22</v>
      </c>
      <c r="E10" s="87">
        <v>200</v>
      </c>
      <c r="F10" s="87" t="s">
        <v>23</v>
      </c>
      <c r="G10" s="494"/>
      <c r="H10" s="495"/>
      <c r="I10" s="82"/>
    </row>
    <row r="11" spans="1:9" x14ac:dyDescent="0.25">
      <c r="A11" s="87"/>
      <c r="B11" s="87"/>
      <c r="C11" s="97"/>
      <c r="D11" s="87"/>
      <c r="E11" s="87"/>
      <c r="F11" s="87"/>
      <c r="G11" s="58"/>
      <c r="H11" s="59"/>
      <c r="I11" s="82"/>
    </row>
    <row r="12" spans="1:9" x14ac:dyDescent="0.25">
      <c r="A12" s="87"/>
      <c r="B12" s="87"/>
      <c r="C12" s="98" t="s">
        <v>60</v>
      </c>
      <c r="D12" s="87"/>
      <c r="E12" s="87"/>
      <c r="F12" s="87"/>
      <c r="G12" s="58"/>
      <c r="H12" s="59"/>
      <c r="I12" s="82"/>
    </row>
    <row r="13" spans="1:9" x14ac:dyDescent="0.25">
      <c r="A13" s="113" t="s">
        <v>56</v>
      </c>
      <c r="B13" s="113" t="s">
        <v>56</v>
      </c>
      <c r="C13" s="114" t="s">
        <v>61</v>
      </c>
      <c r="D13" s="87" t="s">
        <v>22</v>
      </c>
      <c r="E13" s="87">
        <v>160</v>
      </c>
      <c r="F13" s="87" t="s">
        <v>23</v>
      </c>
      <c r="G13" s="514" t="s">
        <v>62</v>
      </c>
      <c r="H13" s="515"/>
      <c r="I13" s="516"/>
    </row>
    <row r="14" spans="1:9" x14ac:dyDescent="0.25">
      <c r="A14" s="113" t="s">
        <v>56</v>
      </c>
      <c r="B14" s="113" t="s">
        <v>56</v>
      </c>
      <c r="C14" s="114" t="s">
        <v>63</v>
      </c>
      <c r="D14" s="87" t="s">
        <v>22</v>
      </c>
      <c r="E14" s="87">
        <v>70</v>
      </c>
      <c r="F14" s="87" t="s">
        <v>23</v>
      </c>
      <c r="G14" s="517" t="s">
        <v>64</v>
      </c>
      <c r="H14" s="518"/>
      <c r="I14" s="519"/>
    </row>
    <row r="15" spans="1:9" x14ac:dyDescent="0.25">
      <c r="A15" s="113" t="s">
        <v>56</v>
      </c>
      <c r="B15" s="113" t="s">
        <v>56</v>
      </c>
      <c r="C15" s="114" t="s">
        <v>65</v>
      </c>
      <c r="D15" s="87" t="s">
        <v>22</v>
      </c>
      <c r="E15" s="87">
        <v>10</v>
      </c>
      <c r="F15" s="87" t="s">
        <v>23</v>
      </c>
      <c r="G15" s="494"/>
      <c r="H15" s="520"/>
      <c r="I15" s="521"/>
    </row>
    <row r="16" spans="1:9" x14ac:dyDescent="0.25">
      <c r="A16" s="87"/>
      <c r="B16" s="87"/>
      <c r="C16" s="97"/>
      <c r="D16" s="87"/>
      <c r="E16" s="87"/>
      <c r="F16" s="87"/>
      <c r="G16" s="58"/>
      <c r="H16" s="84"/>
      <c r="I16" s="85"/>
    </row>
    <row r="17" spans="1:10" x14ac:dyDescent="0.25">
      <c r="A17" s="87"/>
      <c r="B17" s="87"/>
      <c r="C17" s="98" t="s">
        <v>66</v>
      </c>
      <c r="D17" s="87"/>
      <c r="E17" s="87"/>
      <c r="F17" s="87"/>
      <c r="G17" s="58"/>
      <c r="H17" s="84"/>
      <c r="I17" s="85"/>
      <c r="J17" s="52"/>
    </row>
    <row r="18" spans="1:10" x14ac:dyDescent="0.25">
      <c r="A18" s="87" t="s">
        <v>67</v>
      </c>
      <c r="B18" s="87" t="s">
        <v>68</v>
      </c>
      <c r="C18" s="97" t="s">
        <v>69</v>
      </c>
      <c r="D18" s="87" t="s">
        <v>70</v>
      </c>
      <c r="E18" s="87">
        <v>1</v>
      </c>
      <c r="F18" s="87" t="s">
        <v>29</v>
      </c>
      <c r="G18" s="62"/>
      <c r="H18" s="60"/>
      <c r="I18" s="61"/>
      <c r="J18" s="52"/>
    </row>
    <row r="19" spans="1:10" x14ac:dyDescent="0.25">
      <c r="A19" s="87" t="s">
        <v>71</v>
      </c>
      <c r="B19" s="87" t="s">
        <v>72</v>
      </c>
      <c r="C19" s="97" t="s">
        <v>73</v>
      </c>
      <c r="D19" s="87" t="s">
        <v>74</v>
      </c>
      <c r="E19" s="87">
        <v>1</v>
      </c>
      <c r="F19" s="87" t="s">
        <v>29</v>
      </c>
      <c r="G19" s="62"/>
      <c r="H19" s="60"/>
      <c r="I19" s="61"/>
      <c r="J19" s="52"/>
    </row>
    <row r="20" spans="1:10" x14ac:dyDescent="0.25">
      <c r="A20" s="87" t="s">
        <v>75</v>
      </c>
      <c r="B20" s="87" t="s">
        <v>68</v>
      </c>
      <c r="C20" s="97" t="s">
        <v>34</v>
      </c>
      <c r="D20" s="87" t="s">
        <v>76</v>
      </c>
      <c r="E20" s="87">
        <v>1</v>
      </c>
      <c r="F20" s="87" t="s">
        <v>29</v>
      </c>
      <c r="G20" s="62"/>
      <c r="H20" s="60"/>
      <c r="I20" s="61"/>
      <c r="J20" s="52"/>
    </row>
    <row r="21" spans="1:10" x14ac:dyDescent="0.25">
      <c r="A21" s="87" t="s">
        <v>77</v>
      </c>
      <c r="B21" s="87" t="s">
        <v>78</v>
      </c>
      <c r="C21" s="97" t="s">
        <v>79</v>
      </c>
      <c r="D21" s="87" t="s">
        <v>32</v>
      </c>
      <c r="E21" s="87">
        <v>1</v>
      </c>
      <c r="F21" s="87" t="s">
        <v>29</v>
      </c>
      <c r="G21" s="62"/>
      <c r="H21" s="60"/>
      <c r="I21" s="61"/>
      <c r="J21" s="52"/>
    </row>
    <row r="22" spans="1:10" x14ac:dyDescent="0.25">
      <c r="A22" s="87" t="s">
        <v>80</v>
      </c>
      <c r="B22" s="87" t="s">
        <v>81</v>
      </c>
      <c r="C22" s="97" t="s">
        <v>82</v>
      </c>
      <c r="D22" s="87" t="s">
        <v>83</v>
      </c>
      <c r="E22" s="87">
        <v>1</v>
      </c>
      <c r="F22" s="87" t="s">
        <v>29</v>
      </c>
      <c r="G22" s="62"/>
      <c r="H22" s="62"/>
      <c r="I22" s="61"/>
      <c r="J22" s="52"/>
    </row>
    <row r="23" spans="1:10" x14ac:dyDescent="0.25">
      <c r="A23" s="87" t="s">
        <v>84</v>
      </c>
      <c r="B23" s="87" t="s">
        <v>68</v>
      </c>
      <c r="C23" s="97" t="s">
        <v>31</v>
      </c>
      <c r="D23" s="87" t="s">
        <v>32</v>
      </c>
      <c r="E23" s="87">
        <v>1</v>
      </c>
      <c r="F23" s="87" t="s">
        <v>29</v>
      </c>
      <c r="G23" s="62"/>
      <c r="H23" s="62"/>
      <c r="I23" s="61"/>
      <c r="J23" s="52"/>
    </row>
    <row r="24" spans="1:10" x14ac:dyDescent="0.25">
      <c r="A24" s="87" t="s">
        <v>85</v>
      </c>
      <c r="B24" s="87" t="s">
        <v>86</v>
      </c>
      <c r="C24" s="97" t="s">
        <v>87</v>
      </c>
      <c r="D24" s="87" t="s">
        <v>76</v>
      </c>
      <c r="E24" s="87">
        <v>60</v>
      </c>
      <c r="F24" s="87" t="s">
        <v>88</v>
      </c>
      <c r="G24" s="63"/>
      <c r="H24" s="63"/>
      <c r="I24" s="61"/>
      <c r="J24" s="52"/>
    </row>
    <row r="25" spans="1:10" ht="15.75" thickBot="1" x14ac:dyDescent="0.3">
      <c r="A25" s="95"/>
      <c r="B25" s="95"/>
      <c r="C25" s="96"/>
      <c r="D25" s="64"/>
      <c r="E25" s="65"/>
      <c r="F25" s="66"/>
      <c r="G25" s="64"/>
      <c r="H25" s="64"/>
      <c r="I25" s="67"/>
      <c r="J25" s="52"/>
    </row>
    <row r="26" spans="1:10" ht="15.75" thickBot="1" x14ac:dyDescent="0.3">
      <c r="A26" s="93"/>
      <c r="B26" s="93"/>
      <c r="C26" s="94"/>
      <c r="D26" s="68" t="s">
        <v>17</v>
      </c>
      <c r="E26" s="69" t="s">
        <v>36</v>
      </c>
      <c r="F26" s="70"/>
      <c r="G26" s="71"/>
      <c r="H26" s="71"/>
      <c r="I26" s="72"/>
      <c r="J26" s="52"/>
    </row>
    <row r="27" spans="1:10" x14ac:dyDescent="0.25">
      <c r="A27" s="471" t="s">
        <v>37</v>
      </c>
      <c r="B27" s="471"/>
      <c r="C27" s="471"/>
      <c r="D27" s="88">
        <v>1600</v>
      </c>
      <c r="E27" s="73" t="s">
        <v>23</v>
      </c>
      <c r="F27" s="509" t="s">
        <v>38</v>
      </c>
      <c r="G27" s="509"/>
      <c r="H27" s="510"/>
      <c r="I27" s="511"/>
      <c r="J27" s="52"/>
    </row>
    <row r="28" spans="1:10" x14ac:dyDescent="0.25">
      <c r="A28" s="471" t="s">
        <v>39</v>
      </c>
      <c r="B28" s="471"/>
      <c r="C28" s="471"/>
      <c r="D28" s="89">
        <v>6</v>
      </c>
      <c r="E28" s="60" t="s">
        <v>40</v>
      </c>
      <c r="F28" s="472" t="s">
        <v>41</v>
      </c>
      <c r="G28" s="472"/>
      <c r="H28" s="473"/>
      <c r="I28" s="474"/>
      <c r="J28" s="52"/>
    </row>
    <row r="29" spans="1:10" x14ac:dyDescent="0.25">
      <c r="A29" s="471" t="s">
        <v>42</v>
      </c>
      <c r="B29" s="471"/>
      <c r="C29" s="471"/>
      <c r="D29" s="90">
        <v>1</v>
      </c>
      <c r="E29" s="60" t="s">
        <v>29</v>
      </c>
      <c r="F29" s="472" t="s">
        <v>43</v>
      </c>
      <c r="G29" s="472"/>
      <c r="H29" s="473"/>
      <c r="I29" s="474"/>
      <c r="J29" s="52"/>
    </row>
    <row r="30" spans="1:10" x14ac:dyDescent="0.25">
      <c r="A30" s="471" t="s">
        <v>44</v>
      </c>
      <c r="B30" s="471"/>
      <c r="C30" s="471"/>
      <c r="D30" s="86">
        <v>1600</v>
      </c>
      <c r="E30" s="60" t="s">
        <v>23</v>
      </c>
      <c r="F30" s="475" t="s">
        <v>45</v>
      </c>
      <c r="G30" s="476"/>
      <c r="H30" s="473"/>
      <c r="I30" s="474"/>
      <c r="J30" s="52"/>
    </row>
    <row r="31" spans="1:10" ht="15.75" thickBot="1" x14ac:dyDescent="0.3">
      <c r="A31" s="505" t="s">
        <v>46</v>
      </c>
      <c r="B31" s="506"/>
      <c r="C31" s="507"/>
      <c r="D31" s="75">
        <v>10</v>
      </c>
      <c r="E31" s="74" t="s">
        <v>23</v>
      </c>
      <c r="F31" s="468"/>
      <c r="G31" s="468"/>
      <c r="H31" s="469"/>
      <c r="I31" s="470"/>
      <c r="J31" s="64"/>
    </row>
    <row r="32" spans="1:10" ht="15.75" thickBot="1" x14ac:dyDescent="0.3">
      <c r="A32" s="480" t="s">
        <v>47</v>
      </c>
      <c r="B32" s="481"/>
      <c r="C32" s="481"/>
      <c r="D32" s="481"/>
      <c r="E32" s="481"/>
      <c r="F32" s="481"/>
      <c r="G32" s="481"/>
      <c r="H32" s="481"/>
      <c r="I32" s="482"/>
      <c r="J32" s="52"/>
    </row>
    <row r="33" spans="1:9" ht="15.75" x14ac:dyDescent="0.25">
      <c r="A33" s="483" t="s">
        <v>89</v>
      </c>
      <c r="B33" s="484"/>
      <c r="C33" s="484"/>
      <c r="D33" s="484"/>
      <c r="E33" s="484"/>
      <c r="F33" s="484"/>
      <c r="G33" s="484"/>
      <c r="H33" s="484"/>
      <c r="I33" s="485"/>
    </row>
    <row r="34" spans="1:9" ht="15.75" x14ac:dyDescent="0.25">
      <c r="A34" s="499" t="s">
        <v>90</v>
      </c>
      <c r="B34" s="500"/>
      <c r="C34" s="500"/>
      <c r="D34" s="500"/>
      <c r="E34" s="500"/>
      <c r="F34" s="500"/>
      <c r="G34" s="500"/>
      <c r="H34" s="500"/>
      <c r="I34" s="501"/>
    </row>
    <row r="35" spans="1:9" ht="16.5" thickBot="1" x14ac:dyDescent="0.3">
      <c r="A35" s="502" t="s">
        <v>91</v>
      </c>
      <c r="B35" s="503"/>
      <c r="C35" s="503"/>
      <c r="D35" s="503"/>
      <c r="E35" s="503"/>
      <c r="F35" s="503"/>
      <c r="G35" s="503"/>
      <c r="H35" s="503"/>
      <c r="I35" s="504"/>
    </row>
    <row r="36" spans="1:9" ht="16.5" thickBot="1" x14ac:dyDescent="0.3">
      <c r="A36" s="508" t="s">
        <v>92</v>
      </c>
      <c r="B36" s="508"/>
      <c r="C36" s="508"/>
      <c r="D36" s="508"/>
      <c r="E36" s="508"/>
      <c r="F36" s="508"/>
      <c r="G36" s="508"/>
      <c r="H36" s="508"/>
      <c r="I36" s="508"/>
    </row>
    <row r="37" spans="1:9" ht="15.75" thickBot="1" x14ac:dyDescent="0.3">
      <c r="A37" s="477"/>
      <c r="B37" s="478"/>
      <c r="C37" s="478"/>
      <c r="D37" s="478"/>
      <c r="E37" s="478"/>
      <c r="F37" s="478"/>
      <c r="G37" s="478"/>
      <c r="H37" s="478"/>
      <c r="I37" s="479"/>
    </row>
    <row r="38" spans="1:9" ht="15.75" thickBot="1" x14ac:dyDescent="0.3">
      <c r="A38" s="477"/>
      <c r="B38" s="478"/>
      <c r="C38" s="478"/>
      <c r="D38" s="478"/>
      <c r="E38" s="478"/>
      <c r="F38" s="478"/>
      <c r="G38" s="478"/>
      <c r="H38" s="478"/>
      <c r="I38" s="479"/>
    </row>
    <row r="39" spans="1:9" ht="15.75" thickBot="1" x14ac:dyDescent="0.3">
      <c r="A39" s="477"/>
      <c r="B39" s="478"/>
      <c r="C39" s="478"/>
      <c r="D39" s="478"/>
      <c r="E39" s="478"/>
      <c r="F39" s="478"/>
      <c r="G39" s="478"/>
      <c r="H39" s="478"/>
      <c r="I39" s="479"/>
    </row>
    <row r="40" spans="1:9" ht="15.75" thickBot="1" x14ac:dyDescent="0.3">
      <c r="A40" s="477"/>
      <c r="B40" s="478"/>
      <c r="C40" s="478"/>
      <c r="D40" s="478"/>
      <c r="E40" s="478"/>
      <c r="F40" s="478"/>
      <c r="G40" s="478"/>
      <c r="H40" s="478"/>
      <c r="I40" s="479"/>
    </row>
  </sheetData>
  <mergeCells count="43">
    <mergeCell ref="C1:G1"/>
    <mergeCell ref="C2:G2"/>
    <mergeCell ref="C3:G3"/>
    <mergeCell ref="H3:H5"/>
    <mergeCell ref="A6:A7"/>
    <mergeCell ref="C6:C7"/>
    <mergeCell ref="G6:H6"/>
    <mergeCell ref="B6:B7"/>
    <mergeCell ref="F27:G27"/>
    <mergeCell ref="H27:I27"/>
    <mergeCell ref="D6:D7"/>
    <mergeCell ref="E6:F6"/>
    <mergeCell ref="G13:I13"/>
    <mergeCell ref="G14:I14"/>
    <mergeCell ref="G15:I15"/>
    <mergeCell ref="I3:I5"/>
    <mergeCell ref="D4:G4"/>
    <mergeCell ref="D5:G5"/>
    <mergeCell ref="A38:I38"/>
    <mergeCell ref="G9:H9"/>
    <mergeCell ref="A1:A5"/>
    <mergeCell ref="H30:I30"/>
    <mergeCell ref="A28:C28"/>
    <mergeCell ref="F28:G28"/>
    <mergeCell ref="H28:I28"/>
    <mergeCell ref="A34:I34"/>
    <mergeCell ref="A35:I35"/>
    <mergeCell ref="A31:C31"/>
    <mergeCell ref="A36:I36"/>
    <mergeCell ref="G10:H10"/>
    <mergeCell ref="A27:C27"/>
    <mergeCell ref="A40:I40"/>
    <mergeCell ref="A39:I39"/>
    <mergeCell ref="A37:I37"/>
    <mergeCell ref="A32:I32"/>
    <mergeCell ref="A33:I33"/>
    <mergeCell ref="F31:G31"/>
    <mergeCell ref="H31:I31"/>
    <mergeCell ref="A29:C29"/>
    <mergeCell ref="F29:G29"/>
    <mergeCell ref="H29:I29"/>
    <mergeCell ref="A30:C30"/>
    <mergeCell ref="F30:G3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033E9-2F17-4FFF-ABD6-790346A941A7}">
  <dimension ref="A1:Q93"/>
  <sheetViews>
    <sheetView topLeftCell="A54" workbookViewId="0">
      <selection sqref="A1:XFD1048576"/>
    </sheetView>
  </sheetViews>
  <sheetFormatPr baseColWidth="10" defaultColWidth="8.42578125" defaultRowHeight="12.75" x14ac:dyDescent="0.25"/>
  <cols>
    <col min="1" max="1" width="10" style="122" bestFit="1" customWidth="1"/>
    <col min="2" max="2" width="44.28515625" style="122" bestFit="1" customWidth="1"/>
    <col min="3" max="3" width="10.42578125" style="122" bestFit="1" customWidth="1"/>
    <col min="4" max="4" width="10.42578125" style="122" customWidth="1"/>
    <col min="5" max="5" width="9.7109375" style="122" bestFit="1" customWidth="1"/>
    <col min="6" max="6" width="9.5703125" style="122" bestFit="1" customWidth="1"/>
    <col min="7" max="7" width="9.5703125" style="107" bestFit="1" customWidth="1"/>
    <col min="8" max="8" width="10.42578125" style="187" bestFit="1" customWidth="1"/>
    <col min="9" max="9" width="4.5703125" style="187" customWidth="1"/>
    <col min="10" max="10" width="1.85546875" style="121" customWidth="1"/>
    <col min="11" max="11" width="7" style="122" bestFit="1" customWidth="1"/>
    <col min="12" max="12" width="6.28515625" style="122" customWidth="1"/>
    <col min="13" max="13" width="20.42578125" style="122" customWidth="1"/>
    <col min="14" max="14" width="6.42578125" style="122" bestFit="1" customWidth="1"/>
    <col min="15" max="16" width="8.42578125" style="122"/>
    <col min="17" max="17" width="3.28515625" style="122" customWidth="1"/>
    <col min="18" max="256" width="8.42578125" style="122"/>
    <col min="257" max="257" width="10" style="122" bestFit="1" customWidth="1"/>
    <col min="258" max="258" width="44.28515625" style="122" bestFit="1" customWidth="1"/>
    <col min="259" max="259" width="10.42578125" style="122" bestFit="1" customWidth="1"/>
    <col min="260" max="260" width="10.42578125" style="122" customWidth="1"/>
    <col min="261" max="261" width="9.7109375" style="122" bestFit="1" customWidth="1"/>
    <col min="262" max="263" width="9.5703125" style="122" bestFit="1" customWidth="1"/>
    <col min="264" max="264" width="10.42578125" style="122" bestFit="1" customWidth="1"/>
    <col min="265" max="265" width="4.5703125" style="122" customWidth="1"/>
    <col min="266" max="266" width="1.85546875" style="122" customWidth="1"/>
    <col min="267" max="267" width="7" style="122" bestFit="1" customWidth="1"/>
    <col min="268" max="268" width="6.28515625" style="122" customWidth="1"/>
    <col min="269" max="269" width="20.42578125" style="122" customWidth="1"/>
    <col min="270" max="270" width="6.42578125" style="122" bestFit="1" customWidth="1"/>
    <col min="271" max="272" width="8.42578125" style="122"/>
    <col min="273" max="273" width="3.28515625" style="122" customWidth="1"/>
    <col min="274" max="512" width="8.42578125" style="122"/>
    <col min="513" max="513" width="10" style="122" bestFit="1" customWidth="1"/>
    <col min="514" max="514" width="44.28515625" style="122" bestFit="1" customWidth="1"/>
    <col min="515" max="515" width="10.42578125" style="122" bestFit="1" customWidth="1"/>
    <col min="516" max="516" width="10.42578125" style="122" customWidth="1"/>
    <col min="517" max="517" width="9.7109375" style="122" bestFit="1" customWidth="1"/>
    <col min="518" max="519" width="9.5703125" style="122" bestFit="1" customWidth="1"/>
    <col min="520" max="520" width="10.42578125" style="122" bestFit="1" customWidth="1"/>
    <col min="521" max="521" width="4.5703125" style="122" customWidth="1"/>
    <col min="522" max="522" width="1.85546875" style="122" customWidth="1"/>
    <col min="523" max="523" width="7" style="122" bestFit="1" customWidth="1"/>
    <col min="524" max="524" width="6.28515625" style="122" customWidth="1"/>
    <col min="525" max="525" width="20.42578125" style="122" customWidth="1"/>
    <col min="526" max="526" width="6.42578125" style="122" bestFit="1" customWidth="1"/>
    <col min="527" max="528" width="8.42578125" style="122"/>
    <col min="529" max="529" width="3.28515625" style="122" customWidth="1"/>
    <col min="530" max="768" width="8.42578125" style="122"/>
    <col min="769" max="769" width="10" style="122" bestFit="1" customWidth="1"/>
    <col min="770" max="770" width="44.28515625" style="122" bestFit="1" customWidth="1"/>
    <col min="771" max="771" width="10.42578125" style="122" bestFit="1" customWidth="1"/>
    <col min="772" max="772" width="10.42578125" style="122" customWidth="1"/>
    <col min="773" max="773" width="9.7109375" style="122" bestFit="1" customWidth="1"/>
    <col min="774" max="775" width="9.5703125" style="122" bestFit="1" customWidth="1"/>
    <col min="776" max="776" width="10.42578125" style="122" bestFit="1" customWidth="1"/>
    <col min="777" max="777" width="4.5703125" style="122" customWidth="1"/>
    <col min="778" max="778" width="1.85546875" style="122" customWidth="1"/>
    <col min="779" max="779" width="7" style="122" bestFit="1" customWidth="1"/>
    <col min="780" max="780" width="6.28515625" style="122" customWidth="1"/>
    <col min="781" max="781" width="20.42578125" style="122" customWidth="1"/>
    <col min="782" max="782" width="6.42578125" style="122" bestFit="1" customWidth="1"/>
    <col min="783" max="784" width="8.42578125" style="122"/>
    <col min="785" max="785" width="3.28515625" style="122" customWidth="1"/>
    <col min="786" max="1024" width="8.42578125" style="122"/>
    <col min="1025" max="1025" width="10" style="122" bestFit="1" customWidth="1"/>
    <col min="1026" max="1026" width="44.28515625" style="122" bestFit="1" customWidth="1"/>
    <col min="1027" max="1027" width="10.42578125" style="122" bestFit="1" customWidth="1"/>
    <col min="1028" max="1028" width="10.42578125" style="122" customWidth="1"/>
    <col min="1029" max="1029" width="9.7109375" style="122" bestFit="1" customWidth="1"/>
    <col min="1030" max="1031" width="9.5703125" style="122" bestFit="1" customWidth="1"/>
    <col min="1032" max="1032" width="10.42578125" style="122" bestFit="1" customWidth="1"/>
    <col min="1033" max="1033" width="4.5703125" style="122" customWidth="1"/>
    <col min="1034" max="1034" width="1.85546875" style="122" customWidth="1"/>
    <col min="1035" max="1035" width="7" style="122" bestFit="1" customWidth="1"/>
    <col min="1036" max="1036" width="6.28515625" style="122" customWidth="1"/>
    <col min="1037" max="1037" width="20.42578125" style="122" customWidth="1"/>
    <col min="1038" max="1038" width="6.42578125" style="122" bestFit="1" customWidth="1"/>
    <col min="1039" max="1040" width="8.42578125" style="122"/>
    <col min="1041" max="1041" width="3.28515625" style="122" customWidth="1"/>
    <col min="1042" max="1280" width="8.42578125" style="122"/>
    <col min="1281" max="1281" width="10" style="122" bestFit="1" customWidth="1"/>
    <col min="1282" max="1282" width="44.28515625" style="122" bestFit="1" customWidth="1"/>
    <col min="1283" max="1283" width="10.42578125" style="122" bestFit="1" customWidth="1"/>
    <col min="1284" max="1284" width="10.42578125" style="122" customWidth="1"/>
    <col min="1285" max="1285" width="9.7109375" style="122" bestFit="1" customWidth="1"/>
    <col min="1286" max="1287" width="9.5703125" style="122" bestFit="1" customWidth="1"/>
    <col min="1288" max="1288" width="10.42578125" style="122" bestFit="1" customWidth="1"/>
    <col min="1289" max="1289" width="4.5703125" style="122" customWidth="1"/>
    <col min="1290" max="1290" width="1.85546875" style="122" customWidth="1"/>
    <col min="1291" max="1291" width="7" style="122" bestFit="1" customWidth="1"/>
    <col min="1292" max="1292" width="6.28515625" style="122" customWidth="1"/>
    <col min="1293" max="1293" width="20.42578125" style="122" customWidth="1"/>
    <col min="1294" max="1294" width="6.42578125" style="122" bestFit="1" customWidth="1"/>
    <col min="1295" max="1296" width="8.42578125" style="122"/>
    <col min="1297" max="1297" width="3.28515625" style="122" customWidth="1"/>
    <col min="1298" max="1536" width="8.42578125" style="122"/>
    <col min="1537" max="1537" width="10" style="122" bestFit="1" customWidth="1"/>
    <col min="1538" max="1538" width="44.28515625" style="122" bestFit="1" customWidth="1"/>
    <col min="1539" max="1539" width="10.42578125" style="122" bestFit="1" customWidth="1"/>
    <col min="1540" max="1540" width="10.42578125" style="122" customWidth="1"/>
    <col min="1541" max="1541" width="9.7109375" style="122" bestFit="1" customWidth="1"/>
    <col min="1542" max="1543" width="9.5703125" style="122" bestFit="1" customWidth="1"/>
    <col min="1544" max="1544" width="10.42578125" style="122" bestFit="1" customWidth="1"/>
    <col min="1545" max="1545" width="4.5703125" style="122" customWidth="1"/>
    <col min="1546" max="1546" width="1.85546875" style="122" customWidth="1"/>
    <col min="1547" max="1547" width="7" style="122" bestFit="1" customWidth="1"/>
    <col min="1548" max="1548" width="6.28515625" style="122" customWidth="1"/>
    <col min="1549" max="1549" width="20.42578125" style="122" customWidth="1"/>
    <col min="1550" max="1550" width="6.42578125" style="122" bestFit="1" customWidth="1"/>
    <col min="1551" max="1552" width="8.42578125" style="122"/>
    <col min="1553" max="1553" width="3.28515625" style="122" customWidth="1"/>
    <col min="1554" max="1792" width="8.42578125" style="122"/>
    <col min="1793" max="1793" width="10" style="122" bestFit="1" customWidth="1"/>
    <col min="1794" max="1794" width="44.28515625" style="122" bestFit="1" customWidth="1"/>
    <col min="1795" max="1795" width="10.42578125" style="122" bestFit="1" customWidth="1"/>
    <col min="1796" max="1796" width="10.42578125" style="122" customWidth="1"/>
    <col min="1797" max="1797" width="9.7109375" style="122" bestFit="1" customWidth="1"/>
    <col min="1798" max="1799" width="9.5703125" style="122" bestFit="1" customWidth="1"/>
    <col min="1800" max="1800" width="10.42578125" style="122" bestFit="1" customWidth="1"/>
    <col min="1801" max="1801" width="4.5703125" style="122" customWidth="1"/>
    <col min="1802" max="1802" width="1.85546875" style="122" customWidth="1"/>
    <col min="1803" max="1803" width="7" style="122" bestFit="1" customWidth="1"/>
    <col min="1804" max="1804" width="6.28515625" style="122" customWidth="1"/>
    <col min="1805" max="1805" width="20.42578125" style="122" customWidth="1"/>
    <col min="1806" max="1806" width="6.42578125" style="122" bestFit="1" customWidth="1"/>
    <col min="1807" max="1808" width="8.42578125" style="122"/>
    <col min="1809" max="1809" width="3.28515625" style="122" customWidth="1"/>
    <col min="1810" max="2048" width="8.42578125" style="122"/>
    <col min="2049" max="2049" width="10" style="122" bestFit="1" customWidth="1"/>
    <col min="2050" max="2050" width="44.28515625" style="122" bestFit="1" customWidth="1"/>
    <col min="2051" max="2051" width="10.42578125" style="122" bestFit="1" customWidth="1"/>
    <col min="2052" max="2052" width="10.42578125" style="122" customWidth="1"/>
    <col min="2053" max="2053" width="9.7109375" style="122" bestFit="1" customWidth="1"/>
    <col min="2054" max="2055" width="9.5703125" style="122" bestFit="1" customWidth="1"/>
    <col min="2056" max="2056" width="10.42578125" style="122" bestFit="1" customWidth="1"/>
    <col min="2057" max="2057" width="4.5703125" style="122" customWidth="1"/>
    <col min="2058" max="2058" width="1.85546875" style="122" customWidth="1"/>
    <col min="2059" max="2059" width="7" style="122" bestFit="1" customWidth="1"/>
    <col min="2060" max="2060" width="6.28515625" style="122" customWidth="1"/>
    <col min="2061" max="2061" width="20.42578125" style="122" customWidth="1"/>
    <col min="2062" max="2062" width="6.42578125" style="122" bestFit="1" customWidth="1"/>
    <col min="2063" max="2064" width="8.42578125" style="122"/>
    <col min="2065" max="2065" width="3.28515625" style="122" customWidth="1"/>
    <col min="2066" max="2304" width="8.42578125" style="122"/>
    <col min="2305" max="2305" width="10" style="122" bestFit="1" customWidth="1"/>
    <col min="2306" max="2306" width="44.28515625" style="122" bestFit="1" customWidth="1"/>
    <col min="2307" max="2307" width="10.42578125" style="122" bestFit="1" customWidth="1"/>
    <col min="2308" max="2308" width="10.42578125" style="122" customWidth="1"/>
    <col min="2309" max="2309" width="9.7109375" style="122" bestFit="1" customWidth="1"/>
    <col min="2310" max="2311" width="9.5703125" style="122" bestFit="1" customWidth="1"/>
    <col min="2312" max="2312" width="10.42578125" style="122" bestFit="1" customWidth="1"/>
    <col min="2313" max="2313" width="4.5703125" style="122" customWidth="1"/>
    <col min="2314" max="2314" width="1.85546875" style="122" customWidth="1"/>
    <col min="2315" max="2315" width="7" style="122" bestFit="1" customWidth="1"/>
    <col min="2316" max="2316" width="6.28515625" style="122" customWidth="1"/>
    <col min="2317" max="2317" width="20.42578125" style="122" customWidth="1"/>
    <col min="2318" max="2318" width="6.42578125" style="122" bestFit="1" customWidth="1"/>
    <col min="2319" max="2320" width="8.42578125" style="122"/>
    <col min="2321" max="2321" width="3.28515625" style="122" customWidth="1"/>
    <col min="2322" max="2560" width="8.42578125" style="122"/>
    <col min="2561" max="2561" width="10" style="122" bestFit="1" customWidth="1"/>
    <col min="2562" max="2562" width="44.28515625" style="122" bestFit="1" customWidth="1"/>
    <col min="2563" max="2563" width="10.42578125" style="122" bestFit="1" customWidth="1"/>
    <col min="2564" max="2564" width="10.42578125" style="122" customWidth="1"/>
    <col min="2565" max="2565" width="9.7109375" style="122" bestFit="1" customWidth="1"/>
    <col min="2566" max="2567" width="9.5703125" style="122" bestFit="1" customWidth="1"/>
    <col min="2568" max="2568" width="10.42578125" style="122" bestFit="1" customWidth="1"/>
    <col min="2569" max="2569" width="4.5703125" style="122" customWidth="1"/>
    <col min="2570" max="2570" width="1.85546875" style="122" customWidth="1"/>
    <col min="2571" max="2571" width="7" style="122" bestFit="1" customWidth="1"/>
    <col min="2572" max="2572" width="6.28515625" style="122" customWidth="1"/>
    <col min="2573" max="2573" width="20.42578125" style="122" customWidth="1"/>
    <col min="2574" max="2574" width="6.42578125" style="122" bestFit="1" customWidth="1"/>
    <col min="2575" max="2576" width="8.42578125" style="122"/>
    <col min="2577" max="2577" width="3.28515625" style="122" customWidth="1"/>
    <col min="2578" max="2816" width="8.42578125" style="122"/>
    <col min="2817" max="2817" width="10" style="122" bestFit="1" customWidth="1"/>
    <col min="2818" max="2818" width="44.28515625" style="122" bestFit="1" customWidth="1"/>
    <col min="2819" max="2819" width="10.42578125" style="122" bestFit="1" customWidth="1"/>
    <col min="2820" max="2820" width="10.42578125" style="122" customWidth="1"/>
    <col min="2821" max="2821" width="9.7109375" style="122" bestFit="1" customWidth="1"/>
    <col min="2822" max="2823" width="9.5703125" style="122" bestFit="1" customWidth="1"/>
    <col min="2824" max="2824" width="10.42578125" style="122" bestFit="1" customWidth="1"/>
    <col min="2825" max="2825" width="4.5703125" style="122" customWidth="1"/>
    <col min="2826" max="2826" width="1.85546875" style="122" customWidth="1"/>
    <col min="2827" max="2827" width="7" style="122" bestFit="1" customWidth="1"/>
    <col min="2828" max="2828" width="6.28515625" style="122" customWidth="1"/>
    <col min="2829" max="2829" width="20.42578125" style="122" customWidth="1"/>
    <col min="2830" max="2830" width="6.42578125" style="122" bestFit="1" customWidth="1"/>
    <col min="2831" max="2832" width="8.42578125" style="122"/>
    <col min="2833" max="2833" width="3.28515625" style="122" customWidth="1"/>
    <col min="2834" max="3072" width="8.42578125" style="122"/>
    <col min="3073" max="3073" width="10" style="122" bestFit="1" customWidth="1"/>
    <col min="3074" max="3074" width="44.28515625" style="122" bestFit="1" customWidth="1"/>
    <col min="3075" max="3075" width="10.42578125" style="122" bestFit="1" customWidth="1"/>
    <col min="3076" max="3076" width="10.42578125" style="122" customWidth="1"/>
    <col min="3077" max="3077" width="9.7109375" style="122" bestFit="1" customWidth="1"/>
    <col min="3078" max="3079" width="9.5703125" style="122" bestFit="1" customWidth="1"/>
    <col min="3080" max="3080" width="10.42578125" style="122" bestFit="1" customWidth="1"/>
    <col min="3081" max="3081" width="4.5703125" style="122" customWidth="1"/>
    <col min="3082" max="3082" width="1.85546875" style="122" customWidth="1"/>
    <col min="3083" max="3083" width="7" style="122" bestFit="1" customWidth="1"/>
    <col min="3084" max="3084" width="6.28515625" style="122" customWidth="1"/>
    <col min="3085" max="3085" width="20.42578125" style="122" customWidth="1"/>
    <col min="3086" max="3086" width="6.42578125" style="122" bestFit="1" customWidth="1"/>
    <col min="3087" max="3088" width="8.42578125" style="122"/>
    <col min="3089" max="3089" width="3.28515625" style="122" customWidth="1"/>
    <col min="3090" max="3328" width="8.42578125" style="122"/>
    <col min="3329" max="3329" width="10" style="122" bestFit="1" customWidth="1"/>
    <col min="3330" max="3330" width="44.28515625" style="122" bestFit="1" customWidth="1"/>
    <col min="3331" max="3331" width="10.42578125" style="122" bestFit="1" customWidth="1"/>
    <col min="3332" max="3332" width="10.42578125" style="122" customWidth="1"/>
    <col min="3333" max="3333" width="9.7109375" style="122" bestFit="1" customWidth="1"/>
    <col min="3334" max="3335" width="9.5703125" style="122" bestFit="1" customWidth="1"/>
    <col min="3336" max="3336" width="10.42578125" style="122" bestFit="1" customWidth="1"/>
    <col min="3337" max="3337" width="4.5703125" style="122" customWidth="1"/>
    <col min="3338" max="3338" width="1.85546875" style="122" customWidth="1"/>
    <col min="3339" max="3339" width="7" style="122" bestFit="1" customWidth="1"/>
    <col min="3340" max="3340" width="6.28515625" style="122" customWidth="1"/>
    <col min="3341" max="3341" width="20.42578125" style="122" customWidth="1"/>
    <col min="3342" max="3342" width="6.42578125" style="122" bestFit="1" customWidth="1"/>
    <col min="3343" max="3344" width="8.42578125" style="122"/>
    <col min="3345" max="3345" width="3.28515625" style="122" customWidth="1"/>
    <col min="3346" max="3584" width="8.42578125" style="122"/>
    <col min="3585" max="3585" width="10" style="122" bestFit="1" customWidth="1"/>
    <col min="3586" max="3586" width="44.28515625" style="122" bestFit="1" customWidth="1"/>
    <col min="3587" max="3587" width="10.42578125" style="122" bestFit="1" customWidth="1"/>
    <col min="3588" max="3588" width="10.42578125" style="122" customWidth="1"/>
    <col min="3589" max="3589" width="9.7109375" style="122" bestFit="1" customWidth="1"/>
    <col min="3590" max="3591" width="9.5703125" style="122" bestFit="1" customWidth="1"/>
    <col min="3592" max="3592" width="10.42578125" style="122" bestFit="1" customWidth="1"/>
    <col min="3593" max="3593" width="4.5703125" style="122" customWidth="1"/>
    <col min="3594" max="3594" width="1.85546875" style="122" customWidth="1"/>
    <col min="3595" max="3595" width="7" style="122" bestFit="1" customWidth="1"/>
    <col min="3596" max="3596" width="6.28515625" style="122" customWidth="1"/>
    <col min="3597" max="3597" width="20.42578125" style="122" customWidth="1"/>
    <col min="3598" max="3598" width="6.42578125" style="122" bestFit="1" customWidth="1"/>
    <col min="3599" max="3600" width="8.42578125" style="122"/>
    <col min="3601" max="3601" width="3.28515625" style="122" customWidth="1"/>
    <col min="3602" max="3840" width="8.42578125" style="122"/>
    <col min="3841" max="3841" width="10" style="122" bestFit="1" customWidth="1"/>
    <col min="3842" max="3842" width="44.28515625" style="122" bestFit="1" customWidth="1"/>
    <col min="3843" max="3843" width="10.42578125" style="122" bestFit="1" customWidth="1"/>
    <col min="3844" max="3844" width="10.42578125" style="122" customWidth="1"/>
    <col min="3845" max="3845" width="9.7109375" style="122" bestFit="1" customWidth="1"/>
    <col min="3846" max="3847" width="9.5703125" style="122" bestFit="1" customWidth="1"/>
    <col min="3848" max="3848" width="10.42578125" style="122" bestFit="1" customWidth="1"/>
    <col min="3849" max="3849" width="4.5703125" style="122" customWidth="1"/>
    <col min="3850" max="3850" width="1.85546875" style="122" customWidth="1"/>
    <col min="3851" max="3851" width="7" style="122" bestFit="1" customWidth="1"/>
    <col min="3852" max="3852" width="6.28515625" style="122" customWidth="1"/>
    <col min="3853" max="3853" width="20.42578125" style="122" customWidth="1"/>
    <col min="3854" max="3854" width="6.42578125" style="122" bestFit="1" customWidth="1"/>
    <col min="3855" max="3856" width="8.42578125" style="122"/>
    <col min="3857" max="3857" width="3.28515625" style="122" customWidth="1"/>
    <col min="3858" max="4096" width="8.42578125" style="122"/>
    <col min="4097" max="4097" width="10" style="122" bestFit="1" customWidth="1"/>
    <col min="4098" max="4098" width="44.28515625" style="122" bestFit="1" customWidth="1"/>
    <col min="4099" max="4099" width="10.42578125" style="122" bestFit="1" customWidth="1"/>
    <col min="4100" max="4100" width="10.42578125" style="122" customWidth="1"/>
    <col min="4101" max="4101" width="9.7109375" style="122" bestFit="1" customWidth="1"/>
    <col min="4102" max="4103" width="9.5703125" style="122" bestFit="1" customWidth="1"/>
    <col min="4104" max="4104" width="10.42578125" style="122" bestFit="1" customWidth="1"/>
    <col min="4105" max="4105" width="4.5703125" style="122" customWidth="1"/>
    <col min="4106" max="4106" width="1.85546875" style="122" customWidth="1"/>
    <col min="4107" max="4107" width="7" style="122" bestFit="1" customWidth="1"/>
    <col min="4108" max="4108" width="6.28515625" style="122" customWidth="1"/>
    <col min="4109" max="4109" width="20.42578125" style="122" customWidth="1"/>
    <col min="4110" max="4110" width="6.42578125" style="122" bestFit="1" customWidth="1"/>
    <col min="4111" max="4112" width="8.42578125" style="122"/>
    <col min="4113" max="4113" width="3.28515625" style="122" customWidth="1"/>
    <col min="4114" max="4352" width="8.42578125" style="122"/>
    <col min="4353" max="4353" width="10" style="122" bestFit="1" customWidth="1"/>
    <col min="4354" max="4354" width="44.28515625" style="122" bestFit="1" customWidth="1"/>
    <col min="4355" max="4355" width="10.42578125" style="122" bestFit="1" customWidth="1"/>
    <col min="4356" max="4356" width="10.42578125" style="122" customWidth="1"/>
    <col min="4357" max="4357" width="9.7109375" style="122" bestFit="1" customWidth="1"/>
    <col min="4358" max="4359" width="9.5703125" style="122" bestFit="1" customWidth="1"/>
    <col min="4360" max="4360" width="10.42578125" style="122" bestFit="1" customWidth="1"/>
    <col min="4361" max="4361" width="4.5703125" style="122" customWidth="1"/>
    <col min="4362" max="4362" width="1.85546875" style="122" customWidth="1"/>
    <col min="4363" max="4363" width="7" style="122" bestFit="1" customWidth="1"/>
    <col min="4364" max="4364" width="6.28515625" style="122" customWidth="1"/>
    <col min="4365" max="4365" width="20.42578125" style="122" customWidth="1"/>
    <col min="4366" max="4366" width="6.42578125" style="122" bestFit="1" customWidth="1"/>
    <col min="4367" max="4368" width="8.42578125" style="122"/>
    <col min="4369" max="4369" width="3.28515625" style="122" customWidth="1"/>
    <col min="4370" max="4608" width="8.42578125" style="122"/>
    <col min="4609" max="4609" width="10" style="122" bestFit="1" customWidth="1"/>
    <col min="4610" max="4610" width="44.28515625" style="122" bestFit="1" customWidth="1"/>
    <col min="4611" max="4611" width="10.42578125" style="122" bestFit="1" customWidth="1"/>
    <col min="4612" max="4612" width="10.42578125" style="122" customWidth="1"/>
    <col min="4613" max="4613" width="9.7109375" style="122" bestFit="1" customWidth="1"/>
    <col min="4614" max="4615" width="9.5703125" style="122" bestFit="1" customWidth="1"/>
    <col min="4616" max="4616" width="10.42578125" style="122" bestFit="1" customWidth="1"/>
    <col min="4617" max="4617" width="4.5703125" style="122" customWidth="1"/>
    <col min="4618" max="4618" width="1.85546875" style="122" customWidth="1"/>
    <col min="4619" max="4619" width="7" style="122" bestFit="1" customWidth="1"/>
    <col min="4620" max="4620" width="6.28515625" style="122" customWidth="1"/>
    <col min="4621" max="4621" width="20.42578125" style="122" customWidth="1"/>
    <col min="4622" max="4622" width="6.42578125" style="122" bestFit="1" customWidth="1"/>
    <col min="4623" max="4624" width="8.42578125" style="122"/>
    <col min="4625" max="4625" width="3.28515625" style="122" customWidth="1"/>
    <col min="4626" max="4864" width="8.42578125" style="122"/>
    <col min="4865" max="4865" width="10" style="122" bestFit="1" customWidth="1"/>
    <col min="4866" max="4866" width="44.28515625" style="122" bestFit="1" customWidth="1"/>
    <col min="4867" max="4867" width="10.42578125" style="122" bestFit="1" customWidth="1"/>
    <col min="4868" max="4868" width="10.42578125" style="122" customWidth="1"/>
    <col min="4869" max="4869" width="9.7109375" style="122" bestFit="1" customWidth="1"/>
    <col min="4870" max="4871" width="9.5703125" style="122" bestFit="1" customWidth="1"/>
    <col min="4872" max="4872" width="10.42578125" style="122" bestFit="1" customWidth="1"/>
    <col min="4873" max="4873" width="4.5703125" style="122" customWidth="1"/>
    <col min="4874" max="4874" width="1.85546875" style="122" customWidth="1"/>
    <col min="4875" max="4875" width="7" style="122" bestFit="1" customWidth="1"/>
    <col min="4876" max="4876" width="6.28515625" style="122" customWidth="1"/>
    <col min="4877" max="4877" width="20.42578125" style="122" customWidth="1"/>
    <col min="4878" max="4878" width="6.42578125" style="122" bestFit="1" customWidth="1"/>
    <col min="4879" max="4880" width="8.42578125" style="122"/>
    <col min="4881" max="4881" width="3.28515625" style="122" customWidth="1"/>
    <col min="4882" max="5120" width="8.42578125" style="122"/>
    <col min="5121" max="5121" width="10" style="122" bestFit="1" customWidth="1"/>
    <col min="5122" max="5122" width="44.28515625" style="122" bestFit="1" customWidth="1"/>
    <col min="5123" max="5123" width="10.42578125" style="122" bestFit="1" customWidth="1"/>
    <col min="5124" max="5124" width="10.42578125" style="122" customWidth="1"/>
    <col min="5125" max="5125" width="9.7109375" style="122" bestFit="1" customWidth="1"/>
    <col min="5126" max="5127" width="9.5703125" style="122" bestFit="1" customWidth="1"/>
    <col min="5128" max="5128" width="10.42578125" style="122" bestFit="1" customWidth="1"/>
    <col min="5129" max="5129" width="4.5703125" style="122" customWidth="1"/>
    <col min="5130" max="5130" width="1.85546875" style="122" customWidth="1"/>
    <col min="5131" max="5131" width="7" style="122" bestFit="1" customWidth="1"/>
    <col min="5132" max="5132" width="6.28515625" style="122" customWidth="1"/>
    <col min="5133" max="5133" width="20.42578125" style="122" customWidth="1"/>
    <col min="5134" max="5134" width="6.42578125" style="122" bestFit="1" customWidth="1"/>
    <col min="5135" max="5136" width="8.42578125" style="122"/>
    <col min="5137" max="5137" width="3.28515625" style="122" customWidth="1"/>
    <col min="5138" max="5376" width="8.42578125" style="122"/>
    <col min="5377" max="5377" width="10" style="122" bestFit="1" customWidth="1"/>
    <col min="5378" max="5378" width="44.28515625" style="122" bestFit="1" customWidth="1"/>
    <col min="5379" max="5379" width="10.42578125" style="122" bestFit="1" customWidth="1"/>
    <col min="5380" max="5380" width="10.42578125" style="122" customWidth="1"/>
    <col min="5381" max="5381" width="9.7109375" style="122" bestFit="1" customWidth="1"/>
    <col min="5382" max="5383" width="9.5703125" style="122" bestFit="1" customWidth="1"/>
    <col min="5384" max="5384" width="10.42578125" style="122" bestFit="1" customWidth="1"/>
    <col min="5385" max="5385" width="4.5703125" style="122" customWidth="1"/>
    <col min="5386" max="5386" width="1.85546875" style="122" customWidth="1"/>
    <col min="5387" max="5387" width="7" style="122" bestFit="1" customWidth="1"/>
    <col min="5388" max="5388" width="6.28515625" style="122" customWidth="1"/>
    <col min="5389" max="5389" width="20.42578125" style="122" customWidth="1"/>
    <col min="5390" max="5390" width="6.42578125" style="122" bestFit="1" customWidth="1"/>
    <col min="5391" max="5392" width="8.42578125" style="122"/>
    <col min="5393" max="5393" width="3.28515625" style="122" customWidth="1"/>
    <col min="5394" max="5632" width="8.42578125" style="122"/>
    <col min="5633" max="5633" width="10" style="122" bestFit="1" customWidth="1"/>
    <col min="5634" max="5634" width="44.28515625" style="122" bestFit="1" customWidth="1"/>
    <col min="5635" max="5635" width="10.42578125" style="122" bestFit="1" customWidth="1"/>
    <col min="5636" max="5636" width="10.42578125" style="122" customWidth="1"/>
    <col min="5637" max="5637" width="9.7109375" style="122" bestFit="1" customWidth="1"/>
    <col min="5638" max="5639" width="9.5703125" style="122" bestFit="1" customWidth="1"/>
    <col min="5640" max="5640" width="10.42578125" style="122" bestFit="1" customWidth="1"/>
    <col min="5641" max="5641" width="4.5703125" style="122" customWidth="1"/>
    <col min="5642" max="5642" width="1.85546875" style="122" customWidth="1"/>
    <col min="5643" max="5643" width="7" style="122" bestFit="1" customWidth="1"/>
    <col min="5644" max="5644" width="6.28515625" style="122" customWidth="1"/>
    <col min="5645" max="5645" width="20.42578125" style="122" customWidth="1"/>
    <col min="5646" max="5646" width="6.42578125" style="122" bestFit="1" customWidth="1"/>
    <col min="5647" max="5648" width="8.42578125" style="122"/>
    <col min="5649" max="5649" width="3.28515625" style="122" customWidth="1"/>
    <col min="5650" max="5888" width="8.42578125" style="122"/>
    <col min="5889" max="5889" width="10" style="122" bestFit="1" customWidth="1"/>
    <col min="5890" max="5890" width="44.28515625" style="122" bestFit="1" customWidth="1"/>
    <col min="5891" max="5891" width="10.42578125" style="122" bestFit="1" customWidth="1"/>
    <col min="5892" max="5892" width="10.42578125" style="122" customWidth="1"/>
    <col min="5893" max="5893" width="9.7109375" style="122" bestFit="1" customWidth="1"/>
    <col min="5894" max="5895" width="9.5703125" style="122" bestFit="1" customWidth="1"/>
    <col min="5896" max="5896" width="10.42578125" style="122" bestFit="1" customWidth="1"/>
    <col min="5897" max="5897" width="4.5703125" style="122" customWidth="1"/>
    <col min="5898" max="5898" width="1.85546875" style="122" customWidth="1"/>
    <col min="5899" max="5899" width="7" style="122" bestFit="1" customWidth="1"/>
    <col min="5900" max="5900" width="6.28515625" style="122" customWidth="1"/>
    <col min="5901" max="5901" width="20.42578125" style="122" customWidth="1"/>
    <col min="5902" max="5902" width="6.42578125" style="122" bestFit="1" customWidth="1"/>
    <col min="5903" max="5904" width="8.42578125" style="122"/>
    <col min="5905" max="5905" width="3.28515625" style="122" customWidth="1"/>
    <col min="5906" max="6144" width="8.42578125" style="122"/>
    <col min="6145" max="6145" width="10" style="122" bestFit="1" customWidth="1"/>
    <col min="6146" max="6146" width="44.28515625" style="122" bestFit="1" customWidth="1"/>
    <col min="6147" max="6147" width="10.42578125" style="122" bestFit="1" customWidth="1"/>
    <col min="6148" max="6148" width="10.42578125" style="122" customWidth="1"/>
    <col min="6149" max="6149" width="9.7109375" style="122" bestFit="1" customWidth="1"/>
    <col min="6150" max="6151" width="9.5703125" style="122" bestFit="1" customWidth="1"/>
    <col min="6152" max="6152" width="10.42578125" style="122" bestFit="1" customWidth="1"/>
    <col min="6153" max="6153" width="4.5703125" style="122" customWidth="1"/>
    <col min="6154" max="6154" width="1.85546875" style="122" customWidth="1"/>
    <col min="6155" max="6155" width="7" style="122" bestFit="1" customWidth="1"/>
    <col min="6156" max="6156" width="6.28515625" style="122" customWidth="1"/>
    <col min="6157" max="6157" width="20.42578125" style="122" customWidth="1"/>
    <col min="6158" max="6158" width="6.42578125" style="122" bestFit="1" customWidth="1"/>
    <col min="6159" max="6160" width="8.42578125" style="122"/>
    <col min="6161" max="6161" width="3.28515625" style="122" customWidth="1"/>
    <col min="6162" max="6400" width="8.42578125" style="122"/>
    <col min="6401" max="6401" width="10" style="122" bestFit="1" customWidth="1"/>
    <col min="6402" max="6402" width="44.28515625" style="122" bestFit="1" customWidth="1"/>
    <col min="6403" max="6403" width="10.42578125" style="122" bestFit="1" customWidth="1"/>
    <col min="6404" max="6404" width="10.42578125" style="122" customWidth="1"/>
    <col min="6405" max="6405" width="9.7109375" style="122" bestFit="1" customWidth="1"/>
    <col min="6406" max="6407" width="9.5703125" style="122" bestFit="1" customWidth="1"/>
    <col min="6408" max="6408" width="10.42578125" style="122" bestFit="1" customWidth="1"/>
    <col min="6409" max="6409" width="4.5703125" style="122" customWidth="1"/>
    <col min="6410" max="6410" width="1.85546875" style="122" customWidth="1"/>
    <col min="6411" max="6411" width="7" style="122" bestFit="1" customWidth="1"/>
    <col min="6412" max="6412" width="6.28515625" style="122" customWidth="1"/>
    <col min="6413" max="6413" width="20.42578125" style="122" customWidth="1"/>
    <col min="6414" max="6414" width="6.42578125" style="122" bestFit="1" customWidth="1"/>
    <col min="6415" max="6416" width="8.42578125" style="122"/>
    <col min="6417" max="6417" width="3.28515625" style="122" customWidth="1"/>
    <col min="6418" max="6656" width="8.42578125" style="122"/>
    <col min="6657" max="6657" width="10" style="122" bestFit="1" customWidth="1"/>
    <col min="6658" max="6658" width="44.28515625" style="122" bestFit="1" customWidth="1"/>
    <col min="6659" max="6659" width="10.42578125" style="122" bestFit="1" customWidth="1"/>
    <col min="6660" max="6660" width="10.42578125" style="122" customWidth="1"/>
    <col min="6661" max="6661" width="9.7109375" style="122" bestFit="1" customWidth="1"/>
    <col min="6662" max="6663" width="9.5703125" style="122" bestFit="1" customWidth="1"/>
    <col min="6664" max="6664" width="10.42578125" style="122" bestFit="1" customWidth="1"/>
    <col min="6665" max="6665" width="4.5703125" style="122" customWidth="1"/>
    <col min="6666" max="6666" width="1.85546875" style="122" customWidth="1"/>
    <col min="6667" max="6667" width="7" style="122" bestFit="1" customWidth="1"/>
    <col min="6668" max="6668" width="6.28515625" style="122" customWidth="1"/>
    <col min="6669" max="6669" width="20.42578125" style="122" customWidth="1"/>
    <col min="6670" max="6670" width="6.42578125" style="122" bestFit="1" customWidth="1"/>
    <col min="6671" max="6672" width="8.42578125" style="122"/>
    <col min="6673" max="6673" width="3.28515625" style="122" customWidth="1"/>
    <col min="6674" max="6912" width="8.42578125" style="122"/>
    <col min="6913" max="6913" width="10" style="122" bestFit="1" customWidth="1"/>
    <col min="6914" max="6914" width="44.28515625" style="122" bestFit="1" customWidth="1"/>
    <col min="6915" max="6915" width="10.42578125" style="122" bestFit="1" customWidth="1"/>
    <col min="6916" max="6916" width="10.42578125" style="122" customWidth="1"/>
    <col min="6917" max="6917" width="9.7109375" style="122" bestFit="1" customWidth="1"/>
    <col min="6918" max="6919" width="9.5703125" style="122" bestFit="1" customWidth="1"/>
    <col min="6920" max="6920" width="10.42578125" style="122" bestFit="1" customWidth="1"/>
    <col min="6921" max="6921" width="4.5703125" style="122" customWidth="1"/>
    <col min="6922" max="6922" width="1.85546875" style="122" customWidth="1"/>
    <col min="6923" max="6923" width="7" style="122" bestFit="1" customWidth="1"/>
    <col min="6924" max="6924" width="6.28515625" style="122" customWidth="1"/>
    <col min="6925" max="6925" width="20.42578125" style="122" customWidth="1"/>
    <col min="6926" max="6926" width="6.42578125" style="122" bestFit="1" customWidth="1"/>
    <col min="6927" max="6928" width="8.42578125" style="122"/>
    <col min="6929" max="6929" width="3.28515625" style="122" customWidth="1"/>
    <col min="6930" max="7168" width="8.42578125" style="122"/>
    <col min="7169" max="7169" width="10" style="122" bestFit="1" customWidth="1"/>
    <col min="7170" max="7170" width="44.28515625" style="122" bestFit="1" customWidth="1"/>
    <col min="7171" max="7171" width="10.42578125" style="122" bestFit="1" customWidth="1"/>
    <col min="7172" max="7172" width="10.42578125" style="122" customWidth="1"/>
    <col min="7173" max="7173" width="9.7109375" style="122" bestFit="1" customWidth="1"/>
    <col min="7174" max="7175" width="9.5703125" style="122" bestFit="1" customWidth="1"/>
    <col min="7176" max="7176" width="10.42578125" style="122" bestFit="1" customWidth="1"/>
    <col min="7177" max="7177" width="4.5703125" style="122" customWidth="1"/>
    <col min="7178" max="7178" width="1.85546875" style="122" customWidth="1"/>
    <col min="7179" max="7179" width="7" style="122" bestFit="1" customWidth="1"/>
    <col min="7180" max="7180" width="6.28515625" style="122" customWidth="1"/>
    <col min="7181" max="7181" width="20.42578125" style="122" customWidth="1"/>
    <col min="7182" max="7182" width="6.42578125" style="122" bestFit="1" customWidth="1"/>
    <col min="7183" max="7184" width="8.42578125" style="122"/>
    <col min="7185" max="7185" width="3.28515625" style="122" customWidth="1"/>
    <col min="7186" max="7424" width="8.42578125" style="122"/>
    <col min="7425" max="7425" width="10" style="122" bestFit="1" customWidth="1"/>
    <col min="7426" max="7426" width="44.28515625" style="122" bestFit="1" customWidth="1"/>
    <col min="7427" max="7427" width="10.42578125" style="122" bestFit="1" customWidth="1"/>
    <col min="7428" max="7428" width="10.42578125" style="122" customWidth="1"/>
    <col min="7429" max="7429" width="9.7109375" style="122" bestFit="1" customWidth="1"/>
    <col min="7430" max="7431" width="9.5703125" style="122" bestFit="1" customWidth="1"/>
    <col min="7432" max="7432" width="10.42578125" style="122" bestFit="1" customWidth="1"/>
    <col min="7433" max="7433" width="4.5703125" style="122" customWidth="1"/>
    <col min="7434" max="7434" width="1.85546875" style="122" customWidth="1"/>
    <col min="7435" max="7435" width="7" style="122" bestFit="1" customWidth="1"/>
    <col min="7436" max="7436" width="6.28515625" style="122" customWidth="1"/>
    <col min="7437" max="7437" width="20.42578125" style="122" customWidth="1"/>
    <col min="7438" max="7438" width="6.42578125" style="122" bestFit="1" customWidth="1"/>
    <col min="7439" max="7440" width="8.42578125" style="122"/>
    <col min="7441" max="7441" width="3.28515625" style="122" customWidth="1"/>
    <col min="7442" max="7680" width="8.42578125" style="122"/>
    <col min="7681" max="7681" width="10" style="122" bestFit="1" customWidth="1"/>
    <col min="7682" max="7682" width="44.28515625" style="122" bestFit="1" customWidth="1"/>
    <col min="7683" max="7683" width="10.42578125" style="122" bestFit="1" customWidth="1"/>
    <col min="7684" max="7684" width="10.42578125" style="122" customWidth="1"/>
    <col min="7685" max="7685" width="9.7109375" style="122" bestFit="1" customWidth="1"/>
    <col min="7686" max="7687" width="9.5703125" style="122" bestFit="1" customWidth="1"/>
    <col min="7688" max="7688" width="10.42578125" style="122" bestFit="1" customWidth="1"/>
    <col min="7689" max="7689" width="4.5703125" style="122" customWidth="1"/>
    <col min="7690" max="7690" width="1.85546875" style="122" customWidth="1"/>
    <col min="7691" max="7691" width="7" style="122" bestFit="1" customWidth="1"/>
    <col min="7692" max="7692" width="6.28515625" style="122" customWidth="1"/>
    <col min="7693" max="7693" width="20.42578125" style="122" customWidth="1"/>
    <col min="7694" max="7694" width="6.42578125" style="122" bestFit="1" customWidth="1"/>
    <col min="7695" max="7696" width="8.42578125" style="122"/>
    <col min="7697" max="7697" width="3.28515625" style="122" customWidth="1"/>
    <col min="7698" max="7936" width="8.42578125" style="122"/>
    <col min="7937" max="7937" width="10" style="122" bestFit="1" customWidth="1"/>
    <col min="7938" max="7938" width="44.28515625" style="122" bestFit="1" customWidth="1"/>
    <col min="7939" max="7939" width="10.42578125" style="122" bestFit="1" customWidth="1"/>
    <col min="7940" max="7940" width="10.42578125" style="122" customWidth="1"/>
    <col min="7941" max="7941" width="9.7109375" style="122" bestFit="1" customWidth="1"/>
    <col min="7942" max="7943" width="9.5703125" style="122" bestFit="1" customWidth="1"/>
    <col min="7944" max="7944" width="10.42578125" style="122" bestFit="1" customWidth="1"/>
    <col min="7945" max="7945" width="4.5703125" style="122" customWidth="1"/>
    <col min="7946" max="7946" width="1.85546875" style="122" customWidth="1"/>
    <col min="7947" max="7947" width="7" style="122" bestFit="1" customWidth="1"/>
    <col min="7948" max="7948" width="6.28515625" style="122" customWidth="1"/>
    <col min="7949" max="7949" width="20.42578125" style="122" customWidth="1"/>
    <col min="7950" max="7950" width="6.42578125" style="122" bestFit="1" customWidth="1"/>
    <col min="7951" max="7952" width="8.42578125" style="122"/>
    <col min="7953" max="7953" width="3.28515625" style="122" customWidth="1"/>
    <col min="7954" max="8192" width="8.42578125" style="122"/>
    <col min="8193" max="8193" width="10" style="122" bestFit="1" customWidth="1"/>
    <col min="8194" max="8194" width="44.28515625" style="122" bestFit="1" customWidth="1"/>
    <col min="8195" max="8195" width="10.42578125" style="122" bestFit="1" customWidth="1"/>
    <col min="8196" max="8196" width="10.42578125" style="122" customWidth="1"/>
    <col min="8197" max="8197" width="9.7109375" style="122" bestFit="1" customWidth="1"/>
    <col min="8198" max="8199" width="9.5703125" style="122" bestFit="1" customWidth="1"/>
    <col min="8200" max="8200" width="10.42578125" style="122" bestFit="1" customWidth="1"/>
    <col min="8201" max="8201" width="4.5703125" style="122" customWidth="1"/>
    <col min="8202" max="8202" width="1.85546875" style="122" customWidth="1"/>
    <col min="8203" max="8203" width="7" style="122" bestFit="1" customWidth="1"/>
    <col min="8204" max="8204" width="6.28515625" style="122" customWidth="1"/>
    <col min="8205" max="8205" width="20.42578125" style="122" customWidth="1"/>
    <col min="8206" max="8206" width="6.42578125" style="122" bestFit="1" customWidth="1"/>
    <col min="8207" max="8208" width="8.42578125" style="122"/>
    <col min="8209" max="8209" width="3.28515625" style="122" customWidth="1"/>
    <col min="8210" max="8448" width="8.42578125" style="122"/>
    <col min="8449" max="8449" width="10" style="122" bestFit="1" customWidth="1"/>
    <col min="8450" max="8450" width="44.28515625" style="122" bestFit="1" customWidth="1"/>
    <col min="8451" max="8451" width="10.42578125" style="122" bestFit="1" customWidth="1"/>
    <col min="8452" max="8452" width="10.42578125" style="122" customWidth="1"/>
    <col min="8453" max="8453" width="9.7109375" style="122" bestFit="1" customWidth="1"/>
    <col min="8454" max="8455" width="9.5703125" style="122" bestFit="1" customWidth="1"/>
    <col min="8456" max="8456" width="10.42578125" style="122" bestFit="1" customWidth="1"/>
    <col min="8457" max="8457" width="4.5703125" style="122" customWidth="1"/>
    <col min="8458" max="8458" width="1.85546875" style="122" customWidth="1"/>
    <col min="8459" max="8459" width="7" style="122" bestFit="1" customWidth="1"/>
    <col min="8460" max="8460" width="6.28515625" style="122" customWidth="1"/>
    <col min="8461" max="8461" width="20.42578125" style="122" customWidth="1"/>
    <col min="8462" max="8462" width="6.42578125" style="122" bestFit="1" customWidth="1"/>
    <col min="8463" max="8464" width="8.42578125" style="122"/>
    <col min="8465" max="8465" width="3.28515625" style="122" customWidth="1"/>
    <col min="8466" max="8704" width="8.42578125" style="122"/>
    <col min="8705" max="8705" width="10" style="122" bestFit="1" customWidth="1"/>
    <col min="8706" max="8706" width="44.28515625" style="122" bestFit="1" customWidth="1"/>
    <col min="8707" max="8707" width="10.42578125" style="122" bestFit="1" customWidth="1"/>
    <col min="8708" max="8708" width="10.42578125" style="122" customWidth="1"/>
    <col min="8709" max="8709" width="9.7109375" style="122" bestFit="1" customWidth="1"/>
    <col min="8710" max="8711" width="9.5703125" style="122" bestFit="1" customWidth="1"/>
    <col min="8712" max="8712" width="10.42578125" style="122" bestFit="1" customWidth="1"/>
    <col min="8713" max="8713" width="4.5703125" style="122" customWidth="1"/>
    <col min="8714" max="8714" width="1.85546875" style="122" customWidth="1"/>
    <col min="8715" max="8715" width="7" style="122" bestFit="1" customWidth="1"/>
    <col min="8716" max="8716" width="6.28515625" style="122" customWidth="1"/>
    <col min="8717" max="8717" width="20.42578125" style="122" customWidth="1"/>
    <col min="8718" max="8718" width="6.42578125" style="122" bestFit="1" customWidth="1"/>
    <col min="8719" max="8720" width="8.42578125" style="122"/>
    <col min="8721" max="8721" width="3.28515625" style="122" customWidth="1"/>
    <col min="8722" max="8960" width="8.42578125" style="122"/>
    <col min="8961" max="8961" width="10" style="122" bestFit="1" customWidth="1"/>
    <col min="8962" max="8962" width="44.28515625" style="122" bestFit="1" customWidth="1"/>
    <col min="8963" max="8963" width="10.42578125" style="122" bestFit="1" customWidth="1"/>
    <col min="8964" max="8964" width="10.42578125" style="122" customWidth="1"/>
    <col min="8965" max="8965" width="9.7109375" style="122" bestFit="1" customWidth="1"/>
    <col min="8966" max="8967" width="9.5703125" style="122" bestFit="1" customWidth="1"/>
    <col min="8968" max="8968" width="10.42578125" style="122" bestFit="1" customWidth="1"/>
    <col min="8969" max="8969" width="4.5703125" style="122" customWidth="1"/>
    <col min="8970" max="8970" width="1.85546875" style="122" customWidth="1"/>
    <col min="8971" max="8971" width="7" style="122" bestFit="1" customWidth="1"/>
    <col min="8972" max="8972" width="6.28515625" style="122" customWidth="1"/>
    <col min="8973" max="8973" width="20.42578125" style="122" customWidth="1"/>
    <col min="8974" max="8974" width="6.42578125" style="122" bestFit="1" customWidth="1"/>
    <col min="8975" max="8976" width="8.42578125" style="122"/>
    <col min="8977" max="8977" width="3.28515625" style="122" customWidth="1"/>
    <col min="8978" max="9216" width="8.42578125" style="122"/>
    <col min="9217" max="9217" width="10" style="122" bestFit="1" customWidth="1"/>
    <col min="9218" max="9218" width="44.28515625" style="122" bestFit="1" customWidth="1"/>
    <col min="9219" max="9219" width="10.42578125" style="122" bestFit="1" customWidth="1"/>
    <col min="9220" max="9220" width="10.42578125" style="122" customWidth="1"/>
    <col min="9221" max="9221" width="9.7109375" style="122" bestFit="1" customWidth="1"/>
    <col min="9222" max="9223" width="9.5703125" style="122" bestFit="1" customWidth="1"/>
    <col min="9224" max="9224" width="10.42578125" style="122" bestFit="1" customWidth="1"/>
    <col min="9225" max="9225" width="4.5703125" style="122" customWidth="1"/>
    <col min="9226" max="9226" width="1.85546875" style="122" customWidth="1"/>
    <col min="9227" max="9227" width="7" style="122" bestFit="1" customWidth="1"/>
    <col min="9228" max="9228" width="6.28515625" style="122" customWidth="1"/>
    <col min="9229" max="9229" width="20.42578125" style="122" customWidth="1"/>
    <col min="9230" max="9230" width="6.42578125" style="122" bestFit="1" customWidth="1"/>
    <col min="9231" max="9232" width="8.42578125" style="122"/>
    <col min="9233" max="9233" width="3.28515625" style="122" customWidth="1"/>
    <col min="9234" max="9472" width="8.42578125" style="122"/>
    <col min="9473" max="9473" width="10" style="122" bestFit="1" customWidth="1"/>
    <col min="9474" max="9474" width="44.28515625" style="122" bestFit="1" customWidth="1"/>
    <col min="9475" max="9475" width="10.42578125" style="122" bestFit="1" customWidth="1"/>
    <col min="9476" max="9476" width="10.42578125" style="122" customWidth="1"/>
    <col min="9477" max="9477" width="9.7109375" style="122" bestFit="1" customWidth="1"/>
    <col min="9478" max="9479" width="9.5703125" style="122" bestFit="1" customWidth="1"/>
    <col min="9480" max="9480" width="10.42578125" style="122" bestFit="1" customWidth="1"/>
    <col min="9481" max="9481" width="4.5703125" style="122" customWidth="1"/>
    <col min="9482" max="9482" width="1.85546875" style="122" customWidth="1"/>
    <col min="9483" max="9483" width="7" style="122" bestFit="1" customWidth="1"/>
    <col min="9484" max="9484" width="6.28515625" style="122" customWidth="1"/>
    <col min="9485" max="9485" width="20.42578125" style="122" customWidth="1"/>
    <col min="9486" max="9486" width="6.42578125" style="122" bestFit="1" customWidth="1"/>
    <col min="9487" max="9488" width="8.42578125" style="122"/>
    <col min="9489" max="9489" width="3.28515625" style="122" customWidth="1"/>
    <col min="9490" max="9728" width="8.42578125" style="122"/>
    <col min="9729" max="9729" width="10" style="122" bestFit="1" customWidth="1"/>
    <col min="9730" max="9730" width="44.28515625" style="122" bestFit="1" customWidth="1"/>
    <col min="9731" max="9731" width="10.42578125" style="122" bestFit="1" customWidth="1"/>
    <col min="9732" max="9732" width="10.42578125" style="122" customWidth="1"/>
    <col min="9733" max="9733" width="9.7109375" style="122" bestFit="1" customWidth="1"/>
    <col min="9734" max="9735" width="9.5703125" style="122" bestFit="1" customWidth="1"/>
    <col min="9736" max="9736" width="10.42578125" style="122" bestFit="1" customWidth="1"/>
    <col min="9737" max="9737" width="4.5703125" style="122" customWidth="1"/>
    <col min="9738" max="9738" width="1.85546875" style="122" customWidth="1"/>
    <col min="9739" max="9739" width="7" style="122" bestFit="1" customWidth="1"/>
    <col min="9740" max="9740" width="6.28515625" style="122" customWidth="1"/>
    <col min="9741" max="9741" width="20.42578125" style="122" customWidth="1"/>
    <col min="9742" max="9742" width="6.42578125" style="122" bestFit="1" customWidth="1"/>
    <col min="9743" max="9744" width="8.42578125" style="122"/>
    <col min="9745" max="9745" width="3.28515625" style="122" customWidth="1"/>
    <col min="9746" max="9984" width="8.42578125" style="122"/>
    <col min="9985" max="9985" width="10" style="122" bestFit="1" customWidth="1"/>
    <col min="9986" max="9986" width="44.28515625" style="122" bestFit="1" customWidth="1"/>
    <col min="9987" max="9987" width="10.42578125" style="122" bestFit="1" customWidth="1"/>
    <col min="9988" max="9988" width="10.42578125" style="122" customWidth="1"/>
    <col min="9989" max="9989" width="9.7109375" style="122" bestFit="1" customWidth="1"/>
    <col min="9990" max="9991" width="9.5703125" style="122" bestFit="1" customWidth="1"/>
    <col min="9992" max="9992" width="10.42578125" style="122" bestFit="1" customWidth="1"/>
    <col min="9993" max="9993" width="4.5703125" style="122" customWidth="1"/>
    <col min="9994" max="9994" width="1.85546875" style="122" customWidth="1"/>
    <col min="9995" max="9995" width="7" style="122" bestFit="1" customWidth="1"/>
    <col min="9996" max="9996" width="6.28515625" style="122" customWidth="1"/>
    <col min="9997" max="9997" width="20.42578125" style="122" customWidth="1"/>
    <col min="9998" max="9998" width="6.42578125" style="122" bestFit="1" customWidth="1"/>
    <col min="9999" max="10000" width="8.42578125" style="122"/>
    <col min="10001" max="10001" width="3.28515625" style="122" customWidth="1"/>
    <col min="10002" max="10240" width="8.42578125" style="122"/>
    <col min="10241" max="10241" width="10" style="122" bestFit="1" customWidth="1"/>
    <col min="10242" max="10242" width="44.28515625" style="122" bestFit="1" customWidth="1"/>
    <col min="10243" max="10243" width="10.42578125" style="122" bestFit="1" customWidth="1"/>
    <col min="10244" max="10244" width="10.42578125" style="122" customWidth="1"/>
    <col min="10245" max="10245" width="9.7109375" style="122" bestFit="1" customWidth="1"/>
    <col min="10246" max="10247" width="9.5703125" style="122" bestFit="1" customWidth="1"/>
    <col min="10248" max="10248" width="10.42578125" style="122" bestFit="1" customWidth="1"/>
    <col min="10249" max="10249" width="4.5703125" style="122" customWidth="1"/>
    <col min="10250" max="10250" width="1.85546875" style="122" customWidth="1"/>
    <col min="10251" max="10251" width="7" style="122" bestFit="1" customWidth="1"/>
    <col min="10252" max="10252" width="6.28515625" style="122" customWidth="1"/>
    <col min="10253" max="10253" width="20.42578125" style="122" customWidth="1"/>
    <col min="10254" max="10254" width="6.42578125" style="122" bestFit="1" customWidth="1"/>
    <col min="10255" max="10256" width="8.42578125" style="122"/>
    <col min="10257" max="10257" width="3.28515625" style="122" customWidth="1"/>
    <col min="10258" max="10496" width="8.42578125" style="122"/>
    <col min="10497" max="10497" width="10" style="122" bestFit="1" customWidth="1"/>
    <col min="10498" max="10498" width="44.28515625" style="122" bestFit="1" customWidth="1"/>
    <col min="10499" max="10499" width="10.42578125" style="122" bestFit="1" customWidth="1"/>
    <col min="10500" max="10500" width="10.42578125" style="122" customWidth="1"/>
    <col min="10501" max="10501" width="9.7109375" style="122" bestFit="1" customWidth="1"/>
    <col min="10502" max="10503" width="9.5703125" style="122" bestFit="1" customWidth="1"/>
    <col min="10504" max="10504" width="10.42578125" style="122" bestFit="1" customWidth="1"/>
    <col min="10505" max="10505" width="4.5703125" style="122" customWidth="1"/>
    <col min="10506" max="10506" width="1.85546875" style="122" customWidth="1"/>
    <col min="10507" max="10507" width="7" style="122" bestFit="1" customWidth="1"/>
    <col min="10508" max="10508" width="6.28515625" style="122" customWidth="1"/>
    <col min="10509" max="10509" width="20.42578125" style="122" customWidth="1"/>
    <col min="10510" max="10510" width="6.42578125" style="122" bestFit="1" customWidth="1"/>
    <col min="10511" max="10512" width="8.42578125" style="122"/>
    <col min="10513" max="10513" width="3.28515625" style="122" customWidth="1"/>
    <col min="10514" max="10752" width="8.42578125" style="122"/>
    <col min="10753" max="10753" width="10" style="122" bestFit="1" customWidth="1"/>
    <col min="10754" max="10754" width="44.28515625" style="122" bestFit="1" customWidth="1"/>
    <col min="10755" max="10755" width="10.42578125" style="122" bestFit="1" customWidth="1"/>
    <col min="10756" max="10756" width="10.42578125" style="122" customWidth="1"/>
    <col min="10757" max="10757" width="9.7109375" style="122" bestFit="1" customWidth="1"/>
    <col min="10758" max="10759" width="9.5703125" style="122" bestFit="1" customWidth="1"/>
    <col min="10760" max="10760" width="10.42578125" style="122" bestFit="1" customWidth="1"/>
    <col min="10761" max="10761" width="4.5703125" style="122" customWidth="1"/>
    <col min="10762" max="10762" width="1.85546875" style="122" customWidth="1"/>
    <col min="10763" max="10763" width="7" style="122" bestFit="1" customWidth="1"/>
    <col min="10764" max="10764" width="6.28515625" style="122" customWidth="1"/>
    <col min="10765" max="10765" width="20.42578125" style="122" customWidth="1"/>
    <col min="10766" max="10766" width="6.42578125" style="122" bestFit="1" customWidth="1"/>
    <col min="10767" max="10768" width="8.42578125" style="122"/>
    <col min="10769" max="10769" width="3.28515625" style="122" customWidth="1"/>
    <col min="10770" max="11008" width="8.42578125" style="122"/>
    <col min="11009" max="11009" width="10" style="122" bestFit="1" customWidth="1"/>
    <col min="11010" max="11010" width="44.28515625" style="122" bestFit="1" customWidth="1"/>
    <col min="11011" max="11011" width="10.42578125" style="122" bestFit="1" customWidth="1"/>
    <col min="11012" max="11012" width="10.42578125" style="122" customWidth="1"/>
    <col min="11013" max="11013" width="9.7109375" style="122" bestFit="1" customWidth="1"/>
    <col min="11014" max="11015" width="9.5703125" style="122" bestFit="1" customWidth="1"/>
    <col min="11016" max="11016" width="10.42578125" style="122" bestFit="1" customWidth="1"/>
    <col min="11017" max="11017" width="4.5703125" style="122" customWidth="1"/>
    <col min="11018" max="11018" width="1.85546875" style="122" customWidth="1"/>
    <col min="11019" max="11019" width="7" style="122" bestFit="1" customWidth="1"/>
    <col min="11020" max="11020" width="6.28515625" style="122" customWidth="1"/>
    <col min="11021" max="11021" width="20.42578125" style="122" customWidth="1"/>
    <col min="11022" max="11022" width="6.42578125" style="122" bestFit="1" customWidth="1"/>
    <col min="11023" max="11024" width="8.42578125" style="122"/>
    <col min="11025" max="11025" width="3.28515625" style="122" customWidth="1"/>
    <col min="11026" max="11264" width="8.42578125" style="122"/>
    <col min="11265" max="11265" width="10" style="122" bestFit="1" customWidth="1"/>
    <col min="11266" max="11266" width="44.28515625" style="122" bestFit="1" customWidth="1"/>
    <col min="11267" max="11267" width="10.42578125" style="122" bestFit="1" customWidth="1"/>
    <col min="11268" max="11268" width="10.42578125" style="122" customWidth="1"/>
    <col min="11269" max="11269" width="9.7109375" style="122" bestFit="1" customWidth="1"/>
    <col min="11270" max="11271" width="9.5703125" style="122" bestFit="1" customWidth="1"/>
    <col min="11272" max="11272" width="10.42578125" style="122" bestFit="1" customWidth="1"/>
    <col min="11273" max="11273" width="4.5703125" style="122" customWidth="1"/>
    <col min="11274" max="11274" width="1.85546875" style="122" customWidth="1"/>
    <col min="11275" max="11275" width="7" style="122" bestFit="1" customWidth="1"/>
    <col min="11276" max="11276" width="6.28515625" style="122" customWidth="1"/>
    <col min="11277" max="11277" width="20.42578125" style="122" customWidth="1"/>
    <col min="11278" max="11278" width="6.42578125" style="122" bestFit="1" customWidth="1"/>
    <col min="11279" max="11280" width="8.42578125" style="122"/>
    <col min="11281" max="11281" width="3.28515625" style="122" customWidth="1"/>
    <col min="11282" max="11520" width="8.42578125" style="122"/>
    <col min="11521" max="11521" width="10" style="122" bestFit="1" customWidth="1"/>
    <col min="11522" max="11522" width="44.28515625" style="122" bestFit="1" customWidth="1"/>
    <col min="11523" max="11523" width="10.42578125" style="122" bestFit="1" customWidth="1"/>
    <col min="11524" max="11524" width="10.42578125" style="122" customWidth="1"/>
    <col min="11525" max="11525" width="9.7109375" style="122" bestFit="1" customWidth="1"/>
    <col min="11526" max="11527" width="9.5703125" style="122" bestFit="1" customWidth="1"/>
    <col min="11528" max="11528" width="10.42578125" style="122" bestFit="1" customWidth="1"/>
    <col min="11529" max="11529" width="4.5703125" style="122" customWidth="1"/>
    <col min="11530" max="11530" width="1.85546875" style="122" customWidth="1"/>
    <col min="11531" max="11531" width="7" style="122" bestFit="1" customWidth="1"/>
    <col min="11532" max="11532" width="6.28515625" style="122" customWidth="1"/>
    <col min="11533" max="11533" width="20.42578125" style="122" customWidth="1"/>
    <col min="11534" max="11534" width="6.42578125" style="122" bestFit="1" customWidth="1"/>
    <col min="11535" max="11536" width="8.42578125" style="122"/>
    <col min="11537" max="11537" width="3.28515625" style="122" customWidth="1"/>
    <col min="11538" max="11776" width="8.42578125" style="122"/>
    <col min="11777" max="11777" width="10" style="122" bestFit="1" customWidth="1"/>
    <col min="11778" max="11778" width="44.28515625" style="122" bestFit="1" customWidth="1"/>
    <col min="11779" max="11779" width="10.42578125" style="122" bestFit="1" customWidth="1"/>
    <col min="11780" max="11780" width="10.42578125" style="122" customWidth="1"/>
    <col min="11781" max="11781" width="9.7109375" style="122" bestFit="1" customWidth="1"/>
    <col min="11782" max="11783" width="9.5703125" style="122" bestFit="1" customWidth="1"/>
    <col min="11784" max="11784" width="10.42578125" style="122" bestFit="1" customWidth="1"/>
    <col min="11785" max="11785" width="4.5703125" style="122" customWidth="1"/>
    <col min="11786" max="11786" width="1.85546875" style="122" customWidth="1"/>
    <col min="11787" max="11787" width="7" style="122" bestFit="1" customWidth="1"/>
    <col min="11788" max="11788" width="6.28515625" style="122" customWidth="1"/>
    <col min="11789" max="11789" width="20.42578125" style="122" customWidth="1"/>
    <col min="11790" max="11790" width="6.42578125" style="122" bestFit="1" customWidth="1"/>
    <col min="11791" max="11792" width="8.42578125" style="122"/>
    <col min="11793" max="11793" width="3.28515625" style="122" customWidth="1"/>
    <col min="11794" max="12032" width="8.42578125" style="122"/>
    <col min="12033" max="12033" width="10" style="122" bestFit="1" customWidth="1"/>
    <col min="12034" max="12034" width="44.28515625" style="122" bestFit="1" customWidth="1"/>
    <col min="12035" max="12035" width="10.42578125" style="122" bestFit="1" customWidth="1"/>
    <col min="12036" max="12036" width="10.42578125" style="122" customWidth="1"/>
    <col min="12037" max="12037" width="9.7109375" style="122" bestFit="1" customWidth="1"/>
    <col min="12038" max="12039" width="9.5703125" style="122" bestFit="1" customWidth="1"/>
    <col min="12040" max="12040" width="10.42578125" style="122" bestFit="1" customWidth="1"/>
    <col min="12041" max="12041" width="4.5703125" style="122" customWidth="1"/>
    <col min="12042" max="12042" width="1.85546875" style="122" customWidth="1"/>
    <col min="12043" max="12043" width="7" style="122" bestFit="1" customWidth="1"/>
    <col min="12044" max="12044" width="6.28515625" style="122" customWidth="1"/>
    <col min="12045" max="12045" width="20.42578125" style="122" customWidth="1"/>
    <col min="12046" max="12046" width="6.42578125" style="122" bestFit="1" customWidth="1"/>
    <col min="12047" max="12048" width="8.42578125" style="122"/>
    <col min="12049" max="12049" width="3.28515625" style="122" customWidth="1"/>
    <col min="12050" max="12288" width="8.42578125" style="122"/>
    <col min="12289" max="12289" width="10" style="122" bestFit="1" customWidth="1"/>
    <col min="12290" max="12290" width="44.28515625" style="122" bestFit="1" customWidth="1"/>
    <col min="12291" max="12291" width="10.42578125" style="122" bestFit="1" customWidth="1"/>
    <col min="12292" max="12292" width="10.42578125" style="122" customWidth="1"/>
    <col min="12293" max="12293" width="9.7109375" style="122" bestFit="1" customWidth="1"/>
    <col min="12294" max="12295" width="9.5703125" style="122" bestFit="1" customWidth="1"/>
    <col min="12296" max="12296" width="10.42578125" style="122" bestFit="1" customWidth="1"/>
    <col min="12297" max="12297" width="4.5703125" style="122" customWidth="1"/>
    <col min="12298" max="12298" width="1.85546875" style="122" customWidth="1"/>
    <col min="12299" max="12299" width="7" style="122" bestFit="1" customWidth="1"/>
    <col min="12300" max="12300" width="6.28515625" style="122" customWidth="1"/>
    <col min="12301" max="12301" width="20.42578125" style="122" customWidth="1"/>
    <col min="12302" max="12302" width="6.42578125" style="122" bestFit="1" customWidth="1"/>
    <col min="12303" max="12304" width="8.42578125" style="122"/>
    <col min="12305" max="12305" width="3.28515625" style="122" customWidth="1"/>
    <col min="12306" max="12544" width="8.42578125" style="122"/>
    <col min="12545" max="12545" width="10" style="122" bestFit="1" customWidth="1"/>
    <col min="12546" max="12546" width="44.28515625" style="122" bestFit="1" customWidth="1"/>
    <col min="12547" max="12547" width="10.42578125" style="122" bestFit="1" customWidth="1"/>
    <col min="12548" max="12548" width="10.42578125" style="122" customWidth="1"/>
    <col min="12549" max="12549" width="9.7109375" style="122" bestFit="1" customWidth="1"/>
    <col min="12550" max="12551" width="9.5703125" style="122" bestFit="1" customWidth="1"/>
    <col min="12552" max="12552" width="10.42578125" style="122" bestFit="1" customWidth="1"/>
    <col min="12553" max="12553" width="4.5703125" style="122" customWidth="1"/>
    <col min="12554" max="12554" width="1.85546875" style="122" customWidth="1"/>
    <col min="12555" max="12555" width="7" style="122" bestFit="1" customWidth="1"/>
    <col min="12556" max="12556" width="6.28515625" style="122" customWidth="1"/>
    <col min="12557" max="12557" width="20.42578125" style="122" customWidth="1"/>
    <col min="12558" max="12558" width="6.42578125" style="122" bestFit="1" customWidth="1"/>
    <col min="12559" max="12560" width="8.42578125" style="122"/>
    <col min="12561" max="12561" width="3.28515625" style="122" customWidth="1"/>
    <col min="12562" max="12800" width="8.42578125" style="122"/>
    <col min="12801" max="12801" width="10" style="122" bestFit="1" customWidth="1"/>
    <col min="12802" max="12802" width="44.28515625" style="122" bestFit="1" customWidth="1"/>
    <col min="12803" max="12803" width="10.42578125" style="122" bestFit="1" customWidth="1"/>
    <col min="12804" max="12804" width="10.42578125" style="122" customWidth="1"/>
    <col min="12805" max="12805" width="9.7109375" style="122" bestFit="1" customWidth="1"/>
    <col min="12806" max="12807" width="9.5703125" style="122" bestFit="1" customWidth="1"/>
    <col min="12808" max="12808" width="10.42578125" style="122" bestFit="1" customWidth="1"/>
    <col min="12809" max="12809" width="4.5703125" style="122" customWidth="1"/>
    <col min="12810" max="12810" width="1.85546875" style="122" customWidth="1"/>
    <col min="12811" max="12811" width="7" style="122" bestFit="1" customWidth="1"/>
    <col min="12812" max="12812" width="6.28515625" style="122" customWidth="1"/>
    <col min="12813" max="12813" width="20.42578125" style="122" customWidth="1"/>
    <col min="12814" max="12814" width="6.42578125" style="122" bestFit="1" customWidth="1"/>
    <col min="12815" max="12816" width="8.42578125" style="122"/>
    <col min="12817" max="12817" width="3.28515625" style="122" customWidth="1"/>
    <col min="12818" max="13056" width="8.42578125" style="122"/>
    <col min="13057" max="13057" width="10" style="122" bestFit="1" customWidth="1"/>
    <col min="13058" max="13058" width="44.28515625" style="122" bestFit="1" customWidth="1"/>
    <col min="13059" max="13059" width="10.42578125" style="122" bestFit="1" customWidth="1"/>
    <col min="13060" max="13060" width="10.42578125" style="122" customWidth="1"/>
    <col min="13061" max="13061" width="9.7109375" style="122" bestFit="1" customWidth="1"/>
    <col min="13062" max="13063" width="9.5703125" style="122" bestFit="1" customWidth="1"/>
    <col min="13064" max="13064" width="10.42578125" style="122" bestFit="1" customWidth="1"/>
    <col min="13065" max="13065" width="4.5703125" style="122" customWidth="1"/>
    <col min="13066" max="13066" width="1.85546875" style="122" customWidth="1"/>
    <col min="13067" max="13067" width="7" style="122" bestFit="1" customWidth="1"/>
    <col min="13068" max="13068" width="6.28515625" style="122" customWidth="1"/>
    <col min="13069" max="13069" width="20.42578125" style="122" customWidth="1"/>
    <col min="13070" max="13070" width="6.42578125" style="122" bestFit="1" customWidth="1"/>
    <col min="13071" max="13072" width="8.42578125" style="122"/>
    <col min="13073" max="13073" width="3.28515625" style="122" customWidth="1"/>
    <col min="13074" max="13312" width="8.42578125" style="122"/>
    <col min="13313" max="13313" width="10" style="122" bestFit="1" customWidth="1"/>
    <col min="13314" max="13314" width="44.28515625" style="122" bestFit="1" customWidth="1"/>
    <col min="13315" max="13315" width="10.42578125" style="122" bestFit="1" customWidth="1"/>
    <col min="13316" max="13316" width="10.42578125" style="122" customWidth="1"/>
    <col min="13317" max="13317" width="9.7109375" style="122" bestFit="1" customWidth="1"/>
    <col min="13318" max="13319" width="9.5703125" style="122" bestFit="1" customWidth="1"/>
    <col min="13320" max="13320" width="10.42578125" style="122" bestFit="1" customWidth="1"/>
    <col min="13321" max="13321" width="4.5703125" style="122" customWidth="1"/>
    <col min="13322" max="13322" width="1.85546875" style="122" customWidth="1"/>
    <col min="13323" max="13323" width="7" style="122" bestFit="1" customWidth="1"/>
    <col min="13324" max="13324" width="6.28515625" style="122" customWidth="1"/>
    <col min="13325" max="13325" width="20.42578125" style="122" customWidth="1"/>
    <col min="13326" max="13326" width="6.42578125" style="122" bestFit="1" customWidth="1"/>
    <col min="13327" max="13328" width="8.42578125" style="122"/>
    <col min="13329" max="13329" width="3.28515625" style="122" customWidth="1"/>
    <col min="13330" max="13568" width="8.42578125" style="122"/>
    <col min="13569" max="13569" width="10" style="122" bestFit="1" customWidth="1"/>
    <col min="13570" max="13570" width="44.28515625" style="122" bestFit="1" customWidth="1"/>
    <col min="13571" max="13571" width="10.42578125" style="122" bestFit="1" customWidth="1"/>
    <col min="13572" max="13572" width="10.42578125" style="122" customWidth="1"/>
    <col min="13573" max="13573" width="9.7109375" style="122" bestFit="1" customWidth="1"/>
    <col min="13574" max="13575" width="9.5703125" style="122" bestFit="1" customWidth="1"/>
    <col min="13576" max="13576" width="10.42578125" style="122" bestFit="1" customWidth="1"/>
    <col min="13577" max="13577" width="4.5703125" style="122" customWidth="1"/>
    <col min="13578" max="13578" width="1.85546875" style="122" customWidth="1"/>
    <col min="13579" max="13579" width="7" style="122" bestFit="1" customWidth="1"/>
    <col min="13580" max="13580" width="6.28515625" style="122" customWidth="1"/>
    <col min="13581" max="13581" width="20.42578125" style="122" customWidth="1"/>
    <col min="13582" max="13582" width="6.42578125" style="122" bestFit="1" customWidth="1"/>
    <col min="13583" max="13584" width="8.42578125" style="122"/>
    <col min="13585" max="13585" width="3.28515625" style="122" customWidth="1"/>
    <col min="13586" max="13824" width="8.42578125" style="122"/>
    <col min="13825" max="13825" width="10" style="122" bestFit="1" customWidth="1"/>
    <col min="13826" max="13826" width="44.28515625" style="122" bestFit="1" customWidth="1"/>
    <col min="13827" max="13827" width="10.42578125" style="122" bestFit="1" customWidth="1"/>
    <col min="13828" max="13828" width="10.42578125" style="122" customWidth="1"/>
    <col min="13829" max="13829" width="9.7109375" style="122" bestFit="1" customWidth="1"/>
    <col min="13830" max="13831" width="9.5703125" style="122" bestFit="1" customWidth="1"/>
    <col min="13832" max="13832" width="10.42578125" style="122" bestFit="1" customWidth="1"/>
    <col min="13833" max="13833" width="4.5703125" style="122" customWidth="1"/>
    <col min="13834" max="13834" width="1.85546875" style="122" customWidth="1"/>
    <col min="13835" max="13835" width="7" style="122" bestFit="1" customWidth="1"/>
    <col min="13836" max="13836" width="6.28515625" style="122" customWidth="1"/>
    <col min="13837" max="13837" width="20.42578125" style="122" customWidth="1"/>
    <col min="13838" max="13838" width="6.42578125" style="122" bestFit="1" customWidth="1"/>
    <col min="13839" max="13840" width="8.42578125" style="122"/>
    <col min="13841" max="13841" width="3.28515625" style="122" customWidth="1"/>
    <col min="13842" max="14080" width="8.42578125" style="122"/>
    <col min="14081" max="14081" width="10" style="122" bestFit="1" customWidth="1"/>
    <col min="14082" max="14082" width="44.28515625" style="122" bestFit="1" customWidth="1"/>
    <col min="14083" max="14083" width="10.42578125" style="122" bestFit="1" customWidth="1"/>
    <col min="14084" max="14084" width="10.42578125" style="122" customWidth="1"/>
    <col min="14085" max="14085" width="9.7109375" style="122" bestFit="1" customWidth="1"/>
    <col min="14086" max="14087" width="9.5703125" style="122" bestFit="1" customWidth="1"/>
    <col min="14088" max="14088" width="10.42578125" style="122" bestFit="1" customWidth="1"/>
    <col min="14089" max="14089" width="4.5703125" style="122" customWidth="1"/>
    <col min="14090" max="14090" width="1.85546875" style="122" customWidth="1"/>
    <col min="14091" max="14091" width="7" style="122" bestFit="1" customWidth="1"/>
    <col min="14092" max="14092" width="6.28515625" style="122" customWidth="1"/>
    <col min="14093" max="14093" width="20.42578125" style="122" customWidth="1"/>
    <col min="14094" max="14094" width="6.42578125" style="122" bestFit="1" customWidth="1"/>
    <col min="14095" max="14096" width="8.42578125" style="122"/>
    <col min="14097" max="14097" width="3.28515625" style="122" customWidth="1"/>
    <col min="14098" max="14336" width="8.42578125" style="122"/>
    <col min="14337" max="14337" width="10" style="122" bestFit="1" customWidth="1"/>
    <col min="14338" max="14338" width="44.28515625" style="122" bestFit="1" customWidth="1"/>
    <col min="14339" max="14339" width="10.42578125" style="122" bestFit="1" customWidth="1"/>
    <col min="14340" max="14340" width="10.42578125" style="122" customWidth="1"/>
    <col min="14341" max="14341" width="9.7109375" style="122" bestFit="1" customWidth="1"/>
    <col min="14342" max="14343" width="9.5703125" style="122" bestFit="1" customWidth="1"/>
    <col min="14344" max="14344" width="10.42578125" style="122" bestFit="1" customWidth="1"/>
    <col min="14345" max="14345" width="4.5703125" style="122" customWidth="1"/>
    <col min="14346" max="14346" width="1.85546875" style="122" customWidth="1"/>
    <col min="14347" max="14347" width="7" style="122" bestFit="1" customWidth="1"/>
    <col min="14348" max="14348" width="6.28515625" style="122" customWidth="1"/>
    <col min="14349" max="14349" width="20.42578125" style="122" customWidth="1"/>
    <col min="14350" max="14350" width="6.42578125" style="122" bestFit="1" customWidth="1"/>
    <col min="14351" max="14352" width="8.42578125" style="122"/>
    <col min="14353" max="14353" width="3.28515625" style="122" customWidth="1"/>
    <col min="14354" max="14592" width="8.42578125" style="122"/>
    <col min="14593" max="14593" width="10" style="122" bestFit="1" customWidth="1"/>
    <col min="14594" max="14594" width="44.28515625" style="122" bestFit="1" customWidth="1"/>
    <col min="14595" max="14595" width="10.42578125" style="122" bestFit="1" customWidth="1"/>
    <col min="14596" max="14596" width="10.42578125" style="122" customWidth="1"/>
    <col min="14597" max="14597" width="9.7109375" style="122" bestFit="1" customWidth="1"/>
    <col min="14598" max="14599" width="9.5703125" style="122" bestFit="1" customWidth="1"/>
    <col min="14600" max="14600" width="10.42578125" style="122" bestFit="1" customWidth="1"/>
    <col min="14601" max="14601" width="4.5703125" style="122" customWidth="1"/>
    <col min="14602" max="14602" width="1.85546875" style="122" customWidth="1"/>
    <col min="14603" max="14603" width="7" style="122" bestFit="1" customWidth="1"/>
    <col min="14604" max="14604" width="6.28515625" style="122" customWidth="1"/>
    <col min="14605" max="14605" width="20.42578125" style="122" customWidth="1"/>
    <col min="14606" max="14606" width="6.42578125" style="122" bestFit="1" customWidth="1"/>
    <col min="14607" max="14608" width="8.42578125" style="122"/>
    <col min="14609" max="14609" width="3.28515625" style="122" customWidth="1"/>
    <col min="14610" max="14848" width="8.42578125" style="122"/>
    <col min="14849" max="14849" width="10" style="122" bestFit="1" customWidth="1"/>
    <col min="14850" max="14850" width="44.28515625" style="122" bestFit="1" customWidth="1"/>
    <col min="14851" max="14851" width="10.42578125" style="122" bestFit="1" customWidth="1"/>
    <col min="14852" max="14852" width="10.42578125" style="122" customWidth="1"/>
    <col min="14853" max="14853" width="9.7109375" style="122" bestFit="1" customWidth="1"/>
    <col min="14854" max="14855" width="9.5703125" style="122" bestFit="1" customWidth="1"/>
    <col min="14856" max="14856" width="10.42578125" style="122" bestFit="1" customWidth="1"/>
    <col min="14857" max="14857" width="4.5703125" style="122" customWidth="1"/>
    <col min="14858" max="14858" width="1.85546875" style="122" customWidth="1"/>
    <col min="14859" max="14859" width="7" style="122" bestFit="1" customWidth="1"/>
    <col min="14860" max="14860" width="6.28515625" style="122" customWidth="1"/>
    <col min="14861" max="14861" width="20.42578125" style="122" customWidth="1"/>
    <col min="14862" max="14862" width="6.42578125" style="122" bestFit="1" customWidth="1"/>
    <col min="14863" max="14864" width="8.42578125" style="122"/>
    <col min="14865" max="14865" width="3.28515625" style="122" customWidth="1"/>
    <col min="14866" max="15104" width="8.42578125" style="122"/>
    <col min="15105" max="15105" width="10" style="122" bestFit="1" customWidth="1"/>
    <col min="15106" max="15106" width="44.28515625" style="122" bestFit="1" customWidth="1"/>
    <col min="15107" max="15107" width="10.42578125" style="122" bestFit="1" customWidth="1"/>
    <col min="15108" max="15108" width="10.42578125" style="122" customWidth="1"/>
    <col min="15109" max="15109" width="9.7109375" style="122" bestFit="1" customWidth="1"/>
    <col min="15110" max="15111" width="9.5703125" style="122" bestFit="1" customWidth="1"/>
    <col min="15112" max="15112" width="10.42578125" style="122" bestFit="1" customWidth="1"/>
    <col min="15113" max="15113" width="4.5703125" style="122" customWidth="1"/>
    <col min="15114" max="15114" width="1.85546875" style="122" customWidth="1"/>
    <col min="15115" max="15115" width="7" style="122" bestFit="1" customWidth="1"/>
    <col min="15116" max="15116" width="6.28515625" style="122" customWidth="1"/>
    <col min="15117" max="15117" width="20.42578125" style="122" customWidth="1"/>
    <col min="15118" max="15118" width="6.42578125" style="122" bestFit="1" customWidth="1"/>
    <col min="15119" max="15120" width="8.42578125" style="122"/>
    <col min="15121" max="15121" width="3.28515625" style="122" customWidth="1"/>
    <col min="15122" max="15360" width="8.42578125" style="122"/>
    <col min="15361" max="15361" width="10" style="122" bestFit="1" customWidth="1"/>
    <col min="15362" max="15362" width="44.28515625" style="122" bestFit="1" customWidth="1"/>
    <col min="15363" max="15363" width="10.42578125" style="122" bestFit="1" customWidth="1"/>
    <col min="15364" max="15364" width="10.42578125" style="122" customWidth="1"/>
    <col min="15365" max="15365" width="9.7109375" style="122" bestFit="1" customWidth="1"/>
    <col min="15366" max="15367" width="9.5703125" style="122" bestFit="1" customWidth="1"/>
    <col min="15368" max="15368" width="10.42578125" style="122" bestFit="1" customWidth="1"/>
    <col min="15369" max="15369" width="4.5703125" style="122" customWidth="1"/>
    <col min="15370" max="15370" width="1.85546875" style="122" customWidth="1"/>
    <col min="15371" max="15371" width="7" style="122" bestFit="1" customWidth="1"/>
    <col min="15372" max="15372" width="6.28515625" style="122" customWidth="1"/>
    <col min="15373" max="15373" width="20.42578125" style="122" customWidth="1"/>
    <col min="15374" max="15374" width="6.42578125" style="122" bestFit="1" customWidth="1"/>
    <col min="15375" max="15376" width="8.42578125" style="122"/>
    <col min="15377" max="15377" width="3.28515625" style="122" customWidth="1"/>
    <col min="15378" max="15616" width="8.42578125" style="122"/>
    <col min="15617" max="15617" width="10" style="122" bestFit="1" customWidth="1"/>
    <col min="15618" max="15618" width="44.28515625" style="122" bestFit="1" customWidth="1"/>
    <col min="15619" max="15619" width="10.42578125" style="122" bestFit="1" customWidth="1"/>
    <col min="15620" max="15620" width="10.42578125" style="122" customWidth="1"/>
    <col min="15621" max="15621" width="9.7109375" style="122" bestFit="1" customWidth="1"/>
    <col min="15622" max="15623" width="9.5703125" style="122" bestFit="1" customWidth="1"/>
    <col min="15624" max="15624" width="10.42578125" style="122" bestFit="1" customWidth="1"/>
    <col min="15625" max="15625" width="4.5703125" style="122" customWidth="1"/>
    <col min="15626" max="15626" width="1.85546875" style="122" customWidth="1"/>
    <col min="15627" max="15627" width="7" style="122" bestFit="1" customWidth="1"/>
    <col min="15628" max="15628" width="6.28515625" style="122" customWidth="1"/>
    <col min="15629" max="15629" width="20.42578125" style="122" customWidth="1"/>
    <col min="15630" max="15630" width="6.42578125" style="122" bestFit="1" customWidth="1"/>
    <col min="15631" max="15632" width="8.42578125" style="122"/>
    <col min="15633" max="15633" width="3.28515625" style="122" customWidth="1"/>
    <col min="15634" max="15872" width="8.42578125" style="122"/>
    <col min="15873" max="15873" width="10" style="122" bestFit="1" customWidth="1"/>
    <col min="15874" max="15874" width="44.28515625" style="122" bestFit="1" customWidth="1"/>
    <col min="15875" max="15875" width="10.42578125" style="122" bestFit="1" customWidth="1"/>
    <col min="15876" max="15876" width="10.42578125" style="122" customWidth="1"/>
    <col min="15877" max="15877" width="9.7109375" style="122" bestFit="1" customWidth="1"/>
    <col min="15878" max="15879" width="9.5703125" style="122" bestFit="1" customWidth="1"/>
    <col min="15880" max="15880" width="10.42578125" style="122" bestFit="1" customWidth="1"/>
    <col min="15881" max="15881" width="4.5703125" style="122" customWidth="1"/>
    <col min="15882" max="15882" width="1.85546875" style="122" customWidth="1"/>
    <col min="15883" max="15883" width="7" style="122" bestFit="1" customWidth="1"/>
    <col min="15884" max="15884" width="6.28515625" style="122" customWidth="1"/>
    <col min="15885" max="15885" width="20.42578125" style="122" customWidth="1"/>
    <col min="15886" max="15886" width="6.42578125" style="122" bestFit="1" customWidth="1"/>
    <col min="15887" max="15888" width="8.42578125" style="122"/>
    <col min="15889" max="15889" width="3.28515625" style="122" customWidth="1"/>
    <col min="15890" max="16128" width="8.42578125" style="122"/>
    <col min="16129" max="16129" width="10" style="122" bestFit="1" customWidth="1"/>
    <col min="16130" max="16130" width="44.28515625" style="122" bestFit="1" customWidth="1"/>
    <col min="16131" max="16131" width="10.42578125" style="122" bestFit="1" customWidth="1"/>
    <col min="16132" max="16132" width="10.42578125" style="122" customWidth="1"/>
    <col min="16133" max="16133" width="9.7109375" style="122" bestFit="1" customWidth="1"/>
    <col min="16134" max="16135" width="9.5703125" style="122" bestFit="1" customWidth="1"/>
    <col min="16136" max="16136" width="10.42578125" style="122" bestFit="1" customWidth="1"/>
    <col min="16137" max="16137" width="4.5703125" style="122" customWidth="1"/>
    <col min="16138" max="16138" width="1.85546875" style="122" customWidth="1"/>
    <col min="16139" max="16139" width="7" style="122" bestFit="1" customWidth="1"/>
    <col min="16140" max="16140" width="6.28515625" style="122" customWidth="1"/>
    <col min="16141" max="16141" width="20.42578125" style="122" customWidth="1"/>
    <col min="16142" max="16142" width="6.42578125" style="122" bestFit="1" customWidth="1"/>
    <col min="16143" max="16144" width="8.42578125" style="122"/>
    <col min="16145" max="16145" width="3.28515625" style="122" customWidth="1"/>
    <col min="16146" max="16384" width="8.42578125" style="122"/>
  </cols>
  <sheetData>
    <row r="1" spans="1:10" ht="27.75" customHeight="1" x14ac:dyDescent="0.25">
      <c r="A1" s="117"/>
      <c r="B1" s="117"/>
      <c r="C1" s="117"/>
      <c r="D1" s="117"/>
      <c r="E1" s="118" t="s">
        <v>93</v>
      </c>
      <c r="F1" s="119" t="s">
        <v>94</v>
      </c>
      <c r="G1" s="119" t="s">
        <v>95</v>
      </c>
      <c r="H1" s="119" t="s">
        <v>96</v>
      </c>
      <c r="I1" s="120"/>
    </row>
    <row r="2" spans="1:10" ht="30.75" customHeight="1" x14ac:dyDescent="0.25">
      <c r="A2" s="117"/>
      <c r="B2" s="117"/>
      <c r="C2" s="117"/>
      <c r="D2" s="117"/>
      <c r="E2" s="123">
        <f>IFERROR(O64,"")</f>
        <v>4428.4440170250509</v>
      </c>
      <c r="F2" s="123">
        <f>IFERROR(H55,"")</f>
        <v>2640.690380366203</v>
      </c>
      <c r="G2" s="123">
        <f>IFERROR(H56,"")</f>
        <v>902.68579592620324</v>
      </c>
      <c r="H2" s="123">
        <f>IFERROR(H58,"")</f>
        <v>453.69023768648157</v>
      </c>
      <c r="I2" s="124"/>
    </row>
    <row r="3" spans="1:10" ht="15" customHeight="1" x14ac:dyDescent="0.25">
      <c r="A3" s="117"/>
      <c r="B3" s="117"/>
      <c r="C3" s="117"/>
      <c r="D3" s="117"/>
      <c r="E3" s="117"/>
      <c r="F3" s="125"/>
      <c r="G3" s="125"/>
      <c r="H3" s="125"/>
      <c r="I3" s="125"/>
    </row>
    <row r="4" spans="1:10" ht="24.75" customHeight="1" thickBot="1" x14ac:dyDescent="0.3">
      <c r="A4" s="437"/>
      <c r="B4" s="437"/>
      <c r="C4" s="437"/>
      <c r="D4" s="437"/>
      <c r="E4" s="437"/>
      <c r="F4" s="437"/>
      <c r="G4" s="437"/>
      <c r="H4" s="437"/>
      <c r="I4" s="126"/>
    </row>
    <row r="5" spans="1:10" ht="19.5" customHeight="1" thickBot="1" x14ac:dyDescent="0.3">
      <c r="A5" s="438" t="s">
        <v>97</v>
      </c>
      <c r="B5" s="439"/>
      <c r="C5" s="439"/>
      <c r="D5" s="439"/>
      <c r="E5" s="439"/>
      <c r="F5" s="439"/>
      <c r="G5" s="439"/>
      <c r="H5" s="440"/>
      <c r="I5" s="127"/>
    </row>
    <row r="6" spans="1:10" ht="19.5" thickBot="1" x14ac:dyDescent="0.3">
      <c r="A6" s="127"/>
      <c r="B6" s="127"/>
      <c r="C6" s="127"/>
      <c r="D6" s="127"/>
      <c r="E6" s="127"/>
      <c r="F6" s="441" t="s">
        <v>98</v>
      </c>
      <c r="G6" s="441"/>
      <c r="H6" s="128">
        <f ca="1">TODAY()</f>
        <v>45887</v>
      </c>
      <c r="I6" s="128"/>
    </row>
    <row r="7" spans="1:10" ht="26.25" hidden="1" thickBot="1" x14ac:dyDescent="0.3">
      <c r="A7" s="129" t="s">
        <v>99</v>
      </c>
      <c r="B7" s="130" t="s">
        <v>100</v>
      </c>
      <c r="C7" s="130" t="s">
        <v>99</v>
      </c>
      <c r="D7" s="131" t="s">
        <v>101</v>
      </c>
      <c r="E7" s="131" t="s">
        <v>102</v>
      </c>
      <c r="F7" s="131" t="s">
        <v>103</v>
      </c>
      <c r="G7" s="131" t="s">
        <v>104</v>
      </c>
      <c r="H7" s="132" t="s">
        <v>105</v>
      </c>
      <c r="I7" s="133"/>
    </row>
    <row r="8" spans="1:10" ht="14.25" hidden="1" thickBot="1" x14ac:dyDescent="0.3">
      <c r="A8" s="134"/>
      <c r="B8" s="122" t="str">
        <f>IFERROR(VLOOKUP(H8,'[1]Consolidado MP Planta'!$A$2:$M$823,3,0),"")</f>
        <v/>
      </c>
      <c r="C8" s="135">
        <f>+A8</f>
        <v>0</v>
      </c>
      <c r="D8" s="136" t="str">
        <f>IFERROR(VLOOKUP(H8,'[1]Consolidado MP Planta'!$A$2:$M$823,13,0),"")</f>
        <v/>
      </c>
      <c r="E8" s="136" t="str">
        <f>IFERROR(VLOOKUP(H8,'[1]Consolidado MP Planta'!$A$2:$M$823,12,0),"")</f>
        <v/>
      </c>
      <c r="F8" s="136" t="str">
        <f>IFERROR(C8*E8,"")</f>
        <v/>
      </c>
      <c r="G8" s="99" t="str">
        <f t="shared" ref="G8:G14" si="0">IFERROR(F8/$F$68,"")</f>
        <v/>
      </c>
      <c r="H8" s="137"/>
      <c r="I8" s="137"/>
      <c r="J8" s="100"/>
    </row>
    <row r="9" spans="1:10" ht="14.25" hidden="1" thickBot="1" x14ac:dyDescent="0.3">
      <c r="A9" s="134"/>
      <c r="B9" s="122" t="str">
        <f>IFERROR(VLOOKUP(H9,'[1]Consolidado MP Planta'!$A$2:$M$823,3,0),"")</f>
        <v/>
      </c>
      <c r="C9" s="135">
        <f t="shared" ref="C9:C14" si="1">+A9</f>
        <v>0</v>
      </c>
      <c r="D9" s="136" t="str">
        <f>IFERROR(VLOOKUP(H9,'[1]Consolidado MP Planta'!$A$2:$M$823,13,0),"")</f>
        <v/>
      </c>
      <c r="E9" s="136" t="str">
        <f>IFERROR(VLOOKUP(H9,'[1]Consolidado MP Planta'!$A$2:$M$823,12,0),"")</f>
        <v/>
      </c>
      <c r="F9" s="136" t="str">
        <f t="shared" ref="F9:F14" si="2">IFERROR(C9*E9,"")</f>
        <v/>
      </c>
      <c r="G9" s="99" t="str">
        <f t="shared" si="0"/>
        <v/>
      </c>
      <c r="H9" s="137"/>
      <c r="I9" s="137"/>
      <c r="J9" s="100"/>
    </row>
    <row r="10" spans="1:10" ht="14.25" hidden="1" thickBot="1" x14ac:dyDescent="0.3">
      <c r="A10" s="134"/>
      <c r="B10" s="122" t="str">
        <f>IFERROR(VLOOKUP(H10,'[1]Consolidado MP Planta'!$A$2:$M$823,3,0),"")</f>
        <v/>
      </c>
      <c r="C10" s="135">
        <f t="shared" si="1"/>
        <v>0</v>
      </c>
      <c r="D10" s="136" t="str">
        <f>IFERROR(VLOOKUP(H10,'[1]Consolidado MP Planta'!$A$2:$M$823,13,0),"")</f>
        <v/>
      </c>
      <c r="E10" s="136" t="str">
        <f>IFERROR(VLOOKUP(H10,'[1]Consolidado MP Planta'!$A$2:$M$823,12,0),"")</f>
        <v/>
      </c>
      <c r="F10" s="136" t="str">
        <f t="shared" si="2"/>
        <v/>
      </c>
      <c r="G10" s="99" t="str">
        <f t="shared" si="0"/>
        <v/>
      </c>
      <c r="H10" s="137"/>
      <c r="I10" s="137"/>
      <c r="J10" s="100"/>
    </row>
    <row r="11" spans="1:10" ht="14.25" hidden="1" thickBot="1" x14ac:dyDescent="0.3">
      <c r="A11" s="134"/>
      <c r="B11" s="122" t="str">
        <f>IFERROR(VLOOKUP(H11,'[1]Consolidado MP Planta'!$A$2:$M$823,3,0),"")</f>
        <v/>
      </c>
      <c r="C11" s="135">
        <f t="shared" si="1"/>
        <v>0</v>
      </c>
      <c r="D11" s="136" t="str">
        <f>IFERROR(VLOOKUP(H11,'[1]Consolidado MP Planta'!$A$2:$M$823,13,0),"")</f>
        <v/>
      </c>
      <c r="E11" s="136" t="str">
        <f>IFERROR(VLOOKUP(H11,'[1]Consolidado MP Planta'!$A$2:$M$823,12,0),"")</f>
        <v/>
      </c>
      <c r="F11" s="136" t="str">
        <f t="shared" si="2"/>
        <v/>
      </c>
      <c r="G11" s="99" t="str">
        <f t="shared" si="0"/>
        <v/>
      </c>
      <c r="H11" s="137"/>
      <c r="I11" s="137"/>
      <c r="J11" s="100"/>
    </row>
    <row r="12" spans="1:10" ht="14.25" hidden="1" thickBot="1" x14ac:dyDescent="0.3">
      <c r="A12" s="134"/>
      <c r="B12" s="122" t="str">
        <f>IFERROR(VLOOKUP(H12,'[1]Consolidado MP Planta'!$A$2:$M$823,3,0),"")</f>
        <v/>
      </c>
      <c r="C12" s="135">
        <f t="shared" si="1"/>
        <v>0</v>
      </c>
      <c r="D12" s="136" t="str">
        <f>IFERROR(VLOOKUP(H12,'[1]Consolidado MP Planta'!$A$2:$M$823,13,0),"")</f>
        <v/>
      </c>
      <c r="E12" s="136" t="str">
        <f>IFERROR(VLOOKUP(H12,'[1]Consolidado MP Planta'!$A$2:$M$823,12,0),"")</f>
        <v/>
      </c>
      <c r="F12" s="136" t="str">
        <f t="shared" si="2"/>
        <v/>
      </c>
      <c r="G12" s="99" t="str">
        <f t="shared" si="0"/>
        <v/>
      </c>
      <c r="H12" s="137"/>
      <c r="I12" s="137"/>
      <c r="J12" s="100"/>
    </row>
    <row r="13" spans="1:10" ht="14.25" hidden="1" thickBot="1" x14ac:dyDescent="0.3">
      <c r="A13" s="134"/>
      <c r="B13" s="122" t="str">
        <f>IFERROR(VLOOKUP(H13,'[1]Consolidado MP Planta'!$A$2:$M$823,3,0),"")</f>
        <v/>
      </c>
      <c r="C13" s="135">
        <f t="shared" si="1"/>
        <v>0</v>
      </c>
      <c r="D13" s="136" t="str">
        <f>IFERROR(VLOOKUP(H13,'[1]Consolidado MP Planta'!$A$2:$M$823,13,0),"")</f>
        <v/>
      </c>
      <c r="E13" s="136" t="str">
        <f>IFERROR(VLOOKUP(H13,'[1]Consolidado MP Planta'!$A$2:$M$823,12,0),"")</f>
        <v/>
      </c>
      <c r="F13" s="136" t="str">
        <f t="shared" si="2"/>
        <v/>
      </c>
      <c r="G13" s="99" t="str">
        <f t="shared" si="0"/>
        <v/>
      </c>
      <c r="H13" s="137"/>
      <c r="I13" s="137"/>
      <c r="J13" s="100"/>
    </row>
    <row r="14" spans="1:10" ht="14.25" hidden="1" thickBot="1" x14ac:dyDescent="0.3">
      <c r="A14" s="134"/>
      <c r="B14" s="122" t="str">
        <f>IFERROR(VLOOKUP(H14,'[1]Consolidado MP Planta'!$A$2:$M$823,3,0),"")</f>
        <v/>
      </c>
      <c r="C14" s="135">
        <f t="shared" si="1"/>
        <v>0</v>
      </c>
      <c r="D14" s="136" t="str">
        <f>IFERROR(VLOOKUP(H14,'[1]Consolidado MP Planta'!$A$2:$M$823,13,0),"")</f>
        <v/>
      </c>
      <c r="E14" s="136" t="str">
        <f>IFERROR(VLOOKUP(H14,'[1]Consolidado MP Planta'!$A$2:$M$823,12,0),"")</f>
        <v/>
      </c>
      <c r="F14" s="136" t="str">
        <f t="shared" si="2"/>
        <v/>
      </c>
      <c r="G14" s="99" t="str">
        <f t="shared" si="0"/>
        <v/>
      </c>
      <c r="H14" s="137"/>
      <c r="I14" s="137"/>
      <c r="J14" s="100"/>
    </row>
    <row r="15" spans="1:10" ht="14.25" hidden="1" thickBot="1" x14ac:dyDescent="0.3">
      <c r="A15" s="134"/>
      <c r="B15" s="122" t="str">
        <f>IFERROR(VLOOKUP(H15,'[2]ARTICULOS MP PLANTA'!$A$2:$G$589,2,0),"")</f>
        <v/>
      </c>
      <c r="C15" s="135"/>
      <c r="D15" s="136"/>
      <c r="E15" s="136"/>
      <c r="F15" s="136"/>
      <c r="G15" s="99"/>
      <c r="H15" s="137"/>
      <c r="I15" s="137"/>
      <c r="J15" s="100"/>
    </row>
    <row r="16" spans="1:10" ht="26.25" thickBot="1" x14ac:dyDescent="0.3">
      <c r="A16" s="129" t="s">
        <v>99</v>
      </c>
      <c r="B16" s="130" t="s">
        <v>106</v>
      </c>
      <c r="C16" s="130" t="s">
        <v>99</v>
      </c>
      <c r="D16" s="131" t="s">
        <v>101</v>
      </c>
      <c r="E16" s="131" t="s">
        <v>102</v>
      </c>
      <c r="F16" s="131" t="s">
        <v>103</v>
      </c>
      <c r="G16" s="131" t="s">
        <v>104</v>
      </c>
      <c r="H16" s="132" t="s">
        <v>105</v>
      </c>
      <c r="I16" s="133"/>
      <c r="J16" s="100"/>
    </row>
    <row r="17" spans="1:12" ht="13.5" x14ac:dyDescent="0.25">
      <c r="A17" s="204">
        <v>1</v>
      </c>
      <c r="B17" s="205" t="s">
        <v>148</v>
      </c>
      <c r="C17" s="135">
        <f>+A17</f>
        <v>1</v>
      </c>
      <c r="D17" s="135" t="s">
        <v>149</v>
      </c>
      <c r="E17" s="136">
        <f>+'Costo Rosquete '!H53</f>
        <v>1549.2094973262028</v>
      </c>
      <c r="F17" s="136">
        <f>IFERROR(E17*C17,"")</f>
        <v>1549.2094973262028</v>
      </c>
      <c r="G17" s="99">
        <f t="shared" ref="G17:G24" si="3">IFERROR(F17/$F$68,"")</f>
        <v>0.39099828721524726</v>
      </c>
      <c r="H17" s="137"/>
      <c r="I17" s="137"/>
      <c r="J17" s="100"/>
    </row>
    <row r="18" spans="1:12" ht="13.5" x14ac:dyDescent="0.25">
      <c r="A18" s="204">
        <v>160</v>
      </c>
      <c r="B18" s="205" t="s">
        <v>61</v>
      </c>
      <c r="C18" s="135">
        <f t="shared" ref="C18:C24" si="4">+A18</f>
        <v>160</v>
      </c>
      <c r="D18" s="135" t="s">
        <v>107</v>
      </c>
      <c r="E18" s="136">
        <f>+'[3]COSTO CREMA '!$E$69</f>
        <v>2.3351836439999998</v>
      </c>
      <c r="F18" s="136">
        <f t="shared" ref="F18:F24" si="5">IFERROR(E18*C18,"")</f>
        <v>373.62938303999999</v>
      </c>
      <c r="G18" s="99">
        <f t="shared" si="3"/>
        <v>9.4298704645217557E-2</v>
      </c>
      <c r="H18" s="137"/>
      <c r="I18" s="137"/>
      <c r="J18" s="100"/>
    </row>
    <row r="19" spans="1:12" ht="13.5" x14ac:dyDescent="0.25">
      <c r="A19" s="204">
        <v>10</v>
      </c>
      <c r="B19" s="205" t="s">
        <v>65</v>
      </c>
      <c r="C19" s="135">
        <f>+A19</f>
        <v>10</v>
      </c>
      <c r="D19" s="135" t="s">
        <v>107</v>
      </c>
      <c r="E19" s="136">
        <v>1.78</v>
      </c>
      <c r="F19" s="136">
        <f>IFERROR(E19*C19,"")</f>
        <v>17.8</v>
      </c>
      <c r="G19" s="99">
        <f t="shared" si="3"/>
        <v>4.4924650439100338E-3</v>
      </c>
      <c r="H19" s="137" t="s">
        <v>150</v>
      </c>
      <c r="I19" s="137"/>
      <c r="J19" s="100"/>
    </row>
    <row r="20" spans="1:12" ht="13.5" x14ac:dyDescent="0.25">
      <c r="A20" s="204">
        <v>200</v>
      </c>
      <c r="B20" s="205" t="str">
        <f>IFERROR(VLOOKUP(H20,[1]SEMIELABORADOS!$A$2:$M$6000,2,0),"")</f>
        <v>CREMA DULCE LECHE KILO</v>
      </c>
      <c r="C20" s="135">
        <f>+A20</f>
        <v>200</v>
      </c>
      <c r="D20" s="135" t="str">
        <f>IFERROR(VLOOKUP(H20,[1]SEMIELABORADOS!$A$2:$M$6000,6,0),"")</f>
        <v>Gramo</v>
      </c>
      <c r="E20" s="136">
        <v>2.63</v>
      </c>
      <c r="F20" s="136">
        <f>IFERROR(E20*C20,"")</f>
        <v>526</v>
      </c>
      <c r="G20" s="99">
        <f t="shared" si="3"/>
        <v>0.13275486590430774</v>
      </c>
      <c r="H20" s="137" t="s">
        <v>151</v>
      </c>
      <c r="I20" s="137"/>
      <c r="J20" s="100"/>
    </row>
    <row r="21" spans="1:12" ht="13.5" x14ac:dyDescent="0.25">
      <c r="A21" s="204">
        <v>70</v>
      </c>
      <c r="B21" s="205" t="s">
        <v>63</v>
      </c>
      <c r="C21" s="135">
        <f>+A21</f>
        <v>70</v>
      </c>
      <c r="D21" s="135" t="s">
        <v>107</v>
      </c>
      <c r="E21" s="136">
        <f>+[4]Hoja2!$E$69</f>
        <v>2.48645</v>
      </c>
      <c r="F21" s="136">
        <f>IFERROR(E21*C21,"")</f>
        <v>174.0515</v>
      </c>
      <c r="G21" s="99">
        <f t="shared" si="3"/>
        <v>4.3928105594949848E-2</v>
      </c>
      <c r="H21" s="137"/>
      <c r="I21" s="137"/>
      <c r="J21" s="100"/>
    </row>
    <row r="22" spans="1:12" ht="13.5" hidden="1" x14ac:dyDescent="0.25">
      <c r="A22" s="134"/>
      <c r="B22" s="122" t="str">
        <f>IFERROR(VLOOKUP(H22,[1]SEMIELABORADOS!$A$2:$M$6000,2,0),"")</f>
        <v/>
      </c>
      <c r="C22" s="135">
        <f t="shared" si="4"/>
        <v>0</v>
      </c>
      <c r="D22" s="135" t="str">
        <f>IFERROR(VLOOKUP(H22,[1]SEMIELABORADOS!$A$2:$M$6000,6,0),"")</f>
        <v/>
      </c>
      <c r="E22" s="136" t="str">
        <f>IFERROR(VLOOKUP(H22,[1]SEMIELABORADOS!$A$2:$H$65536,8,0),"")</f>
        <v/>
      </c>
      <c r="F22" s="136" t="str">
        <f t="shared" si="5"/>
        <v/>
      </c>
      <c r="G22" s="99" t="str">
        <f t="shared" si="3"/>
        <v/>
      </c>
      <c r="H22" s="137"/>
      <c r="I22" s="137"/>
      <c r="J22" s="100"/>
    </row>
    <row r="23" spans="1:12" ht="13.5" hidden="1" x14ac:dyDescent="0.25">
      <c r="A23" s="134"/>
      <c r="B23" s="122" t="str">
        <f>IFERROR(VLOOKUP(H23,[1]SEMIELABORADOS!$A$2:$M$6000,2,0),"")</f>
        <v/>
      </c>
      <c r="C23" s="135">
        <f t="shared" si="4"/>
        <v>0</v>
      </c>
      <c r="D23" s="135" t="str">
        <f>IFERROR(VLOOKUP(H23,[1]SEMIELABORADOS!$A$2:$M$6000,6,0),"")</f>
        <v/>
      </c>
      <c r="E23" s="136" t="str">
        <f>IFERROR(VLOOKUP(H23,[1]SEMIELABORADOS!$A$2:$H$65536,8,0),"")</f>
        <v/>
      </c>
      <c r="F23" s="136" t="str">
        <f t="shared" si="5"/>
        <v/>
      </c>
      <c r="G23" s="99" t="str">
        <f t="shared" si="3"/>
        <v/>
      </c>
      <c r="H23" s="137"/>
      <c r="I23" s="137"/>
      <c r="J23" s="100"/>
    </row>
    <row r="24" spans="1:12" ht="13.5" hidden="1" x14ac:dyDescent="0.25">
      <c r="A24" s="134"/>
      <c r="B24" s="122" t="str">
        <f>IFERROR(VLOOKUP(H24,[1]SEMIELABORADOS!$A$2:$M$6000,2,0),"")</f>
        <v/>
      </c>
      <c r="C24" s="135">
        <f t="shared" si="4"/>
        <v>0</v>
      </c>
      <c r="D24" s="135" t="str">
        <f>IFERROR(VLOOKUP(H24,[1]SEMIELABORADOS!$A$2:$M$6000,6,0),"")</f>
        <v/>
      </c>
      <c r="E24" s="136" t="str">
        <f>IFERROR(VLOOKUP(H24,[1]SEMIELABORADOS!$A$2:$H$65536,8,0),"")</f>
        <v/>
      </c>
      <c r="F24" s="136" t="str">
        <f t="shared" si="5"/>
        <v/>
      </c>
      <c r="G24" s="99" t="str">
        <f t="shared" si="3"/>
        <v/>
      </c>
      <c r="H24" s="137"/>
      <c r="I24" s="137"/>
      <c r="J24" s="100"/>
    </row>
    <row r="25" spans="1:12" ht="14.25" thickBot="1" x14ac:dyDescent="0.3">
      <c r="A25" s="134"/>
      <c r="C25" s="135"/>
      <c r="D25" s="135"/>
      <c r="E25" s="136"/>
      <c r="F25" s="136"/>
      <c r="G25" s="99"/>
      <c r="H25" s="137"/>
      <c r="I25" s="137"/>
      <c r="J25" s="100"/>
    </row>
    <row r="26" spans="1:12" ht="26.25" thickBot="1" x14ac:dyDescent="0.3">
      <c r="A26" s="129" t="s">
        <v>99</v>
      </c>
      <c r="B26" s="130" t="s">
        <v>24</v>
      </c>
      <c r="C26" s="130" t="s">
        <v>99</v>
      </c>
      <c r="D26" s="131" t="s">
        <v>101</v>
      </c>
      <c r="E26" s="131" t="s">
        <v>102</v>
      </c>
      <c r="F26" s="131" t="s">
        <v>103</v>
      </c>
      <c r="G26" s="131" t="s">
        <v>104</v>
      </c>
      <c r="H26" s="132" t="s">
        <v>105</v>
      </c>
      <c r="I26" s="133"/>
    </row>
    <row r="27" spans="1:12" ht="13.5" x14ac:dyDescent="0.25">
      <c r="A27" s="134">
        <v>1</v>
      </c>
      <c r="B27" s="138" t="s">
        <v>152</v>
      </c>
      <c r="C27" s="135">
        <f t="shared" ref="C27:C34" si="6">+A27</f>
        <v>1</v>
      </c>
      <c r="D27" s="136" t="s">
        <v>153</v>
      </c>
      <c r="E27" s="136">
        <v>653.73</v>
      </c>
      <c r="F27" s="136">
        <f t="shared" ref="F27:F34" si="7">IFERROR(C27*E27,"")</f>
        <v>653.73</v>
      </c>
      <c r="G27" s="99">
        <f t="shared" ref="G27:G34" si="8">IFERROR(F27/$F$68,"")</f>
        <v>0.1649920883795116</v>
      </c>
      <c r="H27" s="139">
        <v>51400040</v>
      </c>
      <c r="I27" s="139"/>
      <c r="J27" s="100"/>
      <c r="K27" s="442"/>
      <c r="L27" s="442"/>
    </row>
    <row r="28" spans="1:12" ht="13.5" x14ac:dyDescent="0.25">
      <c r="A28" s="134">
        <v>1</v>
      </c>
      <c r="B28" s="138" t="str">
        <f>IFERROR(VLOOKUP(H28,'[1]Consolidado MP Planta'!$A$2:$M$823,3,0),"")</f>
        <v>BASE CARTON 15 PORCIONES (UND)</v>
      </c>
      <c r="C28" s="135">
        <f t="shared" si="6"/>
        <v>1</v>
      </c>
      <c r="D28" s="136" t="str">
        <f>IFERROR(VLOOKUP(H28,'[1]Consolidado MP Planta'!$A$2:$M$823,13,0),"")</f>
        <v>Und</v>
      </c>
      <c r="E28" s="136">
        <v>170</v>
      </c>
      <c r="F28" s="136">
        <f t="shared" si="7"/>
        <v>170</v>
      </c>
      <c r="G28" s="99">
        <f t="shared" si="8"/>
        <v>4.2905565026107068E-2</v>
      </c>
      <c r="H28" s="139" t="s">
        <v>71</v>
      </c>
      <c r="I28" s="139"/>
      <c r="J28" s="100"/>
      <c r="K28" s="442"/>
      <c r="L28" s="442"/>
    </row>
    <row r="29" spans="1:12" ht="13.5" x14ac:dyDescent="0.25">
      <c r="A29" s="134">
        <v>1</v>
      </c>
      <c r="B29" s="138" t="str">
        <f>IFERROR(VLOOKUP(H29,'[1]Consolidado MP Planta'!$A$2:$M$823,3,0),"")</f>
        <v>ETIQ.FECHA VENCIMIENTO BLANCO (ROLLO)</v>
      </c>
      <c r="C29" s="135">
        <f t="shared" si="6"/>
        <v>1</v>
      </c>
      <c r="D29" s="136" t="str">
        <f>IFERROR(VLOOKUP(H29,'[1]Consolidado MP Planta'!$A$2:$M$823,13,0),"")</f>
        <v>Gramos</v>
      </c>
      <c r="E29" s="136">
        <f>IFERROR(VLOOKUP(H29,'[1]Consolidado MP Planta'!$A$2:$M$823,12,0),"")</f>
        <v>0.33333333333333331</v>
      </c>
      <c r="F29" s="136">
        <f t="shared" si="7"/>
        <v>0.33333333333333331</v>
      </c>
      <c r="G29" s="99">
        <f t="shared" si="8"/>
        <v>8.4128558874719728E-5</v>
      </c>
      <c r="H29" s="139" t="s">
        <v>75</v>
      </c>
      <c r="I29" s="139"/>
      <c r="J29" s="100"/>
      <c r="K29" s="442"/>
      <c r="L29" s="442"/>
    </row>
    <row r="30" spans="1:12" ht="13.5" x14ac:dyDescent="0.25">
      <c r="A30" s="134">
        <v>1</v>
      </c>
      <c r="B30" s="138" t="str">
        <f>IFERROR(VLOOKUP(H30,'[1]Consolidado MP Planta'!$A$2:$M$823,3,0),"")</f>
        <v>ETIQUETA BLANCA R-153 (UND)</v>
      </c>
      <c r="C30" s="135">
        <f>+A30</f>
        <v>1</v>
      </c>
      <c r="D30" s="136" t="str">
        <f>IFERROR(VLOOKUP(H30,'[1]Consolidado MP Planta'!$A$2:$M$823,13,0),"")</f>
        <v>Und</v>
      </c>
      <c r="E30" s="136">
        <f>IFERROR(VLOOKUP(H30,'[1]Consolidado MP Planta'!$A$2:$M$823,12,0),"")</f>
        <v>0.39</v>
      </c>
      <c r="F30" s="136">
        <f>IFERROR(C30*E30,"")</f>
        <v>0.39</v>
      </c>
      <c r="G30" s="99">
        <f t="shared" si="8"/>
        <v>9.84304138834221E-5</v>
      </c>
      <c r="H30" s="139" t="s">
        <v>77</v>
      </c>
      <c r="I30" s="139"/>
      <c r="J30" s="100"/>
      <c r="K30" s="120"/>
      <c r="L30" s="120"/>
    </row>
    <row r="31" spans="1:12" ht="13.5" x14ac:dyDescent="0.25">
      <c r="A31" s="134">
        <v>1</v>
      </c>
      <c r="B31" s="138" t="str">
        <f>IFERROR(VLOOKUP(H31,'[1]Consolidado MP Planta'!$A$2:$M$823,3,0),"")</f>
        <v>ETIQ TORTA GENERICA BUCCA GRANDE (UND)</v>
      </c>
      <c r="C31" s="135">
        <f>+A31</f>
        <v>1</v>
      </c>
      <c r="D31" s="136" t="str">
        <f>IFERROR(VLOOKUP(H31,'[1]Consolidado MP Planta'!$A$2:$M$823,13,0),"")</f>
        <v>Und</v>
      </c>
      <c r="E31" s="136">
        <f>IFERROR(VLOOKUP(H31,'[1]Consolidado MP Planta'!$A$2:$M$823,12,0),"")</f>
        <v>43.5</v>
      </c>
      <c r="F31" s="136">
        <f>IFERROR(C31*E31,"")</f>
        <v>43.5</v>
      </c>
      <c r="G31" s="99">
        <f t="shared" si="8"/>
        <v>1.0978776933150925E-2</v>
      </c>
      <c r="H31" s="139" t="s">
        <v>80</v>
      </c>
      <c r="I31" s="139"/>
      <c r="J31" s="100"/>
      <c r="K31" s="120"/>
      <c r="L31" s="120"/>
    </row>
    <row r="32" spans="1:12" ht="13.5" x14ac:dyDescent="0.25">
      <c r="A32" s="134">
        <v>1</v>
      </c>
      <c r="B32" s="138" t="str">
        <f>IFERROR(VLOOKUP(H32,'[1]Consolidado MP Planta'!$A$2:$M$823,3,0),"")</f>
        <v>ETIQUETA BLANCA 2 5/8X1 15/16 (UND)</v>
      </c>
      <c r="C32" s="135">
        <f t="shared" si="6"/>
        <v>1</v>
      </c>
      <c r="D32" s="136" t="str">
        <f>IFERROR(VLOOKUP(H32,'[1]Consolidado MP Planta'!$A$2:$M$823,13,0),"")</f>
        <v>Und</v>
      </c>
      <c r="E32" s="136">
        <f>IFERROR(VLOOKUP(H32,'[1]Consolidado MP Planta'!$A$2:$M$823,12,0),"")</f>
        <v>2.1280000000000001</v>
      </c>
      <c r="F32" s="136">
        <f t="shared" si="7"/>
        <v>2.1280000000000001</v>
      </c>
      <c r="G32" s="99">
        <f t="shared" si="8"/>
        <v>5.3707671985621082E-4</v>
      </c>
      <c r="H32" s="139" t="s">
        <v>84</v>
      </c>
      <c r="I32" s="139"/>
      <c r="J32" s="100"/>
      <c r="K32" s="442"/>
      <c r="L32" s="442"/>
    </row>
    <row r="33" spans="1:13" ht="13.5" x14ac:dyDescent="0.25">
      <c r="A33" s="134">
        <v>60</v>
      </c>
      <c r="B33" s="138" t="str">
        <f>IFERROR(VLOOKUP(H33,'[1]Consolidado MP Planta'!$A$2:$M$823,3,0),"")</f>
        <v>CINTA ADHESIVA TRANSPARENT 2*100 M (UND)</v>
      </c>
      <c r="C33" s="135">
        <f t="shared" si="6"/>
        <v>60</v>
      </c>
      <c r="D33" s="136" t="str">
        <f>IFERROR(VLOOKUP(H33,'[1]Consolidado MP Planta'!$A$2:$M$823,13,0),"")</f>
        <v>Cm</v>
      </c>
      <c r="E33" s="136">
        <f>IFERROR(VLOOKUP(H33,'[1]Consolidado MP Planta'!$A$2:$M$823,12,0),"")</f>
        <v>0.17499999999999999</v>
      </c>
      <c r="F33" s="136">
        <f t="shared" si="7"/>
        <v>10.5</v>
      </c>
      <c r="G33" s="99">
        <f t="shared" si="8"/>
        <v>2.6500496045536717E-3</v>
      </c>
      <c r="H33" s="139" t="s">
        <v>85</v>
      </c>
      <c r="I33" s="139"/>
      <c r="J33" s="100"/>
      <c r="K33" s="140"/>
      <c r="L33" s="141"/>
    </row>
    <row r="34" spans="1:13" ht="13.5" x14ac:dyDescent="0.25">
      <c r="A34" s="134"/>
      <c r="B34" s="138" t="str">
        <f>IFERROR(VLOOKUP(H34,'[1]Consolidado MP Planta'!$A$2:$M$823,3,0),"")</f>
        <v/>
      </c>
      <c r="C34" s="135">
        <f t="shared" si="6"/>
        <v>0</v>
      </c>
      <c r="D34" s="136" t="str">
        <f>IFERROR(VLOOKUP(H34,'[1]Consolidado MP Planta'!$A$2:$M$823,13,0),"")</f>
        <v/>
      </c>
      <c r="E34" s="136" t="str">
        <f>IFERROR(VLOOKUP(H34,'[1]Consolidado MP Planta'!$A$2:$M$823,12,0),"")</f>
        <v/>
      </c>
      <c r="F34" s="136" t="str">
        <f t="shared" si="7"/>
        <v/>
      </c>
      <c r="G34" s="99" t="str">
        <f t="shared" si="8"/>
        <v/>
      </c>
      <c r="H34" s="139"/>
      <c r="I34" s="139"/>
      <c r="J34" s="100"/>
    </row>
    <row r="35" spans="1:13" ht="14.25" thickBot="1" x14ac:dyDescent="0.3">
      <c r="A35" s="134"/>
      <c r="B35" s="138"/>
      <c r="C35" s="135"/>
      <c r="D35" s="136"/>
      <c r="E35" s="136"/>
      <c r="F35" s="136"/>
      <c r="G35" s="99"/>
      <c r="H35" s="139"/>
      <c r="I35" s="139"/>
      <c r="J35" s="100"/>
    </row>
    <row r="36" spans="1:13" ht="26.25" thickBot="1" x14ac:dyDescent="0.25">
      <c r="A36" s="129" t="s">
        <v>99</v>
      </c>
      <c r="B36" s="130" t="s">
        <v>111</v>
      </c>
      <c r="C36" s="130" t="s">
        <v>99</v>
      </c>
      <c r="D36" s="131" t="s">
        <v>101</v>
      </c>
      <c r="E36" s="131" t="s">
        <v>102</v>
      </c>
      <c r="F36" s="131" t="s">
        <v>103</v>
      </c>
      <c r="G36" s="131" t="s">
        <v>104</v>
      </c>
      <c r="H36" s="132" t="s">
        <v>105</v>
      </c>
      <c r="I36" s="139"/>
      <c r="J36" s="100"/>
    </row>
    <row r="37" spans="1:13" ht="13.5" x14ac:dyDescent="0.25">
      <c r="A37" s="134">
        <f t="shared" ref="A37:A43" si="9">+A17</f>
        <v>1</v>
      </c>
      <c r="B37" s="122" t="s">
        <v>148</v>
      </c>
      <c r="C37" s="135">
        <f>+A37</f>
        <v>1</v>
      </c>
      <c r="D37" s="136" t="s">
        <v>154</v>
      </c>
      <c r="E37" s="136">
        <f>+'[5]COSTO ROSQUTE '!H54</f>
        <v>22.079990592869873</v>
      </c>
      <c r="F37" s="136">
        <f>IFERROR(E37*C37,"")</f>
        <v>22.079990592869873</v>
      </c>
      <c r="G37" s="99">
        <f t="shared" ref="G37:G43" si="10">IFERROR(F37/$F$68,"")</f>
        <v>5.5726733656365334E-3</v>
      </c>
      <c r="H37" s="139"/>
      <c r="I37" s="139"/>
      <c r="J37" s="100"/>
    </row>
    <row r="38" spans="1:13" ht="13.5" x14ac:dyDescent="0.25">
      <c r="A38" s="134">
        <f t="shared" si="9"/>
        <v>160</v>
      </c>
      <c r="B38" s="122" t="s">
        <v>61</v>
      </c>
      <c r="C38" s="135">
        <f t="shared" ref="C38:C43" si="11">+A38</f>
        <v>160</v>
      </c>
      <c r="D38" s="136" t="s">
        <v>107</v>
      </c>
      <c r="E38" s="136">
        <f>+'[3]COSTO CREMA '!$E$76</f>
        <v>0</v>
      </c>
      <c r="F38" s="136">
        <f t="shared" ref="F38:F43" si="12">IFERROR(E38*C38,"")</f>
        <v>0</v>
      </c>
      <c r="G38" s="99">
        <f t="shared" si="10"/>
        <v>0</v>
      </c>
      <c r="H38" s="139"/>
      <c r="I38" s="139"/>
      <c r="J38" s="100"/>
    </row>
    <row r="39" spans="1:13" ht="13.5" x14ac:dyDescent="0.25">
      <c r="A39" s="134">
        <f t="shared" si="9"/>
        <v>10</v>
      </c>
      <c r="B39" s="122" t="s">
        <v>65</v>
      </c>
      <c r="C39" s="135">
        <f t="shared" si="11"/>
        <v>10</v>
      </c>
      <c r="D39" s="136" t="s">
        <v>107</v>
      </c>
      <c r="E39" s="136">
        <v>0</v>
      </c>
      <c r="F39" s="136">
        <f t="shared" si="12"/>
        <v>0</v>
      </c>
      <c r="G39" s="99">
        <f t="shared" si="10"/>
        <v>0</v>
      </c>
      <c r="H39" s="139"/>
      <c r="I39" s="139"/>
      <c r="J39" s="100"/>
    </row>
    <row r="40" spans="1:13" ht="13.5" x14ac:dyDescent="0.25">
      <c r="A40" s="134">
        <f t="shared" si="9"/>
        <v>200</v>
      </c>
      <c r="B40" s="138" t="str">
        <f>IFERROR(VLOOKUP(H40,[1]SEMIELABORADOS!$A$2:$M$6000,2,0),"")</f>
        <v>CREMA DULCE LECHE KILO</v>
      </c>
      <c r="C40" s="135">
        <f>+A40</f>
        <v>200</v>
      </c>
      <c r="D40" s="136" t="str">
        <f>IFERROR(VLOOKUP(H40,[1]SEMIELABORADOS!$A$2:$M$6000,6,0),"")</f>
        <v>Gramo</v>
      </c>
      <c r="E40" s="136">
        <f>IFERROR(VLOOKUP(H40,[1]SEMIELABORADOS!$A$2:$M$65536,10,0),"")</f>
        <v>8.5119999999999998E-5</v>
      </c>
      <c r="F40" s="136">
        <f>IFERROR(E40*C40,"")</f>
        <v>1.7024000000000001E-2</v>
      </c>
      <c r="G40" s="99">
        <f t="shared" si="10"/>
        <v>4.2966137588496865E-6</v>
      </c>
      <c r="H40" s="139" t="s">
        <v>151</v>
      </c>
      <c r="I40" s="139"/>
      <c r="J40" s="100"/>
    </row>
    <row r="41" spans="1:13" ht="13.5" x14ac:dyDescent="0.25">
      <c r="A41" s="134">
        <f t="shared" si="9"/>
        <v>70</v>
      </c>
      <c r="B41" s="138" t="s">
        <v>63</v>
      </c>
      <c r="C41" s="135">
        <f>+A41</f>
        <v>70</v>
      </c>
      <c r="D41" s="136" t="s">
        <v>107</v>
      </c>
      <c r="E41" s="136">
        <f>+[4]Hoja2!$E$76</f>
        <v>1.0640000000000001E-4</v>
      </c>
      <c r="F41" s="136">
        <f>IFERROR(E41*C41,"")</f>
        <v>7.4480000000000006E-3</v>
      </c>
      <c r="G41" s="99">
        <f t="shared" si="10"/>
        <v>1.8797685194967381E-6</v>
      </c>
      <c r="H41" s="139"/>
      <c r="I41" s="139"/>
      <c r="J41" s="100"/>
    </row>
    <row r="42" spans="1:13" ht="13.5" hidden="1" x14ac:dyDescent="0.25">
      <c r="A42" s="134">
        <f t="shared" si="9"/>
        <v>0</v>
      </c>
      <c r="B42" s="138" t="str">
        <f>IFERROR(VLOOKUP(H42,[1]SEMIELABORADOS!$A$2:$M$6000,2,0),"")</f>
        <v/>
      </c>
      <c r="C42" s="135">
        <f t="shared" si="11"/>
        <v>0</v>
      </c>
      <c r="D42" s="136" t="str">
        <f>IFERROR(VLOOKUP(H42,[1]SEMIELABORADOS!$A$2:$M$6000,6,0),"")</f>
        <v/>
      </c>
      <c r="E42" s="136" t="str">
        <f>IFERROR(VLOOKUP(H42,[1]SEMIELABORADOS!$A$2:$M$65536,10,0),"")</f>
        <v/>
      </c>
      <c r="F42" s="136" t="str">
        <f t="shared" si="12"/>
        <v/>
      </c>
      <c r="G42" s="99" t="str">
        <f t="shared" si="10"/>
        <v/>
      </c>
      <c r="H42" s="139"/>
      <c r="I42" s="139"/>
      <c r="J42" s="100"/>
    </row>
    <row r="43" spans="1:13" ht="13.5" hidden="1" x14ac:dyDescent="0.25">
      <c r="A43" s="134">
        <f t="shared" si="9"/>
        <v>0</v>
      </c>
      <c r="B43" s="138" t="str">
        <f>IFERROR(VLOOKUP(H43,[1]SEMIELABORADOS!$A$2:$M$6000,2,0),"")</f>
        <v/>
      </c>
      <c r="C43" s="135">
        <f t="shared" si="11"/>
        <v>0</v>
      </c>
      <c r="D43" s="136" t="str">
        <f>IFERROR(VLOOKUP(H43,[1]SEMIELABORADOS!$A$2:$M$6000,6,0),"")</f>
        <v/>
      </c>
      <c r="E43" s="136" t="str">
        <f>IFERROR(VLOOKUP(H43,[1]SEMIELABORADOS!$A$2:$M$65536,10,0),"")</f>
        <v/>
      </c>
      <c r="F43" s="136" t="str">
        <f t="shared" si="12"/>
        <v/>
      </c>
      <c r="G43" s="99" t="str">
        <f t="shared" si="10"/>
        <v/>
      </c>
      <c r="H43" s="139"/>
      <c r="I43" s="139"/>
      <c r="J43" s="100"/>
    </row>
    <row r="44" spans="1:13" ht="14.25" thickBot="1" x14ac:dyDescent="0.3">
      <c r="A44" s="134"/>
      <c r="B44" s="138"/>
      <c r="C44" s="135"/>
      <c r="D44" s="136"/>
      <c r="E44" s="136"/>
      <c r="F44" s="136"/>
      <c r="G44" s="99"/>
      <c r="H44" s="139"/>
      <c r="I44" s="139"/>
      <c r="J44" s="100"/>
    </row>
    <row r="45" spans="1:13" ht="26.25" thickBot="1" x14ac:dyDescent="0.3">
      <c r="A45" s="129" t="s">
        <v>99</v>
      </c>
      <c r="B45" s="130" t="s">
        <v>112</v>
      </c>
      <c r="C45" s="130" t="s">
        <v>99</v>
      </c>
      <c r="D45" s="131" t="s">
        <v>101</v>
      </c>
      <c r="E45" s="131" t="s">
        <v>102</v>
      </c>
      <c r="F45" s="131" t="s">
        <v>103</v>
      </c>
      <c r="G45" s="131" t="s">
        <v>104</v>
      </c>
      <c r="H45" s="132" t="s">
        <v>105</v>
      </c>
      <c r="I45" s="133"/>
      <c r="J45" s="100"/>
    </row>
    <row r="46" spans="1:13" ht="13.5" x14ac:dyDescent="0.25">
      <c r="A46" s="134">
        <f>+A37</f>
        <v>1</v>
      </c>
      <c r="B46" s="122" t="s">
        <v>148</v>
      </c>
      <c r="C46" s="135">
        <f>+A46</f>
        <v>1</v>
      </c>
      <c r="D46" s="136" t="s">
        <v>154</v>
      </c>
      <c r="E46" s="136">
        <f>+'[5]COSTO ROSQUTE '!H56</f>
        <v>76.67523768648158</v>
      </c>
      <c r="F46" s="136">
        <f>IFERROR(E46*C46,"")</f>
        <v>76.67523768648158</v>
      </c>
      <c r="G46" s="99">
        <f>IFERROR(F46/$F$68,"")</f>
        <v>1.9351731743820887E-2</v>
      </c>
      <c r="H46" s="139"/>
      <c r="I46" s="133"/>
      <c r="J46" s="100"/>
    </row>
    <row r="47" spans="1:13" ht="13.5" x14ac:dyDescent="0.25">
      <c r="A47" s="134">
        <f t="shared" ref="A47:A52" si="13">+A38</f>
        <v>160</v>
      </c>
      <c r="B47" s="122" t="s">
        <v>61</v>
      </c>
      <c r="C47" s="135">
        <f t="shared" ref="C47:C52" si="14">+A47</f>
        <v>160</v>
      </c>
      <c r="D47" s="136" t="s">
        <v>107</v>
      </c>
      <c r="E47" s="136">
        <f>+'[3]COSTO CREMA '!$E$74</f>
        <v>3.0499999999999999E-2</v>
      </c>
      <c r="F47" s="136">
        <f t="shared" ref="F47:F52" si="15">IFERROR(E47*C47,"")</f>
        <v>4.88</v>
      </c>
      <c r="G47" s="99">
        <f t="shared" ref="G47:G52" si="16">IFERROR(F47/$F$68,"")</f>
        <v>1.231642101925897E-3</v>
      </c>
      <c r="H47" s="139"/>
      <c r="I47" s="133"/>
      <c r="J47" s="100"/>
      <c r="M47" s="142"/>
    </row>
    <row r="48" spans="1:13" ht="13.5" x14ac:dyDescent="0.25">
      <c r="A48" s="134">
        <f t="shared" si="13"/>
        <v>10</v>
      </c>
      <c r="B48" s="122" t="s">
        <v>65</v>
      </c>
      <c r="C48" s="135">
        <f t="shared" si="14"/>
        <v>10</v>
      </c>
      <c r="D48" s="136" t="s">
        <v>107</v>
      </c>
      <c r="E48" s="136">
        <v>0.2</v>
      </c>
      <c r="F48" s="136">
        <f t="shared" si="15"/>
        <v>2</v>
      </c>
      <c r="G48" s="99">
        <f t="shared" si="16"/>
        <v>5.047713532483184E-4</v>
      </c>
      <c r="H48" s="139"/>
      <c r="I48" s="133"/>
      <c r="J48" s="100"/>
    </row>
    <row r="49" spans="1:17" ht="13.5" x14ac:dyDescent="0.25">
      <c r="A49" s="134">
        <f t="shared" si="13"/>
        <v>200</v>
      </c>
      <c r="B49" s="138" t="str">
        <f>IFERROR(VLOOKUP(H49,[1]SEMIELABORADOS!$A$2:$M$6000,2,0),"")</f>
        <v>CREMA DULCE LECHE KILO</v>
      </c>
      <c r="C49" s="135">
        <f t="shared" si="14"/>
        <v>200</v>
      </c>
      <c r="D49" s="136" t="str">
        <f>IFERROR(VLOOKUP(H49,[1]SEMIELABORADOS!$A$2:$M$6000,6,0),"")</f>
        <v>Gramo</v>
      </c>
      <c r="E49" s="136">
        <v>0.01</v>
      </c>
      <c r="F49" s="136">
        <f t="shared" si="15"/>
        <v>2</v>
      </c>
      <c r="G49" s="99">
        <f t="shared" si="16"/>
        <v>5.047713532483184E-4</v>
      </c>
      <c r="H49" s="139" t="s">
        <v>151</v>
      </c>
      <c r="I49" s="133"/>
      <c r="J49" s="100"/>
    </row>
    <row r="50" spans="1:17" ht="13.5" x14ac:dyDescent="0.25">
      <c r="A50" s="134">
        <f t="shared" si="13"/>
        <v>70</v>
      </c>
      <c r="B50" s="138" t="s">
        <v>63</v>
      </c>
      <c r="C50" s="135">
        <f t="shared" si="14"/>
        <v>70</v>
      </c>
      <c r="D50" s="136" t="s">
        <v>107</v>
      </c>
      <c r="E50" s="136">
        <f>+[4]Hoja2!$E$74</f>
        <v>3.0499999999999999E-2</v>
      </c>
      <c r="F50" s="136">
        <f t="shared" si="15"/>
        <v>2.1349999999999998</v>
      </c>
      <c r="G50" s="99">
        <f t="shared" si="16"/>
        <v>5.3884341959257987E-4</v>
      </c>
      <c r="H50" s="139"/>
      <c r="I50" s="133"/>
      <c r="J50" s="100"/>
    </row>
    <row r="51" spans="1:17" ht="13.5" hidden="1" x14ac:dyDescent="0.25">
      <c r="A51" s="134">
        <f t="shared" si="13"/>
        <v>0</v>
      </c>
      <c r="B51" s="138" t="str">
        <f>IFERROR(VLOOKUP(H51,[1]SEMIELABORADOS!$A$2:$M$6000,2,0),"")</f>
        <v/>
      </c>
      <c r="C51" s="135">
        <f t="shared" si="14"/>
        <v>0</v>
      </c>
      <c r="D51" s="136" t="str">
        <f>IFERROR(VLOOKUP(H51,[1]SEMIELABORADOS!$A$2:$M$6000,6,0),"")</f>
        <v/>
      </c>
      <c r="E51" s="136" t="str">
        <f>IFERROR(VLOOKUP(H51,[1]SEMIELABORADOS!$A$2:$M$65536,12,0),"")</f>
        <v/>
      </c>
      <c r="F51" s="136" t="str">
        <f t="shared" si="15"/>
        <v/>
      </c>
      <c r="G51" s="99" t="str">
        <f t="shared" si="16"/>
        <v/>
      </c>
      <c r="H51" s="139"/>
      <c r="I51" s="133"/>
      <c r="J51" s="100"/>
    </row>
    <row r="52" spans="1:17" ht="13.5" hidden="1" x14ac:dyDescent="0.25">
      <c r="A52" s="134">
        <f t="shared" si="13"/>
        <v>0</v>
      </c>
      <c r="B52" s="138" t="str">
        <f>IFERROR(VLOOKUP(H52,[1]SEMIELABORADOS!$A$2:$M$6000,2,0),"")</f>
        <v/>
      </c>
      <c r="C52" s="135">
        <f t="shared" si="14"/>
        <v>0</v>
      </c>
      <c r="D52" s="136" t="str">
        <f>IFERROR(VLOOKUP(H52,[1]SEMIELABORADOS!$A$2:$M$6000,6,0),"")</f>
        <v/>
      </c>
      <c r="E52" s="136" t="str">
        <f>IFERROR(VLOOKUP(H52,[1]SEMIELABORADOS!$A$2:$M$65536,12,0),"")</f>
        <v/>
      </c>
      <c r="F52" s="136" t="str">
        <f t="shared" si="15"/>
        <v/>
      </c>
      <c r="G52" s="99" t="str">
        <f t="shared" si="16"/>
        <v/>
      </c>
      <c r="H52" s="138"/>
      <c r="I52" s="133"/>
      <c r="J52" s="100"/>
    </row>
    <row r="53" spans="1:17" ht="13.5" x14ac:dyDescent="0.25">
      <c r="A53" s="134">
        <v>1</v>
      </c>
      <c r="B53" s="138" t="s">
        <v>113</v>
      </c>
      <c r="C53" s="135">
        <f>+A53</f>
        <v>1</v>
      </c>
      <c r="D53" s="135" t="s">
        <v>114</v>
      </c>
      <c r="E53" s="136">
        <f>+F67</f>
        <v>366</v>
      </c>
      <c r="F53" s="136">
        <f>IFERROR(C53*E53,"")</f>
        <v>366</v>
      </c>
      <c r="G53" s="99">
        <f>IFERROR(F53/$F$68,"")</f>
        <v>9.2373157644442275E-2</v>
      </c>
      <c r="H53" s="143"/>
      <c r="I53" s="143"/>
      <c r="J53" s="100"/>
    </row>
    <row r="54" spans="1:17" ht="14.25" thickBot="1" x14ac:dyDescent="0.3">
      <c r="A54" s="134"/>
      <c r="B54" s="138"/>
      <c r="C54" s="135"/>
      <c r="D54" s="135"/>
      <c r="E54" s="136"/>
      <c r="F54" s="136"/>
      <c r="G54" s="99"/>
      <c r="H54" s="143"/>
      <c r="I54" s="143"/>
      <c r="J54" s="100"/>
    </row>
    <row r="55" spans="1:17" ht="13.5" thickBot="1" x14ac:dyDescent="0.3">
      <c r="A55" s="144"/>
      <c r="B55" s="443" t="s">
        <v>115</v>
      </c>
      <c r="C55" s="443"/>
      <c r="D55" s="443"/>
      <c r="E55" s="443"/>
      <c r="F55" s="146">
        <f>SUM(F8:F14,F17:F24)</f>
        <v>2640.690380366203</v>
      </c>
      <c r="G55" s="99">
        <f>+F55/$F$68</f>
        <v>0.66647242840363252</v>
      </c>
      <c r="H55" s="147">
        <f>+F55/$D$62</f>
        <v>2640.690380366203</v>
      </c>
      <c r="I55" s="147"/>
      <c r="J55" s="101"/>
      <c r="K55" s="148"/>
      <c r="L55" s="148"/>
      <c r="M55" s="148"/>
      <c r="N55" s="148"/>
      <c r="O55" s="148"/>
      <c r="P55" s="148"/>
      <c r="Q55" s="149"/>
    </row>
    <row r="56" spans="1:17" x14ac:dyDescent="0.2">
      <c r="A56" s="144"/>
      <c r="B56" s="443" t="s">
        <v>116</v>
      </c>
      <c r="C56" s="443"/>
      <c r="D56" s="443"/>
      <c r="E56" s="443"/>
      <c r="F56" s="146">
        <f>SUM(F27:F34,F37:F43)</f>
        <v>902.68579592620324</v>
      </c>
      <c r="G56" s="99">
        <f>+F56/$F$68</f>
        <v>0.2278249653838525</v>
      </c>
      <c r="H56" s="147">
        <f>+F56/$D$62</f>
        <v>902.68579592620324</v>
      </c>
      <c r="I56" s="147"/>
      <c r="J56" s="150"/>
      <c r="K56" s="444" t="s">
        <v>117</v>
      </c>
      <c r="L56" s="445"/>
      <c r="M56" s="445"/>
      <c r="N56" s="445"/>
      <c r="O56" s="151">
        <f>+F57</f>
        <v>3543.3761762924064</v>
      </c>
      <c r="P56" s="151"/>
      <c r="Q56" s="152"/>
    </row>
    <row r="57" spans="1:17" x14ac:dyDescent="0.2">
      <c r="A57" s="144"/>
      <c r="B57" s="443" t="s">
        <v>118</v>
      </c>
      <c r="C57" s="443"/>
      <c r="D57" s="443"/>
      <c r="E57" s="443"/>
      <c r="F57" s="146">
        <f>+F55+F56</f>
        <v>3543.3761762924064</v>
      </c>
      <c r="G57" s="99">
        <f>+F57/$F$68</f>
        <v>0.89429739378748507</v>
      </c>
      <c r="H57" s="147">
        <f>+F57/$D$62</f>
        <v>3543.3761762924064</v>
      </c>
      <c r="I57" s="147"/>
      <c r="J57" s="102"/>
      <c r="K57" s="153"/>
      <c r="M57" s="154" t="s">
        <v>119</v>
      </c>
      <c r="N57" s="155"/>
      <c r="O57" s="151">
        <f>+H58</f>
        <v>453.69023768648157</v>
      </c>
      <c r="P57" s="151"/>
      <c r="Q57" s="152"/>
    </row>
    <row r="58" spans="1:17" ht="13.5" thickBot="1" x14ac:dyDescent="0.25">
      <c r="A58" s="144"/>
      <c r="B58" s="145"/>
      <c r="C58" s="443" t="s">
        <v>120</v>
      </c>
      <c r="D58" s="443"/>
      <c r="E58" s="443"/>
      <c r="F58" s="146">
        <f>SUM(F46:F53)</f>
        <v>453.69023768648157</v>
      </c>
      <c r="G58" s="99">
        <f>+F58/$F$68</f>
        <v>0.11450491761627826</v>
      </c>
      <c r="H58" s="147">
        <f>+F58/$D$62</f>
        <v>453.69023768648157</v>
      </c>
      <c r="I58" s="147"/>
      <c r="J58" s="102"/>
      <c r="K58" s="153"/>
      <c r="L58" s="153"/>
      <c r="M58" s="153" t="s">
        <v>121</v>
      </c>
      <c r="N58" s="103"/>
      <c r="O58" s="151">
        <f>O56*N58</f>
        <v>0</v>
      </c>
      <c r="P58" s="151"/>
      <c r="Q58" s="152"/>
    </row>
    <row r="59" spans="1:17" ht="13.5" thickBot="1" x14ac:dyDescent="0.25">
      <c r="A59" s="144"/>
      <c r="B59" s="156"/>
      <c r="C59" s="156"/>
      <c r="D59" s="156"/>
      <c r="E59" s="156"/>
      <c r="F59" s="157"/>
      <c r="G59" s="99"/>
      <c r="H59" s="158"/>
      <c r="I59" s="147"/>
      <c r="J59" s="102"/>
      <c r="K59" s="159"/>
      <c r="M59" s="160" t="s">
        <v>122</v>
      </c>
      <c r="N59" s="161"/>
      <c r="O59" s="162">
        <f>SUM(O56:O58)</f>
        <v>3997.0664139788878</v>
      </c>
      <c r="P59" s="163"/>
      <c r="Q59" s="152"/>
    </row>
    <row r="60" spans="1:17" x14ac:dyDescent="0.2">
      <c r="B60" s="446" t="s">
        <v>123</v>
      </c>
      <c r="C60" s="446"/>
      <c r="D60" s="164">
        <v>1380</v>
      </c>
      <c r="E60" s="165"/>
      <c r="G60" s="99"/>
      <c r="H60" s="158">
        <f>+H58/61</f>
        <v>7.4375448801062554</v>
      </c>
      <c r="I60" s="166"/>
      <c r="J60" s="102"/>
      <c r="K60" s="159"/>
      <c r="L60" s="153"/>
      <c r="M60" s="153" t="s">
        <v>124</v>
      </c>
      <c r="N60" s="104"/>
      <c r="O60" s="151">
        <f>+H61</f>
        <v>431.37760304616279</v>
      </c>
      <c r="P60" s="151"/>
      <c r="Q60" s="152"/>
    </row>
    <row r="61" spans="1:17" x14ac:dyDescent="0.2">
      <c r="B61" s="446" t="s">
        <v>125</v>
      </c>
      <c r="C61" s="446"/>
      <c r="D61" s="167">
        <v>1380</v>
      </c>
      <c r="E61" s="165"/>
      <c r="G61" s="99"/>
      <c r="H61" s="158">
        <f>+H60*58</f>
        <v>431.37760304616279</v>
      </c>
      <c r="I61" s="166"/>
      <c r="J61" s="102"/>
      <c r="K61" s="159"/>
      <c r="L61" s="153"/>
      <c r="M61" s="447" t="s">
        <v>122</v>
      </c>
      <c r="N61" s="447"/>
      <c r="O61" s="151">
        <f>SUM(O59:O60)</f>
        <v>4428.4440170250509</v>
      </c>
      <c r="P61" s="151"/>
      <c r="Q61" s="152"/>
    </row>
    <row r="62" spans="1:17" ht="13.5" thickBot="1" x14ac:dyDescent="0.25">
      <c r="B62" s="448" t="s">
        <v>126</v>
      </c>
      <c r="C62" s="448"/>
      <c r="D62" s="164">
        <f>+D60/D61</f>
        <v>1</v>
      </c>
      <c r="E62" s="165"/>
      <c r="F62" s="168"/>
      <c r="G62" s="99"/>
      <c r="H62" s="158"/>
      <c r="I62" s="166"/>
      <c r="J62" s="102"/>
      <c r="K62" s="159"/>
      <c r="L62" s="447"/>
      <c r="M62" s="447"/>
      <c r="N62" s="104"/>
      <c r="O62" s="151">
        <f>+O61*N62</f>
        <v>0</v>
      </c>
      <c r="P62" s="151"/>
      <c r="Q62" s="152"/>
    </row>
    <row r="63" spans="1:17" ht="13.5" thickBot="1" x14ac:dyDescent="0.25">
      <c r="B63" s="448" t="s">
        <v>127</v>
      </c>
      <c r="C63" s="448"/>
      <c r="D63" s="169"/>
      <c r="E63" s="165"/>
      <c r="F63" s="168"/>
      <c r="G63" s="99"/>
      <c r="H63" s="158"/>
      <c r="I63" s="166"/>
      <c r="J63" s="102"/>
      <c r="K63" s="449" t="s">
        <v>128</v>
      </c>
      <c r="L63" s="450"/>
      <c r="M63" s="450"/>
      <c r="N63" s="451"/>
      <c r="O63" s="162">
        <f>SUM(O61:O62)</f>
        <v>4428.4440170250509</v>
      </c>
      <c r="P63" s="170" t="s">
        <v>129</v>
      </c>
      <c r="Q63" s="152"/>
    </row>
    <row r="64" spans="1:17" ht="13.5" thickBot="1" x14ac:dyDescent="0.25">
      <c r="C64" s="144" t="s">
        <v>130</v>
      </c>
      <c r="D64" s="171"/>
      <c r="E64" s="120" t="s">
        <v>131</v>
      </c>
      <c r="F64" s="172" t="s">
        <v>132</v>
      </c>
      <c r="G64" s="99"/>
      <c r="H64" s="158"/>
      <c r="I64" s="166"/>
      <c r="J64" s="173"/>
      <c r="K64" s="174"/>
      <c r="L64" s="452" t="s">
        <v>133</v>
      </c>
      <c r="M64" s="452"/>
      <c r="N64" s="452"/>
      <c r="O64" s="175">
        <f>+O63/D62</f>
        <v>4428.4440170250509</v>
      </c>
      <c r="P64" s="176">
        <f>+O64/D61</f>
        <v>3.2090174036413415</v>
      </c>
      <c r="Q64" s="177"/>
    </row>
    <row r="65" spans="2:16" ht="13.5" thickBot="1" x14ac:dyDescent="0.25">
      <c r="B65" s="453" t="s">
        <v>118</v>
      </c>
      <c r="C65" s="453"/>
      <c r="D65" s="453"/>
      <c r="E65" s="105">
        <f>+F65/F65</f>
        <v>1</v>
      </c>
      <c r="F65" s="178">
        <f>SUM(F57)</f>
        <v>3543.3761762924064</v>
      </c>
      <c r="G65" s="99">
        <f>+F65/$F$68</f>
        <v>0.89429739378748507</v>
      </c>
      <c r="H65" s="158"/>
      <c r="I65" s="166"/>
      <c r="K65" s="454"/>
      <c r="L65" s="455"/>
      <c r="M65" s="455"/>
      <c r="N65" s="455"/>
      <c r="O65" s="179"/>
      <c r="P65" s="180"/>
    </row>
    <row r="66" spans="2:16" ht="13.5" thickBot="1" x14ac:dyDescent="0.3">
      <c r="B66" s="456" t="s">
        <v>134</v>
      </c>
      <c r="C66" s="456"/>
      <c r="D66" s="456"/>
      <c r="E66" s="181">
        <v>0.02</v>
      </c>
      <c r="F66" s="178">
        <f>+F55*E66</f>
        <v>52.813807607324065</v>
      </c>
      <c r="G66" s="99">
        <f>+F66/$F$68</f>
        <v>1.3329448568072652E-2</v>
      </c>
      <c r="H66" s="147"/>
      <c r="I66" s="166"/>
      <c r="J66" s="106"/>
      <c r="O66" s="182"/>
      <c r="P66" s="145"/>
    </row>
    <row r="67" spans="2:16" ht="13.5" thickBot="1" x14ac:dyDescent="0.3">
      <c r="B67" s="457" t="s">
        <v>135</v>
      </c>
      <c r="C67" s="458"/>
      <c r="D67" s="183">
        <v>6</v>
      </c>
      <c r="E67" s="184">
        <v>61</v>
      </c>
      <c r="F67" s="178">
        <f>+E67*D67</f>
        <v>366</v>
      </c>
      <c r="G67" s="99">
        <f>+F67/$F$68</f>
        <v>9.2373157644442275E-2</v>
      </c>
      <c r="H67" s="147"/>
      <c r="I67" s="147"/>
      <c r="J67" s="100"/>
    </row>
    <row r="68" spans="2:16" ht="13.5" thickBot="1" x14ac:dyDescent="0.3">
      <c r="B68" s="460" t="s">
        <v>136</v>
      </c>
      <c r="C68" s="461"/>
      <c r="D68" s="461"/>
      <c r="E68" s="462"/>
      <c r="F68" s="157">
        <f>SUM(F65:F67)</f>
        <v>3962.1899838997306</v>
      </c>
      <c r="G68" s="99">
        <f>+F68/$F$68</f>
        <v>1</v>
      </c>
      <c r="H68" s="463"/>
      <c r="I68" s="147"/>
      <c r="J68" s="100"/>
      <c r="M68" s="122" t="s">
        <v>137</v>
      </c>
    </row>
    <row r="69" spans="2:16" x14ac:dyDescent="0.25">
      <c r="C69" s="142"/>
      <c r="D69" s="142"/>
      <c r="E69" s="186"/>
      <c r="F69" s="178"/>
      <c r="G69" s="99"/>
      <c r="H69" s="463"/>
      <c r="I69" s="185"/>
      <c r="J69" s="122"/>
      <c r="M69" s="122" t="s">
        <v>138</v>
      </c>
    </row>
    <row r="70" spans="2:16" ht="13.5" thickBot="1" x14ac:dyDescent="0.3">
      <c r="B70" s="464" t="s">
        <v>139</v>
      </c>
      <c r="C70" s="464"/>
      <c r="D70" s="464"/>
      <c r="E70" s="464"/>
      <c r="F70" s="464"/>
      <c r="G70" s="99"/>
      <c r="H70" s="188"/>
      <c r="I70" s="185"/>
      <c r="J70" s="122"/>
      <c r="M70" s="122" t="s">
        <v>140</v>
      </c>
    </row>
    <row r="71" spans="2:16" ht="13.5" thickBot="1" x14ac:dyDescent="0.3">
      <c r="B71" s="189" t="s">
        <v>141</v>
      </c>
      <c r="C71" s="190">
        <f>+F55</f>
        <v>2640.690380366203</v>
      </c>
      <c r="D71" s="190">
        <f>+D60</f>
        <v>1380</v>
      </c>
      <c r="E71" s="191">
        <f>+C71/D71</f>
        <v>1.9135437538885529</v>
      </c>
      <c r="F71" s="99"/>
      <c r="G71" s="188"/>
      <c r="H71" s="100"/>
      <c r="I71" s="188"/>
      <c r="J71" s="122"/>
    </row>
    <row r="72" spans="2:16" x14ac:dyDescent="0.25">
      <c r="B72" s="192"/>
      <c r="C72" s="193"/>
      <c r="D72" s="194"/>
      <c r="E72" s="178"/>
      <c r="F72" s="99"/>
      <c r="G72" s="188"/>
      <c r="H72" s="100"/>
      <c r="I72" s="100"/>
      <c r="J72" s="122"/>
    </row>
    <row r="73" spans="2:16" x14ac:dyDescent="0.25">
      <c r="B73" s="189" t="s">
        <v>142</v>
      </c>
      <c r="C73" s="190">
        <f>SUM(F65:F66)</f>
        <v>3596.1899838997306</v>
      </c>
      <c r="D73" s="190">
        <f>+D60</f>
        <v>1380</v>
      </c>
      <c r="E73" s="195">
        <f>+C73/D73</f>
        <v>2.6059347709418339</v>
      </c>
      <c r="F73" s="99"/>
      <c r="G73" s="188"/>
      <c r="H73" s="100"/>
      <c r="I73" s="100"/>
      <c r="J73" s="122"/>
    </row>
    <row r="74" spans="2:16" x14ac:dyDescent="0.25">
      <c r="B74" s="189"/>
      <c r="C74" s="190"/>
      <c r="D74" s="190"/>
      <c r="E74" s="195"/>
      <c r="F74" s="99"/>
      <c r="G74" s="188"/>
      <c r="H74" s="100"/>
      <c r="I74" s="100"/>
      <c r="J74" s="122"/>
    </row>
    <row r="75" spans="2:16" ht="13.5" thickBot="1" x14ac:dyDescent="0.3">
      <c r="B75" s="189" t="s">
        <v>143</v>
      </c>
      <c r="C75" s="190">
        <f>+F67</f>
        <v>366</v>
      </c>
      <c r="D75" s="190">
        <f>+D60</f>
        <v>1380</v>
      </c>
      <c r="E75" s="195">
        <f>+C75/D75</f>
        <v>0.26521739130434785</v>
      </c>
      <c r="F75" s="99"/>
      <c r="G75" s="188"/>
      <c r="H75" s="100"/>
      <c r="I75" s="100"/>
      <c r="J75" s="122"/>
    </row>
    <row r="76" spans="2:16" ht="13.5" thickBot="1" x14ac:dyDescent="0.3">
      <c r="B76" s="189" t="s">
        <v>144</v>
      </c>
      <c r="C76" s="190">
        <f>+F58</f>
        <v>453.69023768648157</v>
      </c>
      <c r="D76" s="190">
        <f>+D75</f>
        <v>1380</v>
      </c>
      <c r="E76" s="191">
        <f>+C76/D76</f>
        <v>0.32876104180179822</v>
      </c>
      <c r="F76" s="99"/>
      <c r="G76" s="188"/>
      <c r="H76" s="100"/>
      <c r="I76" s="100"/>
      <c r="J76" s="122"/>
    </row>
    <row r="77" spans="2:16" ht="13.5" thickBot="1" x14ac:dyDescent="0.3">
      <c r="B77" s="156"/>
      <c r="C77" s="157"/>
      <c r="D77" s="157"/>
      <c r="E77" s="195"/>
      <c r="F77" s="99"/>
      <c r="G77" s="188"/>
      <c r="H77" s="100"/>
      <c r="I77" s="100"/>
      <c r="J77" s="122"/>
    </row>
    <row r="78" spans="2:16" ht="13.5" thickBot="1" x14ac:dyDescent="0.3">
      <c r="B78" s="189" t="s">
        <v>145</v>
      </c>
      <c r="C78" s="190">
        <f>+F56</f>
        <v>902.68579592620324</v>
      </c>
      <c r="D78" s="190">
        <f>+D76</f>
        <v>1380</v>
      </c>
      <c r="E78" s="191">
        <f>+C78/D78</f>
        <v>0.65412014197550961</v>
      </c>
      <c r="F78" s="99"/>
      <c r="G78" s="188"/>
      <c r="H78" s="100"/>
      <c r="I78" s="100"/>
      <c r="J78" s="100"/>
    </row>
    <row r="79" spans="2:16" ht="13.5" thickBot="1" x14ac:dyDescent="0.3">
      <c r="B79" s="156"/>
      <c r="C79" s="157"/>
      <c r="D79" s="157"/>
      <c r="E79" s="195"/>
      <c r="F79" s="99"/>
      <c r="G79" s="188"/>
      <c r="H79" s="100"/>
      <c r="I79" s="100"/>
    </row>
    <row r="80" spans="2:16" ht="13.5" thickBot="1" x14ac:dyDescent="0.3">
      <c r="B80" s="465" t="s">
        <v>146</v>
      </c>
      <c r="C80" s="466"/>
      <c r="D80" s="467"/>
      <c r="E80" s="191">
        <f>+E71+E76</f>
        <v>2.2423047956903512</v>
      </c>
      <c r="G80" s="99"/>
      <c r="H80" s="188"/>
      <c r="I80" s="100"/>
      <c r="J80" s="195"/>
    </row>
    <row r="81" spans="1:10" x14ac:dyDescent="0.25">
      <c r="I81" s="188"/>
      <c r="J81" s="122"/>
    </row>
    <row r="82" spans="1:10" ht="13.5" thickBot="1" x14ac:dyDescent="0.3">
      <c r="B82" s="464" t="s">
        <v>147</v>
      </c>
      <c r="C82" s="464"/>
      <c r="D82" s="464"/>
      <c r="E82" s="464"/>
      <c r="F82" s="464"/>
      <c r="G82" s="99"/>
      <c r="H82" s="188"/>
      <c r="J82" s="122"/>
    </row>
    <row r="83" spans="1:10" ht="13.5" thickBot="1" x14ac:dyDescent="0.3">
      <c r="B83" s="189" t="s">
        <v>141</v>
      </c>
      <c r="C83" s="190">
        <f>+C71</f>
        <v>2640.690380366203</v>
      </c>
      <c r="D83" s="190">
        <f>+D62</f>
        <v>1</v>
      </c>
      <c r="E83" s="191">
        <f>+C83/D83</f>
        <v>2640.690380366203</v>
      </c>
      <c r="F83" s="99"/>
      <c r="G83" s="188"/>
      <c r="H83" s="100"/>
      <c r="I83" s="188"/>
      <c r="J83" s="122"/>
    </row>
    <row r="84" spans="1:10" x14ac:dyDescent="0.25">
      <c r="B84" s="192"/>
      <c r="C84" s="193"/>
      <c r="D84" s="194"/>
      <c r="E84" s="178"/>
      <c r="F84" s="99"/>
      <c r="G84" s="188"/>
      <c r="H84" s="100"/>
      <c r="I84" s="100"/>
      <c r="J84" s="122"/>
    </row>
    <row r="85" spans="1:10" x14ac:dyDescent="0.25">
      <c r="B85" s="189" t="s">
        <v>142</v>
      </c>
      <c r="C85" s="190">
        <f>+C73</f>
        <v>3596.1899838997306</v>
      </c>
      <c r="D85" s="190">
        <f>+D62</f>
        <v>1</v>
      </c>
      <c r="E85" s="195">
        <f>+C85/D85</f>
        <v>3596.1899838997306</v>
      </c>
      <c r="F85" s="99"/>
      <c r="G85" s="188"/>
      <c r="H85" s="100"/>
      <c r="I85" s="100"/>
      <c r="J85" s="122"/>
    </row>
    <row r="86" spans="1:10" x14ac:dyDescent="0.25">
      <c r="B86" s="189"/>
      <c r="C86" s="190"/>
      <c r="D86" s="190"/>
      <c r="E86" s="195"/>
      <c r="F86" s="99"/>
      <c r="G86" s="188"/>
      <c r="H86" s="100"/>
      <c r="I86" s="100"/>
      <c r="J86" s="122"/>
    </row>
    <row r="87" spans="1:10" ht="13.5" thickBot="1" x14ac:dyDescent="0.3">
      <c r="B87" s="189" t="s">
        <v>144</v>
      </c>
      <c r="C87" s="190">
        <f>+C75</f>
        <v>366</v>
      </c>
      <c r="D87" s="190">
        <f>+D62</f>
        <v>1</v>
      </c>
      <c r="E87" s="195">
        <f>+C87/D87</f>
        <v>366</v>
      </c>
      <c r="F87" s="196"/>
      <c r="G87" s="187"/>
      <c r="H87" s="121"/>
      <c r="I87" s="100"/>
    </row>
    <row r="88" spans="1:10" ht="13.5" thickBot="1" x14ac:dyDescent="0.3">
      <c r="B88" s="189" t="s">
        <v>144</v>
      </c>
      <c r="C88" s="190">
        <f>+C76</f>
        <v>453.69023768648157</v>
      </c>
      <c r="D88" s="190">
        <f>+D87</f>
        <v>1</v>
      </c>
      <c r="E88" s="191">
        <f>+C88/D88</f>
        <v>453.69023768648157</v>
      </c>
      <c r="F88" s="107"/>
      <c r="G88" s="187"/>
      <c r="H88" s="121"/>
      <c r="I88" s="121"/>
    </row>
    <row r="89" spans="1:10" x14ac:dyDescent="0.25">
      <c r="I89" s="121"/>
    </row>
    <row r="90" spans="1:10" x14ac:dyDescent="0.2">
      <c r="A90" s="459"/>
      <c r="B90" s="459"/>
      <c r="C90" s="197"/>
      <c r="D90" s="197"/>
      <c r="E90" s="198"/>
      <c r="G90" s="108"/>
    </row>
    <row r="91" spans="1:10" x14ac:dyDescent="0.2">
      <c r="A91" s="138"/>
      <c r="B91" s="199"/>
      <c r="C91" s="200"/>
      <c r="D91" s="200"/>
      <c r="E91" s="201"/>
      <c r="G91" s="108"/>
    </row>
    <row r="92" spans="1:10" x14ac:dyDescent="0.2">
      <c r="A92" s="138"/>
      <c r="B92" s="199"/>
      <c r="C92" s="202"/>
      <c r="D92" s="202"/>
      <c r="E92" s="138"/>
      <c r="G92" s="108"/>
    </row>
    <row r="93" spans="1:10" x14ac:dyDescent="0.2">
      <c r="A93" s="138"/>
      <c r="B93" s="199"/>
      <c r="C93" s="203"/>
      <c r="D93" s="203"/>
      <c r="E93" s="138"/>
      <c r="G93" s="108"/>
    </row>
  </sheetData>
  <mergeCells count="30">
    <mergeCell ref="B70:F70"/>
    <mergeCell ref="B80:D80"/>
    <mergeCell ref="B82:F82"/>
    <mergeCell ref="A90:B90"/>
    <mergeCell ref="L64:N64"/>
    <mergeCell ref="B65:D65"/>
    <mergeCell ref="K65:N65"/>
    <mergeCell ref="B66:D66"/>
    <mergeCell ref="B67:C67"/>
    <mergeCell ref="B68:E68"/>
    <mergeCell ref="H68:H69"/>
    <mergeCell ref="B63:C63"/>
    <mergeCell ref="K63:N63"/>
    <mergeCell ref="K32:L32"/>
    <mergeCell ref="B55:E55"/>
    <mergeCell ref="B56:E56"/>
    <mergeCell ref="K56:N56"/>
    <mergeCell ref="B57:E57"/>
    <mergeCell ref="C58:E58"/>
    <mergeCell ref="B60:C60"/>
    <mergeCell ref="B61:C61"/>
    <mergeCell ref="M61:N61"/>
    <mergeCell ref="B62:C62"/>
    <mergeCell ref="L62:M62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7371E-71E2-49D9-B688-902FE94A2E1C}">
  <dimension ref="A1:M34"/>
  <sheetViews>
    <sheetView workbookViewId="0">
      <selection activeCell="C13" sqref="C13"/>
    </sheetView>
  </sheetViews>
  <sheetFormatPr baseColWidth="10" defaultRowHeight="12.75" x14ac:dyDescent="0.2"/>
  <cols>
    <col min="1" max="1" width="16.140625" style="251" customWidth="1"/>
    <col min="2" max="2" width="13" style="251" customWidth="1"/>
    <col min="3" max="3" width="44.7109375" style="251" customWidth="1"/>
    <col min="4" max="4" width="15.5703125" style="251" customWidth="1"/>
    <col min="5" max="5" width="11.42578125" style="251"/>
    <col min="6" max="6" width="13.140625" style="251" customWidth="1"/>
    <col min="7" max="7" width="12.5703125" style="251" customWidth="1"/>
    <col min="8" max="8" width="15.5703125" style="251" customWidth="1"/>
    <col min="9" max="9" width="16" style="251" customWidth="1"/>
    <col min="10" max="256" width="11.42578125" style="251"/>
    <col min="257" max="257" width="16.140625" style="251" customWidth="1"/>
    <col min="258" max="258" width="13" style="251" customWidth="1"/>
    <col min="259" max="259" width="44.7109375" style="251" customWidth="1"/>
    <col min="260" max="260" width="15.5703125" style="251" customWidth="1"/>
    <col min="261" max="261" width="11.42578125" style="251"/>
    <col min="262" max="262" width="13.140625" style="251" customWidth="1"/>
    <col min="263" max="263" width="12.5703125" style="251" customWidth="1"/>
    <col min="264" max="264" width="15.5703125" style="251" customWidth="1"/>
    <col min="265" max="265" width="16" style="251" customWidth="1"/>
    <col min="266" max="512" width="11.42578125" style="251"/>
    <col min="513" max="513" width="16.140625" style="251" customWidth="1"/>
    <col min="514" max="514" width="13" style="251" customWidth="1"/>
    <col min="515" max="515" width="44.7109375" style="251" customWidth="1"/>
    <col min="516" max="516" width="15.5703125" style="251" customWidth="1"/>
    <col min="517" max="517" width="11.42578125" style="251"/>
    <col min="518" max="518" width="13.140625" style="251" customWidth="1"/>
    <col min="519" max="519" width="12.5703125" style="251" customWidth="1"/>
    <col min="520" max="520" width="15.5703125" style="251" customWidth="1"/>
    <col min="521" max="521" width="16" style="251" customWidth="1"/>
    <col min="522" max="768" width="11.42578125" style="251"/>
    <col min="769" max="769" width="16.140625" style="251" customWidth="1"/>
    <col min="770" max="770" width="13" style="251" customWidth="1"/>
    <col min="771" max="771" width="44.7109375" style="251" customWidth="1"/>
    <col min="772" max="772" width="15.5703125" style="251" customWidth="1"/>
    <col min="773" max="773" width="11.42578125" style="251"/>
    <col min="774" max="774" width="13.140625" style="251" customWidth="1"/>
    <col min="775" max="775" width="12.5703125" style="251" customWidth="1"/>
    <col min="776" max="776" width="15.5703125" style="251" customWidth="1"/>
    <col min="777" max="777" width="16" style="251" customWidth="1"/>
    <col min="778" max="1024" width="11.42578125" style="251"/>
    <col min="1025" max="1025" width="16.140625" style="251" customWidth="1"/>
    <col min="1026" max="1026" width="13" style="251" customWidth="1"/>
    <col min="1027" max="1027" width="44.7109375" style="251" customWidth="1"/>
    <col min="1028" max="1028" width="15.5703125" style="251" customWidth="1"/>
    <col min="1029" max="1029" width="11.42578125" style="251"/>
    <col min="1030" max="1030" width="13.140625" style="251" customWidth="1"/>
    <col min="1031" max="1031" width="12.5703125" style="251" customWidth="1"/>
    <col min="1032" max="1032" width="15.5703125" style="251" customWidth="1"/>
    <col min="1033" max="1033" width="16" style="251" customWidth="1"/>
    <col min="1034" max="1280" width="11.42578125" style="251"/>
    <col min="1281" max="1281" width="16.140625" style="251" customWidth="1"/>
    <col min="1282" max="1282" width="13" style="251" customWidth="1"/>
    <col min="1283" max="1283" width="44.7109375" style="251" customWidth="1"/>
    <col min="1284" max="1284" width="15.5703125" style="251" customWidth="1"/>
    <col min="1285" max="1285" width="11.42578125" style="251"/>
    <col min="1286" max="1286" width="13.140625" style="251" customWidth="1"/>
    <col min="1287" max="1287" width="12.5703125" style="251" customWidth="1"/>
    <col min="1288" max="1288" width="15.5703125" style="251" customWidth="1"/>
    <col min="1289" max="1289" width="16" style="251" customWidth="1"/>
    <col min="1290" max="1536" width="11.42578125" style="251"/>
    <col min="1537" max="1537" width="16.140625" style="251" customWidth="1"/>
    <col min="1538" max="1538" width="13" style="251" customWidth="1"/>
    <col min="1539" max="1539" width="44.7109375" style="251" customWidth="1"/>
    <col min="1540" max="1540" width="15.5703125" style="251" customWidth="1"/>
    <col min="1541" max="1541" width="11.42578125" style="251"/>
    <col min="1542" max="1542" width="13.140625" style="251" customWidth="1"/>
    <col min="1543" max="1543" width="12.5703125" style="251" customWidth="1"/>
    <col min="1544" max="1544" width="15.5703125" style="251" customWidth="1"/>
    <col min="1545" max="1545" width="16" style="251" customWidth="1"/>
    <col min="1546" max="1792" width="11.42578125" style="251"/>
    <col min="1793" max="1793" width="16.140625" style="251" customWidth="1"/>
    <col min="1794" max="1794" width="13" style="251" customWidth="1"/>
    <col min="1795" max="1795" width="44.7109375" style="251" customWidth="1"/>
    <col min="1796" max="1796" width="15.5703125" style="251" customWidth="1"/>
    <col min="1797" max="1797" width="11.42578125" style="251"/>
    <col min="1798" max="1798" width="13.140625" style="251" customWidth="1"/>
    <col min="1799" max="1799" width="12.5703125" style="251" customWidth="1"/>
    <col min="1800" max="1800" width="15.5703125" style="251" customWidth="1"/>
    <col min="1801" max="1801" width="16" style="251" customWidth="1"/>
    <col min="1802" max="2048" width="11.42578125" style="251"/>
    <col min="2049" max="2049" width="16.140625" style="251" customWidth="1"/>
    <col min="2050" max="2050" width="13" style="251" customWidth="1"/>
    <col min="2051" max="2051" width="44.7109375" style="251" customWidth="1"/>
    <col min="2052" max="2052" width="15.5703125" style="251" customWidth="1"/>
    <col min="2053" max="2053" width="11.42578125" style="251"/>
    <col min="2054" max="2054" width="13.140625" style="251" customWidth="1"/>
    <col min="2055" max="2055" width="12.5703125" style="251" customWidth="1"/>
    <col min="2056" max="2056" width="15.5703125" style="251" customWidth="1"/>
    <col min="2057" max="2057" width="16" style="251" customWidth="1"/>
    <col min="2058" max="2304" width="11.42578125" style="251"/>
    <col min="2305" max="2305" width="16.140625" style="251" customWidth="1"/>
    <col min="2306" max="2306" width="13" style="251" customWidth="1"/>
    <col min="2307" max="2307" width="44.7109375" style="251" customWidth="1"/>
    <col min="2308" max="2308" width="15.5703125" style="251" customWidth="1"/>
    <col min="2309" max="2309" width="11.42578125" style="251"/>
    <col min="2310" max="2310" width="13.140625" style="251" customWidth="1"/>
    <col min="2311" max="2311" width="12.5703125" style="251" customWidth="1"/>
    <col min="2312" max="2312" width="15.5703125" style="251" customWidth="1"/>
    <col min="2313" max="2313" width="16" style="251" customWidth="1"/>
    <col min="2314" max="2560" width="11.42578125" style="251"/>
    <col min="2561" max="2561" width="16.140625" style="251" customWidth="1"/>
    <col min="2562" max="2562" width="13" style="251" customWidth="1"/>
    <col min="2563" max="2563" width="44.7109375" style="251" customWidth="1"/>
    <col min="2564" max="2564" width="15.5703125" style="251" customWidth="1"/>
    <col min="2565" max="2565" width="11.42578125" style="251"/>
    <col min="2566" max="2566" width="13.140625" style="251" customWidth="1"/>
    <col min="2567" max="2567" width="12.5703125" style="251" customWidth="1"/>
    <col min="2568" max="2568" width="15.5703125" style="251" customWidth="1"/>
    <col min="2569" max="2569" width="16" style="251" customWidth="1"/>
    <col min="2570" max="2816" width="11.42578125" style="251"/>
    <col min="2817" max="2817" width="16.140625" style="251" customWidth="1"/>
    <col min="2818" max="2818" width="13" style="251" customWidth="1"/>
    <col min="2819" max="2819" width="44.7109375" style="251" customWidth="1"/>
    <col min="2820" max="2820" width="15.5703125" style="251" customWidth="1"/>
    <col min="2821" max="2821" width="11.42578125" style="251"/>
    <col min="2822" max="2822" width="13.140625" style="251" customWidth="1"/>
    <col min="2823" max="2823" width="12.5703125" style="251" customWidth="1"/>
    <col min="2824" max="2824" width="15.5703125" style="251" customWidth="1"/>
    <col min="2825" max="2825" width="16" style="251" customWidth="1"/>
    <col min="2826" max="3072" width="11.42578125" style="251"/>
    <col min="3073" max="3073" width="16.140625" style="251" customWidth="1"/>
    <col min="3074" max="3074" width="13" style="251" customWidth="1"/>
    <col min="3075" max="3075" width="44.7109375" style="251" customWidth="1"/>
    <col min="3076" max="3076" width="15.5703125" style="251" customWidth="1"/>
    <col min="3077" max="3077" width="11.42578125" style="251"/>
    <col min="3078" max="3078" width="13.140625" style="251" customWidth="1"/>
    <col min="3079" max="3079" width="12.5703125" style="251" customWidth="1"/>
    <col min="3080" max="3080" width="15.5703125" style="251" customWidth="1"/>
    <col min="3081" max="3081" width="16" style="251" customWidth="1"/>
    <col min="3082" max="3328" width="11.42578125" style="251"/>
    <col min="3329" max="3329" width="16.140625" style="251" customWidth="1"/>
    <col min="3330" max="3330" width="13" style="251" customWidth="1"/>
    <col min="3331" max="3331" width="44.7109375" style="251" customWidth="1"/>
    <col min="3332" max="3332" width="15.5703125" style="251" customWidth="1"/>
    <col min="3333" max="3333" width="11.42578125" style="251"/>
    <col min="3334" max="3334" width="13.140625" style="251" customWidth="1"/>
    <col min="3335" max="3335" width="12.5703125" style="251" customWidth="1"/>
    <col min="3336" max="3336" width="15.5703125" style="251" customWidth="1"/>
    <col min="3337" max="3337" width="16" style="251" customWidth="1"/>
    <col min="3338" max="3584" width="11.42578125" style="251"/>
    <col min="3585" max="3585" width="16.140625" style="251" customWidth="1"/>
    <col min="3586" max="3586" width="13" style="251" customWidth="1"/>
    <col min="3587" max="3587" width="44.7109375" style="251" customWidth="1"/>
    <col min="3588" max="3588" width="15.5703125" style="251" customWidth="1"/>
    <col min="3589" max="3589" width="11.42578125" style="251"/>
    <col min="3590" max="3590" width="13.140625" style="251" customWidth="1"/>
    <col min="3591" max="3591" width="12.5703125" style="251" customWidth="1"/>
    <col min="3592" max="3592" width="15.5703125" style="251" customWidth="1"/>
    <col min="3593" max="3593" width="16" style="251" customWidth="1"/>
    <col min="3594" max="3840" width="11.42578125" style="251"/>
    <col min="3841" max="3841" width="16.140625" style="251" customWidth="1"/>
    <col min="3842" max="3842" width="13" style="251" customWidth="1"/>
    <col min="3843" max="3843" width="44.7109375" style="251" customWidth="1"/>
    <col min="3844" max="3844" width="15.5703125" style="251" customWidth="1"/>
    <col min="3845" max="3845" width="11.42578125" style="251"/>
    <col min="3846" max="3846" width="13.140625" style="251" customWidth="1"/>
    <col min="3847" max="3847" width="12.5703125" style="251" customWidth="1"/>
    <col min="3848" max="3848" width="15.5703125" style="251" customWidth="1"/>
    <col min="3849" max="3849" width="16" style="251" customWidth="1"/>
    <col min="3850" max="4096" width="11.42578125" style="251"/>
    <col min="4097" max="4097" width="16.140625" style="251" customWidth="1"/>
    <col min="4098" max="4098" width="13" style="251" customWidth="1"/>
    <col min="4099" max="4099" width="44.7109375" style="251" customWidth="1"/>
    <col min="4100" max="4100" width="15.5703125" style="251" customWidth="1"/>
    <col min="4101" max="4101" width="11.42578125" style="251"/>
    <col min="4102" max="4102" width="13.140625" style="251" customWidth="1"/>
    <col min="4103" max="4103" width="12.5703125" style="251" customWidth="1"/>
    <col min="4104" max="4104" width="15.5703125" style="251" customWidth="1"/>
    <col min="4105" max="4105" width="16" style="251" customWidth="1"/>
    <col min="4106" max="4352" width="11.42578125" style="251"/>
    <col min="4353" max="4353" width="16.140625" style="251" customWidth="1"/>
    <col min="4354" max="4354" width="13" style="251" customWidth="1"/>
    <col min="4355" max="4355" width="44.7109375" style="251" customWidth="1"/>
    <col min="4356" max="4356" width="15.5703125" style="251" customWidth="1"/>
    <col min="4357" max="4357" width="11.42578125" style="251"/>
    <col min="4358" max="4358" width="13.140625" style="251" customWidth="1"/>
    <col min="4359" max="4359" width="12.5703125" style="251" customWidth="1"/>
    <col min="4360" max="4360" width="15.5703125" style="251" customWidth="1"/>
    <col min="4361" max="4361" width="16" style="251" customWidth="1"/>
    <col min="4362" max="4608" width="11.42578125" style="251"/>
    <col min="4609" max="4609" width="16.140625" style="251" customWidth="1"/>
    <col min="4610" max="4610" width="13" style="251" customWidth="1"/>
    <col min="4611" max="4611" width="44.7109375" style="251" customWidth="1"/>
    <col min="4612" max="4612" width="15.5703125" style="251" customWidth="1"/>
    <col min="4613" max="4613" width="11.42578125" style="251"/>
    <col min="4614" max="4614" width="13.140625" style="251" customWidth="1"/>
    <col min="4615" max="4615" width="12.5703125" style="251" customWidth="1"/>
    <col min="4616" max="4616" width="15.5703125" style="251" customWidth="1"/>
    <col min="4617" max="4617" width="16" style="251" customWidth="1"/>
    <col min="4618" max="4864" width="11.42578125" style="251"/>
    <col min="4865" max="4865" width="16.140625" style="251" customWidth="1"/>
    <col min="4866" max="4866" width="13" style="251" customWidth="1"/>
    <col min="4867" max="4867" width="44.7109375" style="251" customWidth="1"/>
    <col min="4868" max="4868" width="15.5703125" style="251" customWidth="1"/>
    <col min="4869" max="4869" width="11.42578125" style="251"/>
    <col min="4870" max="4870" width="13.140625" style="251" customWidth="1"/>
    <col min="4871" max="4871" width="12.5703125" style="251" customWidth="1"/>
    <col min="4872" max="4872" width="15.5703125" style="251" customWidth="1"/>
    <col min="4873" max="4873" width="16" style="251" customWidth="1"/>
    <col min="4874" max="5120" width="11.42578125" style="251"/>
    <col min="5121" max="5121" width="16.140625" style="251" customWidth="1"/>
    <col min="5122" max="5122" width="13" style="251" customWidth="1"/>
    <col min="5123" max="5123" width="44.7109375" style="251" customWidth="1"/>
    <col min="5124" max="5124" width="15.5703125" style="251" customWidth="1"/>
    <col min="5125" max="5125" width="11.42578125" style="251"/>
    <col min="5126" max="5126" width="13.140625" style="251" customWidth="1"/>
    <col min="5127" max="5127" width="12.5703125" style="251" customWidth="1"/>
    <col min="5128" max="5128" width="15.5703125" style="251" customWidth="1"/>
    <col min="5129" max="5129" width="16" style="251" customWidth="1"/>
    <col min="5130" max="5376" width="11.42578125" style="251"/>
    <col min="5377" max="5377" width="16.140625" style="251" customWidth="1"/>
    <col min="5378" max="5378" width="13" style="251" customWidth="1"/>
    <col min="5379" max="5379" width="44.7109375" style="251" customWidth="1"/>
    <col min="5380" max="5380" width="15.5703125" style="251" customWidth="1"/>
    <col min="5381" max="5381" width="11.42578125" style="251"/>
    <col min="5382" max="5382" width="13.140625" style="251" customWidth="1"/>
    <col min="5383" max="5383" width="12.5703125" style="251" customWidth="1"/>
    <col min="5384" max="5384" width="15.5703125" style="251" customWidth="1"/>
    <col min="5385" max="5385" width="16" style="251" customWidth="1"/>
    <col min="5386" max="5632" width="11.42578125" style="251"/>
    <col min="5633" max="5633" width="16.140625" style="251" customWidth="1"/>
    <col min="5634" max="5634" width="13" style="251" customWidth="1"/>
    <col min="5635" max="5635" width="44.7109375" style="251" customWidth="1"/>
    <col min="5636" max="5636" width="15.5703125" style="251" customWidth="1"/>
    <col min="5637" max="5637" width="11.42578125" style="251"/>
    <col min="5638" max="5638" width="13.140625" style="251" customWidth="1"/>
    <col min="5639" max="5639" width="12.5703125" style="251" customWidth="1"/>
    <col min="5640" max="5640" width="15.5703125" style="251" customWidth="1"/>
    <col min="5641" max="5641" width="16" style="251" customWidth="1"/>
    <col min="5642" max="5888" width="11.42578125" style="251"/>
    <col min="5889" max="5889" width="16.140625" style="251" customWidth="1"/>
    <col min="5890" max="5890" width="13" style="251" customWidth="1"/>
    <col min="5891" max="5891" width="44.7109375" style="251" customWidth="1"/>
    <col min="5892" max="5892" width="15.5703125" style="251" customWidth="1"/>
    <col min="5893" max="5893" width="11.42578125" style="251"/>
    <col min="5894" max="5894" width="13.140625" style="251" customWidth="1"/>
    <col min="5895" max="5895" width="12.5703125" style="251" customWidth="1"/>
    <col min="5896" max="5896" width="15.5703125" style="251" customWidth="1"/>
    <col min="5897" max="5897" width="16" style="251" customWidth="1"/>
    <col min="5898" max="6144" width="11.42578125" style="251"/>
    <col min="6145" max="6145" width="16.140625" style="251" customWidth="1"/>
    <col min="6146" max="6146" width="13" style="251" customWidth="1"/>
    <col min="6147" max="6147" width="44.7109375" style="251" customWidth="1"/>
    <col min="6148" max="6148" width="15.5703125" style="251" customWidth="1"/>
    <col min="6149" max="6149" width="11.42578125" style="251"/>
    <col min="6150" max="6150" width="13.140625" style="251" customWidth="1"/>
    <col min="6151" max="6151" width="12.5703125" style="251" customWidth="1"/>
    <col min="6152" max="6152" width="15.5703125" style="251" customWidth="1"/>
    <col min="6153" max="6153" width="16" style="251" customWidth="1"/>
    <col min="6154" max="6400" width="11.42578125" style="251"/>
    <col min="6401" max="6401" width="16.140625" style="251" customWidth="1"/>
    <col min="6402" max="6402" width="13" style="251" customWidth="1"/>
    <col min="6403" max="6403" width="44.7109375" style="251" customWidth="1"/>
    <col min="6404" max="6404" width="15.5703125" style="251" customWidth="1"/>
    <col min="6405" max="6405" width="11.42578125" style="251"/>
    <col min="6406" max="6406" width="13.140625" style="251" customWidth="1"/>
    <col min="6407" max="6407" width="12.5703125" style="251" customWidth="1"/>
    <col min="6408" max="6408" width="15.5703125" style="251" customWidth="1"/>
    <col min="6409" max="6409" width="16" style="251" customWidth="1"/>
    <col min="6410" max="6656" width="11.42578125" style="251"/>
    <col min="6657" max="6657" width="16.140625" style="251" customWidth="1"/>
    <col min="6658" max="6658" width="13" style="251" customWidth="1"/>
    <col min="6659" max="6659" width="44.7109375" style="251" customWidth="1"/>
    <col min="6660" max="6660" width="15.5703125" style="251" customWidth="1"/>
    <col min="6661" max="6661" width="11.42578125" style="251"/>
    <col min="6662" max="6662" width="13.140625" style="251" customWidth="1"/>
    <col min="6663" max="6663" width="12.5703125" style="251" customWidth="1"/>
    <col min="6664" max="6664" width="15.5703125" style="251" customWidth="1"/>
    <col min="6665" max="6665" width="16" style="251" customWidth="1"/>
    <col min="6666" max="6912" width="11.42578125" style="251"/>
    <col min="6913" max="6913" width="16.140625" style="251" customWidth="1"/>
    <col min="6914" max="6914" width="13" style="251" customWidth="1"/>
    <col min="6915" max="6915" width="44.7109375" style="251" customWidth="1"/>
    <col min="6916" max="6916" width="15.5703125" style="251" customWidth="1"/>
    <col min="6917" max="6917" width="11.42578125" style="251"/>
    <col min="6918" max="6918" width="13.140625" style="251" customWidth="1"/>
    <col min="6919" max="6919" width="12.5703125" style="251" customWidth="1"/>
    <col min="6920" max="6920" width="15.5703125" style="251" customWidth="1"/>
    <col min="6921" max="6921" width="16" style="251" customWidth="1"/>
    <col min="6922" max="7168" width="11.42578125" style="251"/>
    <col min="7169" max="7169" width="16.140625" style="251" customWidth="1"/>
    <col min="7170" max="7170" width="13" style="251" customWidth="1"/>
    <col min="7171" max="7171" width="44.7109375" style="251" customWidth="1"/>
    <col min="7172" max="7172" width="15.5703125" style="251" customWidth="1"/>
    <col min="7173" max="7173" width="11.42578125" style="251"/>
    <col min="7174" max="7174" width="13.140625" style="251" customWidth="1"/>
    <col min="7175" max="7175" width="12.5703125" style="251" customWidth="1"/>
    <col min="7176" max="7176" width="15.5703125" style="251" customWidth="1"/>
    <col min="7177" max="7177" width="16" style="251" customWidth="1"/>
    <col min="7178" max="7424" width="11.42578125" style="251"/>
    <col min="7425" max="7425" width="16.140625" style="251" customWidth="1"/>
    <col min="7426" max="7426" width="13" style="251" customWidth="1"/>
    <col min="7427" max="7427" width="44.7109375" style="251" customWidth="1"/>
    <col min="7428" max="7428" width="15.5703125" style="251" customWidth="1"/>
    <col min="7429" max="7429" width="11.42578125" style="251"/>
    <col min="7430" max="7430" width="13.140625" style="251" customWidth="1"/>
    <col min="7431" max="7431" width="12.5703125" style="251" customWidth="1"/>
    <col min="7432" max="7432" width="15.5703125" style="251" customWidth="1"/>
    <col min="7433" max="7433" width="16" style="251" customWidth="1"/>
    <col min="7434" max="7680" width="11.42578125" style="251"/>
    <col min="7681" max="7681" width="16.140625" style="251" customWidth="1"/>
    <col min="7682" max="7682" width="13" style="251" customWidth="1"/>
    <col min="7683" max="7683" width="44.7109375" style="251" customWidth="1"/>
    <col min="7684" max="7684" width="15.5703125" style="251" customWidth="1"/>
    <col min="7685" max="7685" width="11.42578125" style="251"/>
    <col min="7686" max="7686" width="13.140625" style="251" customWidth="1"/>
    <col min="7687" max="7687" width="12.5703125" style="251" customWidth="1"/>
    <col min="7688" max="7688" width="15.5703125" style="251" customWidth="1"/>
    <col min="7689" max="7689" width="16" style="251" customWidth="1"/>
    <col min="7690" max="7936" width="11.42578125" style="251"/>
    <col min="7937" max="7937" width="16.140625" style="251" customWidth="1"/>
    <col min="7938" max="7938" width="13" style="251" customWidth="1"/>
    <col min="7939" max="7939" width="44.7109375" style="251" customWidth="1"/>
    <col min="7940" max="7940" width="15.5703125" style="251" customWidth="1"/>
    <col min="7941" max="7941" width="11.42578125" style="251"/>
    <col min="7942" max="7942" width="13.140625" style="251" customWidth="1"/>
    <col min="7943" max="7943" width="12.5703125" style="251" customWidth="1"/>
    <col min="7944" max="7944" width="15.5703125" style="251" customWidth="1"/>
    <col min="7945" max="7945" width="16" style="251" customWidth="1"/>
    <col min="7946" max="8192" width="11.42578125" style="251"/>
    <col min="8193" max="8193" width="16.140625" style="251" customWidth="1"/>
    <col min="8194" max="8194" width="13" style="251" customWidth="1"/>
    <col min="8195" max="8195" width="44.7109375" style="251" customWidth="1"/>
    <col min="8196" max="8196" width="15.5703125" style="251" customWidth="1"/>
    <col min="8197" max="8197" width="11.42578125" style="251"/>
    <col min="8198" max="8198" width="13.140625" style="251" customWidth="1"/>
    <col min="8199" max="8199" width="12.5703125" style="251" customWidth="1"/>
    <col min="8200" max="8200" width="15.5703125" style="251" customWidth="1"/>
    <col min="8201" max="8201" width="16" style="251" customWidth="1"/>
    <col min="8202" max="8448" width="11.42578125" style="251"/>
    <col min="8449" max="8449" width="16.140625" style="251" customWidth="1"/>
    <col min="8450" max="8450" width="13" style="251" customWidth="1"/>
    <col min="8451" max="8451" width="44.7109375" style="251" customWidth="1"/>
    <col min="8452" max="8452" width="15.5703125" style="251" customWidth="1"/>
    <col min="8453" max="8453" width="11.42578125" style="251"/>
    <col min="8454" max="8454" width="13.140625" style="251" customWidth="1"/>
    <col min="8455" max="8455" width="12.5703125" style="251" customWidth="1"/>
    <col min="8456" max="8456" width="15.5703125" style="251" customWidth="1"/>
    <col min="8457" max="8457" width="16" style="251" customWidth="1"/>
    <col min="8458" max="8704" width="11.42578125" style="251"/>
    <col min="8705" max="8705" width="16.140625" style="251" customWidth="1"/>
    <col min="8706" max="8706" width="13" style="251" customWidth="1"/>
    <col min="8707" max="8707" width="44.7109375" style="251" customWidth="1"/>
    <col min="8708" max="8708" width="15.5703125" style="251" customWidth="1"/>
    <col min="8709" max="8709" width="11.42578125" style="251"/>
    <col min="8710" max="8710" width="13.140625" style="251" customWidth="1"/>
    <col min="8711" max="8711" width="12.5703125" style="251" customWidth="1"/>
    <col min="8712" max="8712" width="15.5703125" style="251" customWidth="1"/>
    <col min="8713" max="8713" width="16" style="251" customWidth="1"/>
    <col min="8714" max="8960" width="11.42578125" style="251"/>
    <col min="8961" max="8961" width="16.140625" style="251" customWidth="1"/>
    <col min="8962" max="8962" width="13" style="251" customWidth="1"/>
    <col min="8963" max="8963" width="44.7109375" style="251" customWidth="1"/>
    <col min="8964" max="8964" width="15.5703125" style="251" customWidth="1"/>
    <col min="8965" max="8965" width="11.42578125" style="251"/>
    <col min="8966" max="8966" width="13.140625" style="251" customWidth="1"/>
    <col min="8967" max="8967" width="12.5703125" style="251" customWidth="1"/>
    <col min="8968" max="8968" width="15.5703125" style="251" customWidth="1"/>
    <col min="8969" max="8969" width="16" style="251" customWidth="1"/>
    <col min="8970" max="9216" width="11.42578125" style="251"/>
    <col min="9217" max="9217" width="16.140625" style="251" customWidth="1"/>
    <col min="9218" max="9218" width="13" style="251" customWidth="1"/>
    <col min="9219" max="9219" width="44.7109375" style="251" customWidth="1"/>
    <col min="9220" max="9220" width="15.5703125" style="251" customWidth="1"/>
    <col min="9221" max="9221" width="11.42578125" style="251"/>
    <col min="9222" max="9222" width="13.140625" style="251" customWidth="1"/>
    <col min="9223" max="9223" width="12.5703125" style="251" customWidth="1"/>
    <col min="9224" max="9224" width="15.5703125" style="251" customWidth="1"/>
    <col min="9225" max="9225" width="16" style="251" customWidth="1"/>
    <col min="9226" max="9472" width="11.42578125" style="251"/>
    <col min="9473" max="9473" width="16.140625" style="251" customWidth="1"/>
    <col min="9474" max="9474" width="13" style="251" customWidth="1"/>
    <col min="9475" max="9475" width="44.7109375" style="251" customWidth="1"/>
    <col min="9476" max="9476" width="15.5703125" style="251" customWidth="1"/>
    <col min="9477" max="9477" width="11.42578125" style="251"/>
    <col min="9478" max="9478" width="13.140625" style="251" customWidth="1"/>
    <col min="9479" max="9479" width="12.5703125" style="251" customWidth="1"/>
    <col min="9480" max="9480" width="15.5703125" style="251" customWidth="1"/>
    <col min="9481" max="9481" width="16" style="251" customWidth="1"/>
    <col min="9482" max="9728" width="11.42578125" style="251"/>
    <col min="9729" max="9729" width="16.140625" style="251" customWidth="1"/>
    <col min="9730" max="9730" width="13" style="251" customWidth="1"/>
    <col min="9731" max="9731" width="44.7109375" style="251" customWidth="1"/>
    <col min="9732" max="9732" width="15.5703125" style="251" customWidth="1"/>
    <col min="9733" max="9733" width="11.42578125" style="251"/>
    <col min="9734" max="9734" width="13.140625" style="251" customWidth="1"/>
    <col min="9735" max="9735" width="12.5703125" style="251" customWidth="1"/>
    <col min="9736" max="9736" width="15.5703125" style="251" customWidth="1"/>
    <col min="9737" max="9737" width="16" style="251" customWidth="1"/>
    <col min="9738" max="9984" width="11.42578125" style="251"/>
    <col min="9985" max="9985" width="16.140625" style="251" customWidth="1"/>
    <col min="9986" max="9986" width="13" style="251" customWidth="1"/>
    <col min="9987" max="9987" width="44.7109375" style="251" customWidth="1"/>
    <col min="9988" max="9988" width="15.5703125" style="251" customWidth="1"/>
    <col min="9989" max="9989" width="11.42578125" style="251"/>
    <col min="9990" max="9990" width="13.140625" style="251" customWidth="1"/>
    <col min="9991" max="9991" width="12.5703125" style="251" customWidth="1"/>
    <col min="9992" max="9992" width="15.5703125" style="251" customWidth="1"/>
    <col min="9993" max="9993" width="16" style="251" customWidth="1"/>
    <col min="9994" max="10240" width="11.42578125" style="251"/>
    <col min="10241" max="10241" width="16.140625" style="251" customWidth="1"/>
    <col min="10242" max="10242" width="13" style="251" customWidth="1"/>
    <col min="10243" max="10243" width="44.7109375" style="251" customWidth="1"/>
    <col min="10244" max="10244" width="15.5703125" style="251" customWidth="1"/>
    <col min="10245" max="10245" width="11.42578125" style="251"/>
    <col min="10246" max="10246" width="13.140625" style="251" customWidth="1"/>
    <col min="10247" max="10247" width="12.5703125" style="251" customWidth="1"/>
    <col min="10248" max="10248" width="15.5703125" style="251" customWidth="1"/>
    <col min="10249" max="10249" width="16" style="251" customWidth="1"/>
    <col min="10250" max="10496" width="11.42578125" style="251"/>
    <col min="10497" max="10497" width="16.140625" style="251" customWidth="1"/>
    <col min="10498" max="10498" width="13" style="251" customWidth="1"/>
    <col min="10499" max="10499" width="44.7109375" style="251" customWidth="1"/>
    <col min="10500" max="10500" width="15.5703125" style="251" customWidth="1"/>
    <col min="10501" max="10501" width="11.42578125" style="251"/>
    <col min="10502" max="10502" width="13.140625" style="251" customWidth="1"/>
    <col min="10503" max="10503" width="12.5703125" style="251" customWidth="1"/>
    <col min="10504" max="10504" width="15.5703125" style="251" customWidth="1"/>
    <col min="10505" max="10505" width="16" style="251" customWidth="1"/>
    <col min="10506" max="10752" width="11.42578125" style="251"/>
    <col min="10753" max="10753" width="16.140625" style="251" customWidth="1"/>
    <col min="10754" max="10754" width="13" style="251" customWidth="1"/>
    <col min="10755" max="10755" width="44.7109375" style="251" customWidth="1"/>
    <col min="10756" max="10756" width="15.5703125" style="251" customWidth="1"/>
    <col min="10757" max="10757" width="11.42578125" style="251"/>
    <col min="10758" max="10758" width="13.140625" style="251" customWidth="1"/>
    <col min="10759" max="10759" width="12.5703125" style="251" customWidth="1"/>
    <col min="10760" max="10760" width="15.5703125" style="251" customWidth="1"/>
    <col min="10761" max="10761" width="16" style="251" customWidth="1"/>
    <col min="10762" max="11008" width="11.42578125" style="251"/>
    <col min="11009" max="11009" width="16.140625" style="251" customWidth="1"/>
    <col min="11010" max="11010" width="13" style="251" customWidth="1"/>
    <col min="11011" max="11011" width="44.7109375" style="251" customWidth="1"/>
    <col min="11012" max="11012" width="15.5703125" style="251" customWidth="1"/>
    <col min="11013" max="11013" width="11.42578125" style="251"/>
    <col min="11014" max="11014" width="13.140625" style="251" customWidth="1"/>
    <col min="11015" max="11015" width="12.5703125" style="251" customWidth="1"/>
    <col min="11016" max="11016" width="15.5703125" style="251" customWidth="1"/>
    <col min="11017" max="11017" width="16" style="251" customWidth="1"/>
    <col min="11018" max="11264" width="11.42578125" style="251"/>
    <col min="11265" max="11265" width="16.140625" style="251" customWidth="1"/>
    <col min="11266" max="11266" width="13" style="251" customWidth="1"/>
    <col min="11267" max="11267" width="44.7109375" style="251" customWidth="1"/>
    <col min="11268" max="11268" width="15.5703125" style="251" customWidth="1"/>
    <col min="11269" max="11269" width="11.42578125" style="251"/>
    <col min="11270" max="11270" width="13.140625" style="251" customWidth="1"/>
    <col min="11271" max="11271" width="12.5703125" style="251" customWidth="1"/>
    <col min="11272" max="11272" width="15.5703125" style="251" customWidth="1"/>
    <col min="11273" max="11273" width="16" style="251" customWidth="1"/>
    <col min="11274" max="11520" width="11.42578125" style="251"/>
    <col min="11521" max="11521" width="16.140625" style="251" customWidth="1"/>
    <col min="11522" max="11522" width="13" style="251" customWidth="1"/>
    <col min="11523" max="11523" width="44.7109375" style="251" customWidth="1"/>
    <col min="11524" max="11524" width="15.5703125" style="251" customWidth="1"/>
    <col min="11525" max="11525" width="11.42578125" style="251"/>
    <col min="11526" max="11526" width="13.140625" style="251" customWidth="1"/>
    <col min="11527" max="11527" width="12.5703125" style="251" customWidth="1"/>
    <col min="11528" max="11528" width="15.5703125" style="251" customWidth="1"/>
    <col min="11529" max="11529" width="16" style="251" customWidth="1"/>
    <col min="11530" max="11776" width="11.42578125" style="251"/>
    <col min="11777" max="11777" width="16.140625" style="251" customWidth="1"/>
    <col min="11778" max="11778" width="13" style="251" customWidth="1"/>
    <col min="11779" max="11779" width="44.7109375" style="251" customWidth="1"/>
    <col min="11780" max="11780" width="15.5703125" style="251" customWidth="1"/>
    <col min="11781" max="11781" width="11.42578125" style="251"/>
    <col min="11782" max="11782" width="13.140625" style="251" customWidth="1"/>
    <col min="11783" max="11783" width="12.5703125" style="251" customWidth="1"/>
    <col min="11784" max="11784" width="15.5703125" style="251" customWidth="1"/>
    <col min="11785" max="11785" width="16" style="251" customWidth="1"/>
    <col min="11786" max="12032" width="11.42578125" style="251"/>
    <col min="12033" max="12033" width="16.140625" style="251" customWidth="1"/>
    <col min="12034" max="12034" width="13" style="251" customWidth="1"/>
    <col min="12035" max="12035" width="44.7109375" style="251" customWidth="1"/>
    <col min="12036" max="12036" width="15.5703125" style="251" customWidth="1"/>
    <col min="12037" max="12037" width="11.42578125" style="251"/>
    <col min="12038" max="12038" width="13.140625" style="251" customWidth="1"/>
    <col min="12039" max="12039" width="12.5703125" style="251" customWidth="1"/>
    <col min="12040" max="12040" width="15.5703125" style="251" customWidth="1"/>
    <col min="12041" max="12041" width="16" style="251" customWidth="1"/>
    <col min="12042" max="12288" width="11.42578125" style="251"/>
    <col min="12289" max="12289" width="16.140625" style="251" customWidth="1"/>
    <col min="12290" max="12290" width="13" style="251" customWidth="1"/>
    <col min="12291" max="12291" width="44.7109375" style="251" customWidth="1"/>
    <col min="12292" max="12292" width="15.5703125" style="251" customWidth="1"/>
    <col min="12293" max="12293" width="11.42578125" style="251"/>
    <col min="12294" max="12294" width="13.140625" style="251" customWidth="1"/>
    <col min="12295" max="12295" width="12.5703125" style="251" customWidth="1"/>
    <col min="12296" max="12296" width="15.5703125" style="251" customWidth="1"/>
    <col min="12297" max="12297" width="16" style="251" customWidth="1"/>
    <col min="12298" max="12544" width="11.42578125" style="251"/>
    <col min="12545" max="12545" width="16.140625" style="251" customWidth="1"/>
    <col min="12546" max="12546" width="13" style="251" customWidth="1"/>
    <col min="12547" max="12547" width="44.7109375" style="251" customWidth="1"/>
    <col min="12548" max="12548" width="15.5703125" style="251" customWidth="1"/>
    <col min="12549" max="12549" width="11.42578125" style="251"/>
    <col min="12550" max="12550" width="13.140625" style="251" customWidth="1"/>
    <col min="12551" max="12551" width="12.5703125" style="251" customWidth="1"/>
    <col min="12552" max="12552" width="15.5703125" style="251" customWidth="1"/>
    <col min="12553" max="12553" width="16" style="251" customWidth="1"/>
    <col min="12554" max="12800" width="11.42578125" style="251"/>
    <col min="12801" max="12801" width="16.140625" style="251" customWidth="1"/>
    <col min="12802" max="12802" width="13" style="251" customWidth="1"/>
    <col min="12803" max="12803" width="44.7109375" style="251" customWidth="1"/>
    <col min="12804" max="12804" width="15.5703125" style="251" customWidth="1"/>
    <col min="12805" max="12805" width="11.42578125" style="251"/>
    <col min="12806" max="12806" width="13.140625" style="251" customWidth="1"/>
    <col min="12807" max="12807" width="12.5703125" style="251" customWidth="1"/>
    <col min="12808" max="12808" width="15.5703125" style="251" customWidth="1"/>
    <col min="12809" max="12809" width="16" style="251" customWidth="1"/>
    <col min="12810" max="13056" width="11.42578125" style="251"/>
    <col min="13057" max="13057" width="16.140625" style="251" customWidth="1"/>
    <col min="13058" max="13058" width="13" style="251" customWidth="1"/>
    <col min="13059" max="13059" width="44.7109375" style="251" customWidth="1"/>
    <col min="13060" max="13060" width="15.5703125" style="251" customWidth="1"/>
    <col min="13061" max="13061" width="11.42578125" style="251"/>
    <col min="13062" max="13062" width="13.140625" style="251" customWidth="1"/>
    <col min="13063" max="13063" width="12.5703125" style="251" customWidth="1"/>
    <col min="13064" max="13064" width="15.5703125" style="251" customWidth="1"/>
    <col min="13065" max="13065" width="16" style="251" customWidth="1"/>
    <col min="13066" max="13312" width="11.42578125" style="251"/>
    <col min="13313" max="13313" width="16.140625" style="251" customWidth="1"/>
    <col min="13314" max="13314" width="13" style="251" customWidth="1"/>
    <col min="13315" max="13315" width="44.7109375" style="251" customWidth="1"/>
    <col min="13316" max="13316" width="15.5703125" style="251" customWidth="1"/>
    <col min="13317" max="13317" width="11.42578125" style="251"/>
    <col min="13318" max="13318" width="13.140625" style="251" customWidth="1"/>
    <col min="13319" max="13319" width="12.5703125" style="251" customWidth="1"/>
    <col min="13320" max="13320" width="15.5703125" style="251" customWidth="1"/>
    <col min="13321" max="13321" width="16" style="251" customWidth="1"/>
    <col min="13322" max="13568" width="11.42578125" style="251"/>
    <col min="13569" max="13569" width="16.140625" style="251" customWidth="1"/>
    <col min="13570" max="13570" width="13" style="251" customWidth="1"/>
    <col min="13571" max="13571" width="44.7109375" style="251" customWidth="1"/>
    <col min="13572" max="13572" width="15.5703125" style="251" customWidth="1"/>
    <col min="13573" max="13573" width="11.42578125" style="251"/>
    <col min="13574" max="13574" width="13.140625" style="251" customWidth="1"/>
    <col min="13575" max="13575" width="12.5703125" style="251" customWidth="1"/>
    <col min="13576" max="13576" width="15.5703125" style="251" customWidth="1"/>
    <col min="13577" max="13577" width="16" style="251" customWidth="1"/>
    <col min="13578" max="13824" width="11.42578125" style="251"/>
    <col min="13825" max="13825" width="16.140625" style="251" customWidth="1"/>
    <col min="13826" max="13826" width="13" style="251" customWidth="1"/>
    <col min="13827" max="13827" width="44.7109375" style="251" customWidth="1"/>
    <col min="13828" max="13828" width="15.5703125" style="251" customWidth="1"/>
    <col min="13829" max="13829" width="11.42578125" style="251"/>
    <col min="13830" max="13830" width="13.140625" style="251" customWidth="1"/>
    <col min="13831" max="13831" width="12.5703125" style="251" customWidth="1"/>
    <col min="13832" max="13832" width="15.5703125" style="251" customWidth="1"/>
    <col min="13833" max="13833" width="16" style="251" customWidth="1"/>
    <col min="13834" max="14080" width="11.42578125" style="251"/>
    <col min="14081" max="14081" width="16.140625" style="251" customWidth="1"/>
    <col min="14082" max="14082" width="13" style="251" customWidth="1"/>
    <col min="14083" max="14083" width="44.7109375" style="251" customWidth="1"/>
    <col min="14084" max="14084" width="15.5703125" style="251" customWidth="1"/>
    <col min="14085" max="14085" width="11.42578125" style="251"/>
    <col min="14086" max="14086" width="13.140625" style="251" customWidth="1"/>
    <col min="14087" max="14087" width="12.5703125" style="251" customWidth="1"/>
    <col min="14088" max="14088" width="15.5703125" style="251" customWidth="1"/>
    <col min="14089" max="14089" width="16" style="251" customWidth="1"/>
    <col min="14090" max="14336" width="11.42578125" style="251"/>
    <col min="14337" max="14337" width="16.140625" style="251" customWidth="1"/>
    <col min="14338" max="14338" width="13" style="251" customWidth="1"/>
    <col min="14339" max="14339" width="44.7109375" style="251" customWidth="1"/>
    <col min="14340" max="14340" width="15.5703125" style="251" customWidth="1"/>
    <col min="14341" max="14341" width="11.42578125" style="251"/>
    <col min="14342" max="14342" width="13.140625" style="251" customWidth="1"/>
    <col min="14343" max="14343" width="12.5703125" style="251" customWidth="1"/>
    <col min="14344" max="14344" width="15.5703125" style="251" customWidth="1"/>
    <col min="14345" max="14345" width="16" style="251" customWidth="1"/>
    <col min="14346" max="14592" width="11.42578125" style="251"/>
    <col min="14593" max="14593" width="16.140625" style="251" customWidth="1"/>
    <col min="14594" max="14594" width="13" style="251" customWidth="1"/>
    <col min="14595" max="14595" width="44.7109375" style="251" customWidth="1"/>
    <col min="14596" max="14596" width="15.5703125" style="251" customWidth="1"/>
    <col min="14597" max="14597" width="11.42578125" style="251"/>
    <col min="14598" max="14598" width="13.140625" style="251" customWidth="1"/>
    <col min="14599" max="14599" width="12.5703125" style="251" customWidth="1"/>
    <col min="14600" max="14600" width="15.5703125" style="251" customWidth="1"/>
    <col min="14601" max="14601" width="16" style="251" customWidth="1"/>
    <col min="14602" max="14848" width="11.42578125" style="251"/>
    <col min="14849" max="14849" width="16.140625" style="251" customWidth="1"/>
    <col min="14850" max="14850" width="13" style="251" customWidth="1"/>
    <col min="14851" max="14851" width="44.7109375" style="251" customWidth="1"/>
    <col min="14852" max="14852" width="15.5703125" style="251" customWidth="1"/>
    <col min="14853" max="14853" width="11.42578125" style="251"/>
    <col min="14854" max="14854" width="13.140625" style="251" customWidth="1"/>
    <col min="14855" max="14855" width="12.5703125" style="251" customWidth="1"/>
    <col min="14856" max="14856" width="15.5703125" style="251" customWidth="1"/>
    <col min="14857" max="14857" width="16" style="251" customWidth="1"/>
    <col min="14858" max="15104" width="11.42578125" style="251"/>
    <col min="15105" max="15105" width="16.140625" style="251" customWidth="1"/>
    <col min="15106" max="15106" width="13" style="251" customWidth="1"/>
    <col min="15107" max="15107" width="44.7109375" style="251" customWidth="1"/>
    <col min="15108" max="15108" width="15.5703125" style="251" customWidth="1"/>
    <col min="15109" max="15109" width="11.42578125" style="251"/>
    <col min="15110" max="15110" width="13.140625" style="251" customWidth="1"/>
    <col min="15111" max="15111" width="12.5703125" style="251" customWidth="1"/>
    <col min="15112" max="15112" width="15.5703125" style="251" customWidth="1"/>
    <col min="15113" max="15113" width="16" style="251" customWidth="1"/>
    <col min="15114" max="15360" width="11.42578125" style="251"/>
    <col min="15361" max="15361" width="16.140625" style="251" customWidth="1"/>
    <col min="15362" max="15362" width="13" style="251" customWidth="1"/>
    <col min="15363" max="15363" width="44.7109375" style="251" customWidth="1"/>
    <col min="15364" max="15364" width="15.5703125" style="251" customWidth="1"/>
    <col min="15365" max="15365" width="11.42578125" style="251"/>
    <col min="15366" max="15366" width="13.140625" style="251" customWidth="1"/>
    <col min="15367" max="15367" width="12.5703125" style="251" customWidth="1"/>
    <col min="15368" max="15368" width="15.5703125" style="251" customWidth="1"/>
    <col min="15369" max="15369" width="16" style="251" customWidth="1"/>
    <col min="15370" max="15616" width="11.42578125" style="251"/>
    <col min="15617" max="15617" width="16.140625" style="251" customWidth="1"/>
    <col min="15618" max="15618" width="13" style="251" customWidth="1"/>
    <col min="15619" max="15619" width="44.7109375" style="251" customWidth="1"/>
    <col min="15620" max="15620" width="15.5703125" style="251" customWidth="1"/>
    <col min="15621" max="15621" width="11.42578125" style="251"/>
    <col min="15622" max="15622" width="13.140625" style="251" customWidth="1"/>
    <col min="15623" max="15623" width="12.5703125" style="251" customWidth="1"/>
    <col min="15624" max="15624" width="15.5703125" style="251" customWidth="1"/>
    <col min="15625" max="15625" width="16" style="251" customWidth="1"/>
    <col min="15626" max="15872" width="11.42578125" style="251"/>
    <col min="15873" max="15873" width="16.140625" style="251" customWidth="1"/>
    <col min="15874" max="15874" width="13" style="251" customWidth="1"/>
    <col min="15875" max="15875" width="44.7109375" style="251" customWidth="1"/>
    <col min="15876" max="15876" width="15.5703125" style="251" customWidth="1"/>
    <col min="15877" max="15877" width="11.42578125" style="251"/>
    <col min="15878" max="15878" width="13.140625" style="251" customWidth="1"/>
    <col min="15879" max="15879" width="12.5703125" style="251" customWidth="1"/>
    <col min="15880" max="15880" width="15.5703125" style="251" customWidth="1"/>
    <col min="15881" max="15881" width="16" style="251" customWidth="1"/>
    <col min="15882" max="16128" width="11.42578125" style="251"/>
    <col min="16129" max="16129" width="16.140625" style="251" customWidth="1"/>
    <col min="16130" max="16130" width="13" style="251" customWidth="1"/>
    <col min="16131" max="16131" width="44.7109375" style="251" customWidth="1"/>
    <col min="16132" max="16132" width="15.5703125" style="251" customWidth="1"/>
    <col min="16133" max="16133" width="11.42578125" style="251"/>
    <col min="16134" max="16134" width="13.140625" style="251" customWidth="1"/>
    <col min="16135" max="16135" width="12.5703125" style="251" customWidth="1"/>
    <col min="16136" max="16136" width="15.5703125" style="251" customWidth="1"/>
    <col min="16137" max="16137" width="16" style="251" customWidth="1"/>
    <col min="16138" max="16384" width="11.42578125" style="251"/>
  </cols>
  <sheetData>
    <row r="1" spans="1:12" ht="18" x14ac:dyDescent="0.25">
      <c r="A1" s="582"/>
      <c r="B1" s="583"/>
      <c r="C1" s="588" t="s">
        <v>0</v>
      </c>
      <c r="D1" s="588"/>
      <c r="E1" s="588"/>
      <c r="F1" s="588"/>
      <c r="G1" s="588"/>
      <c r="H1" s="249" t="s">
        <v>1</v>
      </c>
      <c r="I1" s="250" t="s">
        <v>160</v>
      </c>
    </row>
    <row r="2" spans="1:12" ht="18" x14ac:dyDescent="0.25">
      <c r="A2" s="584"/>
      <c r="B2" s="585"/>
      <c r="C2" s="589" t="s">
        <v>2</v>
      </c>
      <c r="D2" s="589"/>
      <c r="E2" s="589"/>
      <c r="F2" s="589"/>
      <c r="G2" s="589"/>
      <c r="H2" s="252" t="s">
        <v>3</v>
      </c>
      <c r="I2" s="253" t="s">
        <v>161</v>
      </c>
    </row>
    <row r="3" spans="1:12" ht="50.1" customHeight="1" x14ac:dyDescent="0.2">
      <c r="A3" s="584"/>
      <c r="B3" s="585"/>
      <c r="C3" s="590" t="s">
        <v>162</v>
      </c>
      <c r="D3" s="591"/>
      <c r="E3" s="591"/>
      <c r="F3" s="591"/>
      <c r="G3" s="592"/>
      <c r="H3" s="593" t="s">
        <v>5</v>
      </c>
      <c r="I3" s="578">
        <v>44873</v>
      </c>
    </row>
    <row r="4" spans="1:12" x14ac:dyDescent="0.2">
      <c r="A4" s="584"/>
      <c r="B4" s="585"/>
      <c r="C4" s="254" t="s">
        <v>6</v>
      </c>
      <c r="D4" s="580" t="s">
        <v>163</v>
      </c>
      <c r="E4" s="580"/>
      <c r="F4" s="580"/>
      <c r="G4" s="580"/>
      <c r="H4" s="593"/>
      <c r="I4" s="578"/>
    </row>
    <row r="5" spans="1:12" ht="13.5" thickBot="1" x14ac:dyDescent="0.25">
      <c r="A5" s="586"/>
      <c r="B5" s="587"/>
      <c r="C5" s="255" t="s">
        <v>8</v>
      </c>
      <c r="D5" s="581" t="s">
        <v>164</v>
      </c>
      <c r="E5" s="581"/>
      <c r="F5" s="581"/>
      <c r="G5" s="581"/>
      <c r="H5" s="594"/>
      <c r="I5" s="579"/>
    </row>
    <row r="6" spans="1:12" x14ac:dyDescent="0.2">
      <c r="A6" s="256"/>
      <c r="B6" s="256"/>
      <c r="C6" s="257"/>
      <c r="D6" s="258"/>
      <c r="E6" s="258"/>
      <c r="F6" s="258"/>
      <c r="G6" s="258"/>
      <c r="H6" s="259"/>
      <c r="I6" s="260"/>
    </row>
    <row r="7" spans="1:12" ht="18.75" thickBot="1" x14ac:dyDescent="0.3">
      <c r="A7" s="569" t="s">
        <v>165</v>
      </c>
      <c r="B7" s="569"/>
      <c r="C7" s="569"/>
      <c r="D7" s="570" t="s">
        <v>166</v>
      </c>
      <c r="E7" s="570"/>
      <c r="F7" s="570"/>
      <c r="G7" s="571" t="s">
        <v>167</v>
      </c>
      <c r="H7" s="571"/>
      <c r="I7" s="261" t="s">
        <v>166</v>
      </c>
    </row>
    <row r="8" spans="1:12" ht="25.5" x14ac:dyDescent="0.2">
      <c r="A8" s="572" t="s">
        <v>10</v>
      </c>
      <c r="B8" s="574" t="s">
        <v>11</v>
      </c>
      <c r="C8" s="576" t="s">
        <v>12</v>
      </c>
      <c r="D8" s="576" t="s">
        <v>13</v>
      </c>
      <c r="E8" s="576" t="s">
        <v>14</v>
      </c>
      <c r="F8" s="576"/>
      <c r="G8" s="576" t="s">
        <v>15</v>
      </c>
      <c r="H8" s="576"/>
      <c r="I8" s="262" t="s">
        <v>16</v>
      </c>
    </row>
    <row r="9" spans="1:12" ht="26.25" thickBot="1" x14ac:dyDescent="0.25">
      <c r="A9" s="573"/>
      <c r="B9" s="575"/>
      <c r="C9" s="577"/>
      <c r="D9" s="577"/>
      <c r="E9" s="263" t="s">
        <v>17</v>
      </c>
      <c r="F9" s="264" t="s">
        <v>18</v>
      </c>
      <c r="G9" s="265" t="s">
        <v>17</v>
      </c>
      <c r="H9" s="264" t="s">
        <v>18</v>
      </c>
      <c r="I9" s="266" t="s">
        <v>19</v>
      </c>
    </row>
    <row r="10" spans="1:12" ht="15.75" x14ac:dyDescent="0.25">
      <c r="A10" s="267">
        <v>906000135</v>
      </c>
      <c r="B10" s="267" t="s">
        <v>168</v>
      </c>
      <c r="C10" s="268" t="s">
        <v>169</v>
      </c>
      <c r="D10" s="269" t="s">
        <v>22</v>
      </c>
      <c r="E10" s="269">
        <v>25050</v>
      </c>
      <c r="F10" s="270" t="s">
        <v>23</v>
      </c>
      <c r="G10" s="271"/>
      <c r="H10" s="270"/>
      <c r="I10" s="272"/>
    </row>
    <row r="11" spans="1:12" ht="15.75" x14ac:dyDescent="0.25">
      <c r="A11" s="273" t="s">
        <v>170</v>
      </c>
      <c r="B11" s="273" t="s">
        <v>171</v>
      </c>
      <c r="C11" s="274" t="s">
        <v>172</v>
      </c>
      <c r="D11" s="269" t="s">
        <v>173</v>
      </c>
      <c r="E11" s="269">
        <v>8900</v>
      </c>
      <c r="F11" s="270" t="s">
        <v>23</v>
      </c>
      <c r="G11" s="271"/>
      <c r="H11" s="270"/>
      <c r="I11" s="272"/>
    </row>
    <row r="12" spans="1:12" ht="15.75" x14ac:dyDescent="0.25">
      <c r="A12" s="273" t="s">
        <v>174</v>
      </c>
      <c r="B12" s="273"/>
      <c r="C12" s="274" t="s">
        <v>175</v>
      </c>
      <c r="D12" s="269" t="s">
        <v>22</v>
      </c>
      <c r="E12" s="269">
        <v>5900</v>
      </c>
      <c r="F12" s="270" t="s">
        <v>23</v>
      </c>
      <c r="G12" s="271"/>
      <c r="H12" s="270"/>
      <c r="I12" s="272"/>
    </row>
    <row r="13" spans="1:12" ht="15.75" x14ac:dyDescent="0.25">
      <c r="A13" s="275">
        <v>10100050</v>
      </c>
      <c r="B13" s="275" t="s">
        <v>176</v>
      </c>
      <c r="C13" s="268" t="s">
        <v>177</v>
      </c>
      <c r="D13" s="269" t="s">
        <v>178</v>
      </c>
      <c r="E13" s="269">
        <v>8200</v>
      </c>
      <c r="F13" s="270" t="s">
        <v>23</v>
      </c>
      <c r="G13" s="271"/>
      <c r="H13" s="270"/>
      <c r="I13" s="272"/>
    </row>
    <row r="14" spans="1:12" ht="15.75" x14ac:dyDescent="0.25">
      <c r="A14" s="276"/>
      <c r="B14" s="277"/>
      <c r="C14" s="278"/>
      <c r="D14" s="270"/>
      <c r="E14" s="270"/>
      <c r="F14" s="270"/>
      <c r="G14" s="271"/>
      <c r="H14" s="270"/>
      <c r="I14" s="272"/>
    </row>
    <row r="15" spans="1:12" ht="15.75" x14ac:dyDescent="0.25">
      <c r="A15" s="276"/>
      <c r="B15" s="277"/>
      <c r="C15" s="279"/>
      <c r="D15" s="270"/>
      <c r="E15" s="270"/>
      <c r="F15" s="270"/>
      <c r="G15" s="271"/>
      <c r="H15" s="270"/>
      <c r="I15" s="272"/>
    </row>
    <row r="16" spans="1:12" ht="13.5" thickBot="1" x14ac:dyDescent="0.25">
      <c r="A16" s="280"/>
      <c r="B16" s="281"/>
      <c r="E16" s="282"/>
      <c r="F16" s="283"/>
      <c r="I16" s="284"/>
      <c r="L16" s="285"/>
    </row>
    <row r="17" spans="1:13" ht="13.5" thickBot="1" x14ac:dyDescent="0.25">
      <c r="A17" s="286"/>
      <c r="B17" s="287"/>
      <c r="C17" s="288"/>
      <c r="D17" s="289" t="s">
        <v>17</v>
      </c>
      <c r="E17" s="290" t="s">
        <v>36</v>
      </c>
      <c r="F17" s="291"/>
      <c r="G17" s="288"/>
      <c r="H17" s="288"/>
      <c r="I17" s="292"/>
      <c r="L17" s="285"/>
    </row>
    <row r="18" spans="1:13" x14ac:dyDescent="0.2">
      <c r="A18" s="563" t="s">
        <v>37</v>
      </c>
      <c r="B18" s="564"/>
      <c r="C18" s="565"/>
      <c r="D18" s="293">
        <v>47400</v>
      </c>
      <c r="E18" s="294" t="s">
        <v>23</v>
      </c>
      <c r="F18" s="566"/>
      <c r="G18" s="566"/>
      <c r="H18" s="567"/>
      <c r="I18" s="568"/>
      <c r="L18" s="285"/>
    </row>
    <row r="19" spans="1:13" x14ac:dyDescent="0.2">
      <c r="A19" s="546" t="s">
        <v>39</v>
      </c>
      <c r="B19" s="547"/>
      <c r="C19" s="548"/>
      <c r="D19" s="295">
        <v>10</v>
      </c>
      <c r="E19" s="296" t="s">
        <v>40</v>
      </c>
      <c r="F19" s="549"/>
      <c r="G19" s="549"/>
      <c r="H19" s="550"/>
      <c r="I19" s="551"/>
      <c r="L19" s="285"/>
    </row>
    <row r="20" spans="1:13" x14ac:dyDescent="0.2">
      <c r="A20" s="546" t="s">
        <v>42</v>
      </c>
      <c r="B20" s="547"/>
      <c r="C20" s="548"/>
      <c r="D20" s="296">
        <v>1</v>
      </c>
      <c r="E20" s="296" t="s">
        <v>29</v>
      </c>
      <c r="F20" s="549"/>
      <c r="G20" s="549"/>
      <c r="H20" s="550"/>
      <c r="I20" s="551"/>
      <c r="L20" s="285"/>
    </row>
    <row r="21" spans="1:13" x14ac:dyDescent="0.2">
      <c r="A21" s="546" t="s">
        <v>44</v>
      </c>
      <c r="B21" s="547"/>
      <c r="C21" s="548"/>
      <c r="D21" s="297">
        <v>47400</v>
      </c>
      <c r="E21" s="296" t="s">
        <v>23</v>
      </c>
      <c r="F21" s="552"/>
      <c r="G21" s="553"/>
      <c r="H21" s="550"/>
      <c r="I21" s="551"/>
      <c r="L21" s="285"/>
      <c r="M21" s="298"/>
    </row>
    <row r="22" spans="1:13" ht="13.5" thickBot="1" x14ac:dyDescent="0.25">
      <c r="A22" s="554" t="s">
        <v>46</v>
      </c>
      <c r="B22" s="555"/>
      <c r="C22" s="556"/>
      <c r="D22" s="299">
        <f>SUM(E10:E13)-D18</f>
        <v>650</v>
      </c>
      <c r="E22" s="300" t="s">
        <v>23</v>
      </c>
      <c r="F22" s="557"/>
      <c r="G22" s="557"/>
      <c r="H22" s="558"/>
      <c r="I22" s="559"/>
      <c r="L22" s="285"/>
    </row>
    <row r="23" spans="1:13" ht="13.5" thickBot="1" x14ac:dyDescent="0.25">
      <c r="A23" s="560" t="s">
        <v>47</v>
      </c>
      <c r="B23" s="561"/>
      <c r="C23" s="561"/>
      <c r="D23" s="561"/>
      <c r="E23" s="561"/>
      <c r="F23" s="561"/>
      <c r="G23" s="561"/>
      <c r="H23" s="561"/>
      <c r="I23" s="562"/>
    </row>
    <row r="24" spans="1:13" ht="15" x14ac:dyDescent="0.25">
      <c r="A24" s="540" t="s">
        <v>179</v>
      </c>
      <c r="B24" s="541"/>
      <c r="C24" s="541"/>
      <c r="D24" s="541"/>
      <c r="E24" s="541"/>
      <c r="F24" s="541"/>
      <c r="G24" s="541"/>
      <c r="H24" s="541"/>
      <c r="I24" s="542"/>
    </row>
    <row r="25" spans="1:13" ht="15" x14ac:dyDescent="0.25">
      <c r="A25" s="540" t="s">
        <v>180</v>
      </c>
      <c r="B25" s="541"/>
      <c r="C25" s="541"/>
      <c r="D25" s="541"/>
      <c r="E25" s="541"/>
      <c r="F25" s="541"/>
      <c r="G25" s="541"/>
      <c r="H25" s="541"/>
      <c r="I25" s="542"/>
    </row>
    <row r="26" spans="1:13" ht="15" x14ac:dyDescent="0.25">
      <c r="A26" s="540" t="s">
        <v>181</v>
      </c>
      <c r="B26" s="541"/>
      <c r="C26" s="541"/>
      <c r="D26" s="541"/>
      <c r="E26" s="541"/>
      <c r="F26" s="541"/>
      <c r="G26" s="541"/>
      <c r="H26" s="541"/>
      <c r="I26" s="542"/>
    </row>
    <row r="27" spans="1:13" ht="15" x14ac:dyDescent="0.25">
      <c r="A27" s="540" t="s">
        <v>182</v>
      </c>
      <c r="B27" s="541"/>
      <c r="C27" s="541"/>
      <c r="D27" s="541"/>
      <c r="E27" s="541"/>
      <c r="F27" s="541"/>
      <c r="G27" s="541"/>
      <c r="H27" s="541"/>
      <c r="I27" s="542"/>
    </row>
    <row r="28" spans="1:13" ht="15" x14ac:dyDescent="0.25">
      <c r="A28" s="540"/>
      <c r="B28" s="541"/>
      <c r="C28" s="541"/>
      <c r="D28" s="541"/>
      <c r="E28" s="541"/>
      <c r="F28" s="541"/>
      <c r="G28" s="541"/>
      <c r="H28" s="541"/>
      <c r="I28" s="542"/>
    </row>
    <row r="29" spans="1:13" ht="15" x14ac:dyDescent="0.25">
      <c r="A29" s="540"/>
      <c r="B29" s="541"/>
      <c r="C29" s="541"/>
      <c r="D29" s="541"/>
      <c r="E29" s="541"/>
      <c r="F29" s="541"/>
      <c r="G29" s="541"/>
      <c r="H29" s="541"/>
      <c r="I29" s="542"/>
    </row>
    <row r="30" spans="1:13" ht="14.25" x14ac:dyDescent="0.2">
      <c r="A30" s="543"/>
      <c r="B30" s="544"/>
      <c r="C30" s="544"/>
      <c r="D30" s="544"/>
      <c r="E30" s="544"/>
      <c r="F30" s="544"/>
      <c r="G30" s="544"/>
      <c r="H30" s="544"/>
      <c r="I30" s="545"/>
    </row>
    <row r="31" spans="1:13" ht="14.25" x14ac:dyDescent="0.2">
      <c r="A31" s="543"/>
      <c r="B31" s="544"/>
      <c r="C31" s="544"/>
      <c r="D31" s="544"/>
      <c r="E31" s="544"/>
      <c r="F31" s="544"/>
      <c r="G31" s="544"/>
      <c r="H31" s="544"/>
      <c r="I31" s="545"/>
    </row>
    <row r="32" spans="1:13" ht="15" thickBot="1" x14ac:dyDescent="0.25">
      <c r="A32" s="537"/>
      <c r="B32" s="538"/>
      <c r="C32" s="538"/>
      <c r="D32" s="538"/>
      <c r="E32" s="538"/>
      <c r="F32" s="538"/>
      <c r="G32" s="538"/>
      <c r="H32" s="538"/>
      <c r="I32" s="539"/>
    </row>
    <row r="34" spans="1:3" x14ac:dyDescent="0.2">
      <c r="A34" s="301"/>
      <c r="B34" s="301"/>
      <c r="C34" s="301"/>
    </row>
  </sheetData>
  <mergeCells count="42">
    <mergeCell ref="I3:I5"/>
    <mergeCell ref="D4:G4"/>
    <mergeCell ref="D5:G5"/>
    <mergeCell ref="A1:B5"/>
    <mergeCell ref="C1:G1"/>
    <mergeCell ref="C2:G2"/>
    <mergeCell ref="C3:G3"/>
    <mergeCell ref="H3:H5"/>
    <mergeCell ref="A7:C7"/>
    <mergeCell ref="D7:F7"/>
    <mergeCell ref="G7:H7"/>
    <mergeCell ref="A8:A9"/>
    <mergeCell ref="B8:B9"/>
    <mergeCell ref="C8:C9"/>
    <mergeCell ref="D8:D9"/>
    <mergeCell ref="E8:F8"/>
    <mergeCell ref="G8:H8"/>
    <mergeCell ref="A18:C18"/>
    <mergeCell ref="F18:G18"/>
    <mergeCell ref="H18:I18"/>
    <mergeCell ref="A19:C19"/>
    <mergeCell ref="F19:G19"/>
    <mergeCell ref="H19:I19"/>
    <mergeCell ref="A25:I25"/>
    <mergeCell ref="A20:C20"/>
    <mergeCell ref="F20:G20"/>
    <mergeCell ref="H20:I20"/>
    <mergeCell ref="A21:C21"/>
    <mergeCell ref="F21:G21"/>
    <mergeCell ref="H21:I21"/>
    <mergeCell ref="A22:C22"/>
    <mergeCell ref="F22:G22"/>
    <mergeCell ref="H22:I22"/>
    <mergeCell ref="A23:I23"/>
    <mergeCell ref="A24:I24"/>
    <mergeCell ref="A32:I32"/>
    <mergeCell ref="A26:I26"/>
    <mergeCell ref="A27:I27"/>
    <mergeCell ref="A28:I28"/>
    <mergeCell ref="A29:I29"/>
    <mergeCell ref="A30:I30"/>
    <mergeCell ref="A31:I3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9AEFC-99DE-49C6-B598-FEA43BFA68BF}">
  <dimension ref="A1:I28"/>
  <sheetViews>
    <sheetView workbookViewId="0">
      <selection activeCell="C8" sqref="C8"/>
    </sheetView>
  </sheetViews>
  <sheetFormatPr baseColWidth="10" defaultRowHeight="15" x14ac:dyDescent="0.25"/>
  <cols>
    <col min="3" max="3" width="40.28515625" customWidth="1"/>
  </cols>
  <sheetData>
    <row r="1" spans="1:9" ht="15.75" x14ac:dyDescent="0.25">
      <c r="A1" s="604"/>
      <c r="B1" s="605"/>
      <c r="C1" s="610" t="s">
        <v>0</v>
      </c>
      <c r="D1" s="610"/>
      <c r="E1" s="610"/>
      <c r="F1" s="610"/>
      <c r="G1" s="611"/>
      <c r="H1" s="208" t="s">
        <v>1</v>
      </c>
      <c r="I1" s="209"/>
    </row>
    <row r="2" spans="1:9" ht="16.5" thickBot="1" x14ac:dyDescent="0.3">
      <c r="A2" s="606"/>
      <c r="B2" s="607"/>
      <c r="C2" s="612" t="s">
        <v>2</v>
      </c>
      <c r="D2" s="612"/>
      <c r="E2" s="612"/>
      <c r="F2" s="612"/>
      <c r="G2" s="613"/>
      <c r="H2" s="210" t="s">
        <v>3</v>
      </c>
      <c r="I2" s="211"/>
    </row>
    <row r="3" spans="1:9" ht="18.75" thickBot="1" x14ac:dyDescent="0.3">
      <c r="A3" s="606"/>
      <c r="B3" s="607"/>
      <c r="C3" s="614" t="s">
        <v>148</v>
      </c>
      <c r="D3" s="615"/>
      <c r="E3" s="615"/>
      <c r="F3" s="615"/>
      <c r="G3" s="615"/>
      <c r="H3" s="631" t="s">
        <v>5</v>
      </c>
      <c r="I3" s="634"/>
    </row>
    <row r="4" spans="1:9" x14ac:dyDescent="0.25">
      <c r="A4" s="606"/>
      <c r="B4" s="607"/>
      <c r="C4" s="212" t="s">
        <v>6</v>
      </c>
      <c r="D4" s="637" t="s">
        <v>7</v>
      </c>
      <c r="E4" s="638"/>
      <c r="F4" s="638"/>
      <c r="G4" s="638"/>
      <c r="H4" s="632"/>
      <c r="I4" s="635"/>
    </row>
    <row r="5" spans="1:9" ht="15.75" thickBot="1" x14ac:dyDescent="0.3">
      <c r="A5" s="608"/>
      <c r="B5" s="609"/>
      <c r="C5" s="213" t="s">
        <v>8</v>
      </c>
      <c r="D5" s="639" t="s">
        <v>9</v>
      </c>
      <c r="E5" s="640"/>
      <c r="F5" s="640"/>
      <c r="G5" s="640"/>
      <c r="H5" s="633"/>
      <c r="I5" s="636"/>
    </row>
    <row r="6" spans="1:9" ht="25.5" x14ac:dyDescent="0.25">
      <c r="A6" s="645" t="s">
        <v>10</v>
      </c>
      <c r="B6" s="647" t="s">
        <v>11</v>
      </c>
      <c r="C6" s="647" t="s">
        <v>12</v>
      </c>
      <c r="D6" s="647" t="s">
        <v>13</v>
      </c>
      <c r="E6" s="650" t="s">
        <v>14</v>
      </c>
      <c r="F6" s="651"/>
      <c r="G6" s="650" t="s">
        <v>15</v>
      </c>
      <c r="H6" s="651"/>
      <c r="I6" s="214" t="s">
        <v>16</v>
      </c>
    </row>
    <row r="7" spans="1:9" ht="27" thickBot="1" x14ac:dyDescent="0.3">
      <c r="A7" s="646"/>
      <c r="B7" s="648"/>
      <c r="C7" s="649"/>
      <c r="D7" s="649"/>
      <c r="E7" s="215" t="s">
        <v>17</v>
      </c>
      <c r="F7" s="216" t="s">
        <v>18</v>
      </c>
      <c r="G7" s="215" t="s">
        <v>17</v>
      </c>
      <c r="H7" s="216" t="s">
        <v>18</v>
      </c>
      <c r="I7" s="217" t="s">
        <v>19</v>
      </c>
    </row>
    <row r="8" spans="1:9" x14ac:dyDescent="0.25">
      <c r="A8" s="218">
        <v>907000285</v>
      </c>
      <c r="B8" s="218" t="s">
        <v>20</v>
      </c>
      <c r="C8" s="52" t="s">
        <v>21</v>
      </c>
      <c r="D8" s="60" t="s">
        <v>22</v>
      </c>
      <c r="E8" s="219">
        <v>47400</v>
      </c>
      <c r="F8" s="220" t="s">
        <v>23</v>
      </c>
      <c r="G8" s="60"/>
      <c r="H8" s="60"/>
      <c r="I8" s="221"/>
    </row>
    <row r="9" spans="1:9" ht="15.75" x14ac:dyDescent="0.25">
      <c r="A9" s="222"/>
      <c r="B9" s="223"/>
      <c r="C9" s="224"/>
      <c r="D9" s="225"/>
      <c r="E9" s="226"/>
      <c r="F9" s="227"/>
      <c r="G9" s="59"/>
      <c r="H9" s="59"/>
      <c r="I9" s="61"/>
    </row>
    <row r="10" spans="1:9" x14ac:dyDescent="0.25">
      <c r="A10" s="228"/>
      <c r="B10" s="229"/>
      <c r="C10" s="219" t="s">
        <v>24</v>
      </c>
      <c r="D10" s="230"/>
      <c r="E10" s="59"/>
      <c r="F10" s="59"/>
      <c r="G10" s="60"/>
      <c r="H10" s="60"/>
      <c r="I10" s="61"/>
    </row>
    <row r="11" spans="1:9" x14ac:dyDescent="0.25">
      <c r="A11" s="231">
        <v>902000019</v>
      </c>
      <c r="B11" s="231"/>
      <c r="C11" s="112" t="s">
        <v>25</v>
      </c>
      <c r="D11" s="230" t="s">
        <v>22</v>
      </c>
      <c r="E11" s="233">
        <v>2380</v>
      </c>
      <c r="F11" s="234" t="s">
        <v>23</v>
      </c>
      <c r="G11" s="60"/>
      <c r="H11" s="60"/>
      <c r="I11" s="61"/>
    </row>
    <row r="12" spans="1:9" x14ac:dyDescent="0.25">
      <c r="A12" s="231">
        <v>1950928</v>
      </c>
      <c r="B12" s="231" t="s">
        <v>26</v>
      </c>
      <c r="C12" s="112" t="s">
        <v>27</v>
      </c>
      <c r="D12" s="230" t="s">
        <v>28</v>
      </c>
      <c r="E12" s="233">
        <v>21</v>
      </c>
      <c r="F12" s="234" t="s">
        <v>29</v>
      </c>
      <c r="G12" s="60"/>
      <c r="H12" s="60"/>
      <c r="I12" s="61"/>
    </row>
    <row r="13" spans="1:9" x14ac:dyDescent="0.25">
      <c r="A13" s="231">
        <v>702123</v>
      </c>
      <c r="B13" s="231" t="s">
        <v>30</v>
      </c>
      <c r="C13" s="112" t="s">
        <v>31</v>
      </c>
      <c r="D13" s="230" t="s">
        <v>32</v>
      </c>
      <c r="E13" s="233">
        <v>21</v>
      </c>
      <c r="F13" s="234" t="s">
        <v>29</v>
      </c>
      <c r="G13" s="234"/>
      <c r="H13" s="60">
        <v>623.33333330000005</v>
      </c>
      <c r="I13" s="61"/>
    </row>
    <row r="14" spans="1:9" x14ac:dyDescent="0.25">
      <c r="A14" s="231">
        <v>702007</v>
      </c>
      <c r="B14" s="231" t="s">
        <v>33</v>
      </c>
      <c r="C14" s="112" t="s">
        <v>34</v>
      </c>
      <c r="D14" s="230" t="s">
        <v>35</v>
      </c>
      <c r="E14" s="233">
        <v>21</v>
      </c>
      <c r="F14" s="234" t="s">
        <v>29</v>
      </c>
      <c r="G14" s="60"/>
      <c r="H14" s="60"/>
      <c r="I14" s="61"/>
    </row>
    <row r="15" spans="1:9" x14ac:dyDescent="0.25">
      <c r="A15" s="235"/>
      <c r="B15" s="206"/>
      <c r="C15" s="236"/>
      <c r="D15" s="237"/>
      <c r="E15" s="220"/>
      <c r="F15" s="220"/>
      <c r="G15" s="220"/>
      <c r="H15" s="220"/>
      <c r="I15" s="61"/>
    </row>
    <row r="16" spans="1:9" ht="15.75" thickBot="1" x14ac:dyDescent="0.3">
      <c r="A16" s="238"/>
      <c r="B16" s="239"/>
      <c r="C16" s="232"/>
      <c r="D16" s="232"/>
      <c r="E16" s="207"/>
      <c r="F16" s="240"/>
      <c r="G16" s="232"/>
      <c r="H16" s="232"/>
      <c r="I16" s="241"/>
    </row>
    <row r="17" spans="1:9" ht="15.75" thickBot="1" x14ac:dyDescent="0.3">
      <c r="A17" s="242"/>
      <c r="B17" s="243"/>
      <c r="C17" s="244"/>
      <c r="D17" s="245" t="s">
        <v>17</v>
      </c>
      <c r="E17" s="245" t="s">
        <v>36</v>
      </c>
      <c r="F17" s="246"/>
      <c r="G17" s="244"/>
      <c r="H17" s="244"/>
      <c r="I17" s="247"/>
    </row>
    <row r="18" spans="1:9" x14ac:dyDescent="0.25">
      <c r="A18" s="616" t="s">
        <v>37</v>
      </c>
      <c r="B18" s="617"/>
      <c r="C18" s="618"/>
      <c r="D18" s="248">
        <v>46750</v>
      </c>
      <c r="E18" s="73" t="s">
        <v>23</v>
      </c>
      <c r="F18" s="619" t="s">
        <v>38</v>
      </c>
      <c r="G18" s="620"/>
      <c r="H18" s="595"/>
      <c r="I18" s="596"/>
    </row>
    <row r="19" spans="1:9" x14ac:dyDescent="0.25">
      <c r="A19" s="597" t="s">
        <v>39</v>
      </c>
      <c r="B19" s="598"/>
      <c r="C19" s="599"/>
      <c r="D19" s="60">
        <v>35</v>
      </c>
      <c r="E19" s="60" t="s">
        <v>40</v>
      </c>
      <c r="F19" s="600" t="s">
        <v>41</v>
      </c>
      <c r="G19" s="601"/>
      <c r="H19" s="602"/>
      <c r="I19" s="603"/>
    </row>
    <row r="20" spans="1:9" x14ac:dyDescent="0.25">
      <c r="A20" s="597" t="s">
        <v>42</v>
      </c>
      <c r="B20" s="598"/>
      <c r="C20" s="599"/>
      <c r="D20" s="60">
        <v>46</v>
      </c>
      <c r="E20" s="60" t="s">
        <v>29</v>
      </c>
      <c r="F20" s="600" t="s">
        <v>43</v>
      </c>
      <c r="G20" s="601"/>
      <c r="H20" s="602"/>
      <c r="I20" s="603"/>
    </row>
    <row r="21" spans="1:9" x14ac:dyDescent="0.25">
      <c r="A21" s="597" t="s">
        <v>44</v>
      </c>
      <c r="B21" s="598"/>
      <c r="C21" s="599"/>
      <c r="D21" s="60">
        <v>1000</v>
      </c>
      <c r="E21" s="60" t="s">
        <v>23</v>
      </c>
      <c r="F21" s="643" t="s">
        <v>45</v>
      </c>
      <c r="G21" s="644"/>
      <c r="H21" s="602"/>
      <c r="I21" s="603"/>
    </row>
    <row r="22" spans="1:9" ht="15.75" thickBot="1" x14ac:dyDescent="0.3">
      <c r="A22" s="623" t="s">
        <v>46</v>
      </c>
      <c r="B22" s="624"/>
      <c r="C22" s="506"/>
      <c r="D22" s="74">
        <v>650</v>
      </c>
      <c r="E22" s="74" t="s">
        <v>23</v>
      </c>
      <c r="F22" s="625"/>
      <c r="G22" s="626"/>
      <c r="H22" s="627"/>
      <c r="I22" s="628"/>
    </row>
    <row r="23" spans="1:9" ht="15.75" thickBot="1" x14ac:dyDescent="0.3">
      <c r="A23" s="621" t="s">
        <v>47</v>
      </c>
      <c r="B23" s="622"/>
      <c r="C23" s="622"/>
      <c r="D23" s="622"/>
      <c r="E23" s="622"/>
      <c r="F23" s="622"/>
      <c r="G23" s="622"/>
      <c r="H23" s="622"/>
      <c r="I23" s="622"/>
    </row>
    <row r="24" spans="1:9" ht="15.75" x14ac:dyDescent="0.25">
      <c r="A24" s="629" t="s">
        <v>48</v>
      </c>
      <c r="B24" s="630"/>
      <c r="C24" s="630"/>
      <c r="D24" s="630"/>
      <c r="E24" s="630"/>
      <c r="F24" s="630"/>
      <c r="G24" s="630"/>
      <c r="H24" s="630"/>
      <c r="I24" s="630"/>
    </row>
    <row r="25" spans="1:9" ht="15.75" x14ac:dyDescent="0.25">
      <c r="A25" s="483" t="s">
        <v>49</v>
      </c>
      <c r="B25" s="484"/>
      <c r="C25" s="484"/>
      <c r="D25" s="484"/>
      <c r="E25" s="484"/>
      <c r="F25" s="484"/>
      <c r="G25" s="484"/>
      <c r="H25" s="484"/>
      <c r="I25" s="484"/>
    </row>
    <row r="26" spans="1:9" ht="16.5" thickBot="1" x14ac:dyDescent="0.3">
      <c r="A26" s="641" t="s">
        <v>50</v>
      </c>
      <c r="B26" s="642"/>
      <c r="C26" s="642"/>
      <c r="D26" s="642"/>
      <c r="E26" s="642"/>
      <c r="F26" s="642"/>
      <c r="G26" s="642"/>
      <c r="H26" s="642"/>
      <c r="I26" s="642"/>
    </row>
    <row r="27" spans="1:9" ht="15.75" thickBot="1" x14ac:dyDescent="0.3">
      <c r="A27" s="621" t="s">
        <v>51</v>
      </c>
      <c r="B27" s="622"/>
      <c r="C27" s="622"/>
      <c r="D27" s="622"/>
      <c r="E27" s="622"/>
      <c r="F27" s="622"/>
      <c r="G27" s="622"/>
      <c r="H27" s="622"/>
      <c r="I27" s="622"/>
    </row>
    <row r="28" spans="1:9" x14ac:dyDescent="0.25">
      <c r="A28" s="232"/>
      <c r="B28" s="232"/>
      <c r="C28" s="232"/>
      <c r="D28" s="232"/>
      <c r="E28" s="232"/>
      <c r="F28" s="232"/>
      <c r="G28" s="232"/>
      <c r="H28" s="232"/>
      <c r="I28" s="232"/>
    </row>
  </sheetData>
  <mergeCells count="34">
    <mergeCell ref="H3:H5"/>
    <mergeCell ref="I3:I5"/>
    <mergeCell ref="D4:G4"/>
    <mergeCell ref="D5:G5"/>
    <mergeCell ref="A26:I26"/>
    <mergeCell ref="A20:C20"/>
    <mergeCell ref="F20:G20"/>
    <mergeCell ref="H20:I20"/>
    <mergeCell ref="A21:C21"/>
    <mergeCell ref="F21:G21"/>
    <mergeCell ref="A6:A7"/>
    <mergeCell ref="B6:B7"/>
    <mergeCell ref="C6:C7"/>
    <mergeCell ref="D6:D7"/>
    <mergeCell ref="E6:F6"/>
    <mergeCell ref="G6:H6"/>
    <mergeCell ref="A27:I27"/>
    <mergeCell ref="A22:C22"/>
    <mergeCell ref="F22:G22"/>
    <mergeCell ref="H22:I22"/>
    <mergeCell ref="A23:I23"/>
    <mergeCell ref="A24:I24"/>
    <mergeCell ref="A25:I25"/>
    <mergeCell ref="A1:B5"/>
    <mergeCell ref="C1:G1"/>
    <mergeCell ref="C2:G2"/>
    <mergeCell ref="C3:G3"/>
    <mergeCell ref="A18:C18"/>
    <mergeCell ref="F18:G18"/>
    <mergeCell ref="H18:I18"/>
    <mergeCell ref="A19:C19"/>
    <mergeCell ref="F19:G19"/>
    <mergeCell ref="H19:I19"/>
    <mergeCell ref="H21:I2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F8E84-7DCB-4F83-AB95-88BA80FCFE69}">
  <dimension ref="A1:Q91"/>
  <sheetViews>
    <sheetView workbookViewId="0">
      <selection sqref="A1:XFD1048576"/>
    </sheetView>
  </sheetViews>
  <sheetFormatPr baseColWidth="10" defaultColWidth="8.42578125" defaultRowHeight="12.75" x14ac:dyDescent="0.25"/>
  <cols>
    <col min="1" max="1" width="10" style="122" bestFit="1" customWidth="1"/>
    <col min="2" max="2" width="44.28515625" style="122" bestFit="1" customWidth="1"/>
    <col min="3" max="3" width="10.42578125" style="122" bestFit="1" customWidth="1"/>
    <col min="4" max="4" width="10.42578125" style="122" customWidth="1"/>
    <col min="5" max="5" width="9.7109375" style="122" bestFit="1" customWidth="1"/>
    <col min="6" max="6" width="9.5703125" style="122" bestFit="1" customWidth="1"/>
    <col min="7" max="7" width="9.5703125" style="107" bestFit="1" customWidth="1"/>
    <col min="8" max="8" width="10.42578125" style="187" bestFit="1" customWidth="1"/>
    <col min="9" max="9" width="4.5703125" style="187" customWidth="1"/>
    <col min="10" max="10" width="1.85546875" style="121" customWidth="1"/>
    <col min="11" max="11" width="7" style="122" bestFit="1" customWidth="1"/>
    <col min="12" max="12" width="6.28515625" style="122" customWidth="1"/>
    <col min="13" max="13" width="20.42578125" style="122" customWidth="1"/>
    <col min="14" max="14" width="6.42578125" style="122" bestFit="1" customWidth="1"/>
    <col min="15" max="16" width="8.42578125" style="122"/>
    <col min="17" max="17" width="3.28515625" style="122" customWidth="1"/>
    <col min="18" max="256" width="8.42578125" style="122"/>
    <col min="257" max="257" width="10" style="122" bestFit="1" customWidth="1"/>
    <col min="258" max="258" width="44.28515625" style="122" bestFit="1" customWidth="1"/>
    <col min="259" max="259" width="10.42578125" style="122" bestFit="1" customWidth="1"/>
    <col min="260" max="260" width="10.42578125" style="122" customWidth="1"/>
    <col min="261" max="261" width="9.7109375" style="122" bestFit="1" customWidth="1"/>
    <col min="262" max="263" width="9.5703125" style="122" bestFit="1" customWidth="1"/>
    <col min="264" max="264" width="10.42578125" style="122" bestFit="1" customWidth="1"/>
    <col min="265" max="265" width="4.5703125" style="122" customWidth="1"/>
    <col min="266" max="266" width="1.85546875" style="122" customWidth="1"/>
    <col min="267" max="267" width="7" style="122" bestFit="1" customWidth="1"/>
    <col min="268" max="268" width="6.28515625" style="122" customWidth="1"/>
    <col min="269" max="269" width="20.42578125" style="122" customWidth="1"/>
    <col min="270" max="270" width="6.42578125" style="122" bestFit="1" customWidth="1"/>
    <col min="271" max="272" width="8.42578125" style="122"/>
    <col min="273" max="273" width="3.28515625" style="122" customWidth="1"/>
    <col min="274" max="512" width="8.42578125" style="122"/>
    <col min="513" max="513" width="10" style="122" bestFit="1" customWidth="1"/>
    <col min="514" max="514" width="44.28515625" style="122" bestFit="1" customWidth="1"/>
    <col min="515" max="515" width="10.42578125" style="122" bestFit="1" customWidth="1"/>
    <col min="516" max="516" width="10.42578125" style="122" customWidth="1"/>
    <col min="517" max="517" width="9.7109375" style="122" bestFit="1" customWidth="1"/>
    <col min="518" max="519" width="9.5703125" style="122" bestFit="1" customWidth="1"/>
    <col min="520" max="520" width="10.42578125" style="122" bestFit="1" customWidth="1"/>
    <col min="521" max="521" width="4.5703125" style="122" customWidth="1"/>
    <col min="522" max="522" width="1.85546875" style="122" customWidth="1"/>
    <col min="523" max="523" width="7" style="122" bestFit="1" customWidth="1"/>
    <col min="524" max="524" width="6.28515625" style="122" customWidth="1"/>
    <col min="525" max="525" width="20.42578125" style="122" customWidth="1"/>
    <col min="526" max="526" width="6.42578125" style="122" bestFit="1" customWidth="1"/>
    <col min="527" max="528" width="8.42578125" style="122"/>
    <col min="529" max="529" width="3.28515625" style="122" customWidth="1"/>
    <col min="530" max="768" width="8.42578125" style="122"/>
    <col min="769" max="769" width="10" style="122" bestFit="1" customWidth="1"/>
    <col min="770" max="770" width="44.28515625" style="122" bestFit="1" customWidth="1"/>
    <col min="771" max="771" width="10.42578125" style="122" bestFit="1" customWidth="1"/>
    <col min="772" max="772" width="10.42578125" style="122" customWidth="1"/>
    <col min="773" max="773" width="9.7109375" style="122" bestFit="1" customWidth="1"/>
    <col min="774" max="775" width="9.5703125" style="122" bestFit="1" customWidth="1"/>
    <col min="776" max="776" width="10.42578125" style="122" bestFit="1" customWidth="1"/>
    <col min="777" max="777" width="4.5703125" style="122" customWidth="1"/>
    <col min="778" max="778" width="1.85546875" style="122" customWidth="1"/>
    <col min="779" max="779" width="7" style="122" bestFit="1" customWidth="1"/>
    <col min="780" max="780" width="6.28515625" style="122" customWidth="1"/>
    <col min="781" max="781" width="20.42578125" style="122" customWidth="1"/>
    <col min="782" max="782" width="6.42578125" style="122" bestFit="1" customWidth="1"/>
    <col min="783" max="784" width="8.42578125" style="122"/>
    <col min="785" max="785" width="3.28515625" style="122" customWidth="1"/>
    <col min="786" max="1024" width="8.42578125" style="122"/>
    <col min="1025" max="1025" width="10" style="122" bestFit="1" customWidth="1"/>
    <col min="1026" max="1026" width="44.28515625" style="122" bestFit="1" customWidth="1"/>
    <col min="1027" max="1027" width="10.42578125" style="122" bestFit="1" customWidth="1"/>
    <col min="1028" max="1028" width="10.42578125" style="122" customWidth="1"/>
    <col min="1029" max="1029" width="9.7109375" style="122" bestFit="1" customWidth="1"/>
    <col min="1030" max="1031" width="9.5703125" style="122" bestFit="1" customWidth="1"/>
    <col min="1032" max="1032" width="10.42578125" style="122" bestFit="1" customWidth="1"/>
    <col min="1033" max="1033" width="4.5703125" style="122" customWidth="1"/>
    <col min="1034" max="1034" width="1.85546875" style="122" customWidth="1"/>
    <col min="1035" max="1035" width="7" style="122" bestFit="1" customWidth="1"/>
    <col min="1036" max="1036" width="6.28515625" style="122" customWidth="1"/>
    <col min="1037" max="1037" width="20.42578125" style="122" customWidth="1"/>
    <col min="1038" max="1038" width="6.42578125" style="122" bestFit="1" customWidth="1"/>
    <col min="1039" max="1040" width="8.42578125" style="122"/>
    <col min="1041" max="1041" width="3.28515625" style="122" customWidth="1"/>
    <col min="1042" max="1280" width="8.42578125" style="122"/>
    <col min="1281" max="1281" width="10" style="122" bestFit="1" customWidth="1"/>
    <col min="1282" max="1282" width="44.28515625" style="122" bestFit="1" customWidth="1"/>
    <col min="1283" max="1283" width="10.42578125" style="122" bestFit="1" customWidth="1"/>
    <col min="1284" max="1284" width="10.42578125" style="122" customWidth="1"/>
    <col min="1285" max="1285" width="9.7109375" style="122" bestFit="1" customWidth="1"/>
    <col min="1286" max="1287" width="9.5703125" style="122" bestFit="1" customWidth="1"/>
    <col min="1288" max="1288" width="10.42578125" style="122" bestFit="1" customWidth="1"/>
    <col min="1289" max="1289" width="4.5703125" style="122" customWidth="1"/>
    <col min="1290" max="1290" width="1.85546875" style="122" customWidth="1"/>
    <col min="1291" max="1291" width="7" style="122" bestFit="1" customWidth="1"/>
    <col min="1292" max="1292" width="6.28515625" style="122" customWidth="1"/>
    <col min="1293" max="1293" width="20.42578125" style="122" customWidth="1"/>
    <col min="1294" max="1294" width="6.42578125" style="122" bestFit="1" customWidth="1"/>
    <col min="1295" max="1296" width="8.42578125" style="122"/>
    <col min="1297" max="1297" width="3.28515625" style="122" customWidth="1"/>
    <col min="1298" max="1536" width="8.42578125" style="122"/>
    <col min="1537" max="1537" width="10" style="122" bestFit="1" customWidth="1"/>
    <col min="1538" max="1538" width="44.28515625" style="122" bestFit="1" customWidth="1"/>
    <col min="1539" max="1539" width="10.42578125" style="122" bestFit="1" customWidth="1"/>
    <col min="1540" max="1540" width="10.42578125" style="122" customWidth="1"/>
    <col min="1541" max="1541" width="9.7109375" style="122" bestFit="1" customWidth="1"/>
    <col min="1542" max="1543" width="9.5703125" style="122" bestFit="1" customWidth="1"/>
    <col min="1544" max="1544" width="10.42578125" style="122" bestFit="1" customWidth="1"/>
    <col min="1545" max="1545" width="4.5703125" style="122" customWidth="1"/>
    <col min="1546" max="1546" width="1.85546875" style="122" customWidth="1"/>
    <col min="1547" max="1547" width="7" style="122" bestFit="1" customWidth="1"/>
    <col min="1548" max="1548" width="6.28515625" style="122" customWidth="1"/>
    <col min="1549" max="1549" width="20.42578125" style="122" customWidth="1"/>
    <col min="1550" max="1550" width="6.42578125" style="122" bestFit="1" customWidth="1"/>
    <col min="1551" max="1552" width="8.42578125" style="122"/>
    <col min="1553" max="1553" width="3.28515625" style="122" customWidth="1"/>
    <col min="1554" max="1792" width="8.42578125" style="122"/>
    <col min="1793" max="1793" width="10" style="122" bestFit="1" customWidth="1"/>
    <col min="1794" max="1794" width="44.28515625" style="122" bestFit="1" customWidth="1"/>
    <col min="1795" max="1795" width="10.42578125" style="122" bestFit="1" customWidth="1"/>
    <col min="1796" max="1796" width="10.42578125" style="122" customWidth="1"/>
    <col min="1797" max="1797" width="9.7109375" style="122" bestFit="1" customWidth="1"/>
    <col min="1798" max="1799" width="9.5703125" style="122" bestFit="1" customWidth="1"/>
    <col min="1800" max="1800" width="10.42578125" style="122" bestFit="1" customWidth="1"/>
    <col min="1801" max="1801" width="4.5703125" style="122" customWidth="1"/>
    <col min="1802" max="1802" width="1.85546875" style="122" customWidth="1"/>
    <col min="1803" max="1803" width="7" style="122" bestFit="1" customWidth="1"/>
    <col min="1804" max="1804" width="6.28515625" style="122" customWidth="1"/>
    <col min="1805" max="1805" width="20.42578125" style="122" customWidth="1"/>
    <col min="1806" max="1806" width="6.42578125" style="122" bestFit="1" customWidth="1"/>
    <col min="1807" max="1808" width="8.42578125" style="122"/>
    <col min="1809" max="1809" width="3.28515625" style="122" customWidth="1"/>
    <col min="1810" max="2048" width="8.42578125" style="122"/>
    <col min="2049" max="2049" width="10" style="122" bestFit="1" customWidth="1"/>
    <col min="2050" max="2050" width="44.28515625" style="122" bestFit="1" customWidth="1"/>
    <col min="2051" max="2051" width="10.42578125" style="122" bestFit="1" customWidth="1"/>
    <col min="2052" max="2052" width="10.42578125" style="122" customWidth="1"/>
    <col min="2053" max="2053" width="9.7109375" style="122" bestFit="1" customWidth="1"/>
    <col min="2054" max="2055" width="9.5703125" style="122" bestFit="1" customWidth="1"/>
    <col min="2056" max="2056" width="10.42578125" style="122" bestFit="1" customWidth="1"/>
    <col min="2057" max="2057" width="4.5703125" style="122" customWidth="1"/>
    <col min="2058" max="2058" width="1.85546875" style="122" customWidth="1"/>
    <col min="2059" max="2059" width="7" style="122" bestFit="1" customWidth="1"/>
    <col min="2060" max="2060" width="6.28515625" style="122" customWidth="1"/>
    <col min="2061" max="2061" width="20.42578125" style="122" customWidth="1"/>
    <col min="2062" max="2062" width="6.42578125" style="122" bestFit="1" customWidth="1"/>
    <col min="2063" max="2064" width="8.42578125" style="122"/>
    <col min="2065" max="2065" width="3.28515625" style="122" customWidth="1"/>
    <col min="2066" max="2304" width="8.42578125" style="122"/>
    <col min="2305" max="2305" width="10" style="122" bestFit="1" customWidth="1"/>
    <col min="2306" max="2306" width="44.28515625" style="122" bestFit="1" customWidth="1"/>
    <col min="2307" max="2307" width="10.42578125" style="122" bestFit="1" customWidth="1"/>
    <col min="2308" max="2308" width="10.42578125" style="122" customWidth="1"/>
    <col min="2309" max="2309" width="9.7109375" style="122" bestFit="1" customWidth="1"/>
    <col min="2310" max="2311" width="9.5703125" style="122" bestFit="1" customWidth="1"/>
    <col min="2312" max="2312" width="10.42578125" style="122" bestFit="1" customWidth="1"/>
    <col min="2313" max="2313" width="4.5703125" style="122" customWidth="1"/>
    <col min="2314" max="2314" width="1.85546875" style="122" customWidth="1"/>
    <col min="2315" max="2315" width="7" style="122" bestFit="1" customWidth="1"/>
    <col min="2316" max="2316" width="6.28515625" style="122" customWidth="1"/>
    <col min="2317" max="2317" width="20.42578125" style="122" customWidth="1"/>
    <col min="2318" max="2318" width="6.42578125" style="122" bestFit="1" customWidth="1"/>
    <col min="2319" max="2320" width="8.42578125" style="122"/>
    <col min="2321" max="2321" width="3.28515625" style="122" customWidth="1"/>
    <col min="2322" max="2560" width="8.42578125" style="122"/>
    <col min="2561" max="2561" width="10" style="122" bestFit="1" customWidth="1"/>
    <col min="2562" max="2562" width="44.28515625" style="122" bestFit="1" customWidth="1"/>
    <col min="2563" max="2563" width="10.42578125" style="122" bestFit="1" customWidth="1"/>
    <col min="2564" max="2564" width="10.42578125" style="122" customWidth="1"/>
    <col min="2565" max="2565" width="9.7109375" style="122" bestFit="1" customWidth="1"/>
    <col min="2566" max="2567" width="9.5703125" style="122" bestFit="1" customWidth="1"/>
    <col min="2568" max="2568" width="10.42578125" style="122" bestFit="1" customWidth="1"/>
    <col min="2569" max="2569" width="4.5703125" style="122" customWidth="1"/>
    <col min="2570" max="2570" width="1.85546875" style="122" customWidth="1"/>
    <col min="2571" max="2571" width="7" style="122" bestFit="1" customWidth="1"/>
    <col min="2572" max="2572" width="6.28515625" style="122" customWidth="1"/>
    <col min="2573" max="2573" width="20.42578125" style="122" customWidth="1"/>
    <col min="2574" max="2574" width="6.42578125" style="122" bestFit="1" customWidth="1"/>
    <col min="2575" max="2576" width="8.42578125" style="122"/>
    <col min="2577" max="2577" width="3.28515625" style="122" customWidth="1"/>
    <col min="2578" max="2816" width="8.42578125" style="122"/>
    <col min="2817" max="2817" width="10" style="122" bestFit="1" customWidth="1"/>
    <col min="2818" max="2818" width="44.28515625" style="122" bestFit="1" customWidth="1"/>
    <col min="2819" max="2819" width="10.42578125" style="122" bestFit="1" customWidth="1"/>
    <col min="2820" max="2820" width="10.42578125" style="122" customWidth="1"/>
    <col min="2821" max="2821" width="9.7109375" style="122" bestFit="1" customWidth="1"/>
    <col min="2822" max="2823" width="9.5703125" style="122" bestFit="1" customWidth="1"/>
    <col min="2824" max="2824" width="10.42578125" style="122" bestFit="1" customWidth="1"/>
    <col min="2825" max="2825" width="4.5703125" style="122" customWidth="1"/>
    <col min="2826" max="2826" width="1.85546875" style="122" customWidth="1"/>
    <col min="2827" max="2827" width="7" style="122" bestFit="1" customWidth="1"/>
    <col min="2828" max="2828" width="6.28515625" style="122" customWidth="1"/>
    <col min="2829" max="2829" width="20.42578125" style="122" customWidth="1"/>
    <col min="2830" max="2830" width="6.42578125" style="122" bestFit="1" customWidth="1"/>
    <col min="2831" max="2832" width="8.42578125" style="122"/>
    <col min="2833" max="2833" width="3.28515625" style="122" customWidth="1"/>
    <col min="2834" max="3072" width="8.42578125" style="122"/>
    <col min="3073" max="3073" width="10" style="122" bestFit="1" customWidth="1"/>
    <col min="3074" max="3074" width="44.28515625" style="122" bestFit="1" customWidth="1"/>
    <col min="3075" max="3075" width="10.42578125" style="122" bestFit="1" customWidth="1"/>
    <col min="3076" max="3076" width="10.42578125" style="122" customWidth="1"/>
    <col min="3077" max="3077" width="9.7109375" style="122" bestFit="1" customWidth="1"/>
    <col min="3078" max="3079" width="9.5703125" style="122" bestFit="1" customWidth="1"/>
    <col min="3080" max="3080" width="10.42578125" style="122" bestFit="1" customWidth="1"/>
    <col min="3081" max="3081" width="4.5703125" style="122" customWidth="1"/>
    <col min="3082" max="3082" width="1.85546875" style="122" customWidth="1"/>
    <col min="3083" max="3083" width="7" style="122" bestFit="1" customWidth="1"/>
    <col min="3084" max="3084" width="6.28515625" style="122" customWidth="1"/>
    <col min="3085" max="3085" width="20.42578125" style="122" customWidth="1"/>
    <col min="3086" max="3086" width="6.42578125" style="122" bestFit="1" customWidth="1"/>
    <col min="3087" max="3088" width="8.42578125" style="122"/>
    <col min="3089" max="3089" width="3.28515625" style="122" customWidth="1"/>
    <col min="3090" max="3328" width="8.42578125" style="122"/>
    <col min="3329" max="3329" width="10" style="122" bestFit="1" customWidth="1"/>
    <col min="3330" max="3330" width="44.28515625" style="122" bestFit="1" customWidth="1"/>
    <col min="3331" max="3331" width="10.42578125" style="122" bestFit="1" customWidth="1"/>
    <col min="3332" max="3332" width="10.42578125" style="122" customWidth="1"/>
    <col min="3333" max="3333" width="9.7109375" style="122" bestFit="1" customWidth="1"/>
    <col min="3334" max="3335" width="9.5703125" style="122" bestFit="1" customWidth="1"/>
    <col min="3336" max="3336" width="10.42578125" style="122" bestFit="1" customWidth="1"/>
    <col min="3337" max="3337" width="4.5703125" style="122" customWidth="1"/>
    <col min="3338" max="3338" width="1.85546875" style="122" customWidth="1"/>
    <col min="3339" max="3339" width="7" style="122" bestFit="1" customWidth="1"/>
    <col min="3340" max="3340" width="6.28515625" style="122" customWidth="1"/>
    <col min="3341" max="3341" width="20.42578125" style="122" customWidth="1"/>
    <col min="3342" max="3342" width="6.42578125" style="122" bestFit="1" customWidth="1"/>
    <col min="3343" max="3344" width="8.42578125" style="122"/>
    <col min="3345" max="3345" width="3.28515625" style="122" customWidth="1"/>
    <col min="3346" max="3584" width="8.42578125" style="122"/>
    <col min="3585" max="3585" width="10" style="122" bestFit="1" customWidth="1"/>
    <col min="3586" max="3586" width="44.28515625" style="122" bestFit="1" customWidth="1"/>
    <col min="3587" max="3587" width="10.42578125" style="122" bestFit="1" customWidth="1"/>
    <col min="3588" max="3588" width="10.42578125" style="122" customWidth="1"/>
    <col min="3589" max="3589" width="9.7109375" style="122" bestFit="1" customWidth="1"/>
    <col min="3590" max="3591" width="9.5703125" style="122" bestFit="1" customWidth="1"/>
    <col min="3592" max="3592" width="10.42578125" style="122" bestFit="1" customWidth="1"/>
    <col min="3593" max="3593" width="4.5703125" style="122" customWidth="1"/>
    <col min="3594" max="3594" width="1.85546875" style="122" customWidth="1"/>
    <col min="3595" max="3595" width="7" style="122" bestFit="1" customWidth="1"/>
    <col min="3596" max="3596" width="6.28515625" style="122" customWidth="1"/>
    <col min="3597" max="3597" width="20.42578125" style="122" customWidth="1"/>
    <col min="3598" max="3598" width="6.42578125" style="122" bestFit="1" customWidth="1"/>
    <col min="3599" max="3600" width="8.42578125" style="122"/>
    <col min="3601" max="3601" width="3.28515625" style="122" customWidth="1"/>
    <col min="3602" max="3840" width="8.42578125" style="122"/>
    <col min="3841" max="3841" width="10" style="122" bestFit="1" customWidth="1"/>
    <col min="3842" max="3842" width="44.28515625" style="122" bestFit="1" customWidth="1"/>
    <col min="3843" max="3843" width="10.42578125" style="122" bestFit="1" customWidth="1"/>
    <col min="3844" max="3844" width="10.42578125" style="122" customWidth="1"/>
    <col min="3845" max="3845" width="9.7109375" style="122" bestFit="1" customWidth="1"/>
    <col min="3846" max="3847" width="9.5703125" style="122" bestFit="1" customWidth="1"/>
    <col min="3848" max="3848" width="10.42578125" style="122" bestFit="1" customWidth="1"/>
    <col min="3849" max="3849" width="4.5703125" style="122" customWidth="1"/>
    <col min="3850" max="3850" width="1.85546875" style="122" customWidth="1"/>
    <col min="3851" max="3851" width="7" style="122" bestFit="1" customWidth="1"/>
    <col min="3852" max="3852" width="6.28515625" style="122" customWidth="1"/>
    <col min="3853" max="3853" width="20.42578125" style="122" customWidth="1"/>
    <col min="3854" max="3854" width="6.42578125" style="122" bestFit="1" customWidth="1"/>
    <col min="3855" max="3856" width="8.42578125" style="122"/>
    <col min="3857" max="3857" width="3.28515625" style="122" customWidth="1"/>
    <col min="3858" max="4096" width="8.42578125" style="122"/>
    <col min="4097" max="4097" width="10" style="122" bestFit="1" customWidth="1"/>
    <col min="4098" max="4098" width="44.28515625" style="122" bestFit="1" customWidth="1"/>
    <col min="4099" max="4099" width="10.42578125" style="122" bestFit="1" customWidth="1"/>
    <col min="4100" max="4100" width="10.42578125" style="122" customWidth="1"/>
    <col min="4101" max="4101" width="9.7109375" style="122" bestFit="1" customWidth="1"/>
    <col min="4102" max="4103" width="9.5703125" style="122" bestFit="1" customWidth="1"/>
    <col min="4104" max="4104" width="10.42578125" style="122" bestFit="1" customWidth="1"/>
    <col min="4105" max="4105" width="4.5703125" style="122" customWidth="1"/>
    <col min="4106" max="4106" width="1.85546875" style="122" customWidth="1"/>
    <col min="4107" max="4107" width="7" style="122" bestFit="1" customWidth="1"/>
    <col min="4108" max="4108" width="6.28515625" style="122" customWidth="1"/>
    <col min="4109" max="4109" width="20.42578125" style="122" customWidth="1"/>
    <col min="4110" max="4110" width="6.42578125" style="122" bestFit="1" customWidth="1"/>
    <col min="4111" max="4112" width="8.42578125" style="122"/>
    <col min="4113" max="4113" width="3.28515625" style="122" customWidth="1"/>
    <col min="4114" max="4352" width="8.42578125" style="122"/>
    <col min="4353" max="4353" width="10" style="122" bestFit="1" customWidth="1"/>
    <col min="4354" max="4354" width="44.28515625" style="122" bestFit="1" customWidth="1"/>
    <col min="4355" max="4355" width="10.42578125" style="122" bestFit="1" customWidth="1"/>
    <col min="4356" max="4356" width="10.42578125" style="122" customWidth="1"/>
    <col min="4357" max="4357" width="9.7109375" style="122" bestFit="1" customWidth="1"/>
    <col min="4358" max="4359" width="9.5703125" style="122" bestFit="1" customWidth="1"/>
    <col min="4360" max="4360" width="10.42578125" style="122" bestFit="1" customWidth="1"/>
    <col min="4361" max="4361" width="4.5703125" style="122" customWidth="1"/>
    <col min="4362" max="4362" width="1.85546875" style="122" customWidth="1"/>
    <col min="4363" max="4363" width="7" style="122" bestFit="1" customWidth="1"/>
    <col min="4364" max="4364" width="6.28515625" style="122" customWidth="1"/>
    <col min="4365" max="4365" width="20.42578125" style="122" customWidth="1"/>
    <col min="4366" max="4366" width="6.42578125" style="122" bestFit="1" customWidth="1"/>
    <col min="4367" max="4368" width="8.42578125" style="122"/>
    <col min="4369" max="4369" width="3.28515625" style="122" customWidth="1"/>
    <col min="4370" max="4608" width="8.42578125" style="122"/>
    <col min="4609" max="4609" width="10" style="122" bestFit="1" customWidth="1"/>
    <col min="4610" max="4610" width="44.28515625" style="122" bestFit="1" customWidth="1"/>
    <col min="4611" max="4611" width="10.42578125" style="122" bestFit="1" customWidth="1"/>
    <col min="4612" max="4612" width="10.42578125" style="122" customWidth="1"/>
    <col min="4613" max="4613" width="9.7109375" style="122" bestFit="1" customWidth="1"/>
    <col min="4614" max="4615" width="9.5703125" style="122" bestFit="1" customWidth="1"/>
    <col min="4616" max="4616" width="10.42578125" style="122" bestFit="1" customWidth="1"/>
    <col min="4617" max="4617" width="4.5703125" style="122" customWidth="1"/>
    <col min="4618" max="4618" width="1.85546875" style="122" customWidth="1"/>
    <col min="4619" max="4619" width="7" style="122" bestFit="1" customWidth="1"/>
    <col min="4620" max="4620" width="6.28515625" style="122" customWidth="1"/>
    <col min="4621" max="4621" width="20.42578125" style="122" customWidth="1"/>
    <col min="4622" max="4622" width="6.42578125" style="122" bestFit="1" customWidth="1"/>
    <col min="4623" max="4624" width="8.42578125" style="122"/>
    <col min="4625" max="4625" width="3.28515625" style="122" customWidth="1"/>
    <col min="4626" max="4864" width="8.42578125" style="122"/>
    <col min="4865" max="4865" width="10" style="122" bestFit="1" customWidth="1"/>
    <col min="4866" max="4866" width="44.28515625" style="122" bestFit="1" customWidth="1"/>
    <col min="4867" max="4867" width="10.42578125" style="122" bestFit="1" customWidth="1"/>
    <col min="4868" max="4868" width="10.42578125" style="122" customWidth="1"/>
    <col min="4869" max="4869" width="9.7109375" style="122" bestFit="1" customWidth="1"/>
    <col min="4870" max="4871" width="9.5703125" style="122" bestFit="1" customWidth="1"/>
    <col min="4872" max="4872" width="10.42578125" style="122" bestFit="1" customWidth="1"/>
    <col min="4873" max="4873" width="4.5703125" style="122" customWidth="1"/>
    <col min="4874" max="4874" width="1.85546875" style="122" customWidth="1"/>
    <col min="4875" max="4875" width="7" style="122" bestFit="1" customWidth="1"/>
    <col min="4876" max="4876" width="6.28515625" style="122" customWidth="1"/>
    <col min="4877" max="4877" width="20.42578125" style="122" customWidth="1"/>
    <col min="4878" max="4878" width="6.42578125" style="122" bestFit="1" customWidth="1"/>
    <col min="4879" max="4880" width="8.42578125" style="122"/>
    <col min="4881" max="4881" width="3.28515625" style="122" customWidth="1"/>
    <col min="4882" max="5120" width="8.42578125" style="122"/>
    <col min="5121" max="5121" width="10" style="122" bestFit="1" customWidth="1"/>
    <col min="5122" max="5122" width="44.28515625" style="122" bestFit="1" customWidth="1"/>
    <col min="5123" max="5123" width="10.42578125" style="122" bestFit="1" customWidth="1"/>
    <col min="5124" max="5124" width="10.42578125" style="122" customWidth="1"/>
    <col min="5125" max="5125" width="9.7109375" style="122" bestFit="1" customWidth="1"/>
    <col min="5126" max="5127" width="9.5703125" style="122" bestFit="1" customWidth="1"/>
    <col min="5128" max="5128" width="10.42578125" style="122" bestFit="1" customWidth="1"/>
    <col min="5129" max="5129" width="4.5703125" style="122" customWidth="1"/>
    <col min="5130" max="5130" width="1.85546875" style="122" customWidth="1"/>
    <col min="5131" max="5131" width="7" style="122" bestFit="1" customWidth="1"/>
    <col min="5132" max="5132" width="6.28515625" style="122" customWidth="1"/>
    <col min="5133" max="5133" width="20.42578125" style="122" customWidth="1"/>
    <col min="5134" max="5134" width="6.42578125" style="122" bestFit="1" customWidth="1"/>
    <col min="5135" max="5136" width="8.42578125" style="122"/>
    <col min="5137" max="5137" width="3.28515625" style="122" customWidth="1"/>
    <col min="5138" max="5376" width="8.42578125" style="122"/>
    <col min="5377" max="5377" width="10" style="122" bestFit="1" customWidth="1"/>
    <col min="5378" max="5378" width="44.28515625" style="122" bestFit="1" customWidth="1"/>
    <col min="5379" max="5379" width="10.42578125" style="122" bestFit="1" customWidth="1"/>
    <col min="5380" max="5380" width="10.42578125" style="122" customWidth="1"/>
    <col min="5381" max="5381" width="9.7109375" style="122" bestFit="1" customWidth="1"/>
    <col min="5382" max="5383" width="9.5703125" style="122" bestFit="1" customWidth="1"/>
    <col min="5384" max="5384" width="10.42578125" style="122" bestFit="1" customWidth="1"/>
    <col min="5385" max="5385" width="4.5703125" style="122" customWidth="1"/>
    <col min="5386" max="5386" width="1.85546875" style="122" customWidth="1"/>
    <col min="5387" max="5387" width="7" style="122" bestFit="1" customWidth="1"/>
    <col min="5388" max="5388" width="6.28515625" style="122" customWidth="1"/>
    <col min="5389" max="5389" width="20.42578125" style="122" customWidth="1"/>
    <col min="5390" max="5390" width="6.42578125" style="122" bestFit="1" customWidth="1"/>
    <col min="5391" max="5392" width="8.42578125" style="122"/>
    <col min="5393" max="5393" width="3.28515625" style="122" customWidth="1"/>
    <col min="5394" max="5632" width="8.42578125" style="122"/>
    <col min="5633" max="5633" width="10" style="122" bestFit="1" customWidth="1"/>
    <col min="5634" max="5634" width="44.28515625" style="122" bestFit="1" customWidth="1"/>
    <col min="5635" max="5635" width="10.42578125" style="122" bestFit="1" customWidth="1"/>
    <col min="5636" max="5636" width="10.42578125" style="122" customWidth="1"/>
    <col min="5637" max="5637" width="9.7109375" style="122" bestFit="1" customWidth="1"/>
    <col min="5638" max="5639" width="9.5703125" style="122" bestFit="1" customWidth="1"/>
    <col min="5640" max="5640" width="10.42578125" style="122" bestFit="1" customWidth="1"/>
    <col min="5641" max="5641" width="4.5703125" style="122" customWidth="1"/>
    <col min="5642" max="5642" width="1.85546875" style="122" customWidth="1"/>
    <col min="5643" max="5643" width="7" style="122" bestFit="1" customWidth="1"/>
    <col min="5644" max="5644" width="6.28515625" style="122" customWidth="1"/>
    <col min="5645" max="5645" width="20.42578125" style="122" customWidth="1"/>
    <col min="5646" max="5646" width="6.42578125" style="122" bestFit="1" customWidth="1"/>
    <col min="5647" max="5648" width="8.42578125" style="122"/>
    <col min="5649" max="5649" width="3.28515625" style="122" customWidth="1"/>
    <col min="5650" max="5888" width="8.42578125" style="122"/>
    <col min="5889" max="5889" width="10" style="122" bestFit="1" customWidth="1"/>
    <col min="5890" max="5890" width="44.28515625" style="122" bestFit="1" customWidth="1"/>
    <col min="5891" max="5891" width="10.42578125" style="122" bestFit="1" customWidth="1"/>
    <col min="5892" max="5892" width="10.42578125" style="122" customWidth="1"/>
    <col min="5893" max="5893" width="9.7109375" style="122" bestFit="1" customWidth="1"/>
    <col min="5894" max="5895" width="9.5703125" style="122" bestFit="1" customWidth="1"/>
    <col min="5896" max="5896" width="10.42578125" style="122" bestFit="1" customWidth="1"/>
    <col min="5897" max="5897" width="4.5703125" style="122" customWidth="1"/>
    <col min="5898" max="5898" width="1.85546875" style="122" customWidth="1"/>
    <col min="5899" max="5899" width="7" style="122" bestFit="1" customWidth="1"/>
    <col min="5900" max="5900" width="6.28515625" style="122" customWidth="1"/>
    <col min="5901" max="5901" width="20.42578125" style="122" customWidth="1"/>
    <col min="5902" max="5902" width="6.42578125" style="122" bestFit="1" customWidth="1"/>
    <col min="5903" max="5904" width="8.42578125" style="122"/>
    <col min="5905" max="5905" width="3.28515625" style="122" customWidth="1"/>
    <col min="5906" max="6144" width="8.42578125" style="122"/>
    <col min="6145" max="6145" width="10" style="122" bestFit="1" customWidth="1"/>
    <col min="6146" max="6146" width="44.28515625" style="122" bestFit="1" customWidth="1"/>
    <col min="6147" max="6147" width="10.42578125" style="122" bestFit="1" customWidth="1"/>
    <col min="6148" max="6148" width="10.42578125" style="122" customWidth="1"/>
    <col min="6149" max="6149" width="9.7109375" style="122" bestFit="1" customWidth="1"/>
    <col min="6150" max="6151" width="9.5703125" style="122" bestFit="1" customWidth="1"/>
    <col min="6152" max="6152" width="10.42578125" style="122" bestFit="1" customWidth="1"/>
    <col min="6153" max="6153" width="4.5703125" style="122" customWidth="1"/>
    <col min="6154" max="6154" width="1.85546875" style="122" customWidth="1"/>
    <col min="6155" max="6155" width="7" style="122" bestFit="1" customWidth="1"/>
    <col min="6156" max="6156" width="6.28515625" style="122" customWidth="1"/>
    <col min="6157" max="6157" width="20.42578125" style="122" customWidth="1"/>
    <col min="6158" max="6158" width="6.42578125" style="122" bestFit="1" customWidth="1"/>
    <col min="6159" max="6160" width="8.42578125" style="122"/>
    <col min="6161" max="6161" width="3.28515625" style="122" customWidth="1"/>
    <col min="6162" max="6400" width="8.42578125" style="122"/>
    <col min="6401" max="6401" width="10" style="122" bestFit="1" customWidth="1"/>
    <col min="6402" max="6402" width="44.28515625" style="122" bestFit="1" customWidth="1"/>
    <col min="6403" max="6403" width="10.42578125" style="122" bestFit="1" customWidth="1"/>
    <col min="6404" max="6404" width="10.42578125" style="122" customWidth="1"/>
    <col min="6405" max="6405" width="9.7109375" style="122" bestFit="1" customWidth="1"/>
    <col min="6406" max="6407" width="9.5703125" style="122" bestFit="1" customWidth="1"/>
    <col min="6408" max="6408" width="10.42578125" style="122" bestFit="1" customWidth="1"/>
    <col min="6409" max="6409" width="4.5703125" style="122" customWidth="1"/>
    <col min="6410" max="6410" width="1.85546875" style="122" customWidth="1"/>
    <col min="6411" max="6411" width="7" style="122" bestFit="1" customWidth="1"/>
    <col min="6412" max="6412" width="6.28515625" style="122" customWidth="1"/>
    <col min="6413" max="6413" width="20.42578125" style="122" customWidth="1"/>
    <col min="6414" max="6414" width="6.42578125" style="122" bestFit="1" customWidth="1"/>
    <col min="6415" max="6416" width="8.42578125" style="122"/>
    <col min="6417" max="6417" width="3.28515625" style="122" customWidth="1"/>
    <col min="6418" max="6656" width="8.42578125" style="122"/>
    <col min="6657" max="6657" width="10" style="122" bestFit="1" customWidth="1"/>
    <col min="6658" max="6658" width="44.28515625" style="122" bestFit="1" customWidth="1"/>
    <col min="6659" max="6659" width="10.42578125" style="122" bestFit="1" customWidth="1"/>
    <col min="6660" max="6660" width="10.42578125" style="122" customWidth="1"/>
    <col min="6661" max="6661" width="9.7109375" style="122" bestFit="1" customWidth="1"/>
    <col min="6662" max="6663" width="9.5703125" style="122" bestFit="1" customWidth="1"/>
    <col min="6664" max="6664" width="10.42578125" style="122" bestFit="1" customWidth="1"/>
    <col min="6665" max="6665" width="4.5703125" style="122" customWidth="1"/>
    <col min="6666" max="6666" width="1.85546875" style="122" customWidth="1"/>
    <col min="6667" max="6667" width="7" style="122" bestFit="1" customWidth="1"/>
    <col min="6668" max="6668" width="6.28515625" style="122" customWidth="1"/>
    <col min="6669" max="6669" width="20.42578125" style="122" customWidth="1"/>
    <col min="6670" max="6670" width="6.42578125" style="122" bestFit="1" customWidth="1"/>
    <col min="6671" max="6672" width="8.42578125" style="122"/>
    <col min="6673" max="6673" width="3.28515625" style="122" customWidth="1"/>
    <col min="6674" max="6912" width="8.42578125" style="122"/>
    <col min="6913" max="6913" width="10" style="122" bestFit="1" customWidth="1"/>
    <col min="6914" max="6914" width="44.28515625" style="122" bestFit="1" customWidth="1"/>
    <col min="6915" max="6915" width="10.42578125" style="122" bestFit="1" customWidth="1"/>
    <col min="6916" max="6916" width="10.42578125" style="122" customWidth="1"/>
    <col min="6917" max="6917" width="9.7109375" style="122" bestFit="1" customWidth="1"/>
    <col min="6918" max="6919" width="9.5703125" style="122" bestFit="1" customWidth="1"/>
    <col min="6920" max="6920" width="10.42578125" style="122" bestFit="1" customWidth="1"/>
    <col min="6921" max="6921" width="4.5703125" style="122" customWidth="1"/>
    <col min="6922" max="6922" width="1.85546875" style="122" customWidth="1"/>
    <col min="6923" max="6923" width="7" style="122" bestFit="1" customWidth="1"/>
    <col min="6924" max="6924" width="6.28515625" style="122" customWidth="1"/>
    <col min="6925" max="6925" width="20.42578125" style="122" customWidth="1"/>
    <col min="6926" max="6926" width="6.42578125" style="122" bestFit="1" customWidth="1"/>
    <col min="6927" max="6928" width="8.42578125" style="122"/>
    <col min="6929" max="6929" width="3.28515625" style="122" customWidth="1"/>
    <col min="6930" max="7168" width="8.42578125" style="122"/>
    <col min="7169" max="7169" width="10" style="122" bestFit="1" customWidth="1"/>
    <col min="7170" max="7170" width="44.28515625" style="122" bestFit="1" customWidth="1"/>
    <col min="7171" max="7171" width="10.42578125" style="122" bestFit="1" customWidth="1"/>
    <col min="7172" max="7172" width="10.42578125" style="122" customWidth="1"/>
    <col min="7173" max="7173" width="9.7109375" style="122" bestFit="1" customWidth="1"/>
    <col min="7174" max="7175" width="9.5703125" style="122" bestFit="1" customWidth="1"/>
    <col min="7176" max="7176" width="10.42578125" style="122" bestFit="1" customWidth="1"/>
    <col min="7177" max="7177" width="4.5703125" style="122" customWidth="1"/>
    <col min="7178" max="7178" width="1.85546875" style="122" customWidth="1"/>
    <col min="7179" max="7179" width="7" style="122" bestFit="1" customWidth="1"/>
    <col min="7180" max="7180" width="6.28515625" style="122" customWidth="1"/>
    <col min="7181" max="7181" width="20.42578125" style="122" customWidth="1"/>
    <col min="7182" max="7182" width="6.42578125" style="122" bestFit="1" customWidth="1"/>
    <col min="7183" max="7184" width="8.42578125" style="122"/>
    <col min="7185" max="7185" width="3.28515625" style="122" customWidth="1"/>
    <col min="7186" max="7424" width="8.42578125" style="122"/>
    <col min="7425" max="7425" width="10" style="122" bestFit="1" customWidth="1"/>
    <col min="7426" max="7426" width="44.28515625" style="122" bestFit="1" customWidth="1"/>
    <col min="7427" max="7427" width="10.42578125" style="122" bestFit="1" customWidth="1"/>
    <col min="7428" max="7428" width="10.42578125" style="122" customWidth="1"/>
    <col min="7429" max="7429" width="9.7109375" style="122" bestFit="1" customWidth="1"/>
    <col min="7430" max="7431" width="9.5703125" style="122" bestFit="1" customWidth="1"/>
    <col min="7432" max="7432" width="10.42578125" style="122" bestFit="1" customWidth="1"/>
    <col min="7433" max="7433" width="4.5703125" style="122" customWidth="1"/>
    <col min="7434" max="7434" width="1.85546875" style="122" customWidth="1"/>
    <col min="7435" max="7435" width="7" style="122" bestFit="1" customWidth="1"/>
    <col min="7436" max="7436" width="6.28515625" style="122" customWidth="1"/>
    <col min="7437" max="7437" width="20.42578125" style="122" customWidth="1"/>
    <col min="7438" max="7438" width="6.42578125" style="122" bestFit="1" customWidth="1"/>
    <col min="7439" max="7440" width="8.42578125" style="122"/>
    <col min="7441" max="7441" width="3.28515625" style="122" customWidth="1"/>
    <col min="7442" max="7680" width="8.42578125" style="122"/>
    <col min="7681" max="7681" width="10" style="122" bestFit="1" customWidth="1"/>
    <col min="7682" max="7682" width="44.28515625" style="122" bestFit="1" customWidth="1"/>
    <col min="7683" max="7683" width="10.42578125" style="122" bestFit="1" customWidth="1"/>
    <col min="7684" max="7684" width="10.42578125" style="122" customWidth="1"/>
    <col min="7685" max="7685" width="9.7109375" style="122" bestFit="1" customWidth="1"/>
    <col min="7686" max="7687" width="9.5703125" style="122" bestFit="1" customWidth="1"/>
    <col min="7688" max="7688" width="10.42578125" style="122" bestFit="1" customWidth="1"/>
    <col min="7689" max="7689" width="4.5703125" style="122" customWidth="1"/>
    <col min="7690" max="7690" width="1.85546875" style="122" customWidth="1"/>
    <col min="7691" max="7691" width="7" style="122" bestFit="1" customWidth="1"/>
    <col min="7692" max="7692" width="6.28515625" style="122" customWidth="1"/>
    <col min="7693" max="7693" width="20.42578125" style="122" customWidth="1"/>
    <col min="7694" max="7694" width="6.42578125" style="122" bestFit="1" customWidth="1"/>
    <col min="7695" max="7696" width="8.42578125" style="122"/>
    <col min="7697" max="7697" width="3.28515625" style="122" customWidth="1"/>
    <col min="7698" max="7936" width="8.42578125" style="122"/>
    <col min="7937" max="7937" width="10" style="122" bestFit="1" customWidth="1"/>
    <col min="7938" max="7938" width="44.28515625" style="122" bestFit="1" customWidth="1"/>
    <col min="7939" max="7939" width="10.42578125" style="122" bestFit="1" customWidth="1"/>
    <col min="7940" max="7940" width="10.42578125" style="122" customWidth="1"/>
    <col min="7941" max="7941" width="9.7109375" style="122" bestFit="1" customWidth="1"/>
    <col min="7942" max="7943" width="9.5703125" style="122" bestFit="1" customWidth="1"/>
    <col min="7944" max="7944" width="10.42578125" style="122" bestFit="1" customWidth="1"/>
    <col min="7945" max="7945" width="4.5703125" style="122" customWidth="1"/>
    <col min="7946" max="7946" width="1.85546875" style="122" customWidth="1"/>
    <col min="7947" max="7947" width="7" style="122" bestFit="1" customWidth="1"/>
    <col min="7948" max="7948" width="6.28515625" style="122" customWidth="1"/>
    <col min="7949" max="7949" width="20.42578125" style="122" customWidth="1"/>
    <col min="7950" max="7950" width="6.42578125" style="122" bestFit="1" customWidth="1"/>
    <col min="7951" max="7952" width="8.42578125" style="122"/>
    <col min="7953" max="7953" width="3.28515625" style="122" customWidth="1"/>
    <col min="7954" max="8192" width="8.42578125" style="122"/>
    <col min="8193" max="8193" width="10" style="122" bestFit="1" customWidth="1"/>
    <col min="8194" max="8194" width="44.28515625" style="122" bestFit="1" customWidth="1"/>
    <col min="8195" max="8195" width="10.42578125" style="122" bestFit="1" customWidth="1"/>
    <col min="8196" max="8196" width="10.42578125" style="122" customWidth="1"/>
    <col min="8197" max="8197" width="9.7109375" style="122" bestFit="1" customWidth="1"/>
    <col min="8198" max="8199" width="9.5703125" style="122" bestFit="1" customWidth="1"/>
    <col min="8200" max="8200" width="10.42578125" style="122" bestFit="1" customWidth="1"/>
    <col min="8201" max="8201" width="4.5703125" style="122" customWidth="1"/>
    <col min="8202" max="8202" width="1.85546875" style="122" customWidth="1"/>
    <col min="8203" max="8203" width="7" style="122" bestFit="1" customWidth="1"/>
    <col min="8204" max="8204" width="6.28515625" style="122" customWidth="1"/>
    <col min="8205" max="8205" width="20.42578125" style="122" customWidth="1"/>
    <col min="8206" max="8206" width="6.42578125" style="122" bestFit="1" customWidth="1"/>
    <col min="8207" max="8208" width="8.42578125" style="122"/>
    <col min="8209" max="8209" width="3.28515625" style="122" customWidth="1"/>
    <col min="8210" max="8448" width="8.42578125" style="122"/>
    <col min="8449" max="8449" width="10" style="122" bestFit="1" customWidth="1"/>
    <col min="8450" max="8450" width="44.28515625" style="122" bestFit="1" customWidth="1"/>
    <col min="8451" max="8451" width="10.42578125" style="122" bestFit="1" customWidth="1"/>
    <col min="8452" max="8452" width="10.42578125" style="122" customWidth="1"/>
    <col min="8453" max="8453" width="9.7109375" style="122" bestFit="1" customWidth="1"/>
    <col min="8454" max="8455" width="9.5703125" style="122" bestFit="1" customWidth="1"/>
    <col min="8456" max="8456" width="10.42578125" style="122" bestFit="1" customWidth="1"/>
    <col min="8457" max="8457" width="4.5703125" style="122" customWidth="1"/>
    <col min="8458" max="8458" width="1.85546875" style="122" customWidth="1"/>
    <col min="8459" max="8459" width="7" style="122" bestFit="1" customWidth="1"/>
    <col min="8460" max="8460" width="6.28515625" style="122" customWidth="1"/>
    <col min="8461" max="8461" width="20.42578125" style="122" customWidth="1"/>
    <col min="8462" max="8462" width="6.42578125" style="122" bestFit="1" customWidth="1"/>
    <col min="8463" max="8464" width="8.42578125" style="122"/>
    <col min="8465" max="8465" width="3.28515625" style="122" customWidth="1"/>
    <col min="8466" max="8704" width="8.42578125" style="122"/>
    <col min="8705" max="8705" width="10" style="122" bestFit="1" customWidth="1"/>
    <col min="8706" max="8706" width="44.28515625" style="122" bestFit="1" customWidth="1"/>
    <col min="8707" max="8707" width="10.42578125" style="122" bestFit="1" customWidth="1"/>
    <col min="8708" max="8708" width="10.42578125" style="122" customWidth="1"/>
    <col min="8709" max="8709" width="9.7109375" style="122" bestFit="1" customWidth="1"/>
    <col min="8710" max="8711" width="9.5703125" style="122" bestFit="1" customWidth="1"/>
    <col min="8712" max="8712" width="10.42578125" style="122" bestFit="1" customWidth="1"/>
    <col min="8713" max="8713" width="4.5703125" style="122" customWidth="1"/>
    <col min="8714" max="8714" width="1.85546875" style="122" customWidth="1"/>
    <col min="8715" max="8715" width="7" style="122" bestFit="1" customWidth="1"/>
    <col min="8716" max="8716" width="6.28515625" style="122" customWidth="1"/>
    <col min="8717" max="8717" width="20.42578125" style="122" customWidth="1"/>
    <col min="8718" max="8718" width="6.42578125" style="122" bestFit="1" customWidth="1"/>
    <col min="8719" max="8720" width="8.42578125" style="122"/>
    <col min="8721" max="8721" width="3.28515625" style="122" customWidth="1"/>
    <col min="8722" max="8960" width="8.42578125" style="122"/>
    <col min="8961" max="8961" width="10" style="122" bestFit="1" customWidth="1"/>
    <col min="8962" max="8962" width="44.28515625" style="122" bestFit="1" customWidth="1"/>
    <col min="8963" max="8963" width="10.42578125" style="122" bestFit="1" customWidth="1"/>
    <col min="8964" max="8964" width="10.42578125" style="122" customWidth="1"/>
    <col min="8965" max="8965" width="9.7109375" style="122" bestFit="1" customWidth="1"/>
    <col min="8966" max="8967" width="9.5703125" style="122" bestFit="1" customWidth="1"/>
    <col min="8968" max="8968" width="10.42578125" style="122" bestFit="1" customWidth="1"/>
    <col min="8969" max="8969" width="4.5703125" style="122" customWidth="1"/>
    <col min="8970" max="8970" width="1.85546875" style="122" customWidth="1"/>
    <col min="8971" max="8971" width="7" style="122" bestFit="1" customWidth="1"/>
    <col min="8972" max="8972" width="6.28515625" style="122" customWidth="1"/>
    <col min="8973" max="8973" width="20.42578125" style="122" customWidth="1"/>
    <col min="8974" max="8974" width="6.42578125" style="122" bestFit="1" customWidth="1"/>
    <col min="8975" max="8976" width="8.42578125" style="122"/>
    <col min="8977" max="8977" width="3.28515625" style="122" customWidth="1"/>
    <col min="8978" max="9216" width="8.42578125" style="122"/>
    <col min="9217" max="9217" width="10" style="122" bestFit="1" customWidth="1"/>
    <col min="9218" max="9218" width="44.28515625" style="122" bestFit="1" customWidth="1"/>
    <col min="9219" max="9219" width="10.42578125" style="122" bestFit="1" customWidth="1"/>
    <col min="9220" max="9220" width="10.42578125" style="122" customWidth="1"/>
    <col min="9221" max="9221" width="9.7109375" style="122" bestFit="1" customWidth="1"/>
    <col min="9222" max="9223" width="9.5703125" style="122" bestFit="1" customWidth="1"/>
    <col min="9224" max="9224" width="10.42578125" style="122" bestFit="1" customWidth="1"/>
    <col min="9225" max="9225" width="4.5703125" style="122" customWidth="1"/>
    <col min="9226" max="9226" width="1.85546875" style="122" customWidth="1"/>
    <col min="9227" max="9227" width="7" style="122" bestFit="1" customWidth="1"/>
    <col min="9228" max="9228" width="6.28515625" style="122" customWidth="1"/>
    <col min="9229" max="9229" width="20.42578125" style="122" customWidth="1"/>
    <col min="9230" max="9230" width="6.42578125" style="122" bestFit="1" customWidth="1"/>
    <col min="9231" max="9232" width="8.42578125" style="122"/>
    <col min="9233" max="9233" width="3.28515625" style="122" customWidth="1"/>
    <col min="9234" max="9472" width="8.42578125" style="122"/>
    <col min="9473" max="9473" width="10" style="122" bestFit="1" customWidth="1"/>
    <col min="9474" max="9474" width="44.28515625" style="122" bestFit="1" customWidth="1"/>
    <col min="9475" max="9475" width="10.42578125" style="122" bestFit="1" customWidth="1"/>
    <col min="9476" max="9476" width="10.42578125" style="122" customWidth="1"/>
    <col min="9477" max="9477" width="9.7109375" style="122" bestFit="1" customWidth="1"/>
    <col min="9478" max="9479" width="9.5703125" style="122" bestFit="1" customWidth="1"/>
    <col min="9480" max="9480" width="10.42578125" style="122" bestFit="1" customWidth="1"/>
    <col min="9481" max="9481" width="4.5703125" style="122" customWidth="1"/>
    <col min="9482" max="9482" width="1.85546875" style="122" customWidth="1"/>
    <col min="9483" max="9483" width="7" style="122" bestFit="1" customWidth="1"/>
    <col min="9484" max="9484" width="6.28515625" style="122" customWidth="1"/>
    <col min="9485" max="9485" width="20.42578125" style="122" customWidth="1"/>
    <col min="9486" max="9486" width="6.42578125" style="122" bestFit="1" customWidth="1"/>
    <col min="9487" max="9488" width="8.42578125" style="122"/>
    <col min="9489" max="9489" width="3.28515625" style="122" customWidth="1"/>
    <col min="9490" max="9728" width="8.42578125" style="122"/>
    <col min="9729" max="9729" width="10" style="122" bestFit="1" customWidth="1"/>
    <col min="9730" max="9730" width="44.28515625" style="122" bestFit="1" customWidth="1"/>
    <col min="9731" max="9731" width="10.42578125" style="122" bestFit="1" customWidth="1"/>
    <col min="9732" max="9732" width="10.42578125" style="122" customWidth="1"/>
    <col min="9733" max="9733" width="9.7109375" style="122" bestFit="1" customWidth="1"/>
    <col min="9734" max="9735" width="9.5703125" style="122" bestFit="1" customWidth="1"/>
    <col min="9736" max="9736" width="10.42578125" style="122" bestFit="1" customWidth="1"/>
    <col min="9737" max="9737" width="4.5703125" style="122" customWidth="1"/>
    <col min="9738" max="9738" width="1.85546875" style="122" customWidth="1"/>
    <col min="9739" max="9739" width="7" style="122" bestFit="1" customWidth="1"/>
    <col min="9740" max="9740" width="6.28515625" style="122" customWidth="1"/>
    <col min="9741" max="9741" width="20.42578125" style="122" customWidth="1"/>
    <col min="9742" max="9742" width="6.42578125" style="122" bestFit="1" customWidth="1"/>
    <col min="9743" max="9744" width="8.42578125" style="122"/>
    <col min="9745" max="9745" width="3.28515625" style="122" customWidth="1"/>
    <col min="9746" max="9984" width="8.42578125" style="122"/>
    <col min="9985" max="9985" width="10" style="122" bestFit="1" customWidth="1"/>
    <col min="9986" max="9986" width="44.28515625" style="122" bestFit="1" customWidth="1"/>
    <col min="9987" max="9987" width="10.42578125" style="122" bestFit="1" customWidth="1"/>
    <col min="9988" max="9988" width="10.42578125" style="122" customWidth="1"/>
    <col min="9989" max="9989" width="9.7109375" style="122" bestFit="1" customWidth="1"/>
    <col min="9990" max="9991" width="9.5703125" style="122" bestFit="1" customWidth="1"/>
    <col min="9992" max="9992" width="10.42578125" style="122" bestFit="1" customWidth="1"/>
    <col min="9993" max="9993" width="4.5703125" style="122" customWidth="1"/>
    <col min="9994" max="9994" width="1.85546875" style="122" customWidth="1"/>
    <col min="9995" max="9995" width="7" style="122" bestFit="1" customWidth="1"/>
    <col min="9996" max="9996" width="6.28515625" style="122" customWidth="1"/>
    <col min="9997" max="9997" width="20.42578125" style="122" customWidth="1"/>
    <col min="9998" max="9998" width="6.42578125" style="122" bestFit="1" customWidth="1"/>
    <col min="9999" max="10000" width="8.42578125" style="122"/>
    <col min="10001" max="10001" width="3.28515625" style="122" customWidth="1"/>
    <col min="10002" max="10240" width="8.42578125" style="122"/>
    <col min="10241" max="10241" width="10" style="122" bestFit="1" customWidth="1"/>
    <col min="10242" max="10242" width="44.28515625" style="122" bestFit="1" customWidth="1"/>
    <col min="10243" max="10243" width="10.42578125" style="122" bestFit="1" customWidth="1"/>
    <col min="10244" max="10244" width="10.42578125" style="122" customWidth="1"/>
    <col min="10245" max="10245" width="9.7109375" style="122" bestFit="1" customWidth="1"/>
    <col min="10246" max="10247" width="9.5703125" style="122" bestFit="1" customWidth="1"/>
    <col min="10248" max="10248" width="10.42578125" style="122" bestFit="1" customWidth="1"/>
    <col min="10249" max="10249" width="4.5703125" style="122" customWidth="1"/>
    <col min="10250" max="10250" width="1.85546875" style="122" customWidth="1"/>
    <col min="10251" max="10251" width="7" style="122" bestFit="1" customWidth="1"/>
    <col min="10252" max="10252" width="6.28515625" style="122" customWidth="1"/>
    <col min="10253" max="10253" width="20.42578125" style="122" customWidth="1"/>
    <col min="10254" max="10254" width="6.42578125" style="122" bestFit="1" customWidth="1"/>
    <col min="10255" max="10256" width="8.42578125" style="122"/>
    <col min="10257" max="10257" width="3.28515625" style="122" customWidth="1"/>
    <col min="10258" max="10496" width="8.42578125" style="122"/>
    <col min="10497" max="10497" width="10" style="122" bestFit="1" customWidth="1"/>
    <col min="10498" max="10498" width="44.28515625" style="122" bestFit="1" customWidth="1"/>
    <col min="10499" max="10499" width="10.42578125" style="122" bestFit="1" customWidth="1"/>
    <col min="10500" max="10500" width="10.42578125" style="122" customWidth="1"/>
    <col min="10501" max="10501" width="9.7109375" style="122" bestFit="1" customWidth="1"/>
    <col min="10502" max="10503" width="9.5703125" style="122" bestFit="1" customWidth="1"/>
    <col min="10504" max="10504" width="10.42578125" style="122" bestFit="1" customWidth="1"/>
    <col min="10505" max="10505" width="4.5703125" style="122" customWidth="1"/>
    <col min="10506" max="10506" width="1.85546875" style="122" customWidth="1"/>
    <col min="10507" max="10507" width="7" style="122" bestFit="1" customWidth="1"/>
    <col min="10508" max="10508" width="6.28515625" style="122" customWidth="1"/>
    <col min="10509" max="10509" width="20.42578125" style="122" customWidth="1"/>
    <col min="10510" max="10510" width="6.42578125" style="122" bestFit="1" customWidth="1"/>
    <col min="10511" max="10512" width="8.42578125" style="122"/>
    <col min="10513" max="10513" width="3.28515625" style="122" customWidth="1"/>
    <col min="10514" max="10752" width="8.42578125" style="122"/>
    <col min="10753" max="10753" width="10" style="122" bestFit="1" customWidth="1"/>
    <col min="10754" max="10754" width="44.28515625" style="122" bestFit="1" customWidth="1"/>
    <col min="10755" max="10755" width="10.42578125" style="122" bestFit="1" customWidth="1"/>
    <col min="10756" max="10756" width="10.42578125" style="122" customWidth="1"/>
    <col min="10757" max="10757" width="9.7109375" style="122" bestFit="1" customWidth="1"/>
    <col min="10758" max="10759" width="9.5703125" style="122" bestFit="1" customWidth="1"/>
    <col min="10760" max="10760" width="10.42578125" style="122" bestFit="1" customWidth="1"/>
    <col min="10761" max="10761" width="4.5703125" style="122" customWidth="1"/>
    <col min="10762" max="10762" width="1.85546875" style="122" customWidth="1"/>
    <col min="10763" max="10763" width="7" style="122" bestFit="1" customWidth="1"/>
    <col min="10764" max="10764" width="6.28515625" style="122" customWidth="1"/>
    <col min="10765" max="10765" width="20.42578125" style="122" customWidth="1"/>
    <col min="10766" max="10766" width="6.42578125" style="122" bestFit="1" customWidth="1"/>
    <col min="10767" max="10768" width="8.42578125" style="122"/>
    <col min="10769" max="10769" width="3.28515625" style="122" customWidth="1"/>
    <col min="10770" max="11008" width="8.42578125" style="122"/>
    <col min="11009" max="11009" width="10" style="122" bestFit="1" customWidth="1"/>
    <col min="11010" max="11010" width="44.28515625" style="122" bestFit="1" customWidth="1"/>
    <col min="11011" max="11011" width="10.42578125" style="122" bestFit="1" customWidth="1"/>
    <col min="11012" max="11012" width="10.42578125" style="122" customWidth="1"/>
    <col min="11013" max="11013" width="9.7109375" style="122" bestFit="1" customWidth="1"/>
    <col min="11014" max="11015" width="9.5703125" style="122" bestFit="1" customWidth="1"/>
    <col min="11016" max="11016" width="10.42578125" style="122" bestFit="1" customWidth="1"/>
    <col min="11017" max="11017" width="4.5703125" style="122" customWidth="1"/>
    <col min="11018" max="11018" width="1.85546875" style="122" customWidth="1"/>
    <col min="11019" max="11019" width="7" style="122" bestFit="1" customWidth="1"/>
    <col min="11020" max="11020" width="6.28515625" style="122" customWidth="1"/>
    <col min="11021" max="11021" width="20.42578125" style="122" customWidth="1"/>
    <col min="11022" max="11022" width="6.42578125" style="122" bestFit="1" customWidth="1"/>
    <col min="11023" max="11024" width="8.42578125" style="122"/>
    <col min="11025" max="11025" width="3.28515625" style="122" customWidth="1"/>
    <col min="11026" max="11264" width="8.42578125" style="122"/>
    <col min="11265" max="11265" width="10" style="122" bestFit="1" customWidth="1"/>
    <col min="11266" max="11266" width="44.28515625" style="122" bestFit="1" customWidth="1"/>
    <col min="11267" max="11267" width="10.42578125" style="122" bestFit="1" customWidth="1"/>
    <col min="11268" max="11268" width="10.42578125" style="122" customWidth="1"/>
    <col min="11269" max="11269" width="9.7109375" style="122" bestFit="1" customWidth="1"/>
    <col min="11270" max="11271" width="9.5703125" style="122" bestFit="1" customWidth="1"/>
    <col min="11272" max="11272" width="10.42578125" style="122" bestFit="1" customWidth="1"/>
    <col min="11273" max="11273" width="4.5703125" style="122" customWidth="1"/>
    <col min="11274" max="11274" width="1.85546875" style="122" customWidth="1"/>
    <col min="11275" max="11275" width="7" style="122" bestFit="1" customWidth="1"/>
    <col min="11276" max="11276" width="6.28515625" style="122" customWidth="1"/>
    <col min="11277" max="11277" width="20.42578125" style="122" customWidth="1"/>
    <col min="11278" max="11278" width="6.42578125" style="122" bestFit="1" customWidth="1"/>
    <col min="11279" max="11280" width="8.42578125" style="122"/>
    <col min="11281" max="11281" width="3.28515625" style="122" customWidth="1"/>
    <col min="11282" max="11520" width="8.42578125" style="122"/>
    <col min="11521" max="11521" width="10" style="122" bestFit="1" customWidth="1"/>
    <col min="11522" max="11522" width="44.28515625" style="122" bestFit="1" customWidth="1"/>
    <col min="11523" max="11523" width="10.42578125" style="122" bestFit="1" customWidth="1"/>
    <col min="11524" max="11524" width="10.42578125" style="122" customWidth="1"/>
    <col min="11525" max="11525" width="9.7109375" style="122" bestFit="1" customWidth="1"/>
    <col min="11526" max="11527" width="9.5703125" style="122" bestFit="1" customWidth="1"/>
    <col min="11528" max="11528" width="10.42578125" style="122" bestFit="1" customWidth="1"/>
    <col min="11529" max="11529" width="4.5703125" style="122" customWidth="1"/>
    <col min="11530" max="11530" width="1.85546875" style="122" customWidth="1"/>
    <col min="11531" max="11531" width="7" style="122" bestFit="1" customWidth="1"/>
    <col min="11532" max="11532" width="6.28515625" style="122" customWidth="1"/>
    <col min="11533" max="11533" width="20.42578125" style="122" customWidth="1"/>
    <col min="11534" max="11534" width="6.42578125" style="122" bestFit="1" customWidth="1"/>
    <col min="11535" max="11536" width="8.42578125" style="122"/>
    <col min="11537" max="11537" width="3.28515625" style="122" customWidth="1"/>
    <col min="11538" max="11776" width="8.42578125" style="122"/>
    <col min="11777" max="11777" width="10" style="122" bestFit="1" customWidth="1"/>
    <col min="11778" max="11778" width="44.28515625" style="122" bestFit="1" customWidth="1"/>
    <col min="11779" max="11779" width="10.42578125" style="122" bestFit="1" customWidth="1"/>
    <col min="11780" max="11780" width="10.42578125" style="122" customWidth="1"/>
    <col min="11781" max="11781" width="9.7109375" style="122" bestFit="1" customWidth="1"/>
    <col min="11782" max="11783" width="9.5703125" style="122" bestFit="1" customWidth="1"/>
    <col min="11784" max="11784" width="10.42578125" style="122" bestFit="1" customWidth="1"/>
    <col min="11785" max="11785" width="4.5703125" style="122" customWidth="1"/>
    <col min="11786" max="11786" width="1.85546875" style="122" customWidth="1"/>
    <col min="11787" max="11787" width="7" style="122" bestFit="1" customWidth="1"/>
    <col min="11788" max="11788" width="6.28515625" style="122" customWidth="1"/>
    <col min="11789" max="11789" width="20.42578125" style="122" customWidth="1"/>
    <col min="11790" max="11790" width="6.42578125" style="122" bestFit="1" customWidth="1"/>
    <col min="11791" max="11792" width="8.42578125" style="122"/>
    <col min="11793" max="11793" width="3.28515625" style="122" customWidth="1"/>
    <col min="11794" max="12032" width="8.42578125" style="122"/>
    <col min="12033" max="12033" width="10" style="122" bestFit="1" customWidth="1"/>
    <col min="12034" max="12034" width="44.28515625" style="122" bestFit="1" customWidth="1"/>
    <col min="12035" max="12035" width="10.42578125" style="122" bestFit="1" customWidth="1"/>
    <col min="12036" max="12036" width="10.42578125" style="122" customWidth="1"/>
    <col min="12037" max="12037" width="9.7109375" style="122" bestFit="1" customWidth="1"/>
    <col min="12038" max="12039" width="9.5703125" style="122" bestFit="1" customWidth="1"/>
    <col min="12040" max="12040" width="10.42578125" style="122" bestFit="1" customWidth="1"/>
    <col min="12041" max="12041" width="4.5703125" style="122" customWidth="1"/>
    <col min="12042" max="12042" width="1.85546875" style="122" customWidth="1"/>
    <col min="12043" max="12043" width="7" style="122" bestFit="1" customWidth="1"/>
    <col min="12044" max="12044" width="6.28515625" style="122" customWidth="1"/>
    <col min="12045" max="12045" width="20.42578125" style="122" customWidth="1"/>
    <col min="12046" max="12046" width="6.42578125" style="122" bestFit="1" customWidth="1"/>
    <col min="12047" max="12048" width="8.42578125" style="122"/>
    <col min="12049" max="12049" width="3.28515625" style="122" customWidth="1"/>
    <col min="12050" max="12288" width="8.42578125" style="122"/>
    <col min="12289" max="12289" width="10" style="122" bestFit="1" customWidth="1"/>
    <col min="12290" max="12290" width="44.28515625" style="122" bestFit="1" customWidth="1"/>
    <col min="12291" max="12291" width="10.42578125" style="122" bestFit="1" customWidth="1"/>
    <col min="12292" max="12292" width="10.42578125" style="122" customWidth="1"/>
    <col min="12293" max="12293" width="9.7109375" style="122" bestFit="1" customWidth="1"/>
    <col min="12294" max="12295" width="9.5703125" style="122" bestFit="1" customWidth="1"/>
    <col min="12296" max="12296" width="10.42578125" style="122" bestFit="1" customWidth="1"/>
    <col min="12297" max="12297" width="4.5703125" style="122" customWidth="1"/>
    <col min="12298" max="12298" width="1.85546875" style="122" customWidth="1"/>
    <col min="12299" max="12299" width="7" style="122" bestFit="1" customWidth="1"/>
    <col min="12300" max="12300" width="6.28515625" style="122" customWidth="1"/>
    <col min="12301" max="12301" width="20.42578125" style="122" customWidth="1"/>
    <col min="12302" max="12302" width="6.42578125" style="122" bestFit="1" customWidth="1"/>
    <col min="12303" max="12304" width="8.42578125" style="122"/>
    <col min="12305" max="12305" width="3.28515625" style="122" customWidth="1"/>
    <col min="12306" max="12544" width="8.42578125" style="122"/>
    <col min="12545" max="12545" width="10" style="122" bestFit="1" customWidth="1"/>
    <col min="12546" max="12546" width="44.28515625" style="122" bestFit="1" customWidth="1"/>
    <col min="12547" max="12547" width="10.42578125" style="122" bestFit="1" customWidth="1"/>
    <col min="12548" max="12548" width="10.42578125" style="122" customWidth="1"/>
    <col min="12549" max="12549" width="9.7109375" style="122" bestFit="1" customWidth="1"/>
    <col min="12550" max="12551" width="9.5703125" style="122" bestFit="1" customWidth="1"/>
    <col min="12552" max="12552" width="10.42578125" style="122" bestFit="1" customWidth="1"/>
    <col min="12553" max="12553" width="4.5703125" style="122" customWidth="1"/>
    <col min="12554" max="12554" width="1.85546875" style="122" customWidth="1"/>
    <col min="12555" max="12555" width="7" style="122" bestFit="1" customWidth="1"/>
    <col min="12556" max="12556" width="6.28515625" style="122" customWidth="1"/>
    <col min="12557" max="12557" width="20.42578125" style="122" customWidth="1"/>
    <col min="12558" max="12558" width="6.42578125" style="122" bestFit="1" customWidth="1"/>
    <col min="12559" max="12560" width="8.42578125" style="122"/>
    <col min="12561" max="12561" width="3.28515625" style="122" customWidth="1"/>
    <col min="12562" max="12800" width="8.42578125" style="122"/>
    <col min="12801" max="12801" width="10" style="122" bestFit="1" customWidth="1"/>
    <col min="12802" max="12802" width="44.28515625" style="122" bestFit="1" customWidth="1"/>
    <col min="12803" max="12803" width="10.42578125" style="122" bestFit="1" customWidth="1"/>
    <col min="12804" max="12804" width="10.42578125" style="122" customWidth="1"/>
    <col min="12805" max="12805" width="9.7109375" style="122" bestFit="1" customWidth="1"/>
    <col min="12806" max="12807" width="9.5703125" style="122" bestFit="1" customWidth="1"/>
    <col min="12808" max="12808" width="10.42578125" style="122" bestFit="1" customWidth="1"/>
    <col min="12809" max="12809" width="4.5703125" style="122" customWidth="1"/>
    <col min="12810" max="12810" width="1.85546875" style="122" customWidth="1"/>
    <col min="12811" max="12811" width="7" style="122" bestFit="1" customWidth="1"/>
    <col min="12812" max="12812" width="6.28515625" style="122" customWidth="1"/>
    <col min="12813" max="12813" width="20.42578125" style="122" customWidth="1"/>
    <col min="12814" max="12814" width="6.42578125" style="122" bestFit="1" customWidth="1"/>
    <col min="12815" max="12816" width="8.42578125" style="122"/>
    <col min="12817" max="12817" width="3.28515625" style="122" customWidth="1"/>
    <col min="12818" max="13056" width="8.42578125" style="122"/>
    <col min="13057" max="13057" width="10" style="122" bestFit="1" customWidth="1"/>
    <col min="13058" max="13058" width="44.28515625" style="122" bestFit="1" customWidth="1"/>
    <col min="13059" max="13059" width="10.42578125" style="122" bestFit="1" customWidth="1"/>
    <col min="13060" max="13060" width="10.42578125" style="122" customWidth="1"/>
    <col min="13061" max="13061" width="9.7109375" style="122" bestFit="1" customWidth="1"/>
    <col min="13062" max="13063" width="9.5703125" style="122" bestFit="1" customWidth="1"/>
    <col min="13064" max="13064" width="10.42578125" style="122" bestFit="1" customWidth="1"/>
    <col min="13065" max="13065" width="4.5703125" style="122" customWidth="1"/>
    <col min="13066" max="13066" width="1.85546875" style="122" customWidth="1"/>
    <col min="13067" max="13067" width="7" style="122" bestFit="1" customWidth="1"/>
    <col min="13068" max="13068" width="6.28515625" style="122" customWidth="1"/>
    <col min="13069" max="13069" width="20.42578125" style="122" customWidth="1"/>
    <col min="13070" max="13070" width="6.42578125" style="122" bestFit="1" customWidth="1"/>
    <col min="13071" max="13072" width="8.42578125" style="122"/>
    <col min="13073" max="13073" width="3.28515625" style="122" customWidth="1"/>
    <col min="13074" max="13312" width="8.42578125" style="122"/>
    <col min="13313" max="13313" width="10" style="122" bestFit="1" customWidth="1"/>
    <col min="13314" max="13314" width="44.28515625" style="122" bestFit="1" customWidth="1"/>
    <col min="13315" max="13315" width="10.42578125" style="122" bestFit="1" customWidth="1"/>
    <col min="13316" max="13316" width="10.42578125" style="122" customWidth="1"/>
    <col min="13317" max="13317" width="9.7109375" style="122" bestFit="1" customWidth="1"/>
    <col min="13318" max="13319" width="9.5703125" style="122" bestFit="1" customWidth="1"/>
    <col min="13320" max="13320" width="10.42578125" style="122" bestFit="1" customWidth="1"/>
    <col min="13321" max="13321" width="4.5703125" style="122" customWidth="1"/>
    <col min="13322" max="13322" width="1.85546875" style="122" customWidth="1"/>
    <col min="13323" max="13323" width="7" style="122" bestFit="1" customWidth="1"/>
    <col min="13324" max="13324" width="6.28515625" style="122" customWidth="1"/>
    <col min="13325" max="13325" width="20.42578125" style="122" customWidth="1"/>
    <col min="13326" max="13326" width="6.42578125" style="122" bestFit="1" customWidth="1"/>
    <col min="13327" max="13328" width="8.42578125" style="122"/>
    <col min="13329" max="13329" width="3.28515625" style="122" customWidth="1"/>
    <col min="13330" max="13568" width="8.42578125" style="122"/>
    <col min="13569" max="13569" width="10" style="122" bestFit="1" customWidth="1"/>
    <col min="13570" max="13570" width="44.28515625" style="122" bestFit="1" customWidth="1"/>
    <col min="13571" max="13571" width="10.42578125" style="122" bestFit="1" customWidth="1"/>
    <col min="13572" max="13572" width="10.42578125" style="122" customWidth="1"/>
    <col min="13573" max="13573" width="9.7109375" style="122" bestFit="1" customWidth="1"/>
    <col min="13574" max="13575" width="9.5703125" style="122" bestFit="1" customWidth="1"/>
    <col min="13576" max="13576" width="10.42578125" style="122" bestFit="1" customWidth="1"/>
    <col min="13577" max="13577" width="4.5703125" style="122" customWidth="1"/>
    <col min="13578" max="13578" width="1.85546875" style="122" customWidth="1"/>
    <col min="13579" max="13579" width="7" style="122" bestFit="1" customWidth="1"/>
    <col min="13580" max="13580" width="6.28515625" style="122" customWidth="1"/>
    <col min="13581" max="13581" width="20.42578125" style="122" customWidth="1"/>
    <col min="13582" max="13582" width="6.42578125" style="122" bestFit="1" customWidth="1"/>
    <col min="13583" max="13584" width="8.42578125" style="122"/>
    <col min="13585" max="13585" width="3.28515625" style="122" customWidth="1"/>
    <col min="13586" max="13824" width="8.42578125" style="122"/>
    <col min="13825" max="13825" width="10" style="122" bestFit="1" customWidth="1"/>
    <col min="13826" max="13826" width="44.28515625" style="122" bestFit="1" customWidth="1"/>
    <col min="13827" max="13827" width="10.42578125" style="122" bestFit="1" customWidth="1"/>
    <col min="13828" max="13828" width="10.42578125" style="122" customWidth="1"/>
    <col min="13829" max="13829" width="9.7109375" style="122" bestFit="1" customWidth="1"/>
    <col min="13830" max="13831" width="9.5703125" style="122" bestFit="1" customWidth="1"/>
    <col min="13832" max="13832" width="10.42578125" style="122" bestFit="1" customWidth="1"/>
    <col min="13833" max="13833" width="4.5703125" style="122" customWidth="1"/>
    <col min="13834" max="13834" width="1.85546875" style="122" customWidth="1"/>
    <col min="13835" max="13835" width="7" style="122" bestFit="1" customWidth="1"/>
    <col min="13836" max="13836" width="6.28515625" style="122" customWidth="1"/>
    <col min="13837" max="13837" width="20.42578125" style="122" customWidth="1"/>
    <col min="13838" max="13838" width="6.42578125" style="122" bestFit="1" customWidth="1"/>
    <col min="13839" max="13840" width="8.42578125" style="122"/>
    <col min="13841" max="13841" width="3.28515625" style="122" customWidth="1"/>
    <col min="13842" max="14080" width="8.42578125" style="122"/>
    <col min="14081" max="14081" width="10" style="122" bestFit="1" customWidth="1"/>
    <col min="14082" max="14082" width="44.28515625" style="122" bestFit="1" customWidth="1"/>
    <col min="14083" max="14083" width="10.42578125" style="122" bestFit="1" customWidth="1"/>
    <col min="14084" max="14084" width="10.42578125" style="122" customWidth="1"/>
    <col min="14085" max="14085" width="9.7109375" style="122" bestFit="1" customWidth="1"/>
    <col min="14086" max="14087" width="9.5703125" style="122" bestFit="1" customWidth="1"/>
    <col min="14088" max="14088" width="10.42578125" style="122" bestFit="1" customWidth="1"/>
    <col min="14089" max="14089" width="4.5703125" style="122" customWidth="1"/>
    <col min="14090" max="14090" width="1.85546875" style="122" customWidth="1"/>
    <col min="14091" max="14091" width="7" style="122" bestFit="1" customWidth="1"/>
    <col min="14092" max="14092" width="6.28515625" style="122" customWidth="1"/>
    <col min="14093" max="14093" width="20.42578125" style="122" customWidth="1"/>
    <col min="14094" max="14094" width="6.42578125" style="122" bestFit="1" customWidth="1"/>
    <col min="14095" max="14096" width="8.42578125" style="122"/>
    <col min="14097" max="14097" width="3.28515625" style="122" customWidth="1"/>
    <col min="14098" max="14336" width="8.42578125" style="122"/>
    <col min="14337" max="14337" width="10" style="122" bestFit="1" customWidth="1"/>
    <col min="14338" max="14338" width="44.28515625" style="122" bestFit="1" customWidth="1"/>
    <col min="14339" max="14339" width="10.42578125" style="122" bestFit="1" customWidth="1"/>
    <col min="14340" max="14340" width="10.42578125" style="122" customWidth="1"/>
    <col min="14341" max="14341" width="9.7109375" style="122" bestFit="1" customWidth="1"/>
    <col min="14342" max="14343" width="9.5703125" style="122" bestFit="1" customWidth="1"/>
    <col min="14344" max="14344" width="10.42578125" style="122" bestFit="1" customWidth="1"/>
    <col min="14345" max="14345" width="4.5703125" style="122" customWidth="1"/>
    <col min="14346" max="14346" width="1.85546875" style="122" customWidth="1"/>
    <col min="14347" max="14347" width="7" style="122" bestFit="1" customWidth="1"/>
    <col min="14348" max="14348" width="6.28515625" style="122" customWidth="1"/>
    <col min="14349" max="14349" width="20.42578125" style="122" customWidth="1"/>
    <col min="14350" max="14350" width="6.42578125" style="122" bestFit="1" customWidth="1"/>
    <col min="14351" max="14352" width="8.42578125" style="122"/>
    <col min="14353" max="14353" width="3.28515625" style="122" customWidth="1"/>
    <col min="14354" max="14592" width="8.42578125" style="122"/>
    <col min="14593" max="14593" width="10" style="122" bestFit="1" customWidth="1"/>
    <col min="14594" max="14594" width="44.28515625" style="122" bestFit="1" customWidth="1"/>
    <col min="14595" max="14595" width="10.42578125" style="122" bestFit="1" customWidth="1"/>
    <col min="14596" max="14596" width="10.42578125" style="122" customWidth="1"/>
    <col min="14597" max="14597" width="9.7109375" style="122" bestFit="1" customWidth="1"/>
    <col min="14598" max="14599" width="9.5703125" style="122" bestFit="1" customWidth="1"/>
    <col min="14600" max="14600" width="10.42578125" style="122" bestFit="1" customWidth="1"/>
    <col min="14601" max="14601" width="4.5703125" style="122" customWidth="1"/>
    <col min="14602" max="14602" width="1.85546875" style="122" customWidth="1"/>
    <col min="14603" max="14603" width="7" style="122" bestFit="1" customWidth="1"/>
    <col min="14604" max="14604" width="6.28515625" style="122" customWidth="1"/>
    <col min="14605" max="14605" width="20.42578125" style="122" customWidth="1"/>
    <col min="14606" max="14606" width="6.42578125" style="122" bestFit="1" customWidth="1"/>
    <col min="14607" max="14608" width="8.42578125" style="122"/>
    <col min="14609" max="14609" width="3.28515625" style="122" customWidth="1"/>
    <col min="14610" max="14848" width="8.42578125" style="122"/>
    <col min="14849" max="14849" width="10" style="122" bestFit="1" customWidth="1"/>
    <col min="14850" max="14850" width="44.28515625" style="122" bestFit="1" customWidth="1"/>
    <col min="14851" max="14851" width="10.42578125" style="122" bestFit="1" customWidth="1"/>
    <col min="14852" max="14852" width="10.42578125" style="122" customWidth="1"/>
    <col min="14853" max="14853" width="9.7109375" style="122" bestFit="1" customWidth="1"/>
    <col min="14854" max="14855" width="9.5703125" style="122" bestFit="1" customWidth="1"/>
    <col min="14856" max="14856" width="10.42578125" style="122" bestFit="1" customWidth="1"/>
    <col min="14857" max="14857" width="4.5703125" style="122" customWidth="1"/>
    <col min="14858" max="14858" width="1.85546875" style="122" customWidth="1"/>
    <col min="14859" max="14859" width="7" style="122" bestFit="1" customWidth="1"/>
    <col min="14860" max="14860" width="6.28515625" style="122" customWidth="1"/>
    <col min="14861" max="14861" width="20.42578125" style="122" customWidth="1"/>
    <col min="14862" max="14862" width="6.42578125" style="122" bestFit="1" customWidth="1"/>
    <col min="14863" max="14864" width="8.42578125" style="122"/>
    <col min="14865" max="14865" width="3.28515625" style="122" customWidth="1"/>
    <col min="14866" max="15104" width="8.42578125" style="122"/>
    <col min="15105" max="15105" width="10" style="122" bestFit="1" customWidth="1"/>
    <col min="15106" max="15106" width="44.28515625" style="122" bestFit="1" customWidth="1"/>
    <col min="15107" max="15107" width="10.42578125" style="122" bestFit="1" customWidth="1"/>
    <col min="15108" max="15108" width="10.42578125" style="122" customWidth="1"/>
    <col min="15109" max="15109" width="9.7109375" style="122" bestFit="1" customWidth="1"/>
    <col min="15110" max="15111" width="9.5703125" style="122" bestFit="1" customWidth="1"/>
    <col min="15112" max="15112" width="10.42578125" style="122" bestFit="1" customWidth="1"/>
    <col min="15113" max="15113" width="4.5703125" style="122" customWidth="1"/>
    <col min="15114" max="15114" width="1.85546875" style="122" customWidth="1"/>
    <col min="15115" max="15115" width="7" style="122" bestFit="1" customWidth="1"/>
    <col min="15116" max="15116" width="6.28515625" style="122" customWidth="1"/>
    <col min="15117" max="15117" width="20.42578125" style="122" customWidth="1"/>
    <col min="15118" max="15118" width="6.42578125" style="122" bestFit="1" customWidth="1"/>
    <col min="15119" max="15120" width="8.42578125" style="122"/>
    <col min="15121" max="15121" width="3.28515625" style="122" customWidth="1"/>
    <col min="15122" max="15360" width="8.42578125" style="122"/>
    <col min="15361" max="15361" width="10" style="122" bestFit="1" customWidth="1"/>
    <col min="15362" max="15362" width="44.28515625" style="122" bestFit="1" customWidth="1"/>
    <col min="15363" max="15363" width="10.42578125" style="122" bestFit="1" customWidth="1"/>
    <col min="15364" max="15364" width="10.42578125" style="122" customWidth="1"/>
    <col min="15365" max="15365" width="9.7109375" style="122" bestFit="1" customWidth="1"/>
    <col min="15366" max="15367" width="9.5703125" style="122" bestFit="1" customWidth="1"/>
    <col min="15368" max="15368" width="10.42578125" style="122" bestFit="1" customWidth="1"/>
    <col min="15369" max="15369" width="4.5703125" style="122" customWidth="1"/>
    <col min="15370" max="15370" width="1.85546875" style="122" customWidth="1"/>
    <col min="15371" max="15371" width="7" style="122" bestFit="1" customWidth="1"/>
    <col min="15372" max="15372" width="6.28515625" style="122" customWidth="1"/>
    <col min="15373" max="15373" width="20.42578125" style="122" customWidth="1"/>
    <col min="15374" max="15374" width="6.42578125" style="122" bestFit="1" customWidth="1"/>
    <col min="15375" max="15376" width="8.42578125" style="122"/>
    <col min="15377" max="15377" width="3.28515625" style="122" customWidth="1"/>
    <col min="15378" max="15616" width="8.42578125" style="122"/>
    <col min="15617" max="15617" width="10" style="122" bestFit="1" customWidth="1"/>
    <col min="15618" max="15618" width="44.28515625" style="122" bestFit="1" customWidth="1"/>
    <col min="15619" max="15619" width="10.42578125" style="122" bestFit="1" customWidth="1"/>
    <col min="15620" max="15620" width="10.42578125" style="122" customWidth="1"/>
    <col min="15621" max="15621" width="9.7109375" style="122" bestFit="1" customWidth="1"/>
    <col min="15622" max="15623" width="9.5703125" style="122" bestFit="1" customWidth="1"/>
    <col min="15624" max="15624" width="10.42578125" style="122" bestFit="1" customWidth="1"/>
    <col min="15625" max="15625" width="4.5703125" style="122" customWidth="1"/>
    <col min="15626" max="15626" width="1.85546875" style="122" customWidth="1"/>
    <col min="15627" max="15627" width="7" style="122" bestFit="1" customWidth="1"/>
    <col min="15628" max="15628" width="6.28515625" style="122" customWidth="1"/>
    <col min="15629" max="15629" width="20.42578125" style="122" customWidth="1"/>
    <col min="15630" max="15630" width="6.42578125" style="122" bestFit="1" customWidth="1"/>
    <col min="15631" max="15632" width="8.42578125" style="122"/>
    <col min="15633" max="15633" width="3.28515625" style="122" customWidth="1"/>
    <col min="15634" max="15872" width="8.42578125" style="122"/>
    <col min="15873" max="15873" width="10" style="122" bestFit="1" customWidth="1"/>
    <col min="15874" max="15874" width="44.28515625" style="122" bestFit="1" customWidth="1"/>
    <col min="15875" max="15875" width="10.42578125" style="122" bestFit="1" customWidth="1"/>
    <col min="15876" max="15876" width="10.42578125" style="122" customWidth="1"/>
    <col min="15877" max="15877" width="9.7109375" style="122" bestFit="1" customWidth="1"/>
    <col min="15878" max="15879" width="9.5703125" style="122" bestFit="1" customWidth="1"/>
    <col min="15880" max="15880" width="10.42578125" style="122" bestFit="1" customWidth="1"/>
    <col min="15881" max="15881" width="4.5703125" style="122" customWidth="1"/>
    <col min="15882" max="15882" width="1.85546875" style="122" customWidth="1"/>
    <col min="15883" max="15883" width="7" style="122" bestFit="1" customWidth="1"/>
    <col min="15884" max="15884" width="6.28515625" style="122" customWidth="1"/>
    <col min="15885" max="15885" width="20.42578125" style="122" customWidth="1"/>
    <col min="15886" max="15886" width="6.42578125" style="122" bestFit="1" customWidth="1"/>
    <col min="15887" max="15888" width="8.42578125" style="122"/>
    <col min="15889" max="15889" width="3.28515625" style="122" customWidth="1"/>
    <col min="15890" max="16128" width="8.42578125" style="122"/>
    <col min="16129" max="16129" width="10" style="122" bestFit="1" customWidth="1"/>
    <col min="16130" max="16130" width="44.28515625" style="122" bestFit="1" customWidth="1"/>
    <col min="16131" max="16131" width="10.42578125" style="122" bestFit="1" customWidth="1"/>
    <col min="16132" max="16132" width="10.42578125" style="122" customWidth="1"/>
    <col min="16133" max="16133" width="9.7109375" style="122" bestFit="1" customWidth="1"/>
    <col min="16134" max="16135" width="9.5703125" style="122" bestFit="1" customWidth="1"/>
    <col min="16136" max="16136" width="10.42578125" style="122" bestFit="1" customWidth="1"/>
    <col min="16137" max="16137" width="4.5703125" style="122" customWidth="1"/>
    <col min="16138" max="16138" width="1.85546875" style="122" customWidth="1"/>
    <col min="16139" max="16139" width="7" style="122" bestFit="1" customWidth="1"/>
    <col min="16140" max="16140" width="6.28515625" style="122" customWidth="1"/>
    <col min="16141" max="16141" width="20.42578125" style="122" customWidth="1"/>
    <col min="16142" max="16142" width="6.42578125" style="122" bestFit="1" customWidth="1"/>
    <col min="16143" max="16144" width="8.42578125" style="122"/>
    <col min="16145" max="16145" width="3.28515625" style="122" customWidth="1"/>
    <col min="16146" max="16384" width="8.42578125" style="122"/>
  </cols>
  <sheetData>
    <row r="1" spans="1:10" ht="27.75" customHeight="1" x14ac:dyDescent="0.25">
      <c r="A1" s="117"/>
      <c r="B1" s="117"/>
      <c r="C1" s="117"/>
      <c r="D1" s="117"/>
      <c r="E1" s="118" t="s">
        <v>93</v>
      </c>
      <c r="F1" s="119" t="s">
        <v>94</v>
      </c>
      <c r="G1" s="119" t="s">
        <v>95</v>
      </c>
      <c r="H1" s="119" t="s">
        <v>96</v>
      </c>
      <c r="I1" s="120"/>
    </row>
    <row r="2" spans="1:10" ht="30.75" customHeight="1" x14ac:dyDescent="0.25">
      <c r="A2" s="117"/>
      <c r="B2" s="117"/>
      <c r="C2" s="117"/>
      <c r="D2" s="117"/>
      <c r="E2" s="123">
        <f>IFERROR(O62,"")</f>
        <v>1297.7914372641885</v>
      </c>
      <c r="F2" s="123">
        <f>IFERROR(H53,"")</f>
        <v>1269.8438502673794</v>
      </c>
      <c r="G2" s="123">
        <f>IFERROR(H54,"")</f>
        <v>24.661916498395723</v>
      </c>
      <c r="H2" s="123">
        <f>IFERROR(H56,"")</f>
        <v>78.738746586972823</v>
      </c>
      <c r="I2" s="124"/>
    </row>
    <row r="3" spans="1:10" ht="15" customHeight="1" x14ac:dyDescent="0.25">
      <c r="A3" s="117"/>
      <c r="B3" s="117"/>
      <c r="C3" s="117"/>
      <c r="D3" s="117"/>
      <c r="E3" s="117"/>
      <c r="F3" s="125"/>
      <c r="G3" s="125"/>
      <c r="H3" s="125"/>
      <c r="I3" s="125"/>
    </row>
    <row r="4" spans="1:10" ht="24.75" customHeight="1" thickBot="1" x14ac:dyDescent="0.3">
      <c r="A4" s="437"/>
      <c r="B4" s="437"/>
      <c r="C4" s="437"/>
      <c r="D4" s="437"/>
      <c r="E4" s="437"/>
      <c r="F4" s="437"/>
      <c r="G4" s="437"/>
      <c r="H4" s="437"/>
      <c r="I4" s="126"/>
    </row>
    <row r="5" spans="1:10" ht="19.5" customHeight="1" thickBot="1" x14ac:dyDescent="0.3">
      <c r="A5" s="438" t="s">
        <v>97</v>
      </c>
      <c r="B5" s="439"/>
      <c r="C5" s="439"/>
      <c r="D5" s="439"/>
      <c r="E5" s="439"/>
      <c r="F5" s="439"/>
      <c r="G5" s="439"/>
      <c r="H5" s="440"/>
      <c r="I5" s="127"/>
    </row>
    <row r="6" spans="1:10" ht="19.5" thickBot="1" x14ac:dyDescent="0.3">
      <c r="A6" s="127"/>
      <c r="B6" s="127"/>
      <c r="C6" s="127"/>
      <c r="D6" s="127"/>
      <c r="E6" s="127"/>
      <c r="F6" s="441" t="s">
        <v>98</v>
      </c>
      <c r="G6" s="441"/>
      <c r="H6" s="128">
        <f ca="1">TODAY()</f>
        <v>45887</v>
      </c>
      <c r="I6" s="128"/>
    </row>
    <row r="7" spans="1:10" ht="26.25" hidden="1" thickBot="1" x14ac:dyDescent="0.3">
      <c r="A7" s="129" t="s">
        <v>99</v>
      </c>
      <c r="B7" s="130" t="s">
        <v>100</v>
      </c>
      <c r="C7" s="130" t="s">
        <v>99</v>
      </c>
      <c r="D7" s="131" t="s">
        <v>101</v>
      </c>
      <c r="E7" s="131" t="s">
        <v>102</v>
      </c>
      <c r="F7" s="131" t="s">
        <v>103</v>
      </c>
      <c r="G7" s="131" t="s">
        <v>104</v>
      </c>
      <c r="H7" s="132" t="s">
        <v>105</v>
      </c>
      <c r="I7" s="133"/>
    </row>
    <row r="8" spans="1:10" ht="14.25" hidden="1" thickBot="1" x14ac:dyDescent="0.3">
      <c r="A8" s="134"/>
      <c r="B8" s="122" t="str">
        <f>IFERROR(VLOOKUP(H8,'[1]Consolidado MP Planta'!$A$2:$M$823,3,0),"")</f>
        <v/>
      </c>
      <c r="C8" s="135">
        <f>+A8</f>
        <v>0</v>
      </c>
      <c r="D8" s="136" t="str">
        <f>IFERROR(VLOOKUP(H8,'[1]Consolidado MP Planta'!$A$2:$M$823,13,0),"")</f>
        <v/>
      </c>
      <c r="E8" s="136" t="str">
        <f>IFERROR(VLOOKUP(H8,'[1]Consolidado MP Planta'!$A$2:$M$823,12,0),"")</f>
        <v/>
      </c>
      <c r="F8" s="136" t="str">
        <f>IFERROR(C8*E8,"")</f>
        <v/>
      </c>
      <c r="G8" s="99" t="str">
        <f t="shared" ref="G8:G14" si="0">IFERROR(F8/$F$66,"")</f>
        <v/>
      </c>
      <c r="H8" s="137"/>
      <c r="I8" s="137"/>
      <c r="J8" s="100"/>
    </row>
    <row r="9" spans="1:10" ht="14.25" hidden="1" thickBot="1" x14ac:dyDescent="0.3">
      <c r="A9" s="134"/>
      <c r="B9" s="122" t="str">
        <f>IFERROR(VLOOKUP(H9,'[1]Consolidado MP Planta'!$A$2:$M$823,3,0),"")</f>
        <v/>
      </c>
      <c r="C9" s="135">
        <f t="shared" ref="C9:C14" si="1">+A9</f>
        <v>0</v>
      </c>
      <c r="D9" s="136" t="str">
        <f>IFERROR(VLOOKUP(H9,'[1]Consolidado MP Planta'!$A$2:$M$823,13,0),"")</f>
        <v/>
      </c>
      <c r="E9" s="136" t="str">
        <f>IFERROR(VLOOKUP(H9,'[1]Consolidado MP Planta'!$A$2:$M$823,12,0),"")</f>
        <v/>
      </c>
      <c r="F9" s="136" t="str">
        <f t="shared" ref="F9:F14" si="2">IFERROR(C9*E9,"")</f>
        <v/>
      </c>
      <c r="G9" s="99" t="str">
        <f t="shared" si="0"/>
        <v/>
      </c>
      <c r="H9" s="137"/>
      <c r="I9" s="137"/>
      <c r="J9" s="100"/>
    </row>
    <row r="10" spans="1:10" ht="14.25" hidden="1" thickBot="1" x14ac:dyDescent="0.3">
      <c r="A10" s="134"/>
      <c r="B10" s="122" t="str">
        <f>IFERROR(VLOOKUP(H10,'[1]Consolidado MP Planta'!$A$2:$M$823,3,0),"")</f>
        <v/>
      </c>
      <c r="C10" s="135">
        <f t="shared" si="1"/>
        <v>0</v>
      </c>
      <c r="D10" s="136" t="str">
        <f>IFERROR(VLOOKUP(H10,'[1]Consolidado MP Planta'!$A$2:$M$823,13,0),"")</f>
        <v/>
      </c>
      <c r="E10" s="136" t="str">
        <f>IFERROR(VLOOKUP(H10,'[1]Consolidado MP Planta'!$A$2:$M$823,12,0),"")</f>
        <v/>
      </c>
      <c r="F10" s="136" t="str">
        <f t="shared" si="2"/>
        <v/>
      </c>
      <c r="G10" s="99" t="str">
        <f t="shared" si="0"/>
        <v/>
      </c>
      <c r="H10" s="137"/>
      <c r="I10" s="137"/>
      <c r="J10" s="100"/>
    </row>
    <row r="11" spans="1:10" ht="14.25" hidden="1" thickBot="1" x14ac:dyDescent="0.3">
      <c r="A11" s="134"/>
      <c r="B11" s="122" t="str">
        <f>IFERROR(VLOOKUP(H11,'[1]Consolidado MP Planta'!$A$2:$M$823,3,0),"")</f>
        <v/>
      </c>
      <c r="C11" s="135">
        <f t="shared" si="1"/>
        <v>0</v>
      </c>
      <c r="D11" s="136" t="str">
        <f>IFERROR(VLOOKUP(H11,'[1]Consolidado MP Planta'!$A$2:$M$823,13,0),"")</f>
        <v/>
      </c>
      <c r="E11" s="136" t="str">
        <f>IFERROR(VLOOKUP(H11,'[1]Consolidado MP Planta'!$A$2:$M$823,12,0),"")</f>
        <v/>
      </c>
      <c r="F11" s="136" t="str">
        <f t="shared" si="2"/>
        <v/>
      </c>
      <c r="G11" s="99" t="str">
        <f t="shared" si="0"/>
        <v/>
      </c>
      <c r="H11" s="137"/>
      <c r="I11" s="137"/>
      <c r="J11" s="100"/>
    </row>
    <row r="12" spans="1:10" ht="14.25" hidden="1" thickBot="1" x14ac:dyDescent="0.3">
      <c r="A12" s="134"/>
      <c r="B12" s="122" t="str">
        <f>IFERROR(VLOOKUP(H12,'[1]Consolidado MP Planta'!$A$2:$M$823,3,0),"")</f>
        <v/>
      </c>
      <c r="C12" s="135">
        <f t="shared" si="1"/>
        <v>0</v>
      </c>
      <c r="D12" s="136" t="str">
        <f>IFERROR(VLOOKUP(H12,'[1]Consolidado MP Planta'!$A$2:$M$823,13,0),"")</f>
        <v/>
      </c>
      <c r="E12" s="136" t="str">
        <f>IFERROR(VLOOKUP(H12,'[1]Consolidado MP Planta'!$A$2:$M$823,12,0),"")</f>
        <v/>
      </c>
      <c r="F12" s="136" t="str">
        <f t="shared" si="2"/>
        <v/>
      </c>
      <c r="G12" s="99" t="str">
        <f t="shared" si="0"/>
        <v/>
      </c>
      <c r="H12" s="137"/>
      <c r="I12" s="137"/>
      <c r="J12" s="100"/>
    </row>
    <row r="13" spans="1:10" ht="14.25" hidden="1" thickBot="1" x14ac:dyDescent="0.3">
      <c r="A13" s="134"/>
      <c r="B13" s="122" t="str">
        <f>IFERROR(VLOOKUP(H13,'[1]Consolidado MP Planta'!$A$2:$M$823,3,0),"")</f>
        <v/>
      </c>
      <c r="C13" s="135">
        <f t="shared" si="1"/>
        <v>0</v>
      </c>
      <c r="D13" s="136" t="str">
        <f>IFERROR(VLOOKUP(H13,'[1]Consolidado MP Planta'!$A$2:$M$823,13,0),"")</f>
        <v/>
      </c>
      <c r="E13" s="136" t="str">
        <f>IFERROR(VLOOKUP(H13,'[1]Consolidado MP Planta'!$A$2:$M$823,12,0),"")</f>
        <v/>
      </c>
      <c r="F13" s="136" t="str">
        <f t="shared" si="2"/>
        <v/>
      </c>
      <c r="G13" s="99" t="str">
        <f t="shared" si="0"/>
        <v/>
      </c>
      <c r="H13" s="137"/>
      <c r="I13" s="137"/>
      <c r="J13" s="100"/>
    </row>
    <row r="14" spans="1:10" ht="14.25" hidden="1" thickBot="1" x14ac:dyDescent="0.3">
      <c r="A14" s="134"/>
      <c r="B14" s="122" t="str">
        <f>IFERROR(VLOOKUP(H14,'[1]Consolidado MP Planta'!$A$2:$M$823,3,0),"")</f>
        <v/>
      </c>
      <c r="C14" s="135">
        <f t="shared" si="1"/>
        <v>0</v>
      </c>
      <c r="D14" s="136" t="str">
        <f>IFERROR(VLOOKUP(H14,'[1]Consolidado MP Planta'!$A$2:$M$823,13,0),"")</f>
        <v/>
      </c>
      <c r="E14" s="136" t="str">
        <f>IFERROR(VLOOKUP(H14,'[1]Consolidado MP Planta'!$A$2:$M$823,12,0),"")</f>
        <v/>
      </c>
      <c r="F14" s="136" t="str">
        <f t="shared" si="2"/>
        <v/>
      </c>
      <c r="G14" s="99" t="str">
        <f t="shared" si="0"/>
        <v/>
      </c>
      <c r="H14" s="137"/>
      <c r="I14" s="137"/>
      <c r="J14" s="100"/>
    </row>
    <row r="15" spans="1:10" ht="14.25" hidden="1" thickBot="1" x14ac:dyDescent="0.3">
      <c r="A15" s="134"/>
      <c r="B15" s="122" t="str">
        <f>IFERROR(VLOOKUP(H15,'[2]ARTICULOS MP PLANTA'!$A$2:$G$589,2,0),"")</f>
        <v/>
      </c>
      <c r="C15" s="135"/>
      <c r="D15" s="136"/>
      <c r="E15" s="136"/>
      <c r="F15" s="136"/>
      <c r="G15" s="99"/>
      <c r="H15" s="137"/>
      <c r="I15" s="137"/>
      <c r="J15" s="100"/>
    </row>
    <row r="16" spans="1:10" ht="26.25" thickBot="1" x14ac:dyDescent="0.3">
      <c r="A16" s="129" t="s">
        <v>99</v>
      </c>
      <c r="B16" s="130" t="s">
        <v>106</v>
      </c>
      <c r="C16" s="130" t="s">
        <v>99</v>
      </c>
      <c r="D16" s="131" t="s">
        <v>101</v>
      </c>
      <c r="E16" s="131" t="s">
        <v>102</v>
      </c>
      <c r="F16" s="131" t="s">
        <v>103</v>
      </c>
      <c r="G16" s="131" t="s">
        <v>104</v>
      </c>
      <c r="H16" s="132" t="s">
        <v>105</v>
      </c>
      <c r="I16" s="133"/>
      <c r="J16" s="100"/>
    </row>
    <row r="17" spans="1:12" ht="13.5" x14ac:dyDescent="0.25">
      <c r="A17" s="134">
        <v>47400</v>
      </c>
      <c r="B17" s="122" t="s">
        <v>21</v>
      </c>
      <c r="C17" s="135">
        <f>+A17</f>
        <v>47400</v>
      </c>
      <c r="D17" s="135" t="s">
        <v>107</v>
      </c>
      <c r="E17" s="136">
        <v>1.1499999999999999</v>
      </c>
      <c r="F17" s="136">
        <f>IFERROR(E17*C17,"")</f>
        <v>54509.999999999993</v>
      </c>
      <c r="G17" s="99">
        <f t="shared" ref="G17:G24" si="3">IFERROR(F17/$F$66,"")</f>
        <v>0.85384738357178835</v>
      </c>
      <c r="H17" s="137" t="s">
        <v>108</v>
      </c>
      <c r="I17" s="137"/>
      <c r="J17" s="100"/>
    </row>
    <row r="18" spans="1:12" ht="13.5" x14ac:dyDescent="0.25">
      <c r="A18" s="134">
        <v>2380</v>
      </c>
      <c r="B18" s="122" t="str">
        <f>IFERROR(VLOOKUP(H18,[1]SEMIELABORADOS!$A$2:$M$6000,2,0),"")</f>
        <v>MEZCLA P/ENGRASE MOLDES KILO</v>
      </c>
      <c r="C18" s="135">
        <f t="shared" ref="C18:C24" si="4">+A18</f>
        <v>2380</v>
      </c>
      <c r="D18" s="135" t="str">
        <f>IFERROR(VLOOKUP(H18,[1]SEMIELABORADOS!$A$2:$M$6000,6,0),"")</f>
        <v>Gramo</v>
      </c>
      <c r="E18" s="136">
        <v>2.04</v>
      </c>
      <c r="F18" s="136">
        <f t="shared" ref="F18:F24" si="5">IFERROR(E18*C18,"")</f>
        <v>4855.2</v>
      </c>
      <c r="G18" s="99">
        <f t="shared" si="3"/>
        <v>7.6052097169652305E-2</v>
      </c>
      <c r="H18" s="137" t="s">
        <v>109</v>
      </c>
      <c r="I18" s="137"/>
      <c r="J18" s="100"/>
    </row>
    <row r="19" spans="1:12" ht="13.5" hidden="1" x14ac:dyDescent="0.25">
      <c r="A19" s="134"/>
      <c r="B19" s="122" t="str">
        <f>IFERROR(VLOOKUP(H19,[1]SEMIELABORADOS!$A$2:$M$6000,2,0),"")</f>
        <v/>
      </c>
      <c r="C19" s="135">
        <f>+A19</f>
        <v>0</v>
      </c>
      <c r="D19" s="135" t="str">
        <f>IFERROR(VLOOKUP(H19,[1]SEMIELABORADOS!$A$2:$M$6000,6,0),"")</f>
        <v/>
      </c>
      <c r="E19" s="136" t="str">
        <f>IFERROR(VLOOKUP(H19,[1]SEMIELABORADOS!$A$2:$H$65536,8,0),"")</f>
        <v/>
      </c>
      <c r="F19" s="136" t="str">
        <f>IFERROR(E19*C19,"")</f>
        <v/>
      </c>
      <c r="G19" s="99" t="str">
        <f t="shared" si="3"/>
        <v/>
      </c>
      <c r="H19" s="137"/>
      <c r="I19" s="137"/>
      <c r="J19" s="100"/>
    </row>
    <row r="20" spans="1:12" ht="13.5" hidden="1" x14ac:dyDescent="0.25">
      <c r="A20" s="134"/>
      <c r="B20" s="122" t="str">
        <f>IFERROR(VLOOKUP(H20,[1]SEMIELABORADOS!$A$2:$M$6000,2,0),"")</f>
        <v/>
      </c>
      <c r="C20" s="135">
        <f>+A20</f>
        <v>0</v>
      </c>
      <c r="D20" s="135" t="str">
        <f>IFERROR(VLOOKUP(H20,[1]SEMIELABORADOS!$A$2:$M$6000,6,0),"")</f>
        <v/>
      </c>
      <c r="E20" s="136" t="str">
        <f>IFERROR(VLOOKUP(H20,[1]SEMIELABORADOS!$A$2:$H$65536,8,0),"")</f>
        <v/>
      </c>
      <c r="F20" s="136" t="str">
        <f>IFERROR(E20*C20,"")</f>
        <v/>
      </c>
      <c r="G20" s="99" t="str">
        <f t="shared" si="3"/>
        <v/>
      </c>
      <c r="H20" s="137"/>
      <c r="I20" s="137"/>
      <c r="J20" s="100"/>
    </row>
    <row r="21" spans="1:12" ht="13.5" hidden="1" x14ac:dyDescent="0.25">
      <c r="A21" s="134"/>
      <c r="B21" s="122" t="str">
        <f>IFERROR(VLOOKUP(H21,[1]SEMIELABORADOS!$A$2:$M$6000,2,0),"")</f>
        <v/>
      </c>
      <c r="C21" s="135">
        <f>+A21</f>
        <v>0</v>
      </c>
      <c r="D21" s="135" t="str">
        <f>IFERROR(VLOOKUP(H21,[1]SEMIELABORADOS!$A$2:$M$6000,6,0),"")</f>
        <v/>
      </c>
      <c r="E21" s="136" t="str">
        <f>IFERROR(VLOOKUP(H21,[1]SEMIELABORADOS!$A$2:$H$65536,8,0),"")</f>
        <v/>
      </c>
      <c r="F21" s="136" t="str">
        <f>IFERROR(E21*C21,"")</f>
        <v/>
      </c>
      <c r="G21" s="99" t="str">
        <f t="shared" si="3"/>
        <v/>
      </c>
      <c r="H21" s="137"/>
      <c r="I21" s="137"/>
      <c r="J21" s="100"/>
    </row>
    <row r="22" spans="1:12" ht="13.5" hidden="1" x14ac:dyDescent="0.25">
      <c r="A22" s="134"/>
      <c r="B22" s="122" t="str">
        <f>IFERROR(VLOOKUP(H22,[1]SEMIELABORADOS!$A$2:$M$6000,2,0),"")</f>
        <v/>
      </c>
      <c r="C22" s="135">
        <f t="shared" si="4"/>
        <v>0</v>
      </c>
      <c r="D22" s="135" t="str">
        <f>IFERROR(VLOOKUP(H22,[1]SEMIELABORADOS!$A$2:$M$6000,6,0),"")</f>
        <v/>
      </c>
      <c r="E22" s="136" t="str">
        <f>IFERROR(VLOOKUP(H22,[1]SEMIELABORADOS!$A$2:$H$65536,8,0),"")</f>
        <v/>
      </c>
      <c r="F22" s="136" t="str">
        <f t="shared" si="5"/>
        <v/>
      </c>
      <c r="G22" s="99" t="str">
        <f t="shared" si="3"/>
        <v/>
      </c>
      <c r="H22" s="137"/>
      <c r="I22" s="137"/>
      <c r="J22" s="100"/>
    </row>
    <row r="23" spans="1:12" ht="13.5" hidden="1" x14ac:dyDescent="0.25">
      <c r="A23" s="134"/>
      <c r="B23" s="122" t="str">
        <f>IFERROR(VLOOKUP(H23,[1]SEMIELABORADOS!$A$2:$M$6000,2,0),"")</f>
        <v/>
      </c>
      <c r="C23" s="135">
        <f t="shared" si="4"/>
        <v>0</v>
      </c>
      <c r="D23" s="135" t="str">
        <f>IFERROR(VLOOKUP(H23,[1]SEMIELABORADOS!$A$2:$M$6000,6,0),"")</f>
        <v/>
      </c>
      <c r="E23" s="136" t="str">
        <f>IFERROR(VLOOKUP(H23,[1]SEMIELABORADOS!$A$2:$H$65536,8,0),"")</f>
        <v/>
      </c>
      <c r="F23" s="136" t="str">
        <f t="shared" si="5"/>
        <v/>
      </c>
      <c r="G23" s="99" t="str">
        <f t="shared" si="3"/>
        <v/>
      </c>
      <c r="H23" s="137"/>
      <c r="I23" s="137"/>
      <c r="J23" s="100"/>
    </row>
    <row r="24" spans="1:12" ht="13.5" hidden="1" x14ac:dyDescent="0.25">
      <c r="A24" s="134"/>
      <c r="B24" s="122" t="str">
        <f>IFERROR(VLOOKUP(H24,[1]SEMIELABORADOS!$A$2:$M$6000,2,0),"")</f>
        <v/>
      </c>
      <c r="C24" s="135">
        <f t="shared" si="4"/>
        <v>0</v>
      </c>
      <c r="D24" s="135" t="str">
        <f>IFERROR(VLOOKUP(H24,[1]SEMIELABORADOS!$A$2:$M$6000,6,0),"")</f>
        <v/>
      </c>
      <c r="E24" s="136" t="str">
        <f>IFERROR(VLOOKUP(H24,[1]SEMIELABORADOS!$A$2:$H$65536,8,0),"")</f>
        <v/>
      </c>
      <c r="F24" s="136" t="str">
        <f t="shared" si="5"/>
        <v/>
      </c>
      <c r="G24" s="99" t="str">
        <f t="shared" si="3"/>
        <v/>
      </c>
      <c r="H24" s="137"/>
      <c r="I24" s="137"/>
      <c r="J24" s="100"/>
    </row>
    <row r="25" spans="1:12" ht="14.25" thickBot="1" x14ac:dyDescent="0.3">
      <c r="A25" s="134"/>
      <c r="C25" s="135"/>
      <c r="D25" s="135"/>
      <c r="E25" s="136"/>
      <c r="F25" s="136"/>
      <c r="G25" s="99"/>
      <c r="H25" s="137"/>
      <c r="I25" s="137"/>
      <c r="J25" s="100"/>
    </row>
    <row r="26" spans="1:12" ht="26.25" thickBot="1" x14ac:dyDescent="0.3">
      <c r="A26" s="129" t="s">
        <v>99</v>
      </c>
      <c r="B26" s="130" t="s">
        <v>24</v>
      </c>
      <c r="C26" s="130" t="s">
        <v>99</v>
      </c>
      <c r="D26" s="131" t="s">
        <v>101</v>
      </c>
      <c r="E26" s="131" t="s">
        <v>102</v>
      </c>
      <c r="F26" s="131" t="s">
        <v>103</v>
      </c>
      <c r="G26" s="131" t="s">
        <v>104</v>
      </c>
      <c r="H26" s="132" t="s">
        <v>105</v>
      </c>
      <c r="I26" s="133"/>
    </row>
    <row r="27" spans="1:12" ht="13.5" x14ac:dyDescent="0.25">
      <c r="A27" s="134">
        <v>21</v>
      </c>
      <c r="B27" s="138" t="str">
        <f>IFERROR(VLOOKUP(H27,'[1]Consolidado MP Planta'!$A$2:$M$823,3,0),"")</f>
        <v>BOLSA TRANSPARENTE 56X96X1.80 KILO</v>
      </c>
      <c r="C27" s="135">
        <f t="shared" ref="C27:C32" si="6">+A27</f>
        <v>21</v>
      </c>
      <c r="D27" s="136" t="str">
        <f>IFERROR(VLOOKUP(H27,'[1]Consolidado MP Planta'!$A$2:$M$823,13,0),"")</f>
        <v>Und</v>
      </c>
      <c r="E27" s="136">
        <f>IFERROR(VLOOKUP(H27,'[1]Consolidado MP Planta'!$A$2:$M$823,12,0),"")</f>
        <v>50</v>
      </c>
      <c r="F27" s="136">
        <f t="shared" ref="F27:F32" si="7">IFERROR(C27*E27,"")</f>
        <v>1050</v>
      </c>
      <c r="G27" s="99">
        <f t="shared" ref="G27:G32" si="8">IFERROR(F27/$F$66,"")</f>
        <v>1.6447252848108197E-2</v>
      </c>
      <c r="H27" s="139" t="s">
        <v>110</v>
      </c>
      <c r="I27" s="139"/>
      <c r="J27" s="100"/>
      <c r="K27" s="442"/>
      <c r="L27" s="442"/>
    </row>
    <row r="28" spans="1:12" ht="13.5" x14ac:dyDescent="0.25">
      <c r="A28" s="134">
        <v>21</v>
      </c>
      <c r="B28" s="138" t="str">
        <f>IFERROR(VLOOKUP(H28,'[1]Consolidado MP Planta'!$A$2:$M$823,3,0),"")</f>
        <v>ETIQUETA BLANCA 2 5/8X1 15/16 (UND)</v>
      </c>
      <c r="C28" s="135">
        <f t="shared" si="6"/>
        <v>21</v>
      </c>
      <c r="D28" s="136" t="str">
        <f>IFERROR(VLOOKUP(H28,'[1]Consolidado MP Planta'!$A$2:$M$823,13,0),"")</f>
        <v>Und</v>
      </c>
      <c r="E28" s="136">
        <f>IFERROR(VLOOKUP(H28,'[1]Consolidado MP Planta'!$A$2:$M$823,12,0),"")</f>
        <v>2.1280000000000001</v>
      </c>
      <c r="F28" s="136">
        <f t="shared" si="7"/>
        <v>44.688000000000002</v>
      </c>
      <c r="G28" s="99">
        <f t="shared" si="8"/>
        <v>6.9999508121548488E-4</v>
      </c>
      <c r="H28" s="139" t="s">
        <v>84</v>
      </c>
      <c r="I28" s="139"/>
      <c r="J28" s="100"/>
      <c r="K28" s="442"/>
      <c r="L28" s="442"/>
    </row>
    <row r="29" spans="1:12" ht="13.5" x14ac:dyDescent="0.25">
      <c r="A29" s="134">
        <v>21</v>
      </c>
      <c r="B29" s="138" t="str">
        <f>IFERROR(VLOOKUP(H29,'[1]Consolidado MP Planta'!$A$2:$M$823,3,0),"")</f>
        <v>ETIQ.FECHA VENCIMIENTO BLANCO (ROLLO)</v>
      </c>
      <c r="C29" s="135">
        <f t="shared" si="6"/>
        <v>21</v>
      </c>
      <c r="D29" s="136" t="str">
        <f>IFERROR(VLOOKUP(H29,'[1]Consolidado MP Planta'!$A$2:$M$823,13,0),"")</f>
        <v>Gramos</v>
      </c>
      <c r="E29" s="136">
        <f>IFERROR(VLOOKUP(H29,'[1]Consolidado MP Planta'!$A$2:$M$823,12,0),"")</f>
        <v>0.33333333333333331</v>
      </c>
      <c r="F29" s="136">
        <f t="shared" si="7"/>
        <v>7</v>
      </c>
      <c r="G29" s="99">
        <f t="shared" si="8"/>
        <v>1.0964835232072132E-4</v>
      </c>
      <c r="H29" s="139" t="s">
        <v>75</v>
      </c>
      <c r="I29" s="139"/>
      <c r="J29" s="100"/>
      <c r="K29" s="442"/>
      <c r="L29" s="442"/>
    </row>
    <row r="30" spans="1:12" ht="13.5" hidden="1" x14ac:dyDescent="0.25">
      <c r="A30" s="134"/>
      <c r="B30" s="138" t="str">
        <f>IFERROR(VLOOKUP(H30,'[1]Consolidado MP Planta'!$A$2:$M$823,3,0),"")</f>
        <v/>
      </c>
      <c r="C30" s="135">
        <f t="shared" si="6"/>
        <v>0</v>
      </c>
      <c r="D30" s="136" t="str">
        <f>IFERROR(VLOOKUP(H30,'[1]Consolidado MP Planta'!$A$2:$M$823,13,0),"")</f>
        <v/>
      </c>
      <c r="E30" s="136" t="str">
        <f>IFERROR(VLOOKUP(H30,'[1]Consolidado MP Planta'!$A$2:$M$823,12,0),"")</f>
        <v/>
      </c>
      <c r="F30" s="136" t="str">
        <f t="shared" si="7"/>
        <v/>
      </c>
      <c r="G30" s="99" t="str">
        <f t="shared" si="8"/>
        <v/>
      </c>
      <c r="H30" s="139"/>
      <c r="I30" s="139"/>
      <c r="J30" s="100"/>
      <c r="K30" s="442"/>
      <c r="L30" s="442"/>
    </row>
    <row r="31" spans="1:12" ht="13.5" hidden="1" x14ac:dyDescent="0.25">
      <c r="A31" s="134"/>
      <c r="B31" s="138" t="str">
        <f>IFERROR(VLOOKUP(H31,'[1]Consolidado MP Planta'!$A$2:$M$823,3,0),"")</f>
        <v/>
      </c>
      <c r="C31" s="135">
        <f t="shared" si="6"/>
        <v>0</v>
      </c>
      <c r="D31" s="136" t="str">
        <f>IFERROR(VLOOKUP(H31,'[1]Consolidado MP Planta'!$A$2:$M$823,13,0),"")</f>
        <v/>
      </c>
      <c r="E31" s="136" t="str">
        <f>IFERROR(VLOOKUP(H31,'[1]Consolidado MP Planta'!$A$2:$M$823,12,0),"")</f>
        <v/>
      </c>
      <c r="F31" s="136" t="str">
        <f t="shared" si="7"/>
        <v/>
      </c>
      <c r="G31" s="99" t="str">
        <f t="shared" si="8"/>
        <v/>
      </c>
      <c r="H31" s="139"/>
      <c r="I31" s="139"/>
      <c r="J31" s="100"/>
      <c r="K31" s="140"/>
      <c r="L31" s="141"/>
    </row>
    <row r="32" spans="1:12" ht="13.5" hidden="1" x14ac:dyDescent="0.25">
      <c r="A32" s="134"/>
      <c r="B32" s="138" t="str">
        <f>IFERROR(VLOOKUP(H32,'[1]Consolidado MP Planta'!$A$2:$M$823,3,0),"")</f>
        <v/>
      </c>
      <c r="C32" s="135">
        <f t="shared" si="6"/>
        <v>0</v>
      </c>
      <c r="D32" s="136" t="str">
        <f>IFERROR(VLOOKUP(H32,'[1]Consolidado MP Planta'!$A$2:$M$823,13,0),"")</f>
        <v/>
      </c>
      <c r="E32" s="136" t="str">
        <f>IFERROR(VLOOKUP(H32,'[1]Consolidado MP Planta'!$A$2:$M$823,12,0),"")</f>
        <v/>
      </c>
      <c r="F32" s="136" t="str">
        <f t="shared" si="7"/>
        <v/>
      </c>
      <c r="G32" s="99" t="str">
        <f t="shared" si="8"/>
        <v/>
      </c>
      <c r="H32" s="139"/>
      <c r="I32" s="139"/>
      <c r="J32" s="100"/>
    </row>
    <row r="33" spans="1:13" ht="14.25" thickBot="1" x14ac:dyDescent="0.3">
      <c r="A33" s="134"/>
      <c r="B33" s="138"/>
      <c r="C33" s="135"/>
      <c r="D33" s="136"/>
      <c r="E33" s="136"/>
      <c r="F33" s="136"/>
      <c r="G33" s="99"/>
      <c r="H33" s="139"/>
      <c r="I33" s="139"/>
      <c r="J33" s="100"/>
    </row>
    <row r="34" spans="1:13" ht="26.25" thickBot="1" x14ac:dyDescent="0.25">
      <c r="A34" s="129" t="s">
        <v>99</v>
      </c>
      <c r="B34" s="130" t="s">
        <v>111</v>
      </c>
      <c r="C34" s="130" t="s">
        <v>99</v>
      </c>
      <c r="D34" s="131" t="s">
        <v>101</v>
      </c>
      <c r="E34" s="131" t="s">
        <v>102</v>
      </c>
      <c r="F34" s="131" t="s">
        <v>103</v>
      </c>
      <c r="G34" s="131" t="s">
        <v>104</v>
      </c>
      <c r="H34" s="132" t="s">
        <v>105</v>
      </c>
      <c r="I34" s="139"/>
      <c r="J34" s="100"/>
    </row>
    <row r="35" spans="1:13" ht="13.5" x14ac:dyDescent="0.25">
      <c r="A35" s="134">
        <f>+A17</f>
        <v>47400</v>
      </c>
      <c r="B35" s="138" t="s">
        <v>21</v>
      </c>
      <c r="C35" s="135">
        <f>+A35</f>
        <v>47400</v>
      </c>
      <c r="D35" s="136" t="s">
        <v>107</v>
      </c>
      <c r="E35" s="136">
        <v>0</v>
      </c>
      <c r="F35" s="136">
        <f>IFERROR(E35*C35,"")</f>
        <v>0</v>
      </c>
      <c r="G35" s="99">
        <f t="shared" ref="G35:G41" si="9">IFERROR(F35/$F$66,"")</f>
        <v>0</v>
      </c>
      <c r="H35" s="139" t="s">
        <v>108</v>
      </c>
      <c r="I35" s="139"/>
      <c r="J35" s="100"/>
    </row>
    <row r="36" spans="1:13" ht="13.5" x14ac:dyDescent="0.25">
      <c r="A36" s="134">
        <f t="shared" ref="A36:A41" si="10">+A18</f>
        <v>2380</v>
      </c>
      <c r="B36" s="138" t="str">
        <f>IFERROR(VLOOKUP(H36,[1]SEMIELABORADOS!$A$2:$M$6000,2,0),"")</f>
        <v>MEZCLA P/ENGRASE MOLDES KILO</v>
      </c>
      <c r="C36" s="135">
        <f t="shared" ref="C36:C41" si="11">+A36</f>
        <v>2380</v>
      </c>
      <c r="D36" s="136" t="str">
        <f>IFERROR(VLOOKUP(H36,[1]SEMIELABORADOS!$A$2:$M$6000,6,0),"")</f>
        <v>Gramo</v>
      </c>
      <c r="E36" s="136">
        <f>IFERROR(VLOOKUP(H36,[1]SEMIELABORADOS!$A$2:$M$65536,10,0),"")</f>
        <v>2.1536385000000002E-2</v>
      </c>
      <c r="F36" s="136">
        <f t="shared" ref="F36:F41" si="12">IFERROR(E36*C36,"")</f>
        <v>51.256596300000005</v>
      </c>
      <c r="G36" s="99">
        <f t="shared" si="9"/>
        <v>8.0288590426619733E-4</v>
      </c>
      <c r="H36" s="139" t="s">
        <v>109</v>
      </c>
      <c r="I36" s="139"/>
      <c r="J36" s="100"/>
    </row>
    <row r="37" spans="1:13" ht="13.5" hidden="1" x14ac:dyDescent="0.25">
      <c r="A37" s="134">
        <f t="shared" si="10"/>
        <v>0</v>
      </c>
      <c r="B37" s="138" t="str">
        <f>IFERROR(VLOOKUP(H37,[1]SEMIELABORADOS!$A$2:$M$6000,2,0),"")</f>
        <v/>
      </c>
      <c r="C37" s="135">
        <f t="shared" si="11"/>
        <v>0</v>
      </c>
      <c r="D37" s="136" t="str">
        <f>IFERROR(VLOOKUP(H37,[1]SEMIELABORADOS!$A$2:$M$6000,6,0),"")</f>
        <v/>
      </c>
      <c r="E37" s="136" t="str">
        <f>IFERROR(VLOOKUP(H37,[1]SEMIELABORADOS!$A$2:$M$65536,10,0),"")</f>
        <v/>
      </c>
      <c r="F37" s="136" t="str">
        <f t="shared" si="12"/>
        <v/>
      </c>
      <c r="G37" s="99" t="str">
        <f t="shared" si="9"/>
        <v/>
      </c>
      <c r="H37" s="139"/>
      <c r="I37" s="139"/>
      <c r="J37" s="100"/>
    </row>
    <row r="38" spans="1:13" ht="13.5" hidden="1" x14ac:dyDescent="0.25">
      <c r="A38" s="134">
        <f t="shared" si="10"/>
        <v>0</v>
      </c>
      <c r="B38" s="138" t="str">
        <f>IFERROR(VLOOKUP(H38,[1]SEMIELABORADOS!$A$2:$M$6000,2,0),"")</f>
        <v/>
      </c>
      <c r="C38" s="135">
        <f>+A38</f>
        <v>0</v>
      </c>
      <c r="D38" s="136" t="str">
        <f>IFERROR(VLOOKUP(H38,[1]SEMIELABORADOS!$A$2:$M$6000,6,0),"")</f>
        <v/>
      </c>
      <c r="E38" s="136" t="str">
        <f>IFERROR(VLOOKUP(H38,[1]SEMIELABORADOS!$A$2:$M$65536,10,0),"")</f>
        <v/>
      </c>
      <c r="F38" s="136" t="str">
        <f>IFERROR(E38*C38,"")</f>
        <v/>
      </c>
      <c r="G38" s="99" t="str">
        <f t="shared" si="9"/>
        <v/>
      </c>
      <c r="H38" s="139"/>
      <c r="I38" s="139"/>
      <c r="J38" s="100"/>
    </row>
    <row r="39" spans="1:13" ht="13.5" hidden="1" x14ac:dyDescent="0.25">
      <c r="A39" s="134">
        <f t="shared" si="10"/>
        <v>0</v>
      </c>
      <c r="B39" s="138" t="str">
        <f>IFERROR(VLOOKUP(H39,[1]SEMIELABORADOS!$A$2:$M$6000,2,0),"")</f>
        <v/>
      </c>
      <c r="C39" s="135">
        <f>+A39</f>
        <v>0</v>
      </c>
      <c r="D39" s="136" t="str">
        <f>IFERROR(VLOOKUP(H39,[1]SEMIELABORADOS!$A$2:$M$6000,6,0),"")</f>
        <v/>
      </c>
      <c r="E39" s="136" t="str">
        <f>IFERROR(VLOOKUP(H39,[1]SEMIELABORADOS!$A$2:$M$65536,10,0),"")</f>
        <v/>
      </c>
      <c r="F39" s="136" t="str">
        <f>IFERROR(E39*C39,"")</f>
        <v/>
      </c>
      <c r="G39" s="99" t="str">
        <f t="shared" si="9"/>
        <v/>
      </c>
      <c r="H39" s="139"/>
      <c r="I39" s="139"/>
      <c r="J39" s="100"/>
    </row>
    <row r="40" spans="1:13" ht="13.5" hidden="1" x14ac:dyDescent="0.25">
      <c r="A40" s="134">
        <f t="shared" si="10"/>
        <v>0</v>
      </c>
      <c r="B40" s="138" t="str">
        <f>IFERROR(VLOOKUP(H40,[1]SEMIELABORADOS!$A$2:$M$6000,2,0),"")</f>
        <v/>
      </c>
      <c r="C40" s="135">
        <f t="shared" si="11"/>
        <v>0</v>
      </c>
      <c r="D40" s="136" t="str">
        <f>IFERROR(VLOOKUP(H40,[1]SEMIELABORADOS!$A$2:$M$6000,6,0),"")</f>
        <v/>
      </c>
      <c r="E40" s="136" t="str">
        <f>IFERROR(VLOOKUP(H40,[1]SEMIELABORADOS!$A$2:$M$65536,10,0),"")</f>
        <v/>
      </c>
      <c r="F40" s="136" t="str">
        <f t="shared" si="12"/>
        <v/>
      </c>
      <c r="G40" s="99" t="str">
        <f t="shared" si="9"/>
        <v/>
      </c>
      <c r="H40" s="139"/>
      <c r="I40" s="139"/>
      <c r="J40" s="100"/>
    </row>
    <row r="41" spans="1:13" ht="13.5" hidden="1" x14ac:dyDescent="0.25">
      <c r="A41" s="134">
        <f t="shared" si="10"/>
        <v>0</v>
      </c>
      <c r="B41" s="138" t="str">
        <f>IFERROR(VLOOKUP(H41,[1]SEMIELABORADOS!$A$2:$M$6000,2,0),"")</f>
        <v/>
      </c>
      <c r="C41" s="135">
        <f t="shared" si="11"/>
        <v>0</v>
      </c>
      <c r="D41" s="136" t="str">
        <f>IFERROR(VLOOKUP(H41,[1]SEMIELABORADOS!$A$2:$M$6000,6,0),"")</f>
        <v/>
      </c>
      <c r="E41" s="136" t="str">
        <f>IFERROR(VLOOKUP(H41,[1]SEMIELABORADOS!$A$2:$M$65536,10,0),"")</f>
        <v/>
      </c>
      <c r="F41" s="136" t="str">
        <f t="shared" si="12"/>
        <v/>
      </c>
      <c r="G41" s="99" t="str">
        <f t="shared" si="9"/>
        <v/>
      </c>
      <c r="H41" s="139"/>
      <c r="I41" s="139"/>
      <c r="J41" s="100"/>
    </row>
    <row r="42" spans="1:13" ht="14.25" thickBot="1" x14ac:dyDescent="0.3">
      <c r="A42" s="134"/>
      <c r="B42" s="138"/>
      <c r="C42" s="135"/>
      <c r="D42" s="136"/>
      <c r="E42" s="136"/>
      <c r="F42" s="136"/>
      <c r="G42" s="99"/>
      <c r="H42" s="139"/>
      <c r="I42" s="139"/>
      <c r="J42" s="100"/>
    </row>
    <row r="43" spans="1:13" ht="26.25" thickBot="1" x14ac:dyDescent="0.3">
      <c r="A43" s="129" t="s">
        <v>99</v>
      </c>
      <c r="B43" s="130" t="s">
        <v>112</v>
      </c>
      <c r="C43" s="130" t="s">
        <v>99</v>
      </c>
      <c r="D43" s="131" t="s">
        <v>101</v>
      </c>
      <c r="E43" s="131" t="s">
        <v>102</v>
      </c>
      <c r="F43" s="131" t="s">
        <v>103</v>
      </c>
      <c r="G43" s="131" t="s">
        <v>104</v>
      </c>
      <c r="H43" s="132" t="s">
        <v>105</v>
      </c>
      <c r="I43" s="133"/>
      <c r="J43" s="100"/>
    </row>
    <row r="44" spans="1:13" ht="13.5" x14ac:dyDescent="0.25">
      <c r="A44" s="134">
        <f>+A35</f>
        <v>47400</v>
      </c>
      <c r="B44" s="138" t="s">
        <v>21</v>
      </c>
      <c r="C44" s="135">
        <f>+A44</f>
        <v>47400</v>
      </c>
      <c r="D44" s="136" t="s">
        <v>107</v>
      </c>
      <c r="E44" s="136">
        <v>0.02</v>
      </c>
      <c r="F44" s="136">
        <f>IFERROR(E44*C44,"")</f>
        <v>948</v>
      </c>
      <c r="G44" s="99">
        <f>IFERROR(F44/$F$66,"")</f>
        <v>1.4849519714291973E-2</v>
      </c>
      <c r="H44" s="139" t="s">
        <v>108</v>
      </c>
      <c r="I44" s="133"/>
      <c r="J44" s="100"/>
    </row>
    <row r="45" spans="1:13" ht="13.5" x14ac:dyDescent="0.25">
      <c r="A45" s="134">
        <f t="shared" ref="A45:A50" si="13">+A36</f>
        <v>2380</v>
      </c>
      <c r="B45" s="138" t="str">
        <f>IFERROR(VLOOKUP(H45,[1]SEMIELABORADOS!$A$2:$M$6000,2,0),"")</f>
        <v>MEZCLA P/ENGRASE MOLDES KILO</v>
      </c>
      <c r="C45" s="135">
        <f t="shared" ref="C45:C50" si="14">+A45</f>
        <v>2380</v>
      </c>
      <c r="D45" s="136" t="str">
        <f>IFERROR(VLOOKUP(H45,[1]SEMIELABORADOS!$A$2:$M$6000,6,0),"")</f>
        <v>Gramo</v>
      </c>
      <c r="E45" s="136">
        <f>IFERROR(VLOOKUP(H45,[1]SEMIELABORADOS!$A$2:$M$65536,12,0),"")</f>
        <v>0.25127579955503354</v>
      </c>
      <c r="F45" s="136">
        <f t="shared" ref="F45:F50" si="15">IFERROR(E45*C45,"")</f>
        <v>598.03640294097988</v>
      </c>
      <c r="G45" s="99">
        <f t="shared" ref="G45:G50" si="16">IFERROR(F45/$F$66,"")</f>
        <v>9.3676723157556322E-3</v>
      </c>
      <c r="H45" s="139" t="s">
        <v>109</v>
      </c>
      <c r="I45" s="133"/>
      <c r="J45" s="100"/>
      <c r="M45" s="142"/>
    </row>
    <row r="46" spans="1:13" ht="13.5" hidden="1" x14ac:dyDescent="0.25">
      <c r="A46" s="134">
        <f t="shared" si="13"/>
        <v>0</v>
      </c>
      <c r="B46" s="138" t="str">
        <f>IFERROR(VLOOKUP(H46,[1]SEMIELABORADOS!$A$2:$M$6000,2,0),"")</f>
        <v/>
      </c>
      <c r="C46" s="135">
        <f t="shared" si="14"/>
        <v>0</v>
      </c>
      <c r="D46" s="136" t="str">
        <f>IFERROR(VLOOKUP(H46,[1]SEMIELABORADOS!$A$2:$M$6000,6,0),"")</f>
        <v/>
      </c>
      <c r="E46" s="136" t="str">
        <f>IFERROR(VLOOKUP(H46,[1]SEMIELABORADOS!$A$2:$M$65536,12,0),"")</f>
        <v/>
      </c>
      <c r="F46" s="136" t="str">
        <f t="shared" si="15"/>
        <v/>
      </c>
      <c r="G46" s="99" t="str">
        <f t="shared" si="16"/>
        <v/>
      </c>
      <c r="H46" s="139"/>
      <c r="I46" s="133"/>
      <c r="J46" s="100"/>
    </row>
    <row r="47" spans="1:13" ht="13.5" hidden="1" x14ac:dyDescent="0.25">
      <c r="A47" s="134">
        <f t="shared" si="13"/>
        <v>0</v>
      </c>
      <c r="B47" s="138" t="str">
        <f>IFERROR(VLOOKUP(H47,[1]SEMIELABORADOS!$A$2:$M$6000,2,0),"")</f>
        <v/>
      </c>
      <c r="C47" s="135">
        <f t="shared" si="14"/>
        <v>0</v>
      </c>
      <c r="D47" s="136" t="str">
        <f>IFERROR(VLOOKUP(H47,[1]SEMIELABORADOS!$A$2:$M$6000,6,0),"")</f>
        <v/>
      </c>
      <c r="E47" s="136" t="str">
        <f>IFERROR(VLOOKUP(H47,[1]SEMIELABORADOS!$A$2:$M$65536,12,0),"")</f>
        <v/>
      </c>
      <c r="F47" s="136" t="str">
        <f t="shared" si="15"/>
        <v/>
      </c>
      <c r="G47" s="99" t="str">
        <f t="shared" si="16"/>
        <v/>
      </c>
      <c r="H47" s="139"/>
      <c r="I47" s="133"/>
      <c r="J47" s="100"/>
    </row>
    <row r="48" spans="1:13" ht="13.5" hidden="1" x14ac:dyDescent="0.25">
      <c r="A48" s="134">
        <f t="shared" si="13"/>
        <v>0</v>
      </c>
      <c r="B48" s="138" t="str">
        <f>IFERROR(VLOOKUP(H48,[1]SEMIELABORADOS!$A$2:$M$6000,2,0),"")</f>
        <v/>
      </c>
      <c r="C48" s="135">
        <f t="shared" si="14"/>
        <v>0</v>
      </c>
      <c r="D48" s="136" t="str">
        <f>IFERROR(VLOOKUP(H48,[1]SEMIELABORADOS!$A$2:$M$6000,6,0),"")</f>
        <v/>
      </c>
      <c r="E48" s="136" t="str">
        <f>IFERROR(VLOOKUP(H48,[1]SEMIELABORADOS!$A$2:$M$65536,12,0),"")</f>
        <v/>
      </c>
      <c r="F48" s="136" t="str">
        <f t="shared" si="15"/>
        <v/>
      </c>
      <c r="G48" s="99" t="str">
        <f t="shared" si="16"/>
        <v/>
      </c>
      <c r="H48" s="139"/>
      <c r="I48" s="133"/>
      <c r="J48" s="100"/>
    </row>
    <row r="49" spans="1:17" ht="13.5" hidden="1" x14ac:dyDescent="0.25">
      <c r="A49" s="134">
        <f t="shared" si="13"/>
        <v>0</v>
      </c>
      <c r="B49" s="138" t="str">
        <f>IFERROR(VLOOKUP(H49,[1]SEMIELABORADOS!$A$2:$M$6000,2,0),"")</f>
        <v/>
      </c>
      <c r="C49" s="135">
        <f t="shared" si="14"/>
        <v>0</v>
      </c>
      <c r="D49" s="136" t="str">
        <f>IFERROR(VLOOKUP(H49,[1]SEMIELABORADOS!$A$2:$M$6000,6,0),"")</f>
        <v/>
      </c>
      <c r="E49" s="136" t="str">
        <f>IFERROR(VLOOKUP(H49,[1]SEMIELABORADOS!$A$2:$M$65536,12,0),"")</f>
        <v/>
      </c>
      <c r="F49" s="136" t="str">
        <f t="shared" si="15"/>
        <v/>
      </c>
      <c r="G49" s="99" t="str">
        <f t="shared" si="16"/>
        <v/>
      </c>
      <c r="H49" s="139"/>
      <c r="I49" s="133"/>
      <c r="J49" s="100"/>
    </row>
    <row r="50" spans="1:17" ht="13.5" hidden="1" x14ac:dyDescent="0.25">
      <c r="A50" s="134">
        <f t="shared" si="13"/>
        <v>0</v>
      </c>
      <c r="B50" s="138" t="str">
        <f>IFERROR(VLOOKUP(H50,[1]SEMIELABORADOS!$A$2:$M$6000,2,0),"")</f>
        <v/>
      </c>
      <c r="C50" s="135">
        <f t="shared" si="14"/>
        <v>0</v>
      </c>
      <c r="D50" s="136" t="str">
        <f>IFERROR(VLOOKUP(H50,[1]SEMIELABORADOS!$A$2:$M$6000,6,0),"")</f>
        <v/>
      </c>
      <c r="E50" s="136" t="str">
        <f>IFERROR(VLOOKUP(H50,[1]SEMIELABORADOS!$A$2:$M$65536,12,0),"")</f>
        <v/>
      </c>
      <c r="F50" s="136" t="str">
        <f t="shared" si="15"/>
        <v/>
      </c>
      <c r="G50" s="99" t="str">
        <f t="shared" si="16"/>
        <v/>
      </c>
      <c r="H50" s="138"/>
      <c r="I50" s="133"/>
      <c r="J50" s="100"/>
    </row>
    <row r="51" spans="1:17" ht="13.5" x14ac:dyDescent="0.25">
      <c r="A51" s="134">
        <v>1</v>
      </c>
      <c r="B51" s="138" t="s">
        <v>113</v>
      </c>
      <c r="C51" s="135">
        <f>+A51</f>
        <v>1</v>
      </c>
      <c r="D51" s="135" t="s">
        <v>114</v>
      </c>
      <c r="E51" s="136">
        <f>+F65</f>
        <v>2135</v>
      </c>
      <c r="F51" s="136">
        <f>IFERROR(C51*E51,"")</f>
        <v>2135</v>
      </c>
      <c r="G51" s="99">
        <f>IFERROR(F51/$F$66,"")</f>
        <v>3.3442747457819999E-2</v>
      </c>
      <c r="H51" s="143"/>
      <c r="I51" s="143"/>
      <c r="J51" s="100"/>
    </row>
    <row r="52" spans="1:17" ht="14.25" thickBot="1" x14ac:dyDescent="0.3">
      <c r="A52" s="134"/>
      <c r="B52" s="138"/>
      <c r="C52" s="135"/>
      <c r="D52" s="135"/>
      <c r="E52" s="136"/>
      <c r="F52" s="136"/>
      <c r="G52" s="99"/>
      <c r="H52" s="143"/>
      <c r="I52" s="143"/>
      <c r="J52" s="100"/>
    </row>
    <row r="53" spans="1:17" ht="13.5" thickBot="1" x14ac:dyDescent="0.3">
      <c r="A53" s="144"/>
      <c r="B53" s="443" t="s">
        <v>115</v>
      </c>
      <c r="C53" s="443"/>
      <c r="D53" s="443"/>
      <c r="E53" s="443"/>
      <c r="F53" s="146">
        <f>SUM(F8:F14,F17:F24)</f>
        <v>59365.19999999999</v>
      </c>
      <c r="G53" s="99">
        <f>+F53/$F$66</f>
        <v>0.92989948074144058</v>
      </c>
      <c r="H53" s="147">
        <f>+F53/$D$60</f>
        <v>1269.8438502673794</v>
      </c>
      <c r="I53" s="147"/>
      <c r="J53" s="101"/>
      <c r="K53" s="148"/>
      <c r="L53" s="148"/>
      <c r="M53" s="148"/>
      <c r="N53" s="148"/>
      <c r="O53" s="148"/>
      <c r="P53" s="148"/>
      <c r="Q53" s="149"/>
    </row>
    <row r="54" spans="1:17" x14ac:dyDescent="0.2">
      <c r="A54" s="144"/>
      <c r="B54" s="443" t="s">
        <v>116</v>
      </c>
      <c r="C54" s="443"/>
      <c r="D54" s="443"/>
      <c r="E54" s="443"/>
      <c r="F54" s="146">
        <f>SUM(F27:F32,F35:F41)</f>
        <v>1152.9445963000001</v>
      </c>
      <c r="G54" s="99">
        <f>+F54/$F$66</f>
        <v>1.8059782185910603E-2</v>
      </c>
      <c r="H54" s="147">
        <f>+F54/$D$60</f>
        <v>24.661916498395723</v>
      </c>
      <c r="I54" s="147"/>
      <c r="J54" s="150"/>
      <c r="K54" s="444" t="s">
        <v>117</v>
      </c>
      <c r="L54" s="445"/>
      <c r="M54" s="445"/>
      <c r="N54" s="445"/>
      <c r="O54" s="151">
        <f>+F55</f>
        <v>60518.144596299993</v>
      </c>
      <c r="P54" s="151"/>
      <c r="Q54" s="152"/>
    </row>
    <row r="55" spans="1:17" x14ac:dyDescent="0.2">
      <c r="A55" s="144"/>
      <c r="B55" s="443" t="s">
        <v>118</v>
      </c>
      <c r="C55" s="443"/>
      <c r="D55" s="443"/>
      <c r="E55" s="443"/>
      <c r="F55" s="146">
        <f>+F53+F54</f>
        <v>60518.144596299993</v>
      </c>
      <c r="G55" s="99">
        <f>+F55/$F$66</f>
        <v>0.94795926292735122</v>
      </c>
      <c r="H55" s="147">
        <f>+F55/$D$60</f>
        <v>1294.5057667657752</v>
      </c>
      <c r="I55" s="147"/>
      <c r="J55" s="102"/>
      <c r="K55" s="153"/>
      <c r="M55" s="154" t="s">
        <v>119</v>
      </c>
      <c r="N55" s="155"/>
      <c r="O55" s="151">
        <f>+H56</f>
        <v>78.738746586972823</v>
      </c>
      <c r="P55" s="151"/>
      <c r="Q55" s="152"/>
    </row>
    <row r="56" spans="1:17" ht="13.5" thickBot="1" x14ac:dyDescent="0.25">
      <c r="A56" s="144"/>
      <c r="B56" s="145"/>
      <c r="C56" s="443" t="s">
        <v>120</v>
      </c>
      <c r="D56" s="443"/>
      <c r="E56" s="443"/>
      <c r="F56" s="146">
        <f>SUM(F44:F51)</f>
        <v>3681.0364029409798</v>
      </c>
      <c r="G56" s="99">
        <f>+F56/$F$66</f>
        <v>5.7659939487867608E-2</v>
      </c>
      <c r="H56" s="147">
        <f>+F56/$D$60</f>
        <v>78.738746586972823</v>
      </c>
      <c r="I56" s="147"/>
      <c r="J56" s="102"/>
      <c r="K56" s="153"/>
      <c r="L56" s="153"/>
      <c r="M56" s="153" t="s">
        <v>121</v>
      </c>
      <c r="N56" s="103"/>
      <c r="O56" s="151">
        <f>O54*N56</f>
        <v>0</v>
      </c>
      <c r="P56" s="151"/>
      <c r="Q56" s="152"/>
    </row>
    <row r="57" spans="1:17" ht="13.5" thickBot="1" x14ac:dyDescent="0.25">
      <c r="A57" s="144"/>
      <c r="B57" s="156"/>
      <c r="C57" s="156"/>
      <c r="D57" s="156"/>
      <c r="E57" s="156"/>
      <c r="F57" s="157"/>
      <c r="G57" s="99"/>
      <c r="H57" s="158"/>
      <c r="I57" s="147"/>
      <c r="J57" s="102"/>
      <c r="K57" s="159"/>
      <c r="M57" s="160" t="s">
        <v>122</v>
      </c>
      <c r="N57" s="161"/>
      <c r="O57" s="162">
        <f>SUM(O54:O56)</f>
        <v>60596.883342886969</v>
      </c>
      <c r="P57" s="163"/>
      <c r="Q57" s="152"/>
    </row>
    <row r="58" spans="1:17" x14ac:dyDescent="0.2">
      <c r="B58" s="446" t="s">
        <v>123</v>
      </c>
      <c r="C58" s="446"/>
      <c r="D58" s="164">
        <v>46750</v>
      </c>
      <c r="E58" s="165"/>
      <c r="G58" s="99"/>
      <c r="H58" s="158">
        <f>+H56/61</f>
        <v>1.2907991243766037</v>
      </c>
      <c r="I58" s="166"/>
      <c r="J58" s="102"/>
      <c r="K58" s="159"/>
      <c r="L58" s="153"/>
      <c r="M58" s="153" t="s">
        <v>124</v>
      </c>
      <c r="N58" s="104"/>
      <c r="O58" s="151">
        <f>+H59</f>
        <v>74.866349213843009</v>
      </c>
      <c r="P58" s="151"/>
      <c r="Q58" s="152"/>
    </row>
    <row r="59" spans="1:17" x14ac:dyDescent="0.2">
      <c r="B59" s="446" t="s">
        <v>125</v>
      </c>
      <c r="C59" s="446"/>
      <c r="D59" s="167">
        <v>1000</v>
      </c>
      <c r="E59" s="165"/>
      <c r="G59" s="99"/>
      <c r="H59" s="158">
        <f>+H58*58</f>
        <v>74.866349213843009</v>
      </c>
      <c r="I59" s="166"/>
      <c r="J59" s="102"/>
      <c r="K59" s="159"/>
      <c r="L59" s="153"/>
      <c r="M59" s="447" t="s">
        <v>122</v>
      </c>
      <c r="N59" s="447"/>
      <c r="O59" s="151">
        <f>SUM(O57:O58)</f>
        <v>60671.749692100813</v>
      </c>
      <c r="P59" s="151"/>
      <c r="Q59" s="152"/>
    </row>
    <row r="60" spans="1:17" ht="13.5" thickBot="1" x14ac:dyDescent="0.25">
      <c r="B60" s="448" t="s">
        <v>126</v>
      </c>
      <c r="C60" s="448"/>
      <c r="D60" s="164">
        <f>+D58/D59</f>
        <v>46.75</v>
      </c>
      <c r="E60" s="165"/>
      <c r="F60" s="168"/>
      <c r="G60" s="99"/>
      <c r="H60" s="158"/>
      <c r="I60" s="166"/>
      <c r="J60" s="102"/>
      <c r="K60" s="159"/>
      <c r="L60" s="447"/>
      <c r="M60" s="447"/>
      <c r="N60" s="104"/>
      <c r="O60" s="151">
        <f>+O59*N60</f>
        <v>0</v>
      </c>
      <c r="P60" s="151"/>
      <c r="Q60" s="152"/>
    </row>
    <row r="61" spans="1:17" ht="13.5" thickBot="1" x14ac:dyDescent="0.25">
      <c r="B61" s="448" t="s">
        <v>127</v>
      </c>
      <c r="C61" s="448"/>
      <c r="D61" s="169"/>
      <c r="E61" s="165"/>
      <c r="F61" s="168"/>
      <c r="G61" s="99"/>
      <c r="H61" s="158"/>
      <c r="I61" s="166"/>
      <c r="J61" s="102"/>
      <c r="K61" s="449" t="s">
        <v>128</v>
      </c>
      <c r="L61" s="450"/>
      <c r="M61" s="450"/>
      <c r="N61" s="451"/>
      <c r="O61" s="162">
        <f>SUM(O59:O60)</f>
        <v>60671.749692100813</v>
      </c>
      <c r="P61" s="170" t="s">
        <v>129</v>
      </c>
      <c r="Q61" s="152"/>
    </row>
    <row r="62" spans="1:17" ht="13.5" thickBot="1" x14ac:dyDescent="0.25">
      <c r="C62" s="144" t="s">
        <v>130</v>
      </c>
      <c r="D62" s="171"/>
      <c r="E62" s="120" t="s">
        <v>131</v>
      </c>
      <c r="F62" s="172" t="s">
        <v>132</v>
      </c>
      <c r="G62" s="99"/>
      <c r="H62" s="158"/>
      <c r="I62" s="166"/>
      <c r="J62" s="173"/>
      <c r="K62" s="174"/>
      <c r="L62" s="452" t="s">
        <v>133</v>
      </c>
      <c r="M62" s="452"/>
      <c r="N62" s="452"/>
      <c r="O62" s="175">
        <f>+O61/D60</f>
        <v>1297.7914372641885</v>
      </c>
      <c r="P62" s="176">
        <f>+O62/D59</f>
        <v>1.2977914372641886</v>
      </c>
      <c r="Q62" s="177"/>
    </row>
    <row r="63" spans="1:17" ht="13.5" thickBot="1" x14ac:dyDescent="0.25">
      <c r="B63" s="453" t="s">
        <v>118</v>
      </c>
      <c r="C63" s="453"/>
      <c r="D63" s="453"/>
      <c r="E63" s="105">
        <f>+F63/F63</f>
        <v>1</v>
      </c>
      <c r="F63" s="178">
        <f>SUM(F55)</f>
        <v>60518.144596299993</v>
      </c>
      <c r="G63" s="99">
        <f>+F63/$F$66</f>
        <v>0.94795926292735122</v>
      </c>
      <c r="H63" s="158"/>
      <c r="I63" s="166"/>
      <c r="K63" s="454"/>
      <c r="L63" s="455"/>
      <c r="M63" s="455"/>
      <c r="N63" s="455"/>
      <c r="O63" s="179"/>
      <c r="P63" s="180"/>
    </row>
    <row r="64" spans="1:17" ht="13.5" thickBot="1" x14ac:dyDescent="0.3">
      <c r="B64" s="456" t="s">
        <v>134</v>
      </c>
      <c r="C64" s="456"/>
      <c r="D64" s="456"/>
      <c r="E64" s="181">
        <v>0.02</v>
      </c>
      <c r="F64" s="178">
        <f>+F53*E64</f>
        <v>1187.3039999999999</v>
      </c>
      <c r="G64" s="99">
        <f>+F64/$F$66</f>
        <v>1.8597989614828812E-2</v>
      </c>
      <c r="H64" s="147"/>
      <c r="I64" s="166"/>
      <c r="J64" s="106"/>
      <c r="O64" s="182"/>
      <c r="P64" s="145"/>
    </row>
    <row r="65" spans="2:13" ht="13.5" thickBot="1" x14ac:dyDescent="0.3">
      <c r="B65" s="457" t="s">
        <v>135</v>
      </c>
      <c r="C65" s="458"/>
      <c r="D65" s="183">
        <v>35</v>
      </c>
      <c r="E65" s="184">
        <v>61</v>
      </c>
      <c r="F65" s="178">
        <f>+E65*D65</f>
        <v>2135</v>
      </c>
      <c r="G65" s="99">
        <f>+F65/$F$66</f>
        <v>3.3442747457819999E-2</v>
      </c>
      <c r="H65" s="147"/>
      <c r="I65" s="147"/>
      <c r="J65" s="100"/>
    </row>
    <row r="66" spans="2:13" ht="13.5" thickBot="1" x14ac:dyDescent="0.3">
      <c r="B66" s="460" t="s">
        <v>136</v>
      </c>
      <c r="C66" s="461"/>
      <c r="D66" s="461"/>
      <c r="E66" s="462"/>
      <c r="F66" s="157">
        <f>SUM(F63:F65)</f>
        <v>63840.44859629999</v>
      </c>
      <c r="G66" s="99">
        <f>+F66/$F$66</f>
        <v>1</v>
      </c>
      <c r="H66" s="463"/>
      <c r="I66" s="147"/>
      <c r="J66" s="100"/>
      <c r="M66" s="122" t="s">
        <v>137</v>
      </c>
    </row>
    <row r="67" spans="2:13" x14ac:dyDescent="0.25">
      <c r="C67" s="142"/>
      <c r="D67" s="142"/>
      <c r="E67" s="186"/>
      <c r="F67" s="178"/>
      <c r="G67" s="99"/>
      <c r="H67" s="463"/>
      <c r="I67" s="185"/>
      <c r="J67" s="122"/>
      <c r="M67" s="122" t="s">
        <v>138</v>
      </c>
    </row>
    <row r="68" spans="2:13" ht="13.5" thickBot="1" x14ac:dyDescent="0.3">
      <c r="B68" s="464" t="s">
        <v>139</v>
      </c>
      <c r="C68" s="464"/>
      <c r="D68" s="464"/>
      <c r="E68" s="464"/>
      <c r="F68" s="464"/>
      <c r="G68" s="99"/>
      <c r="H68" s="188"/>
      <c r="I68" s="185"/>
      <c r="J68" s="122"/>
      <c r="M68" s="122" t="s">
        <v>140</v>
      </c>
    </row>
    <row r="69" spans="2:13" ht="13.5" thickBot="1" x14ac:dyDescent="0.3">
      <c r="B69" s="189" t="s">
        <v>141</v>
      </c>
      <c r="C69" s="190">
        <f>+F53</f>
        <v>59365.19999999999</v>
      </c>
      <c r="D69" s="190">
        <f>+D58</f>
        <v>46750</v>
      </c>
      <c r="E69" s="191">
        <f>+C69/D69</f>
        <v>1.2698438502673794</v>
      </c>
      <c r="F69" s="99"/>
      <c r="G69" s="188"/>
      <c r="H69" s="100"/>
      <c r="I69" s="188"/>
      <c r="J69" s="122"/>
    </row>
    <row r="70" spans="2:13" x14ac:dyDescent="0.25">
      <c r="B70" s="192"/>
      <c r="C70" s="193"/>
      <c r="D70" s="194"/>
      <c r="E70" s="178"/>
      <c r="F70" s="99"/>
      <c r="G70" s="188"/>
      <c r="H70" s="100"/>
      <c r="I70" s="100"/>
      <c r="J70" s="122"/>
    </row>
    <row r="71" spans="2:13" x14ac:dyDescent="0.25">
      <c r="B71" s="189" t="s">
        <v>142</v>
      </c>
      <c r="C71" s="190">
        <f>SUM(F63:F64)</f>
        <v>61705.44859629999</v>
      </c>
      <c r="D71" s="190">
        <f>+D58</f>
        <v>46750</v>
      </c>
      <c r="E71" s="195">
        <f>+C71/D71</f>
        <v>1.3199026437711228</v>
      </c>
      <c r="F71" s="99"/>
      <c r="G71" s="188"/>
      <c r="H71" s="100"/>
      <c r="I71" s="100"/>
      <c r="J71" s="122"/>
    </row>
    <row r="72" spans="2:13" x14ac:dyDescent="0.25">
      <c r="B72" s="189"/>
      <c r="C72" s="190"/>
      <c r="D72" s="190"/>
      <c r="E72" s="195"/>
      <c r="F72" s="99"/>
      <c r="G72" s="188"/>
      <c r="H72" s="100"/>
      <c r="I72" s="100"/>
      <c r="J72" s="122"/>
    </row>
    <row r="73" spans="2:13" ht="13.5" thickBot="1" x14ac:dyDescent="0.3">
      <c r="B73" s="189" t="s">
        <v>143</v>
      </c>
      <c r="C73" s="190">
        <f>+F65</f>
        <v>2135</v>
      </c>
      <c r="D73" s="190">
        <f>+D58</f>
        <v>46750</v>
      </c>
      <c r="E73" s="195">
        <f>+C73/D73</f>
        <v>4.5668449197860964E-2</v>
      </c>
      <c r="F73" s="99"/>
      <c r="G73" s="188"/>
      <c r="H73" s="100"/>
      <c r="I73" s="100"/>
      <c r="J73" s="122"/>
    </row>
    <row r="74" spans="2:13" ht="13.5" thickBot="1" x14ac:dyDescent="0.3">
      <c r="B74" s="189" t="s">
        <v>144</v>
      </c>
      <c r="C74" s="190">
        <f>+F56</f>
        <v>3681.0364029409798</v>
      </c>
      <c r="D74" s="190">
        <f>+D73</f>
        <v>46750</v>
      </c>
      <c r="E74" s="191">
        <f>+C74/D74</f>
        <v>7.873874658697283E-2</v>
      </c>
      <c r="F74" s="99"/>
      <c r="G74" s="188"/>
      <c r="H74" s="100"/>
      <c r="I74" s="100"/>
      <c r="J74" s="122"/>
    </row>
    <row r="75" spans="2:13" ht="13.5" thickBot="1" x14ac:dyDescent="0.3">
      <c r="B75" s="156"/>
      <c r="C75" s="157"/>
      <c r="D75" s="157"/>
      <c r="E75" s="195"/>
      <c r="F75" s="99"/>
      <c r="G75" s="188"/>
      <c r="H75" s="100"/>
      <c r="I75" s="100"/>
      <c r="J75" s="122"/>
    </row>
    <row r="76" spans="2:13" ht="13.5" thickBot="1" x14ac:dyDescent="0.3">
      <c r="B76" s="189" t="s">
        <v>145</v>
      </c>
      <c r="C76" s="190">
        <f>+F54</f>
        <v>1152.9445963000001</v>
      </c>
      <c r="D76" s="190">
        <f>+D74</f>
        <v>46750</v>
      </c>
      <c r="E76" s="191">
        <f>+C76/D76</f>
        <v>2.4661916498395723E-2</v>
      </c>
      <c r="F76" s="99"/>
      <c r="G76" s="188"/>
      <c r="H76" s="100"/>
      <c r="I76" s="100"/>
      <c r="J76" s="100"/>
    </row>
    <row r="77" spans="2:13" ht="13.5" thickBot="1" x14ac:dyDescent="0.3">
      <c r="B77" s="156"/>
      <c r="C77" s="157"/>
      <c r="D77" s="157"/>
      <c r="E77" s="195"/>
      <c r="F77" s="99"/>
      <c r="G77" s="188"/>
      <c r="H77" s="100"/>
      <c r="I77" s="100"/>
    </row>
    <row r="78" spans="2:13" ht="13.5" thickBot="1" x14ac:dyDescent="0.3">
      <c r="B78" s="465" t="s">
        <v>146</v>
      </c>
      <c r="C78" s="466"/>
      <c r="D78" s="467"/>
      <c r="E78" s="191">
        <f>+E69+E74</f>
        <v>1.3485825968543523</v>
      </c>
      <c r="G78" s="99"/>
      <c r="H78" s="188"/>
      <c r="I78" s="100"/>
      <c r="J78" s="195"/>
    </row>
    <row r="79" spans="2:13" x14ac:dyDescent="0.25">
      <c r="I79" s="188"/>
      <c r="J79" s="122"/>
    </row>
    <row r="80" spans="2:13" ht="13.5" thickBot="1" x14ac:dyDescent="0.3">
      <c r="B80" s="464" t="s">
        <v>147</v>
      </c>
      <c r="C80" s="464"/>
      <c r="D80" s="464"/>
      <c r="E80" s="464"/>
      <c r="F80" s="464"/>
      <c r="G80" s="99"/>
      <c r="H80" s="188"/>
      <c r="J80" s="122"/>
    </row>
    <row r="81" spans="1:10" ht="13.5" thickBot="1" x14ac:dyDescent="0.3">
      <c r="B81" s="189" t="s">
        <v>141</v>
      </c>
      <c r="C81" s="190">
        <f>+C69</f>
        <v>59365.19999999999</v>
      </c>
      <c r="D81" s="190">
        <f>+D60</f>
        <v>46.75</v>
      </c>
      <c r="E81" s="191">
        <f>+C81/D81</f>
        <v>1269.8438502673794</v>
      </c>
      <c r="F81" s="99"/>
      <c r="G81" s="188"/>
      <c r="H81" s="100"/>
      <c r="I81" s="188"/>
      <c r="J81" s="122"/>
    </row>
    <row r="82" spans="1:10" x14ac:dyDescent="0.25">
      <c r="B82" s="192"/>
      <c r="C82" s="193"/>
      <c r="D82" s="194"/>
      <c r="E82" s="178"/>
      <c r="F82" s="99"/>
      <c r="G82" s="188"/>
      <c r="H82" s="100"/>
      <c r="I82" s="100"/>
      <c r="J82" s="122"/>
    </row>
    <row r="83" spans="1:10" x14ac:dyDescent="0.25">
      <c r="B83" s="189" t="s">
        <v>142</v>
      </c>
      <c r="C83" s="190">
        <f>+C71</f>
        <v>61705.44859629999</v>
      </c>
      <c r="D83" s="190">
        <f>+D60</f>
        <v>46.75</v>
      </c>
      <c r="E83" s="195">
        <f>+C83/D83</f>
        <v>1319.9026437711227</v>
      </c>
      <c r="F83" s="99"/>
      <c r="G83" s="188"/>
      <c r="H83" s="100"/>
      <c r="I83" s="100"/>
      <c r="J83" s="122"/>
    </row>
    <row r="84" spans="1:10" x14ac:dyDescent="0.25">
      <c r="B84" s="189"/>
      <c r="C84" s="190"/>
      <c r="D84" s="190"/>
      <c r="E84" s="195"/>
      <c r="F84" s="99"/>
      <c r="G84" s="188"/>
      <c r="H84" s="100"/>
      <c r="I84" s="100"/>
      <c r="J84" s="122"/>
    </row>
    <row r="85" spans="1:10" ht="13.5" thickBot="1" x14ac:dyDescent="0.3">
      <c r="B85" s="189" t="s">
        <v>144</v>
      </c>
      <c r="C85" s="190">
        <f>+C73</f>
        <v>2135</v>
      </c>
      <c r="D85" s="190">
        <f>+D60</f>
        <v>46.75</v>
      </c>
      <c r="E85" s="195">
        <f>+C85/D85</f>
        <v>45.668449197860966</v>
      </c>
      <c r="F85" s="196"/>
      <c r="G85" s="187"/>
      <c r="H85" s="121"/>
      <c r="I85" s="100"/>
    </row>
    <row r="86" spans="1:10" ht="13.5" thickBot="1" x14ac:dyDescent="0.3">
      <c r="B86" s="189" t="s">
        <v>144</v>
      </c>
      <c r="C86" s="190">
        <f>+C74</f>
        <v>3681.0364029409798</v>
      </c>
      <c r="D86" s="190">
        <f>+D85</f>
        <v>46.75</v>
      </c>
      <c r="E86" s="191">
        <f>+C86/D86</f>
        <v>78.738746586972823</v>
      </c>
      <c r="F86" s="107"/>
      <c r="G86" s="187"/>
      <c r="H86" s="121"/>
      <c r="I86" s="121"/>
    </row>
    <row r="87" spans="1:10" x14ac:dyDescent="0.25">
      <c r="I87" s="121"/>
    </row>
    <row r="88" spans="1:10" x14ac:dyDescent="0.2">
      <c r="A88" s="459"/>
      <c r="B88" s="459"/>
      <c r="C88" s="197"/>
      <c r="D88" s="197"/>
      <c r="E88" s="198"/>
      <c r="G88" s="108"/>
    </row>
    <row r="89" spans="1:10" x14ac:dyDescent="0.2">
      <c r="A89" s="138"/>
      <c r="B89" s="199"/>
      <c r="C89" s="200"/>
      <c r="D89" s="200"/>
      <c r="E89" s="201"/>
      <c r="G89" s="108"/>
    </row>
    <row r="90" spans="1:10" x14ac:dyDescent="0.2">
      <c r="A90" s="138"/>
      <c r="B90" s="199"/>
      <c r="C90" s="202"/>
      <c r="D90" s="202"/>
      <c r="E90" s="138"/>
      <c r="G90" s="108"/>
    </row>
    <row r="91" spans="1:10" x14ac:dyDescent="0.2">
      <c r="A91" s="138"/>
      <c r="B91" s="199"/>
      <c r="C91" s="203"/>
      <c r="D91" s="203"/>
      <c r="E91" s="138"/>
      <c r="G91" s="108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92815-74D5-482B-86D9-3F447B021354}">
  <sheetPr>
    <pageSetUpPr fitToPage="1"/>
  </sheetPr>
  <dimension ref="A1:L47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1" max="1" width="15.28515625" customWidth="1"/>
    <col min="2" max="2" width="16.5703125" customWidth="1"/>
    <col min="3" max="3" width="68.42578125" customWidth="1"/>
    <col min="4" max="4" width="25.85546875" customWidth="1"/>
    <col min="5" max="5" width="12.140625" customWidth="1"/>
    <col min="6" max="6" width="18.140625" customWidth="1"/>
    <col min="7" max="7" width="15.42578125" customWidth="1"/>
    <col min="8" max="8" width="21.28515625" customWidth="1"/>
    <col min="9" max="9" width="21.140625" bestFit="1" customWidth="1"/>
  </cols>
  <sheetData>
    <row r="1" spans="1:12" ht="18" x14ac:dyDescent="0.25">
      <c r="A1" s="661"/>
      <c r="B1" s="662"/>
      <c r="C1" s="667" t="s">
        <v>0</v>
      </c>
      <c r="D1" s="667"/>
      <c r="E1" s="667"/>
      <c r="F1" s="667"/>
      <c r="G1" s="667"/>
      <c r="H1" s="303" t="s">
        <v>1</v>
      </c>
      <c r="I1" s="304" t="s">
        <v>200</v>
      </c>
    </row>
    <row r="2" spans="1:12" ht="18" customHeight="1" thickBot="1" x14ac:dyDescent="0.3">
      <c r="A2" s="663"/>
      <c r="B2" s="664"/>
      <c r="C2" s="668" t="s">
        <v>2</v>
      </c>
      <c r="D2" s="669"/>
      <c r="E2" s="669"/>
      <c r="F2" s="669"/>
      <c r="G2" s="670"/>
      <c r="H2" s="305" t="s">
        <v>3</v>
      </c>
      <c r="I2" s="306" t="s">
        <v>217</v>
      </c>
    </row>
    <row r="3" spans="1:12" ht="31.5" customHeight="1" thickBot="1" x14ac:dyDescent="0.3">
      <c r="A3" s="663"/>
      <c r="B3" s="664"/>
      <c r="C3" s="727" t="s">
        <v>207</v>
      </c>
      <c r="D3" s="728"/>
      <c r="E3" s="728"/>
      <c r="F3" s="728"/>
      <c r="G3" s="729"/>
      <c r="H3" s="671" t="s">
        <v>5</v>
      </c>
      <c r="I3" s="652">
        <v>45612</v>
      </c>
    </row>
    <row r="4" spans="1:12" ht="18" customHeight="1" x14ac:dyDescent="0.25">
      <c r="A4" s="663"/>
      <c r="B4" s="664"/>
      <c r="C4" s="307" t="s">
        <v>6</v>
      </c>
      <c r="D4" s="655" t="s">
        <v>53</v>
      </c>
      <c r="E4" s="656"/>
      <c r="F4" s="656"/>
      <c r="G4" s="657"/>
      <c r="H4" s="672"/>
      <c r="I4" s="653"/>
    </row>
    <row r="5" spans="1:12" ht="18.75" thickBot="1" x14ac:dyDescent="0.3">
      <c r="A5" s="665"/>
      <c r="B5" s="666"/>
      <c r="C5" s="308" t="s">
        <v>8</v>
      </c>
      <c r="D5" s="658" t="s">
        <v>9</v>
      </c>
      <c r="E5" s="659"/>
      <c r="F5" s="659"/>
      <c r="G5" s="660"/>
      <c r="H5" s="673"/>
      <c r="I5" s="654"/>
    </row>
    <row r="6" spans="1:12" ht="18.75" thickBot="1" x14ac:dyDescent="0.3">
      <c r="A6" s="569" t="s">
        <v>165</v>
      </c>
      <c r="B6" s="569"/>
      <c r="C6" s="569"/>
      <c r="D6" s="674" t="s">
        <v>60</v>
      </c>
      <c r="E6" s="674"/>
      <c r="F6" s="674"/>
      <c r="G6" s="571" t="s">
        <v>167</v>
      </c>
      <c r="H6" s="571"/>
      <c r="I6" s="309" t="s">
        <v>186</v>
      </c>
    </row>
    <row r="7" spans="1:12" ht="36" x14ac:dyDescent="0.25">
      <c r="A7" s="675" t="s">
        <v>10</v>
      </c>
      <c r="B7" s="677" t="s">
        <v>187</v>
      </c>
      <c r="C7" s="679" t="s">
        <v>12</v>
      </c>
      <c r="D7" s="679" t="s">
        <v>13</v>
      </c>
      <c r="E7" s="679" t="s">
        <v>14</v>
      </c>
      <c r="F7" s="679"/>
      <c r="G7" s="679" t="s">
        <v>15</v>
      </c>
      <c r="H7" s="679"/>
      <c r="I7" s="310" t="s">
        <v>16</v>
      </c>
    </row>
    <row r="8" spans="1:12" ht="36.75" thickBot="1" x14ac:dyDescent="0.3">
      <c r="A8" s="676"/>
      <c r="B8" s="678"/>
      <c r="C8" s="680"/>
      <c r="D8" s="680"/>
      <c r="E8" s="311" t="s">
        <v>17</v>
      </c>
      <c r="F8" s="312" t="s">
        <v>18</v>
      </c>
      <c r="G8" s="311" t="s">
        <v>17</v>
      </c>
      <c r="H8" s="312" t="s">
        <v>18</v>
      </c>
      <c r="I8" s="313" t="s">
        <v>19</v>
      </c>
    </row>
    <row r="9" spans="1:12" ht="20.25" x14ac:dyDescent="0.3">
      <c r="A9" s="314"/>
      <c r="B9" s="315"/>
      <c r="C9" s="316" t="s">
        <v>55</v>
      </c>
      <c r="D9" s="317"/>
      <c r="E9" s="318"/>
      <c r="F9" s="319"/>
      <c r="G9" s="318"/>
      <c r="H9" s="319"/>
      <c r="I9" s="320"/>
    </row>
    <row r="10" spans="1:12" ht="20.25" x14ac:dyDescent="0.3">
      <c r="A10" s="321" t="s">
        <v>56</v>
      </c>
      <c r="B10" s="321" t="s">
        <v>183</v>
      </c>
      <c r="C10" s="322" t="s">
        <v>188</v>
      </c>
      <c r="D10" s="323" t="s">
        <v>22</v>
      </c>
      <c r="E10" s="324">
        <v>920</v>
      </c>
      <c r="F10" s="325" t="s">
        <v>23</v>
      </c>
      <c r="G10" s="326"/>
      <c r="H10" s="327" t="s">
        <v>189</v>
      </c>
      <c r="I10" s="320"/>
      <c r="L10" s="302"/>
    </row>
    <row r="11" spans="1:12" ht="20.25" x14ac:dyDescent="0.3">
      <c r="A11" s="321">
        <v>96344</v>
      </c>
      <c r="B11" s="321" t="s">
        <v>58</v>
      </c>
      <c r="C11" s="322" t="s">
        <v>59</v>
      </c>
      <c r="D11" s="323" t="s">
        <v>22</v>
      </c>
      <c r="E11" s="324">
        <v>240</v>
      </c>
      <c r="F11" s="325" t="s">
        <v>23</v>
      </c>
      <c r="G11" s="328"/>
      <c r="H11" s="327" t="s">
        <v>201</v>
      </c>
      <c r="I11" s="320"/>
      <c r="L11" s="302"/>
    </row>
    <row r="12" spans="1:12" ht="20.25" x14ac:dyDescent="0.3">
      <c r="A12" s="321" t="s">
        <v>56</v>
      </c>
      <c r="B12" s="321" t="s">
        <v>183</v>
      </c>
      <c r="C12" s="322" t="s">
        <v>188</v>
      </c>
      <c r="D12" s="323" t="s">
        <v>22</v>
      </c>
      <c r="E12" s="324">
        <v>10</v>
      </c>
      <c r="F12" s="325" t="s">
        <v>23</v>
      </c>
      <c r="G12" s="329" t="s">
        <v>203</v>
      </c>
      <c r="H12" s="327" t="s">
        <v>204</v>
      </c>
      <c r="I12" s="320"/>
      <c r="L12" s="302"/>
    </row>
    <row r="13" spans="1:12" ht="20.25" x14ac:dyDescent="0.3">
      <c r="A13" s="330"/>
      <c r="B13" s="331"/>
      <c r="C13" s="332" t="s">
        <v>60</v>
      </c>
      <c r="D13" s="333"/>
      <c r="E13" s="328"/>
      <c r="F13" s="334"/>
      <c r="G13" s="318"/>
      <c r="H13" s="319"/>
      <c r="I13" s="320"/>
      <c r="L13" s="302"/>
    </row>
    <row r="14" spans="1:12" ht="20.25" x14ac:dyDescent="0.3">
      <c r="A14" s="335"/>
      <c r="B14" s="336" t="s">
        <v>184</v>
      </c>
      <c r="C14" s="337" t="s">
        <v>61</v>
      </c>
      <c r="D14" s="335" t="s">
        <v>22</v>
      </c>
      <c r="E14" s="335">
        <v>230</v>
      </c>
      <c r="F14" s="335" t="s">
        <v>23</v>
      </c>
      <c r="G14" s="318"/>
      <c r="H14" s="319" t="s">
        <v>190</v>
      </c>
      <c r="I14" s="320"/>
      <c r="L14" s="302"/>
    </row>
    <row r="15" spans="1:12" ht="20.25" x14ac:dyDescent="0.3">
      <c r="A15" s="336" t="s">
        <v>155</v>
      </c>
      <c r="B15" s="336" t="s">
        <v>156</v>
      </c>
      <c r="C15" s="338" t="s">
        <v>191</v>
      </c>
      <c r="D15" s="335" t="s">
        <v>22</v>
      </c>
      <c r="E15" s="335">
        <v>50</v>
      </c>
      <c r="F15" s="335" t="s">
        <v>23</v>
      </c>
      <c r="G15" s="318"/>
      <c r="H15" s="319" t="s">
        <v>208</v>
      </c>
      <c r="I15" s="320"/>
      <c r="L15" s="302"/>
    </row>
    <row r="16" spans="1:12" ht="20.25" x14ac:dyDescent="0.3">
      <c r="A16" s="336"/>
      <c r="B16" s="336" t="s">
        <v>184</v>
      </c>
      <c r="C16" s="338" t="s">
        <v>61</v>
      </c>
      <c r="D16" s="335" t="s">
        <v>22</v>
      </c>
      <c r="E16" s="335">
        <v>40</v>
      </c>
      <c r="F16" s="335" t="s">
        <v>23</v>
      </c>
      <c r="G16" s="318"/>
      <c r="H16" s="319" t="s">
        <v>192</v>
      </c>
      <c r="I16" s="320"/>
      <c r="L16" s="302"/>
    </row>
    <row r="17" spans="1:9" ht="20.25" x14ac:dyDescent="0.3">
      <c r="A17" s="336"/>
      <c r="B17" s="336"/>
      <c r="C17" s="338"/>
      <c r="D17" s="339"/>
      <c r="E17" s="336"/>
      <c r="F17" s="340"/>
      <c r="G17" s="318"/>
      <c r="H17" s="319"/>
      <c r="I17" s="320"/>
    </row>
    <row r="18" spans="1:9" ht="20.25" x14ac:dyDescent="0.3">
      <c r="A18" s="341"/>
      <c r="B18" s="342"/>
      <c r="C18" s="343" t="s">
        <v>193</v>
      </c>
      <c r="D18" s="344"/>
      <c r="E18" s="345"/>
      <c r="F18" s="319"/>
      <c r="G18" s="318"/>
      <c r="H18" s="346"/>
      <c r="I18" s="320"/>
    </row>
    <row r="19" spans="1:9" ht="20.25" x14ac:dyDescent="0.3">
      <c r="A19" s="336"/>
      <c r="B19" s="336" t="s">
        <v>185</v>
      </c>
      <c r="C19" s="338" t="s">
        <v>152</v>
      </c>
      <c r="D19" s="336" t="s">
        <v>194</v>
      </c>
      <c r="E19" s="347">
        <v>1</v>
      </c>
      <c r="F19" s="347" t="s">
        <v>29</v>
      </c>
      <c r="G19" s="348"/>
      <c r="H19" s="319"/>
      <c r="I19" s="320"/>
    </row>
    <row r="20" spans="1:9" ht="20.25" x14ac:dyDescent="0.3">
      <c r="A20" s="336"/>
      <c r="B20" s="336" t="s">
        <v>209</v>
      </c>
      <c r="C20" s="338" t="s">
        <v>210</v>
      </c>
      <c r="D20" s="336"/>
      <c r="E20" s="347">
        <v>1</v>
      </c>
      <c r="F20" s="347" t="s">
        <v>29</v>
      </c>
      <c r="G20" s="348"/>
      <c r="H20" s="319"/>
      <c r="I20" s="320"/>
    </row>
    <row r="21" spans="1:9" ht="20.25" x14ac:dyDescent="0.3">
      <c r="A21" s="336" t="s">
        <v>75</v>
      </c>
      <c r="B21" s="336" t="s">
        <v>33</v>
      </c>
      <c r="C21" s="338" t="s">
        <v>34</v>
      </c>
      <c r="D21" s="336" t="s">
        <v>195</v>
      </c>
      <c r="E21" s="347">
        <v>1</v>
      </c>
      <c r="F21" s="347" t="s">
        <v>29</v>
      </c>
      <c r="G21" s="348"/>
      <c r="H21" s="319"/>
      <c r="I21" s="320"/>
    </row>
    <row r="22" spans="1:9" ht="20.25" x14ac:dyDescent="0.3">
      <c r="A22" s="336" t="s">
        <v>77</v>
      </c>
      <c r="B22" s="336" t="s">
        <v>78</v>
      </c>
      <c r="C22" s="338" t="s">
        <v>79</v>
      </c>
      <c r="D22" s="336" t="s">
        <v>196</v>
      </c>
      <c r="E22" s="347">
        <v>1</v>
      </c>
      <c r="F22" s="347" t="s">
        <v>29</v>
      </c>
      <c r="G22" s="318"/>
      <c r="H22" s="319"/>
      <c r="I22" s="320"/>
    </row>
    <row r="23" spans="1:9" ht="20.25" x14ac:dyDescent="0.3">
      <c r="A23" s="336"/>
      <c r="B23" s="336" t="s">
        <v>197</v>
      </c>
      <c r="C23" s="338" t="s">
        <v>198</v>
      </c>
      <c r="D23" s="336" t="s">
        <v>199</v>
      </c>
      <c r="E23" s="347">
        <v>1</v>
      </c>
      <c r="F23" s="347" t="s">
        <v>29</v>
      </c>
      <c r="G23" s="318"/>
      <c r="H23" s="319"/>
      <c r="I23" s="320"/>
    </row>
    <row r="24" spans="1:9" ht="21" x14ac:dyDescent="0.35">
      <c r="A24" s="349"/>
      <c r="B24" s="376" t="s">
        <v>214</v>
      </c>
      <c r="C24" s="322" t="s">
        <v>215</v>
      </c>
      <c r="D24" s="336" t="s">
        <v>196</v>
      </c>
      <c r="E24" s="336">
        <v>1</v>
      </c>
      <c r="F24" s="350" t="s">
        <v>29</v>
      </c>
      <c r="G24" s="351"/>
      <c r="H24" s="319"/>
      <c r="I24" s="320"/>
    </row>
    <row r="25" spans="1:9" ht="20.25" x14ac:dyDescent="0.3">
      <c r="A25" s="352" t="s">
        <v>85</v>
      </c>
      <c r="B25" s="353" t="s">
        <v>86</v>
      </c>
      <c r="C25" s="375" t="s">
        <v>87</v>
      </c>
      <c r="D25" s="336" t="s">
        <v>195</v>
      </c>
      <c r="E25" s="336">
        <v>60</v>
      </c>
      <c r="F25" s="350" t="s">
        <v>88</v>
      </c>
      <c r="G25" s="354"/>
      <c r="H25" s="319"/>
      <c r="I25" s="320"/>
    </row>
    <row r="26" spans="1:9" ht="20.25" x14ac:dyDescent="0.3">
      <c r="A26" s="330"/>
      <c r="B26" s="331"/>
      <c r="C26" s="355"/>
      <c r="D26" s="356"/>
      <c r="E26" s="354"/>
      <c r="F26" s="334"/>
      <c r="G26" s="354"/>
      <c r="H26" s="319"/>
      <c r="I26" s="320"/>
    </row>
    <row r="27" spans="1:9" ht="20.25" x14ac:dyDescent="0.3">
      <c r="A27" s="330"/>
      <c r="B27" s="331"/>
      <c r="C27" s="355"/>
      <c r="D27" s="333"/>
      <c r="E27" s="333"/>
      <c r="F27" s="334"/>
      <c r="G27" s="333"/>
      <c r="H27" s="333"/>
      <c r="I27" s="320"/>
    </row>
    <row r="28" spans="1:9" ht="21" thickBot="1" x14ac:dyDescent="0.35">
      <c r="A28" s="357"/>
      <c r="B28" s="358"/>
      <c r="C28" s="359"/>
      <c r="D28" s="359"/>
      <c r="E28" s="360"/>
      <c r="F28" s="361"/>
      <c r="G28" s="359"/>
      <c r="H28" s="359"/>
      <c r="I28" s="362"/>
    </row>
    <row r="29" spans="1:9" ht="21" thickBot="1" x14ac:dyDescent="0.35">
      <c r="A29" s="363"/>
      <c r="B29" s="364"/>
      <c r="C29" s="365"/>
      <c r="D29" s="366" t="s">
        <v>17</v>
      </c>
      <c r="E29" s="367" t="s">
        <v>36</v>
      </c>
      <c r="F29" s="368"/>
      <c r="G29" s="365"/>
      <c r="H29" s="365"/>
      <c r="I29" s="369"/>
    </row>
    <row r="30" spans="1:9" ht="20.25" x14ac:dyDescent="0.3">
      <c r="A30" s="681" t="s">
        <v>37</v>
      </c>
      <c r="B30" s="682"/>
      <c r="C30" s="683"/>
      <c r="D30" s="370">
        <v>1380</v>
      </c>
      <c r="E30" s="371" t="s">
        <v>23</v>
      </c>
      <c r="F30" s="684" t="s">
        <v>38</v>
      </c>
      <c r="G30" s="684"/>
      <c r="H30" s="685"/>
      <c r="I30" s="686"/>
    </row>
    <row r="31" spans="1:9" ht="20.25" x14ac:dyDescent="0.3">
      <c r="A31" s="687" t="s">
        <v>39</v>
      </c>
      <c r="B31" s="688"/>
      <c r="C31" s="689"/>
      <c r="D31" s="372">
        <v>6</v>
      </c>
      <c r="E31" s="356" t="s">
        <v>40</v>
      </c>
      <c r="F31" s="690" t="s">
        <v>41</v>
      </c>
      <c r="G31" s="690"/>
      <c r="H31" s="691"/>
      <c r="I31" s="692"/>
    </row>
    <row r="32" spans="1:9" ht="20.25" x14ac:dyDescent="0.3">
      <c r="A32" s="687" t="s">
        <v>42</v>
      </c>
      <c r="B32" s="688"/>
      <c r="C32" s="689"/>
      <c r="D32" s="356">
        <v>1</v>
      </c>
      <c r="E32" s="356" t="s">
        <v>29</v>
      </c>
      <c r="F32" s="690" t="s">
        <v>43</v>
      </c>
      <c r="G32" s="690"/>
      <c r="H32" s="691"/>
      <c r="I32" s="692"/>
    </row>
    <row r="33" spans="1:9" ht="20.25" x14ac:dyDescent="0.3">
      <c r="A33" s="687" t="s">
        <v>44</v>
      </c>
      <c r="B33" s="688"/>
      <c r="C33" s="689"/>
      <c r="D33" s="324">
        <v>1380</v>
      </c>
      <c r="E33" s="356" t="s">
        <v>23</v>
      </c>
      <c r="F33" s="696" t="s">
        <v>45</v>
      </c>
      <c r="G33" s="697"/>
      <c r="H33" s="698"/>
      <c r="I33" s="699"/>
    </row>
    <row r="34" spans="1:9" ht="21" thickBot="1" x14ac:dyDescent="0.35">
      <c r="A34" s="700" t="s">
        <v>46</v>
      </c>
      <c r="B34" s="701"/>
      <c r="C34" s="702"/>
      <c r="D34" s="373">
        <f>SUM(E10:E16)-D30</f>
        <v>110</v>
      </c>
      <c r="E34" s="374" t="s">
        <v>23</v>
      </c>
      <c r="F34" s="703"/>
      <c r="G34" s="703"/>
      <c r="H34" s="691"/>
      <c r="I34" s="692"/>
    </row>
    <row r="35" spans="1:9" ht="21" thickBot="1" x14ac:dyDescent="0.35">
      <c r="A35" s="717" t="s">
        <v>47</v>
      </c>
      <c r="B35" s="718"/>
      <c r="C35" s="718"/>
      <c r="D35" s="718"/>
      <c r="E35" s="718"/>
      <c r="F35" s="718"/>
      <c r="G35" s="718"/>
      <c r="H35" s="718"/>
      <c r="I35" s="719"/>
    </row>
    <row r="36" spans="1:9" ht="42" customHeight="1" x14ac:dyDescent="0.3">
      <c r="A36" s="693" t="s">
        <v>213</v>
      </c>
      <c r="B36" s="704"/>
      <c r="C36" s="704"/>
      <c r="D36" s="704"/>
      <c r="E36" s="704"/>
      <c r="F36" s="704"/>
      <c r="G36" s="704"/>
      <c r="H36" s="704"/>
      <c r="I36" s="705"/>
    </row>
    <row r="37" spans="1:9" ht="43.5" customHeight="1" x14ac:dyDescent="0.3">
      <c r="A37" s="693" t="s">
        <v>211</v>
      </c>
      <c r="B37" s="694"/>
      <c r="C37" s="694"/>
      <c r="D37" s="694"/>
      <c r="E37" s="694"/>
      <c r="F37" s="694"/>
      <c r="G37" s="694"/>
      <c r="H37" s="694"/>
      <c r="I37" s="695"/>
    </row>
    <row r="38" spans="1:9" ht="30" customHeight="1" x14ac:dyDescent="0.3">
      <c r="A38" s="711" t="s">
        <v>91</v>
      </c>
      <c r="B38" s="712"/>
      <c r="C38" s="712"/>
      <c r="D38" s="712"/>
      <c r="E38" s="712"/>
      <c r="F38" s="712"/>
      <c r="G38" s="712"/>
      <c r="H38" s="712"/>
      <c r="I38" s="713"/>
    </row>
    <row r="39" spans="1:9" ht="14.45" customHeight="1" x14ac:dyDescent="0.25">
      <c r="A39" s="714"/>
      <c r="B39" s="715"/>
      <c r="C39" s="715"/>
      <c r="D39" s="715"/>
      <c r="E39" s="715"/>
      <c r="F39" s="715"/>
      <c r="G39" s="715"/>
      <c r="H39" s="715"/>
      <c r="I39" s="716"/>
    </row>
    <row r="40" spans="1:9" ht="14.45" customHeight="1" thickBot="1" x14ac:dyDescent="0.35">
      <c r="A40" s="706"/>
      <c r="B40" s="707"/>
      <c r="C40" s="707"/>
      <c r="D40" s="707"/>
      <c r="E40" s="707"/>
      <c r="F40" s="707"/>
      <c r="G40" s="707"/>
      <c r="H40" s="707"/>
      <c r="I40" s="708"/>
    </row>
    <row r="41" spans="1:9" ht="20.25" x14ac:dyDescent="0.3">
      <c r="A41" s="709" t="s">
        <v>92</v>
      </c>
      <c r="B41" s="710"/>
      <c r="C41" s="710"/>
      <c r="D41" s="710"/>
      <c r="E41" s="710"/>
      <c r="F41" s="710"/>
      <c r="G41" s="710"/>
      <c r="H41" s="710"/>
      <c r="I41" s="710"/>
    </row>
    <row r="42" spans="1:9" ht="18" customHeight="1" x14ac:dyDescent="0.3">
      <c r="A42" s="720" t="s">
        <v>202</v>
      </c>
      <c r="B42" s="720"/>
      <c r="C42" s="720"/>
      <c r="D42" s="720"/>
      <c r="E42" s="720"/>
      <c r="F42" s="720"/>
      <c r="G42" s="720"/>
      <c r="H42" s="720"/>
      <c r="I42" s="720"/>
    </row>
    <row r="43" spans="1:9" ht="20.25" x14ac:dyDescent="0.3">
      <c r="A43" s="720" t="s">
        <v>205</v>
      </c>
      <c r="B43" s="720"/>
      <c r="C43" s="720"/>
      <c r="D43" s="720"/>
      <c r="E43" s="720"/>
      <c r="F43" s="720"/>
      <c r="G43" s="720"/>
      <c r="H43" s="720"/>
      <c r="I43" s="720"/>
    </row>
    <row r="44" spans="1:9" ht="20.25" x14ac:dyDescent="0.3">
      <c r="A44" s="721" t="s">
        <v>206</v>
      </c>
      <c r="B44" s="722"/>
      <c r="C44" s="722"/>
      <c r="D44" s="722"/>
      <c r="E44" s="722"/>
      <c r="F44" s="722"/>
      <c r="G44" s="722"/>
      <c r="H44" s="722"/>
      <c r="I44" s="723"/>
    </row>
    <row r="45" spans="1:9" ht="20.25" x14ac:dyDescent="0.3">
      <c r="A45" s="721" t="s">
        <v>212</v>
      </c>
      <c r="B45" s="722"/>
      <c r="C45" s="722"/>
      <c r="D45" s="722"/>
      <c r="E45" s="722"/>
      <c r="F45" s="722"/>
      <c r="G45" s="722"/>
      <c r="H45" s="722"/>
      <c r="I45" s="723"/>
    </row>
    <row r="46" spans="1:9" ht="20.25" x14ac:dyDescent="0.3">
      <c r="A46" s="721" t="s">
        <v>216</v>
      </c>
      <c r="B46" s="722"/>
      <c r="C46" s="722"/>
      <c r="D46" s="722"/>
      <c r="E46" s="722"/>
      <c r="F46" s="722"/>
      <c r="G46" s="722"/>
      <c r="H46" s="722"/>
      <c r="I46" s="723"/>
    </row>
    <row r="47" spans="1:9" x14ac:dyDescent="0.25">
      <c r="A47" s="724"/>
      <c r="B47" s="725"/>
      <c r="C47" s="725"/>
      <c r="D47" s="725"/>
      <c r="E47" s="725"/>
      <c r="F47" s="725"/>
      <c r="G47" s="725"/>
      <c r="H47" s="725"/>
      <c r="I47" s="726"/>
    </row>
  </sheetData>
  <mergeCells count="45">
    <mergeCell ref="A44:I44"/>
    <mergeCell ref="A45:I45"/>
    <mergeCell ref="A46:I46"/>
    <mergeCell ref="A47:I47"/>
    <mergeCell ref="A40:I40"/>
    <mergeCell ref="A41:I41"/>
    <mergeCell ref="A42:I42"/>
    <mergeCell ref="A43:I43"/>
    <mergeCell ref="A38:I38"/>
    <mergeCell ref="A39:I39"/>
    <mergeCell ref="A37:I37"/>
    <mergeCell ref="A32:C32"/>
    <mergeCell ref="F32:G32"/>
    <mergeCell ref="H32:I32"/>
    <mergeCell ref="A33:C33"/>
    <mergeCell ref="F33:G33"/>
    <mergeCell ref="H33:I33"/>
    <mergeCell ref="A34:C34"/>
    <mergeCell ref="F34:G34"/>
    <mergeCell ref="H34:I34"/>
    <mergeCell ref="A35:I35"/>
    <mergeCell ref="A36:I36"/>
    <mergeCell ref="A30:C30"/>
    <mergeCell ref="F30:G30"/>
    <mergeCell ref="H30:I30"/>
    <mergeCell ref="A31:C31"/>
    <mergeCell ref="F31:G31"/>
    <mergeCell ref="H31:I31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scale="42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2CF44-5C5F-428E-BD04-DA321BF97ABC}">
  <dimension ref="A1:Q93"/>
  <sheetViews>
    <sheetView topLeftCell="A58" workbookViewId="0">
      <selection activeCell="M73" sqref="M73"/>
    </sheetView>
  </sheetViews>
  <sheetFormatPr baseColWidth="10" defaultColWidth="8.42578125" defaultRowHeight="12.75" x14ac:dyDescent="0.25"/>
  <cols>
    <col min="1" max="1" width="10" style="122" bestFit="1" customWidth="1"/>
    <col min="2" max="2" width="44.28515625" style="122" bestFit="1" customWidth="1"/>
    <col min="3" max="3" width="10.42578125" style="122" bestFit="1" customWidth="1"/>
    <col min="4" max="4" width="10.42578125" style="122" customWidth="1"/>
    <col min="5" max="5" width="9.7109375" style="122" bestFit="1" customWidth="1"/>
    <col min="6" max="6" width="9.5703125" style="122" bestFit="1" customWidth="1"/>
    <col min="7" max="7" width="9.5703125" style="107" bestFit="1" customWidth="1"/>
    <col min="8" max="8" width="10.42578125" style="187" bestFit="1" customWidth="1"/>
    <col min="9" max="9" width="4.5703125" style="187" customWidth="1"/>
    <col min="10" max="10" width="1.85546875" style="121" customWidth="1"/>
    <col min="11" max="11" width="7" style="122" bestFit="1" customWidth="1"/>
    <col min="12" max="12" width="6.28515625" style="122" customWidth="1"/>
    <col min="13" max="13" width="20.42578125" style="122" customWidth="1"/>
    <col min="14" max="14" width="6.42578125" style="122" bestFit="1" customWidth="1"/>
    <col min="15" max="16" width="8.42578125" style="122"/>
    <col min="17" max="17" width="3.28515625" style="122" customWidth="1"/>
    <col min="18" max="256" width="8.42578125" style="122"/>
    <col min="257" max="257" width="10" style="122" bestFit="1" customWidth="1"/>
    <col min="258" max="258" width="44.28515625" style="122" bestFit="1" customWidth="1"/>
    <col min="259" max="259" width="10.42578125" style="122" bestFit="1" customWidth="1"/>
    <col min="260" max="260" width="10.42578125" style="122" customWidth="1"/>
    <col min="261" max="261" width="9.7109375" style="122" bestFit="1" customWidth="1"/>
    <col min="262" max="263" width="9.5703125" style="122" bestFit="1" customWidth="1"/>
    <col min="264" max="264" width="10.42578125" style="122" bestFit="1" customWidth="1"/>
    <col min="265" max="265" width="4.5703125" style="122" customWidth="1"/>
    <col min="266" max="266" width="1.85546875" style="122" customWidth="1"/>
    <col min="267" max="267" width="7" style="122" bestFit="1" customWidth="1"/>
    <col min="268" max="268" width="6.28515625" style="122" customWidth="1"/>
    <col min="269" max="269" width="20.42578125" style="122" customWidth="1"/>
    <col min="270" max="270" width="6.42578125" style="122" bestFit="1" customWidth="1"/>
    <col min="271" max="272" width="8.42578125" style="122"/>
    <col min="273" max="273" width="3.28515625" style="122" customWidth="1"/>
    <col min="274" max="512" width="8.42578125" style="122"/>
    <col min="513" max="513" width="10" style="122" bestFit="1" customWidth="1"/>
    <col min="514" max="514" width="44.28515625" style="122" bestFit="1" customWidth="1"/>
    <col min="515" max="515" width="10.42578125" style="122" bestFit="1" customWidth="1"/>
    <col min="516" max="516" width="10.42578125" style="122" customWidth="1"/>
    <col min="517" max="517" width="9.7109375" style="122" bestFit="1" customWidth="1"/>
    <col min="518" max="519" width="9.5703125" style="122" bestFit="1" customWidth="1"/>
    <col min="520" max="520" width="10.42578125" style="122" bestFit="1" customWidth="1"/>
    <col min="521" max="521" width="4.5703125" style="122" customWidth="1"/>
    <col min="522" max="522" width="1.85546875" style="122" customWidth="1"/>
    <col min="523" max="523" width="7" style="122" bestFit="1" customWidth="1"/>
    <col min="524" max="524" width="6.28515625" style="122" customWidth="1"/>
    <col min="525" max="525" width="20.42578125" style="122" customWidth="1"/>
    <col min="526" max="526" width="6.42578125" style="122" bestFit="1" customWidth="1"/>
    <col min="527" max="528" width="8.42578125" style="122"/>
    <col min="529" max="529" width="3.28515625" style="122" customWidth="1"/>
    <col min="530" max="768" width="8.42578125" style="122"/>
    <col min="769" max="769" width="10" style="122" bestFit="1" customWidth="1"/>
    <col min="770" max="770" width="44.28515625" style="122" bestFit="1" customWidth="1"/>
    <col min="771" max="771" width="10.42578125" style="122" bestFit="1" customWidth="1"/>
    <col min="772" max="772" width="10.42578125" style="122" customWidth="1"/>
    <col min="773" max="773" width="9.7109375" style="122" bestFit="1" customWidth="1"/>
    <col min="774" max="775" width="9.5703125" style="122" bestFit="1" customWidth="1"/>
    <col min="776" max="776" width="10.42578125" style="122" bestFit="1" customWidth="1"/>
    <col min="777" max="777" width="4.5703125" style="122" customWidth="1"/>
    <col min="778" max="778" width="1.85546875" style="122" customWidth="1"/>
    <col min="779" max="779" width="7" style="122" bestFit="1" customWidth="1"/>
    <col min="780" max="780" width="6.28515625" style="122" customWidth="1"/>
    <col min="781" max="781" width="20.42578125" style="122" customWidth="1"/>
    <col min="782" max="782" width="6.42578125" style="122" bestFit="1" customWidth="1"/>
    <col min="783" max="784" width="8.42578125" style="122"/>
    <col min="785" max="785" width="3.28515625" style="122" customWidth="1"/>
    <col min="786" max="1024" width="8.42578125" style="122"/>
    <col min="1025" max="1025" width="10" style="122" bestFit="1" customWidth="1"/>
    <col min="1026" max="1026" width="44.28515625" style="122" bestFit="1" customWidth="1"/>
    <col min="1027" max="1027" width="10.42578125" style="122" bestFit="1" customWidth="1"/>
    <col min="1028" max="1028" width="10.42578125" style="122" customWidth="1"/>
    <col min="1029" max="1029" width="9.7109375" style="122" bestFit="1" customWidth="1"/>
    <col min="1030" max="1031" width="9.5703125" style="122" bestFit="1" customWidth="1"/>
    <col min="1032" max="1032" width="10.42578125" style="122" bestFit="1" customWidth="1"/>
    <col min="1033" max="1033" width="4.5703125" style="122" customWidth="1"/>
    <col min="1034" max="1034" width="1.85546875" style="122" customWidth="1"/>
    <col min="1035" max="1035" width="7" style="122" bestFit="1" customWidth="1"/>
    <col min="1036" max="1036" width="6.28515625" style="122" customWidth="1"/>
    <col min="1037" max="1037" width="20.42578125" style="122" customWidth="1"/>
    <col min="1038" max="1038" width="6.42578125" style="122" bestFit="1" customWidth="1"/>
    <col min="1039" max="1040" width="8.42578125" style="122"/>
    <col min="1041" max="1041" width="3.28515625" style="122" customWidth="1"/>
    <col min="1042" max="1280" width="8.42578125" style="122"/>
    <col min="1281" max="1281" width="10" style="122" bestFit="1" customWidth="1"/>
    <col min="1282" max="1282" width="44.28515625" style="122" bestFit="1" customWidth="1"/>
    <col min="1283" max="1283" width="10.42578125" style="122" bestFit="1" customWidth="1"/>
    <col min="1284" max="1284" width="10.42578125" style="122" customWidth="1"/>
    <col min="1285" max="1285" width="9.7109375" style="122" bestFit="1" customWidth="1"/>
    <col min="1286" max="1287" width="9.5703125" style="122" bestFit="1" customWidth="1"/>
    <col min="1288" max="1288" width="10.42578125" style="122" bestFit="1" customWidth="1"/>
    <col min="1289" max="1289" width="4.5703125" style="122" customWidth="1"/>
    <col min="1290" max="1290" width="1.85546875" style="122" customWidth="1"/>
    <col min="1291" max="1291" width="7" style="122" bestFit="1" customWidth="1"/>
    <col min="1292" max="1292" width="6.28515625" style="122" customWidth="1"/>
    <col min="1293" max="1293" width="20.42578125" style="122" customWidth="1"/>
    <col min="1294" max="1294" width="6.42578125" style="122" bestFit="1" customWidth="1"/>
    <col min="1295" max="1296" width="8.42578125" style="122"/>
    <col min="1297" max="1297" width="3.28515625" style="122" customWidth="1"/>
    <col min="1298" max="1536" width="8.42578125" style="122"/>
    <col min="1537" max="1537" width="10" style="122" bestFit="1" customWidth="1"/>
    <col min="1538" max="1538" width="44.28515625" style="122" bestFit="1" customWidth="1"/>
    <col min="1539" max="1539" width="10.42578125" style="122" bestFit="1" customWidth="1"/>
    <col min="1540" max="1540" width="10.42578125" style="122" customWidth="1"/>
    <col min="1541" max="1541" width="9.7109375" style="122" bestFit="1" customWidth="1"/>
    <col min="1542" max="1543" width="9.5703125" style="122" bestFit="1" customWidth="1"/>
    <col min="1544" max="1544" width="10.42578125" style="122" bestFit="1" customWidth="1"/>
    <col min="1545" max="1545" width="4.5703125" style="122" customWidth="1"/>
    <col min="1546" max="1546" width="1.85546875" style="122" customWidth="1"/>
    <col min="1547" max="1547" width="7" style="122" bestFit="1" customWidth="1"/>
    <col min="1548" max="1548" width="6.28515625" style="122" customWidth="1"/>
    <col min="1549" max="1549" width="20.42578125" style="122" customWidth="1"/>
    <col min="1550" max="1550" width="6.42578125" style="122" bestFit="1" customWidth="1"/>
    <col min="1551" max="1552" width="8.42578125" style="122"/>
    <col min="1553" max="1553" width="3.28515625" style="122" customWidth="1"/>
    <col min="1554" max="1792" width="8.42578125" style="122"/>
    <col min="1793" max="1793" width="10" style="122" bestFit="1" customWidth="1"/>
    <col min="1794" max="1794" width="44.28515625" style="122" bestFit="1" customWidth="1"/>
    <col min="1795" max="1795" width="10.42578125" style="122" bestFit="1" customWidth="1"/>
    <col min="1796" max="1796" width="10.42578125" style="122" customWidth="1"/>
    <col min="1797" max="1797" width="9.7109375" style="122" bestFit="1" customWidth="1"/>
    <col min="1798" max="1799" width="9.5703125" style="122" bestFit="1" customWidth="1"/>
    <col min="1800" max="1800" width="10.42578125" style="122" bestFit="1" customWidth="1"/>
    <col min="1801" max="1801" width="4.5703125" style="122" customWidth="1"/>
    <col min="1802" max="1802" width="1.85546875" style="122" customWidth="1"/>
    <col min="1803" max="1803" width="7" style="122" bestFit="1" customWidth="1"/>
    <col min="1804" max="1804" width="6.28515625" style="122" customWidth="1"/>
    <col min="1805" max="1805" width="20.42578125" style="122" customWidth="1"/>
    <col min="1806" max="1806" width="6.42578125" style="122" bestFit="1" customWidth="1"/>
    <col min="1807" max="1808" width="8.42578125" style="122"/>
    <col min="1809" max="1809" width="3.28515625" style="122" customWidth="1"/>
    <col min="1810" max="2048" width="8.42578125" style="122"/>
    <col min="2049" max="2049" width="10" style="122" bestFit="1" customWidth="1"/>
    <col min="2050" max="2050" width="44.28515625" style="122" bestFit="1" customWidth="1"/>
    <col min="2051" max="2051" width="10.42578125" style="122" bestFit="1" customWidth="1"/>
    <col min="2052" max="2052" width="10.42578125" style="122" customWidth="1"/>
    <col min="2053" max="2053" width="9.7109375" style="122" bestFit="1" customWidth="1"/>
    <col min="2054" max="2055" width="9.5703125" style="122" bestFit="1" customWidth="1"/>
    <col min="2056" max="2056" width="10.42578125" style="122" bestFit="1" customWidth="1"/>
    <col min="2057" max="2057" width="4.5703125" style="122" customWidth="1"/>
    <col min="2058" max="2058" width="1.85546875" style="122" customWidth="1"/>
    <col min="2059" max="2059" width="7" style="122" bestFit="1" customWidth="1"/>
    <col min="2060" max="2060" width="6.28515625" style="122" customWidth="1"/>
    <col min="2061" max="2061" width="20.42578125" style="122" customWidth="1"/>
    <col min="2062" max="2062" width="6.42578125" style="122" bestFit="1" customWidth="1"/>
    <col min="2063" max="2064" width="8.42578125" style="122"/>
    <col min="2065" max="2065" width="3.28515625" style="122" customWidth="1"/>
    <col min="2066" max="2304" width="8.42578125" style="122"/>
    <col min="2305" max="2305" width="10" style="122" bestFit="1" customWidth="1"/>
    <col min="2306" max="2306" width="44.28515625" style="122" bestFit="1" customWidth="1"/>
    <col min="2307" max="2307" width="10.42578125" style="122" bestFit="1" customWidth="1"/>
    <col min="2308" max="2308" width="10.42578125" style="122" customWidth="1"/>
    <col min="2309" max="2309" width="9.7109375" style="122" bestFit="1" customWidth="1"/>
    <col min="2310" max="2311" width="9.5703125" style="122" bestFit="1" customWidth="1"/>
    <col min="2312" max="2312" width="10.42578125" style="122" bestFit="1" customWidth="1"/>
    <col min="2313" max="2313" width="4.5703125" style="122" customWidth="1"/>
    <col min="2314" max="2314" width="1.85546875" style="122" customWidth="1"/>
    <col min="2315" max="2315" width="7" style="122" bestFit="1" customWidth="1"/>
    <col min="2316" max="2316" width="6.28515625" style="122" customWidth="1"/>
    <col min="2317" max="2317" width="20.42578125" style="122" customWidth="1"/>
    <col min="2318" max="2318" width="6.42578125" style="122" bestFit="1" customWidth="1"/>
    <col min="2319" max="2320" width="8.42578125" style="122"/>
    <col min="2321" max="2321" width="3.28515625" style="122" customWidth="1"/>
    <col min="2322" max="2560" width="8.42578125" style="122"/>
    <col min="2561" max="2561" width="10" style="122" bestFit="1" customWidth="1"/>
    <col min="2562" max="2562" width="44.28515625" style="122" bestFit="1" customWidth="1"/>
    <col min="2563" max="2563" width="10.42578125" style="122" bestFit="1" customWidth="1"/>
    <col min="2564" max="2564" width="10.42578125" style="122" customWidth="1"/>
    <col min="2565" max="2565" width="9.7109375" style="122" bestFit="1" customWidth="1"/>
    <col min="2566" max="2567" width="9.5703125" style="122" bestFit="1" customWidth="1"/>
    <col min="2568" max="2568" width="10.42578125" style="122" bestFit="1" customWidth="1"/>
    <col min="2569" max="2569" width="4.5703125" style="122" customWidth="1"/>
    <col min="2570" max="2570" width="1.85546875" style="122" customWidth="1"/>
    <col min="2571" max="2571" width="7" style="122" bestFit="1" customWidth="1"/>
    <col min="2572" max="2572" width="6.28515625" style="122" customWidth="1"/>
    <col min="2573" max="2573" width="20.42578125" style="122" customWidth="1"/>
    <col min="2574" max="2574" width="6.42578125" style="122" bestFit="1" customWidth="1"/>
    <col min="2575" max="2576" width="8.42578125" style="122"/>
    <col min="2577" max="2577" width="3.28515625" style="122" customWidth="1"/>
    <col min="2578" max="2816" width="8.42578125" style="122"/>
    <col min="2817" max="2817" width="10" style="122" bestFit="1" customWidth="1"/>
    <col min="2818" max="2818" width="44.28515625" style="122" bestFit="1" customWidth="1"/>
    <col min="2819" max="2819" width="10.42578125" style="122" bestFit="1" customWidth="1"/>
    <col min="2820" max="2820" width="10.42578125" style="122" customWidth="1"/>
    <col min="2821" max="2821" width="9.7109375" style="122" bestFit="1" customWidth="1"/>
    <col min="2822" max="2823" width="9.5703125" style="122" bestFit="1" customWidth="1"/>
    <col min="2824" max="2824" width="10.42578125" style="122" bestFit="1" customWidth="1"/>
    <col min="2825" max="2825" width="4.5703125" style="122" customWidth="1"/>
    <col min="2826" max="2826" width="1.85546875" style="122" customWidth="1"/>
    <col min="2827" max="2827" width="7" style="122" bestFit="1" customWidth="1"/>
    <col min="2828" max="2828" width="6.28515625" style="122" customWidth="1"/>
    <col min="2829" max="2829" width="20.42578125" style="122" customWidth="1"/>
    <col min="2830" max="2830" width="6.42578125" style="122" bestFit="1" customWidth="1"/>
    <col min="2831" max="2832" width="8.42578125" style="122"/>
    <col min="2833" max="2833" width="3.28515625" style="122" customWidth="1"/>
    <col min="2834" max="3072" width="8.42578125" style="122"/>
    <col min="3073" max="3073" width="10" style="122" bestFit="1" customWidth="1"/>
    <col min="3074" max="3074" width="44.28515625" style="122" bestFit="1" customWidth="1"/>
    <col min="3075" max="3075" width="10.42578125" style="122" bestFit="1" customWidth="1"/>
    <col min="3076" max="3076" width="10.42578125" style="122" customWidth="1"/>
    <col min="3077" max="3077" width="9.7109375" style="122" bestFit="1" customWidth="1"/>
    <col min="3078" max="3079" width="9.5703125" style="122" bestFit="1" customWidth="1"/>
    <col min="3080" max="3080" width="10.42578125" style="122" bestFit="1" customWidth="1"/>
    <col min="3081" max="3081" width="4.5703125" style="122" customWidth="1"/>
    <col min="3082" max="3082" width="1.85546875" style="122" customWidth="1"/>
    <col min="3083" max="3083" width="7" style="122" bestFit="1" customWidth="1"/>
    <col min="3084" max="3084" width="6.28515625" style="122" customWidth="1"/>
    <col min="3085" max="3085" width="20.42578125" style="122" customWidth="1"/>
    <col min="3086" max="3086" width="6.42578125" style="122" bestFit="1" customWidth="1"/>
    <col min="3087" max="3088" width="8.42578125" style="122"/>
    <col min="3089" max="3089" width="3.28515625" style="122" customWidth="1"/>
    <col min="3090" max="3328" width="8.42578125" style="122"/>
    <col min="3329" max="3329" width="10" style="122" bestFit="1" customWidth="1"/>
    <col min="3330" max="3330" width="44.28515625" style="122" bestFit="1" customWidth="1"/>
    <col min="3331" max="3331" width="10.42578125" style="122" bestFit="1" customWidth="1"/>
    <col min="3332" max="3332" width="10.42578125" style="122" customWidth="1"/>
    <col min="3333" max="3333" width="9.7109375" style="122" bestFit="1" customWidth="1"/>
    <col min="3334" max="3335" width="9.5703125" style="122" bestFit="1" customWidth="1"/>
    <col min="3336" max="3336" width="10.42578125" style="122" bestFit="1" customWidth="1"/>
    <col min="3337" max="3337" width="4.5703125" style="122" customWidth="1"/>
    <col min="3338" max="3338" width="1.85546875" style="122" customWidth="1"/>
    <col min="3339" max="3339" width="7" style="122" bestFit="1" customWidth="1"/>
    <col min="3340" max="3340" width="6.28515625" style="122" customWidth="1"/>
    <col min="3341" max="3341" width="20.42578125" style="122" customWidth="1"/>
    <col min="3342" max="3342" width="6.42578125" style="122" bestFit="1" customWidth="1"/>
    <col min="3343" max="3344" width="8.42578125" style="122"/>
    <col min="3345" max="3345" width="3.28515625" style="122" customWidth="1"/>
    <col min="3346" max="3584" width="8.42578125" style="122"/>
    <col min="3585" max="3585" width="10" style="122" bestFit="1" customWidth="1"/>
    <col min="3586" max="3586" width="44.28515625" style="122" bestFit="1" customWidth="1"/>
    <col min="3587" max="3587" width="10.42578125" style="122" bestFit="1" customWidth="1"/>
    <col min="3588" max="3588" width="10.42578125" style="122" customWidth="1"/>
    <col min="3589" max="3589" width="9.7109375" style="122" bestFit="1" customWidth="1"/>
    <col min="3590" max="3591" width="9.5703125" style="122" bestFit="1" customWidth="1"/>
    <col min="3592" max="3592" width="10.42578125" style="122" bestFit="1" customWidth="1"/>
    <col min="3593" max="3593" width="4.5703125" style="122" customWidth="1"/>
    <col min="3594" max="3594" width="1.85546875" style="122" customWidth="1"/>
    <col min="3595" max="3595" width="7" style="122" bestFit="1" customWidth="1"/>
    <col min="3596" max="3596" width="6.28515625" style="122" customWidth="1"/>
    <col min="3597" max="3597" width="20.42578125" style="122" customWidth="1"/>
    <col min="3598" max="3598" width="6.42578125" style="122" bestFit="1" customWidth="1"/>
    <col min="3599" max="3600" width="8.42578125" style="122"/>
    <col min="3601" max="3601" width="3.28515625" style="122" customWidth="1"/>
    <col min="3602" max="3840" width="8.42578125" style="122"/>
    <col min="3841" max="3841" width="10" style="122" bestFit="1" customWidth="1"/>
    <col min="3842" max="3842" width="44.28515625" style="122" bestFit="1" customWidth="1"/>
    <col min="3843" max="3843" width="10.42578125" style="122" bestFit="1" customWidth="1"/>
    <col min="3844" max="3844" width="10.42578125" style="122" customWidth="1"/>
    <col min="3845" max="3845" width="9.7109375" style="122" bestFit="1" customWidth="1"/>
    <col min="3846" max="3847" width="9.5703125" style="122" bestFit="1" customWidth="1"/>
    <col min="3848" max="3848" width="10.42578125" style="122" bestFit="1" customWidth="1"/>
    <col min="3849" max="3849" width="4.5703125" style="122" customWidth="1"/>
    <col min="3850" max="3850" width="1.85546875" style="122" customWidth="1"/>
    <col min="3851" max="3851" width="7" style="122" bestFit="1" customWidth="1"/>
    <col min="3852" max="3852" width="6.28515625" style="122" customWidth="1"/>
    <col min="3853" max="3853" width="20.42578125" style="122" customWidth="1"/>
    <col min="3854" max="3854" width="6.42578125" style="122" bestFit="1" customWidth="1"/>
    <col min="3855" max="3856" width="8.42578125" style="122"/>
    <col min="3857" max="3857" width="3.28515625" style="122" customWidth="1"/>
    <col min="3858" max="4096" width="8.42578125" style="122"/>
    <col min="4097" max="4097" width="10" style="122" bestFit="1" customWidth="1"/>
    <col min="4098" max="4098" width="44.28515625" style="122" bestFit="1" customWidth="1"/>
    <col min="4099" max="4099" width="10.42578125" style="122" bestFit="1" customWidth="1"/>
    <col min="4100" max="4100" width="10.42578125" style="122" customWidth="1"/>
    <col min="4101" max="4101" width="9.7109375" style="122" bestFit="1" customWidth="1"/>
    <col min="4102" max="4103" width="9.5703125" style="122" bestFit="1" customWidth="1"/>
    <col min="4104" max="4104" width="10.42578125" style="122" bestFit="1" customWidth="1"/>
    <col min="4105" max="4105" width="4.5703125" style="122" customWidth="1"/>
    <col min="4106" max="4106" width="1.85546875" style="122" customWidth="1"/>
    <col min="4107" max="4107" width="7" style="122" bestFit="1" customWidth="1"/>
    <col min="4108" max="4108" width="6.28515625" style="122" customWidth="1"/>
    <col min="4109" max="4109" width="20.42578125" style="122" customWidth="1"/>
    <col min="4110" max="4110" width="6.42578125" style="122" bestFit="1" customWidth="1"/>
    <col min="4111" max="4112" width="8.42578125" style="122"/>
    <col min="4113" max="4113" width="3.28515625" style="122" customWidth="1"/>
    <col min="4114" max="4352" width="8.42578125" style="122"/>
    <col min="4353" max="4353" width="10" style="122" bestFit="1" customWidth="1"/>
    <col min="4354" max="4354" width="44.28515625" style="122" bestFit="1" customWidth="1"/>
    <col min="4355" max="4355" width="10.42578125" style="122" bestFit="1" customWidth="1"/>
    <col min="4356" max="4356" width="10.42578125" style="122" customWidth="1"/>
    <col min="4357" max="4357" width="9.7109375" style="122" bestFit="1" customWidth="1"/>
    <col min="4358" max="4359" width="9.5703125" style="122" bestFit="1" customWidth="1"/>
    <col min="4360" max="4360" width="10.42578125" style="122" bestFit="1" customWidth="1"/>
    <col min="4361" max="4361" width="4.5703125" style="122" customWidth="1"/>
    <col min="4362" max="4362" width="1.85546875" style="122" customWidth="1"/>
    <col min="4363" max="4363" width="7" style="122" bestFit="1" customWidth="1"/>
    <col min="4364" max="4364" width="6.28515625" style="122" customWidth="1"/>
    <col min="4365" max="4365" width="20.42578125" style="122" customWidth="1"/>
    <col min="4366" max="4366" width="6.42578125" style="122" bestFit="1" customWidth="1"/>
    <col min="4367" max="4368" width="8.42578125" style="122"/>
    <col min="4369" max="4369" width="3.28515625" style="122" customWidth="1"/>
    <col min="4370" max="4608" width="8.42578125" style="122"/>
    <col min="4609" max="4609" width="10" style="122" bestFit="1" customWidth="1"/>
    <col min="4610" max="4610" width="44.28515625" style="122" bestFit="1" customWidth="1"/>
    <col min="4611" max="4611" width="10.42578125" style="122" bestFit="1" customWidth="1"/>
    <col min="4612" max="4612" width="10.42578125" style="122" customWidth="1"/>
    <col min="4613" max="4613" width="9.7109375" style="122" bestFit="1" customWidth="1"/>
    <col min="4614" max="4615" width="9.5703125" style="122" bestFit="1" customWidth="1"/>
    <col min="4616" max="4616" width="10.42578125" style="122" bestFit="1" customWidth="1"/>
    <col min="4617" max="4617" width="4.5703125" style="122" customWidth="1"/>
    <col min="4618" max="4618" width="1.85546875" style="122" customWidth="1"/>
    <col min="4619" max="4619" width="7" style="122" bestFit="1" customWidth="1"/>
    <col min="4620" max="4620" width="6.28515625" style="122" customWidth="1"/>
    <col min="4621" max="4621" width="20.42578125" style="122" customWidth="1"/>
    <col min="4622" max="4622" width="6.42578125" style="122" bestFit="1" customWidth="1"/>
    <col min="4623" max="4624" width="8.42578125" style="122"/>
    <col min="4625" max="4625" width="3.28515625" style="122" customWidth="1"/>
    <col min="4626" max="4864" width="8.42578125" style="122"/>
    <col min="4865" max="4865" width="10" style="122" bestFit="1" customWidth="1"/>
    <col min="4866" max="4866" width="44.28515625" style="122" bestFit="1" customWidth="1"/>
    <col min="4867" max="4867" width="10.42578125" style="122" bestFit="1" customWidth="1"/>
    <col min="4868" max="4868" width="10.42578125" style="122" customWidth="1"/>
    <col min="4869" max="4869" width="9.7109375" style="122" bestFit="1" customWidth="1"/>
    <col min="4870" max="4871" width="9.5703125" style="122" bestFit="1" customWidth="1"/>
    <col min="4872" max="4872" width="10.42578125" style="122" bestFit="1" customWidth="1"/>
    <col min="4873" max="4873" width="4.5703125" style="122" customWidth="1"/>
    <col min="4874" max="4874" width="1.85546875" style="122" customWidth="1"/>
    <col min="4875" max="4875" width="7" style="122" bestFit="1" customWidth="1"/>
    <col min="4876" max="4876" width="6.28515625" style="122" customWidth="1"/>
    <col min="4877" max="4877" width="20.42578125" style="122" customWidth="1"/>
    <col min="4878" max="4878" width="6.42578125" style="122" bestFit="1" customWidth="1"/>
    <col min="4879" max="4880" width="8.42578125" style="122"/>
    <col min="4881" max="4881" width="3.28515625" style="122" customWidth="1"/>
    <col min="4882" max="5120" width="8.42578125" style="122"/>
    <col min="5121" max="5121" width="10" style="122" bestFit="1" customWidth="1"/>
    <col min="5122" max="5122" width="44.28515625" style="122" bestFit="1" customWidth="1"/>
    <col min="5123" max="5123" width="10.42578125" style="122" bestFit="1" customWidth="1"/>
    <col min="5124" max="5124" width="10.42578125" style="122" customWidth="1"/>
    <col min="5125" max="5125" width="9.7109375" style="122" bestFit="1" customWidth="1"/>
    <col min="5126" max="5127" width="9.5703125" style="122" bestFit="1" customWidth="1"/>
    <col min="5128" max="5128" width="10.42578125" style="122" bestFit="1" customWidth="1"/>
    <col min="5129" max="5129" width="4.5703125" style="122" customWidth="1"/>
    <col min="5130" max="5130" width="1.85546875" style="122" customWidth="1"/>
    <col min="5131" max="5131" width="7" style="122" bestFit="1" customWidth="1"/>
    <col min="5132" max="5132" width="6.28515625" style="122" customWidth="1"/>
    <col min="5133" max="5133" width="20.42578125" style="122" customWidth="1"/>
    <col min="5134" max="5134" width="6.42578125" style="122" bestFit="1" customWidth="1"/>
    <col min="5135" max="5136" width="8.42578125" style="122"/>
    <col min="5137" max="5137" width="3.28515625" style="122" customWidth="1"/>
    <col min="5138" max="5376" width="8.42578125" style="122"/>
    <col min="5377" max="5377" width="10" style="122" bestFit="1" customWidth="1"/>
    <col min="5378" max="5378" width="44.28515625" style="122" bestFit="1" customWidth="1"/>
    <col min="5379" max="5379" width="10.42578125" style="122" bestFit="1" customWidth="1"/>
    <col min="5380" max="5380" width="10.42578125" style="122" customWidth="1"/>
    <col min="5381" max="5381" width="9.7109375" style="122" bestFit="1" customWidth="1"/>
    <col min="5382" max="5383" width="9.5703125" style="122" bestFit="1" customWidth="1"/>
    <col min="5384" max="5384" width="10.42578125" style="122" bestFit="1" customWidth="1"/>
    <col min="5385" max="5385" width="4.5703125" style="122" customWidth="1"/>
    <col min="5386" max="5386" width="1.85546875" style="122" customWidth="1"/>
    <col min="5387" max="5387" width="7" style="122" bestFit="1" customWidth="1"/>
    <col min="5388" max="5388" width="6.28515625" style="122" customWidth="1"/>
    <col min="5389" max="5389" width="20.42578125" style="122" customWidth="1"/>
    <col min="5390" max="5390" width="6.42578125" style="122" bestFit="1" customWidth="1"/>
    <col min="5391" max="5392" width="8.42578125" style="122"/>
    <col min="5393" max="5393" width="3.28515625" style="122" customWidth="1"/>
    <col min="5394" max="5632" width="8.42578125" style="122"/>
    <col min="5633" max="5633" width="10" style="122" bestFit="1" customWidth="1"/>
    <col min="5634" max="5634" width="44.28515625" style="122" bestFit="1" customWidth="1"/>
    <col min="5635" max="5635" width="10.42578125" style="122" bestFit="1" customWidth="1"/>
    <col min="5636" max="5636" width="10.42578125" style="122" customWidth="1"/>
    <col min="5637" max="5637" width="9.7109375" style="122" bestFit="1" customWidth="1"/>
    <col min="5638" max="5639" width="9.5703125" style="122" bestFit="1" customWidth="1"/>
    <col min="5640" max="5640" width="10.42578125" style="122" bestFit="1" customWidth="1"/>
    <col min="5641" max="5641" width="4.5703125" style="122" customWidth="1"/>
    <col min="5642" max="5642" width="1.85546875" style="122" customWidth="1"/>
    <col min="5643" max="5643" width="7" style="122" bestFit="1" customWidth="1"/>
    <col min="5644" max="5644" width="6.28515625" style="122" customWidth="1"/>
    <col min="5645" max="5645" width="20.42578125" style="122" customWidth="1"/>
    <col min="5646" max="5646" width="6.42578125" style="122" bestFit="1" customWidth="1"/>
    <col min="5647" max="5648" width="8.42578125" style="122"/>
    <col min="5649" max="5649" width="3.28515625" style="122" customWidth="1"/>
    <col min="5650" max="5888" width="8.42578125" style="122"/>
    <col min="5889" max="5889" width="10" style="122" bestFit="1" customWidth="1"/>
    <col min="5890" max="5890" width="44.28515625" style="122" bestFit="1" customWidth="1"/>
    <col min="5891" max="5891" width="10.42578125" style="122" bestFit="1" customWidth="1"/>
    <col min="5892" max="5892" width="10.42578125" style="122" customWidth="1"/>
    <col min="5893" max="5893" width="9.7109375" style="122" bestFit="1" customWidth="1"/>
    <col min="5894" max="5895" width="9.5703125" style="122" bestFit="1" customWidth="1"/>
    <col min="5896" max="5896" width="10.42578125" style="122" bestFit="1" customWidth="1"/>
    <col min="5897" max="5897" width="4.5703125" style="122" customWidth="1"/>
    <col min="5898" max="5898" width="1.85546875" style="122" customWidth="1"/>
    <col min="5899" max="5899" width="7" style="122" bestFit="1" customWidth="1"/>
    <col min="5900" max="5900" width="6.28515625" style="122" customWidth="1"/>
    <col min="5901" max="5901" width="20.42578125" style="122" customWidth="1"/>
    <col min="5902" max="5902" width="6.42578125" style="122" bestFit="1" customWidth="1"/>
    <col min="5903" max="5904" width="8.42578125" style="122"/>
    <col min="5905" max="5905" width="3.28515625" style="122" customWidth="1"/>
    <col min="5906" max="6144" width="8.42578125" style="122"/>
    <col min="6145" max="6145" width="10" style="122" bestFit="1" customWidth="1"/>
    <col min="6146" max="6146" width="44.28515625" style="122" bestFit="1" customWidth="1"/>
    <col min="6147" max="6147" width="10.42578125" style="122" bestFit="1" customWidth="1"/>
    <col min="6148" max="6148" width="10.42578125" style="122" customWidth="1"/>
    <col min="6149" max="6149" width="9.7109375" style="122" bestFit="1" customWidth="1"/>
    <col min="6150" max="6151" width="9.5703125" style="122" bestFit="1" customWidth="1"/>
    <col min="6152" max="6152" width="10.42578125" style="122" bestFit="1" customWidth="1"/>
    <col min="6153" max="6153" width="4.5703125" style="122" customWidth="1"/>
    <col min="6154" max="6154" width="1.85546875" style="122" customWidth="1"/>
    <col min="6155" max="6155" width="7" style="122" bestFit="1" customWidth="1"/>
    <col min="6156" max="6156" width="6.28515625" style="122" customWidth="1"/>
    <col min="6157" max="6157" width="20.42578125" style="122" customWidth="1"/>
    <col min="6158" max="6158" width="6.42578125" style="122" bestFit="1" customWidth="1"/>
    <col min="6159" max="6160" width="8.42578125" style="122"/>
    <col min="6161" max="6161" width="3.28515625" style="122" customWidth="1"/>
    <col min="6162" max="6400" width="8.42578125" style="122"/>
    <col min="6401" max="6401" width="10" style="122" bestFit="1" customWidth="1"/>
    <col min="6402" max="6402" width="44.28515625" style="122" bestFit="1" customWidth="1"/>
    <col min="6403" max="6403" width="10.42578125" style="122" bestFit="1" customWidth="1"/>
    <col min="6404" max="6404" width="10.42578125" style="122" customWidth="1"/>
    <col min="6405" max="6405" width="9.7109375" style="122" bestFit="1" customWidth="1"/>
    <col min="6406" max="6407" width="9.5703125" style="122" bestFit="1" customWidth="1"/>
    <col min="6408" max="6408" width="10.42578125" style="122" bestFit="1" customWidth="1"/>
    <col min="6409" max="6409" width="4.5703125" style="122" customWidth="1"/>
    <col min="6410" max="6410" width="1.85546875" style="122" customWidth="1"/>
    <col min="6411" max="6411" width="7" style="122" bestFit="1" customWidth="1"/>
    <col min="6412" max="6412" width="6.28515625" style="122" customWidth="1"/>
    <col min="6413" max="6413" width="20.42578125" style="122" customWidth="1"/>
    <col min="6414" max="6414" width="6.42578125" style="122" bestFit="1" customWidth="1"/>
    <col min="6415" max="6416" width="8.42578125" style="122"/>
    <col min="6417" max="6417" width="3.28515625" style="122" customWidth="1"/>
    <col min="6418" max="6656" width="8.42578125" style="122"/>
    <col min="6657" max="6657" width="10" style="122" bestFit="1" customWidth="1"/>
    <col min="6658" max="6658" width="44.28515625" style="122" bestFit="1" customWidth="1"/>
    <col min="6659" max="6659" width="10.42578125" style="122" bestFit="1" customWidth="1"/>
    <col min="6660" max="6660" width="10.42578125" style="122" customWidth="1"/>
    <col min="6661" max="6661" width="9.7109375" style="122" bestFit="1" customWidth="1"/>
    <col min="6662" max="6663" width="9.5703125" style="122" bestFit="1" customWidth="1"/>
    <col min="6664" max="6664" width="10.42578125" style="122" bestFit="1" customWidth="1"/>
    <col min="6665" max="6665" width="4.5703125" style="122" customWidth="1"/>
    <col min="6666" max="6666" width="1.85546875" style="122" customWidth="1"/>
    <col min="6667" max="6667" width="7" style="122" bestFit="1" customWidth="1"/>
    <col min="6668" max="6668" width="6.28515625" style="122" customWidth="1"/>
    <col min="6669" max="6669" width="20.42578125" style="122" customWidth="1"/>
    <col min="6670" max="6670" width="6.42578125" style="122" bestFit="1" customWidth="1"/>
    <col min="6671" max="6672" width="8.42578125" style="122"/>
    <col min="6673" max="6673" width="3.28515625" style="122" customWidth="1"/>
    <col min="6674" max="6912" width="8.42578125" style="122"/>
    <col min="6913" max="6913" width="10" style="122" bestFit="1" customWidth="1"/>
    <col min="6914" max="6914" width="44.28515625" style="122" bestFit="1" customWidth="1"/>
    <col min="6915" max="6915" width="10.42578125" style="122" bestFit="1" customWidth="1"/>
    <col min="6916" max="6916" width="10.42578125" style="122" customWidth="1"/>
    <col min="6917" max="6917" width="9.7109375" style="122" bestFit="1" customWidth="1"/>
    <col min="6918" max="6919" width="9.5703125" style="122" bestFit="1" customWidth="1"/>
    <col min="6920" max="6920" width="10.42578125" style="122" bestFit="1" customWidth="1"/>
    <col min="6921" max="6921" width="4.5703125" style="122" customWidth="1"/>
    <col min="6922" max="6922" width="1.85546875" style="122" customWidth="1"/>
    <col min="6923" max="6923" width="7" style="122" bestFit="1" customWidth="1"/>
    <col min="6924" max="6924" width="6.28515625" style="122" customWidth="1"/>
    <col min="6925" max="6925" width="20.42578125" style="122" customWidth="1"/>
    <col min="6926" max="6926" width="6.42578125" style="122" bestFit="1" customWidth="1"/>
    <col min="6927" max="6928" width="8.42578125" style="122"/>
    <col min="6929" max="6929" width="3.28515625" style="122" customWidth="1"/>
    <col min="6930" max="7168" width="8.42578125" style="122"/>
    <col min="7169" max="7169" width="10" style="122" bestFit="1" customWidth="1"/>
    <col min="7170" max="7170" width="44.28515625" style="122" bestFit="1" customWidth="1"/>
    <col min="7171" max="7171" width="10.42578125" style="122" bestFit="1" customWidth="1"/>
    <col min="7172" max="7172" width="10.42578125" style="122" customWidth="1"/>
    <col min="7173" max="7173" width="9.7109375" style="122" bestFit="1" customWidth="1"/>
    <col min="7174" max="7175" width="9.5703125" style="122" bestFit="1" customWidth="1"/>
    <col min="7176" max="7176" width="10.42578125" style="122" bestFit="1" customWidth="1"/>
    <col min="7177" max="7177" width="4.5703125" style="122" customWidth="1"/>
    <col min="7178" max="7178" width="1.85546875" style="122" customWidth="1"/>
    <col min="7179" max="7179" width="7" style="122" bestFit="1" customWidth="1"/>
    <col min="7180" max="7180" width="6.28515625" style="122" customWidth="1"/>
    <col min="7181" max="7181" width="20.42578125" style="122" customWidth="1"/>
    <col min="7182" max="7182" width="6.42578125" style="122" bestFit="1" customWidth="1"/>
    <col min="7183" max="7184" width="8.42578125" style="122"/>
    <col min="7185" max="7185" width="3.28515625" style="122" customWidth="1"/>
    <col min="7186" max="7424" width="8.42578125" style="122"/>
    <col min="7425" max="7425" width="10" style="122" bestFit="1" customWidth="1"/>
    <col min="7426" max="7426" width="44.28515625" style="122" bestFit="1" customWidth="1"/>
    <col min="7427" max="7427" width="10.42578125" style="122" bestFit="1" customWidth="1"/>
    <col min="7428" max="7428" width="10.42578125" style="122" customWidth="1"/>
    <col min="7429" max="7429" width="9.7109375" style="122" bestFit="1" customWidth="1"/>
    <col min="7430" max="7431" width="9.5703125" style="122" bestFit="1" customWidth="1"/>
    <col min="7432" max="7432" width="10.42578125" style="122" bestFit="1" customWidth="1"/>
    <col min="7433" max="7433" width="4.5703125" style="122" customWidth="1"/>
    <col min="7434" max="7434" width="1.85546875" style="122" customWidth="1"/>
    <col min="7435" max="7435" width="7" style="122" bestFit="1" customWidth="1"/>
    <col min="7436" max="7436" width="6.28515625" style="122" customWidth="1"/>
    <col min="7437" max="7437" width="20.42578125" style="122" customWidth="1"/>
    <col min="7438" max="7438" width="6.42578125" style="122" bestFit="1" customWidth="1"/>
    <col min="7439" max="7440" width="8.42578125" style="122"/>
    <col min="7441" max="7441" width="3.28515625" style="122" customWidth="1"/>
    <col min="7442" max="7680" width="8.42578125" style="122"/>
    <col min="7681" max="7681" width="10" style="122" bestFit="1" customWidth="1"/>
    <col min="7682" max="7682" width="44.28515625" style="122" bestFit="1" customWidth="1"/>
    <col min="7683" max="7683" width="10.42578125" style="122" bestFit="1" customWidth="1"/>
    <col min="7684" max="7684" width="10.42578125" style="122" customWidth="1"/>
    <col min="7685" max="7685" width="9.7109375" style="122" bestFit="1" customWidth="1"/>
    <col min="7686" max="7687" width="9.5703125" style="122" bestFit="1" customWidth="1"/>
    <col min="7688" max="7688" width="10.42578125" style="122" bestFit="1" customWidth="1"/>
    <col min="7689" max="7689" width="4.5703125" style="122" customWidth="1"/>
    <col min="7690" max="7690" width="1.85546875" style="122" customWidth="1"/>
    <col min="7691" max="7691" width="7" style="122" bestFit="1" customWidth="1"/>
    <col min="7692" max="7692" width="6.28515625" style="122" customWidth="1"/>
    <col min="7693" max="7693" width="20.42578125" style="122" customWidth="1"/>
    <col min="7694" max="7694" width="6.42578125" style="122" bestFit="1" customWidth="1"/>
    <col min="7695" max="7696" width="8.42578125" style="122"/>
    <col min="7697" max="7697" width="3.28515625" style="122" customWidth="1"/>
    <col min="7698" max="7936" width="8.42578125" style="122"/>
    <col min="7937" max="7937" width="10" style="122" bestFit="1" customWidth="1"/>
    <col min="7938" max="7938" width="44.28515625" style="122" bestFit="1" customWidth="1"/>
    <col min="7939" max="7939" width="10.42578125" style="122" bestFit="1" customWidth="1"/>
    <col min="7940" max="7940" width="10.42578125" style="122" customWidth="1"/>
    <col min="7941" max="7941" width="9.7109375" style="122" bestFit="1" customWidth="1"/>
    <col min="7942" max="7943" width="9.5703125" style="122" bestFit="1" customWidth="1"/>
    <col min="7944" max="7944" width="10.42578125" style="122" bestFit="1" customWidth="1"/>
    <col min="7945" max="7945" width="4.5703125" style="122" customWidth="1"/>
    <col min="7946" max="7946" width="1.85546875" style="122" customWidth="1"/>
    <col min="7947" max="7947" width="7" style="122" bestFit="1" customWidth="1"/>
    <col min="7948" max="7948" width="6.28515625" style="122" customWidth="1"/>
    <col min="7949" max="7949" width="20.42578125" style="122" customWidth="1"/>
    <col min="7950" max="7950" width="6.42578125" style="122" bestFit="1" customWidth="1"/>
    <col min="7951" max="7952" width="8.42578125" style="122"/>
    <col min="7953" max="7953" width="3.28515625" style="122" customWidth="1"/>
    <col min="7954" max="8192" width="8.42578125" style="122"/>
    <col min="8193" max="8193" width="10" style="122" bestFit="1" customWidth="1"/>
    <col min="8194" max="8194" width="44.28515625" style="122" bestFit="1" customWidth="1"/>
    <col min="8195" max="8195" width="10.42578125" style="122" bestFit="1" customWidth="1"/>
    <col min="8196" max="8196" width="10.42578125" style="122" customWidth="1"/>
    <col min="8197" max="8197" width="9.7109375" style="122" bestFit="1" customWidth="1"/>
    <col min="8198" max="8199" width="9.5703125" style="122" bestFit="1" customWidth="1"/>
    <col min="8200" max="8200" width="10.42578125" style="122" bestFit="1" customWidth="1"/>
    <col min="8201" max="8201" width="4.5703125" style="122" customWidth="1"/>
    <col min="8202" max="8202" width="1.85546875" style="122" customWidth="1"/>
    <col min="8203" max="8203" width="7" style="122" bestFit="1" customWidth="1"/>
    <col min="8204" max="8204" width="6.28515625" style="122" customWidth="1"/>
    <col min="8205" max="8205" width="20.42578125" style="122" customWidth="1"/>
    <col min="8206" max="8206" width="6.42578125" style="122" bestFit="1" customWidth="1"/>
    <col min="8207" max="8208" width="8.42578125" style="122"/>
    <col min="8209" max="8209" width="3.28515625" style="122" customWidth="1"/>
    <col min="8210" max="8448" width="8.42578125" style="122"/>
    <col min="8449" max="8449" width="10" style="122" bestFit="1" customWidth="1"/>
    <col min="8450" max="8450" width="44.28515625" style="122" bestFit="1" customWidth="1"/>
    <col min="8451" max="8451" width="10.42578125" style="122" bestFit="1" customWidth="1"/>
    <col min="8452" max="8452" width="10.42578125" style="122" customWidth="1"/>
    <col min="8453" max="8453" width="9.7109375" style="122" bestFit="1" customWidth="1"/>
    <col min="8454" max="8455" width="9.5703125" style="122" bestFit="1" customWidth="1"/>
    <col min="8456" max="8456" width="10.42578125" style="122" bestFit="1" customWidth="1"/>
    <col min="8457" max="8457" width="4.5703125" style="122" customWidth="1"/>
    <col min="8458" max="8458" width="1.85546875" style="122" customWidth="1"/>
    <col min="8459" max="8459" width="7" style="122" bestFit="1" customWidth="1"/>
    <col min="8460" max="8460" width="6.28515625" style="122" customWidth="1"/>
    <col min="8461" max="8461" width="20.42578125" style="122" customWidth="1"/>
    <col min="8462" max="8462" width="6.42578125" style="122" bestFit="1" customWidth="1"/>
    <col min="8463" max="8464" width="8.42578125" style="122"/>
    <col min="8465" max="8465" width="3.28515625" style="122" customWidth="1"/>
    <col min="8466" max="8704" width="8.42578125" style="122"/>
    <col min="8705" max="8705" width="10" style="122" bestFit="1" customWidth="1"/>
    <col min="8706" max="8706" width="44.28515625" style="122" bestFit="1" customWidth="1"/>
    <col min="8707" max="8707" width="10.42578125" style="122" bestFit="1" customWidth="1"/>
    <col min="8708" max="8708" width="10.42578125" style="122" customWidth="1"/>
    <col min="8709" max="8709" width="9.7109375" style="122" bestFit="1" customWidth="1"/>
    <col min="8710" max="8711" width="9.5703125" style="122" bestFit="1" customWidth="1"/>
    <col min="8712" max="8712" width="10.42578125" style="122" bestFit="1" customWidth="1"/>
    <col min="8713" max="8713" width="4.5703125" style="122" customWidth="1"/>
    <col min="8714" max="8714" width="1.85546875" style="122" customWidth="1"/>
    <col min="8715" max="8715" width="7" style="122" bestFit="1" customWidth="1"/>
    <col min="8716" max="8716" width="6.28515625" style="122" customWidth="1"/>
    <col min="8717" max="8717" width="20.42578125" style="122" customWidth="1"/>
    <col min="8718" max="8718" width="6.42578125" style="122" bestFit="1" customWidth="1"/>
    <col min="8719" max="8720" width="8.42578125" style="122"/>
    <col min="8721" max="8721" width="3.28515625" style="122" customWidth="1"/>
    <col min="8722" max="8960" width="8.42578125" style="122"/>
    <col min="8961" max="8961" width="10" style="122" bestFit="1" customWidth="1"/>
    <col min="8962" max="8962" width="44.28515625" style="122" bestFit="1" customWidth="1"/>
    <col min="8963" max="8963" width="10.42578125" style="122" bestFit="1" customWidth="1"/>
    <col min="8964" max="8964" width="10.42578125" style="122" customWidth="1"/>
    <col min="8965" max="8965" width="9.7109375" style="122" bestFit="1" customWidth="1"/>
    <col min="8966" max="8967" width="9.5703125" style="122" bestFit="1" customWidth="1"/>
    <col min="8968" max="8968" width="10.42578125" style="122" bestFit="1" customWidth="1"/>
    <col min="8969" max="8969" width="4.5703125" style="122" customWidth="1"/>
    <col min="8970" max="8970" width="1.85546875" style="122" customWidth="1"/>
    <col min="8971" max="8971" width="7" style="122" bestFit="1" customWidth="1"/>
    <col min="8972" max="8972" width="6.28515625" style="122" customWidth="1"/>
    <col min="8973" max="8973" width="20.42578125" style="122" customWidth="1"/>
    <col min="8974" max="8974" width="6.42578125" style="122" bestFit="1" customWidth="1"/>
    <col min="8975" max="8976" width="8.42578125" style="122"/>
    <col min="8977" max="8977" width="3.28515625" style="122" customWidth="1"/>
    <col min="8978" max="9216" width="8.42578125" style="122"/>
    <col min="9217" max="9217" width="10" style="122" bestFit="1" customWidth="1"/>
    <col min="9218" max="9218" width="44.28515625" style="122" bestFit="1" customWidth="1"/>
    <col min="9219" max="9219" width="10.42578125" style="122" bestFit="1" customWidth="1"/>
    <col min="9220" max="9220" width="10.42578125" style="122" customWidth="1"/>
    <col min="9221" max="9221" width="9.7109375" style="122" bestFit="1" customWidth="1"/>
    <col min="9222" max="9223" width="9.5703125" style="122" bestFit="1" customWidth="1"/>
    <col min="9224" max="9224" width="10.42578125" style="122" bestFit="1" customWidth="1"/>
    <col min="9225" max="9225" width="4.5703125" style="122" customWidth="1"/>
    <col min="9226" max="9226" width="1.85546875" style="122" customWidth="1"/>
    <col min="9227" max="9227" width="7" style="122" bestFit="1" customWidth="1"/>
    <col min="9228" max="9228" width="6.28515625" style="122" customWidth="1"/>
    <col min="9229" max="9229" width="20.42578125" style="122" customWidth="1"/>
    <col min="9230" max="9230" width="6.42578125" style="122" bestFit="1" customWidth="1"/>
    <col min="9231" max="9232" width="8.42578125" style="122"/>
    <col min="9233" max="9233" width="3.28515625" style="122" customWidth="1"/>
    <col min="9234" max="9472" width="8.42578125" style="122"/>
    <col min="9473" max="9473" width="10" style="122" bestFit="1" customWidth="1"/>
    <col min="9474" max="9474" width="44.28515625" style="122" bestFit="1" customWidth="1"/>
    <col min="9475" max="9475" width="10.42578125" style="122" bestFit="1" customWidth="1"/>
    <col min="9476" max="9476" width="10.42578125" style="122" customWidth="1"/>
    <col min="9477" max="9477" width="9.7109375" style="122" bestFit="1" customWidth="1"/>
    <col min="9478" max="9479" width="9.5703125" style="122" bestFit="1" customWidth="1"/>
    <col min="9480" max="9480" width="10.42578125" style="122" bestFit="1" customWidth="1"/>
    <col min="9481" max="9481" width="4.5703125" style="122" customWidth="1"/>
    <col min="9482" max="9482" width="1.85546875" style="122" customWidth="1"/>
    <col min="9483" max="9483" width="7" style="122" bestFit="1" customWidth="1"/>
    <col min="9484" max="9484" width="6.28515625" style="122" customWidth="1"/>
    <col min="9485" max="9485" width="20.42578125" style="122" customWidth="1"/>
    <col min="9486" max="9486" width="6.42578125" style="122" bestFit="1" customWidth="1"/>
    <col min="9487" max="9488" width="8.42578125" style="122"/>
    <col min="9489" max="9489" width="3.28515625" style="122" customWidth="1"/>
    <col min="9490" max="9728" width="8.42578125" style="122"/>
    <col min="9729" max="9729" width="10" style="122" bestFit="1" customWidth="1"/>
    <col min="9730" max="9730" width="44.28515625" style="122" bestFit="1" customWidth="1"/>
    <col min="9731" max="9731" width="10.42578125" style="122" bestFit="1" customWidth="1"/>
    <col min="9732" max="9732" width="10.42578125" style="122" customWidth="1"/>
    <col min="9733" max="9733" width="9.7109375" style="122" bestFit="1" customWidth="1"/>
    <col min="9734" max="9735" width="9.5703125" style="122" bestFit="1" customWidth="1"/>
    <col min="9736" max="9736" width="10.42578125" style="122" bestFit="1" customWidth="1"/>
    <col min="9737" max="9737" width="4.5703125" style="122" customWidth="1"/>
    <col min="9738" max="9738" width="1.85546875" style="122" customWidth="1"/>
    <col min="9739" max="9739" width="7" style="122" bestFit="1" customWidth="1"/>
    <col min="9740" max="9740" width="6.28515625" style="122" customWidth="1"/>
    <col min="9741" max="9741" width="20.42578125" style="122" customWidth="1"/>
    <col min="9742" max="9742" width="6.42578125" style="122" bestFit="1" customWidth="1"/>
    <col min="9743" max="9744" width="8.42578125" style="122"/>
    <col min="9745" max="9745" width="3.28515625" style="122" customWidth="1"/>
    <col min="9746" max="9984" width="8.42578125" style="122"/>
    <col min="9985" max="9985" width="10" style="122" bestFit="1" customWidth="1"/>
    <col min="9986" max="9986" width="44.28515625" style="122" bestFit="1" customWidth="1"/>
    <col min="9987" max="9987" width="10.42578125" style="122" bestFit="1" customWidth="1"/>
    <col min="9988" max="9988" width="10.42578125" style="122" customWidth="1"/>
    <col min="9989" max="9989" width="9.7109375" style="122" bestFit="1" customWidth="1"/>
    <col min="9990" max="9991" width="9.5703125" style="122" bestFit="1" customWidth="1"/>
    <col min="9992" max="9992" width="10.42578125" style="122" bestFit="1" customWidth="1"/>
    <col min="9993" max="9993" width="4.5703125" style="122" customWidth="1"/>
    <col min="9994" max="9994" width="1.85546875" style="122" customWidth="1"/>
    <col min="9995" max="9995" width="7" style="122" bestFit="1" customWidth="1"/>
    <col min="9996" max="9996" width="6.28515625" style="122" customWidth="1"/>
    <col min="9997" max="9997" width="20.42578125" style="122" customWidth="1"/>
    <col min="9998" max="9998" width="6.42578125" style="122" bestFit="1" customWidth="1"/>
    <col min="9999" max="10000" width="8.42578125" style="122"/>
    <col min="10001" max="10001" width="3.28515625" style="122" customWidth="1"/>
    <col min="10002" max="10240" width="8.42578125" style="122"/>
    <col min="10241" max="10241" width="10" style="122" bestFit="1" customWidth="1"/>
    <col min="10242" max="10242" width="44.28515625" style="122" bestFit="1" customWidth="1"/>
    <col min="10243" max="10243" width="10.42578125" style="122" bestFit="1" customWidth="1"/>
    <col min="10244" max="10244" width="10.42578125" style="122" customWidth="1"/>
    <col min="10245" max="10245" width="9.7109375" style="122" bestFit="1" customWidth="1"/>
    <col min="10246" max="10247" width="9.5703125" style="122" bestFit="1" customWidth="1"/>
    <col min="10248" max="10248" width="10.42578125" style="122" bestFit="1" customWidth="1"/>
    <col min="10249" max="10249" width="4.5703125" style="122" customWidth="1"/>
    <col min="10250" max="10250" width="1.85546875" style="122" customWidth="1"/>
    <col min="10251" max="10251" width="7" style="122" bestFit="1" customWidth="1"/>
    <col min="10252" max="10252" width="6.28515625" style="122" customWidth="1"/>
    <col min="10253" max="10253" width="20.42578125" style="122" customWidth="1"/>
    <col min="10254" max="10254" width="6.42578125" style="122" bestFit="1" customWidth="1"/>
    <col min="10255" max="10256" width="8.42578125" style="122"/>
    <col min="10257" max="10257" width="3.28515625" style="122" customWidth="1"/>
    <col min="10258" max="10496" width="8.42578125" style="122"/>
    <col min="10497" max="10497" width="10" style="122" bestFit="1" customWidth="1"/>
    <col min="10498" max="10498" width="44.28515625" style="122" bestFit="1" customWidth="1"/>
    <col min="10499" max="10499" width="10.42578125" style="122" bestFit="1" customWidth="1"/>
    <col min="10500" max="10500" width="10.42578125" style="122" customWidth="1"/>
    <col min="10501" max="10501" width="9.7109375" style="122" bestFit="1" customWidth="1"/>
    <col min="10502" max="10503" width="9.5703125" style="122" bestFit="1" customWidth="1"/>
    <col min="10504" max="10504" width="10.42578125" style="122" bestFit="1" customWidth="1"/>
    <col min="10505" max="10505" width="4.5703125" style="122" customWidth="1"/>
    <col min="10506" max="10506" width="1.85546875" style="122" customWidth="1"/>
    <col min="10507" max="10507" width="7" style="122" bestFit="1" customWidth="1"/>
    <col min="10508" max="10508" width="6.28515625" style="122" customWidth="1"/>
    <col min="10509" max="10509" width="20.42578125" style="122" customWidth="1"/>
    <col min="10510" max="10510" width="6.42578125" style="122" bestFit="1" customWidth="1"/>
    <col min="10511" max="10512" width="8.42578125" style="122"/>
    <col min="10513" max="10513" width="3.28515625" style="122" customWidth="1"/>
    <col min="10514" max="10752" width="8.42578125" style="122"/>
    <col min="10753" max="10753" width="10" style="122" bestFit="1" customWidth="1"/>
    <col min="10754" max="10754" width="44.28515625" style="122" bestFit="1" customWidth="1"/>
    <col min="10755" max="10755" width="10.42578125" style="122" bestFit="1" customWidth="1"/>
    <col min="10756" max="10756" width="10.42578125" style="122" customWidth="1"/>
    <col min="10757" max="10757" width="9.7109375" style="122" bestFit="1" customWidth="1"/>
    <col min="10758" max="10759" width="9.5703125" style="122" bestFit="1" customWidth="1"/>
    <col min="10760" max="10760" width="10.42578125" style="122" bestFit="1" customWidth="1"/>
    <col min="10761" max="10761" width="4.5703125" style="122" customWidth="1"/>
    <col min="10762" max="10762" width="1.85546875" style="122" customWidth="1"/>
    <col min="10763" max="10763" width="7" style="122" bestFit="1" customWidth="1"/>
    <col min="10764" max="10764" width="6.28515625" style="122" customWidth="1"/>
    <col min="10765" max="10765" width="20.42578125" style="122" customWidth="1"/>
    <col min="10766" max="10766" width="6.42578125" style="122" bestFit="1" customWidth="1"/>
    <col min="10767" max="10768" width="8.42578125" style="122"/>
    <col min="10769" max="10769" width="3.28515625" style="122" customWidth="1"/>
    <col min="10770" max="11008" width="8.42578125" style="122"/>
    <col min="11009" max="11009" width="10" style="122" bestFit="1" customWidth="1"/>
    <col min="11010" max="11010" width="44.28515625" style="122" bestFit="1" customWidth="1"/>
    <col min="11011" max="11011" width="10.42578125" style="122" bestFit="1" customWidth="1"/>
    <col min="11012" max="11012" width="10.42578125" style="122" customWidth="1"/>
    <col min="11013" max="11013" width="9.7109375" style="122" bestFit="1" customWidth="1"/>
    <col min="11014" max="11015" width="9.5703125" style="122" bestFit="1" customWidth="1"/>
    <col min="11016" max="11016" width="10.42578125" style="122" bestFit="1" customWidth="1"/>
    <col min="11017" max="11017" width="4.5703125" style="122" customWidth="1"/>
    <col min="11018" max="11018" width="1.85546875" style="122" customWidth="1"/>
    <col min="11019" max="11019" width="7" style="122" bestFit="1" customWidth="1"/>
    <col min="11020" max="11020" width="6.28515625" style="122" customWidth="1"/>
    <col min="11021" max="11021" width="20.42578125" style="122" customWidth="1"/>
    <col min="11022" max="11022" width="6.42578125" style="122" bestFit="1" customWidth="1"/>
    <col min="11023" max="11024" width="8.42578125" style="122"/>
    <col min="11025" max="11025" width="3.28515625" style="122" customWidth="1"/>
    <col min="11026" max="11264" width="8.42578125" style="122"/>
    <col min="11265" max="11265" width="10" style="122" bestFit="1" customWidth="1"/>
    <col min="11266" max="11266" width="44.28515625" style="122" bestFit="1" customWidth="1"/>
    <col min="11267" max="11267" width="10.42578125" style="122" bestFit="1" customWidth="1"/>
    <col min="11268" max="11268" width="10.42578125" style="122" customWidth="1"/>
    <col min="11269" max="11269" width="9.7109375" style="122" bestFit="1" customWidth="1"/>
    <col min="11270" max="11271" width="9.5703125" style="122" bestFit="1" customWidth="1"/>
    <col min="11272" max="11272" width="10.42578125" style="122" bestFit="1" customWidth="1"/>
    <col min="11273" max="11273" width="4.5703125" style="122" customWidth="1"/>
    <col min="11274" max="11274" width="1.85546875" style="122" customWidth="1"/>
    <col min="11275" max="11275" width="7" style="122" bestFit="1" customWidth="1"/>
    <col min="11276" max="11276" width="6.28515625" style="122" customWidth="1"/>
    <col min="11277" max="11277" width="20.42578125" style="122" customWidth="1"/>
    <col min="11278" max="11278" width="6.42578125" style="122" bestFit="1" customWidth="1"/>
    <col min="11279" max="11280" width="8.42578125" style="122"/>
    <col min="11281" max="11281" width="3.28515625" style="122" customWidth="1"/>
    <col min="11282" max="11520" width="8.42578125" style="122"/>
    <col min="11521" max="11521" width="10" style="122" bestFit="1" customWidth="1"/>
    <col min="11522" max="11522" width="44.28515625" style="122" bestFit="1" customWidth="1"/>
    <col min="11523" max="11523" width="10.42578125" style="122" bestFit="1" customWidth="1"/>
    <col min="11524" max="11524" width="10.42578125" style="122" customWidth="1"/>
    <col min="11525" max="11525" width="9.7109375" style="122" bestFit="1" customWidth="1"/>
    <col min="11526" max="11527" width="9.5703125" style="122" bestFit="1" customWidth="1"/>
    <col min="11528" max="11528" width="10.42578125" style="122" bestFit="1" customWidth="1"/>
    <col min="11529" max="11529" width="4.5703125" style="122" customWidth="1"/>
    <col min="11530" max="11530" width="1.85546875" style="122" customWidth="1"/>
    <col min="11531" max="11531" width="7" style="122" bestFit="1" customWidth="1"/>
    <col min="11532" max="11532" width="6.28515625" style="122" customWidth="1"/>
    <col min="11533" max="11533" width="20.42578125" style="122" customWidth="1"/>
    <col min="11534" max="11534" width="6.42578125" style="122" bestFit="1" customWidth="1"/>
    <col min="11535" max="11536" width="8.42578125" style="122"/>
    <col min="11537" max="11537" width="3.28515625" style="122" customWidth="1"/>
    <col min="11538" max="11776" width="8.42578125" style="122"/>
    <col min="11777" max="11777" width="10" style="122" bestFit="1" customWidth="1"/>
    <col min="11778" max="11778" width="44.28515625" style="122" bestFit="1" customWidth="1"/>
    <col min="11779" max="11779" width="10.42578125" style="122" bestFit="1" customWidth="1"/>
    <col min="11780" max="11780" width="10.42578125" style="122" customWidth="1"/>
    <col min="11781" max="11781" width="9.7109375" style="122" bestFit="1" customWidth="1"/>
    <col min="11782" max="11783" width="9.5703125" style="122" bestFit="1" customWidth="1"/>
    <col min="11784" max="11784" width="10.42578125" style="122" bestFit="1" customWidth="1"/>
    <col min="11785" max="11785" width="4.5703125" style="122" customWidth="1"/>
    <col min="11786" max="11786" width="1.85546875" style="122" customWidth="1"/>
    <col min="11787" max="11787" width="7" style="122" bestFit="1" customWidth="1"/>
    <col min="11788" max="11788" width="6.28515625" style="122" customWidth="1"/>
    <col min="11789" max="11789" width="20.42578125" style="122" customWidth="1"/>
    <col min="11790" max="11790" width="6.42578125" style="122" bestFit="1" customWidth="1"/>
    <col min="11791" max="11792" width="8.42578125" style="122"/>
    <col min="11793" max="11793" width="3.28515625" style="122" customWidth="1"/>
    <col min="11794" max="12032" width="8.42578125" style="122"/>
    <col min="12033" max="12033" width="10" style="122" bestFit="1" customWidth="1"/>
    <col min="12034" max="12034" width="44.28515625" style="122" bestFit="1" customWidth="1"/>
    <col min="12035" max="12035" width="10.42578125" style="122" bestFit="1" customWidth="1"/>
    <col min="12036" max="12036" width="10.42578125" style="122" customWidth="1"/>
    <col min="12037" max="12037" width="9.7109375" style="122" bestFit="1" customWidth="1"/>
    <col min="12038" max="12039" width="9.5703125" style="122" bestFit="1" customWidth="1"/>
    <col min="12040" max="12040" width="10.42578125" style="122" bestFit="1" customWidth="1"/>
    <col min="12041" max="12041" width="4.5703125" style="122" customWidth="1"/>
    <col min="12042" max="12042" width="1.85546875" style="122" customWidth="1"/>
    <col min="12043" max="12043" width="7" style="122" bestFit="1" customWidth="1"/>
    <col min="12044" max="12044" width="6.28515625" style="122" customWidth="1"/>
    <col min="12045" max="12045" width="20.42578125" style="122" customWidth="1"/>
    <col min="12046" max="12046" width="6.42578125" style="122" bestFit="1" customWidth="1"/>
    <col min="12047" max="12048" width="8.42578125" style="122"/>
    <col min="12049" max="12049" width="3.28515625" style="122" customWidth="1"/>
    <col min="12050" max="12288" width="8.42578125" style="122"/>
    <col min="12289" max="12289" width="10" style="122" bestFit="1" customWidth="1"/>
    <col min="12290" max="12290" width="44.28515625" style="122" bestFit="1" customWidth="1"/>
    <col min="12291" max="12291" width="10.42578125" style="122" bestFit="1" customWidth="1"/>
    <col min="12292" max="12292" width="10.42578125" style="122" customWidth="1"/>
    <col min="12293" max="12293" width="9.7109375" style="122" bestFit="1" customWidth="1"/>
    <col min="12294" max="12295" width="9.5703125" style="122" bestFit="1" customWidth="1"/>
    <col min="12296" max="12296" width="10.42578125" style="122" bestFit="1" customWidth="1"/>
    <col min="12297" max="12297" width="4.5703125" style="122" customWidth="1"/>
    <col min="12298" max="12298" width="1.85546875" style="122" customWidth="1"/>
    <col min="12299" max="12299" width="7" style="122" bestFit="1" customWidth="1"/>
    <col min="12300" max="12300" width="6.28515625" style="122" customWidth="1"/>
    <col min="12301" max="12301" width="20.42578125" style="122" customWidth="1"/>
    <col min="12302" max="12302" width="6.42578125" style="122" bestFit="1" customWidth="1"/>
    <col min="12303" max="12304" width="8.42578125" style="122"/>
    <col min="12305" max="12305" width="3.28515625" style="122" customWidth="1"/>
    <col min="12306" max="12544" width="8.42578125" style="122"/>
    <col min="12545" max="12545" width="10" style="122" bestFit="1" customWidth="1"/>
    <col min="12546" max="12546" width="44.28515625" style="122" bestFit="1" customWidth="1"/>
    <col min="12547" max="12547" width="10.42578125" style="122" bestFit="1" customWidth="1"/>
    <col min="12548" max="12548" width="10.42578125" style="122" customWidth="1"/>
    <col min="12549" max="12549" width="9.7109375" style="122" bestFit="1" customWidth="1"/>
    <col min="12550" max="12551" width="9.5703125" style="122" bestFit="1" customWidth="1"/>
    <col min="12552" max="12552" width="10.42578125" style="122" bestFit="1" customWidth="1"/>
    <col min="12553" max="12553" width="4.5703125" style="122" customWidth="1"/>
    <col min="12554" max="12554" width="1.85546875" style="122" customWidth="1"/>
    <col min="12555" max="12555" width="7" style="122" bestFit="1" customWidth="1"/>
    <col min="12556" max="12556" width="6.28515625" style="122" customWidth="1"/>
    <col min="12557" max="12557" width="20.42578125" style="122" customWidth="1"/>
    <col min="12558" max="12558" width="6.42578125" style="122" bestFit="1" customWidth="1"/>
    <col min="12559" max="12560" width="8.42578125" style="122"/>
    <col min="12561" max="12561" width="3.28515625" style="122" customWidth="1"/>
    <col min="12562" max="12800" width="8.42578125" style="122"/>
    <col min="12801" max="12801" width="10" style="122" bestFit="1" customWidth="1"/>
    <col min="12802" max="12802" width="44.28515625" style="122" bestFit="1" customWidth="1"/>
    <col min="12803" max="12803" width="10.42578125" style="122" bestFit="1" customWidth="1"/>
    <col min="12804" max="12804" width="10.42578125" style="122" customWidth="1"/>
    <col min="12805" max="12805" width="9.7109375" style="122" bestFit="1" customWidth="1"/>
    <col min="12806" max="12807" width="9.5703125" style="122" bestFit="1" customWidth="1"/>
    <col min="12808" max="12808" width="10.42578125" style="122" bestFit="1" customWidth="1"/>
    <col min="12809" max="12809" width="4.5703125" style="122" customWidth="1"/>
    <col min="12810" max="12810" width="1.85546875" style="122" customWidth="1"/>
    <col min="12811" max="12811" width="7" style="122" bestFit="1" customWidth="1"/>
    <col min="12812" max="12812" width="6.28515625" style="122" customWidth="1"/>
    <col min="12813" max="12813" width="20.42578125" style="122" customWidth="1"/>
    <col min="12814" max="12814" width="6.42578125" style="122" bestFit="1" customWidth="1"/>
    <col min="12815" max="12816" width="8.42578125" style="122"/>
    <col min="12817" max="12817" width="3.28515625" style="122" customWidth="1"/>
    <col min="12818" max="13056" width="8.42578125" style="122"/>
    <col min="13057" max="13057" width="10" style="122" bestFit="1" customWidth="1"/>
    <col min="13058" max="13058" width="44.28515625" style="122" bestFit="1" customWidth="1"/>
    <col min="13059" max="13059" width="10.42578125" style="122" bestFit="1" customWidth="1"/>
    <col min="13060" max="13060" width="10.42578125" style="122" customWidth="1"/>
    <col min="13061" max="13061" width="9.7109375" style="122" bestFit="1" customWidth="1"/>
    <col min="13062" max="13063" width="9.5703125" style="122" bestFit="1" customWidth="1"/>
    <col min="13064" max="13064" width="10.42578125" style="122" bestFit="1" customWidth="1"/>
    <col min="13065" max="13065" width="4.5703125" style="122" customWidth="1"/>
    <col min="13066" max="13066" width="1.85546875" style="122" customWidth="1"/>
    <col min="13067" max="13067" width="7" style="122" bestFit="1" customWidth="1"/>
    <col min="13068" max="13068" width="6.28515625" style="122" customWidth="1"/>
    <col min="13069" max="13069" width="20.42578125" style="122" customWidth="1"/>
    <col min="13070" max="13070" width="6.42578125" style="122" bestFit="1" customWidth="1"/>
    <col min="13071" max="13072" width="8.42578125" style="122"/>
    <col min="13073" max="13073" width="3.28515625" style="122" customWidth="1"/>
    <col min="13074" max="13312" width="8.42578125" style="122"/>
    <col min="13313" max="13313" width="10" style="122" bestFit="1" customWidth="1"/>
    <col min="13314" max="13314" width="44.28515625" style="122" bestFit="1" customWidth="1"/>
    <col min="13315" max="13315" width="10.42578125" style="122" bestFit="1" customWidth="1"/>
    <col min="13316" max="13316" width="10.42578125" style="122" customWidth="1"/>
    <col min="13317" max="13317" width="9.7109375" style="122" bestFit="1" customWidth="1"/>
    <col min="13318" max="13319" width="9.5703125" style="122" bestFit="1" customWidth="1"/>
    <col min="13320" max="13320" width="10.42578125" style="122" bestFit="1" customWidth="1"/>
    <col min="13321" max="13321" width="4.5703125" style="122" customWidth="1"/>
    <col min="13322" max="13322" width="1.85546875" style="122" customWidth="1"/>
    <col min="13323" max="13323" width="7" style="122" bestFit="1" customWidth="1"/>
    <col min="13324" max="13324" width="6.28515625" style="122" customWidth="1"/>
    <col min="13325" max="13325" width="20.42578125" style="122" customWidth="1"/>
    <col min="13326" max="13326" width="6.42578125" style="122" bestFit="1" customWidth="1"/>
    <col min="13327" max="13328" width="8.42578125" style="122"/>
    <col min="13329" max="13329" width="3.28515625" style="122" customWidth="1"/>
    <col min="13330" max="13568" width="8.42578125" style="122"/>
    <col min="13569" max="13569" width="10" style="122" bestFit="1" customWidth="1"/>
    <col min="13570" max="13570" width="44.28515625" style="122" bestFit="1" customWidth="1"/>
    <col min="13571" max="13571" width="10.42578125" style="122" bestFit="1" customWidth="1"/>
    <col min="13572" max="13572" width="10.42578125" style="122" customWidth="1"/>
    <col min="13573" max="13573" width="9.7109375" style="122" bestFit="1" customWidth="1"/>
    <col min="13574" max="13575" width="9.5703125" style="122" bestFit="1" customWidth="1"/>
    <col min="13576" max="13576" width="10.42578125" style="122" bestFit="1" customWidth="1"/>
    <col min="13577" max="13577" width="4.5703125" style="122" customWidth="1"/>
    <col min="13578" max="13578" width="1.85546875" style="122" customWidth="1"/>
    <col min="13579" max="13579" width="7" style="122" bestFit="1" customWidth="1"/>
    <col min="13580" max="13580" width="6.28515625" style="122" customWidth="1"/>
    <col min="13581" max="13581" width="20.42578125" style="122" customWidth="1"/>
    <col min="13582" max="13582" width="6.42578125" style="122" bestFit="1" customWidth="1"/>
    <col min="13583" max="13584" width="8.42578125" style="122"/>
    <col min="13585" max="13585" width="3.28515625" style="122" customWidth="1"/>
    <col min="13586" max="13824" width="8.42578125" style="122"/>
    <col min="13825" max="13825" width="10" style="122" bestFit="1" customWidth="1"/>
    <col min="13826" max="13826" width="44.28515625" style="122" bestFit="1" customWidth="1"/>
    <col min="13827" max="13827" width="10.42578125" style="122" bestFit="1" customWidth="1"/>
    <col min="13828" max="13828" width="10.42578125" style="122" customWidth="1"/>
    <col min="13829" max="13829" width="9.7109375" style="122" bestFit="1" customWidth="1"/>
    <col min="13830" max="13831" width="9.5703125" style="122" bestFit="1" customWidth="1"/>
    <col min="13832" max="13832" width="10.42578125" style="122" bestFit="1" customWidth="1"/>
    <col min="13833" max="13833" width="4.5703125" style="122" customWidth="1"/>
    <col min="13834" max="13834" width="1.85546875" style="122" customWidth="1"/>
    <col min="13835" max="13835" width="7" style="122" bestFit="1" customWidth="1"/>
    <col min="13836" max="13836" width="6.28515625" style="122" customWidth="1"/>
    <col min="13837" max="13837" width="20.42578125" style="122" customWidth="1"/>
    <col min="13838" max="13838" width="6.42578125" style="122" bestFit="1" customWidth="1"/>
    <col min="13839" max="13840" width="8.42578125" style="122"/>
    <col min="13841" max="13841" width="3.28515625" style="122" customWidth="1"/>
    <col min="13842" max="14080" width="8.42578125" style="122"/>
    <col min="14081" max="14081" width="10" style="122" bestFit="1" customWidth="1"/>
    <col min="14082" max="14082" width="44.28515625" style="122" bestFit="1" customWidth="1"/>
    <col min="14083" max="14083" width="10.42578125" style="122" bestFit="1" customWidth="1"/>
    <col min="14084" max="14084" width="10.42578125" style="122" customWidth="1"/>
    <col min="14085" max="14085" width="9.7109375" style="122" bestFit="1" customWidth="1"/>
    <col min="14086" max="14087" width="9.5703125" style="122" bestFit="1" customWidth="1"/>
    <col min="14088" max="14088" width="10.42578125" style="122" bestFit="1" customWidth="1"/>
    <col min="14089" max="14089" width="4.5703125" style="122" customWidth="1"/>
    <col min="14090" max="14090" width="1.85546875" style="122" customWidth="1"/>
    <col min="14091" max="14091" width="7" style="122" bestFit="1" customWidth="1"/>
    <col min="14092" max="14092" width="6.28515625" style="122" customWidth="1"/>
    <col min="14093" max="14093" width="20.42578125" style="122" customWidth="1"/>
    <col min="14094" max="14094" width="6.42578125" style="122" bestFit="1" customWidth="1"/>
    <col min="14095" max="14096" width="8.42578125" style="122"/>
    <col min="14097" max="14097" width="3.28515625" style="122" customWidth="1"/>
    <col min="14098" max="14336" width="8.42578125" style="122"/>
    <col min="14337" max="14337" width="10" style="122" bestFit="1" customWidth="1"/>
    <col min="14338" max="14338" width="44.28515625" style="122" bestFit="1" customWidth="1"/>
    <col min="14339" max="14339" width="10.42578125" style="122" bestFit="1" customWidth="1"/>
    <col min="14340" max="14340" width="10.42578125" style="122" customWidth="1"/>
    <col min="14341" max="14341" width="9.7109375" style="122" bestFit="1" customWidth="1"/>
    <col min="14342" max="14343" width="9.5703125" style="122" bestFit="1" customWidth="1"/>
    <col min="14344" max="14344" width="10.42578125" style="122" bestFit="1" customWidth="1"/>
    <col min="14345" max="14345" width="4.5703125" style="122" customWidth="1"/>
    <col min="14346" max="14346" width="1.85546875" style="122" customWidth="1"/>
    <col min="14347" max="14347" width="7" style="122" bestFit="1" customWidth="1"/>
    <col min="14348" max="14348" width="6.28515625" style="122" customWidth="1"/>
    <col min="14349" max="14349" width="20.42578125" style="122" customWidth="1"/>
    <col min="14350" max="14350" width="6.42578125" style="122" bestFit="1" customWidth="1"/>
    <col min="14351" max="14352" width="8.42578125" style="122"/>
    <col min="14353" max="14353" width="3.28515625" style="122" customWidth="1"/>
    <col min="14354" max="14592" width="8.42578125" style="122"/>
    <col min="14593" max="14593" width="10" style="122" bestFit="1" customWidth="1"/>
    <col min="14594" max="14594" width="44.28515625" style="122" bestFit="1" customWidth="1"/>
    <col min="14595" max="14595" width="10.42578125" style="122" bestFit="1" customWidth="1"/>
    <col min="14596" max="14596" width="10.42578125" style="122" customWidth="1"/>
    <col min="14597" max="14597" width="9.7109375" style="122" bestFit="1" customWidth="1"/>
    <col min="14598" max="14599" width="9.5703125" style="122" bestFit="1" customWidth="1"/>
    <col min="14600" max="14600" width="10.42578125" style="122" bestFit="1" customWidth="1"/>
    <col min="14601" max="14601" width="4.5703125" style="122" customWidth="1"/>
    <col min="14602" max="14602" width="1.85546875" style="122" customWidth="1"/>
    <col min="14603" max="14603" width="7" style="122" bestFit="1" customWidth="1"/>
    <col min="14604" max="14604" width="6.28515625" style="122" customWidth="1"/>
    <col min="14605" max="14605" width="20.42578125" style="122" customWidth="1"/>
    <col min="14606" max="14606" width="6.42578125" style="122" bestFit="1" customWidth="1"/>
    <col min="14607" max="14608" width="8.42578125" style="122"/>
    <col min="14609" max="14609" width="3.28515625" style="122" customWidth="1"/>
    <col min="14610" max="14848" width="8.42578125" style="122"/>
    <col min="14849" max="14849" width="10" style="122" bestFit="1" customWidth="1"/>
    <col min="14850" max="14850" width="44.28515625" style="122" bestFit="1" customWidth="1"/>
    <col min="14851" max="14851" width="10.42578125" style="122" bestFit="1" customWidth="1"/>
    <col min="14852" max="14852" width="10.42578125" style="122" customWidth="1"/>
    <col min="14853" max="14853" width="9.7109375" style="122" bestFit="1" customWidth="1"/>
    <col min="14854" max="14855" width="9.5703125" style="122" bestFit="1" customWidth="1"/>
    <col min="14856" max="14856" width="10.42578125" style="122" bestFit="1" customWidth="1"/>
    <col min="14857" max="14857" width="4.5703125" style="122" customWidth="1"/>
    <col min="14858" max="14858" width="1.85546875" style="122" customWidth="1"/>
    <col min="14859" max="14859" width="7" style="122" bestFit="1" customWidth="1"/>
    <col min="14860" max="14860" width="6.28515625" style="122" customWidth="1"/>
    <col min="14861" max="14861" width="20.42578125" style="122" customWidth="1"/>
    <col min="14862" max="14862" width="6.42578125" style="122" bestFit="1" customWidth="1"/>
    <col min="14863" max="14864" width="8.42578125" style="122"/>
    <col min="14865" max="14865" width="3.28515625" style="122" customWidth="1"/>
    <col min="14866" max="15104" width="8.42578125" style="122"/>
    <col min="15105" max="15105" width="10" style="122" bestFit="1" customWidth="1"/>
    <col min="15106" max="15106" width="44.28515625" style="122" bestFit="1" customWidth="1"/>
    <col min="15107" max="15107" width="10.42578125" style="122" bestFit="1" customWidth="1"/>
    <col min="15108" max="15108" width="10.42578125" style="122" customWidth="1"/>
    <col min="15109" max="15109" width="9.7109375" style="122" bestFit="1" customWidth="1"/>
    <col min="15110" max="15111" width="9.5703125" style="122" bestFit="1" customWidth="1"/>
    <col min="15112" max="15112" width="10.42578125" style="122" bestFit="1" customWidth="1"/>
    <col min="15113" max="15113" width="4.5703125" style="122" customWidth="1"/>
    <col min="15114" max="15114" width="1.85546875" style="122" customWidth="1"/>
    <col min="15115" max="15115" width="7" style="122" bestFit="1" customWidth="1"/>
    <col min="15116" max="15116" width="6.28515625" style="122" customWidth="1"/>
    <col min="15117" max="15117" width="20.42578125" style="122" customWidth="1"/>
    <col min="15118" max="15118" width="6.42578125" style="122" bestFit="1" customWidth="1"/>
    <col min="15119" max="15120" width="8.42578125" style="122"/>
    <col min="15121" max="15121" width="3.28515625" style="122" customWidth="1"/>
    <col min="15122" max="15360" width="8.42578125" style="122"/>
    <col min="15361" max="15361" width="10" style="122" bestFit="1" customWidth="1"/>
    <col min="15362" max="15362" width="44.28515625" style="122" bestFit="1" customWidth="1"/>
    <col min="15363" max="15363" width="10.42578125" style="122" bestFit="1" customWidth="1"/>
    <col min="15364" max="15364" width="10.42578125" style="122" customWidth="1"/>
    <col min="15365" max="15365" width="9.7109375" style="122" bestFit="1" customWidth="1"/>
    <col min="15366" max="15367" width="9.5703125" style="122" bestFit="1" customWidth="1"/>
    <col min="15368" max="15368" width="10.42578125" style="122" bestFit="1" customWidth="1"/>
    <col min="15369" max="15369" width="4.5703125" style="122" customWidth="1"/>
    <col min="15370" max="15370" width="1.85546875" style="122" customWidth="1"/>
    <col min="15371" max="15371" width="7" style="122" bestFit="1" customWidth="1"/>
    <col min="15372" max="15372" width="6.28515625" style="122" customWidth="1"/>
    <col min="15373" max="15373" width="20.42578125" style="122" customWidth="1"/>
    <col min="15374" max="15374" width="6.42578125" style="122" bestFit="1" customWidth="1"/>
    <col min="15375" max="15376" width="8.42578125" style="122"/>
    <col min="15377" max="15377" width="3.28515625" style="122" customWidth="1"/>
    <col min="15378" max="15616" width="8.42578125" style="122"/>
    <col min="15617" max="15617" width="10" style="122" bestFit="1" customWidth="1"/>
    <col min="15618" max="15618" width="44.28515625" style="122" bestFit="1" customWidth="1"/>
    <col min="15619" max="15619" width="10.42578125" style="122" bestFit="1" customWidth="1"/>
    <col min="15620" max="15620" width="10.42578125" style="122" customWidth="1"/>
    <col min="15621" max="15621" width="9.7109375" style="122" bestFit="1" customWidth="1"/>
    <col min="15622" max="15623" width="9.5703125" style="122" bestFit="1" customWidth="1"/>
    <col min="15624" max="15624" width="10.42578125" style="122" bestFit="1" customWidth="1"/>
    <col min="15625" max="15625" width="4.5703125" style="122" customWidth="1"/>
    <col min="15626" max="15626" width="1.85546875" style="122" customWidth="1"/>
    <col min="15627" max="15627" width="7" style="122" bestFit="1" customWidth="1"/>
    <col min="15628" max="15628" width="6.28515625" style="122" customWidth="1"/>
    <col min="15629" max="15629" width="20.42578125" style="122" customWidth="1"/>
    <col min="15630" max="15630" width="6.42578125" style="122" bestFit="1" customWidth="1"/>
    <col min="15631" max="15632" width="8.42578125" style="122"/>
    <col min="15633" max="15633" width="3.28515625" style="122" customWidth="1"/>
    <col min="15634" max="15872" width="8.42578125" style="122"/>
    <col min="15873" max="15873" width="10" style="122" bestFit="1" customWidth="1"/>
    <col min="15874" max="15874" width="44.28515625" style="122" bestFit="1" customWidth="1"/>
    <col min="15875" max="15875" width="10.42578125" style="122" bestFit="1" customWidth="1"/>
    <col min="15876" max="15876" width="10.42578125" style="122" customWidth="1"/>
    <col min="15877" max="15877" width="9.7109375" style="122" bestFit="1" customWidth="1"/>
    <col min="15878" max="15879" width="9.5703125" style="122" bestFit="1" customWidth="1"/>
    <col min="15880" max="15880" width="10.42578125" style="122" bestFit="1" customWidth="1"/>
    <col min="15881" max="15881" width="4.5703125" style="122" customWidth="1"/>
    <col min="15882" max="15882" width="1.85546875" style="122" customWidth="1"/>
    <col min="15883" max="15883" width="7" style="122" bestFit="1" customWidth="1"/>
    <col min="15884" max="15884" width="6.28515625" style="122" customWidth="1"/>
    <col min="15885" max="15885" width="20.42578125" style="122" customWidth="1"/>
    <col min="15886" max="15886" width="6.42578125" style="122" bestFit="1" customWidth="1"/>
    <col min="15887" max="15888" width="8.42578125" style="122"/>
    <col min="15889" max="15889" width="3.28515625" style="122" customWidth="1"/>
    <col min="15890" max="16128" width="8.42578125" style="122"/>
    <col min="16129" max="16129" width="10" style="122" bestFit="1" customWidth="1"/>
    <col min="16130" max="16130" width="44.28515625" style="122" bestFit="1" customWidth="1"/>
    <col min="16131" max="16131" width="10.42578125" style="122" bestFit="1" customWidth="1"/>
    <col min="16132" max="16132" width="10.42578125" style="122" customWidth="1"/>
    <col min="16133" max="16133" width="9.7109375" style="122" bestFit="1" customWidth="1"/>
    <col min="16134" max="16135" width="9.5703125" style="122" bestFit="1" customWidth="1"/>
    <col min="16136" max="16136" width="10.42578125" style="122" bestFit="1" customWidth="1"/>
    <col min="16137" max="16137" width="4.5703125" style="122" customWidth="1"/>
    <col min="16138" max="16138" width="1.85546875" style="122" customWidth="1"/>
    <col min="16139" max="16139" width="7" style="122" bestFit="1" customWidth="1"/>
    <col min="16140" max="16140" width="6.28515625" style="122" customWidth="1"/>
    <col min="16141" max="16141" width="20.42578125" style="122" customWidth="1"/>
    <col min="16142" max="16142" width="6.42578125" style="122" bestFit="1" customWidth="1"/>
    <col min="16143" max="16144" width="8.42578125" style="122"/>
    <col min="16145" max="16145" width="3.28515625" style="122" customWidth="1"/>
    <col min="16146" max="16384" width="8.42578125" style="122"/>
  </cols>
  <sheetData>
    <row r="1" spans="1:10" ht="27.75" customHeight="1" x14ac:dyDescent="0.25">
      <c r="A1" s="117"/>
      <c r="B1" s="117"/>
      <c r="C1" s="117"/>
      <c r="D1" s="117"/>
      <c r="E1" s="118" t="s">
        <v>93</v>
      </c>
      <c r="F1" s="119" t="s">
        <v>94</v>
      </c>
      <c r="G1" s="119" t="s">
        <v>95</v>
      </c>
      <c r="H1" s="119" t="s">
        <v>96</v>
      </c>
      <c r="I1" s="120"/>
    </row>
    <row r="2" spans="1:10" ht="30.75" customHeight="1" x14ac:dyDescent="0.25">
      <c r="A2" s="117"/>
      <c r="B2" s="117"/>
      <c r="C2" s="117"/>
      <c r="D2" s="117"/>
      <c r="E2" s="123">
        <f>IFERROR(O64,"")</f>
        <v>4157.076730621965</v>
      </c>
      <c r="F2" s="123">
        <f>IFERROR(H55,"")</f>
        <v>2373.2247333073797</v>
      </c>
      <c r="G2" s="123">
        <f>IFERROR(H56,"")</f>
        <v>902.68579592620324</v>
      </c>
      <c r="H2" s="123">
        <f>IFERROR(H58,"")</f>
        <v>451.69023768648157</v>
      </c>
      <c r="I2" s="124"/>
    </row>
    <row r="3" spans="1:10" ht="15" customHeight="1" x14ac:dyDescent="0.25">
      <c r="A3" s="117"/>
      <c r="B3" s="117"/>
      <c r="C3" s="117"/>
      <c r="D3" s="117"/>
      <c r="E3" s="117"/>
      <c r="F3" s="125"/>
      <c r="G3" s="125"/>
      <c r="H3" s="125"/>
      <c r="I3" s="125"/>
    </row>
    <row r="4" spans="1:10" ht="24.75" customHeight="1" thickBot="1" x14ac:dyDescent="0.3">
      <c r="A4" s="437"/>
      <c r="B4" s="437"/>
      <c r="C4" s="437"/>
      <c r="D4" s="437"/>
      <c r="E4" s="437"/>
      <c r="F4" s="437"/>
      <c r="G4" s="437"/>
      <c r="H4" s="437"/>
      <c r="I4" s="126"/>
    </row>
    <row r="5" spans="1:10" ht="19.5" customHeight="1" thickBot="1" x14ac:dyDescent="0.3">
      <c r="A5" s="438" t="s">
        <v>97</v>
      </c>
      <c r="B5" s="439"/>
      <c r="C5" s="439"/>
      <c r="D5" s="439"/>
      <c r="E5" s="439"/>
      <c r="F5" s="439"/>
      <c r="G5" s="439"/>
      <c r="H5" s="440"/>
      <c r="I5" s="127"/>
    </row>
    <row r="6" spans="1:10" ht="19.5" thickBot="1" x14ac:dyDescent="0.3">
      <c r="A6" s="127"/>
      <c r="B6" s="127"/>
      <c r="C6" s="127"/>
      <c r="D6" s="127"/>
      <c r="E6" s="127"/>
      <c r="F6" s="441" t="s">
        <v>98</v>
      </c>
      <c r="G6" s="441"/>
      <c r="H6" s="128">
        <f ca="1">TODAY()</f>
        <v>45887</v>
      </c>
      <c r="I6" s="128"/>
    </row>
    <row r="7" spans="1:10" ht="26.25" thickBot="1" x14ac:dyDescent="0.3">
      <c r="A7" s="129" t="s">
        <v>99</v>
      </c>
      <c r="B7" s="130" t="s">
        <v>100</v>
      </c>
      <c r="C7" s="130" t="s">
        <v>99</v>
      </c>
      <c r="D7" s="131" t="s">
        <v>101</v>
      </c>
      <c r="E7" s="131" t="s">
        <v>102</v>
      </c>
      <c r="F7" s="131" t="s">
        <v>103</v>
      </c>
      <c r="G7" s="131" t="s">
        <v>104</v>
      </c>
      <c r="H7" s="132" t="s">
        <v>105</v>
      </c>
      <c r="I7" s="133"/>
    </row>
    <row r="8" spans="1:10" ht="13.5" x14ac:dyDescent="0.25">
      <c r="A8" s="134">
        <v>10</v>
      </c>
      <c r="B8" s="122" t="s">
        <v>158</v>
      </c>
      <c r="C8" s="135">
        <f>+A8</f>
        <v>10</v>
      </c>
      <c r="D8" s="136" t="s">
        <v>159</v>
      </c>
      <c r="E8" s="136">
        <v>2.97</v>
      </c>
      <c r="F8" s="136">
        <f>IFERROR(C8*E8,"")</f>
        <v>29.700000000000003</v>
      </c>
      <c r="G8" s="99">
        <f t="shared" ref="G8:G14" si="0">IFERROR(F8/$F$68,"")</f>
        <v>8.0501439424302858E-3</v>
      </c>
      <c r="H8" s="137"/>
      <c r="I8" s="137"/>
      <c r="J8" s="100"/>
    </row>
    <row r="9" spans="1:10" ht="13.5" hidden="1" x14ac:dyDescent="0.25">
      <c r="A9" s="134"/>
      <c r="B9" s="122" t="str">
        <f>IFERROR(VLOOKUP(H9,'[1]Consolidado MP Planta'!$A$2:$M$823,3,0),"")</f>
        <v/>
      </c>
      <c r="C9" s="135">
        <f t="shared" ref="C9:C14" si="1">+A9</f>
        <v>0</v>
      </c>
      <c r="D9" s="136" t="str">
        <f>IFERROR(VLOOKUP(H9,'[1]Consolidado MP Planta'!$A$2:$M$823,13,0),"")</f>
        <v/>
      </c>
      <c r="E9" s="136" t="str">
        <f>IFERROR(VLOOKUP(H9,'[1]Consolidado MP Planta'!$A$2:$M$823,12,0),"")</f>
        <v/>
      </c>
      <c r="F9" s="136" t="str">
        <f t="shared" ref="F9:F14" si="2">IFERROR(C9*E9,"")</f>
        <v/>
      </c>
      <c r="G9" s="99" t="str">
        <f t="shared" si="0"/>
        <v/>
      </c>
      <c r="H9" s="137"/>
      <c r="I9" s="137"/>
      <c r="J9" s="100"/>
    </row>
    <row r="10" spans="1:10" ht="13.5" hidden="1" x14ac:dyDescent="0.25">
      <c r="A10" s="134"/>
      <c r="B10" s="122" t="str">
        <f>IFERROR(VLOOKUP(H10,'[1]Consolidado MP Planta'!$A$2:$M$823,3,0),"")</f>
        <v/>
      </c>
      <c r="C10" s="135">
        <f t="shared" si="1"/>
        <v>0</v>
      </c>
      <c r="D10" s="136" t="str">
        <f>IFERROR(VLOOKUP(H10,'[1]Consolidado MP Planta'!$A$2:$M$823,13,0),"")</f>
        <v/>
      </c>
      <c r="E10" s="136" t="str">
        <f>IFERROR(VLOOKUP(H10,'[1]Consolidado MP Planta'!$A$2:$M$823,12,0),"")</f>
        <v/>
      </c>
      <c r="F10" s="136" t="str">
        <f t="shared" si="2"/>
        <v/>
      </c>
      <c r="G10" s="99" t="str">
        <f t="shared" si="0"/>
        <v/>
      </c>
      <c r="H10" s="137"/>
      <c r="I10" s="137"/>
      <c r="J10" s="100"/>
    </row>
    <row r="11" spans="1:10" ht="13.5" hidden="1" x14ac:dyDescent="0.25">
      <c r="A11" s="134"/>
      <c r="B11" s="122" t="str">
        <f>IFERROR(VLOOKUP(H11,'[1]Consolidado MP Planta'!$A$2:$M$823,3,0),"")</f>
        <v/>
      </c>
      <c r="C11" s="135">
        <f t="shared" si="1"/>
        <v>0</v>
      </c>
      <c r="D11" s="136" t="str">
        <f>IFERROR(VLOOKUP(H11,'[1]Consolidado MP Planta'!$A$2:$M$823,13,0),"")</f>
        <v/>
      </c>
      <c r="E11" s="136" t="str">
        <f>IFERROR(VLOOKUP(H11,'[1]Consolidado MP Planta'!$A$2:$M$823,12,0),"")</f>
        <v/>
      </c>
      <c r="F11" s="136" t="str">
        <f t="shared" si="2"/>
        <v/>
      </c>
      <c r="G11" s="99" t="str">
        <f t="shared" si="0"/>
        <v/>
      </c>
      <c r="H11" s="137"/>
      <c r="I11" s="137"/>
      <c r="J11" s="100"/>
    </row>
    <row r="12" spans="1:10" ht="13.5" hidden="1" x14ac:dyDescent="0.25">
      <c r="A12" s="134"/>
      <c r="B12" s="122" t="str">
        <f>IFERROR(VLOOKUP(H12,'[1]Consolidado MP Planta'!$A$2:$M$823,3,0),"")</f>
        <v/>
      </c>
      <c r="C12" s="135">
        <f t="shared" si="1"/>
        <v>0</v>
      </c>
      <c r="D12" s="136" t="str">
        <f>IFERROR(VLOOKUP(H12,'[1]Consolidado MP Planta'!$A$2:$M$823,13,0),"")</f>
        <v/>
      </c>
      <c r="E12" s="136" t="str">
        <f>IFERROR(VLOOKUP(H12,'[1]Consolidado MP Planta'!$A$2:$M$823,12,0),"")</f>
        <v/>
      </c>
      <c r="F12" s="136" t="str">
        <f t="shared" si="2"/>
        <v/>
      </c>
      <c r="G12" s="99" t="str">
        <f t="shared" si="0"/>
        <v/>
      </c>
      <c r="H12" s="137"/>
      <c r="I12" s="137"/>
      <c r="J12" s="100"/>
    </row>
    <row r="13" spans="1:10" ht="13.5" hidden="1" x14ac:dyDescent="0.25">
      <c r="A13" s="134"/>
      <c r="B13" s="122" t="str">
        <f>IFERROR(VLOOKUP(H13,'[1]Consolidado MP Planta'!$A$2:$M$823,3,0),"")</f>
        <v/>
      </c>
      <c r="C13" s="135">
        <f t="shared" si="1"/>
        <v>0</v>
      </c>
      <c r="D13" s="136" t="str">
        <f>IFERROR(VLOOKUP(H13,'[1]Consolidado MP Planta'!$A$2:$M$823,13,0),"")</f>
        <v/>
      </c>
      <c r="E13" s="136" t="str">
        <f>IFERROR(VLOOKUP(H13,'[1]Consolidado MP Planta'!$A$2:$M$823,12,0),"")</f>
        <v/>
      </c>
      <c r="F13" s="136" t="str">
        <f t="shared" si="2"/>
        <v/>
      </c>
      <c r="G13" s="99" t="str">
        <f t="shared" si="0"/>
        <v/>
      </c>
      <c r="H13" s="137"/>
      <c r="I13" s="137"/>
      <c r="J13" s="100"/>
    </row>
    <row r="14" spans="1:10" ht="13.5" hidden="1" x14ac:dyDescent="0.25">
      <c r="A14" s="134"/>
      <c r="B14" s="122" t="str">
        <f>IFERROR(VLOOKUP(H14,'[1]Consolidado MP Planta'!$A$2:$M$823,3,0),"")</f>
        <v/>
      </c>
      <c r="C14" s="135">
        <f t="shared" si="1"/>
        <v>0</v>
      </c>
      <c r="D14" s="136" t="str">
        <f>IFERROR(VLOOKUP(H14,'[1]Consolidado MP Planta'!$A$2:$M$823,13,0),"")</f>
        <v/>
      </c>
      <c r="E14" s="136" t="str">
        <f>IFERROR(VLOOKUP(H14,'[1]Consolidado MP Planta'!$A$2:$M$823,12,0),"")</f>
        <v/>
      </c>
      <c r="F14" s="136" t="str">
        <f t="shared" si="2"/>
        <v/>
      </c>
      <c r="G14" s="99" t="str">
        <f t="shared" si="0"/>
        <v/>
      </c>
      <c r="H14" s="137"/>
      <c r="I14" s="137"/>
      <c r="J14" s="100"/>
    </row>
    <row r="15" spans="1:10" ht="14.25" thickBot="1" x14ac:dyDescent="0.3">
      <c r="A15" s="134"/>
      <c r="B15" s="122" t="str">
        <f>IFERROR(VLOOKUP(H15,'[2]ARTICULOS MP PLANTA'!$A$2:$G$589,2,0),"")</f>
        <v/>
      </c>
      <c r="C15" s="135"/>
      <c r="D15" s="136"/>
      <c r="E15" s="136"/>
      <c r="F15" s="136"/>
      <c r="G15" s="99"/>
      <c r="H15" s="137"/>
      <c r="I15" s="137"/>
      <c r="J15" s="100"/>
    </row>
    <row r="16" spans="1:10" ht="26.25" thickBot="1" x14ac:dyDescent="0.3">
      <c r="A16" s="129" t="s">
        <v>99</v>
      </c>
      <c r="B16" s="130" t="s">
        <v>106</v>
      </c>
      <c r="C16" s="130" t="s">
        <v>99</v>
      </c>
      <c r="D16" s="131" t="s">
        <v>101</v>
      </c>
      <c r="E16" s="131" t="s">
        <v>102</v>
      </c>
      <c r="F16" s="131" t="s">
        <v>103</v>
      </c>
      <c r="G16" s="131" t="s">
        <v>104</v>
      </c>
      <c r="H16" s="132" t="s">
        <v>105</v>
      </c>
      <c r="I16" s="133"/>
      <c r="J16" s="100"/>
    </row>
    <row r="17" spans="1:12" ht="13.5" x14ac:dyDescent="0.25">
      <c r="A17" s="204">
        <v>1</v>
      </c>
      <c r="B17" s="205" t="s">
        <v>148</v>
      </c>
      <c r="C17" s="135">
        <f>+A17</f>
        <v>1</v>
      </c>
      <c r="D17" s="135" t="s">
        <v>149</v>
      </c>
      <c r="E17" s="136">
        <f>+'Costo Rosquete 1000'!H53</f>
        <v>1269.8438502673794</v>
      </c>
      <c r="F17" s="136">
        <f>IFERROR(E17*C17,"")</f>
        <v>1269.8438502673794</v>
      </c>
      <c r="G17" s="99">
        <f t="shared" ref="G17:G24" si="3">IFERROR(F17/$F$68,"")</f>
        <v>0.34418942017044757</v>
      </c>
      <c r="H17" s="137"/>
      <c r="I17" s="137"/>
      <c r="J17" s="100"/>
    </row>
    <row r="18" spans="1:12" ht="13.5" x14ac:dyDescent="0.25">
      <c r="A18" s="204">
        <v>160</v>
      </c>
      <c r="B18" s="205" t="s">
        <v>61</v>
      </c>
      <c r="C18" s="135">
        <f t="shared" ref="C18:C24" si="4">+A18</f>
        <v>160</v>
      </c>
      <c r="D18" s="135" t="s">
        <v>107</v>
      </c>
      <c r="E18" s="136">
        <f>+'[3]COSTO CREMA '!$E$69</f>
        <v>2.3351836439999998</v>
      </c>
      <c r="F18" s="136">
        <f t="shared" ref="F18:F24" si="5">IFERROR(E18*C18,"")</f>
        <v>373.62938303999999</v>
      </c>
      <c r="G18" s="99">
        <f t="shared" si="3"/>
        <v>0.10127172776408823</v>
      </c>
      <c r="H18" s="137"/>
      <c r="I18" s="137"/>
      <c r="J18" s="100"/>
    </row>
    <row r="19" spans="1:12" ht="13.5" x14ac:dyDescent="0.25">
      <c r="A19" s="134">
        <v>0</v>
      </c>
      <c r="B19" s="122" t="s">
        <v>65</v>
      </c>
      <c r="C19" s="135">
        <f>+A19</f>
        <v>0</v>
      </c>
      <c r="D19" s="135" t="s">
        <v>107</v>
      </c>
      <c r="E19" s="136">
        <v>1.78</v>
      </c>
      <c r="F19" s="136">
        <f>IFERROR(E19*C19,"")</f>
        <v>0</v>
      </c>
      <c r="G19" s="99">
        <f t="shared" si="3"/>
        <v>0</v>
      </c>
      <c r="H19" s="137" t="s">
        <v>150</v>
      </c>
      <c r="I19" s="137"/>
      <c r="J19" s="100"/>
    </row>
    <row r="20" spans="1:12" ht="13.5" x14ac:dyDescent="0.25">
      <c r="A20" s="204">
        <v>200</v>
      </c>
      <c r="B20" s="205" t="str">
        <f>IFERROR(VLOOKUP(H20,[1]SEMIELABORADOS!$A$2:$M$6000,2,0),"")</f>
        <v>CREMA DULCE LECHE KILO</v>
      </c>
      <c r="C20" s="135">
        <f>+A20</f>
        <v>200</v>
      </c>
      <c r="D20" s="135" t="str">
        <f>IFERROR(VLOOKUP(H20,[1]SEMIELABORADOS!$A$2:$M$6000,6,0),"")</f>
        <v>Gramo</v>
      </c>
      <c r="E20" s="136">
        <v>2.63</v>
      </c>
      <c r="F20" s="136">
        <f>IFERROR(E20*C20,"")</f>
        <v>526</v>
      </c>
      <c r="G20" s="99">
        <f t="shared" si="3"/>
        <v>0.14257157285246902</v>
      </c>
      <c r="H20" s="137" t="s">
        <v>151</v>
      </c>
      <c r="I20" s="137"/>
      <c r="J20" s="100"/>
    </row>
    <row r="21" spans="1:12" ht="13.5" x14ac:dyDescent="0.25">
      <c r="A21" s="134">
        <v>70</v>
      </c>
      <c r="B21" s="122" t="s">
        <v>157</v>
      </c>
      <c r="C21" s="135">
        <f>+A21</f>
        <v>70</v>
      </c>
      <c r="D21" s="135" t="s">
        <v>107</v>
      </c>
      <c r="E21" s="136">
        <f>+[4]Hoja2!$E$69</f>
        <v>2.48645</v>
      </c>
      <c r="F21" s="136">
        <f>IFERROR(E21*C21,"")</f>
        <v>174.0515</v>
      </c>
      <c r="G21" s="99">
        <f t="shared" si="3"/>
        <v>4.7176418464508575E-2</v>
      </c>
      <c r="H21" s="137"/>
      <c r="I21" s="137"/>
      <c r="J21" s="100"/>
    </row>
    <row r="22" spans="1:12" ht="13.5" hidden="1" x14ac:dyDescent="0.25">
      <c r="A22" s="134"/>
      <c r="B22" s="122" t="str">
        <f>IFERROR(VLOOKUP(H22,[1]SEMIELABORADOS!$A$2:$M$6000,2,0),"")</f>
        <v/>
      </c>
      <c r="C22" s="135">
        <f t="shared" si="4"/>
        <v>0</v>
      </c>
      <c r="D22" s="135" t="str">
        <f>IFERROR(VLOOKUP(H22,[1]SEMIELABORADOS!$A$2:$M$6000,6,0),"")</f>
        <v/>
      </c>
      <c r="E22" s="136" t="str">
        <f>IFERROR(VLOOKUP(H22,[1]SEMIELABORADOS!$A$2:$H$65536,8,0),"")</f>
        <v/>
      </c>
      <c r="F22" s="136" t="str">
        <f t="shared" si="5"/>
        <v/>
      </c>
      <c r="G22" s="99" t="str">
        <f t="shared" si="3"/>
        <v/>
      </c>
      <c r="H22" s="137"/>
      <c r="I22" s="137"/>
      <c r="J22" s="100"/>
    </row>
    <row r="23" spans="1:12" ht="13.5" hidden="1" x14ac:dyDescent="0.25">
      <c r="A23" s="134"/>
      <c r="B23" s="122" t="str">
        <f>IFERROR(VLOOKUP(H23,[1]SEMIELABORADOS!$A$2:$M$6000,2,0),"")</f>
        <v/>
      </c>
      <c r="C23" s="135">
        <f t="shared" si="4"/>
        <v>0</v>
      </c>
      <c r="D23" s="135" t="str">
        <f>IFERROR(VLOOKUP(H23,[1]SEMIELABORADOS!$A$2:$M$6000,6,0),"")</f>
        <v/>
      </c>
      <c r="E23" s="136" t="str">
        <f>IFERROR(VLOOKUP(H23,[1]SEMIELABORADOS!$A$2:$H$65536,8,0),"")</f>
        <v/>
      </c>
      <c r="F23" s="136" t="str">
        <f t="shared" si="5"/>
        <v/>
      </c>
      <c r="G23" s="99" t="str">
        <f t="shared" si="3"/>
        <v/>
      </c>
      <c r="H23" s="137"/>
      <c r="I23" s="137"/>
      <c r="J23" s="100"/>
    </row>
    <row r="24" spans="1:12" ht="13.5" hidden="1" x14ac:dyDescent="0.25">
      <c r="A24" s="134"/>
      <c r="B24" s="122" t="str">
        <f>IFERROR(VLOOKUP(H24,[1]SEMIELABORADOS!$A$2:$M$6000,2,0),"")</f>
        <v/>
      </c>
      <c r="C24" s="135">
        <f t="shared" si="4"/>
        <v>0</v>
      </c>
      <c r="D24" s="135" t="str">
        <f>IFERROR(VLOOKUP(H24,[1]SEMIELABORADOS!$A$2:$M$6000,6,0),"")</f>
        <v/>
      </c>
      <c r="E24" s="136" t="str">
        <f>IFERROR(VLOOKUP(H24,[1]SEMIELABORADOS!$A$2:$H$65536,8,0),"")</f>
        <v/>
      </c>
      <c r="F24" s="136" t="str">
        <f t="shared" si="5"/>
        <v/>
      </c>
      <c r="G24" s="99" t="str">
        <f t="shared" si="3"/>
        <v/>
      </c>
      <c r="H24" s="137"/>
      <c r="I24" s="137"/>
      <c r="J24" s="100"/>
    </row>
    <row r="25" spans="1:12" ht="14.25" thickBot="1" x14ac:dyDescent="0.3">
      <c r="A25" s="134"/>
      <c r="C25" s="135"/>
      <c r="D25" s="135"/>
      <c r="E25" s="136"/>
      <c r="F25" s="136"/>
      <c r="G25" s="99"/>
      <c r="H25" s="137"/>
      <c r="I25" s="137"/>
      <c r="J25" s="100"/>
    </row>
    <row r="26" spans="1:12" ht="26.25" thickBot="1" x14ac:dyDescent="0.3">
      <c r="A26" s="129" t="s">
        <v>99</v>
      </c>
      <c r="B26" s="130" t="s">
        <v>24</v>
      </c>
      <c r="C26" s="130" t="s">
        <v>99</v>
      </c>
      <c r="D26" s="131" t="s">
        <v>101</v>
      </c>
      <c r="E26" s="131" t="s">
        <v>102</v>
      </c>
      <c r="F26" s="131" t="s">
        <v>103</v>
      </c>
      <c r="G26" s="131" t="s">
        <v>104</v>
      </c>
      <c r="H26" s="132" t="s">
        <v>105</v>
      </c>
      <c r="I26" s="133"/>
    </row>
    <row r="27" spans="1:12" ht="13.5" x14ac:dyDescent="0.25">
      <c r="A27" s="134">
        <v>1</v>
      </c>
      <c r="B27" s="138" t="s">
        <v>152</v>
      </c>
      <c r="C27" s="135">
        <f t="shared" ref="C27:C34" si="6">+A27</f>
        <v>1</v>
      </c>
      <c r="D27" s="136" t="s">
        <v>153</v>
      </c>
      <c r="E27" s="136">
        <v>653.73</v>
      </c>
      <c r="F27" s="136">
        <f t="shared" ref="F27:F34" si="7">IFERROR(C27*E27,"")</f>
        <v>653.73</v>
      </c>
      <c r="G27" s="99">
        <f t="shared" ref="G27:G34" si="8">IFERROR(F27/$F$68,"")</f>
        <v>0.17719261277727105</v>
      </c>
      <c r="H27" s="139">
        <v>51400040</v>
      </c>
      <c r="I27" s="139"/>
      <c r="J27" s="100"/>
      <c r="K27" s="442"/>
      <c r="L27" s="442"/>
    </row>
    <row r="28" spans="1:12" ht="13.5" x14ac:dyDescent="0.25">
      <c r="A28" s="134">
        <v>1</v>
      </c>
      <c r="B28" s="138" t="str">
        <f>IFERROR(VLOOKUP(H28,'[1]Consolidado MP Planta'!$A$2:$M$823,3,0),"")</f>
        <v>BASE CARTON 15 PORCIONES (UND)</v>
      </c>
      <c r="C28" s="135">
        <f t="shared" si="6"/>
        <v>1</v>
      </c>
      <c r="D28" s="136" t="str">
        <f>IFERROR(VLOOKUP(H28,'[1]Consolidado MP Planta'!$A$2:$M$823,13,0),"")</f>
        <v>Und</v>
      </c>
      <c r="E28" s="136">
        <v>170</v>
      </c>
      <c r="F28" s="136">
        <f t="shared" si="7"/>
        <v>170</v>
      </c>
      <c r="G28" s="99">
        <f t="shared" si="8"/>
        <v>4.6078264990341691E-2</v>
      </c>
      <c r="H28" s="139" t="s">
        <v>71</v>
      </c>
      <c r="I28" s="139"/>
      <c r="J28" s="100"/>
      <c r="K28" s="442"/>
      <c r="L28" s="442"/>
    </row>
    <row r="29" spans="1:12" ht="13.5" x14ac:dyDescent="0.25">
      <c r="A29" s="134">
        <v>1</v>
      </c>
      <c r="B29" s="138" t="str">
        <f>IFERROR(VLOOKUP(H29,'[1]Consolidado MP Planta'!$A$2:$M$823,3,0),"")</f>
        <v>ETIQ.FECHA VENCIMIENTO BLANCO (ROLLO)</v>
      </c>
      <c r="C29" s="135">
        <f t="shared" si="6"/>
        <v>1</v>
      </c>
      <c r="D29" s="136" t="str">
        <f>IFERROR(VLOOKUP(H29,'[1]Consolidado MP Planta'!$A$2:$M$823,13,0),"")</f>
        <v>Gramos</v>
      </c>
      <c r="E29" s="136">
        <f>IFERROR(VLOOKUP(H29,'[1]Consolidado MP Planta'!$A$2:$M$823,12,0),"")</f>
        <v>0.33333333333333331</v>
      </c>
      <c r="F29" s="136">
        <f t="shared" si="7"/>
        <v>0.33333333333333331</v>
      </c>
      <c r="G29" s="99">
        <f t="shared" si="8"/>
        <v>9.034953919674842E-5</v>
      </c>
      <c r="H29" s="139" t="s">
        <v>75</v>
      </c>
      <c r="I29" s="139"/>
      <c r="J29" s="100"/>
      <c r="K29" s="442"/>
      <c r="L29" s="442"/>
    </row>
    <row r="30" spans="1:12" ht="13.5" x14ac:dyDescent="0.25">
      <c r="A30" s="134">
        <v>1</v>
      </c>
      <c r="B30" s="138" t="str">
        <f>IFERROR(VLOOKUP(H30,'[1]Consolidado MP Planta'!$A$2:$M$823,3,0),"")</f>
        <v>ETIQUETA BLANCA R-153 (UND)</v>
      </c>
      <c r="C30" s="135">
        <f>+A30</f>
        <v>1</v>
      </c>
      <c r="D30" s="136" t="str">
        <f>IFERROR(VLOOKUP(H30,'[1]Consolidado MP Planta'!$A$2:$M$823,13,0),"")</f>
        <v>Und</v>
      </c>
      <c r="E30" s="136">
        <f>IFERROR(VLOOKUP(H30,'[1]Consolidado MP Planta'!$A$2:$M$823,12,0),"")</f>
        <v>0.39</v>
      </c>
      <c r="F30" s="136">
        <f>IFERROR(C30*E30,"")</f>
        <v>0.39</v>
      </c>
      <c r="G30" s="99">
        <f t="shared" si="8"/>
        <v>1.0570896086019566E-4</v>
      </c>
      <c r="H30" s="139" t="s">
        <v>77</v>
      </c>
      <c r="I30" s="139"/>
      <c r="J30" s="100"/>
      <c r="K30" s="120"/>
      <c r="L30" s="120"/>
    </row>
    <row r="31" spans="1:12" ht="13.5" x14ac:dyDescent="0.25">
      <c r="A31" s="134">
        <v>1</v>
      </c>
      <c r="B31" s="138" t="str">
        <f>IFERROR(VLOOKUP(H31,'[1]Consolidado MP Planta'!$A$2:$M$823,3,0),"")</f>
        <v>ETIQ TORTA GENERICA BUCCA GRANDE (UND)</v>
      </c>
      <c r="C31" s="135">
        <f>+A31</f>
        <v>1</v>
      </c>
      <c r="D31" s="136" t="str">
        <f>IFERROR(VLOOKUP(H31,'[1]Consolidado MP Planta'!$A$2:$M$823,13,0),"")</f>
        <v>Und</v>
      </c>
      <c r="E31" s="136">
        <f>IFERROR(VLOOKUP(H31,'[1]Consolidado MP Planta'!$A$2:$M$823,12,0),"")</f>
        <v>43.5</v>
      </c>
      <c r="F31" s="136">
        <f>IFERROR(C31*E31,"")</f>
        <v>43.5</v>
      </c>
      <c r="G31" s="99">
        <f t="shared" si="8"/>
        <v>1.1790614865175669E-2</v>
      </c>
      <c r="H31" s="139" t="s">
        <v>80</v>
      </c>
      <c r="I31" s="139"/>
      <c r="J31" s="100"/>
      <c r="K31" s="120"/>
      <c r="L31" s="120"/>
    </row>
    <row r="32" spans="1:12" ht="13.5" x14ac:dyDescent="0.25">
      <c r="A32" s="134">
        <v>1</v>
      </c>
      <c r="B32" s="138" t="str">
        <f>IFERROR(VLOOKUP(H32,'[1]Consolidado MP Planta'!$A$2:$M$823,3,0),"")</f>
        <v>ETIQUETA BLANCA 2 5/8X1 15/16 (UND)</v>
      </c>
      <c r="C32" s="135">
        <f t="shared" si="6"/>
        <v>1</v>
      </c>
      <c r="D32" s="136" t="str">
        <f>IFERROR(VLOOKUP(H32,'[1]Consolidado MP Planta'!$A$2:$M$823,13,0),"")</f>
        <v>Und</v>
      </c>
      <c r="E32" s="136">
        <f>IFERROR(VLOOKUP(H32,'[1]Consolidado MP Planta'!$A$2:$M$823,12,0),"")</f>
        <v>2.1280000000000001</v>
      </c>
      <c r="F32" s="136">
        <f t="shared" si="7"/>
        <v>2.1280000000000001</v>
      </c>
      <c r="G32" s="99">
        <f t="shared" si="8"/>
        <v>5.7679145823204194E-4</v>
      </c>
      <c r="H32" s="139" t="s">
        <v>84</v>
      </c>
      <c r="I32" s="139"/>
      <c r="J32" s="100"/>
      <c r="K32" s="442"/>
      <c r="L32" s="442"/>
    </row>
    <row r="33" spans="1:13" ht="13.5" x14ac:dyDescent="0.25">
      <c r="A33" s="134">
        <v>60</v>
      </c>
      <c r="B33" s="138" t="str">
        <f>IFERROR(VLOOKUP(H33,'[1]Consolidado MP Planta'!$A$2:$M$823,3,0),"")</f>
        <v>CINTA ADHESIVA TRANSPARENT 2*100 M (UND)</v>
      </c>
      <c r="C33" s="135">
        <f t="shared" si="6"/>
        <v>60</v>
      </c>
      <c r="D33" s="136" t="str">
        <f>IFERROR(VLOOKUP(H33,'[1]Consolidado MP Planta'!$A$2:$M$823,13,0),"")</f>
        <v>Cm</v>
      </c>
      <c r="E33" s="136">
        <f>IFERROR(VLOOKUP(H33,'[1]Consolidado MP Planta'!$A$2:$M$823,12,0),"")</f>
        <v>0.17499999999999999</v>
      </c>
      <c r="F33" s="136">
        <f t="shared" si="7"/>
        <v>10.5</v>
      </c>
      <c r="G33" s="99">
        <f t="shared" si="8"/>
        <v>2.8460104846975754E-3</v>
      </c>
      <c r="H33" s="139" t="s">
        <v>85</v>
      </c>
      <c r="I33" s="139"/>
      <c r="J33" s="100"/>
      <c r="K33" s="140"/>
      <c r="L33" s="141"/>
    </row>
    <row r="34" spans="1:13" ht="13.5" x14ac:dyDescent="0.25">
      <c r="A34" s="134"/>
      <c r="B34" s="138" t="str">
        <f>IFERROR(VLOOKUP(H34,'[1]Consolidado MP Planta'!$A$2:$M$823,3,0),"")</f>
        <v/>
      </c>
      <c r="C34" s="135">
        <f t="shared" si="6"/>
        <v>0</v>
      </c>
      <c r="D34" s="136" t="str">
        <f>IFERROR(VLOOKUP(H34,'[1]Consolidado MP Planta'!$A$2:$M$823,13,0),"")</f>
        <v/>
      </c>
      <c r="E34" s="136" t="str">
        <f>IFERROR(VLOOKUP(H34,'[1]Consolidado MP Planta'!$A$2:$M$823,12,0),"")</f>
        <v/>
      </c>
      <c r="F34" s="136" t="str">
        <f t="shared" si="7"/>
        <v/>
      </c>
      <c r="G34" s="99" t="str">
        <f t="shared" si="8"/>
        <v/>
      </c>
      <c r="H34" s="139"/>
      <c r="I34" s="139"/>
      <c r="J34" s="100"/>
    </row>
    <row r="35" spans="1:13" ht="14.25" thickBot="1" x14ac:dyDescent="0.3">
      <c r="A35" s="134"/>
      <c r="B35" s="138"/>
      <c r="C35" s="135"/>
      <c r="D35" s="136"/>
      <c r="E35" s="136"/>
      <c r="F35" s="136"/>
      <c r="G35" s="99"/>
      <c r="H35" s="139"/>
      <c r="I35" s="139"/>
      <c r="J35" s="100"/>
    </row>
    <row r="36" spans="1:13" ht="26.25" thickBot="1" x14ac:dyDescent="0.25">
      <c r="A36" s="129" t="s">
        <v>99</v>
      </c>
      <c r="B36" s="130" t="s">
        <v>111</v>
      </c>
      <c r="C36" s="130" t="s">
        <v>99</v>
      </c>
      <c r="D36" s="131" t="s">
        <v>101</v>
      </c>
      <c r="E36" s="131" t="s">
        <v>102</v>
      </c>
      <c r="F36" s="131" t="s">
        <v>103</v>
      </c>
      <c r="G36" s="131" t="s">
        <v>104</v>
      </c>
      <c r="H36" s="132" t="s">
        <v>105</v>
      </c>
      <c r="I36" s="139"/>
      <c r="J36" s="100"/>
    </row>
    <row r="37" spans="1:13" ht="13.5" x14ac:dyDescent="0.25">
      <c r="A37" s="134">
        <f t="shared" ref="A37:A43" si="9">+A17</f>
        <v>1</v>
      </c>
      <c r="B37" s="122" t="s">
        <v>148</v>
      </c>
      <c r="C37" s="135">
        <f>+A37</f>
        <v>1</v>
      </c>
      <c r="D37" s="136" t="s">
        <v>154</v>
      </c>
      <c r="E37" s="136">
        <f>+'[5]COSTO ROSQUTE '!H54</f>
        <v>22.079990592869873</v>
      </c>
      <c r="F37" s="136">
        <f>IFERROR(E37*C37,"")</f>
        <v>22.079990592869873</v>
      </c>
      <c r="G37" s="99">
        <f t="shared" ref="G37:G43" si="10">IFERROR(F37/$F$68,"")</f>
        <v>5.9847509266029988E-3</v>
      </c>
      <c r="H37" s="139"/>
      <c r="I37" s="139"/>
      <c r="J37" s="100"/>
    </row>
    <row r="38" spans="1:13" ht="13.5" x14ac:dyDescent="0.25">
      <c r="A38" s="134">
        <f t="shared" si="9"/>
        <v>160</v>
      </c>
      <c r="B38" s="122" t="s">
        <v>61</v>
      </c>
      <c r="C38" s="135">
        <f t="shared" ref="C38:C43" si="11">+A38</f>
        <v>160</v>
      </c>
      <c r="D38" s="136" t="s">
        <v>107</v>
      </c>
      <c r="E38" s="136">
        <f>+'[3]COSTO CREMA '!$E$76</f>
        <v>0</v>
      </c>
      <c r="F38" s="136">
        <f t="shared" ref="F38:F43" si="12">IFERROR(E38*C38,"")</f>
        <v>0</v>
      </c>
      <c r="G38" s="99">
        <f t="shared" si="10"/>
        <v>0</v>
      </c>
      <c r="H38" s="139"/>
      <c r="I38" s="139"/>
      <c r="J38" s="100"/>
    </row>
    <row r="39" spans="1:13" ht="13.5" x14ac:dyDescent="0.25">
      <c r="A39" s="134">
        <f t="shared" si="9"/>
        <v>0</v>
      </c>
      <c r="B39" s="122" t="s">
        <v>65</v>
      </c>
      <c r="C39" s="135">
        <f t="shared" si="11"/>
        <v>0</v>
      </c>
      <c r="D39" s="136" t="s">
        <v>107</v>
      </c>
      <c r="E39" s="136">
        <v>0</v>
      </c>
      <c r="F39" s="136">
        <f t="shared" si="12"/>
        <v>0</v>
      </c>
      <c r="G39" s="99">
        <f t="shared" si="10"/>
        <v>0</v>
      </c>
      <c r="H39" s="139"/>
      <c r="I39" s="139"/>
      <c r="J39" s="100"/>
    </row>
    <row r="40" spans="1:13" ht="13.5" x14ac:dyDescent="0.25">
      <c r="A40" s="134">
        <f t="shared" si="9"/>
        <v>200</v>
      </c>
      <c r="B40" s="138" t="str">
        <f>IFERROR(VLOOKUP(H40,[1]SEMIELABORADOS!$A$2:$M$6000,2,0),"")</f>
        <v>CREMA DULCE LECHE KILO</v>
      </c>
      <c r="C40" s="135">
        <f>+A40</f>
        <v>200</v>
      </c>
      <c r="D40" s="136" t="str">
        <f>IFERROR(VLOOKUP(H40,[1]SEMIELABORADOS!$A$2:$M$6000,6,0),"")</f>
        <v>Gramo</v>
      </c>
      <c r="E40" s="136">
        <f>IFERROR(VLOOKUP(H40,[1]SEMIELABORADOS!$A$2:$M$65536,10,0),"")</f>
        <v>8.5119999999999998E-5</v>
      </c>
      <c r="F40" s="136">
        <f>IFERROR(E40*C40,"")</f>
        <v>1.7024000000000001E-2</v>
      </c>
      <c r="G40" s="99">
        <f t="shared" si="10"/>
        <v>4.6143316658563359E-6</v>
      </c>
      <c r="H40" s="139" t="s">
        <v>151</v>
      </c>
      <c r="I40" s="139"/>
      <c r="J40" s="100"/>
    </row>
    <row r="41" spans="1:13" ht="13.5" x14ac:dyDescent="0.25">
      <c r="A41" s="134">
        <f t="shared" si="9"/>
        <v>70</v>
      </c>
      <c r="B41" s="138" t="s">
        <v>63</v>
      </c>
      <c r="C41" s="135">
        <f>+A41</f>
        <v>70</v>
      </c>
      <c r="D41" s="136" t="s">
        <v>107</v>
      </c>
      <c r="E41" s="136">
        <f>+[4]Hoja2!$E$76</f>
        <v>1.0640000000000001E-4</v>
      </c>
      <c r="F41" s="136">
        <f>IFERROR(E41*C41,"")</f>
        <v>7.4480000000000006E-3</v>
      </c>
      <c r="G41" s="99">
        <f t="shared" si="10"/>
        <v>2.0187701038121468E-6</v>
      </c>
      <c r="H41" s="139"/>
      <c r="I41" s="139"/>
      <c r="J41" s="100"/>
    </row>
    <row r="42" spans="1:13" ht="13.5" hidden="1" x14ac:dyDescent="0.25">
      <c r="A42" s="134">
        <f t="shared" si="9"/>
        <v>0</v>
      </c>
      <c r="B42" s="138" t="str">
        <f>IFERROR(VLOOKUP(H42,[1]SEMIELABORADOS!$A$2:$M$6000,2,0),"")</f>
        <v/>
      </c>
      <c r="C42" s="135">
        <f t="shared" si="11"/>
        <v>0</v>
      </c>
      <c r="D42" s="136" t="str">
        <f>IFERROR(VLOOKUP(H42,[1]SEMIELABORADOS!$A$2:$M$6000,6,0),"")</f>
        <v/>
      </c>
      <c r="E42" s="136" t="str">
        <f>IFERROR(VLOOKUP(H42,[1]SEMIELABORADOS!$A$2:$M$65536,10,0),"")</f>
        <v/>
      </c>
      <c r="F42" s="136" t="str">
        <f t="shared" si="12"/>
        <v/>
      </c>
      <c r="G42" s="99" t="str">
        <f t="shared" si="10"/>
        <v/>
      </c>
      <c r="H42" s="139"/>
      <c r="I42" s="139"/>
      <c r="J42" s="100"/>
    </row>
    <row r="43" spans="1:13" ht="13.5" hidden="1" x14ac:dyDescent="0.25">
      <c r="A43" s="134">
        <f t="shared" si="9"/>
        <v>0</v>
      </c>
      <c r="B43" s="138" t="str">
        <f>IFERROR(VLOOKUP(H43,[1]SEMIELABORADOS!$A$2:$M$6000,2,0),"")</f>
        <v/>
      </c>
      <c r="C43" s="135">
        <f t="shared" si="11"/>
        <v>0</v>
      </c>
      <c r="D43" s="136" t="str">
        <f>IFERROR(VLOOKUP(H43,[1]SEMIELABORADOS!$A$2:$M$6000,6,0),"")</f>
        <v/>
      </c>
      <c r="E43" s="136" t="str">
        <f>IFERROR(VLOOKUP(H43,[1]SEMIELABORADOS!$A$2:$M$65536,10,0),"")</f>
        <v/>
      </c>
      <c r="F43" s="136" t="str">
        <f t="shared" si="12"/>
        <v/>
      </c>
      <c r="G43" s="99" t="str">
        <f t="shared" si="10"/>
        <v/>
      </c>
      <c r="H43" s="139"/>
      <c r="I43" s="139"/>
      <c r="J43" s="100"/>
    </row>
    <row r="44" spans="1:13" ht="14.25" thickBot="1" x14ac:dyDescent="0.3">
      <c r="A44" s="134"/>
      <c r="B44" s="138"/>
      <c r="C44" s="135"/>
      <c r="D44" s="136"/>
      <c r="E44" s="136"/>
      <c r="F44" s="136"/>
      <c r="G44" s="99"/>
      <c r="H44" s="139"/>
      <c r="I44" s="139"/>
      <c r="J44" s="100"/>
    </row>
    <row r="45" spans="1:13" ht="26.25" thickBot="1" x14ac:dyDescent="0.3">
      <c r="A45" s="129" t="s">
        <v>99</v>
      </c>
      <c r="B45" s="130" t="s">
        <v>112</v>
      </c>
      <c r="C45" s="130" t="s">
        <v>99</v>
      </c>
      <c r="D45" s="131" t="s">
        <v>101</v>
      </c>
      <c r="E45" s="131" t="s">
        <v>102</v>
      </c>
      <c r="F45" s="131" t="s">
        <v>103</v>
      </c>
      <c r="G45" s="131" t="s">
        <v>104</v>
      </c>
      <c r="H45" s="132" t="s">
        <v>105</v>
      </c>
      <c r="I45" s="133"/>
      <c r="J45" s="100"/>
    </row>
    <row r="46" spans="1:13" ht="13.5" x14ac:dyDescent="0.25">
      <c r="A46" s="134">
        <f>+A37</f>
        <v>1</v>
      </c>
      <c r="B46" s="122" t="s">
        <v>148</v>
      </c>
      <c r="C46" s="135">
        <f>+A46</f>
        <v>1</v>
      </c>
      <c r="D46" s="136" t="s">
        <v>154</v>
      </c>
      <c r="E46" s="136">
        <f>+'[5]COSTO ROSQUTE '!H56</f>
        <v>76.67523768648158</v>
      </c>
      <c r="F46" s="136">
        <f>IFERROR(E46*C46,"")</f>
        <v>76.67523768648158</v>
      </c>
      <c r="G46" s="99">
        <f>IFERROR(F46/$F$68,"")</f>
        <v>2.0782717178324306E-2</v>
      </c>
      <c r="H46" s="139"/>
      <c r="I46" s="133"/>
      <c r="J46" s="100"/>
    </row>
    <row r="47" spans="1:13" ht="13.5" x14ac:dyDescent="0.25">
      <c r="A47" s="134">
        <f t="shared" ref="A47:A52" si="13">+A38</f>
        <v>160</v>
      </c>
      <c r="B47" s="122" t="s">
        <v>61</v>
      </c>
      <c r="C47" s="135">
        <f t="shared" ref="C47:C52" si="14">+A47</f>
        <v>160</v>
      </c>
      <c r="D47" s="136" t="s">
        <v>107</v>
      </c>
      <c r="E47" s="136">
        <f>+'[3]COSTO CREMA '!$E$74</f>
        <v>3.0499999999999999E-2</v>
      </c>
      <c r="F47" s="136">
        <f t="shared" ref="F47:F52" si="15">IFERROR(E47*C47,"")</f>
        <v>4.88</v>
      </c>
      <c r="G47" s="99">
        <f t="shared" ref="G47:G52" si="16">IFERROR(F47/$F$68,"")</f>
        <v>1.3227172538403968E-3</v>
      </c>
      <c r="H47" s="139"/>
      <c r="I47" s="133"/>
      <c r="J47" s="100"/>
      <c r="M47" s="142"/>
    </row>
    <row r="48" spans="1:13" ht="13.5" x14ac:dyDescent="0.25">
      <c r="A48" s="134">
        <f t="shared" si="13"/>
        <v>0</v>
      </c>
      <c r="B48" s="122" t="s">
        <v>65</v>
      </c>
      <c r="C48" s="135">
        <f t="shared" si="14"/>
        <v>0</v>
      </c>
      <c r="D48" s="136" t="s">
        <v>107</v>
      </c>
      <c r="E48" s="136">
        <v>0.2</v>
      </c>
      <c r="F48" s="136">
        <f t="shared" si="15"/>
        <v>0</v>
      </c>
      <c r="G48" s="99">
        <f t="shared" si="16"/>
        <v>0</v>
      </c>
      <c r="H48" s="139"/>
      <c r="I48" s="133"/>
      <c r="J48" s="100"/>
    </row>
    <row r="49" spans="1:17" ht="13.5" x14ac:dyDescent="0.25">
      <c r="A49" s="134">
        <f t="shared" si="13"/>
        <v>200</v>
      </c>
      <c r="B49" s="138" t="str">
        <f>IFERROR(VLOOKUP(H49,[1]SEMIELABORADOS!$A$2:$M$6000,2,0),"")</f>
        <v>CREMA DULCE LECHE KILO</v>
      </c>
      <c r="C49" s="135">
        <f t="shared" si="14"/>
        <v>200</v>
      </c>
      <c r="D49" s="136" t="str">
        <f>IFERROR(VLOOKUP(H49,[1]SEMIELABORADOS!$A$2:$M$6000,6,0),"")</f>
        <v>Gramo</v>
      </c>
      <c r="E49" s="136">
        <v>0.01</v>
      </c>
      <c r="F49" s="136">
        <f t="shared" si="15"/>
        <v>2</v>
      </c>
      <c r="G49" s="99">
        <f t="shared" si="16"/>
        <v>5.4209723518049049E-4</v>
      </c>
      <c r="H49" s="139" t="s">
        <v>151</v>
      </c>
      <c r="I49" s="133"/>
      <c r="J49" s="100"/>
    </row>
    <row r="50" spans="1:17" ht="13.5" x14ac:dyDescent="0.25">
      <c r="A50" s="134">
        <f t="shared" si="13"/>
        <v>70</v>
      </c>
      <c r="B50" s="138" t="s">
        <v>63</v>
      </c>
      <c r="C50" s="135">
        <f t="shared" si="14"/>
        <v>70</v>
      </c>
      <c r="D50" s="136" t="s">
        <v>107</v>
      </c>
      <c r="E50" s="136">
        <f>+[4]Hoja2!$E$74</f>
        <v>3.0499999999999999E-2</v>
      </c>
      <c r="F50" s="136">
        <f t="shared" si="15"/>
        <v>2.1349999999999998</v>
      </c>
      <c r="G50" s="99">
        <f t="shared" si="16"/>
        <v>5.7868879855517354E-4</v>
      </c>
      <c r="H50" s="139"/>
      <c r="I50" s="133"/>
      <c r="J50" s="100"/>
    </row>
    <row r="51" spans="1:17" ht="13.5" hidden="1" x14ac:dyDescent="0.25">
      <c r="A51" s="134">
        <f t="shared" si="13"/>
        <v>0</v>
      </c>
      <c r="B51" s="138" t="str">
        <f>IFERROR(VLOOKUP(H51,[1]SEMIELABORADOS!$A$2:$M$6000,2,0),"")</f>
        <v/>
      </c>
      <c r="C51" s="135">
        <f t="shared" si="14"/>
        <v>0</v>
      </c>
      <c r="D51" s="136" t="str">
        <f>IFERROR(VLOOKUP(H51,[1]SEMIELABORADOS!$A$2:$M$6000,6,0),"")</f>
        <v/>
      </c>
      <c r="E51" s="136" t="str">
        <f>IFERROR(VLOOKUP(H51,[1]SEMIELABORADOS!$A$2:$M$65536,12,0),"")</f>
        <v/>
      </c>
      <c r="F51" s="136" t="str">
        <f t="shared" si="15"/>
        <v/>
      </c>
      <c r="G51" s="99" t="str">
        <f t="shared" si="16"/>
        <v/>
      </c>
      <c r="H51" s="139"/>
      <c r="I51" s="133"/>
      <c r="J51" s="100"/>
    </row>
    <row r="52" spans="1:17" ht="13.5" hidden="1" x14ac:dyDescent="0.25">
      <c r="A52" s="134">
        <f t="shared" si="13"/>
        <v>0</v>
      </c>
      <c r="B52" s="138" t="str">
        <f>IFERROR(VLOOKUP(H52,[1]SEMIELABORADOS!$A$2:$M$6000,2,0),"")</f>
        <v/>
      </c>
      <c r="C52" s="135">
        <f t="shared" si="14"/>
        <v>0</v>
      </c>
      <c r="D52" s="136" t="str">
        <f>IFERROR(VLOOKUP(H52,[1]SEMIELABORADOS!$A$2:$M$6000,6,0),"")</f>
        <v/>
      </c>
      <c r="E52" s="136" t="str">
        <f>IFERROR(VLOOKUP(H52,[1]SEMIELABORADOS!$A$2:$M$65536,12,0),"")</f>
        <v/>
      </c>
      <c r="F52" s="136" t="str">
        <f t="shared" si="15"/>
        <v/>
      </c>
      <c r="G52" s="99" t="str">
        <f t="shared" si="16"/>
        <v/>
      </c>
      <c r="H52" s="138"/>
      <c r="I52" s="133"/>
      <c r="J52" s="100"/>
    </row>
    <row r="53" spans="1:17" ht="13.5" x14ac:dyDescent="0.25">
      <c r="A53" s="134">
        <v>1</v>
      </c>
      <c r="B53" s="138" t="s">
        <v>113</v>
      </c>
      <c r="C53" s="135">
        <f>+A53</f>
        <v>1</v>
      </c>
      <c r="D53" s="135" t="s">
        <v>114</v>
      </c>
      <c r="E53" s="136">
        <f>+F67</f>
        <v>366</v>
      </c>
      <c r="F53" s="136">
        <f>IFERROR(C53*E53,"")</f>
        <v>366</v>
      </c>
      <c r="G53" s="99">
        <f>IFERROR(F53/$F$68,"")</f>
        <v>9.9203794038029772E-2</v>
      </c>
      <c r="H53" s="143"/>
      <c r="I53" s="143"/>
      <c r="J53" s="100"/>
    </row>
    <row r="54" spans="1:17" ht="14.25" thickBot="1" x14ac:dyDescent="0.3">
      <c r="A54" s="134"/>
      <c r="B54" s="138"/>
      <c r="C54" s="135"/>
      <c r="D54" s="135"/>
      <c r="E54" s="136"/>
      <c r="F54" s="136"/>
      <c r="G54" s="99"/>
      <c r="H54" s="143"/>
      <c r="I54" s="143"/>
      <c r="J54" s="100"/>
    </row>
    <row r="55" spans="1:17" ht="13.5" thickBot="1" x14ac:dyDescent="0.3">
      <c r="A55" s="144"/>
      <c r="B55" s="443" t="s">
        <v>115</v>
      </c>
      <c r="C55" s="443"/>
      <c r="D55" s="443"/>
      <c r="E55" s="443"/>
      <c r="F55" s="146">
        <f>SUM(F8:F14,F17:F24)</f>
        <v>2373.2247333073797</v>
      </c>
      <c r="G55" s="99">
        <f>+F55/$F$68</f>
        <v>0.64325928319394376</v>
      </c>
      <c r="H55" s="147">
        <f>+F55/$D$62</f>
        <v>2373.2247333073797</v>
      </c>
      <c r="I55" s="147"/>
      <c r="J55" s="101"/>
      <c r="K55" s="148"/>
      <c r="L55" s="148"/>
      <c r="M55" s="148"/>
      <c r="N55" s="148"/>
      <c r="O55" s="148"/>
      <c r="P55" s="148"/>
      <c r="Q55" s="149"/>
    </row>
    <row r="56" spans="1:17" x14ac:dyDescent="0.2">
      <c r="A56" s="144"/>
      <c r="B56" s="443" t="s">
        <v>116</v>
      </c>
      <c r="C56" s="443"/>
      <c r="D56" s="443"/>
      <c r="E56" s="443"/>
      <c r="F56" s="146">
        <f>SUM(F27:F34,F37:F43)</f>
        <v>902.68579592620324</v>
      </c>
      <c r="G56" s="99">
        <f>+F56/$F$68</f>
        <v>0.24467173710414764</v>
      </c>
      <c r="H56" s="147">
        <f>+F56/$D$62</f>
        <v>902.68579592620324</v>
      </c>
      <c r="I56" s="147"/>
      <c r="J56" s="150"/>
      <c r="K56" s="444" t="s">
        <v>117</v>
      </c>
      <c r="L56" s="445"/>
      <c r="M56" s="445"/>
      <c r="N56" s="445"/>
      <c r="O56" s="151">
        <f>+F57</f>
        <v>3275.910529233583</v>
      </c>
      <c r="P56" s="151"/>
      <c r="Q56" s="152"/>
    </row>
    <row r="57" spans="1:17" x14ac:dyDescent="0.2">
      <c r="A57" s="144"/>
      <c r="B57" s="443" t="s">
        <v>118</v>
      </c>
      <c r="C57" s="443"/>
      <c r="D57" s="443"/>
      <c r="E57" s="443"/>
      <c r="F57" s="146">
        <f>+F55+F56</f>
        <v>3275.910529233583</v>
      </c>
      <c r="G57" s="99">
        <f>+F57/$F$68</f>
        <v>0.88793102029809146</v>
      </c>
      <c r="H57" s="147">
        <f>+F57/$D$62</f>
        <v>3275.910529233583</v>
      </c>
      <c r="I57" s="147"/>
      <c r="J57" s="102"/>
      <c r="K57" s="153"/>
      <c r="M57" s="154" t="s">
        <v>119</v>
      </c>
      <c r="N57" s="155"/>
      <c r="O57" s="151">
        <f>+H58</f>
        <v>451.69023768648157</v>
      </c>
      <c r="P57" s="151"/>
      <c r="Q57" s="152"/>
    </row>
    <row r="58" spans="1:17" ht="13.5" thickBot="1" x14ac:dyDescent="0.25">
      <c r="A58" s="144"/>
      <c r="B58" s="145"/>
      <c r="C58" s="443" t="s">
        <v>120</v>
      </c>
      <c r="D58" s="443"/>
      <c r="E58" s="443"/>
      <c r="F58" s="146">
        <f>SUM(F46:F53)</f>
        <v>451.69023768648157</v>
      </c>
      <c r="G58" s="99">
        <f>+F58/$F$68</f>
        <v>0.12243001450393012</v>
      </c>
      <c r="H58" s="147">
        <f>+F58/$D$62</f>
        <v>451.69023768648157</v>
      </c>
      <c r="I58" s="147"/>
      <c r="J58" s="102"/>
      <c r="K58" s="153"/>
      <c r="L58" s="153"/>
      <c r="M58" s="153" t="s">
        <v>121</v>
      </c>
      <c r="N58" s="103"/>
      <c r="O58" s="151">
        <f>O56*N58</f>
        <v>0</v>
      </c>
      <c r="P58" s="151"/>
      <c r="Q58" s="152"/>
    </row>
    <row r="59" spans="1:17" ht="13.5" thickBot="1" x14ac:dyDescent="0.25">
      <c r="A59" s="144"/>
      <c r="B59" s="156"/>
      <c r="C59" s="156"/>
      <c r="D59" s="156"/>
      <c r="E59" s="156"/>
      <c r="F59" s="157"/>
      <c r="G59" s="99"/>
      <c r="H59" s="158"/>
      <c r="I59" s="147"/>
      <c r="J59" s="102"/>
      <c r="K59" s="159"/>
      <c r="M59" s="160" t="s">
        <v>122</v>
      </c>
      <c r="N59" s="161"/>
      <c r="O59" s="162">
        <f>SUM(O56:O58)</f>
        <v>3727.6007669200644</v>
      </c>
      <c r="P59" s="163"/>
      <c r="Q59" s="152"/>
    </row>
    <row r="60" spans="1:17" x14ac:dyDescent="0.2">
      <c r="B60" s="446" t="s">
        <v>123</v>
      </c>
      <c r="C60" s="446"/>
      <c r="D60" s="164">
        <v>1380</v>
      </c>
      <c r="E60" s="165"/>
      <c r="G60" s="99"/>
      <c r="H60" s="158">
        <f>+H58/61</f>
        <v>7.4047579948603532</v>
      </c>
      <c r="I60" s="166"/>
      <c r="J60" s="102"/>
      <c r="K60" s="159"/>
      <c r="L60" s="153"/>
      <c r="M60" s="153" t="s">
        <v>124</v>
      </c>
      <c r="N60" s="104"/>
      <c r="O60" s="151">
        <f>+H61</f>
        <v>429.47596370190047</v>
      </c>
      <c r="P60" s="151"/>
      <c r="Q60" s="152"/>
    </row>
    <row r="61" spans="1:17" x14ac:dyDescent="0.2">
      <c r="B61" s="446" t="s">
        <v>125</v>
      </c>
      <c r="C61" s="446"/>
      <c r="D61" s="167">
        <v>1380</v>
      </c>
      <c r="E61" s="165"/>
      <c r="G61" s="99"/>
      <c r="H61" s="158">
        <f>+H60*58</f>
        <v>429.47596370190047</v>
      </c>
      <c r="I61" s="166"/>
      <c r="J61" s="102"/>
      <c r="K61" s="159"/>
      <c r="L61" s="153"/>
      <c r="M61" s="447" t="s">
        <v>122</v>
      </c>
      <c r="N61" s="447"/>
      <c r="O61" s="151">
        <f>SUM(O59:O60)</f>
        <v>4157.076730621965</v>
      </c>
      <c r="P61" s="151"/>
      <c r="Q61" s="152"/>
    </row>
    <row r="62" spans="1:17" ht="13.5" thickBot="1" x14ac:dyDescent="0.25">
      <c r="B62" s="448" t="s">
        <v>126</v>
      </c>
      <c r="C62" s="448"/>
      <c r="D62" s="164">
        <f>+D60/D61</f>
        <v>1</v>
      </c>
      <c r="E62" s="165"/>
      <c r="F62" s="168"/>
      <c r="G62" s="99"/>
      <c r="H62" s="158"/>
      <c r="I62" s="166"/>
      <c r="J62" s="102"/>
      <c r="K62" s="159"/>
      <c r="L62" s="447"/>
      <c r="M62" s="447"/>
      <c r="N62" s="104"/>
      <c r="O62" s="151">
        <f>+O61*N62</f>
        <v>0</v>
      </c>
      <c r="P62" s="151"/>
      <c r="Q62" s="152"/>
    </row>
    <row r="63" spans="1:17" ht="13.5" thickBot="1" x14ac:dyDescent="0.25">
      <c r="B63" s="448" t="s">
        <v>127</v>
      </c>
      <c r="C63" s="448"/>
      <c r="D63" s="169"/>
      <c r="E63" s="165"/>
      <c r="F63" s="168"/>
      <c r="G63" s="99"/>
      <c r="H63" s="158"/>
      <c r="I63" s="166"/>
      <c r="J63" s="102"/>
      <c r="K63" s="449" t="s">
        <v>128</v>
      </c>
      <c r="L63" s="450"/>
      <c r="M63" s="450"/>
      <c r="N63" s="451"/>
      <c r="O63" s="162">
        <f>SUM(O61:O62)</f>
        <v>4157.076730621965</v>
      </c>
      <c r="P63" s="170" t="s">
        <v>129</v>
      </c>
      <c r="Q63" s="152"/>
    </row>
    <row r="64" spans="1:17" ht="13.5" thickBot="1" x14ac:dyDescent="0.25">
      <c r="C64" s="144" t="s">
        <v>130</v>
      </c>
      <c r="D64" s="171"/>
      <c r="E64" s="120" t="s">
        <v>131</v>
      </c>
      <c r="F64" s="172" t="s">
        <v>132</v>
      </c>
      <c r="G64" s="99"/>
      <c r="H64" s="158"/>
      <c r="I64" s="166"/>
      <c r="J64" s="173"/>
      <c r="K64" s="174"/>
      <c r="L64" s="452" t="s">
        <v>133</v>
      </c>
      <c r="M64" s="452"/>
      <c r="N64" s="452"/>
      <c r="O64" s="175">
        <f>+O63/D62</f>
        <v>4157.076730621965</v>
      </c>
      <c r="P64" s="176">
        <f>+O64/D61</f>
        <v>3.0123744424796848</v>
      </c>
      <c r="Q64" s="177"/>
    </row>
    <row r="65" spans="2:16" ht="13.5" thickBot="1" x14ac:dyDescent="0.25">
      <c r="B65" s="453" t="s">
        <v>118</v>
      </c>
      <c r="C65" s="453"/>
      <c r="D65" s="453"/>
      <c r="E65" s="105">
        <f>+F65/F65</f>
        <v>1</v>
      </c>
      <c r="F65" s="178">
        <f>SUM(F57)</f>
        <v>3275.910529233583</v>
      </c>
      <c r="G65" s="99">
        <f>+F65/$F$68</f>
        <v>0.88793102029809146</v>
      </c>
      <c r="H65" s="158"/>
      <c r="I65" s="166"/>
      <c r="K65" s="454"/>
      <c r="L65" s="455"/>
      <c r="M65" s="455"/>
      <c r="N65" s="455"/>
      <c r="O65" s="179"/>
      <c r="P65" s="180"/>
    </row>
    <row r="66" spans="2:16" ht="13.5" thickBot="1" x14ac:dyDescent="0.3">
      <c r="B66" s="456" t="s">
        <v>134</v>
      </c>
      <c r="C66" s="456"/>
      <c r="D66" s="456"/>
      <c r="E66" s="181">
        <v>0.02</v>
      </c>
      <c r="F66" s="178">
        <f>+F55*E66</f>
        <v>47.464494666147594</v>
      </c>
      <c r="G66" s="99">
        <f>+F66/$F$68</f>
        <v>1.2865185663878875E-2</v>
      </c>
      <c r="H66" s="147"/>
      <c r="I66" s="166"/>
      <c r="J66" s="106"/>
      <c r="O66" s="182"/>
      <c r="P66" s="145"/>
    </row>
    <row r="67" spans="2:16" ht="13.5" thickBot="1" x14ac:dyDescent="0.3">
      <c r="B67" s="457" t="s">
        <v>135</v>
      </c>
      <c r="C67" s="458"/>
      <c r="D67" s="183">
        <v>6</v>
      </c>
      <c r="E67" s="184">
        <v>61</v>
      </c>
      <c r="F67" s="178">
        <f>+E67*D67</f>
        <v>366</v>
      </c>
      <c r="G67" s="99">
        <f>+F67/$F$68</f>
        <v>9.9203794038029772E-2</v>
      </c>
      <c r="H67" s="147"/>
      <c r="I67" s="147"/>
      <c r="J67" s="100"/>
    </row>
    <row r="68" spans="2:16" ht="13.5" thickBot="1" x14ac:dyDescent="0.3">
      <c r="B68" s="460" t="s">
        <v>136</v>
      </c>
      <c r="C68" s="461"/>
      <c r="D68" s="461"/>
      <c r="E68" s="462"/>
      <c r="F68" s="157">
        <f>SUM(F65:F67)</f>
        <v>3689.3750238997304</v>
      </c>
      <c r="G68" s="99">
        <f>+F68/$F$68</f>
        <v>1</v>
      </c>
      <c r="H68" s="463"/>
      <c r="I68" s="147"/>
      <c r="J68" s="100"/>
      <c r="M68" s="122" t="s">
        <v>137</v>
      </c>
    </row>
    <row r="69" spans="2:16" x14ac:dyDescent="0.25">
      <c r="C69" s="142"/>
      <c r="D69" s="142"/>
      <c r="E69" s="186"/>
      <c r="F69" s="178"/>
      <c r="G69" s="99"/>
      <c r="H69" s="463"/>
      <c r="I69" s="185"/>
      <c r="J69" s="122"/>
      <c r="M69" s="122" t="s">
        <v>138</v>
      </c>
    </row>
    <row r="70" spans="2:16" ht="13.5" thickBot="1" x14ac:dyDescent="0.3">
      <c r="B70" s="464" t="s">
        <v>139</v>
      </c>
      <c r="C70" s="464"/>
      <c r="D70" s="464"/>
      <c r="E70" s="464"/>
      <c r="F70" s="464"/>
      <c r="G70" s="99"/>
      <c r="H70" s="188"/>
      <c r="I70" s="185"/>
      <c r="J70" s="122"/>
      <c r="M70" s="122" t="s">
        <v>140</v>
      </c>
    </row>
    <row r="71" spans="2:16" ht="13.5" thickBot="1" x14ac:dyDescent="0.3">
      <c r="B71" s="189" t="s">
        <v>141</v>
      </c>
      <c r="C71" s="190">
        <f>+F55</f>
        <v>2373.2247333073797</v>
      </c>
      <c r="D71" s="190">
        <f>+D60</f>
        <v>1380</v>
      </c>
      <c r="E71" s="191">
        <f>+C71/D71</f>
        <v>1.7197280676140432</v>
      </c>
      <c r="F71" s="99"/>
      <c r="G71" s="188"/>
      <c r="H71" s="100"/>
      <c r="I71" s="188"/>
      <c r="J71" s="122"/>
    </row>
    <row r="72" spans="2:16" x14ac:dyDescent="0.25">
      <c r="B72" s="192"/>
      <c r="C72" s="193"/>
      <c r="D72" s="194"/>
      <c r="E72" s="178"/>
      <c r="F72" s="99"/>
      <c r="G72" s="188"/>
      <c r="H72" s="100"/>
      <c r="I72" s="100"/>
      <c r="J72" s="122"/>
    </row>
    <row r="73" spans="2:16" x14ac:dyDescent="0.25">
      <c r="B73" s="189" t="s">
        <v>142</v>
      </c>
      <c r="C73" s="190">
        <f>SUM(F65:F66)</f>
        <v>3323.3750238997304</v>
      </c>
      <c r="D73" s="190">
        <f>+D60</f>
        <v>1380</v>
      </c>
      <c r="E73" s="195">
        <f>+C73/D73</f>
        <v>2.4082427709418335</v>
      </c>
      <c r="F73" s="99"/>
      <c r="G73" s="188"/>
      <c r="H73" s="100"/>
      <c r="I73" s="100"/>
      <c r="J73" s="122"/>
    </row>
    <row r="74" spans="2:16" x14ac:dyDescent="0.25">
      <c r="B74" s="189"/>
      <c r="C74" s="190"/>
      <c r="D74" s="190"/>
      <c r="E74" s="195"/>
      <c r="F74" s="99"/>
      <c r="G74" s="188"/>
      <c r="H74" s="100"/>
      <c r="I74" s="100"/>
      <c r="J74" s="122"/>
    </row>
    <row r="75" spans="2:16" ht="13.5" thickBot="1" x14ac:dyDescent="0.3">
      <c r="B75" s="189" t="s">
        <v>143</v>
      </c>
      <c r="C75" s="190">
        <f>+F67</f>
        <v>366</v>
      </c>
      <c r="D75" s="190">
        <f>+D60</f>
        <v>1380</v>
      </c>
      <c r="E75" s="195">
        <f>+C75/D75</f>
        <v>0.26521739130434785</v>
      </c>
      <c r="F75" s="99"/>
      <c r="G75" s="188"/>
      <c r="H75" s="100"/>
      <c r="I75" s="100"/>
      <c r="J75" s="122"/>
    </row>
    <row r="76" spans="2:16" ht="13.5" thickBot="1" x14ac:dyDescent="0.3">
      <c r="B76" s="189" t="s">
        <v>144</v>
      </c>
      <c r="C76" s="190">
        <f>+F58</f>
        <v>451.69023768648157</v>
      </c>
      <c r="D76" s="190">
        <f>+D75</f>
        <v>1380</v>
      </c>
      <c r="E76" s="191">
        <f>+C76/D76</f>
        <v>0.3273117664394794</v>
      </c>
      <c r="F76" s="99"/>
      <c r="G76" s="188"/>
      <c r="H76" s="100"/>
      <c r="I76" s="100"/>
      <c r="J76" s="122"/>
    </row>
    <row r="77" spans="2:16" ht="13.5" thickBot="1" x14ac:dyDescent="0.3">
      <c r="B77" s="156"/>
      <c r="C77" s="157"/>
      <c r="D77" s="157"/>
      <c r="E77" s="195"/>
      <c r="F77" s="99"/>
      <c r="G77" s="188"/>
      <c r="H77" s="100"/>
      <c r="I77" s="100"/>
      <c r="J77" s="122"/>
    </row>
    <row r="78" spans="2:16" ht="13.5" thickBot="1" x14ac:dyDescent="0.3">
      <c r="B78" s="189" t="s">
        <v>145</v>
      </c>
      <c r="C78" s="190">
        <f>+F56</f>
        <v>902.68579592620324</v>
      </c>
      <c r="D78" s="190">
        <f>+D76</f>
        <v>1380</v>
      </c>
      <c r="E78" s="191">
        <f>+C78/D78</f>
        <v>0.65412014197550961</v>
      </c>
      <c r="F78" s="99"/>
      <c r="G78" s="188"/>
      <c r="H78" s="100"/>
      <c r="I78" s="100"/>
      <c r="J78" s="100"/>
    </row>
    <row r="79" spans="2:16" ht="13.5" thickBot="1" x14ac:dyDescent="0.3">
      <c r="B79" s="156"/>
      <c r="C79" s="157"/>
      <c r="D79" s="157"/>
      <c r="E79" s="195"/>
      <c r="F79" s="99"/>
      <c r="G79" s="188"/>
      <c r="H79" s="100"/>
      <c r="I79" s="100"/>
    </row>
    <row r="80" spans="2:16" ht="13.5" thickBot="1" x14ac:dyDescent="0.3">
      <c r="B80" s="465" t="s">
        <v>146</v>
      </c>
      <c r="C80" s="466"/>
      <c r="D80" s="467"/>
      <c r="E80" s="191">
        <f>+E71+E76</f>
        <v>2.0470398340535225</v>
      </c>
      <c r="G80" s="99"/>
      <c r="H80" s="188"/>
      <c r="I80" s="100"/>
      <c r="J80" s="195"/>
    </row>
    <row r="81" spans="1:10" x14ac:dyDescent="0.25">
      <c r="I81" s="188"/>
      <c r="J81" s="122"/>
    </row>
    <row r="82" spans="1:10" ht="13.5" thickBot="1" x14ac:dyDescent="0.3">
      <c r="B82" s="464" t="s">
        <v>147</v>
      </c>
      <c r="C82" s="464"/>
      <c r="D82" s="464"/>
      <c r="E82" s="464"/>
      <c r="F82" s="464"/>
      <c r="G82" s="99"/>
      <c r="H82" s="188"/>
      <c r="J82" s="122"/>
    </row>
    <row r="83" spans="1:10" ht="13.5" thickBot="1" x14ac:dyDescent="0.3">
      <c r="B83" s="189" t="s">
        <v>141</v>
      </c>
      <c r="C83" s="190">
        <f>+C71</f>
        <v>2373.2247333073797</v>
      </c>
      <c r="D83" s="190">
        <f>+D62</f>
        <v>1</v>
      </c>
      <c r="E83" s="191">
        <f>+C83/D83</f>
        <v>2373.2247333073797</v>
      </c>
      <c r="F83" s="99"/>
      <c r="G83" s="188"/>
      <c r="H83" s="100"/>
      <c r="I83" s="188"/>
      <c r="J83" s="122"/>
    </row>
    <row r="84" spans="1:10" x14ac:dyDescent="0.25">
      <c r="B84" s="192"/>
      <c r="C84" s="193"/>
      <c r="D84" s="194"/>
      <c r="E84" s="178"/>
      <c r="F84" s="99"/>
      <c r="G84" s="188"/>
      <c r="H84" s="100"/>
      <c r="I84" s="100"/>
      <c r="J84" s="122"/>
    </row>
    <row r="85" spans="1:10" x14ac:dyDescent="0.25">
      <c r="B85" s="189" t="s">
        <v>142</v>
      </c>
      <c r="C85" s="190">
        <f>+C73</f>
        <v>3323.3750238997304</v>
      </c>
      <c r="D85" s="190">
        <f>+D62</f>
        <v>1</v>
      </c>
      <c r="E85" s="195">
        <f>+C85/D85</f>
        <v>3323.3750238997304</v>
      </c>
      <c r="F85" s="99"/>
      <c r="G85" s="188"/>
      <c r="H85" s="100"/>
      <c r="I85" s="100"/>
      <c r="J85" s="122"/>
    </row>
    <row r="86" spans="1:10" x14ac:dyDescent="0.25">
      <c r="B86" s="189"/>
      <c r="C86" s="190"/>
      <c r="D86" s="190"/>
      <c r="E86" s="195"/>
      <c r="F86" s="99"/>
      <c r="G86" s="188"/>
      <c r="H86" s="100"/>
      <c r="I86" s="100"/>
      <c r="J86" s="122"/>
    </row>
    <row r="87" spans="1:10" ht="13.5" thickBot="1" x14ac:dyDescent="0.3">
      <c r="B87" s="189" t="s">
        <v>144</v>
      </c>
      <c r="C87" s="190">
        <f>+C75</f>
        <v>366</v>
      </c>
      <c r="D87" s="190">
        <f>+D62</f>
        <v>1</v>
      </c>
      <c r="E87" s="195">
        <f>+C87/D87</f>
        <v>366</v>
      </c>
      <c r="F87" s="196"/>
      <c r="G87" s="187"/>
      <c r="H87" s="121"/>
      <c r="I87" s="100"/>
    </row>
    <row r="88" spans="1:10" ht="13.5" thickBot="1" x14ac:dyDescent="0.3">
      <c r="B88" s="189" t="s">
        <v>144</v>
      </c>
      <c r="C88" s="190">
        <f>+C76</f>
        <v>451.69023768648157</v>
      </c>
      <c r="D88" s="190">
        <f>+D87</f>
        <v>1</v>
      </c>
      <c r="E88" s="191">
        <f>+C88/D88</f>
        <v>451.69023768648157</v>
      </c>
      <c r="F88" s="107"/>
      <c r="G88" s="187"/>
      <c r="H88" s="121"/>
      <c r="I88" s="121"/>
    </row>
    <row r="89" spans="1:10" x14ac:dyDescent="0.25">
      <c r="I89" s="121"/>
    </row>
    <row r="90" spans="1:10" x14ac:dyDescent="0.2">
      <c r="A90" s="459"/>
      <c r="B90" s="459"/>
      <c r="C90" s="197"/>
      <c r="D90" s="197"/>
      <c r="E90" s="198"/>
      <c r="G90" s="108"/>
    </row>
    <row r="91" spans="1:10" x14ac:dyDescent="0.2">
      <c r="A91" s="138"/>
      <c r="B91" s="199"/>
      <c r="C91" s="200"/>
      <c r="D91" s="200"/>
      <c r="E91" s="201"/>
      <c r="G91" s="108"/>
    </row>
    <row r="92" spans="1:10" x14ac:dyDescent="0.2">
      <c r="A92" s="138"/>
      <c r="B92" s="199"/>
      <c r="C92" s="202"/>
      <c r="D92" s="202"/>
      <c r="E92" s="138"/>
      <c r="G92" s="108"/>
    </row>
    <row r="93" spans="1:10" x14ac:dyDescent="0.2">
      <c r="A93" s="138"/>
      <c r="B93" s="199"/>
      <c r="C93" s="203"/>
      <c r="D93" s="203"/>
      <c r="E93" s="138"/>
      <c r="G93" s="108"/>
    </row>
  </sheetData>
  <mergeCells count="30">
    <mergeCell ref="B70:F70"/>
    <mergeCell ref="B80:D80"/>
    <mergeCell ref="B82:F82"/>
    <mergeCell ref="A90:B90"/>
    <mergeCell ref="L64:N64"/>
    <mergeCell ref="B65:D65"/>
    <mergeCell ref="K65:N65"/>
    <mergeCell ref="B66:D66"/>
    <mergeCell ref="B67:C67"/>
    <mergeCell ref="B68:E68"/>
    <mergeCell ref="H68:H69"/>
    <mergeCell ref="B63:C63"/>
    <mergeCell ref="K63:N63"/>
    <mergeCell ref="K32:L32"/>
    <mergeCell ref="B55:E55"/>
    <mergeCell ref="B56:E56"/>
    <mergeCell ref="K56:N56"/>
    <mergeCell ref="B57:E57"/>
    <mergeCell ref="C58:E58"/>
    <mergeCell ref="B60:C60"/>
    <mergeCell ref="B61:C61"/>
    <mergeCell ref="M61:N61"/>
    <mergeCell ref="B62:C62"/>
    <mergeCell ref="L62:M62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E0245-F7EE-4D9D-8AD9-80EBACCD5FC3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B63BC63-FB7E-4BFF-B87A-D49768B1E848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AEAFC2DD-1897-4636-A958-60F111F368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FFB494F-8F13-4673-8712-E6E646F3B3A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1</vt:i4>
      </vt:variant>
    </vt:vector>
  </HeadingPairs>
  <TitlesOfParts>
    <vt:vector size="11" baseType="lpstr">
      <vt:lpstr>Rosquete Vainilla  1220 g</vt:lpstr>
      <vt:lpstr>Costo Rosquete </vt:lpstr>
      <vt:lpstr>Ensamble </vt:lpstr>
      <vt:lpstr>COSTO ENSAMBLE </vt:lpstr>
      <vt:lpstr>Batido Easy  Vainilla Sp</vt:lpstr>
      <vt:lpstr>Rosquete Vainilla 1000</vt:lpstr>
      <vt:lpstr>Costo Rosquete 1000</vt:lpstr>
      <vt:lpstr>Hoja1</vt:lpstr>
      <vt:lpstr>Costo ensamble 2</vt:lpstr>
      <vt:lpstr>Hoja5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Esteban Ramirez</dc:creator>
  <cp:lastModifiedBy>Allan Brenes</cp:lastModifiedBy>
  <cp:lastPrinted>2025-08-18T17:03:34Z</cp:lastPrinted>
  <dcterms:created xsi:type="dcterms:W3CDTF">2024-03-25T20:56:37Z</dcterms:created>
  <dcterms:modified xsi:type="dcterms:W3CDTF">2025-08-18T17:12:38Z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
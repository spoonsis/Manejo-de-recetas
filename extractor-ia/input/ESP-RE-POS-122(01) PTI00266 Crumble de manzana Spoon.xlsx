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4" documentId="8_{AAD96299-63D4-4014-B1EF-62D41497F6A6}" xr6:coauthVersionLast="47" xr6:coauthVersionMax="47" xr10:uidLastSave="{5C508551-C12D-49A1-9425-05D5CFCC8BCD}"/>
  <bookViews>
    <workbookView xWindow="-120" yWindow="-120" windowWidth="20730" windowHeight="11040" tabRatio="914" firstSheet="9" activeTab="9" xr2:uid="{00000000-000D-0000-FFFF-FFFF00000000}"/>
  </bookViews>
  <sheets>
    <sheet name="Costo de Relleno" sheetId="10" state="hidden" r:id="rId1"/>
    <sheet name="Costo Crumble" sheetId="11" state="hidden" r:id="rId2"/>
    <sheet name="Leche cond cocinada dura" sheetId="19" state="hidden" r:id="rId3"/>
    <sheet name="Trasvasado leche cond" sheetId="18" state="hidden" r:id="rId4"/>
    <sheet name="Premez pasta Chilena " sheetId="17" state="hidden" r:id="rId5"/>
    <sheet name="Pasta Galleta Chilena " sheetId="14" state="hidden" r:id="rId6"/>
    <sheet name="Corte Galleta Chilena " sheetId="15" state="hidden" r:id="rId7"/>
    <sheet name="Base de galleta para CK" sheetId="16" state="hidden" r:id="rId8"/>
    <sheet name="Costo Mousse de Queso" sheetId="12" state="hidden" r:id="rId9"/>
    <sheet name="Ensamble" sheetId="8" r:id="rId10"/>
    <sheet name="Costo Ensamble " sheetId="13" state="hidden" r:id="rId11"/>
  </sheets>
  <externalReferences>
    <externalReference r:id="rId12"/>
    <externalReference r:id="rId13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" i="18" l="1"/>
  <c r="G10" i="18"/>
  <c r="D22" i="16"/>
  <c r="H20" i="16"/>
  <c r="D20" i="16"/>
  <c r="C31" i="13"/>
  <c r="F31" i="13" s="1"/>
  <c r="C30" i="13"/>
  <c r="F30" i="13" s="1"/>
  <c r="C29" i="13"/>
  <c r="F29" i="13" s="1"/>
  <c r="C28" i="13"/>
  <c r="F28" i="13" s="1"/>
  <c r="C27" i="13"/>
  <c r="D72" i="13"/>
  <c r="D73" i="13" s="1"/>
  <c r="D75" i="13" s="1"/>
  <c r="D70" i="13"/>
  <c r="D68" i="13"/>
  <c r="F64" i="13"/>
  <c r="E50" i="13" s="1"/>
  <c r="D59" i="13"/>
  <c r="D84" i="13" s="1"/>
  <c r="D85" i="13" s="1"/>
  <c r="C50" i="13"/>
  <c r="E49" i="13"/>
  <c r="D49" i="13"/>
  <c r="B49" i="13"/>
  <c r="E48" i="13"/>
  <c r="D48" i="13"/>
  <c r="B48" i="13"/>
  <c r="E40" i="13"/>
  <c r="D40" i="13"/>
  <c r="C40" i="13"/>
  <c r="B40" i="13"/>
  <c r="A40" i="13"/>
  <c r="A49" i="13" s="1"/>
  <c r="C49" i="13" s="1"/>
  <c r="E39" i="13"/>
  <c r="D39" i="13"/>
  <c r="B39" i="13"/>
  <c r="A39" i="13"/>
  <c r="C39" i="13" s="1"/>
  <c r="A38" i="13"/>
  <c r="C38" i="13" s="1"/>
  <c r="F37" i="13"/>
  <c r="A37" i="13"/>
  <c r="C37" i="13" s="1"/>
  <c r="A36" i="13"/>
  <c r="A45" i="13" s="1"/>
  <c r="C45" i="13" s="1"/>
  <c r="A35" i="13"/>
  <c r="A44" i="13" s="1"/>
  <c r="C44" i="13" s="1"/>
  <c r="A34" i="13"/>
  <c r="A43" i="13" s="1"/>
  <c r="C43" i="13" s="1"/>
  <c r="E24" i="13"/>
  <c r="F24" i="13" s="1"/>
  <c r="D24" i="13"/>
  <c r="C24" i="13"/>
  <c r="B24" i="13"/>
  <c r="E23" i="13"/>
  <c r="F23" i="13" s="1"/>
  <c r="D23" i="13"/>
  <c r="C23" i="13"/>
  <c r="B23" i="13"/>
  <c r="E22" i="13"/>
  <c r="F22" i="13" s="1"/>
  <c r="D22" i="13"/>
  <c r="C22" i="13"/>
  <c r="B22" i="13"/>
  <c r="C21" i="13"/>
  <c r="C20" i="13"/>
  <c r="C19" i="13"/>
  <c r="C18" i="13"/>
  <c r="C17" i="13"/>
  <c r="B15" i="13"/>
  <c r="E14" i="13"/>
  <c r="D14" i="13"/>
  <c r="C14" i="13"/>
  <c r="B14" i="13"/>
  <c r="E13" i="13"/>
  <c r="D13" i="13"/>
  <c r="C13" i="13"/>
  <c r="B13" i="13"/>
  <c r="E12" i="13"/>
  <c r="D12" i="13"/>
  <c r="C12" i="13"/>
  <c r="B12" i="13"/>
  <c r="E11" i="13"/>
  <c r="D11" i="13"/>
  <c r="C11" i="13"/>
  <c r="B11" i="13"/>
  <c r="E10" i="13"/>
  <c r="D10" i="13"/>
  <c r="C10" i="13"/>
  <c r="B10" i="13"/>
  <c r="E9" i="13"/>
  <c r="D9" i="13"/>
  <c r="C9" i="13"/>
  <c r="B9" i="13"/>
  <c r="C8" i="13"/>
  <c r="F8" i="13" s="1"/>
  <c r="H6" i="13"/>
  <c r="D85" i="12"/>
  <c r="D86" i="12" s="1"/>
  <c r="D73" i="12"/>
  <c r="D74" i="12" s="1"/>
  <c r="D76" i="12" s="1"/>
  <c r="D71" i="12"/>
  <c r="D69" i="12"/>
  <c r="F65" i="12"/>
  <c r="E51" i="12" s="1"/>
  <c r="D60" i="12"/>
  <c r="D83" i="12" s="1"/>
  <c r="C51" i="12"/>
  <c r="F51" i="12" s="1"/>
  <c r="E50" i="12"/>
  <c r="D50" i="12"/>
  <c r="B50" i="12"/>
  <c r="E49" i="12"/>
  <c r="D49" i="12"/>
  <c r="B49" i="12"/>
  <c r="E48" i="12"/>
  <c r="D48" i="12"/>
  <c r="B48" i="12"/>
  <c r="E47" i="12"/>
  <c r="D47" i="12"/>
  <c r="B47" i="12"/>
  <c r="E46" i="12"/>
  <c r="D46" i="12"/>
  <c r="B46" i="12"/>
  <c r="E45" i="12"/>
  <c r="D45" i="12"/>
  <c r="B45" i="12"/>
  <c r="E41" i="12"/>
  <c r="D41" i="12"/>
  <c r="B41" i="12"/>
  <c r="A41" i="12"/>
  <c r="A50" i="12" s="1"/>
  <c r="C50" i="12" s="1"/>
  <c r="E40" i="12"/>
  <c r="D40" i="12"/>
  <c r="B40" i="12"/>
  <c r="A40" i="12"/>
  <c r="C40" i="12" s="1"/>
  <c r="E39" i="12"/>
  <c r="F39" i="12" s="1"/>
  <c r="D39" i="12"/>
  <c r="B39" i="12"/>
  <c r="A39" i="12"/>
  <c r="C39" i="12" s="1"/>
  <c r="E38" i="12"/>
  <c r="D38" i="12"/>
  <c r="C38" i="12"/>
  <c r="B38" i="12"/>
  <c r="A38" i="12"/>
  <c r="A47" i="12" s="1"/>
  <c r="C47" i="12" s="1"/>
  <c r="E37" i="12"/>
  <c r="D37" i="12"/>
  <c r="B37" i="12"/>
  <c r="A37" i="12"/>
  <c r="C37" i="12" s="1"/>
  <c r="E36" i="12"/>
  <c r="D36" i="12"/>
  <c r="B36" i="12"/>
  <c r="A36" i="12"/>
  <c r="C36" i="12" s="1"/>
  <c r="A35" i="12"/>
  <c r="C35" i="12" s="1"/>
  <c r="E32" i="12"/>
  <c r="D32" i="12"/>
  <c r="C32" i="12"/>
  <c r="B32" i="12"/>
  <c r="E31" i="12"/>
  <c r="D31" i="12"/>
  <c r="C31" i="12"/>
  <c r="B31" i="12"/>
  <c r="E30" i="12"/>
  <c r="F30" i="12" s="1"/>
  <c r="D30" i="12"/>
  <c r="C30" i="12"/>
  <c r="B30" i="12"/>
  <c r="E29" i="12"/>
  <c r="D29" i="12"/>
  <c r="C29" i="12"/>
  <c r="B29" i="12"/>
  <c r="E28" i="12"/>
  <c r="F28" i="12" s="1"/>
  <c r="D28" i="12"/>
  <c r="C28" i="12"/>
  <c r="B28" i="12"/>
  <c r="E27" i="12"/>
  <c r="D27" i="12"/>
  <c r="C27" i="12"/>
  <c r="B27" i="12"/>
  <c r="E24" i="12"/>
  <c r="F24" i="12" s="1"/>
  <c r="D24" i="12"/>
  <c r="C24" i="12"/>
  <c r="B24" i="12"/>
  <c r="E23" i="12"/>
  <c r="F23" i="12" s="1"/>
  <c r="D23" i="12"/>
  <c r="C23" i="12"/>
  <c r="B23" i="12"/>
  <c r="E22" i="12"/>
  <c r="F22" i="12" s="1"/>
  <c r="D22" i="12"/>
  <c r="C22" i="12"/>
  <c r="B22" i="12"/>
  <c r="E21" i="12"/>
  <c r="F21" i="12" s="1"/>
  <c r="D21" i="12"/>
  <c r="C21" i="12"/>
  <c r="B21" i="12"/>
  <c r="E20" i="12"/>
  <c r="F20" i="12" s="1"/>
  <c r="D20" i="12"/>
  <c r="C20" i="12"/>
  <c r="B20" i="12"/>
  <c r="E19" i="12"/>
  <c r="F19" i="12" s="1"/>
  <c r="D19" i="12"/>
  <c r="C19" i="12"/>
  <c r="B19" i="12"/>
  <c r="E18" i="12"/>
  <c r="F18" i="12" s="1"/>
  <c r="D18" i="12"/>
  <c r="C18" i="12"/>
  <c r="B18" i="12"/>
  <c r="C17" i="12"/>
  <c r="B15" i="12"/>
  <c r="E14" i="12"/>
  <c r="D14" i="12"/>
  <c r="C14" i="12"/>
  <c r="B14" i="12"/>
  <c r="E13" i="12"/>
  <c r="D13" i="12"/>
  <c r="C13" i="12"/>
  <c r="B13" i="12"/>
  <c r="E12" i="12"/>
  <c r="F12" i="12" s="1"/>
  <c r="D12" i="12"/>
  <c r="C12" i="12"/>
  <c r="B12" i="12"/>
  <c r="C11" i="12"/>
  <c r="C10" i="12"/>
  <c r="C9" i="12"/>
  <c r="C8" i="12"/>
  <c r="H6" i="12"/>
  <c r="D85" i="11"/>
  <c r="D86" i="11" s="1"/>
  <c r="D74" i="11"/>
  <c r="D76" i="11" s="1"/>
  <c r="D73" i="11"/>
  <c r="D71" i="11"/>
  <c r="D69" i="11"/>
  <c r="F65" i="11"/>
  <c r="C73" i="11" s="1"/>
  <c r="C85" i="11" s="1"/>
  <c r="E85" i="11" s="1"/>
  <c r="D60" i="11"/>
  <c r="D83" i="11" s="1"/>
  <c r="C51" i="11"/>
  <c r="E50" i="11"/>
  <c r="D50" i="11"/>
  <c r="B50" i="11"/>
  <c r="E49" i="11"/>
  <c r="D49" i="11"/>
  <c r="B49" i="11"/>
  <c r="E48" i="11"/>
  <c r="D48" i="11"/>
  <c r="B48" i="11"/>
  <c r="E47" i="11"/>
  <c r="D47" i="11"/>
  <c r="B47" i="11"/>
  <c r="E46" i="11"/>
  <c r="D46" i="11"/>
  <c r="B46" i="11"/>
  <c r="E45" i="11"/>
  <c r="D45" i="11"/>
  <c r="B45" i="11"/>
  <c r="E41" i="11"/>
  <c r="D41" i="11"/>
  <c r="B41" i="11"/>
  <c r="A41" i="11"/>
  <c r="A50" i="11" s="1"/>
  <c r="C50" i="11" s="1"/>
  <c r="E40" i="11"/>
  <c r="D40" i="11"/>
  <c r="B40" i="11"/>
  <c r="A40" i="11"/>
  <c r="C40" i="11" s="1"/>
  <c r="E39" i="11"/>
  <c r="D39" i="11"/>
  <c r="B39" i="11"/>
  <c r="A39" i="11"/>
  <c r="C39" i="11" s="1"/>
  <c r="E38" i="11"/>
  <c r="D38" i="11"/>
  <c r="B38" i="11"/>
  <c r="A38" i="11"/>
  <c r="C38" i="11" s="1"/>
  <c r="E37" i="11"/>
  <c r="D37" i="11"/>
  <c r="B37" i="11"/>
  <c r="A37" i="11"/>
  <c r="A46" i="11" s="1"/>
  <c r="C46" i="11" s="1"/>
  <c r="E36" i="11"/>
  <c r="D36" i="11"/>
  <c r="B36" i="11"/>
  <c r="A36" i="11"/>
  <c r="C36" i="11" s="1"/>
  <c r="A35" i="11"/>
  <c r="A44" i="11" s="1"/>
  <c r="C44" i="11" s="1"/>
  <c r="E32" i="11"/>
  <c r="F32" i="11" s="1"/>
  <c r="D32" i="11"/>
  <c r="C32" i="11"/>
  <c r="B32" i="11"/>
  <c r="E31" i="11"/>
  <c r="F31" i="11" s="1"/>
  <c r="D31" i="11"/>
  <c r="C31" i="11"/>
  <c r="B31" i="11"/>
  <c r="E30" i="11"/>
  <c r="D30" i="11"/>
  <c r="C30" i="11"/>
  <c r="B30" i="11"/>
  <c r="E29" i="11"/>
  <c r="D29" i="11"/>
  <c r="C29" i="11"/>
  <c r="B29" i="11"/>
  <c r="E28" i="11"/>
  <c r="F28" i="11" s="1"/>
  <c r="D28" i="11"/>
  <c r="C28" i="11"/>
  <c r="B28" i="11"/>
  <c r="E27" i="11"/>
  <c r="F27" i="11" s="1"/>
  <c r="D27" i="11"/>
  <c r="C27" i="11"/>
  <c r="B27" i="11"/>
  <c r="E24" i="11"/>
  <c r="F24" i="11" s="1"/>
  <c r="D24" i="11"/>
  <c r="C24" i="11"/>
  <c r="B24" i="11"/>
  <c r="E23" i="11"/>
  <c r="F23" i="11" s="1"/>
  <c r="D23" i="11"/>
  <c r="C23" i="11"/>
  <c r="B23" i="11"/>
  <c r="E22" i="11"/>
  <c r="F22" i="11" s="1"/>
  <c r="D22" i="11"/>
  <c r="C22" i="11"/>
  <c r="B22" i="11"/>
  <c r="E21" i="11"/>
  <c r="F21" i="11" s="1"/>
  <c r="D21" i="11"/>
  <c r="C21" i="11"/>
  <c r="B21" i="11"/>
  <c r="E20" i="11"/>
  <c r="F20" i="11" s="1"/>
  <c r="D20" i="11"/>
  <c r="C20" i="11"/>
  <c r="B20" i="11"/>
  <c r="E19" i="11"/>
  <c r="F19" i="11" s="1"/>
  <c r="D19" i="11"/>
  <c r="C19" i="11"/>
  <c r="B19" i="11"/>
  <c r="E18" i="11"/>
  <c r="F18" i="11" s="1"/>
  <c r="D18" i="11"/>
  <c r="C18" i="11"/>
  <c r="B18" i="11"/>
  <c r="F17" i="11"/>
  <c r="C17" i="11"/>
  <c r="B15" i="11"/>
  <c r="E14" i="11"/>
  <c r="F14" i="11" s="1"/>
  <c r="D14" i="11"/>
  <c r="C14" i="11"/>
  <c r="B14" i="11"/>
  <c r="E13" i="11"/>
  <c r="D13" i="11"/>
  <c r="C13" i="11"/>
  <c r="B13" i="11"/>
  <c r="E12" i="11"/>
  <c r="D12" i="11"/>
  <c r="C12" i="11"/>
  <c r="B12" i="11"/>
  <c r="C11" i="11"/>
  <c r="F10" i="11"/>
  <c r="C10" i="11"/>
  <c r="C9" i="11"/>
  <c r="C8" i="11"/>
  <c r="H6" i="11"/>
  <c r="D73" i="10"/>
  <c r="D74" i="10" s="1"/>
  <c r="D76" i="10" s="1"/>
  <c r="D71" i="10"/>
  <c r="D69" i="10"/>
  <c r="F65" i="10"/>
  <c r="D60" i="10"/>
  <c r="D83" i="10" s="1"/>
  <c r="E51" i="10"/>
  <c r="F51" i="10" s="1"/>
  <c r="C51" i="10"/>
  <c r="E50" i="10"/>
  <c r="D50" i="10"/>
  <c r="B50" i="10"/>
  <c r="E49" i="10"/>
  <c r="D49" i="10"/>
  <c r="B49" i="10"/>
  <c r="E48" i="10"/>
  <c r="D48" i="10"/>
  <c r="B48" i="10"/>
  <c r="E47" i="10"/>
  <c r="D47" i="10"/>
  <c r="B47" i="10"/>
  <c r="A47" i="10"/>
  <c r="C47" i="10" s="1"/>
  <c r="E46" i="10"/>
  <c r="D46" i="10"/>
  <c r="B46" i="10"/>
  <c r="E41" i="10"/>
  <c r="D41" i="10"/>
  <c r="B41" i="10"/>
  <c r="A41" i="10"/>
  <c r="A50" i="10" s="1"/>
  <c r="C50" i="10" s="1"/>
  <c r="E40" i="10"/>
  <c r="D40" i="10"/>
  <c r="B40" i="10"/>
  <c r="A40" i="10"/>
  <c r="C40" i="10" s="1"/>
  <c r="E39" i="10"/>
  <c r="D39" i="10"/>
  <c r="B39" i="10"/>
  <c r="A39" i="10"/>
  <c r="C39" i="10" s="1"/>
  <c r="E38" i="10"/>
  <c r="D38" i="10"/>
  <c r="B38" i="10"/>
  <c r="A38" i="10"/>
  <c r="C38" i="10" s="1"/>
  <c r="E37" i="10"/>
  <c r="D37" i="10"/>
  <c r="C37" i="10"/>
  <c r="B37" i="10"/>
  <c r="A37" i="10"/>
  <c r="A46" i="10" s="1"/>
  <c r="C46" i="10" s="1"/>
  <c r="A36" i="10"/>
  <c r="C36" i="10" s="1"/>
  <c r="A35" i="10"/>
  <c r="C35" i="10" s="1"/>
  <c r="E32" i="10"/>
  <c r="F32" i="10" s="1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4" i="10"/>
  <c r="F24" i="10" s="1"/>
  <c r="D24" i="10"/>
  <c r="C24" i="10"/>
  <c r="B24" i="10"/>
  <c r="E23" i="10"/>
  <c r="F23" i="10" s="1"/>
  <c r="D23" i="10"/>
  <c r="C23" i="10"/>
  <c r="B23" i="10"/>
  <c r="E22" i="10"/>
  <c r="F22" i="10" s="1"/>
  <c r="D22" i="10"/>
  <c r="C22" i="10"/>
  <c r="B22" i="10"/>
  <c r="E21" i="10"/>
  <c r="F21" i="10" s="1"/>
  <c r="D21" i="10"/>
  <c r="C21" i="10"/>
  <c r="B21" i="10"/>
  <c r="E20" i="10"/>
  <c r="F20" i="10" s="1"/>
  <c r="D20" i="10"/>
  <c r="C20" i="10"/>
  <c r="B20" i="10"/>
  <c r="E19" i="10"/>
  <c r="F19" i="10" s="1"/>
  <c r="D19" i="10"/>
  <c r="C19" i="10"/>
  <c r="B19" i="10"/>
  <c r="C18" i="10"/>
  <c r="F17" i="10"/>
  <c r="C17" i="10"/>
  <c r="B15" i="10"/>
  <c r="E14" i="10"/>
  <c r="F14" i="10" s="1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C10" i="10"/>
  <c r="C9" i="10"/>
  <c r="C8" i="10"/>
  <c r="H6" i="10"/>
  <c r="F11" i="13" l="1"/>
  <c r="F13" i="11"/>
  <c r="F14" i="12"/>
  <c r="F12" i="10"/>
  <c r="F29" i="10"/>
  <c r="F13" i="10"/>
  <c r="F27" i="10"/>
  <c r="F30" i="10"/>
  <c r="F30" i="11"/>
  <c r="F32" i="12"/>
  <c r="F11" i="10"/>
  <c r="F28" i="10"/>
  <c r="F31" i="10"/>
  <c r="F12" i="11"/>
  <c r="F49" i="13"/>
  <c r="F40" i="13"/>
  <c r="C35" i="13"/>
  <c r="F14" i="13"/>
  <c r="C36" i="13"/>
  <c r="F9" i="13"/>
  <c r="F12" i="13"/>
  <c r="A46" i="13"/>
  <c r="C46" i="13" s="1"/>
  <c r="C72" i="13"/>
  <c r="C84" i="13" s="1"/>
  <c r="E84" i="13" s="1"/>
  <c r="F27" i="13"/>
  <c r="F39" i="13"/>
  <c r="F10" i="13"/>
  <c r="F13" i="13"/>
  <c r="F50" i="13"/>
  <c r="F20" i="13"/>
  <c r="C34" i="13"/>
  <c r="F34" i="13" s="1"/>
  <c r="F17" i="13"/>
  <c r="F29" i="12"/>
  <c r="F27" i="12"/>
  <c r="F31" i="12"/>
  <c r="C73" i="12"/>
  <c r="C85" i="12" s="1"/>
  <c r="E85" i="12" s="1"/>
  <c r="D81" i="12"/>
  <c r="F38" i="12"/>
  <c r="F13" i="12"/>
  <c r="F11" i="12"/>
  <c r="F10" i="12"/>
  <c r="F17" i="12"/>
  <c r="F8" i="12"/>
  <c r="F9" i="12"/>
  <c r="F51" i="11"/>
  <c r="E51" i="11"/>
  <c r="F38" i="11"/>
  <c r="F40" i="11"/>
  <c r="F29" i="11"/>
  <c r="A47" i="11"/>
  <c r="C47" i="11" s="1"/>
  <c r="F47" i="11" s="1"/>
  <c r="C41" i="11"/>
  <c r="F41" i="11"/>
  <c r="C37" i="11"/>
  <c r="F37" i="11"/>
  <c r="F46" i="11"/>
  <c r="F11" i="11"/>
  <c r="F9" i="11"/>
  <c r="F35" i="11"/>
  <c r="C35" i="11"/>
  <c r="F8" i="11"/>
  <c r="F50" i="10"/>
  <c r="F38" i="10"/>
  <c r="F40" i="10"/>
  <c r="F37" i="10"/>
  <c r="F47" i="10"/>
  <c r="D85" i="10"/>
  <c r="D86" i="10" s="1"/>
  <c r="F18" i="10"/>
  <c r="F10" i="10"/>
  <c r="F9" i="10"/>
  <c r="F35" i="10"/>
  <c r="F8" i="10"/>
  <c r="F46" i="13"/>
  <c r="F43" i="13"/>
  <c r="D80" i="13"/>
  <c r="A48" i="13"/>
  <c r="C48" i="13" s="1"/>
  <c r="F48" i="13" s="1"/>
  <c r="D82" i="13"/>
  <c r="A47" i="13"/>
  <c r="C47" i="13" s="1"/>
  <c r="F45" i="12"/>
  <c r="F49" i="12"/>
  <c r="F47" i="12"/>
  <c r="F37" i="12"/>
  <c r="F40" i="12"/>
  <c r="F35" i="12"/>
  <c r="F50" i="12"/>
  <c r="F36" i="12"/>
  <c r="F44" i="12"/>
  <c r="C41" i="12"/>
  <c r="F41" i="12" s="1"/>
  <c r="A45" i="12"/>
  <c r="C45" i="12" s="1"/>
  <c r="A49" i="12"/>
  <c r="C49" i="12" s="1"/>
  <c r="E73" i="12"/>
  <c r="A44" i="12"/>
  <c r="C44" i="12" s="1"/>
  <c r="A46" i="12"/>
  <c r="C46" i="12" s="1"/>
  <c r="F46" i="12" s="1"/>
  <c r="A48" i="12"/>
  <c r="C48" i="12" s="1"/>
  <c r="F48" i="12" s="1"/>
  <c r="F50" i="11"/>
  <c r="F36" i="11"/>
  <c r="F39" i="11"/>
  <c r="F44" i="11"/>
  <c r="A45" i="11"/>
  <c r="C45" i="11" s="1"/>
  <c r="F45" i="11" s="1"/>
  <c r="D81" i="11"/>
  <c r="A49" i="11"/>
  <c r="C49" i="11" s="1"/>
  <c r="F49" i="11" s="1"/>
  <c r="E73" i="11"/>
  <c r="A48" i="11"/>
  <c r="C48" i="11" s="1"/>
  <c r="F48" i="11" s="1"/>
  <c r="F39" i="10"/>
  <c r="F46" i="10"/>
  <c r="F36" i="10"/>
  <c r="C41" i="10"/>
  <c r="F41" i="10" s="1"/>
  <c r="A45" i="10"/>
  <c r="C45" i="10" s="1"/>
  <c r="F45" i="10" s="1"/>
  <c r="D81" i="10"/>
  <c r="C73" i="10"/>
  <c r="A49" i="10"/>
  <c r="C49" i="10" s="1"/>
  <c r="F49" i="10" s="1"/>
  <c r="A44" i="10"/>
  <c r="C44" i="10" s="1"/>
  <c r="F44" i="10" s="1"/>
  <c r="A48" i="10"/>
  <c r="C48" i="10" s="1"/>
  <c r="F48" i="10" s="1"/>
  <c r="E72" i="13" l="1"/>
  <c r="F53" i="12"/>
  <c r="H53" i="12" s="1"/>
  <c r="F2" i="12" s="1"/>
  <c r="F53" i="11"/>
  <c r="C69" i="11" s="1"/>
  <c r="F53" i="10"/>
  <c r="C69" i="10" s="1"/>
  <c r="F54" i="12"/>
  <c r="F56" i="12"/>
  <c r="F54" i="11"/>
  <c r="F56" i="11"/>
  <c r="F56" i="10"/>
  <c r="F54" i="10"/>
  <c r="C85" i="10"/>
  <c r="E85" i="10" s="1"/>
  <c r="E73" i="10"/>
  <c r="F64" i="12" l="1"/>
  <c r="C69" i="12"/>
  <c r="C81" i="12" s="1"/>
  <c r="E81" i="12" s="1"/>
  <c r="F55" i="11"/>
  <c r="H55" i="11" s="1"/>
  <c r="H53" i="11"/>
  <c r="F2" i="11" s="1"/>
  <c r="F64" i="11"/>
  <c r="H53" i="10"/>
  <c r="F2" i="10" s="1"/>
  <c r="F64" i="10"/>
  <c r="F55" i="10"/>
  <c r="F63" i="10" s="1"/>
  <c r="H56" i="12"/>
  <c r="C74" i="12"/>
  <c r="C76" i="12"/>
  <c r="E76" i="12" s="1"/>
  <c r="E35" i="13" s="1"/>
  <c r="F35" i="13" s="1"/>
  <c r="H54" i="12"/>
  <c r="G2" i="12" s="1"/>
  <c r="F55" i="12"/>
  <c r="E69" i="11"/>
  <c r="E21" i="13" s="1"/>
  <c r="F21" i="13" s="1"/>
  <c r="C81" i="11"/>
  <c r="E81" i="11" s="1"/>
  <c r="C76" i="11"/>
  <c r="E76" i="11" s="1"/>
  <c r="E38" i="13" s="1"/>
  <c r="F38" i="13" s="1"/>
  <c r="H54" i="11"/>
  <c r="G2" i="11" s="1"/>
  <c r="H56" i="11"/>
  <c r="C74" i="11"/>
  <c r="E69" i="10"/>
  <c r="E19" i="13" s="1"/>
  <c r="F19" i="13" s="1"/>
  <c r="C81" i="10"/>
  <c r="E81" i="10" s="1"/>
  <c r="C76" i="10"/>
  <c r="E76" i="10" s="1"/>
  <c r="E36" i="13" s="1"/>
  <c r="F36" i="13" s="1"/>
  <c r="H54" i="10"/>
  <c r="G2" i="10" s="1"/>
  <c r="H56" i="10"/>
  <c r="C74" i="10"/>
  <c r="F53" i="13" l="1"/>
  <c r="O54" i="10"/>
  <c r="E69" i="12"/>
  <c r="E18" i="13" s="1"/>
  <c r="F18" i="13" s="1"/>
  <c r="F52" i="13" s="1"/>
  <c r="F63" i="11"/>
  <c r="F66" i="11" s="1"/>
  <c r="G63" i="11" s="1"/>
  <c r="O54" i="11"/>
  <c r="O56" i="11" s="1"/>
  <c r="H55" i="10"/>
  <c r="O55" i="12"/>
  <c r="H2" i="12"/>
  <c r="H58" i="12"/>
  <c r="H59" i="12" s="1"/>
  <c r="O58" i="12" s="1"/>
  <c r="H55" i="12"/>
  <c r="O54" i="12"/>
  <c r="F63" i="12"/>
  <c r="C86" i="12"/>
  <c r="E86" i="12" s="1"/>
  <c r="E74" i="12"/>
  <c r="E44" i="13" s="1"/>
  <c r="F44" i="13" s="1"/>
  <c r="O55" i="11"/>
  <c r="H58" i="11"/>
  <c r="H59" i="11" s="1"/>
  <c r="O58" i="11" s="1"/>
  <c r="H2" i="11"/>
  <c r="C86" i="11"/>
  <c r="E86" i="11" s="1"/>
  <c r="E74" i="11"/>
  <c r="O55" i="10"/>
  <c r="H2" i="10"/>
  <c r="H58" i="10"/>
  <c r="H59" i="10" s="1"/>
  <c r="O58" i="10" s="1"/>
  <c r="C71" i="10"/>
  <c r="E63" i="10"/>
  <c r="F66" i="10"/>
  <c r="O56" i="10"/>
  <c r="C86" i="10"/>
  <c r="E86" i="10" s="1"/>
  <c r="E74" i="10"/>
  <c r="H52" i="13" l="1"/>
  <c r="F2" i="13" s="1"/>
  <c r="C68" i="13"/>
  <c r="F63" i="13"/>
  <c r="F54" i="13"/>
  <c r="E78" i="11"/>
  <c r="E47" i="13"/>
  <c r="F47" i="13" s="1"/>
  <c r="E78" i="10"/>
  <c r="E45" i="13"/>
  <c r="F45" i="13" s="1"/>
  <c r="C75" i="13"/>
  <c r="E75" i="13" s="1"/>
  <c r="H53" i="13"/>
  <c r="G2" i="13" s="1"/>
  <c r="E78" i="12"/>
  <c r="E63" i="11"/>
  <c r="C71" i="11"/>
  <c r="C83" i="11" s="1"/>
  <c r="E83" i="11" s="1"/>
  <c r="O57" i="11"/>
  <c r="O59" i="11" s="1"/>
  <c r="O57" i="10"/>
  <c r="O59" i="10" s="1"/>
  <c r="O60" i="10" s="1"/>
  <c r="C71" i="12"/>
  <c r="E63" i="12"/>
  <c r="F66" i="12"/>
  <c r="O56" i="12"/>
  <c r="O57" i="12" s="1"/>
  <c r="O59" i="12" s="1"/>
  <c r="G66" i="11"/>
  <c r="G17" i="11"/>
  <c r="G20" i="11"/>
  <c r="G35" i="11"/>
  <c r="G21" i="11"/>
  <c r="G37" i="11"/>
  <c r="G24" i="11"/>
  <c r="G19" i="11"/>
  <c r="G9" i="11"/>
  <c r="G22" i="11"/>
  <c r="G28" i="11"/>
  <c r="G65" i="11"/>
  <c r="G27" i="11"/>
  <c r="G13" i="11"/>
  <c r="G10" i="11"/>
  <c r="G8" i="11"/>
  <c r="G51" i="11"/>
  <c r="G23" i="11"/>
  <c r="G32" i="11"/>
  <c r="G11" i="11"/>
  <c r="G46" i="11"/>
  <c r="G40" i="11"/>
  <c r="G18" i="11"/>
  <c r="G31" i="11"/>
  <c r="G38" i="11"/>
  <c r="G29" i="11"/>
  <c r="G41" i="11"/>
  <c r="G12" i="11"/>
  <c r="G14" i="11"/>
  <c r="G30" i="11"/>
  <c r="G45" i="11"/>
  <c r="G50" i="11"/>
  <c r="G49" i="11"/>
  <c r="G44" i="11"/>
  <c r="G39" i="11"/>
  <c r="G47" i="11"/>
  <c r="G36" i="11"/>
  <c r="G48" i="11"/>
  <c r="G53" i="11"/>
  <c r="G54" i="11"/>
  <c r="G56" i="11"/>
  <c r="G64" i="11"/>
  <c r="G55" i="11"/>
  <c r="G66" i="10"/>
  <c r="G47" i="10"/>
  <c r="G32" i="10"/>
  <c r="G9" i="10"/>
  <c r="G51" i="10"/>
  <c r="G8" i="10"/>
  <c r="G14" i="10"/>
  <c r="G10" i="10"/>
  <c r="G30" i="10"/>
  <c r="G18" i="10"/>
  <c r="G40" i="10"/>
  <c r="G29" i="10"/>
  <c r="G37" i="10"/>
  <c r="G13" i="10"/>
  <c r="G65" i="10"/>
  <c r="G17" i="10"/>
  <c r="G35" i="10"/>
  <c r="G19" i="10"/>
  <c r="G20" i="10"/>
  <c r="G38" i="10"/>
  <c r="G22" i="10"/>
  <c r="G23" i="10"/>
  <c r="G50" i="10"/>
  <c r="G11" i="10"/>
  <c r="G24" i="10"/>
  <c r="G27" i="10"/>
  <c r="G28" i="10"/>
  <c r="G12" i="10"/>
  <c r="G31" i="10"/>
  <c r="G21" i="10"/>
  <c r="G44" i="10"/>
  <c r="G36" i="10"/>
  <c r="G49" i="10"/>
  <c r="G41" i="10"/>
  <c r="G46" i="10"/>
  <c r="G53" i="10"/>
  <c r="G48" i="10"/>
  <c r="G39" i="10"/>
  <c r="G45" i="10"/>
  <c r="G55" i="10"/>
  <c r="G64" i="10"/>
  <c r="G54" i="10"/>
  <c r="G56" i="10"/>
  <c r="G63" i="10"/>
  <c r="C83" i="10"/>
  <c r="E83" i="10" s="1"/>
  <c r="E71" i="10"/>
  <c r="F55" i="13" l="1"/>
  <c r="H55" i="13" s="1"/>
  <c r="H54" i="13"/>
  <c r="O53" i="13"/>
  <c r="O55" i="13" s="1"/>
  <c r="F62" i="13"/>
  <c r="E68" i="13"/>
  <c r="C80" i="13"/>
  <c r="E80" i="13" s="1"/>
  <c r="E71" i="11"/>
  <c r="O60" i="11"/>
  <c r="O61" i="11" s="1"/>
  <c r="O62" i="11" s="1"/>
  <c r="P62" i="11" s="1"/>
  <c r="O61" i="10"/>
  <c r="O62" i="10" s="1"/>
  <c r="E2" i="10" s="1"/>
  <c r="E71" i="12"/>
  <c r="C83" i="12"/>
  <c r="E83" i="12" s="1"/>
  <c r="G66" i="12"/>
  <c r="G12" i="12"/>
  <c r="G14" i="12"/>
  <c r="G20" i="12"/>
  <c r="G30" i="12"/>
  <c r="G19" i="12"/>
  <c r="G65" i="12"/>
  <c r="G32" i="12"/>
  <c r="G51" i="12"/>
  <c r="G10" i="12"/>
  <c r="G29" i="12"/>
  <c r="G38" i="12"/>
  <c r="G17" i="12"/>
  <c r="G24" i="12"/>
  <c r="G39" i="12"/>
  <c r="G11" i="12"/>
  <c r="G27" i="12"/>
  <c r="G22" i="12"/>
  <c r="G13" i="12"/>
  <c r="G18" i="12"/>
  <c r="G21" i="12"/>
  <c r="G9" i="12"/>
  <c r="G23" i="12"/>
  <c r="G8" i="12"/>
  <c r="G28" i="12"/>
  <c r="G31" i="12"/>
  <c r="G41" i="12"/>
  <c r="G46" i="12"/>
  <c r="G44" i="12"/>
  <c r="G37" i="12"/>
  <c r="G50" i="12"/>
  <c r="G45" i="12"/>
  <c r="G48" i="12"/>
  <c r="G47" i="12"/>
  <c r="G49" i="12"/>
  <c r="G35" i="12"/>
  <c r="G53" i="12"/>
  <c r="G36" i="12"/>
  <c r="G40" i="12"/>
  <c r="G56" i="12"/>
  <c r="G54" i="12"/>
  <c r="G64" i="12"/>
  <c r="G55" i="12"/>
  <c r="O60" i="12"/>
  <c r="O61" i="12" s="1"/>
  <c r="O62" i="12" s="1"/>
  <c r="G63" i="12"/>
  <c r="C73" i="13" l="1"/>
  <c r="C85" i="13" s="1"/>
  <c r="E85" i="13" s="1"/>
  <c r="C70" i="13"/>
  <c r="E62" i="13"/>
  <c r="F65" i="13"/>
  <c r="O54" i="13"/>
  <c r="O56" i="13" s="1"/>
  <c r="H57" i="13"/>
  <c r="H58" i="13" s="1"/>
  <c r="O57" i="13" s="1"/>
  <c r="H2" i="13"/>
  <c r="E2" i="11"/>
  <c r="P62" i="10"/>
  <c r="P62" i="12"/>
  <c r="E2" i="12"/>
  <c r="E73" i="13" l="1"/>
  <c r="E77" i="13" s="1"/>
  <c r="O58" i="13"/>
  <c r="O59" i="13" s="1"/>
  <c r="O60" i="13" s="1"/>
  <c r="O61" i="13" s="1"/>
  <c r="G31" i="13"/>
  <c r="G14" i="13"/>
  <c r="G11" i="13"/>
  <c r="G43" i="13"/>
  <c r="G17" i="13"/>
  <c r="G62" i="13"/>
  <c r="G52" i="13"/>
  <c r="G27" i="13"/>
  <c r="G20" i="13"/>
  <c r="G34" i="13"/>
  <c r="G38" i="13"/>
  <c r="G23" i="13"/>
  <c r="G8" i="13"/>
  <c r="G24" i="13"/>
  <c r="G46" i="13"/>
  <c r="G37" i="13"/>
  <c r="G39" i="13"/>
  <c r="G55" i="13"/>
  <c r="G54" i="13"/>
  <c r="G28" i="13"/>
  <c r="G48" i="13"/>
  <c r="G19" i="13"/>
  <c r="G12" i="13"/>
  <c r="G63" i="13"/>
  <c r="G64" i="13"/>
  <c r="G45" i="13"/>
  <c r="G53" i="13"/>
  <c r="G40" i="13"/>
  <c r="G22" i="13"/>
  <c r="G65" i="13"/>
  <c r="G13" i="13"/>
  <c r="G50" i="13"/>
  <c r="G18" i="13"/>
  <c r="G49" i="13"/>
  <c r="G21" i="13"/>
  <c r="G29" i="13"/>
  <c r="G10" i="13"/>
  <c r="G9" i="13"/>
  <c r="G44" i="13"/>
  <c r="G30" i="13"/>
  <c r="G35" i="13"/>
  <c r="G36" i="13"/>
  <c r="G47" i="13"/>
  <c r="E70" i="13"/>
  <c r="C82" i="13"/>
  <c r="E82" i="13" s="1"/>
  <c r="E2" i="13" l="1"/>
  <c r="P61" i="13"/>
  <c r="D34" i="8" l="1"/>
</calcChain>
</file>

<file path=xl/sharedStrings.xml><?xml version="1.0" encoding="utf-8"?>
<sst xmlns="http://schemas.openxmlformats.org/spreadsheetml/2006/main" count="1022" uniqueCount="280">
  <si>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</si>
  <si>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</si>
  <si>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</si>
  <si>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</si>
  <si>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</si>
  <si>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</si>
  <si>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</si>
  <si>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</si>
  <si>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</si>
  <si>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</si>
  <si>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</si>
  <si>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</si>
  <si>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</si>
  <si>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</si>
  <si>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</si>
  <si>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</si>
  <si>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</si>
  <si>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uds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</si>
  <si>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</si>
  <si>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</si>
  <si>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</si>
  <si>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</si>
  <si>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</si>
  <si>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</si>
  <si>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</si>
  <si>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</si>
  <si>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</si>
  <si>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</si>
  <si>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</si>
  <si>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</si>
  <si>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EM10002</t>
  </si>
  <si>
    <t>SE00041</t>
  </si>
  <si>
    <t>Javier Tong, Chef</t>
  </si>
  <si>
    <t>Esteban Cartin, Gte Manufactura</t>
  </si>
  <si>
    <t>AREA QUE PRODUCE:</t>
  </si>
  <si>
    <t>Postres</t>
  </si>
  <si>
    <t xml:space="preserve">AREA QUE EMPACA: </t>
  </si>
  <si>
    <t># Código Netsuite</t>
  </si>
  <si>
    <t>FAS</t>
  </si>
  <si>
    <t>ETIQ.BLANCA 1 1/4 * 3/4</t>
  </si>
  <si>
    <t>CEMUSA</t>
  </si>
  <si>
    <t>CONTROL DE CAMBIOS</t>
  </si>
  <si>
    <t>NUEVO</t>
  </si>
  <si>
    <t>MANZANA PICADA</t>
  </si>
  <si>
    <t>SE00016</t>
  </si>
  <si>
    <t>Empaque Azucar  Industrial</t>
  </si>
  <si>
    <t>MP10096</t>
  </si>
  <si>
    <t>Canela En Polvo</t>
  </si>
  <si>
    <t>AGUA POTABLE (PLANTA)</t>
  </si>
  <si>
    <t>SE00014</t>
  </si>
  <si>
    <t>Empaque Almidon Modificado</t>
  </si>
  <si>
    <t>MP10478</t>
  </si>
  <si>
    <t>Harina Silver Cake</t>
  </si>
  <si>
    <t>MP10493</t>
  </si>
  <si>
    <t>Nucleo Vainilla Dawn</t>
  </si>
  <si>
    <t>MP10530</t>
  </si>
  <si>
    <t>Margarina Bloque</t>
  </si>
  <si>
    <t>Cocina</t>
  </si>
  <si>
    <t>MP10048</t>
  </si>
  <si>
    <t>Crema Prestige Grand</t>
  </si>
  <si>
    <t>MP10046</t>
  </si>
  <si>
    <t>Queso Crema Panadero</t>
  </si>
  <si>
    <t>SE00386</t>
  </si>
  <si>
    <t>Trasvasado de leche condensada cocinada</t>
  </si>
  <si>
    <t>MP10043</t>
  </si>
  <si>
    <t>Gelatina Pura</t>
  </si>
  <si>
    <t>BASE GALLETA P/CHEESE CAKE (KILO)</t>
  </si>
  <si>
    <t>molde pequeño</t>
  </si>
  <si>
    <t>MOUSSE QUESO CONDENSADA</t>
  </si>
  <si>
    <t>RELLENO DE MANZANA</t>
  </si>
  <si>
    <t>DECORACION</t>
  </si>
  <si>
    <t>SE00032</t>
  </si>
  <si>
    <t>Crema Dulce Leche</t>
  </si>
  <si>
    <t>CRUMBLE SPOON</t>
  </si>
  <si>
    <t>EMPAQUE</t>
  </si>
  <si>
    <t>ud</t>
  </si>
  <si>
    <t>EM10124</t>
  </si>
  <si>
    <t>ETIQUETA BLANCA R-153</t>
  </si>
  <si>
    <t>EM10011</t>
  </si>
  <si>
    <t>Etiqueta Blanca 2 5/8X1 15/16</t>
  </si>
  <si>
    <t>MP10007</t>
  </si>
  <si>
    <t>Manjar Leche Condensada</t>
  </si>
  <si>
    <t>Nestle</t>
  </si>
  <si>
    <t>MP10239</t>
  </si>
  <si>
    <t>Limon En Polvo</t>
  </si>
  <si>
    <t>1/3 taza</t>
  </si>
  <si>
    <t>3.- Desmoldar y pegar con manjar en la orla</t>
  </si>
  <si>
    <t>4.- Con la boquilla redonda hacer colocho en el borde, luego colocar el relleno de manzana y el crumble al borde del colocho</t>
  </si>
  <si>
    <t>5.- Tapar y etiquetar.</t>
  </si>
  <si>
    <t>MP10625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</si>
  <si>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</si>
  <si>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</si>
  <si>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</si>
  <si>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</si>
  <si>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</si>
  <si>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</si>
  <si>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</si>
  <si>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</si>
  <si>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</si>
  <si>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</si>
  <si>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</si>
  <si>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</si>
  <si>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</si>
  <si>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</si>
  <si>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</si>
  <si>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</si>
  <si>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</si>
  <si>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</si>
  <si>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</si>
  <si>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</si>
  <si>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</si>
  <si>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</si>
  <si>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</si>
  <si>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</si>
  <si>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</si>
  <si>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</si>
  <si>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</si>
  <si>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</si>
  <si>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</si>
  <si>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</si>
  <si>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</si>
  <si>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</si>
  <si>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</si>
  <si>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</si>
  <si>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</si>
  <si>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</si>
  <si>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</si>
  <si>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</si>
  <si>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</si>
  <si>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</si>
  <si>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</si>
  <si>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</si>
  <si>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</si>
  <si>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</si>
  <si>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</si>
  <si>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</si>
  <si>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</si>
  <si>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</si>
  <si>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</si>
  <si>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</si>
  <si>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</si>
  <si>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</si>
  <si>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QUEQUERA 8 PEQUEÑA</t>
  </si>
  <si>
    <t>UND</t>
  </si>
  <si>
    <t>ETIQUETA POSTRE</t>
  </si>
  <si>
    <t>ETIQUETA BLANCA R-153 (UND)</t>
  </si>
  <si>
    <t>ETIQUETA BLANCA 2 5/8X1 15/16 (UND)</t>
  </si>
  <si>
    <t>ESP-RE-POS-031</t>
  </si>
  <si>
    <t>15</t>
  </si>
  <si>
    <t xml:space="preserve"> Base Galleta Cheesecake  SE00041</t>
  </si>
  <si>
    <t># Codigo Netsuite</t>
  </si>
  <si>
    <t>Medida Costos</t>
  </si>
  <si>
    <t>10100344</t>
  </si>
  <si>
    <t>MP10523</t>
  </si>
  <si>
    <t xml:space="preserve">GALLETA SODA MOLIDA (PAQ:1 KILO) </t>
  </si>
  <si>
    <t>POZUELO</t>
  </si>
  <si>
    <t>10100345</t>
  </si>
  <si>
    <t>MP10555</t>
  </si>
  <si>
    <t>GALLETA YEMITA (KILO)</t>
  </si>
  <si>
    <t>906000002</t>
  </si>
  <si>
    <t>SE00204</t>
  </si>
  <si>
    <t>Corte Galleta Chilena Grande</t>
  </si>
  <si>
    <t>RECORTE DE CHILENA</t>
  </si>
  <si>
    <t>0310107</t>
  </si>
  <si>
    <t>MP10022</t>
  </si>
  <si>
    <t>LACTOCREMA GRANEL (CAJA:25 KG)</t>
  </si>
  <si>
    <t>DOS PINOS</t>
  </si>
  <si>
    <t>MP10041</t>
  </si>
  <si>
    <t>AZUCAR GLASS MOLIDA (PAQ: 4 K)</t>
  </si>
  <si>
    <t>1212410</t>
  </si>
  <si>
    <t>MP10008</t>
  </si>
  <si>
    <t>PRESERVANTE 1047S (PAQ=5 KILO)</t>
  </si>
  <si>
    <t>TIEMPO DE HORNEO</t>
  </si>
  <si>
    <t>HORNO</t>
  </si>
  <si>
    <t>Tanda</t>
  </si>
  <si>
    <t>TEMPERATURA HORNEO</t>
  </si>
  <si>
    <t>OTROS</t>
  </si>
  <si>
    <t>1.- Derretir la lactocrema. No hervir.</t>
  </si>
  <si>
    <t>2.- Mezclar todos los ingredientes en un bowl con el azucar en polvo.</t>
  </si>
  <si>
    <t xml:space="preserve">2, Mezclar la galletas procesada con el azucar y la lactocrema, en batidora con paleta, hasta homogeneo. </t>
  </si>
  <si>
    <t>Revisión #9: Actualización de codigos</t>
  </si>
  <si>
    <t>Revisión #10: Actualizacion de peso final, y productos de reproceso.</t>
  </si>
  <si>
    <t xml:space="preserve">Revisión #11: Actualizacion completa por cambio de galletas y rendimiento. </t>
  </si>
  <si>
    <t xml:space="preserve">Revision #12: Actualizacion del peso de la lactocrema y el rendimiento. </t>
  </si>
  <si>
    <t>Revision #13: Se elimina galleta Maria y se agrega recorte de galleta chilena Spoon</t>
  </si>
  <si>
    <t>Revision #14: Se le bajo Lactocrema</t>
  </si>
  <si>
    <t>Revisión# 15:Se le aumenta la cantidad de lactocrema a la receta</t>
  </si>
  <si>
    <t>ESP-RE-PAPS-002</t>
  </si>
  <si>
    <t>01</t>
  </si>
  <si>
    <t>Corte Galleta Chilena Grande 143g 906000002(SE00204)</t>
  </si>
  <si>
    <t>Pastas</t>
  </si>
  <si>
    <t>Ensamble</t>
  </si>
  <si>
    <t>906000035</t>
  </si>
  <si>
    <t>SE00177</t>
  </si>
  <si>
    <t>PASTA TORTA CHILENA SPOON KILO</t>
  </si>
  <si>
    <t>90100137</t>
  </si>
  <si>
    <t>SE00183</t>
  </si>
  <si>
    <t>EMPAQUE HARINA ESTANDAR (KILO)</t>
  </si>
  <si>
    <t>Decoración</t>
  </si>
  <si>
    <t>Empaque</t>
  </si>
  <si>
    <t>Galletas</t>
  </si>
  <si>
    <r>
      <rPr>
        <b/>
        <sz val="12"/>
        <rFont val="Times New Roman"/>
        <family val="1"/>
      </rPr>
      <t>1-.</t>
    </r>
    <r>
      <rPr>
        <sz val="12"/>
        <rFont val="Times New Roman"/>
        <family val="1"/>
      </rPr>
      <t xml:space="preserve"> Laminar la masa hasta 4 mm con ayuda e la maquina, hacer huecos con el zorro. En la laminadora Rondo a 2.8, en la laminadora Kemplex 3.</t>
    </r>
  </si>
  <si>
    <r>
      <rPr>
        <b/>
        <sz val="12"/>
        <rFont val="Times New Roman"/>
        <family val="1"/>
      </rPr>
      <t>2-.</t>
    </r>
    <r>
      <rPr>
        <sz val="12"/>
        <rFont val="Times New Roman"/>
        <family val="1"/>
      </rPr>
      <t xml:space="preserve"> Cortar con cortador redondo de 23 cm diametro y colocar los 7 circulos en la bandeja</t>
    </r>
  </si>
  <si>
    <r>
      <rPr>
        <b/>
        <sz val="12"/>
        <rFont val="Times New Roman"/>
        <family val="1"/>
      </rPr>
      <t>3-.</t>
    </r>
    <r>
      <rPr>
        <sz val="12"/>
        <rFont val="Times New Roman"/>
        <family val="1"/>
      </rPr>
      <t xml:space="preserve"> Llevar al horno en Dicte 1 por 23 min a 170°C o Dicte 2 por 22 a 24 min a 170°C.</t>
    </r>
  </si>
  <si>
    <r>
      <rPr>
        <b/>
        <sz val="12"/>
        <rFont val="Times New Roman"/>
        <family val="1"/>
      </rPr>
      <t>4-.</t>
    </r>
    <r>
      <rPr>
        <sz val="12"/>
        <rFont val="Times New Roman"/>
        <family val="1"/>
      </rPr>
      <t xml:space="preserve"> Enfriar.</t>
    </r>
  </si>
  <si>
    <t>ESP-RE-PAPS-011</t>
  </si>
  <si>
    <t>PASTA TORTA CHILENA SPOON KILO SE00177</t>
  </si>
  <si>
    <t>SE00178</t>
  </si>
  <si>
    <t>PREMEZCLA P/PASTA CHILENA SPOON</t>
  </si>
  <si>
    <t>Spoon</t>
  </si>
  <si>
    <t>60 min</t>
  </si>
  <si>
    <t>Dicte 1,2,3</t>
  </si>
  <si>
    <t>185 C</t>
  </si>
  <si>
    <t>1.- Colocar la margarina, azucar y harina y preservante. Batir en velocidad 1 por 3 minutos, con ayuda de la paleta.</t>
  </si>
  <si>
    <t>2.- Utilizar de inmediato.</t>
  </si>
  <si>
    <t>ESP-RE-PRES-008</t>
  </si>
  <si>
    <t>PREMEZCLA P/PASTA CHILENA SPOON 901000014(SE00178)</t>
  </si>
  <si>
    <t>Premezclas</t>
  </si>
  <si>
    <t>MP10040</t>
  </si>
  <si>
    <t>MARGARINA BAKER TABLETA (CAJA: 25 K)</t>
  </si>
  <si>
    <t>NUMAR</t>
  </si>
  <si>
    <t>MP10049</t>
  </si>
  <si>
    <t>AZUCAR POLVO P.REAL (PAQ:2.5 Kg)</t>
  </si>
  <si>
    <t>PASTELERO REAL</t>
  </si>
  <si>
    <t>Bolsa</t>
  </si>
  <si>
    <t>MP10051</t>
  </si>
  <si>
    <t>HARINA TRIGO NACARINA (SACO: 25 K)</t>
  </si>
  <si>
    <t>NACARINA</t>
  </si>
  <si>
    <t>ASEAL</t>
  </si>
  <si>
    <t>ETIPLAST</t>
  </si>
  <si>
    <t>EM10013</t>
  </si>
  <si>
    <t>BOLSA 17x25 TRANSP</t>
  </si>
  <si>
    <t>PLASTICOS P</t>
  </si>
  <si>
    <t>EM10133</t>
  </si>
  <si>
    <t>ETIQUETA ROJA LETRA ALERJENO (UND)</t>
  </si>
  <si>
    <t>AS00020</t>
  </si>
  <si>
    <t>GUANTE LATEX CORRIENTE (CAJA:100 UND)</t>
  </si>
  <si>
    <t>MAYCA</t>
  </si>
  <si>
    <t>Minutos</t>
  </si>
  <si>
    <t>1.- Colocar en 1  bolsa 17*25 la margarina. Etiquetar con nombre y alerjeno</t>
  </si>
  <si>
    <t>2.- Colocar la harina, preservante en otra bolsa 17*25, enviar 1 bolsa de azucar en polvo entera.</t>
  </si>
  <si>
    <t>3.- Etiquetar ambas bolsas con nombre y alerjeno.</t>
  </si>
  <si>
    <t>ESP-RE-COCS-058</t>
  </si>
  <si>
    <t xml:space="preserve">SE00386 TRASVASADO LECHE CONDENSADA COCINADA </t>
  </si>
  <si>
    <t>SE00572</t>
  </si>
  <si>
    <t>LECHE CONDENSADA COCINADA DURA</t>
  </si>
  <si>
    <t>Latas</t>
  </si>
  <si>
    <t>GRAMOS</t>
  </si>
  <si>
    <t/>
  </si>
  <si>
    <t>EM10307</t>
  </si>
  <si>
    <t>BOLSA MARMITA 14 x 20 (KILO)</t>
  </si>
  <si>
    <t>bolsas</t>
  </si>
  <si>
    <t>1, Abril las latas de leche condensada y con ayuda de una espatula colocar el contenido en bolsas de 4 kg.</t>
  </si>
  <si>
    <t>2, hacer nudo y etiquetar</t>
  </si>
  <si>
    <t>ESP-RE-COCS-066</t>
  </si>
  <si>
    <t>90100409  (SE00572) Leche condensada cocinada Dura</t>
  </si>
  <si>
    <t>MP10477</t>
  </si>
  <si>
    <t xml:space="preserve">LATA LECHE CONDENSADA </t>
  </si>
  <si>
    <t>NESTLE</t>
  </si>
  <si>
    <t>10415</t>
  </si>
  <si>
    <t>ETIQ.BLANCA 1 1/4 * 3/4 (UND)</t>
  </si>
  <si>
    <t>cajas</t>
  </si>
  <si>
    <t>1, Retirar las etiquetas de cada lata de leche condensada</t>
  </si>
  <si>
    <t>2, Colocar las latas en la marmita (sin aspas). Cerrar a presion.</t>
  </si>
  <si>
    <t>#, Cocinar en programa "Leche Cocinada dura"</t>
  </si>
  <si>
    <t>4, Retirar con mucho cuidado el tapon para liberar presion. Luego que ya este liberada toda la presion, proceder a abrir la olla.</t>
  </si>
  <si>
    <t>5, Con ayuda de una pinza o guantes colocar las latas en una caja esperar a que se sequen, Etiquetar con fecha de vencimiento.</t>
  </si>
  <si>
    <t xml:space="preserve">6, Empacar en las mismas cajas en las que llegaron y etiquetar con fecha de vencimeinto la caja tambien </t>
  </si>
  <si>
    <t>PTI00266 Crumble de manzana Spoon</t>
  </si>
  <si>
    <t>EM10455</t>
  </si>
  <si>
    <t>QUEQUERA REDONDA CON BASE 7 ALTA</t>
  </si>
  <si>
    <t>SE00768</t>
  </si>
  <si>
    <t>SE00766</t>
  </si>
  <si>
    <t>SE00767</t>
  </si>
  <si>
    <t>ESP-RE-POS-122</t>
  </si>
  <si>
    <t>1.- En la base de galleta horneada agregar al centro 1/3 taza de manzana y de manjar.</t>
  </si>
  <si>
    <t>2.- Dosificar los otros 300g de relleno de queso y llevar a refrigeracion por minimo 4 horas.</t>
  </si>
  <si>
    <t>Boquilla 805</t>
  </si>
  <si>
    <t>1/2 taza</t>
  </si>
  <si>
    <t>Juan Pablo Brenes, Chef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</si>
</sst>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[$-409]d\-mmm\-yy;@"/>
    <numFmt numFmtId="167" formatCode="&quot;$&quot;#,##0_);[Red]\(&quot;$&quot;#,##0\)"/>
    <numFmt numFmtId="168" formatCode="_-* #,##0.0\ _€_-;\-* #,##0.0\ _€_-;_-* &quot;-&quot;??\ _€_-;_-@_-"/>
    <numFmt numFmtId="169" formatCode="0.0"/>
    <numFmt numFmtId="170" formatCode="_(* #,##0.000_);_(* \(#,##0.000\);_(* &quot;-&quot;??_);_(@_)"/>
    <numFmt numFmtId="171" formatCode="[$-F400]h:mm:ss\ AM/PM"/>
    <numFmt numFmtId="172" formatCode="0.0000"/>
  </numFmts>
  <fonts count="7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sz val="11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b/>
      <sz val="10"/>
      <name val="Arial"/>
      <family val="2"/>
    </font>
    <font>
      <b/>
      <sz val="10"/>
      <name val="Times New Roman"/>
      <family val="1"/>
    </font>
    <font>
      <sz val="10"/>
      <name val="Arial"/>
      <family val="2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i/>
      <sz val="12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1"/>
      <name val="Arial"/>
      <family val="2"/>
    </font>
    <font>
      <sz val="9.85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Aptos"/>
      <family val="2"/>
    </font>
    <font>
      <sz val="9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name val="Tahoma"/>
      <family val="2"/>
    </font>
    <font>
      <sz val="8"/>
      <name val="Tahoma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  <font>
      <b/>
      <sz val="18"/>
      <name val="Century Gothic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6" fillId="0" borderId="0"/>
    <xf numFmtId="9" fontId="3" fillId="0" borderId="0" applyFont="0" applyFill="0" applyBorder="0" applyAlignment="0" applyProtection="0"/>
    <xf numFmtId="0" fontId="6" fillId="0" borderId="0"/>
    <xf numFmtId="0" fontId="3" fillId="0" borderId="0"/>
    <xf numFmtId="0" fontId="2" fillId="0" borderId="0"/>
    <xf numFmtId="43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</cellStyleXfs>
  <cellXfs count="714">
    <xf numFmtId="0" fontId="0" fillId="0" borderId="0" xfId="0"/>
    <xf numFmtId="0" fontId="10" fillId="2" borderId="23" xfId="1" applyFont="1" applyFill="1" applyBorder="1" applyAlignment="1">
      <alignment horizontal="right"/>
    </xf>
    <xf numFmtId="0" fontId="10" fillId="2" borderId="3" xfId="1" applyFont="1" applyFill="1" applyBorder="1" applyAlignment="1">
      <alignment horizontal="right"/>
    </xf>
    <xf numFmtId="1" fontId="8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" fontId="8" fillId="0" borderId="28" xfId="0" applyNumberFormat="1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1" fontId="8" fillId="0" borderId="11" xfId="0" applyNumberFormat="1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2" borderId="24" xfId="1" applyFont="1" applyFill="1" applyBorder="1" applyAlignment="1">
      <alignment horizontal="center"/>
    </xf>
    <xf numFmtId="49" fontId="8" fillId="2" borderId="6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8" fillId="2" borderId="28" xfId="1" applyFont="1" applyFill="1" applyBorder="1" applyAlignment="1">
      <alignment horizontal="right"/>
    </xf>
    <xf numFmtId="0" fontId="8" fillId="2" borderId="3" xfId="1" applyFont="1" applyFill="1" applyBorder="1" applyAlignment="1">
      <alignment horizontal="right"/>
    </xf>
    <xf numFmtId="14" fontId="15" fillId="2" borderId="0" xfId="3" applyNumberFormat="1" applyFont="1" applyFill="1" applyAlignment="1">
      <alignment horizontal="center" vertical="center" wrapText="1"/>
    </xf>
    <xf numFmtId="0" fontId="10" fillId="5" borderId="24" xfId="4" applyFont="1" applyFill="1" applyBorder="1" applyAlignment="1">
      <alignment horizontal="center" vertical="center" wrapText="1"/>
    </xf>
    <xf numFmtId="1" fontId="10" fillId="5" borderId="11" xfId="4" applyNumberFormat="1" applyFont="1" applyFill="1" applyBorder="1" applyAlignment="1">
      <alignment horizontal="center"/>
    </xf>
    <xf numFmtId="1" fontId="10" fillId="5" borderId="11" xfId="4" applyNumberFormat="1" applyFont="1" applyFill="1" applyBorder="1" applyAlignment="1">
      <alignment horizontal="center" wrapText="1"/>
    </xf>
    <xf numFmtId="0" fontId="10" fillId="5" borderId="12" xfId="4" applyFont="1" applyFill="1" applyBorder="1" applyAlignment="1">
      <alignment horizontal="center"/>
    </xf>
    <xf numFmtId="0" fontId="16" fillId="0" borderId="7" xfId="4" applyFont="1" applyBorder="1" applyAlignment="1">
      <alignment horizontal="center" vertical="center"/>
    </xf>
    <xf numFmtId="0" fontId="16" fillId="0" borderId="3" xfId="4" applyFont="1" applyBorder="1" applyAlignment="1">
      <alignment horizontal="center" vertical="center"/>
    </xf>
    <xf numFmtId="1" fontId="16" fillId="0" borderId="3" xfId="4" applyNumberFormat="1" applyFont="1" applyBorder="1" applyAlignment="1">
      <alignment horizontal="center"/>
    </xf>
    <xf numFmtId="1" fontId="16" fillId="0" borderId="3" xfId="4" applyNumberFormat="1" applyFont="1" applyBorder="1" applyAlignment="1">
      <alignment horizontal="center" wrapText="1"/>
    </xf>
    <xf numFmtId="0" fontId="7" fillId="0" borderId="6" xfId="4" applyFont="1" applyBorder="1" applyAlignment="1">
      <alignment horizontal="center"/>
    </xf>
    <xf numFmtId="0" fontId="8" fillId="0" borderId="28" xfId="0" applyFont="1" applyBorder="1" applyAlignment="1">
      <alignment horizontal="center" wrapText="1"/>
    </xf>
    <xf numFmtId="12" fontId="8" fillId="0" borderId="28" xfId="0" applyNumberFormat="1" applyFont="1" applyBorder="1" applyAlignment="1">
      <alignment horizontal="center"/>
    </xf>
    <xf numFmtId="1" fontId="7" fillId="0" borderId="3" xfId="4" applyNumberFormat="1" applyFont="1" applyBorder="1" applyAlignment="1">
      <alignment horizontal="center"/>
    </xf>
    <xf numFmtId="0" fontId="7" fillId="0" borderId="3" xfId="4" applyFont="1" applyBorder="1" applyAlignment="1">
      <alignment horizontal="center"/>
    </xf>
    <xf numFmtId="1" fontId="7" fillId="0" borderId="3" xfId="4" applyNumberFormat="1" applyFont="1" applyBorder="1" applyAlignment="1">
      <alignment horizontal="center" wrapText="1"/>
    </xf>
    <xf numFmtId="0" fontId="8" fillId="3" borderId="3" xfId="4" applyFont="1" applyFill="1" applyBorder="1" applyAlignment="1">
      <alignment horizontal="center"/>
    </xf>
    <xf numFmtId="49" fontId="7" fillId="0" borderId="7" xfId="4" applyNumberFormat="1" applyFont="1" applyBorder="1" applyAlignment="1">
      <alignment horizontal="center"/>
    </xf>
    <xf numFmtId="49" fontId="7" fillId="0" borderId="18" xfId="4" applyNumberFormat="1" applyFont="1" applyBorder="1" applyAlignment="1">
      <alignment horizontal="center"/>
    </xf>
    <xf numFmtId="0" fontId="18" fillId="3" borderId="7" xfId="0" applyFont="1" applyFill="1" applyBorder="1" applyAlignment="1">
      <alignment horizontal="center"/>
    </xf>
    <xf numFmtId="0" fontId="18" fillId="3" borderId="2" xfId="0" applyFont="1" applyFill="1" applyBorder="1" applyAlignment="1">
      <alignment horizontal="center"/>
    </xf>
    <xf numFmtId="0" fontId="18" fillId="3" borderId="28" xfId="0" applyFont="1" applyFill="1" applyBorder="1"/>
    <xf numFmtId="0" fontId="8" fillId="3" borderId="18" xfId="0" applyFont="1" applyFill="1" applyBorder="1" applyAlignment="1">
      <alignment horizontal="center"/>
    </xf>
    <xf numFmtId="1" fontId="8" fillId="3" borderId="28" xfId="0" applyNumberFormat="1" applyFont="1" applyFill="1" applyBorder="1" applyAlignment="1">
      <alignment horizontal="center"/>
    </xf>
    <xf numFmtId="1" fontId="8" fillId="3" borderId="28" xfId="0" applyNumberFormat="1" applyFont="1" applyFill="1" applyBorder="1" applyAlignment="1">
      <alignment horizontal="center" wrapText="1"/>
    </xf>
    <xf numFmtId="49" fontId="8" fillId="3" borderId="28" xfId="0" applyNumberFormat="1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1" fontId="7" fillId="0" borderId="3" xfId="0" applyNumberFormat="1" applyFont="1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2" fontId="7" fillId="0" borderId="3" xfId="4" applyNumberFormat="1" applyFont="1" applyBorder="1" applyAlignment="1">
      <alignment horizontal="center"/>
    </xf>
    <xf numFmtId="49" fontId="5" fillId="0" borderId="3" xfId="4" applyNumberFormat="1" applyFont="1" applyBorder="1"/>
    <xf numFmtId="0" fontId="4" fillId="0" borderId="3" xfId="4" applyFont="1" applyBorder="1" applyAlignment="1">
      <alignment horizontal="center"/>
    </xf>
    <xf numFmtId="49" fontId="12" fillId="2" borderId="5" xfId="4" applyNumberFormat="1" applyFont="1" applyFill="1" applyBorder="1" applyAlignment="1">
      <alignment horizontal="center" vertical="center"/>
    </xf>
    <xf numFmtId="49" fontId="12" fillId="2" borderId="0" xfId="4" applyNumberFormat="1" applyFont="1" applyFill="1" applyAlignment="1">
      <alignment horizontal="center" vertical="center"/>
    </xf>
    <xf numFmtId="0" fontId="8" fillId="2" borderId="0" xfId="4" applyFont="1" applyFill="1"/>
    <xf numFmtId="1" fontId="8" fillId="2" borderId="0" xfId="4" applyNumberFormat="1" applyFont="1" applyFill="1" applyAlignment="1">
      <alignment horizontal="center"/>
    </xf>
    <xf numFmtId="164" fontId="8" fillId="2" borderId="0" xfId="4" applyNumberFormat="1" applyFont="1" applyFill="1" applyAlignment="1">
      <alignment horizontal="center" wrapText="1"/>
    </xf>
    <xf numFmtId="0" fontId="8" fillId="2" borderId="4" xfId="4" applyFont="1" applyFill="1" applyBorder="1" applyAlignment="1">
      <alignment horizontal="center"/>
    </xf>
    <xf numFmtId="0" fontId="8" fillId="5" borderId="29" xfId="4" applyFont="1" applyFill="1" applyBorder="1" applyAlignment="1">
      <alignment horizontal="center"/>
    </xf>
    <xf numFmtId="0" fontId="8" fillId="5" borderId="30" xfId="4" applyFont="1" applyFill="1" applyBorder="1" applyAlignment="1">
      <alignment horizontal="center"/>
    </xf>
    <xf numFmtId="0" fontId="8" fillId="5" borderId="30" xfId="4" applyFont="1" applyFill="1" applyBorder="1"/>
    <xf numFmtId="0" fontId="10" fillId="5" borderId="30" xfId="4" applyFont="1" applyFill="1" applyBorder="1" applyAlignment="1">
      <alignment horizontal="center"/>
    </xf>
    <xf numFmtId="1" fontId="10" fillId="5" borderId="30" xfId="4" applyNumberFormat="1" applyFont="1" applyFill="1" applyBorder="1" applyAlignment="1">
      <alignment horizontal="center"/>
    </xf>
    <xf numFmtId="164" fontId="8" fillId="5" borderId="30" xfId="4" applyNumberFormat="1" applyFont="1" applyFill="1" applyBorder="1" applyAlignment="1">
      <alignment horizontal="center" wrapText="1"/>
    </xf>
    <xf numFmtId="0" fontId="8" fillId="5" borderId="31" xfId="4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7" fillId="0" borderId="3" xfId="0" applyFont="1" applyBorder="1" applyAlignment="1">
      <alignment horizontal="center" wrapText="1"/>
    </xf>
    <xf numFmtId="0" fontId="5" fillId="3" borderId="0" xfId="0" applyFont="1" applyFill="1" applyAlignment="1">
      <alignment vertical="center"/>
    </xf>
    <xf numFmtId="0" fontId="20" fillId="8" borderId="3" xfId="0" applyFon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3" fontId="20" fillId="0" borderId="3" xfId="6" applyFont="1" applyFill="1" applyBorder="1" applyAlignment="1">
      <alignment horizontal="center" vertical="center"/>
    </xf>
    <xf numFmtId="43" fontId="20" fillId="0" borderId="0" xfId="6" applyFont="1" applyFill="1" applyBorder="1" applyAlignment="1">
      <alignment horizontal="center" vertical="center"/>
    </xf>
    <xf numFmtId="43" fontId="23" fillId="0" borderId="0" xfId="6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166" fontId="26" fillId="0" borderId="0" xfId="0" applyNumberFormat="1" applyFont="1" applyAlignment="1">
      <alignment horizontal="center" vertical="center" wrapText="1"/>
    </xf>
    <xf numFmtId="0" fontId="20" fillId="9" borderId="43" xfId="0" applyFont="1" applyFill="1" applyBorder="1" applyAlignment="1">
      <alignment horizontal="center" vertical="center"/>
    </xf>
    <xf numFmtId="0" fontId="20" fillId="9" borderId="44" xfId="0" applyFont="1" applyFill="1" applyBorder="1" applyAlignment="1">
      <alignment horizontal="center" vertical="center"/>
    </xf>
    <xf numFmtId="0" fontId="20" fillId="9" borderId="44" xfId="0" applyFont="1" applyFill="1" applyBorder="1" applyAlignment="1">
      <alignment horizontal="center" vertical="center" wrapText="1"/>
    </xf>
    <xf numFmtId="0" fontId="20" fillId="9" borderId="45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2" fontId="27" fillId="0" borderId="0" xfId="0" applyNumberFormat="1" applyFont="1" applyAlignment="1">
      <alignment horizontal="center"/>
    </xf>
    <xf numFmtId="4" fontId="27" fillId="0" borderId="0" xfId="7" applyNumberFormat="1" applyFont="1" applyFill="1" applyAlignment="1">
      <alignment horizontal="center" vertical="center"/>
    </xf>
    <xf numFmtId="4" fontId="20" fillId="0" borderId="0" xfId="7" applyNumberFormat="1" applyFont="1" applyFill="1" applyAlignment="1">
      <alignment horizontal="center" vertical="center"/>
    </xf>
    <xf numFmtId="10" fontId="20" fillId="0" borderId="0" xfId="2" applyNumberFormat="1" applyFont="1" applyFill="1" applyAlignment="1">
      <alignment vertical="center"/>
    </xf>
    <xf numFmtId="49" fontId="20" fillId="0" borderId="0" xfId="0" applyNumberFormat="1" applyFont="1" applyAlignment="1">
      <alignment horizontal="center" vertical="center"/>
    </xf>
    <xf numFmtId="10" fontId="22" fillId="0" borderId="0" xfId="2" applyNumberFormat="1" applyFont="1" applyFill="1" applyAlignment="1">
      <alignment vertical="center"/>
    </xf>
    <xf numFmtId="0" fontId="5" fillId="0" borderId="0" xfId="0" applyFont="1"/>
    <xf numFmtId="49" fontId="20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43" fontId="5" fillId="0" borderId="0" xfId="6" applyFont="1" applyFill="1" applyAlignment="1">
      <alignment vertical="center"/>
    </xf>
    <xf numFmtId="49" fontId="28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4" fontId="20" fillId="0" borderId="0" xfId="6" applyNumberFormat="1" applyFont="1" applyFill="1" applyAlignment="1">
      <alignment vertical="center"/>
    </xf>
    <xf numFmtId="43" fontId="29" fillId="0" borderId="0" xfId="6" applyFont="1" applyFill="1" applyAlignment="1">
      <alignment horizontal="center" vertical="center"/>
    </xf>
    <xf numFmtId="10" fontId="22" fillId="9" borderId="46" xfId="2" applyNumberFormat="1" applyFont="1" applyFill="1" applyBorder="1" applyAlignment="1">
      <alignment vertical="center"/>
    </xf>
    <xf numFmtId="0" fontId="5" fillId="9" borderId="30" xfId="0" applyFont="1" applyFill="1" applyBorder="1" applyAlignment="1">
      <alignment vertical="center"/>
    </xf>
    <xf numFmtId="0" fontId="5" fillId="9" borderId="46" xfId="0" applyFont="1" applyFill="1" applyBorder="1" applyAlignment="1">
      <alignment vertical="center"/>
    </xf>
    <xf numFmtId="43" fontId="29" fillId="9" borderId="47" xfId="6" applyFont="1" applyFill="1" applyBorder="1" applyAlignment="1">
      <alignment horizontal="center" vertical="center"/>
    </xf>
    <xf numFmtId="43" fontId="31" fillId="0" borderId="0" xfId="6" applyFont="1" applyFill="1" applyBorder="1" applyAlignment="1">
      <alignment horizontal="right"/>
    </xf>
    <xf numFmtId="0" fontId="5" fillId="9" borderId="47" xfId="0" applyFont="1" applyFill="1" applyBorder="1" applyAlignment="1">
      <alignment vertical="center"/>
    </xf>
    <xf numFmtId="10" fontId="22" fillId="9" borderId="47" xfId="2" applyNumberFormat="1" applyFont="1" applyFill="1" applyBorder="1" applyAlignment="1">
      <alignment vertical="center"/>
    </xf>
    <xf numFmtId="0" fontId="30" fillId="0" borderId="0" xfId="0" applyFont="1" applyAlignment="1">
      <alignment horizontal="right"/>
    </xf>
    <xf numFmtId="0" fontId="30" fillId="0" borderId="0" xfId="0" applyFont="1"/>
    <xf numFmtId="9" fontId="30" fillId="0" borderId="0" xfId="0" applyNumberFormat="1" applyFont="1"/>
    <xf numFmtId="9" fontId="32" fillId="0" borderId="0" xfId="2" applyFont="1" applyFill="1" applyAlignment="1">
      <alignment horizontal="center"/>
    </xf>
    <xf numFmtId="0" fontId="29" fillId="0" borderId="0" xfId="0" applyFont="1" applyAlignment="1">
      <alignment horizontal="right" vertical="center"/>
    </xf>
    <xf numFmtId="4" fontId="29" fillId="0" borderId="0" xfId="6" applyNumberFormat="1" applyFont="1" applyFill="1" applyAlignment="1">
      <alignment vertical="center"/>
    </xf>
    <xf numFmtId="4" fontId="29" fillId="0" borderId="0" xfId="7" applyNumberFormat="1" applyFont="1" applyAlignment="1">
      <alignment horizontal="center" vertical="center"/>
    </xf>
    <xf numFmtId="0" fontId="33" fillId="0" borderId="0" xfId="0" applyFont="1" applyAlignment="1">
      <alignment horizontal="right"/>
    </xf>
    <xf numFmtId="0" fontId="34" fillId="0" borderId="0" xfId="0" applyFont="1" applyAlignment="1">
      <alignment horizontal="right"/>
    </xf>
    <xf numFmtId="0" fontId="34" fillId="0" borderId="4" xfId="0" applyFont="1" applyBorder="1" applyAlignment="1">
      <alignment horizontal="right"/>
    </xf>
    <xf numFmtId="43" fontId="35" fillId="4" borderId="48" xfId="6" applyFont="1" applyFill="1" applyBorder="1" applyAlignment="1">
      <alignment horizontal="right"/>
    </xf>
    <xf numFmtId="43" fontId="35" fillId="0" borderId="0" xfId="6" applyFont="1" applyFill="1" applyBorder="1" applyAlignment="1">
      <alignment horizontal="right"/>
    </xf>
    <xf numFmtId="43" fontId="20" fillId="0" borderId="3" xfId="6" applyFont="1" applyFill="1" applyBorder="1" applyAlignment="1">
      <alignment vertical="center"/>
    </xf>
    <xf numFmtId="0" fontId="36" fillId="0" borderId="0" xfId="0" applyFont="1" applyAlignment="1">
      <alignment horizontal="left" vertical="center"/>
    </xf>
    <xf numFmtId="4" fontId="29" fillId="0" borderId="0" xfId="7" applyNumberFormat="1" applyFont="1" applyFill="1" applyAlignment="1">
      <alignment horizontal="center" vertical="center"/>
    </xf>
    <xf numFmtId="10" fontId="37" fillId="0" borderId="0" xfId="2" applyNumberFormat="1" applyFont="1" applyFill="1" applyAlignment="1">
      <alignment horizontal="right"/>
    </xf>
    <xf numFmtId="168" fontId="20" fillId="9" borderId="3" xfId="6" applyNumberFormat="1" applyFont="1" applyFill="1" applyBorder="1" applyAlignment="1">
      <alignment vertical="center"/>
    </xf>
    <xf numFmtId="4" fontId="5" fillId="0" borderId="0" xfId="0" applyNumberFormat="1" applyFont="1" applyAlignment="1">
      <alignment horizontal="center" vertical="center"/>
    </xf>
    <xf numFmtId="43" fontId="20" fillId="10" borderId="3" xfId="6" applyFont="1" applyFill="1" applyBorder="1" applyAlignment="1">
      <alignment vertical="center"/>
    </xf>
    <xf numFmtId="165" fontId="38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4" fontId="20" fillId="0" borderId="0" xfId="0" applyNumberFormat="1" applyFont="1" applyAlignment="1">
      <alignment horizontal="center" vertical="center"/>
    </xf>
    <xf numFmtId="0" fontId="22" fillId="9" borderId="49" xfId="0" applyFont="1" applyFill="1" applyBorder="1" applyAlignment="1">
      <alignment vertical="center"/>
    </xf>
    <xf numFmtId="0" fontId="40" fillId="0" borderId="0" xfId="0" applyFont="1" applyAlignment="1">
      <alignment vertical="center"/>
    </xf>
    <xf numFmtId="2" fontId="37" fillId="0" borderId="0" xfId="6" applyNumberFormat="1" applyFont="1" applyFill="1" applyBorder="1" applyAlignment="1">
      <alignment horizontal="center"/>
    </xf>
    <xf numFmtId="2" fontId="34" fillId="0" borderId="0" xfId="6" applyNumberFormat="1" applyFont="1" applyFill="1" applyBorder="1" applyAlignment="1">
      <alignment horizontal="center"/>
    </xf>
    <xf numFmtId="0" fontId="5" fillId="9" borderId="49" xfId="0" applyFont="1" applyFill="1" applyBorder="1" applyAlignment="1">
      <alignment vertical="center"/>
    </xf>
    <xf numFmtId="10" fontId="5" fillId="0" borderId="0" xfId="2" applyNumberFormat="1" applyFont="1" applyFill="1" applyAlignment="1">
      <alignment vertical="center"/>
    </xf>
    <xf numFmtId="4" fontId="5" fillId="0" borderId="0" xfId="6" applyNumberFormat="1" applyFont="1" applyFill="1" applyAlignment="1">
      <alignment vertical="center"/>
    </xf>
    <xf numFmtId="43" fontId="35" fillId="9" borderId="30" xfId="6" applyFont="1" applyFill="1" applyBorder="1" applyAlignment="1">
      <alignment horizontal="right"/>
    </xf>
    <xf numFmtId="0" fontId="20" fillId="9" borderId="31" xfId="0" applyFont="1" applyFill="1" applyBorder="1" applyAlignment="1">
      <alignment horizontal="right" vertical="center"/>
    </xf>
    <xf numFmtId="10" fontId="41" fillId="0" borderId="0" xfId="6" applyNumberFormat="1" applyFont="1" applyFill="1" applyAlignment="1">
      <alignment vertical="center"/>
    </xf>
    <xf numFmtId="10" fontId="22" fillId="0" borderId="0" xfId="2" applyNumberFormat="1" applyFont="1" applyFill="1" applyBorder="1" applyAlignment="1">
      <alignment vertical="center"/>
    </xf>
    <xf numFmtId="165" fontId="42" fillId="0" borderId="0" xfId="0" applyNumberFormat="1" applyFont="1" applyAlignment="1">
      <alignment horizontal="center" vertical="center"/>
    </xf>
    <xf numFmtId="0" fontId="5" fillId="3" borderId="48" xfId="0" applyFont="1" applyFill="1" applyBorder="1" applyAlignment="1">
      <alignment horizontal="center" vertical="center"/>
    </xf>
    <xf numFmtId="43" fontId="43" fillId="0" borderId="0" xfId="6" applyFont="1" applyFill="1" applyAlignment="1">
      <alignment vertical="center"/>
    </xf>
    <xf numFmtId="4" fontId="44" fillId="0" borderId="0" xfId="7" applyNumberFormat="1" applyFont="1" applyFill="1" applyAlignment="1">
      <alignment horizontal="center" vertical="center" wrapText="1"/>
    </xf>
    <xf numFmtId="9" fontId="5" fillId="0" borderId="0" xfId="6" applyNumberFormat="1" applyFont="1" applyFill="1" applyAlignment="1">
      <alignment vertical="center"/>
    </xf>
    <xf numFmtId="0" fontId="2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8" fillId="0" borderId="0" xfId="0" applyFont="1" applyAlignment="1">
      <alignment horizontal="right" vertical="center"/>
    </xf>
    <xf numFmtId="4" fontId="28" fillId="0" borderId="0" xfId="6" applyNumberFormat="1" applyFont="1" applyFill="1" applyAlignment="1">
      <alignment vertical="center"/>
    </xf>
    <xf numFmtId="4" fontId="20" fillId="12" borderId="48" xfId="6" applyNumberFormat="1" applyFont="1" applyFill="1" applyBorder="1" applyAlignment="1">
      <alignment horizontal="center" vertical="center"/>
    </xf>
    <xf numFmtId="0" fontId="45" fillId="0" borderId="0" xfId="0" applyFont="1" applyAlignment="1">
      <alignment vertical="center"/>
    </xf>
    <xf numFmtId="43" fontId="45" fillId="0" borderId="0" xfId="6" applyFont="1" applyFill="1" applyAlignment="1">
      <alignment vertical="center"/>
    </xf>
    <xf numFmtId="9" fontId="45" fillId="0" borderId="0" xfId="6" applyNumberFormat="1" applyFont="1" applyFill="1" applyAlignment="1">
      <alignment vertical="center"/>
    </xf>
    <xf numFmtId="4" fontId="20" fillId="0" borderId="0" xfId="6" applyNumberFormat="1" applyFont="1" applyFill="1" applyAlignment="1">
      <alignment horizontal="center" vertical="center"/>
    </xf>
    <xf numFmtId="10" fontId="38" fillId="0" borderId="0" xfId="2" applyNumberFormat="1" applyFont="1" applyFill="1" applyAlignment="1">
      <alignment vertical="center"/>
    </xf>
    <xf numFmtId="43" fontId="38" fillId="0" borderId="0" xfId="6" applyFont="1" applyFill="1" applyBorder="1" applyAlignment="1">
      <alignment vertical="center"/>
    </xf>
    <xf numFmtId="4" fontId="5" fillId="0" borderId="0" xfId="0" applyNumberFormat="1" applyFont="1" applyAlignment="1">
      <alignment horizontal="center"/>
    </xf>
    <xf numFmtId="43" fontId="5" fillId="0" borderId="0" xfId="6" applyFont="1" applyFill="1" applyBorder="1"/>
    <xf numFmtId="10" fontId="38" fillId="0" borderId="0" xfId="2" applyNumberFormat="1" applyFont="1" applyFill="1" applyBorder="1" applyAlignment="1">
      <alignment vertical="center"/>
    </xf>
    <xf numFmtId="0" fontId="38" fillId="0" borderId="0" xfId="0" applyFont="1" applyAlignment="1">
      <alignment horizontal="right"/>
    </xf>
    <xf numFmtId="43" fontId="5" fillId="0" borderId="0" xfId="6" applyFont="1" applyFill="1" applyBorder="1" applyAlignment="1">
      <alignment horizontal="center"/>
    </xf>
    <xf numFmtId="9" fontId="48" fillId="0" borderId="0" xfId="0" applyNumberFormat="1" applyFont="1" applyAlignment="1">
      <alignment horizontal="left"/>
    </xf>
    <xf numFmtId="4" fontId="20" fillId="0" borderId="0" xfId="0" applyNumberFormat="1" applyFont="1" applyAlignment="1">
      <alignment horizontal="center"/>
    </xf>
    <xf numFmtId="165" fontId="20" fillId="0" borderId="0" xfId="0" applyNumberFormat="1" applyFont="1"/>
    <xf numFmtId="0" fontId="19" fillId="2" borderId="23" xfId="3" applyFont="1" applyFill="1" applyBorder="1" applyAlignment="1">
      <alignment horizontal="right"/>
    </xf>
    <xf numFmtId="0" fontId="3" fillId="2" borderId="24" xfId="3" applyFont="1" applyFill="1" applyBorder="1" applyAlignment="1">
      <alignment horizontal="left"/>
    </xf>
    <xf numFmtId="0" fontId="3" fillId="2" borderId="0" xfId="0" applyFont="1" applyFill="1"/>
    <xf numFmtId="0" fontId="19" fillId="2" borderId="3" xfId="3" applyFont="1" applyFill="1" applyBorder="1" applyAlignment="1">
      <alignment horizontal="right"/>
    </xf>
    <xf numFmtId="49" fontId="3" fillId="2" borderId="6" xfId="3" applyNumberFormat="1" applyFont="1" applyFill="1" applyBorder="1" applyAlignment="1">
      <alignment horizontal="center"/>
    </xf>
    <xf numFmtId="0" fontId="3" fillId="2" borderId="2" xfId="3" applyFont="1" applyFill="1" applyBorder="1" applyAlignment="1">
      <alignment horizontal="right"/>
    </xf>
    <xf numFmtId="0" fontId="3" fillId="2" borderId="34" xfId="3" applyFont="1" applyFill="1" applyBorder="1" applyAlignment="1">
      <alignment horizontal="right"/>
    </xf>
    <xf numFmtId="14" fontId="15" fillId="2" borderId="4" xfId="3" applyNumberFormat="1" applyFont="1" applyFill="1" applyBorder="1" applyAlignment="1">
      <alignment horizontal="center" vertical="center" wrapText="1"/>
    </xf>
    <xf numFmtId="0" fontId="19" fillId="5" borderId="24" xfId="0" applyFont="1" applyFill="1" applyBorder="1" applyAlignment="1">
      <alignment horizontal="center" vertical="center" wrapText="1"/>
    </xf>
    <xf numFmtId="1" fontId="19" fillId="5" borderId="11" xfId="0" applyNumberFormat="1" applyFont="1" applyFill="1" applyBorder="1" applyAlignment="1">
      <alignment horizontal="center"/>
    </xf>
    <xf numFmtId="1" fontId="19" fillId="5" borderId="11" xfId="0" applyNumberFormat="1" applyFont="1" applyFill="1" applyBorder="1" applyAlignment="1">
      <alignment horizontal="center" wrapText="1"/>
    </xf>
    <xf numFmtId="0" fontId="19" fillId="5" borderId="12" xfId="0" applyFont="1" applyFill="1" applyBorder="1" applyAlignment="1">
      <alignment horizontal="center"/>
    </xf>
    <xf numFmtId="0" fontId="0" fillId="0" borderId="3" xfId="0" applyBorder="1"/>
    <xf numFmtId="0" fontId="3" fillId="0" borderId="2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164" fontId="7" fillId="0" borderId="28" xfId="0" applyNumberFormat="1" applyFont="1" applyBorder="1" applyAlignment="1">
      <alignment horizontal="right"/>
    </xf>
    <xf numFmtId="1" fontId="7" fillId="0" borderId="28" xfId="0" applyNumberFormat="1" applyFont="1" applyBorder="1"/>
    <xf numFmtId="0" fontId="19" fillId="3" borderId="21" xfId="0" applyFont="1" applyFill="1" applyBorder="1" applyAlignment="1">
      <alignment horizontal="center"/>
    </xf>
    <xf numFmtId="2" fontId="7" fillId="0" borderId="3" xfId="0" applyNumberFormat="1" applyFont="1" applyBorder="1" applyAlignment="1">
      <alignment horizontal="right"/>
    </xf>
    <xf numFmtId="1" fontId="7" fillId="0" borderId="3" xfId="0" applyNumberFormat="1" applyFont="1" applyBorder="1"/>
    <xf numFmtId="0" fontId="19" fillId="3" borderId="6" xfId="0" applyFont="1" applyFill="1" applyBorder="1" applyAlignment="1">
      <alignment horizontal="center"/>
    </xf>
    <xf numFmtId="49" fontId="7" fillId="3" borderId="18" xfId="4" applyNumberFormat="1" applyFont="1" applyFill="1" applyBorder="1" applyAlignment="1">
      <alignment horizontal="center"/>
    </xf>
    <xf numFmtId="49" fontId="5" fillId="3" borderId="3" xfId="4" applyNumberFormat="1" applyFont="1" applyFill="1" applyBorder="1"/>
    <xf numFmtId="0" fontId="0" fillId="3" borderId="3" xfId="0" applyFill="1" applyBorder="1" applyAlignment="1">
      <alignment horizontal="center"/>
    </xf>
    <xf numFmtId="0" fontId="0" fillId="3" borderId="3" xfId="0" applyFill="1" applyBorder="1" applyAlignment="1">
      <alignment vertical="center"/>
    </xf>
    <xf numFmtId="164" fontId="7" fillId="0" borderId="3" xfId="0" applyNumberFormat="1" applyFont="1" applyBorder="1" applyAlignment="1">
      <alignment horizontal="right"/>
    </xf>
    <xf numFmtId="0" fontId="19" fillId="3" borderId="3" xfId="0" applyFont="1" applyFill="1" applyBorder="1" applyAlignment="1">
      <alignment horizontal="center"/>
    </xf>
    <xf numFmtId="0" fontId="0" fillId="3" borderId="3" xfId="0" quotePrefix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49" fontId="3" fillId="0" borderId="7" xfId="4" applyNumberFormat="1" applyBorder="1" applyAlignment="1">
      <alignment horizontal="center"/>
    </xf>
    <xf numFmtId="49" fontId="3" fillId="0" borderId="18" xfId="4" applyNumberFormat="1" applyBorder="1" applyAlignment="1">
      <alignment horizontal="center"/>
    </xf>
    <xf numFmtId="49" fontId="3" fillId="0" borderId="3" xfId="4" applyNumberFormat="1" applyBorder="1"/>
    <xf numFmtId="16" fontId="3" fillId="0" borderId="3" xfId="4" applyNumberFormat="1" applyBorder="1" applyAlignment="1">
      <alignment horizontal="center"/>
    </xf>
    <xf numFmtId="1" fontId="3" fillId="0" borderId="3" xfId="4" applyNumberFormat="1" applyBorder="1" applyAlignment="1">
      <alignment horizontal="center"/>
    </xf>
    <xf numFmtId="1" fontId="3" fillId="0" borderId="3" xfId="4" applyNumberFormat="1" applyBorder="1" applyAlignment="1">
      <alignment horizontal="center" wrapText="1"/>
    </xf>
    <xf numFmtId="0" fontId="7" fillId="0" borderId="28" xfId="0" applyFont="1" applyBorder="1" applyAlignment="1">
      <alignment horizontal="center"/>
    </xf>
    <xf numFmtId="49" fontId="51" fillId="2" borderId="5" xfId="0" applyNumberFormat="1" applyFont="1" applyFill="1" applyBorder="1" applyAlignment="1">
      <alignment horizontal="center" vertical="center"/>
    </xf>
    <xf numFmtId="49" fontId="51" fillId="2" borderId="0" xfId="0" applyNumberFormat="1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 wrapText="1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left" indent="1"/>
    </xf>
    <xf numFmtId="0" fontId="3" fillId="5" borderId="29" xfId="0" applyFont="1" applyFill="1" applyBorder="1" applyAlignment="1">
      <alignment horizontal="center"/>
    </xf>
    <xf numFmtId="0" fontId="3" fillId="5" borderId="30" xfId="0" applyFont="1" applyFill="1" applyBorder="1" applyAlignment="1">
      <alignment horizontal="center"/>
    </xf>
    <xf numFmtId="0" fontId="3" fillId="5" borderId="30" xfId="0" applyFont="1" applyFill="1" applyBorder="1"/>
    <xf numFmtId="0" fontId="19" fillId="5" borderId="30" xfId="0" applyFont="1" applyFill="1" applyBorder="1" applyAlignment="1">
      <alignment horizontal="center"/>
    </xf>
    <xf numFmtId="1" fontId="19" fillId="5" borderId="30" xfId="0" applyNumberFormat="1" applyFont="1" applyFill="1" applyBorder="1" applyAlignment="1">
      <alignment horizontal="center"/>
    </xf>
    <xf numFmtId="164" fontId="3" fillId="5" borderId="30" xfId="0" applyNumberFormat="1" applyFont="1" applyFill="1" applyBorder="1" applyAlignment="1">
      <alignment horizontal="center" wrapText="1"/>
    </xf>
    <xf numFmtId="0" fontId="3" fillId="5" borderId="31" xfId="0" applyFont="1" applyFill="1" applyBorder="1" applyAlignment="1">
      <alignment horizontal="center"/>
    </xf>
    <xf numFmtId="1" fontId="3" fillId="0" borderId="28" xfId="0" applyNumberFormat="1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9" fontId="3" fillId="2" borderId="0" xfId="2" applyFont="1" applyFill="1"/>
    <xf numFmtId="1" fontId="3" fillId="0" borderId="3" xfId="0" applyNumberFormat="1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0" fontId="3" fillId="0" borderId="54" xfId="0" applyFont="1" applyBorder="1" applyAlignment="1">
      <alignment horizontal="center"/>
    </xf>
    <xf numFmtId="0" fontId="7" fillId="0" borderId="14" xfId="0" applyFont="1" applyBorder="1" applyAlignment="1">
      <alignment horizontal="left"/>
    </xf>
    <xf numFmtId="0" fontId="16" fillId="0" borderId="18" xfId="4" applyFont="1" applyBorder="1" applyAlignment="1">
      <alignment horizontal="center" vertical="center"/>
    </xf>
    <xf numFmtId="0" fontId="17" fillId="0" borderId="3" xfId="4" applyFont="1" applyBorder="1" applyAlignment="1">
      <alignment vertical="center"/>
    </xf>
    <xf numFmtId="0" fontId="7" fillId="0" borderId="7" xfId="0" applyFont="1" applyBorder="1" applyAlignment="1">
      <alignment horizontal="center"/>
    </xf>
    <xf numFmtId="0" fontId="5" fillId="0" borderId="3" xfId="0" applyFont="1" applyBorder="1"/>
    <xf numFmtId="0" fontId="8" fillId="0" borderId="28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52" fillId="0" borderId="0" xfId="0" applyFont="1"/>
    <xf numFmtId="2" fontId="16" fillId="0" borderId="3" xfId="4" applyNumberFormat="1" applyFont="1" applyBorder="1" applyAlignment="1">
      <alignment horizontal="center"/>
    </xf>
    <xf numFmtId="1" fontId="10" fillId="3" borderId="57" xfId="4" applyNumberFormat="1" applyFont="1" applyFill="1" applyBorder="1" applyAlignment="1">
      <alignment horizontal="center" wrapText="1"/>
    </xf>
    <xf numFmtId="0" fontId="52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2" fontId="16" fillId="0" borderId="3" xfId="4" applyNumberFormat="1" applyFont="1" applyBorder="1" applyAlignment="1">
      <alignment horizontal="center" wrapText="1"/>
    </xf>
    <xf numFmtId="0" fontId="52" fillId="0" borderId="3" xfId="0" applyFont="1" applyBorder="1" applyAlignment="1">
      <alignment horizontal="center"/>
    </xf>
    <xf numFmtId="0" fontId="52" fillId="0" borderId="3" xfId="0" applyFont="1" applyBorder="1"/>
    <xf numFmtId="0" fontId="52" fillId="0" borderId="3" xfId="0" applyFont="1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0" fontId="3" fillId="0" borderId="3" xfId="4" applyBorder="1" applyAlignment="1">
      <alignment horizontal="center"/>
    </xf>
    <xf numFmtId="0" fontId="0" fillId="3" borderId="3" xfId="0" applyFill="1" applyBorder="1"/>
    <xf numFmtId="0" fontId="53" fillId="3" borderId="3" xfId="4" applyFont="1" applyFill="1" applyBorder="1" applyAlignment="1">
      <alignment horizontal="left"/>
    </xf>
    <xf numFmtId="169" fontId="7" fillId="0" borderId="3" xfId="4" applyNumberFormat="1" applyFont="1" applyBorder="1" applyAlignment="1">
      <alignment horizontal="center"/>
    </xf>
    <xf numFmtId="0" fontId="3" fillId="0" borderId="7" xfId="8" applyBorder="1" applyAlignment="1">
      <alignment horizontal="center"/>
    </xf>
    <xf numFmtId="0" fontId="3" fillId="3" borderId="3" xfId="8" applyFill="1" applyBorder="1"/>
    <xf numFmtId="16" fontId="7" fillId="0" borderId="3" xfId="8" applyNumberFormat="1" applyFont="1" applyBorder="1" applyAlignment="1">
      <alignment horizontal="center"/>
    </xf>
    <xf numFmtId="0" fontId="3" fillId="0" borderId="3" xfId="8" applyBorder="1" applyAlignment="1">
      <alignment horizontal="center"/>
    </xf>
    <xf numFmtId="16" fontId="7" fillId="0" borderId="3" xfId="0" applyNumberFormat="1" applyFont="1" applyBorder="1" applyAlignment="1">
      <alignment horizontal="center"/>
    </xf>
    <xf numFmtId="1" fontId="7" fillId="0" borderId="3" xfId="8" applyNumberFormat="1" applyFont="1" applyBorder="1" applyAlignment="1">
      <alignment horizontal="center"/>
    </xf>
    <xf numFmtId="1" fontId="7" fillId="0" borderId="3" xfId="8" applyNumberFormat="1" applyFont="1" applyBorder="1" applyAlignment="1">
      <alignment horizontal="center" wrapText="1"/>
    </xf>
    <xf numFmtId="49" fontId="16" fillId="0" borderId="13" xfId="4" applyNumberFormat="1" applyFont="1" applyBorder="1" applyAlignment="1">
      <alignment horizontal="center"/>
    </xf>
    <xf numFmtId="49" fontId="16" fillId="0" borderId="14" xfId="4" applyNumberFormat="1" applyFont="1" applyBorder="1" applyAlignment="1">
      <alignment horizontal="center"/>
    </xf>
    <xf numFmtId="0" fontId="54" fillId="3" borderId="3" xfId="4" applyFont="1" applyFill="1" applyBorder="1" applyAlignment="1">
      <alignment vertical="center"/>
    </xf>
    <xf numFmtId="0" fontId="16" fillId="0" borderId="18" xfId="4" applyFont="1" applyBorder="1" applyAlignment="1">
      <alignment horizontal="center"/>
    </xf>
    <xf numFmtId="169" fontId="16" fillId="0" borderId="3" xfId="4" applyNumberFormat="1" applyFont="1" applyBorder="1" applyAlignment="1">
      <alignment horizontal="center"/>
    </xf>
    <xf numFmtId="170" fontId="10" fillId="3" borderId="3" xfId="6" applyNumberFormat="1" applyFont="1" applyFill="1" applyBorder="1" applyAlignment="1">
      <alignment horizontal="center"/>
    </xf>
    <xf numFmtId="49" fontId="7" fillId="0" borderId="3" xfId="0" applyNumberFormat="1" applyFont="1" applyBorder="1" applyAlignment="1">
      <alignment horizontal="center"/>
    </xf>
    <xf numFmtId="49" fontId="5" fillId="0" borderId="3" xfId="0" applyNumberFormat="1" applyFont="1" applyBorder="1"/>
    <xf numFmtId="1" fontId="8" fillId="0" borderId="3" xfId="0" applyNumberFormat="1" applyFont="1" applyBorder="1" applyAlignment="1">
      <alignment horizontal="center" wrapText="1"/>
    </xf>
    <xf numFmtId="49" fontId="8" fillId="0" borderId="3" xfId="0" applyNumberFormat="1" applyFont="1" applyBorder="1" applyAlignment="1">
      <alignment horizontal="center" wrapText="1"/>
    </xf>
    <xf numFmtId="0" fontId="55" fillId="0" borderId="7" xfId="0" quotePrefix="1" applyFont="1" applyBorder="1" applyAlignment="1">
      <alignment horizontal="center"/>
    </xf>
    <xf numFmtId="0" fontId="55" fillId="0" borderId="18" xfId="0" quotePrefix="1" applyFont="1" applyBorder="1" applyAlignment="1">
      <alignment horizontal="center"/>
    </xf>
    <xf numFmtId="0" fontId="56" fillId="0" borderId="3" xfId="0" quotePrefix="1" applyFont="1" applyBorder="1"/>
    <xf numFmtId="1" fontId="8" fillId="3" borderId="3" xfId="0" applyNumberFormat="1" applyFont="1" applyFill="1" applyBorder="1" applyAlignment="1">
      <alignment horizontal="center"/>
    </xf>
    <xf numFmtId="1" fontId="8" fillId="3" borderId="3" xfId="0" applyNumberFormat="1" applyFont="1" applyFill="1" applyBorder="1" applyAlignment="1">
      <alignment horizontal="center" wrapText="1"/>
    </xf>
    <xf numFmtId="49" fontId="7" fillId="3" borderId="7" xfId="4" applyNumberFormat="1" applyFont="1" applyFill="1" applyBorder="1" applyAlignment="1">
      <alignment horizontal="center"/>
    </xf>
    <xf numFmtId="1" fontId="4" fillId="0" borderId="3" xfId="4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58" fillId="0" borderId="3" xfId="0" applyFont="1" applyBorder="1" applyAlignment="1">
      <alignment horizontal="center" vertical="center"/>
    </xf>
    <xf numFmtId="0" fontId="58" fillId="0" borderId="3" xfId="0" applyFont="1" applyBorder="1" applyAlignment="1">
      <alignment horizontal="left" vertical="center"/>
    </xf>
    <xf numFmtId="1" fontId="7" fillId="0" borderId="28" xfId="0" applyNumberFormat="1" applyFont="1" applyBorder="1" applyAlignment="1">
      <alignment horizontal="center"/>
    </xf>
    <xf numFmtId="1" fontId="7" fillId="0" borderId="28" xfId="0" applyNumberFormat="1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53" fillId="0" borderId="3" xfId="0" applyFont="1" applyBorder="1"/>
    <xf numFmtId="1" fontId="8" fillId="3" borderId="3" xfId="4" applyNumberFormat="1" applyFont="1" applyFill="1" applyBorder="1" applyAlignment="1">
      <alignment horizontal="center"/>
    </xf>
    <xf numFmtId="1" fontId="8" fillId="3" borderId="3" xfId="4" applyNumberFormat="1" applyFont="1" applyFill="1" applyBorder="1" applyAlignment="1">
      <alignment horizontal="center" wrapText="1"/>
    </xf>
    <xf numFmtId="16" fontId="8" fillId="0" borderId="3" xfId="0" applyNumberFormat="1" applyFont="1" applyBorder="1" applyAlignment="1">
      <alignment horizontal="center"/>
    </xf>
    <xf numFmtId="49" fontId="7" fillId="0" borderId="7" xfId="0" applyNumberFormat="1" applyFont="1" applyBorder="1" applyAlignment="1">
      <alignment horizontal="center"/>
    </xf>
    <xf numFmtId="49" fontId="7" fillId="0" borderId="18" xfId="0" applyNumberFormat="1" applyFont="1" applyBorder="1" applyAlignment="1">
      <alignment horizontal="center"/>
    </xf>
    <xf numFmtId="49" fontId="20" fillId="0" borderId="3" xfId="0" applyNumberFormat="1" applyFont="1" applyBorder="1"/>
    <xf numFmtId="0" fontId="59" fillId="0" borderId="7" xfId="0" applyFont="1" applyBorder="1" applyAlignment="1">
      <alignment horizontal="center"/>
    </xf>
    <xf numFmtId="0" fontId="59" fillId="0" borderId="18" xfId="0" applyFont="1" applyBorder="1" applyAlignment="1">
      <alignment horizontal="center"/>
    </xf>
    <xf numFmtId="0" fontId="45" fillId="0" borderId="3" xfId="0" applyFont="1" applyBorder="1"/>
    <xf numFmtId="0" fontId="8" fillId="0" borderId="3" xfId="0" quotePrefix="1" applyFont="1" applyBorder="1" applyAlignment="1">
      <alignment horizontal="center"/>
    </xf>
    <xf numFmtId="0" fontId="8" fillId="0" borderId="3" xfId="0" quotePrefix="1" applyFont="1" applyBorder="1"/>
    <xf numFmtId="171" fontId="8" fillId="0" borderId="3" xfId="0" applyNumberFormat="1" applyFont="1" applyBorder="1" applyAlignment="1">
      <alignment horizontal="center"/>
    </xf>
    <xf numFmtId="0" fontId="10" fillId="2" borderId="23" xfId="3" applyFont="1" applyFill="1" applyBorder="1" applyAlignment="1">
      <alignment horizontal="right"/>
    </xf>
    <xf numFmtId="0" fontId="8" fillId="2" borderId="24" xfId="3" applyFont="1" applyFill="1" applyBorder="1" applyAlignment="1">
      <alignment horizontal="center"/>
    </xf>
    <xf numFmtId="0" fontId="10" fillId="2" borderId="3" xfId="3" applyFont="1" applyFill="1" applyBorder="1" applyAlignment="1">
      <alignment horizontal="right"/>
    </xf>
    <xf numFmtId="49" fontId="8" fillId="2" borderId="6" xfId="3" applyNumberFormat="1" applyFont="1" applyFill="1" applyBorder="1" applyAlignment="1">
      <alignment horizontal="center"/>
    </xf>
    <xf numFmtId="0" fontId="8" fillId="2" borderId="28" xfId="3" applyFont="1" applyFill="1" applyBorder="1" applyAlignment="1">
      <alignment horizontal="right"/>
    </xf>
    <xf numFmtId="0" fontId="8" fillId="2" borderId="3" xfId="3" applyFont="1" applyFill="1" applyBorder="1" applyAlignment="1">
      <alignment horizontal="right"/>
    </xf>
    <xf numFmtId="0" fontId="52" fillId="0" borderId="18" xfId="0" applyFont="1" applyBorder="1" applyAlignment="1">
      <alignment horizontal="center" vertical="center"/>
    </xf>
    <xf numFmtId="0" fontId="0" fillId="0" borderId="18" xfId="9" applyFont="1" applyBorder="1" applyAlignment="1">
      <alignment horizontal="center"/>
    </xf>
    <xf numFmtId="16" fontId="4" fillId="0" borderId="3" xfId="4" applyNumberFormat="1" applyFont="1" applyBorder="1" applyAlignment="1">
      <alignment horizontal="center"/>
    </xf>
    <xf numFmtId="0" fontId="1" fillId="0" borderId="3" xfId="9" applyBorder="1" applyAlignment="1">
      <alignment horizontal="center"/>
    </xf>
    <xf numFmtId="0" fontId="0" fillId="0" borderId="3" xfId="9" applyFont="1" applyBorder="1" applyAlignment="1">
      <alignment horizontal="center"/>
    </xf>
    <xf numFmtId="0" fontId="2" fillId="0" borderId="7" xfId="5" applyBorder="1" applyAlignment="1">
      <alignment horizontal="center"/>
    </xf>
    <xf numFmtId="0" fontId="2" fillId="0" borderId="18" xfId="5" applyBorder="1" applyAlignment="1">
      <alignment horizontal="center"/>
    </xf>
    <xf numFmtId="0" fontId="2" fillId="0" borderId="3" xfId="5" applyBorder="1"/>
    <xf numFmtId="0" fontId="2" fillId="0" borderId="3" xfId="5" applyBorder="1" applyAlignment="1">
      <alignment horizontal="center" vertical="center"/>
    </xf>
    <xf numFmtId="172" fontId="3" fillId="0" borderId="28" xfId="0" applyNumberFormat="1" applyFont="1" applyBorder="1" applyAlignment="1">
      <alignment horizontal="center" wrapText="1"/>
    </xf>
    <xf numFmtId="0" fontId="3" fillId="0" borderId="28" xfId="4" applyBorder="1" applyAlignment="1">
      <alignment horizontal="center"/>
    </xf>
    <xf numFmtId="0" fontId="60" fillId="0" borderId="0" xfId="0" applyFont="1" applyAlignment="1">
      <alignment horizontal="center"/>
    </xf>
    <xf numFmtId="0" fontId="60" fillId="0" borderId="0" xfId="0" applyFont="1"/>
    <xf numFmtId="0" fontId="2" fillId="3" borderId="7" xfId="5" applyFill="1" applyBorder="1" applyAlignment="1">
      <alignment horizontal="center"/>
    </xf>
    <xf numFmtId="0" fontId="2" fillId="3" borderId="18" xfId="5" applyFill="1" applyBorder="1" applyAlignment="1">
      <alignment horizontal="center"/>
    </xf>
    <xf numFmtId="0" fontId="0" fillId="3" borderId="3" xfId="5" applyFont="1" applyFill="1" applyBorder="1"/>
    <xf numFmtId="0" fontId="2" fillId="3" borderId="3" xfId="5" applyFill="1" applyBorder="1"/>
    <xf numFmtId="1" fontId="3" fillId="0" borderId="28" xfId="0" applyNumberFormat="1" applyFont="1" applyBorder="1" applyAlignment="1">
      <alignment horizontal="center" wrapText="1"/>
    </xf>
    <xf numFmtId="49" fontId="7" fillId="0" borderId="7" xfId="10" applyNumberFormat="1" applyFont="1" applyBorder="1" applyAlignment="1">
      <alignment horizontal="center"/>
    </xf>
    <xf numFmtId="49" fontId="7" fillId="0" borderId="18" xfId="10" applyNumberFormat="1" applyFont="1" applyBorder="1" applyAlignment="1">
      <alignment horizontal="center"/>
    </xf>
    <xf numFmtId="49" fontId="5" fillId="0" borderId="3" xfId="10" applyNumberFormat="1" applyFont="1" applyBorder="1"/>
    <xf numFmtId="0" fontId="7" fillId="0" borderId="3" xfId="1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2" fontId="8" fillId="0" borderId="28" xfId="4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6" fontId="5" fillId="0" borderId="3" xfId="4" applyNumberFormat="1" applyFont="1" applyBorder="1" applyAlignment="1">
      <alignment horizontal="center"/>
    </xf>
    <xf numFmtId="16" fontId="7" fillId="0" borderId="18" xfId="0" applyNumberFormat="1" applyFont="1" applyBorder="1" applyAlignment="1">
      <alignment horizontal="center"/>
    </xf>
    <xf numFmtId="2" fontId="7" fillId="0" borderId="3" xfId="4" applyNumberFormat="1" applyFont="1" applyBorder="1" applyAlignment="1">
      <alignment horizontal="center"/>
    </xf>
    <xf numFmtId="0" fontId="0" fillId="0" borderId="18" xfId="5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2" borderId="24" xfId="3" applyFont="1" applyFill="1" applyBorder="1" applyAlignment="1">
      <alignment horizontal="center"/>
    </xf>
    <xf numFmtId="0" fontId="3" fillId="0" borderId="63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3" fillId="0" borderId="64" xfId="0" applyFont="1" applyBorder="1" applyAlignment="1">
      <alignment horizontal="left" vertical="center"/>
    </xf>
    <xf numFmtId="0" fontId="61" fillId="0" borderId="3" xfId="0" applyFont="1" applyBorder="1" applyAlignment="1">
      <alignment horizontal="center" vertical="top"/>
    </xf>
    <xf numFmtId="0" fontId="8" fillId="15" borderId="3" xfId="0" applyFont="1" applyFill="1" applyBorder="1" applyAlignment="1">
      <alignment horizontal="center"/>
    </xf>
    <xf numFmtId="0" fontId="8" fillId="15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left"/>
    </xf>
    <xf numFmtId="0" fontId="62" fillId="0" borderId="3" xfId="0" applyFont="1" applyBorder="1" applyAlignment="1">
      <alignment horizontal="center" vertical="top"/>
    </xf>
    <xf numFmtId="0" fontId="62" fillId="0" borderId="3" xfId="0" applyFont="1" applyBorder="1" applyAlignment="1">
      <alignment vertical="top"/>
    </xf>
    <xf numFmtId="0" fontId="8" fillId="15" borderId="28" xfId="0" applyFont="1" applyFill="1" applyBorder="1" applyAlignment="1">
      <alignment horizontal="center"/>
    </xf>
    <xf numFmtId="0" fontId="8" fillId="15" borderId="28" xfId="0" applyFont="1" applyFill="1" applyBorder="1" applyAlignment="1">
      <alignment horizontal="center" wrapText="1"/>
    </xf>
    <xf numFmtId="0" fontId="63" fillId="0" borderId="3" xfId="0" applyFont="1" applyBorder="1" applyAlignment="1">
      <alignment horizontal="center" vertical="top" wrapText="1"/>
    </xf>
    <xf numFmtId="0" fontId="64" fillId="0" borderId="3" xfId="0" applyFont="1" applyBorder="1" applyAlignment="1">
      <alignment horizontal="left" vertical="top" wrapText="1"/>
    </xf>
    <xf numFmtId="0" fontId="3" fillId="3" borderId="7" xfId="4" applyFill="1" applyBorder="1" applyAlignment="1">
      <alignment horizontal="right"/>
    </xf>
    <xf numFmtId="0" fontId="3" fillId="3" borderId="18" xfId="4" applyFill="1" applyBorder="1" applyAlignment="1">
      <alignment horizontal="center"/>
    </xf>
    <xf numFmtId="0" fontId="3" fillId="3" borderId="3" xfId="4" applyFill="1" applyBorder="1"/>
    <xf numFmtId="0" fontId="3" fillId="3" borderId="28" xfId="4" applyFill="1" applyBorder="1" applyAlignment="1">
      <alignment horizontal="center"/>
    </xf>
    <xf numFmtId="0" fontId="3" fillId="3" borderId="3" xfId="4" applyFill="1" applyBorder="1" applyAlignment="1">
      <alignment horizont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6" xfId="0" applyBorder="1" applyAlignment="1">
      <alignment horizontal="left" vertical="center"/>
    </xf>
    <xf numFmtId="0" fontId="6" fillId="0" borderId="3" xfId="0" applyFont="1" applyBorder="1"/>
    <xf numFmtId="0" fontId="18" fillId="3" borderId="7" xfId="4" applyFont="1" applyFill="1" applyBorder="1" applyAlignment="1">
      <alignment horizontal="center"/>
    </xf>
    <xf numFmtId="0" fontId="18" fillId="3" borderId="18" xfId="4" applyFont="1" applyFill="1" applyBorder="1" applyAlignment="1">
      <alignment horizontal="center"/>
    </xf>
    <xf numFmtId="0" fontId="8" fillId="3" borderId="3" xfId="4" applyFont="1" applyFill="1" applyBorder="1" applyAlignment="1">
      <alignment horizontal="left"/>
    </xf>
    <xf numFmtId="0" fontId="8" fillId="0" borderId="3" xfId="4" applyFont="1" applyBorder="1" applyAlignment="1">
      <alignment horizontal="center" vertical="center"/>
    </xf>
    <xf numFmtId="1" fontId="8" fillId="0" borderId="3" xfId="4" applyNumberFormat="1" applyFont="1" applyBorder="1" applyAlignment="1">
      <alignment horizontal="center" vertical="center"/>
    </xf>
    <xf numFmtId="1" fontId="8" fillId="0" borderId="3" xfId="4" applyNumberFormat="1" applyFont="1" applyBorder="1" applyAlignment="1">
      <alignment horizontal="center" vertical="center" wrapText="1"/>
    </xf>
    <xf numFmtId="1" fontId="65" fillId="0" borderId="3" xfId="4" applyNumberFormat="1" applyFont="1" applyBorder="1" applyAlignment="1">
      <alignment horizontal="center"/>
    </xf>
    <xf numFmtId="1" fontId="65" fillId="0" borderId="3" xfId="4" applyNumberFormat="1" applyFont="1" applyBorder="1" applyAlignment="1">
      <alignment horizontal="center" wrapText="1"/>
    </xf>
    <xf numFmtId="0" fontId="66" fillId="0" borderId="6" xfId="4" applyFont="1" applyBorder="1" applyAlignment="1">
      <alignment horizontal="center"/>
    </xf>
    <xf numFmtId="0" fontId="66" fillId="0" borderId="0" xfId="0" applyFont="1" applyAlignment="1">
      <alignment horizontal="center"/>
    </xf>
    <xf numFmtId="1" fontId="66" fillId="2" borderId="28" xfId="0" applyNumberFormat="1" applyFont="1" applyFill="1" applyBorder="1" applyAlignment="1">
      <alignment horizontal="center"/>
    </xf>
    <xf numFmtId="1" fontId="66" fillId="2" borderId="28" xfId="0" applyNumberFormat="1" applyFont="1" applyFill="1" applyBorder="1" applyAlignment="1">
      <alignment horizontal="center" wrapText="1"/>
    </xf>
    <xf numFmtId="0" fontId="66" fillId="0" borderId="28" xfId="0" applyFont="1" applyBorder="1" applyAlignment="1">
      <alignment horizontal="center" wrapText="1"/>
    </xf>
    <xf numFmtId="12" fontId="66" fillId="0" borderId="28" xfId="0" applyNumberFormat="1" applyFont="1" applyBorder="1" applyAlignment="1">
      <alignment horizontal="center"/>
    </xf>
    <xf numFmtId="1" fontId="66" fillId="2" borderId="3" xfId="0" applyNumberFormat="1" applyFont="1" applyFill="1" applyBorder="1" applyAlignment="1">
      <alignment horizontal="center"/>
    </xf>
    <xf numFmtId="1" fontId="66" fillId="2" borderId="3" xfId="0" applyNumberFormat="1" applyFont="1" applyFill="1" applyBorder="1" applyAlignment="1">
      <alignment horizontal="center" wrapText="1"/>
    </xf>
    <xf numFmtId="0" fontId="66" fillId="0" borderId="3" xfId="0" applyFont="1" applyBorder="1" applyAlignment="1">
      <alignment horizontal="center"/>
    </xf>
    <xf numFmtId="1" fontId="66" fillId="0" borderId="3" xfId="4" applyNumberFormat="1" applyFont="1" applyBorder="1" applyAlignment="1">
      <alignment horizontal="center"/>
    </xf>
    <xf numFmtId="0" fontId="66" fillId="0" borderId="3" xfId="4" applyFont="1" applyBorder="1" applyAlignment="1">
      <alignment horizontal="center"/>
    </xf>
    <xf numFmtId="1" fontId="66" fillId="0" borderId="3" xfId="4" applyNumberFormat="1" applyFont="1" applyBorder="1" applyAlignment="1">
      <alignment horizontal="center" wrapText="1"/>
    </xf>
    <xf numFmtId="0" fontId="66" fillId="0" borderId="3" xfId="0" applyFont="1" applyBorder="1" applyAlignment="1">
      <alignment horizontal="center" vertical="center"/>
    </xf>
    <xf numFmtId="0" fontId="66" fillId="0" borderId="3" xfId="0" applyFont="1" applyBorder="1" applyAlignment="1">
      <alignment horizontal="left" vertical="center"/>
    </xf>
    <xf numFmtId="1" fontId="66" fillId="0" borderId="3" xfId="0" applyNumberFormat="1" applyFont="1" applyBorder="1" applyAlignment="1">
      <alignment horizontal="center"/>
    </xf>
    <xf numFmtId="49" fontId="66" fillId="0" borderId="7" xfId="4" applyNumberFormat="1" applyFont="1" applyBorder="1" applyAlignment="1">
      <alignment horizontal="center"/>
    </xf>
    <xf numFmtId="49" fontId="66" fillId="0" borderId="18" xfId="4" applyNumberFormat="1" applyFont="1" applyBorder="1" applyAlignment="1">
      <alignment horizontal="center"/>
    </xf>
    <xf numFmtId="49" fontId="66" fillId="0" borderId="3" xfId="4" applyNumberFormat="1" applyFont="1" applyBorder="1"/>
    <xf numFmtId="49" fontId="67" fillId="2" borderId="5" xfId="4" applyNumberFormat="1" applyFont="1" applyFill="1" applyBorder="1" applyAlignment="1">
      <alignment horizontal="center" vertical="center"/>
    </xf>
    <xf numFmtId="49" fontId="67" fillId="2" borderId="0" xfId="4" applyNumberFormat="1" applyFont="1" applyFill="1" applyAlignment="1">
      <alignment horizontal="center" vertical="center"/>
    </xf>
    <xf numFmtId="0" fontId="66" fillId="2" borderId="0" xfId="4" applyFont="1" applyFill="1"/>
    <xf numFmtId="1" fontId="66" fillId="2" borderId="0" xfId="4" applyNumberFormat="1" applyFont="1" applyFill="1" applyAlignment="1">
      <alignment horizontal="center"/>
    </xf>
    <xf numFmtId="164" fontId="66" fillId="2" borderId="0" xfId="4" applyNumberFormat="1" applyFont="1" applyFill="1" applyAlignment="1">
      <alignment horizontal="center" wrapText="1"/>
    </xf>
    <xf numFmtId="0" fontId="66" fillId="2" borderId="4" xfId="4" applyFont="1" applyFill="1" applyBorder="1" applyAlignment="1">
      <alignment horizontal="center"/>
    </xf>
    <xf numFmtId="0" fontId="66" fillId="5" borderId="29" xfId="4" applyFont="1" applyFill="1" applyBorder="1" applyAlignment="1">
      <alignment horizontal="center"/>
    </xf>
    <xf numFmtId="0" fontId="66" fillId="5" borderId="30" xfId="4" applyFont="1" applyFill="1" applyBorder="1" applyAlignment="1">
      <alignment horizontal="center"/>
    </xf>
    <xf numFmtId="0" fontId="66" fillId="5" borderId="30" xfId="4" applyFont="1" applyFill="1" applyBorder="1"/>
    <xf numFmtId="0" fontId="65" fillId="5" borderId="30" xfId="4" applyFont="1" applyFill="1" applyBorder="1" applyAlignment="1">
      <alignment horizontal="center"/>
    </xf>
    <xf numFmtId="1" fontId="65" fillId="5" borderId="30" xfId="4" applyNumberFormat="1" applyFont="1" applyFill="1" applyBorder="1" applyAlignment="1">
      <alignment horizontal="center"/>
    </xf>
    <xf numFmtId="164" fontId="66" fillId="5" borderId="30" xfId="4" applyNumberFormat="1" applyFont="1" applyFill="1" applyBorder="1" applyAlignment="1">
      <alignment horizontal="center" wrapText="1"/>
    </xf>
    <xf numFmtId="0" fontId="66" fillId="5" borderId="31" xfId="4" applyFont="1" applyFill="1" applyBorder="1" applyAlignment="1">
      <alignment horizontal="center"/>
    </xf>
    <xf numFmtId="1" fontId="66" fillId="0" borderId="28" xfId="0" applyNumberFormat="1" applyFont="1" applyBorder="1" applyAlignment="1">
      <alignment horizontal="center"/>
    </xf>
    <xf numFmtId="0" fontId="66" fillId="0" borderId="33" xfId="0" applyFont="1" applyBorder="1" applyAlignment="1">
      <alignment horizontal="center"/>
    </xf>
    <xf numFmtId="1" fontId="66" fillId="0" borderId="11" xfId="0" applyNumberFormat="1" applyFont="1" applyBorder="1" applyAlignment="1">
      <alignment horizontal="center"/>
    </xf>
    <xf numFmtId="0" fontId="66" fillId="0" borderId="11" xfId="0" applyFont="1" applyBorder="1" applyAlignment="1">
      <alignment horizontal="center"/>
    </xf>
    <xf numFmtId="0" fontId="66" fillId="0" borderId="22" xfId="0" applyFont="1" applyBorder="1" applyAlignment="1">
      <alignment horizontal="center" vertical="top"/>
    </xf>
    <xf numFmtId="0" fontId="66" fillId="0" borderId="22" xfId="0" applyFont="1" applyBorder="1" applyAlignment="1">
      <alignment horizontal="center"/>
    </xf>
    <xf numFmtId="0" fontId="66" fillId="0" borderId="22" xfId="0" applyFont="1" applyBorder="1" applyAlignment="1">
      <alignment horizontal="center" vertical="center"/>
    </xf>
    <xf numFmtId="0" fontId="66" fillId="0" borderId="3" xfId="0" applyFont="1" applyBorder="1"/>
    <xf numFmtId="14" fontId="68" fillId="2" borderId="0" xfId="3" applyNumberFormat="1" applyFont="1" applyFill="1" applyAlignment="1">
      <alignment horizontal="center" vertical="center" wrapText="1"/>
    </xf>
    <xf numFmtId="49" fontId="66" fillId="0" borderId="13" xfId="4" applyNumberFormat="1" applyFont="1" applyBorder="1" applyAlignment="1">
      <alignment horizontal="center"/>
    </xf>
    <xf numFmtId="1" fontId="66" fillId="13" borderId="3" xfId="0" applyNumberFormat="1" applyFont="1" applyFill="1" applyBorder="1" applyAlignment="1">
      <alignment horizontal="center"/>
    </xf>
    <xf numFmtId="1" fontId="66" fillId="14" borderId="3" xfId="0" applyNumberFormat="1" applyFont="1" applyFill="1" applyBorder="1" applyAlignment="1">
      <alignment horizontal="center"/>
    </xf>
    <xf numFmtId="0" fontId="65" fillId="3" borderId="3" xfId="0" applyFont="1" applyFill="1" applyBorder="1"/>
    <xf numFmtId="0" fontId="66" fillId="14" borderId="3" xfId="4" applyFont="1" applyFill="1" applyBorder="1" applyAlignment="1">
      <alignment horizontal="center"/>
    </xf>
    <xf numFmtId="0" fontId="66" fillId="13" borderId="3" xfId="0" applyFont="1" applyFill="1" applyBorder="1" applyAlignment="1">
      <alignment horizontal="center"/>
    </xf>
    <xf numFmtId="0" fontId="66" fillId="13" borderId="3" xfId="0" applyFont="1" applyFill="1" applyBorder="1"/>
    <xf numFmtId="0" fontId="66" fillId="13" borderId="3" xfId="4" applyFont="1" applyFill="1" applyBorder="1" applyAlignment="1">
      <alignment horizontal="center"/>
    </xf>
    <xf numFmtId="0" fontId="66" fillId="3" borderId="3" xfId="4" applyFont="1" applyFill="1" applyBorder="1" applyAlignment="1">
      <alignment horizontal="center"/>
    </xf>
    <xf numFmtId="0" fontId="65" fillId="7" borderId="3" xfId="4" applyFont="1" applyFill="1" applyBorder="1" applyAlignment="1">
      <alignment horizontal="left"/>
    </xf>
    <xf numFmtId="0" fontId="66" fillId="3" borderId="18" xfId="0" applyFont="1" applyFill="1" applyBorder="1" applyAlignment="1">
      <alignment horizontal="center"/>
    </xf>
    <xf numFmtId="1" fontId="66" fillId="3" borderId="28" xfId="0" applyNumberFormat="1" applyFont="1" applyFill="1" applyBorder="1" applyAlignment="1">
      <alignment horizontal="center"/>
    </xf>
    <xf numFmtId="1" fontId="66" fillId="3" borderId="28" xfId="0" applyNumberFormat="1" applyFont="1" applyFill="1" applyBorder="1" applyAlignment="1">
      <alignment horizontal="center" wrapText="1"/>
    </xf>
    <xf numFmtId="49" fontId="66" fillId="3" borderId="28" xfId="0" applyNumberFormat="1" applyFont="1" applyFill="1" applyBorder="1" applyAlignment="1">
      <alignment horizontal="center"/>
    </xf>
    <xf numFmtId="0" fontId="65" fillId="7" borderId="3" xfId="0" applyFont="1" applyFill="1" applyBorder="1"/>
    <xf numFmtId="0" fontId="66" fillId="0" borderId="3" xfId="0" applyFont="1" applyBorder="1" applyAlignment="1">
      <alignment horizontal="center" wrapText="1"/>
    </xf>
    <xf numFmtId="1" fontId="66" fillId="0" borderId="3" xfId="0" applyNumberFormat="1" applyFont="1" applyBorder="1" applyAlignment="1">
      <alignment horizontal="center" wrapText="1"/>
    </xf>
    <xf numFmtId="12" fontId="66" fillId="0" borderId="3" xfId="4" applyNumberFormat="1" applyFont="1" applyBorder="1" applyAlignment="1">
      <alignment horizontal="center"/>
    </xf>
    <xf numFmtId="1" fontId="66" fillId="0" borderId="22" xfId="0" applyNumberFormat="1" applyFont="1" applyBorder="1"/>
    <xf numFmtId="0" fontId="71" fillId="3" borderId="13" xfId="0" applyFont="1" applyFill="1" applyBorder="1" applyAlignment="1">
      <alignment horizontal="center"/>
    </xf>
    <xf numFmtId="0" fontId="71" fillId="3" borderId="14" xfId="0" applyFont="1" applyFill="1" applyBorder="1" applyAlignment="1">
      <alignment horizontal="center"/>
    </xf>
    <xf numFmtId="0" fontId="65" fillId="0" borderId="18" xfId="4" applyFont="1" applyBorder="1" applyAlignment="1">
      <alignment horizontal="center" vertical="center"/>
    </xf>
    <xf numFmtId="16" fontId="66" fillId="2" borderId="2" xfId="0" applyNumberFormat="1" applyFont="1" applyFill="1" applyBorder="1" applyAlignment="1">
      <alignment horizontal="center"/>
    </xf>
    <xf numFmtId="16" fontId="66" fillId="13" borderId="18" xfId="0" applyNumberFormat="1" applyFont="1" applyFill="1" applyBorder="1" applyAlignment="1">
      <alignment horizontal="center"/>
    </xf>
    <xf numFmtId="16" fontId="66" fillId="14" borderId="18" xfId="0" applyNumberFormat="1" applyFont="1" applyFill="1" applyBorder="1" applyAlignment="1">
      <alignment horizontal="center"/>
    </xf>
    <xf numFmtId="16" fontId="66" fillId="2" borderId="18" xfId="0" applyNumberFormat="1" applyFont="1" applyFill="1" applyBorder="1" applyAlignment="1">
      <alignment horizontal="center"/>
    </xf>
    <xf numFmtId="1" fontId="66" fillId="0" borderId="18" xfId="4" applyNumberFormat="1" applyFont="1" applyBorder="1" applyAlignment="1">
      <alignment horizontal="center"/>
    </xf>
    <xf numFmtId="1" fontId="66" fillId="14" borderId="18" xfId="4" applyNumberFormat="1" applyFont="1" applyFill="1" applyBorder="1" applyAlignment="1">
      <alignment horizontal="center"/>
    </xf>
    <xf numFmtId="0" fontId="66" fillId="13" borderId="18" xfId="4" applyFont="1" applyFill="1" applyBorder="1" applyAlignment="1">
      <alignment horizontal="center"/>
    </xf>
    <xf numFmtId="0" fontId="66" fillId="0" borderId="18" xfId="4" applyFont="1" applyBorder="1" applyAlignment="1">
      <alignment horizontal="center"/>
    </xf>
    <xf numFmtId="0" fontId="66" fillId="0" borderId="18" xfId="0" applyFont="1" applyBorder="1" applyAlignment="1">
      <alignment horizontal="center"/>
    </xf>
    <xf numFmtId="0" fontId="66" fillId="7" borderId="3" xfId="0" applyFont="1" applyFill="1" applyBorder="1" applyAlignment="1">
      <alignment horizontal="center"/>
    </xf>
    <xf numFmtId="0" fontId="66" fillId="7" borderId="3" xfId="0" applyFont="1" applyFill="1" applyBorder="1" applyAlignment="1">
      <alignment horizontal="left"/>
    </xf>
    <xf numFmtId="0" fontId="66" fillId="13" borderId="3" xfId="0" applyFont="1" applyFill="1" applyBorder="1" applyAlignment="1">
      <alignment horizontal="center" vertical="top"/>
    </xf>
    <xf numFmtId="0" fontId="70" fillId="13" borderId="3" xfId="0" applyFont="1" applyFill="1" applyBorder="1" applyAlignment="1">
      <alignment vertical="top"/>
    </xf>
    <xf numFmtId="0" fontId="66" fillId="14" borderId="3" xfId="0" applyFont="1" applyFill="1" applyBorder="1" applyAlignment="1">
      <alignment horizontal="center"/>
    </xf>
    <xf numFmtId="0" fontId="66" fillId="14" borderId="3" xfId="0" applyFont="1" applyFill="1" applyBorder="1"/>
    <xf numFmtId="49" fontId="66" fillId="7" borderId="3" xfId="4" applyNumberFormat="1" applyFont="1" applyFill="1" applyBorder="1" applyAlignment="1">
      <alignment horizontal="center"/>
    </xf>
    <xf numFmtId="0" fontId="71" fillId="3" borderId="3" xfId="0" applyFont="1" applyFill="1" applyBorder="1" applyAlignment="1">
      <alignment horizontal="center"/>
    </xf>
    <xf numFmtId="0" fontId="71" fillId="3" borderId="3" xfId="0" applyFont="1" applyFill="1" applyBorder="1"/>
    <xf numFmtId="0" fontId="70" fillId="3" borderId="3" xfId="0" applyFont="1" applyFill="1" applyBorder="1"/>
    <xf numFmtId="49" fontId="8" fillId="3" borderId="6" xfId="1" applyNumberFormat="1" applyFont="1" applyFill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right" vertical="center" wrapText="1"/>
    </xf>
    <xf numFmtId="0" fontId="38" fillId="0" borderId="3" xfId="0" applyFont="1" applyBorder="1" applyAlignment="1">
      <alignment horizontal="right" vertical="center"/>
    </xf>
    <xf numFmtId="0" fontId="39" fillId="0" borderId="5" xfId="0" applyFont="1" applyBorder="1" applyAlignment="1">
      <alignment horizontal="right"/>
    </xf>
    <xf numFmtId="0" fontId="39" fillId="0" borderId="0" xfId="0" applyFont="1" applyAlignment="1">
      <alignment horizontal="right"/>
    </xf>
    <xf numFmtId="0" fontId="39" fillId="0" borderId="4" xfId="0" applyFont="1" applyBorder="1" applyAlignment="1">
      <alignment horizontal="right"/>
    </xf>
    <xf numFmtId="0" fontId="20" fillId="0" borderId="0" xfId="0" applyFont="1" applyAlignment="1">
      <alignment horizontal="right" vertical="center"/>
    </xf>
    <xf numFmtId="0" fontId="30" fillId="0" borderId="36" xfId="0" applyFont="1" applyBorder="1" applyAlignment="1">
      <alignment horizontal="right"/>
    </xf>
    <xf numFmtId="0" fontId="30" fillId="0" borderId="37" xfId="0" applyFont="1" applyBorder="1" applyAlignment="1">
      <alignment horizontal="right"/>
    </xf>
    <xf numFmtId="0" fontId="5" fillId="0" borderId="3" xfId="0" applyFont="1" applyBorder="1" applyAlignment="1">
      <alignment horizontal="right" vertical="center"/>
    </xf>
    <xf numFmtId="0" fontId="30" fillId="0" borderId="0" xfId="0" applyFont="1" applyAlignment="1">
      <alignment horizontal="right"/>
    </xf>
    <xf numFmtId="0" fontId="29" fillId="0" borderId="0" xfId="0" applyFont="1" applyAlignment="1">
      <alignment horizontal="center" vertical="center"/>
    </xf>
    <xf numFmtId="0" fontId="46" fillId="0" borderId="29" xfId="0" applyFont="1" applyBorder="1" applyAlignment="1">
      <alignment horizontal="right" vertical="center"/>
    </xf>
    <xf numFmtId="0" fontId="46" fillId="0" borderId="30" xfId="0" applyFont="1" applyBorder="1" applyAlignment="1">
      <alignment horizontal="right" vertical="center"/>
    </xf>
    <xf numFmtId="0" fontId="46" fillId="0" borderId="31" xfId="0" applyFont="1" applyBorder="1" applyAlignment="1">
      <alignment horizontal="right" vertical="center"/>
    </xf>
    <xf numFmtId="0" fontId="47" fillId="0" borderId="0" xfId="0" applyFont="1" applyAlignment="1">
      <alignment horizontal="right"/>
    </xf>
    <xf numFmtId="0" fontId="37" fillId="0" borderId="39" xfId="0" applyFont="1" applyBorder="1" applyAlignment="1">
      <alignment horizontal="right"/>
    </xf>
    <xf numFmtId="0" fontId="29" fillId="0" borderId="0" xfId="0" applyFont="1" applyAlignment="1">
      <alignment horizontal="right" vertical="center"/>
    </xf>
    <xf numFmtId="0" fontId="35" fillId="9" borderId="29" xfId="0" applyFont="1" applyFill="1" applyBorder="1" applyAlignment="1">
      <alignment horizontal="right"/>
    </xf>
    <xf numFmtId="0" fontId="35" fillId="9" borderId="30" xfId="0" applyFont="1" applyFill="1" applyBorder="1" applyAlignment="1">
      <alignment horizontal="right"/>
    </xf>
    <xf numFmtId="0" fontId="5" fillId="0" borderId="0" xfId="0" applyFont="1" applyAlignment="1">
      <alignment horizontal="right" vertical="center"/>
    </xf>
    <xf numFmtId="0" fontId="20" fillId="0" borderId="39" xfId="0" applyFont="1" applyBorder="1" applyAlignment="1">
      <alignment horizontal="right" vertical="center"/>
    </xf>
    <xf numFmtId="0" fontId="20" fillId="0" borderId="50" xfId="0" applyFont="1" applyBorder="1" applyAlignment="1">
      <alignment horizontal="right" vertical="center"/>
    </xf>
    <xf numFmtId="0" fontId="20" fillId="11" borderId="29" xfId="0" applyFont="1" applyFill="1" applyBorder="1" applyAlignment="1">
      <alignment horizontal="right" vertical="center"/>
    </xf>
    <xf numFmtId="0" fontId="20" fillId="11" borderId="30" xfId="0" applyFont="1" applyFill="1" applyBorder="1" applyAlignment="1">
      <alignment horizontal="right" vertical="center"/>
    </xf>
    <xf numFmtId="0" fontId="20" fillId="11" borderId="31" xfId="0" applyFont="1" applyFill="1" applyBorder="1" applyAlignment="1">
      <alignment horizontal="right" vertical="center"/>
    </xf>
    <xf numFmtId="4" fontId="44" fillId="0" borderId="0" xfId="7" applyNumberFormat="1" applyFont="1" applyFill="1" applyAlignment="1">
      <alignment horizontal="center" vertical="center" wrapText="1"/>
    </xf>
    <xf numFmtId="0" fontId="50" fillId="0" borderId="56" xfId="4" applyFont="1" applyBorder="1" applyAlignment="1">
      <alignment horizontal="left"/>
    </xf>
    <xf numFmtId="0" fontId="50" fillId="0" borderId="39" xfId="4" applyFont="1" applyBorder="1" applyAlignment="1">
      <alignment horizontal="left"/>
    </xf>
    <xf numFmtId="0" fontId="50" fillId="0" borderId="50" xfId="4" applyFont="1" applyBorder="1" applyAlignment="1">
      <alignment horizontal="left"/>
    </xf>
    <xf numFmtId="0" fontId="8" fillId="0" borderId="61" xfId="4" applyFont="1" applyBorder="1" applyAlignment="1">
      <alignment horizontal="left"/>
    </xf>
    <xf numFmtId="0" fontId="8" fillId="0" borderId="38" xfId="4" applyFont="1" applyBorder="1" applyAlignment="1">
      <alignment horizontal="left"/>
    </xf>
    <xf numFmtId="0" fontId="8" fillId="0" borderId="58" xfId="4" applyFont="1" applyBorder="1" applyAlignment="1">
      <alignment horizontal="left"/>
    </xf>
    <xf numFmtId="0" fontId="10" fillId="6" borderId="41" xfId="3" applyFont="1" applyFill="1" applyBorder="1" applyAlignment="1">
      <alignment horizontal="center"/>
    </xf>
    <xf numFmtId="0" fontId="10" fillId="6" borderId="37" xfId="3" applyFont="1" applyFill="1" applyBorder="1" applyAlignment="1">
      <alignment horizontal="center"/>
    </xf>
    <xf numFmtId="0" fontId="8" fillId="2" borderId="42" xfId="3" applyFont="1" applyFill="1" applyBorder="1" applyAlignment="1">
      <alignment horizontal="left"/>
    </xf>
    <xf numFmtId="0" fontId="8" fillId="2" borderId="0" xfId="3" applyFont="1" applyFill="1" applyAlignment="1">
      <alignment horizontal="left"/>
    </xf>
    <xf numFmtId="0" fontId="50" fillId="0" borderId="32" xfId="4" applyFont="1" applyBorder="1" applyAlignment="1">
      <alignment horizontal="left"/>
    </xf>
    <xf numFmtId="0" fontId="50" fillId="0" borderId="35" xfId="4" applyFont="1" applyBorder="1" applyAlignment="1">
      <alignment horizontal="left"/>
    </xf>
    <xf numFmtId="0" fontId="50" fillId="0" borderId="9" xfId="4" applyFont="1" applyBorder="1" applyAlignment="1">
      <alignment horizontal="left"/>
    </xf>
    <xf numFmtId="0" fontId="10" fillId="0" borderId="10" xfId="4" applyFont="1" applyBorder="1" applyAlignment="1">
      <alignment horizontal="right"/>
    </xf>
    <xf numFmtId="0" fontId="10" fillId="0" borderId="34" xfId="4" applyFont="1" applyBorder="1" applyAlignment="1">
      <alignment horizontal="right"/>
    </xf>
    <xf numFmtId="0" fontId="10" fillId="0" borderId="11" xfId="4" applyFont="1" applyBorder="1" applyAlignment="1">
      <alignment horizontal="right"/>
    </xf>
    <xf numFmtId="0" fontId="8" fillId="0" borderId="11" xfId="4" applyFont="1" applyBorder="1" applyAlignment="1">
      <alignment horizontal="right"/>
    </xf>
    <xf numFmtId="164" fontId="8" fillId="0" borderId="16" xfId="4" applyNumberFormat="1" applyFont="1" applyBorder="1" applyAlignment="1">
      <alignment horizontal="center"/>
    </xf>
    <xf numFmtId="164" fontId="8" fillId="0" borderId="58" xfId="4" applyNumberFormat="1" applyFont="1" applyBorder="1" applyAlignment="1">
      <alignment horizontal="center"/>
    </xf>
    <xf numFmtId="0" fontId="10" fillId="5" borderId="29" xfId="4" applyFont="1" applyFill="1" applyBorder="1" applyAlignment="1">
      <alignment horizontal="left"/>
    </xf>
    <xf numFmtId="0" fontId="10" fillId="5" borderId="30" xfId="4" applyFont="1" applyFill="1" applyBorder="1" applyAlignment="1">
      <alignment horizontal="left"/>
    </xf>
    <xf numFmtId="0" fontId="10" fillId="5" borderId="31" xfId="4" applyFont="1" applyFill="1" applyBorder="1" applyAlignment="1">
      <alignment horizontal="left"/>
    </xf>
    <xf numFmtId="0" fontId="57" fillId="0" borderId="32" xfId="4" applyFont="1" applyBorder="1" applyAlignment="1">
      <alignment horizontal="left" wrapText="1"/>
    </xf>
    <xf numFmtId="0" fontId="57" fillId="0" borderId="35" xfId="4" applyFont="1" applyBorder="1" applyAlignment="1">
      <alignment horizontal="left" wrapText="1"/>
    </xf>
    <xf numFmtId="0" fontId="57" fillId="0" borderId="9" xfId="4" applyFont="1" applyBorder="1" applyAlignment="1">
      <alignment horizontal="left" wrapText="1"/>
    </xf>
    <xf numFmtId="0" fontId="10" fillId="0" borderId="13" xfId="4" applyFont="1" applyBorder="1" applyAlignment="1">
      <alignment horizontal="right"/>
    </xf>
    <xf numFmtId="0" fontId="10" fillId="0" borderId="14" xfId="4" applyFont="1" applyBorder="1" applyAlignment="1">
      <alignment horizontal="right"/>
    </xf>
    <xf numFmtId="0" fontId="10" fillId="0" borderId="18" xfId="4" applyFont="1" applyBorder="1" applyAlignment="1">
      <alignment horizontal="right"/>
    </xf>
    <xf numFmtId="0" fontId="8" fillId="0" borderId="3" xfId="4" applyFont="1" applyBorder="1" applyAlignment="1">
      <alignment horizontal="right"/>
    </xf>
    <xf numFmtId="164" fontId="8" fillId="0" borderId="22" xfId="4" applyNumberFormat="1" applyFont="1" applyBorder="1" applyAlignment="1">
      <alignment horizontal="center"/>
    </xf>
    <xf numFmtId="164" fontId="8" fillId="0" borderId="15" xfId="4" applyNumberFormat="1" applyFont="1" applyBorder="1" applyAlignment="1">
      <alignment horizontal="center"/>
    </xf>
    <xf numFmtId="164" fontId="8" fillId="0" borderId="22" xfId="4" applyNumberFormat="1" applyFont="1" applyBorder="1" applyAlignment="1">
      <alignment horizontal="right" wrapText="1"/>
    </xf>
    <xf numFmtId="164" fontId="8" fillId="0" borderId="18" xfId="4" applyNumberFormat="1" applyFont="1" applyBorder="1" applyAlignment="1">
      <alignment horizontal="right" wrapText="1"/>
    </xf>
    <xf numFmtId="0" fontId="10" fillId="0" borderId="32" xfId="4" applyFont="1" applyBorder="1" applyAlignment="1">
      <alignment horizontal="right"/>
    </xf>
    <xf numFmtId="0" fontId="10" fillId="0" borderId="35" xfId="4" applyFont="1" applyBorder="1" applyAlignment="1">
      <alignment horizontal="right"/>
    </xf>
    <xf numFmtId="0" fontId="10" fillId="0" borderId="2" xfId="4" applyFont="1" applyBorder="1" applyAlignment="1">
      <alignment horizontal="right"/>
    </xf>
    <xf numFmtId="164" fontId="8" fillId="0" borderId="28" xfId="4" applyNumberFormat="1" applyFont="1" applyBorder="1" applyAlignment="1">
      <alignment horizontal="right"/>
    </xf>
    <xf numFmtId="0" fontId="8" fillId="2" borderId="33" xfId="4" applyFont="1" applyFill="1" applyBorder="1" applyAlignment="1">
      <alignment horizontal="center"/>
    </xf>
    <xf numFmtId="0" fontId="8" fillId="2" borderId="9" xfId="4" applyFont="1" applyFill="1" applyBorder="1" applyAlignment="1">
      <alignment horizontal="center"/>
    </xf>
    <xf numFmtId="0" fontId="14" fillId="2" borderId="0" xfId="3" applyFont="1" applyFill="1" applyAlignment="1">
      <alignment horizontal="right"/>
    </xf>
    <xf numFmtId="0" fontId="15" fillId="2" borderId="39" xfId="3" applyFont="1" applyFill="1" applyBorder="1" applyAlignment="1">
      <alignment horizontal="center"/>
    </xf>
    <xf numFmtId="0" fontId="14" fillId="2" borderId="0" xfId="3" applyFont="1" applyFill="1"/>
    <xf numFmtId="0" fontId="10" fillId="5" borderId="40" xfId="4" applyFont="1" applyFill="1" applyBorder="1" applyAlignment="1">
      <alignment horizontal="center" vertical="center"/>
    </xf>
    <xf numFmtId="0" fontId="10" fillId="5" borderId="10" xfId="4" applyFont="1" applyFill="1" applyBorder="1" applyAlignment="1">
      <alignment horizontal="center" vertical="center"/>
    </xf>
    <xf numFmtId="0" fontId="10" fillId="5" borderId="40" xfId="4" applyFont="1" applyFill="1" applyBorder="1" applyAlignment="1">
      <alignment horizontal="center" vertical="center" wrapText="1"/>
    </xf>
    <xf numFmtId="0" fontId="10" fillId="5" borderId="10" xfId="4" applyFont="1" applyFill="1" applyBorder="1" applyAlignment="1">
      <alignment horizontal="center" vertical="center" wrapText="1"/>
    </xf>
    <xf numFmtId="0" fontId="10" fillId="5" borderId="23" xfId="4" applyFont="1" applyFill="1" applyBorder="1" applyAlignment="1">
      <alignment horizontal="center" vertical="center"/>
    </xf>
    <xf numFmtId="0" fontId="10" fillId="5" borderId="11" xfId="4" applyFont="1" applyFill="1" applyBorder="1" applyAlignment="1">
      <alignment horizontal="center" vertical="center"/>
    </xf>
    <xf numFmtId="14" fontId="8" fillId="2" borderId="20" xfId="3" applyNumberFormat="1" applyFont="1" applyFill="1" applyBorder="1" applyAlignment="1">
      <alignment horizontal="center" vertical="center" wrapText="1"/>
    </xf>
    <xf numFmtId="14" fontId="8" fillId="2" borderId="27" xfId="3" applyNumberFormat="1" applyFont="1" applyFill="1" applyBorder="1" applyAlignment="1">
      <alignment horizontal="center" vertical="center" wrapText="1"/>
    </xf>
    <xf numFmtId="14" fontId="8" fillId="2" borderId="21" xfId="3" applyNumberFormat="1" applyFont="1" applyFill="1" applyBorder="1" applyAlignment="1">
      <alignment horizontal="center" vertical="center" wrapText="1"/>
    </xf>
    <xf numFmtId="0" fontId="8" fillId="2" borderId="25" xfId="3" applyFont="1" applyFill="1" applyBorder="1" applyAlignment="1">
      <alignment horizontal="left"/>
    </xf>
    <xf numFmtId="0" fontId="8" fillId="2" borderId="17" xfId="3" applyFont="1" applyFill="1" applyBorder="1" applyAlignment="1">
      <alignment horizontal="left"/>
    </xf>
    <xf numFmtId="0" fontId="8" fillId="2" borderId="1" xfId="3" applyFont="1" applyFill="1" applyBorder="1" applyAlignment="1">
      <alignment horizontal="left"/>
    </xf>
    <xf numFmtId="0" fontId="8" fillId="2" borderId="22" xfId="3" applyFont="1" applyFill="1" applyBorder="1" applyAlignment="1">
      <alignment horizontal="left"/>
    </xf>
    <xf numFmtId="0" fontId="8" fillId="2" borderId="14" xfId="3" applyFont="1" applyFill="1" applyBorder="1" applyAlignment="1">
      <alignment horizontal="left"/>
    </xf>
    <xf numFmtId="0" fontId="8" fillId="2" borderId="18" xfId="3" applyFont="1" applyFill="1" applyBorder="1" applyAlignment="1">
      <alignment horizontal="left"/>
    </xf>
    <xf numFmtId="0" fontId="8" fillId="2" borderId="36" xfId="3" applyFont="1" applyFill="1" applyBorder="1" applyAlignment="1">
      <alignment horizontal="center"/>
    </xf>
    <xf numFmtId="0" fontId="8" fillId="2" borderId="37" xfId="3" applyFont="1" applyFill="1" applyBorder="1" applyAlignment="1">
      <alignment horizontal="center"/>
    </xf>
    <xf numFmtId="0" fontId="8" fillId="2" borderId="5" xfId="3" applyFont="1" applyFill="1" applyBorder="1" applyAlignment="1">
      <alignment horizontal="center"/>
    </xf>
    <xf numFmtId="0" fontId="8" fillId="2" borderId="0" xfId="3" applyFont="1" applyFill="1" applyAlignment="1">
      <alignment horizontal="center"/>
    </xf>
    <xf numFmtId="0" fontId="8" fillId="2" borderId="32" xfId="3" applyFont="1" applyFill="1" applyBorder="1" applyAlignment="1">
      <alignment horizontal="center"/>
    </xf>
    <xf numFmtId="0" fontId="8" fillId="2" borderId="35" xfId="3" applyFont="1" applyFill="1" applyBorder="1" applyAlignment="1">
      <alignment horizontal="center"/>
    </xf>
    <xf numFmtId="0" fontId="9" fillId="2" borderId="23" xfId="3" applyFont="1" applyFill="1" applyBorder="1" applyAlignment="1">
      <alignment horizontal="center"/>
    </xf>
    <xf numFmtId="0" fontId="9" fillId="2" borderId="51" xfId="3" applyFont="1" applyFill="1" applyBorder="1" applyAlignment="1">
      <alignment horizontal="center"/>
    </xf>
    <xf numFmtId="0" fontId="49" fillId="4" borderId="22" xfId="3" applyFont="1" applyFill="1" applyBorder="1" applyAlignment="1">
      <alignment horizontal="center" vertical="center" wrapText="1"/>
    </xf>
    <xf numFmtId="0" fontId="49" fillId="4" borderId="14" xfId="3" applyFont="1" applyFill="1" applyBorder="1" applyAlignment="1">
      <alignment horizontal="center" vertical="center" wrapText="1"/>
    </xf>
    <xf numFmtId="0" fontId="49" fillId="4" borderId="18" xfId="3" applyFont="1" applyFill="1" applyBorder="1" applyAlignment="1">
      <alignment horizontal="center" vertical="center" wrapText="1"/>
    </xf>
    <xf numFmtId="0" fontId="10" fillId="2" borderId="19" xfId="3" applyFont="1" applyFill="1" applyBorder="1" applyAlignment="1">
      <alignment horizontal="right" vertical="top" wrapText="1"/>
    </xf>
    <xf numFmtId="0" fontId="10" fillId="2" borderId="26" xfId="3" applyFont="1" applyFill="1" applyBorder="1" applyAlignment="1">
      <alignment horizontal="right" vertical="top" wrapText="1"/>
    </xf>
    <xf numFmtId="0" fontId="10" fillId="2" borderId="8" xfId="3" applyFont="1" applyFill="1" applyBorder="1" applyAlignment="1">
      <alignment horizontal="right" vertical="top" wrapText="1"/>
    </xf>
    <xf numFmtId="0" fontId="8" fillId="0" borderId="7" xfId="4" applyFont="1" applyBorder="1" applyAlignment="1">
      <alignment horizontal="left"/>
    </xf>
    <xf numFmtId="0" fontId="8" fillId="0" borderId="18" xfId="4" applyFont="1" applyBorder="1" applyAlignment="1">
      <alignment horizontal="left"/>
    </xf>
    <xf numFmtId="0" fontId="8" fillId="0" borderId="3" xfId="4" applyFont="1" applyBorder="1" applyAlignment="1">
      <alignment horizontal="left"/>
    </xf>
    <xf numFmtId="0" fontId="8" fillId="0" borderId="6" xfId="4" applyFont="1" applyBorder="1" applyAlignment="1">
      <alignment horizontal="left"/>
    </xf>
    <xf numFmtId="0" fontId="8" fillId="0" borderId="13" xfId="4" applyFont="1" applyBorder="1" applyAlignment="1">
      <alignment horizontal="left" wrapText="1"/>
    </xf>
    <xf numFmtId="0" fontId="8" fillId="0" borderId="14" xfId="4" applyFont="1" applyBorder="1" applyAlignment="1">
      <alignment horizontal="left" wrapText="1"/>
    </xf>
    <xf numFmtId="0" fontId="8" fillId="0" borderId="15" xfId="4" applyFont="1" applyBorder="1" applyAlignment="1">
      <alignment horizontal="left" wrapText="1"/>
    </xf>
    <xf numFmtId="0" fontId="8" fillId="0" borderId="7" xfId="4" applyFont="1" applyBorder="1" applyAlignment="1">
      <alignment horizontal="left" wrapText="1"/>
    </xf>
    <xf numFmtId="0" fontId="8" fillId="0" borderId="18" xfId="4" applyFont="1" applyBorder="1" applyAlignment="1">
      <alignment horizontal="left" wrapText="1"/>
    </xf>
    <xf numFmtId="0" fontId="8" fillId="0" borderId="3" xfId="4" applyFont="1" applyBorder="1" applyAlignment="1">
      <alignment horizontal="left" wrapText="1"/>
    </xf>
    <xf numFmtId="0" fontId="8" fillId="0" borderId="6" xfId="4" applyFont="1" applyBorder="1" applyAlignment="1">
      <alignment horizontal="left" wrapText="1"/>
    </xf>
    <xf numFmtId="0" fontId="11" fillId="4" borderId="29" xfId="3" applyFont="1" applyFill="1" applyBorder="1" applyAlignment="1">
      <alignment horizontal="center" vertical="center" wrapText="1"/>
    </xf>
    <xf numFmtId="0" fontId="11" fillId="4" borderId="30" xfId="3" applyFont="1" applyFill="1" applyBorder="1" applyAlignment="1">
      <alignment horizontal="center" vertical="center" wrapText="1"/>
    </xf>
    <xf numFmtId="0" fontId="11" fillId="4" borderId="31" xfId="3" applyFont="1" applyFill="1" applyBorder="1" applyAlignment="1">
      <alignment horizontal="center" vertical="center" wrapText="1"/>
    </xf>
    <xf numFmtId="0" fontId="10" fillId="6" borderId="41" xfId="1" applyFont="1" applyFill="1" applyBorder="1" applyAlignment="1">
      <alignment horizontal="center"/>
    </xf>
    <xf numFmtId="0" fontId="10" fillId="6" borderId="37" xfId="1" applyFont="1" applyFill="1" applyBorder="1" applyAlignment="1">
      <alignment horizontal="center"/>
    </xf>
    <xf numFmtId="0" fontId="8" fillId="2" borderId="42" xfId="1" applyFont="1" applyFill="1" applyBorder="1" applyAlignment="1">
      <alignment horizontal="left"/>
    </xf>
    <xf numFmtId="0" fontId="8" fillId="2" borderId="0" xfId="1" applyFont="1" applyFill="1" applyAlignment="1">
      <alignment horizontal="left"/>
    </xf>
    <xf numFmtId="0" fontId="4" fillId="0" borderId="56" xfId="0" applyFont="1" applyBorder="1" applyAlignment="1">
      <alignment horizontal="left"/>
    </xf>
    <xf numFmtId="0" fontId="4" fillId="0" borderId="39" xfId="0" applyFont="1" applyBorder="1" applyAlignment="1">
      <alignment horizontal="left"/>
    </xf>
    <xf numFmtId="0" fontId="4" fillId="0" borderId="5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34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4" fillId="0" borderId="13" xfId="4" applyFont="1" applyBorder="1" applyAlignment="1">
      <alignment horizontal="left" wrapText="1"/>
    </xf>
    <xf numFmtId="0" fontId="4" fillId="0" borderId="14" xfId="4" applyFont="1" applyBorder="1" applyAlignment="1">
      <alignment horizontal="left" wrapText="1"/>
    </xf>
    <xf numFmtId="0" fontId="4" fillId="0" borderId="15" xfId="4" applyFont="1" applyBorder="1" applyAlignment="1">
      <alignment horizontal="left" wrapText="1"/>
    </xf>
    <xf numFmtId="164" fontId="8" fillId="0" borderId="22" xfId="0" applyNumberFormat="1" applyFont="1" applyBorder="1" applyAlignment="1">
      <alignment horizontal="center" wrapText="1"/>
    </xf>
    <xf numFmtId="164" fontId="8" fillId="0" borderId="15" xfId="0" applyNumberFormat="1" applyFont="1" applyBorder="1" applyAlignment="1">
      <alignment horizontal="center" wrapText="1"/>
    </xf>
    <xf numFmtId="0" fontId="4" fillId="0" borderId="36" xfId="0" applyFont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4" fillId="0" borderId="62" xfId="0" applyFont="1" applyBorder="1" applyAlignment="1">
      <alignment horizontal="left"/>
    </xf>
    <xf numFmtId="14" fontId="8" fillId="2" borderId="20" xfId="1" applyNumberFormat="1" applyFont="1" applyFill="1" applyBorder="1" applyAlignment="1">
      <alignment horizontal="center" vertical="center" wrapText="1"/>
    </xf>
    <xf numFmtId="14" fontId="8" fillId="2" borderId="27" xfId="1" applyNumberFormat="1" applyFont="1" applyFill="1" applyBorder="1" applyAlignment="1">
      <alignment horizontal="center" vertical="center" wrapText="1"/>
    </xf>
    <xf numFmtId="14" fontId="8" fillId="2" borderId="21" xfId="1" applyNumberFormat="1" applyFont="1" applyFill="1" applyBorder="1" applyAlignment="1">
      <alignment horizontal="center" vertical="center" wrapText="1"/>
    </xf>
    <xf numFmtId="0" fontId="8" fillId="2" borderId="25" xfId="1" applyFont="1" applyFill="1" applyBorder="1" applyAlignment="1">
      <alignment horizontal="left"/>
    </xf>
    <xf numFmtId="0" fontId="8" fillId="2" borderId="17" xfId="1" applyFont="1" applyFill="1" applyBorder="1" applyAlignment="1">
      <alignment horizontal="left"/>
    </xf>
    <xf numFmtId="0" fontId="8" fillId="2" borderId="1" xfId="1" applyFont="1" applyFill="1" applyBorder="1" applyAlignment="1">
      <alignment horizontal="left"/>
    </xf>
    <xf numFmtId="0" fontId="8" fillId="2" borderId="22" xfId="1" applyFont="1" applyFill="1" applyBorder="1" applyAlignment="1">
      <alignment horizontal="left"/>
    </xf>
    <xf numFmtId="0" fontId="8" fillId="2" borderId="14" xfId="1" applyFont="1" applyFill="1" applyBorder="1" applyAlignment="1">
      <alignment horizontal="left"/>
    </xf>
    <xf numFmtId="0" fontId="8" fillId="2" borderId="18" xfId="1" applyFont="1" applyFill="1" applyBorder="1" applyAlignment="1">
      <alignment horizontal="left"/>
    </xf>
    <xf numFmtId="0" fontId="8" fillId="2" borderId="36" xfId="1" applyFont="1" applyFill="1" applyBorder="1" applyAlignment="1">
      <alignment horizontal="center"/>
    </xf>
    <xf numFmtId="0" fontId="8" fillId="2" borderId="37" xfId="1" applyFont="1" applyFill="1" applyBorder="1" applyAlignment="1">
      <alignment horizontal="center"/>
    </xf>
    <xf numFmtId="0" fontId="8" fillId="2" borderId="5" xfId="1" applyFont="1" applyFill="1" applyBorder="1" applyAlignment="1">
      <alignment horizontal="center"/>
    </xf>
    <xf numFmtId="0" fontId="8" fillId="2" borderId="0" xfId="1" applyFont="1" applyFill="1" applyAlignment="1">
      <alignment horizontal="center"/>
    </xf>
    <xf numFmtId="0" fontId="8" fillId="2" borderId="32" xfId="1" applyFont="1" applyFill="1" applyBorder="1" applyAlignment="1">
      <alignment horizontal="center"/>
    </xf>
    <xf numFmtId="0" fontId="8" fillId="2" borderId="35" xfId="1" applyFont="1" applyFill="1" applyBorder="1" applyAlignment="1">
      <alignment horizontal="center"/>
    </xf>
    <xf numFmtId="0" fontId="9" fillId="2" borderId="23" xfId="1" applyFont="1" applyFill="1" applyBorder="1" applyAlignment="1">
      <alignment horizontal="center"/>
    </xf>
    <xf numFmtId="0" fontId="9" fillId="2" borderId="16" xfId="1" applyFont="1" applyFill="1" applyBorder="1" applyAlignment="1">
      <alignment horizontal="center"/>
    </xf>
    <xf numFmtId="0" fontId="9" fillId="2" borderId="38" xfId="1" applyFont="1" applyFill="1" applyBorder="1" applyAlignment="1">
      <alignment horizontal="center"/>
    </xf>
    <xf numFmtId="0" fontId="9" fillId="2" borderId="34" xfId="1" applyFont="1" applyFill="1" applyBorder="1" applyAlignment="1">
      <alignment horizontal="center"/>
    </xf>
    <xf numFmtId="0" fontId="11" fillId="4" borderId="29" xfId="1" applyFont="1" applyFill="1" applyBorder="1" applyAlignment="1">
      <alignment horizontal="center" vertical="center" wrapText="1"/>
    </xf>
    <xf numFmtId="0" fontId="11" fillId="4" borderId="30" xfId="1" applyFont="1" applyFill="1" applyBorder="1" applyAlignment="1">
      <alignment horizontal="center" vertical="center" wrapText="1"/>
    </xf>
    <xf numFmtId="0" fontId="11" fillId="4" borderId="31" xfId="1" applyFont="1" applyFill="1" applyBorder="1" applyAlignment="1">
      <alignment horizontal="center" vertical="center" wrapText="1"/>
    </xf>
    <xf numFmtId="0" fontId="10" fillId="2" borderId="19" xfId="1" applyFont="1" applyFill="1" applyBorder="1" applyAlignment="1">
      <alignment horizontal="right" vertical="top" wrapText="1"/>
    </xf>
    <xf numFmtId="0" fontId="10" fillId="2" borderId="26" xfId="1" applyFont="1" applyFill="1" applyBorder="1" applyAlignment="1">
      <alignment horizontal="right" vertical="top" wrapText="1"/>
    </xf>
    <xf numFmtId="0" fontId="10" fillId="2" borderId="8" xfId="1" applyFont="1" applyFill="1" applyBorder="1" applyAlignment="1">
      <alignment horizontal="right" vertical="top" wrapText="1"/>
    </xf>
    <xf numFmtId="0" fontId="16" fillId="0" borderId="13" xfId="0" applyFont="1" applyBorder="1" applyAlignment="1">
      <alignment horizontal="left"/>
    </xf>
    <xf numFmtId="0" fontId="16" fillId="0" borderId="14" xfId="0" applyFont="1" applyBorder="1" applyAlignment="1">
      <alignment horizontal="left"/>
    </xf>
    <xf numFmtId="0" fontId="16" fillId="0" borderId="15" xfId="0" applyFont="1" applyBorder="1" applyAlignment="1">
      <alignment horizontal="left"/>
    </xf>
    <xf numFmtId="0" fontId="7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/>
    </xf>
    <xf numFmtId="0" fontId="16" fillId="0" borderId="18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5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6" fillId="0" borderId="4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35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4" fillId="0" borderId="59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60" xfId="0" applyFont="1" applyBorder="1" applyAlignment="1">
      <alignment horizontal="left" wrapText="1"/>
    </xf>
    <xf numFmtId="0" fontId="50" fillId="3" borderId="56" xfId="4" applyFont="1" applyFill="1" applyBorder="1" applyAlignment="1">
      <alignment horizontal="left"/>
    </xf>
    <xf numFmtId="0" fontId="50" fillId="3" borderId="39" xfId="4" applyFont="1" applyFill="1" applyBorder="1" applyAlignment="1">
      <alignment horizontal="left"/>
    </xf>
    <xf numFmtId="0" fontId="50" fillId="3" borderId="50" xfId="4" applyFont="1" applyFill="1" applyBorder="1" applyAlignment="1">
      <alignment horizontal="left"/>
    </xf>
    <xf numFmtId="0" fontId="19" fillId="5" borderId="29" xfId="0" applyFont="1" applyFill="1" applyBorder="1" applyAlignment="1">
      <alignment horizontal="center"/>
    </xf>
    <xf numFmtId="0" fontId="19" fillId="5" borderId="30" xfId="0" applyFont="1" applyFill="1" applyBorder="1" applyAlignment="1">
      <alignment horizontal="center"/>
    </xf>
    <xf numFmtId="0" fontId="19" fillId="5" borderId="31" xfId="0" applyFont="1" applyFill="1" applyBorder="1" applyAlignment="1">
      <alignment horizontal="center"/>
    </xf>
    <xf numFmtId="0" fontId="19" fillId="0" borderId="13" xfId="0" applyFont="1" applyBorder="1" applyAlignment="1">
      <alignment horizontal="right"/>
    </xf>
    <xf numFmtId="0" fontId="19" fillId="0" borderId="14" xfId="0" applyFont="1" applyBorder="1" applyAlignment="1">
      <alignment horizontal="right"/>
    </xf>
    <xf numFmtId="0" fontId="19" fillId="0" borderId="18" xfId="0" applyFont="1" applyBorder="1" applyAlignment="1">
      <alignment horizontal="right"/>
    </xf>
    <xf numFmtId="0" fontId="19" fillId="0" borderId="3" xfId="0" applyFont="1" applyBorder="1" applyAlignment="1">
      <alignment horizontal="right"/>
    </xf>
    <xf numFmtId="164" fontId="3" fillId="0" borderId="22" xfId="0" applyNumberFormat="1" applyFont="1" applyBorder="1" applyAlignment="1">
      <alignment horizontal="center"/>
    </xf>
    <xf numFmtId="164" fontId="3" fillId="0" borderId="15" xfId="0" applyNumberFormat="1" applyFont="1" applyBorder="1" applyAlignment="1">
      <alignment horizontal="center"/>
    </xf>
    <xf numFmtId="0" fontId="3" fillId="0" borderId="53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51" xfId="0" applyFont="1" applyBorder="1" applyAlignment="1">
      <alignment horizontal="right"/>
    </xf>
    <xf numFmtId="164" fontId="3" fillId="0" borderId="54" xfId="0" applyNumberFormat="1" applyFont="1" applyBorder="1" applyAlignment="1">
      <alignment horizontal="center"/>
    </xf>
    <xf numFmtId="164" fontId="3" fillId="0" borderId="55" xfId="0" applyNumberFormat="1" applyFont="1" applyBorder="1" applyAlignment="1">
      <alignment horizontal="center"/>
    </xf>
    <xf numFmtId="0" fontId="7" fillId="0" borderId="13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164" fontId="7" fillId="0" borderId="22" xfId="0" applyNumberFormat="1" applyFont="1" applyBorder="1" applyAlignment="1">
      <alignment horizontal="center"/>
    </xf>
    <xf numFmtId="164" fontId="7" fillId="0" borderId="14" xfId="0" applyNumberFormat="1" applyFont="1" applyBorder="1" applyAlignment="1">
      <alignment horizontal="center"/>
    </xf>
    <xf numFmtId="164" fontId="7" fillId="0" borderId="15" xfId="0" applyNumberFormat="1" applyFont="1" applyBorder="1" applyAlignment="1">
      <alignment horizontal="center"/>
    </xf>
    <xf numFmtId="0" fontId="19" fillId="0" borderId="32" xfId="0" applyFont="1" applyBorder="1" applyAlignment="1">
      <alignment horizontal="right"/>
    </xf>
    <xf numFmtId="0" fontId="19" fillId="0" borderId="35" xfId="0" applyFont="1" applyBorder="1" applyAlignment="1">
      <alignment horizontal="right"/>
    </xf>
    <xf numFmtId="0" fontId="19" fillId="0" borderId="2" xfId="0" applyFont="1" applyBorder="1" applyAlignment="1">
      <alignment horizontal="right"/>
    </xf>
    <xf numFmtId="0" fontId="19" fillId="0" borderId="28" xfId="0" applyFont="1" applyBorder="1" applyAlignment="1">
      <alignment horizontal="right"/>
    </xf>
    <xf numFmtId="0" fontId="14" fillId="2" borderId="5" xfId="3" applyFont="1" applyFill="1" applyBorder="1" applyAlignment="1">
      <alignment horizontal="right"/>
    </xf>
    <xf numFmtId="0" fontId="19" fillId="5" borderId="40" xfId="0" applyFont="1" applyFill="1" applyBorder="1" applyAlignment="1">
      <alignment horizontal="center" vertical="center"/>
    </xf>
    <xf numFmtId="0" fontId="19" fillId="5" borderId="53" xfId="0" applyFont="1" applyFill="1" applyBorder="1" applyAlignment="1">
      <alignment horizontal="center" vertical="center"/>
    </xf>
    <xf numFmtId="0" fontId="19" fillId="5" borderId="52" xfId="0" applyFont="1" applyFill="1" applyBorder="1" applyAlignment="1">
      <alignment horizontal="center" vertical="center" wrapText="1"/>
    </xf>
    <xf numFmtId="0" fontId="19" fillId="5" borderId="28" xfId="0" applyFont="1" applyFill="1" applyBorder="1" applyAlignment="1">
      <alignment horizontal="center" vertical="center" wrapText="1"/>
    </xf>
    <xf numFmtId="0" fontId="19" fillId="5" borderId="23" xfId="0" applyFont="1" applyFill="1" applyBorder="1" applyAlignment="1">
      <alignment horizontal="center" vertical="center"/>
    </xf>
    <xf numFmtId="0" fontId="19" fillId="5" borderId="51" xfId="0" applyFont="1" applyFill="1" applyBorder="1" applyAlignment="1">
      <alignment horizontal="center" vertical="center"/>
    </xf>
    <xf numFmtId="0" fontId="19" fillId="5" borderId="11" xfId="0" applyFont="1" applyFill="1" applyBorder="1" applyAlignment="1">
      <alignment horizontal="center" vertical="center"/>
    </xf>
    <xf numFmtId="14" fontId="3" fillId="3" borderId="6" xfId="3" applyNumberFormat="1" applyFont="1" applyFill="1" applyBorder="1" applyAlignment="1">
      <alignment horizontal="center" vertical="center" wrapText="1"/>
    </xf>
    <xf numFmtId="14" fontId="3" fillId="3" borderId="12" xfId="3" applyNumberFormat="1" applyFont="1" applyFill="1" applyBorder="1" applyAlignment="1">
      <alignment horizontal="center" vertical="center" wrapText="1"/>
    </xf>
    <xf numFmtId="0" fontId="50" fillId="2" borderId="28" xfId="3" applyFont="1" applyFill="1" applyBorder="1" applyAlignment="1">
      <alignment horizontal="left"/>
    </xf>
    <xf numFmtId="0" fontId="50" fillId="2" borderId="11" xfId="3" applyFont="1" applyFill="1" applyBorder="1" applyAlignment="1">
      <alignment horizontal="left"/>
    </xf>
    <xf numFmtId="0" fontId="3" fillId="2" borderId="3" xfId="3" applyFont="1" applyFill="1" applyBorder="1" applyAlignment="1">
      <alignment horizontal="center"/>
    </xf>
    <xf numFmtId="0" fontId="14" fillId="2" borderId="1" xfId="3" applyFont="1" applyFill="1" applyBorder="1" applyAlignment="1">
      <alignment horizontal="center"/>
    </xf>
    <xf numFmtId="0" fontId="14" fillId="2" borderId="23" xfId="3" applyFont="1" applyFill="1" applyBorder="1" applyAlignment="1">
      <alignment horizontal="center"/>
    </xf>
    <xf numFmtId="0" fontId="14" fillId="2" borderId="19" xfId="3" applyFont="1" applyFill="1" applyBorder="1" applyAlignment="1">
      <alignment horizontal="center"/>
    </xf>
    <xf numFmtId="0" fontId="14" fillId="2" borderId="51" xfId="3" applyFont="1" applyFill="1" applyBorder="1" applyAlignment="1">
      <alignment horizontal="center"/>
    </xf>
    <xf numFmtId="0" fontId="49" fillId="4" borderId="30" xfId="3" applyFont="1" applyFill="1" applyBorder="1" applyAlignment="1">
      <alignment horizontal="center" vertical="center" wrapText="1"/>
    </xf>
    <xf numFmtId="0" fontId="49" fillId="4" borderId="31" xfId="3" applyFont="1" applyFill="1" applyBorder="1" applyAlignment="1">
      <alignment horizontal="center" vertical="center" wrapText="1"/>
    </xf>
    <xf numFmtId="0" fontId="19" fillId="2" borderId="18" xfId="3" applyFont="1" applyFill="1" applyBorder="1" applyAlignment="1">
      <alignment horizontal="right" vertical="top" wrapText="1"/>
    </xf>
    <xf numFmtId="0" fontId="19" fillId="2" borderId="3" xfId="3" applyFont="1" applyFill="1" applyBorder="1" applyAlignment="1">
      <alignment horizontal="right" vertical="top" wrapText="1"/>
    </xf>
    <xf numFmtId="0" fontId="19" fillId="2" borderId="11" xfId="3" applyFont="1" applyFill="1" applyBorder="1" applyAlignment="1">
      <alignment horizontal="right" vertical="top" wrapText="1"/>
    </xf>
    <xf numFmtId="0" fontId="65" fillId="0" borderId="67" xfId="0" applyFont="1" applyBorder="1" applyAlignment="1">
      <alignment horizontal="left"/>
    </xf>
    <xf numFmtId="0" fontId="65" fillId="0" borderId="68" xfId="0" applyFont="1" applyBorder="1" applyAlignment="1">
      <alignment horizontal="left"/>
    </xf>
    <xf numFmtId="0" fontId="65" fillId="0" borderId="55" xfId="0" applyFont="1" applyBorder="1" applyAlignment="1">
      <alignment horizontal="left"/>
    </xf>
    <xf numFmtId="0" fontId="65" fillId="6" borderId="3" xfId="1" applyFont="1" applyFill="1" applyBorder="1" applyAlignment="1">
      <alignment horizontal="center"/>
    </xf>
    <xf numFmtId="0" fontId="66" fillId="2" borderId="3" xfId="1" applyFont="1" applyFill="1" applyBorder="1" applyAlignment="1">
      <alignment horizontal="left"/>
    </xf>
    <xf numFmtId="0" fontId="66" fillId="0" borderId="7" xfId="0" applyFont="1" applyBorder="1" applyAlignment="1">
      <alignment horizontal="left"/>
    </xf>
    <xf numFmtId="0" fontId="66" fillId="0" borderId="18" xfId="0" applyFont="1" applyBorder="1" applyAlignment="1">
      <alignment horizontal="left"/>
    </xf>
    <xf numFmtId="0" fontId="66" fillId="0" borderId="3" xfId="0" applyFont="1" applyBorder="1" applyAlignment="1">
      <alignment horizontal="left"/>
    </xf>
    <xf numFmtId="0" fontId="66" fillId="0" borderId="6" xfId="0" applyFont="1" applyBorder="1" applyAlignment="1">
      <alignment horizontal="left"/>
    </xf>
    <xf numFmtId="0" fontId="66" fillId="0" borderId="13" xfId="0" applyFont="1" applyBorder="1" applyAlignment="1">
      <alignment horizontal="left" wrapText="1"/>
    </xf>
    <xf numFmtId="0" fontId="66" fillId="0" borderId="14" xfId="0" applyFont="1" applyBorder="1" applyAlignment="1">
      <alignment horizontal="left" wrapText="1"/>
    </xf>
    <xf numFmtId="0" fontId="66" fillId="0" borderId="15" xfId="0" applyFont="1" applyBorder="1" applyAlignment="1">
      <alignment horizontal="left" wrapText="1"/>
    </xf>
    <xf numFmtId="0" fontId="65" fillId="0" borderId="13" xfId="4" applyFont="1" applyBorder="1" applyAlignment="1">
      <alignment horizontal="right"/>
    </xf>
    <xf numFmtId="0" fontId="65" fillId="0" borderId="14" xfId="4" applyFont="1" applyBorder="1" applyAlignment="1">
      <alignment horizontal="right"/>
    </xf>
    <xf numFmtId="0" fontId="65" fillId="0" borderId="18" xfId="4" applyFont="1" applyBorder="1" applyAlignment="1">
      <alignment horizontal="right"/>
    </xf>
    <xf numFmtId="0" fontId="66" fillId="0" borderId="3" xfId="4" applyFont="1" applyBorder="1" applyAlignment="1">
      <alignment horizontal="right"/>
    </xf>
    <xf numFmtId="164" fontId="66" fillId="0" borderId="22" xfId="4" applyNumberFormat="1" applyFont="1" applyBorder="1" applyAlignment="1">
      <alignment horizontal="center"/>
    </xf>
    <xf numFmtId="164" fontId="66" fillId="0" borderId="15" xfId="4" applyNumberFormat="1" applyFont="1" applyBorder="1" applyAlignment="1">
      <alignment horizontal="center"/>
    </xf>
    <xf numFmtId="164" fontId="66" fillId="0" borderId="22" xfId="4" applyNumberFormat="1" applyFont="1" applyBorder="1" applyAlignment="1">
      <alignment horizontal="right" wrapText="1"/>
    </xf>
    <xf numFmtId="164" fontId="66" fillId="0" borderId="18" xfId="4" applyNumberFormat="1" applyFont="1" applyBorder="1" applyAlignment="1">
      <alignment horizontal="right" wrapText="1"/>
    </xf>
    <xf numFmtId="164" fontId="66" fillId="0" borderId="22" xfId="0" applyNumberFormat="1" applyFont="1" applyBorder="1" applyAlignment="1">
      <alignment horizontal="center" wrapText="1"/>
    </xf>
    <xf numFmtId="164" fontId="66" fillId="0" borderId="15" xfId="0" applyNumberFormat="1" applyFont="1" applyBorder="1" applyAlignment="1">
      <alignment horizontal="center" wrapText="1"/>
    </xf>
    <xf numFmtId="0" fontId="65" fillId="0" borderId="10" xfId="4" applyFont="1" applyBorder="1" applyAlignment="1">
      <alignment horizontal="right"/>
    </xf>
    <xf numFmtId="0" fontId="65" fillId="0" borderId="34" xfId="4" applyFont="1" applyBorder="1" applyAlignment="1">
      <alignment horizontal="right"/>
    </xf>
    <xf numFmtId="0" fontId="65" fillId="0" borderId="11" xfId="4" applyFont="1" applyBorder="1" applyAlignment="1">
      <alignment horizontal="right"/>
    </xf>
    <xf numFmtId="0" fontId="66" fillId="0" borderId="11" xfId="4" applyFont="1" applyBorder="1" applyAlignment="1">
      <alignment horizontal="right"/>
    </xf>
    <xf numFmtId="0" fontId="65" fillId="5" borderId="29" xfId="4" applyFont="1" applyFill="1" applyBorder="1" applyAlignment="1">
      <alignment horizontal="center"/>
    </xf>
    <xf numFmtId="0" fontId="65" fillId="5" borderId="30" xfId="4" applyFont="1" applyFill="1" applyBorder="1" applyAlignment="1">
      <alignment horizontal="center"/>
    </xf>
    <xf numFmtId="0" fontId="65" fillId="5" borderId="31" xfId="4" applyFont="1" applyFill="1" applyBorder="1" applyAlignment="1">
      <alignment horizontal="center"/>
    </xf>
    <xf numFmtId="0" fontId="65" fillId="0" borderId="32" xfId="4" applyFont="1" applyBorder="1" applyAlignment="1">
      <alignment horizontal="right"/>
    </xf>
    <xf numFmtId="0" fontId="65" fillId="0" borderId="35" xfId="4" applyFont="1" applyBorder="1" applyAlignment="1">
      <alignment horizontal="right"/>
    </xf>
    <xf numFmtId="0" fontId="65" fillId="0" borderId="2" xfId="4" applyFont="1" applyBorder="1" applyAlignment="1">
      <alignment horizontal="right"/>
    </xf>
    <xf numFmtId="164" fontId="66" fillId="0" borderId="28" xfId="4" applyNumberFormat="1" applyFont="1" applyBorder="1" applyAlignment="1">
      <alignment horizontal="right"/>
    </xf>
    <xf numFmtId="0" fontId="66" fillId="2" borderId="33" xfId="4" applyFont="1" applyFill="1" applyBorder="1" applyAlignment="1">
      <alignment horizontal="center"/>
    </xf>
    <xf numFmtId="0" fontId="66" fillId="2" borderId="9" xfId="4" applyFont="1" applyFill="1" applyBorder="1" applyAlignment="1">
      <alignment horizontal="center"/>
    </xf>
    <xf numFmtId="0" fontId="68" fillId="2" borderId="39" xfId="3" applyFont="1" applyFill="1" applyBorder="1" applyAlignment="1">
      <alignment horizontal="center"/>
    </xf>
    <xf numFmtId="0" fontId="10" fillId="5" borderId="53" xfId="4" applyFont="1" applyFill="1" applyBorder="1" applyAlignment="1">
      <alignment horizontal="center" vertical="center" wrapText="1"/>
    </xf>
    <xf numFmtId="0" fontId="10" fillId="5" borderId="51" xfId="4" applyFont="1" applyFill="1" applyBorder="1" applyAlignment="1">
      <alignment horizontal="center" vertical="center"/>
    </xf>
    <xf numFmtId="0" fontId="69" fillId="4" borderId="30" xfId="1" applyFont="1" applyFill="1" applyBorder="1" applyAlignment="1">
      <alignment horizontal="center" vertical="center" wrapText="1"/>
    </xf>
    <xf numFmtId="0" fontId="69" fillId="4" borderId="31" xfId="1" applyFont="1" applyFill="1" applyBorder="1" applyAlignment="1">
      <alignment horizontal="center" vertical="center" wrapText="1"/>
    </xf>
  </cellXfs>
  <cellStyles count="11">
    <cellStyle name="Millares" xfId="6" builtinId="3"/>
    <cellStyle name="Millares [0]" xfId="7" builtinId="6"/>
    <cellStyle name="Normal" xfId="0" builtinId="0"/>
    <cellStyle name="Normal 2" xfId="4" xr:uid="{8668F873-02DB-4A02-AF6D-4E21B12DB858}"/>
    <cellStyle name="Normal 3" xfId="5" xr:uid="{4ADA67B4-1C58-41FF-894E-9FE46F4573FE}"/>
    <cellStyle name="Normal 3 2" xfId="8" xr:uid="{A6F42376-8A1F-45EA-B93C-7D730D551DE1}"/>
    <cellStyle name="Normal 4" xfId="10" xr:uid="{D9F74AE4-85C6-45DD-A97B-1218885C539B}"/>
    <cellStyle name="Normal 5" xfId="9" xr:uid="{08477F61-22D8-4BAE-8BBF-85C201EA7829}"/>
    <cellStyle name="Normal_CRITERIOS DE EVALUACION PT DE GB" xfId="1" xr:uid="{00000000-0005-0000-0000-000001000000}"/>
    <cellStyle name="Normal_CRITERIOS DE EVALUACION PT DE GB 2" xfId="3" xr:uid="{D6D0B999-AA00-461B-8241-8CAF4F956868}"/>
    <cellStyle name="Porcentaje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</xdr:row>
      <xdr:rowOff>0</xdr:rowOff>
    </xdr:from>
    <xdr:to>
      <xdr:col>22</xdr:col>
      <xdr:colOff>61496</xdr:colOff>
      <xdr:row>34</xdr:row>
      <xdr:rowOff>61206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426925F-FD54-B8AD-4EFE-B452390EA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04960" y="1714500"/>
          <a:ext cx="6187976" cy="28348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0</xdr:rowOff>
    </xdr:from>
    <xdr:to>
      <xdr:col>1</xdr:col>
      <xdr:colOff>198120</xdr:colOff>
      <xdr:row>5</xdr:row>
      <xdr:rowOff>2194</xdr:rowOff>
    </xdr:to>
    <xdr:pic>
      <xdr:nvPicPr>
        <xdr:cNvPr id="2" name="Imagen 4" descr="C:\Users\mbeeche\Desktop\logo de spoon nuevo - copia.gif">
          <a:extLst>
            <a:ext uri="{FF2B5EF4-FFF2-40B4-BE49-F238E27FC236}">
              <a16:creationId xmlns:a16="http://schemas.microsoft.com/office/drawing/2014/main" id="{AFFEA9DC-AA84-4550-9807-021D0E674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0"/>
          <a:ext cx="1005840" cy="10156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142876</xdr:colOff>
      <xdr:row>0</xdr:row>
      <xdr:rowOff>119061</xdr:rowOff>
    </xdr:from>
    <xdr:to>
      <xdr:col>1</xdr:col>
      <xdr:colOff>1023938</xdr:colOff>
      <xdr:row>4</xdr:row>
      <xdr:rowOff>57972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E61F7895-371D-4F26-A5E8-AC661F6F6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6" y="119061"/>
          <a:ext cx="2000250" cy="915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6D1E3-DC4F-4879-B0EC-B1CC91F73D18}">
  <dimension ref="A1:Q91"/>
  <sheetViews>
    <sheetView topLeftCell="A7" workbookViewId="0">
      <selection activeCell="E35" sqref="E35"/>
    </sheetView>
  </sheetViews>
  <sheetFormatPr baseColWidth="10" defaultColWidth="8.42578125" defaultRowHeight="12.75" x14ac:dyDescent="0.2"/>
  <cols>
    <col min="1" max="1" width="10" style="69" bestFit="1" customWidth="1"/>
    <col min="2" max="2" width="44.28515625" style="69" bestFit="1" customWidth="1"/>
    <col min="3" max="3" width="10.42578125" style="69" bestFit="1" customWidth="1"/>
    <col min="4" max="4" width="10.42578125" style="69" customWidth="1"/>
    <col min="5" max="5" width="11.42578125" style="69" customWidth="1"/>
    <col min="6" max="6" width="9.5703125" style="69" bestFit="1" customWidth="1"/>
    <col min="7" max="7" width="9.5703125" style="151" bestFit="1" customWidth="1"/>
    <col min="8" max="8" width="10.42578125" style="142" bestFit="1" customWidth="1"/>
    <col min="9" max="9" width="4.5703125" style="142" customWidth="1"/>
    <col min="10" max="10" width="1.85546875" style="68" customWidth="1"/>
    <col min="11" max="11" width="7" style="69" bestFit="1" customWidth="1"/>
    <col min="12" max="12" width="6.28515625" style="69" customWidth="1"/>
    <col min="13" max="13" width="20.42578125" style="69" customWidth="1"/>
    <col min="14" max="14" width="6.42578125" style="69" bestFit="1" customWidth="1"/>
    <col min="15" max="16" width="8.42578125" style="69"/>
    <col min="17" max="17" width="3.28515625" style="69" customWidth="1"/>
    <col min="18" max="16384" width="8.42578125" style="69"/>
  </cols>
  <sheetData>
    <row r="1" spans="1:10" ht="27.75" customHeight="1" x14ac:dyDescent="0.2">
      <c r="A1" s="64"/>
      <c r="B1" s="64"/>
      <c r="C1" s="64"/>
      <c r="D1" s="64"/>
      <c r="E1" s="65" t="s">
        <v>90</v>
      </c>
      <c r="F1" s="66" t="s">
        <v>91</v>
      </c>
      <c r="G1" s="66" t="s">
        <v>92</v>
      </c>
      <c r="H1" s="66" t="s">
        <v>93</v>
      </c>
      <c r="I1" s="67"/>
    </row>
    <row r="2" spans="1:10" ht="30.75" customHeight="1" x14ac:dyDescent="0.2">
      <c r="A2" s="64"/>
      <c r="B2" s="64"/>
      <c r="C2" s="64"/>
      <c r="D2" s="64"/>
      <c r="E2" s="70">
        <f>IFERROR(O62,"")</f>
        <v>4298.3272727272724</v>
      </c>
      <c r="F2" s="70">
        <f>IFERROR(H53,"")</f>
        <v>3702.1</v>
      </c>
      <c r="G2" s="70">
        <f>IFERROR(H54,"")</f>
        <v>13</v>
      </c>
      <c r="H2" s="70">
        <f>IFERROR(H56,"")</f>
        <v>318.5</v>
      </c>
      <c r="I2" s="71"/>
    </row>
    <row r="3" spans="1:10" ht="15" customHeight="1" x14ac:dyDescent="0.2">
      <c r="A3" s="64"/>
      <c r="B3" s="64"/>
      <c r="C3" s="64"/>
      <c r="D3" s="64"/>
      <c r="E3" s="64"/>
      <c r="F3" s="72"/>
      <c r="G3" s="72"/>
      <c r="H3" s="72"/>
      <c r="I3" s="72"/>
    </row>
    <row r="4" spans="1:10" ht="24.75" customHeight="1" thickBot="1" x14ac:dyDescent="0.25">
      <c r="A4" s="437"/>
      <c r="B4" s="437"/>
      <c r="C4" s="437"/>
      <c r="D4" s="437"/>
      <c r="E4" s="437"/>
      <c r="F4" s="437"/>
      <c r="G4" s="437"/>
      <c r="H4" s="437"/>
      <c r="I4" s="73"/>
    </row>
    <row r="5" spans="1:10" ht="19.5" customHeight="1" thickBot="1" x14ac:dyDescent="0.25">
      <c r="A5" s="438" t="s">
        <v>94</v>
      </c>
      <c r="B5" s="439"/>
      <c r="C5" s="439"/>
      <c r="D5" s="439"/>
      <c r="E5" s="439"/>
      <c r="F5" s="439"/>
      <c r="G5" s="439"/>
      <c r="H5" s="440"/>
      <c r="I5" s="74"/>
    </row>
    <row r="6" spans="1:10" ht="19.5" thickBot="1" x14ac:dyDescent="0.25">
      <c r="A6" s="74"/>
      <c r="B6" s="74"/>
      <c r="C6" s="74"/>
      <c r="D6" s="74"/>
      <c r="E6" s="74"/>
      <c r="F6" s="441" t="s">
        <v>95</v>
      </c>
      <c r="G6" s="441"/>
      <c r="H6" s="75">
        <f ca="1">TODAY()</f>
        <v>46034</v>
      </c>
      <c r="I6" s="75"/>
    </row>
    <row r="7" spans="1:10" ht="26.25" thickBot="1" x14ac:dyDescent="0.25">
      <c r="A7" s="76" t="s">
        <v>96</v>
      </c>
      <c r="B7" s="77" t="s">
        <v>97</v>
      </c>
      <c r="C7" s="77" t="s">
        <v>96</v>
      </c>
      <c r="D7" s="78" t="s">
        <v>98</v>
      </c>
      <c r="E7" s="78" t="s">
        <v>99</v>
      </c>
      <c r="F7" s="78" t="s">
        <v>100</v>
      </c>
      <c r="G7" s="78" t="s">
        <v>101</v>
      </c>
      <c r="H7" s="79" t="s">
        <v>102</v>
      </c>
      <c r="I7" s="80"/>
    </row>
    <row r="8" spans="1:10" ht="13.5" x14ac:dyDescent="0.25">
      <c r="A8" s="81">
        <v>1000</v>
      </c>
      <c r="B8" s="69" t="s">
        <v>43</v>
      </c>
      <c r="C8" s="82">
        <f>+A8</f>
        <v>1000</v>
      </c>
      <c r="D8" s="83" t="s">
        <v>141</v>
      </c>
      <c r="E8" s="83">
        <v>3.45</v>
      </c>
      <c r="F8" s="83">
        <f>IFERROR(C8*E8,"")</f>
        <v>3450</v>
      </c>
      <c r="G8" s="84">
        <f t="shared" ref="G8:G14" si="0">IFERROR(F8/$F$66,"")</f>
        <v>0.84205038536618948</v>
      </c>
      <c r="H8" s="85" t="s">
        <v>89</v>
      </c>
      <c r="I8" s="85"/>
      <c r="J8" s="86"/>
    </row>
    <row r="9" spans="1:10" ht="13.5" x14ac:dyDescent="0.25">
      <c r="A9" s="81">
        <v>3</v>
      </c>
      <c r="B9" s="69" t="s">
        <v>84</v>
      </c>
      <c r="C9" s="82">
        <f t="shared" ref="C9:C14" si="1">+A9</f>
        <v>3</v>
      </c>
      <c r="D9" s="83" t="s">
        <v>141</v>
      </c>
      <c r="E9" s="83">
        <v>6</v>
      </c>
      <c r="F9" s="83">
        <f t="shared" ref="F9:F14" si="2">IFERROR(C9*E9,"")</f>
        <v>18</v>
      </c>
      <c r="G9" s="84">
        <f t="shared" si="0"/>
        <v>4.393306358432293E-3</v>
      </c>
      <c r="H9" s="85" t="s">
        <v>83</v>
      </c>
      <c r="I9" s="85"/>
      <c r="J9" s="86"/>
    </row>
    <row r="10" spans="1:10" ht="13.5" x14ac:dyDescent="0.25">
      <c r="A10" s="81">
        <v>2</v>
      </c>
      <c r="B10" s="69" t="s">
        <v>47</v>
      </c>
      <c r="C10" s="82">
        <f t="shared" si="1"/>
        <v>2</v>
      </c>
      <c r="D10" s="83" t="s">
        <v>141</v>
      </c>
      <c r="E10" s="83">
        <v>6.8</v>
      </c>
      <c r="F10" s="83">
        <f t="shared" si="2"/>
        <v>13.6</v>
      </c>
      <c r="G10" s="84">
        <f t="shared" si="0"/>
        <v>3.3193870263710655E-3</v>
      </c>
      <c r="H10" s="85" t="s">
        <v>46</v>
      </c>
      <c r="I10" s="85"/>
      <c r="J10" s="86"/>
    </row>
    <row r="11" spans="1:10" ht="13.5" hidden="1" x14ac:dyDescent="0.25">
      <c r="A11" s="81"/>
      <c r="B11" s="69" t="str">
        <f>IFERROR(VLOOKUP(H11,'[1]Consolidado MP Planta'!$A$2:$M$823,3,0),"")</f>
        <v/>
      </c>
      <c r="C11" s="82">
        <f t="shared" si="1"/>
        <v>0</v>
      </c>
      <c r="D11" s="83" t="str">
        <f>IFERROR(VLOOKUP(H11,'[1]Consolidado MP Planta'!$A$2:$M$823,13,0),"")</f>
        <v/>
      </c>
      <c r="E11" s="83" t="str">
        <f>IFERROR(VLOOKUP(H11,'[1]Consolidado MP Planta'!$A$2:$M$823,12,0),"")</f>
        <v/>
      </c>
      <c r="F11" s="83" t="str">
        <f t="shared" si="2"/>
        <v/>
      </c>
      <c r="G11" s="84" t="str">
        <f t="shared" si="0"/>
        <v/>
      </c>
      <c r="H11" s="85"/>
      <c r="I11" s="85"/>
      <c r="J11" s="86"/>
    </row>
    <row r="12" spans="1:10" ht="13.5" hidden="1" x14ac:dyDescent="0.25">
      <c r="A12" s="81"/>
      <c r="B12" s="69" t="str">
        <f>IFERROR(VLOOKUP(H12,'[1]Consolidado MP Planta'!$A$2:$M$823,3,0),"")</f>
        <v/>
      </c>
      <c r="C12" s="82">
        <f t="shared" si="1"/>
        <v>0</v>
      </c>
      <c r="D12" s="83" t="str">
        <f>IFERROR(VLOOKUP(H12,'[1]Consolidado MP Planta'!$A$2:$M$823,13,0),"")</f>
        <v/>
      </c>
      <c r="E12" s="83" t="str">
        <f>IFERROR(VLOOKUP(H12,'[1]Consolidado MP Planta'!$A$2:$M$823,12,0),"")</f>
        <v/>
      </c>
      <c r="F12" s="83" t="str">
        <f t="shared" si="2"/>
        <v/>
      </c>
      <c r="G12" s="84" t="str">
        <f t="shared" si="0"/>
        <v/>
      </c>
      <c r="H12" s="85"/>
      <c r="I12" s="85"/>
      <c r="J12" s="86"/>
    </row>
    <row r="13" spans="1:10" ht="13.5" hidden="1" x14ac:dyDescent="0.25">
      <c r="A13" s="81"/>
      <c r="B13" s="69" t="str">
        <f>IFERROR(VLOOKUP(H13,'[1]Consolidado MP Planta'!$A$2:$M$823,3,0),"")</f>
        <v/>
      </c>
      <c r="C13" s="82">
        <f t="shared" si="1"/>
        <v>0</v>
      </c>
      <c r="D13" s="83" t="str">
        <f>IFERROR(VLOOKUP(H13,'[1]Consolidado MP Planta'!$A$2:$M$823,13,0),"")</f>
        <v/>
      </c>
      <c r="E13" s="83" t="str">
        <f>IFERROR(VLOOKUP(H13,'[1]Consolidado MP Planta'!$A$2:$M$823,12,0),"")</f>
        <v/>
      </c>
      <c r="F13" s="83" t="str">
        <f t="shared" si="2"/>
        <v/>
      </c>
      <c r="G13" s="84" t="str">
        <f t="shared" si="0"/>
        <v/>
      </c>
      <c r="H13" s="85"/>
      <c r="I13" s="85"/>
      <c r="J13" s="86"/>
    </row>
    <row r="14" spans="1:10" ht="13.5" hidden="1" x14ac:dyDescent="0.25">
      <c r="A14" s="81"/>
      <c r="B14" s="69" t="str">
        <f>IFERROR(VLOOKUP(H14,'[1]Consolidado MP Planta'!$A$2:$M$823,3,0),"")</f>
        <v/>
      </c>
      <c r="C14" s="82">
        <f t="shared" si="1"/>
        <v>0</v>
      </c>
      <c r="D14" s="83" t="str">
        <f>IFERROR(VLOOKUP(H14,'[1]Consolidado MP Planta'!$A$2:$M$823,13,0),"")</f>
        <v/>
      </c>
      <c r="E14" s="83" t="str">
        <f>IFERROR(VLOOKUP(H14,'[1]Consolidado MP Planta'!$A$2:$M$823,12,0),"")</f>
        <v/>
      </c>
      <c r="F14" s="83" t="str">
        <f t="shared" si="2"/>
        <v/>
      </c>
      <c r="G14" s="84" t="str">
        <f t="shared" si="0"/>
        <v/>
      </c>
      <c r="H14" s="85"/>
      <c r="I14" s="85"/>
      <c r="J14" s="86"/>
    </row>
    <row r="15" spans="1:10" ht="14.25" thickBot="1" x14ac:dyDescent="0.3">
      <c r="A15" s="81"/>
      <c r="B15" s="69" t="str">
        <f>IFERROR(VLOOKUP(H15,'[2]ARTICULOS MP PLANTA'!$A$2:$G$589,2,0),"")</f>
        <v/>
      </c>
      <c r="C15" s="82"/>
      <c r="D15" s="83"/>
      <c r="E15" s="83"/>
      <c r="F15" s="83"/>
      <c r="G15" s="84"/>
      <c r="H15" s="85"/>
      <c r="I15" s="85"/>
      <c r="J15" s="86"/>
    </row>
    <row r="16" spans="1:10" ht="26.25" thickBot="1" x14ac:dyDescent="0.25">
      <c r="A16" s="76" t="s">
        <v>96</v>
      </c>
      <c r="B16" s="77" t="s">
        <v>103</v>
      </c>
      <c r="C16" s="77" t="s">
        <v>96</v>
      </c>
      <c r="D16" s="78" t="s">
        <v>98</v>
      </c>
      <c r="E16" s="78" t="s">
        <v>99</v>
      </c>
      <c r="F16" s="78" t="s">
        <v>100</v>
      </c>
      <c r="G16" s="78" t="s">
        <v>101</v>
      </c>
      <c r="H16" s="79" t="s">
        <v>102</v>
      </c>
      <c r="I16" s="80"/>
      <c r="J16" s="86"/>
    </row>
    <row r="17" spans="1:12" ht="13.5" x14ac:dyDescent="0.25">
      <c r="A17" s="81">
        <v>250</v>
      </c>
      <c r="B17" s="69" t="s">
        <v>45</v>
      </c>
      <c r="C17" s="82">
        <f>+A17</f>
        <v>250</v>
      </c>
      <c r="D17" s="82" t="s">
        <v>141</v>
      </c>
      <c r="E17" s="83">
        <v>0.47</v>
      </c>
      <c r="F17" s="83">
        <f>IFERROR(E17*C17,"")</f>
        <v>117.5</v>
      </c>
      <c r="G17" s="84">
        <f t="shared" ref="G17:G24" si="3">IFERROR(F17/$F$66,"")</f>
        <v>2.8678527617544133E-2</v>
      </c>
      <c r="H17" s="85" t="s">
        <v>44</v>
      </c>
      <c r="I17" s="85"/>
      <c r="J17" s="86"/>
    </row>
    <row r="18" spans="1:12" ht="13.5" x14ac:dyDescent="0.25">
      <c r="A18" s="81">
        <v>50</v>
      </c>
      <c r="B18" s="69" t="s">
        <v>50</v>
      </c>
      <c r="C18" s="82">
        <f t="shared" ref="C18:C24" si="4">+A18</f>
        <v>50</v>
      </c>
      <c r="D18" s="82" t="s">
        <v>141</v>
      </c>
      <c r="E18" s="83">
        <v>2.06</v>
      </c>
      <c r="F18" s="83">
        <f t="shared" ref="F18:F24" si="5">IFERROR(E18*C18,"")</f>
        <v>103</v>
      </c>
      <c r="G18" s="84">
        <f t="shared" si="3"/>
        <v>2.5139475273251454E-2</v>
      </c>
      <c r="H18" s="85" t="s">
        <v>49</v>
      </c>
      <c r="I18" s="85"/>
      <c r="J18" s="86"/>
    </row>
    <row r="19" spans="1:12" ht="13.5" hidden="1" x14ac:dyDescent="0.25">
      <c r="A19" s="81"/>
      <c r="B19" s="69" t="str">
        <f>IFERROR(VLOOKUP(H19,[1]SEMIELABORADOS!$A$2:$M$6000,2,0),"")</f>
        <v/>
      </c>
      <c r="C19" s="82">
        <f>+A19</f>
        <v>0</v>
      </c>
      <c r="D19" s="82" t="str">
        <f>IFERROR(VLOOKUP(H19,[1]SEMIELABORADOS!$A$2:$M$6000,6,0),"")</f>
        <v/>
      </c>
      <c r="E19" s="83" t="str">
        <f>IFERROR(VLOOKUP(H19,[1]SEMIELABORADOS!$A$2:$H$65536,8,0),"")</f>
        <v/>
      </c>
      <c r="F19" s="83" t="str">
        <f>IFERROR(E19*C19,"")</f>
        <v/>
      </c>
      <c r="G19" s="84" t="str">
        <f t="shared" si="3"/>
        <v/>
      </c>
      <c r="H19" s="85"/>
      <c r="I19" s="85"/>
      <c r="J19" s="86"/>
    </row>
    <row r="20" spans="1:12" ht="13.5" hidden="1" x14ac:dyDescent="0.25">
      <c r="A20" s="81"/>
      <c r="B20" s="69" t="str">
        <f>IFERROR(VLOOKUP(H20,[1]SEMIELABORADOS!$A$2:$M$6000,2,0),"")</f>
        <v/>
      </c>
      <c r="C20" s="82">
        <f>+A20</f>
        <v>0</v>
      </c>
      <c r="D20" s="82" t="str">
        <f>IFERROR(VLOOKUP(H20,[1]SEMIELABORADOS!$A$2:$M$6000,6,0),"")</f>
        <v/>
      </c>
      <c r="E20" s="83" t="str">
        <f>IFERROR(VLOOKUP(H20,[1]SEMIELABORADOS!$A$2:$H$65536,8,0),"")</f>
        <v/>
      </c>
      <c r="F20" s="83" t="str">
        <f>IFERROR(E20*C20,"")</f>
        <v/>
      </c>
      <c r="G20" s="84" t="str">
        <f t="shared" si="3"/>
        <v/>
      </c>
      <c r="H20" s="85"/>
      <c r="I20" s="85"/>
      <c r="J20" s="86"/>
    </row>
    <row r="21" spans="1:12" ht="13.5" hidden="1" x14ac:dyDescent="0.25">
      <c r="A21" s="81"/>
      <c r="B21" s="69" t="str">
        <f>IFERROR(VLOOKUP(H21,[1]SEMIELABORADOS!$A$2:$M$6000,2,0),"")</f>
        <v/>
      </c>
      <c r="C21" s="82">
        <f>+A21</f>
        <v>0</v>
      </c>
      <c r="D21" s="82" t="str">
        <f>IFERROR(VLOOKUP(H21,[1]SEMIELABORADOS!$A$2:$M$6000,6,0),"")</f>
        <v/>
      </c>
      <c r="E21" s="83" t="str">
        <f>IFERROR(VLOOKUP(H21,[1]SEMIELABORADOS!$A$2:$H$65536,8,0),"")</f>
        <v/>
      </c>
      <c r="F21" s="83" t="str">
        <f>IFERROR(E21*C21,"")</f>
        <v/>
      </c>
      <c r="G21" s="84" t="str">
        <f t="shared" si="3"/>
        <v/>
      </c>
      <c r="H21" s="85"/>
      <c r="I21" s="85"/>
      <c r="J21" s="86"/>
    </row>
    <row r="22" spans="1:12" ht="13.5" hidden="1" x14ac:dyDescent="0.25">
      <c r="A22" s="81"/>
      <c r="B22" s="69" t="str">
        <f>IFERROR(VLOOKUP(H22,[1]SEMIELABORADOS!$A$2:$M$6000,2,0),"")</f>
        <v/>
      </c>
      <c r="C22" s="82">
        <f t="shared" si="4"/>
        <v>0</v>
      </c>
      <c r="D22" s="82" t="str">
        <f>IFERROR(VLOOKUP(H22,[1]SEMIELABORADOS!$A$2:$M$6000,6,0),"")</f>
        <v/>
      </c>
      <c r="E22" s="83" t="str">
        <f>IFERROR(VLOOKUP(H22,[1]SEMIELABORADOS!$A$2:$H$65536,8,0),"")</f>
        <v/>
      </c>
      <c r="F22" s="83" t="str">
        <f t="shared" si="5"/>
        <v/>
      </c>
      <c r="G22" s="84" t="str">
        <f t="shared" si="3"/>
        <v/>
      </c>
      <c r="H22" s="85"/>
      <c r="I22" s="85"/>
      <c r="J22" s="86"/>
    </row>
    <row r="23" spans="1:12" ht="13.5" hidden="1" x14ac:dyDescent="0.25">
      <c r="A23" s="81"/>
      <c r="B23" s="69" t="str">
        <f>IFERROR(VLOOKUP(H23,[1]SEMIELABORADOS!$A$2:$M$6000,2,0),"")</f>
        <v/>
      </c>
      <c r="C23" s="82">
        <f t="shared" si="4"/>
        <v>0</v>
      </c>
      <c r="D23" s="82" t="str">
        <f>IFERROR(VLOOKUP(H23,[1]SEMIELABORADOS!$A$2:$M$6000,6,0),"")</f>
        <v/>
      </c>
      <c r="E23" s="83" t="str">
        <f>IFERROR(VLOOKUP(H23,[1]SEMIELABORADOS!$A$2:$H$65536,8,0),"")</f>
        <v/>
      </c>
      <c r="F23" s="83" t="str">
        <f t="shared" si="5"/>
        <v/>
      </c>
      <c r="G23" s="84" t="str">
        <f t="shared" si="3"/>
        <v/>
      </c>
      <c r="H23" s="85"/>
      <c r="I23" s="85"/>
      <c r="J23" s="86"/>
    </row>
    <row r="24" spans="1:12" ht="13.5" hidden="1" x14ac:dyDescent="0.25">
      <c r="A24" s="81"/>
      <c r="B24" s="69" t="str">
        <f>IFERROR(VLOOKUP(H24,[1]SEMIELABORADOS!$A$2:$M$6000,2,0),"")</f>
        <v/>
      </c>
      <c r="C24" s="82">
        <f t="shared" si="4"/>
        <v>0</v>
      </c>
      <c r="D24" s="82" t="str">
        <f>IFERROR(VLOOKUP(H24,[1]SEMIELABORADOS!$A$2:$M$6000,6,0),"")</f>
        <v/>
      </c>
      <c r="E24" s="83" t="str">
        <f>IFERROR(VLOOKUP(H24,[1]SEMIELABORADOS!$A$2:$H$65536,8,0),"")</f>
        <v/>
      </c>
      <c r="F24" s="83" t="str">
        <f t="shared" si="5"/>
        <v/>
      </c>
      <c r="G24" s="84" t="str">
        <f t="shared" si="3"/>
        <v/>
      </c>
      <c r="H24" s="85"/>
      <c r="I24" s="85"/>
      <c r="J24" s="86"/>
    </row>
    <row r="25" spans="1:12" ht="14.25" thickBot="1" x14ac:dyDescent="0.3">
      <c r="A25" s="81"/>
      <c r="C25" s="82"/>
      <c r="D25" s="82"/>
      <c r="E25" s="83"/>
      <c r="F25" s="83"/>
      <c r="G25" s="84"/>
      <c r="H25" s="85"/>
      <c r="I25" s="85"/>
      <c r="J25" s="86"/>
    </row>
    <row r="26" spans="1:12" ht="26.25" hidden="1" thickBot="1" x14ac:dyDescent="0.25">
      <c r="A26" s="76" t="s">
        <v>96</v>
      </c>
      <c r="B26" s="77" t="s">
        <v>74</v>
      </c>
      <c r="C26" s="77" t="s">
        <v>96</v>
      </c>
      <c r="D26" s="78" t="s">
        <v>98</v>
      </c>
      <c r="E26" s="78" t="s">
        <v>99</v>
      </c>
      <c r="F26" s="78" t="s">
        <v>100</v>
      </c>
      <c r="G26" s="78" t="s">
        <v>101</v>
      </c>
      <c r="H26" s="79" t="s">
        <v>102</v>
      </c>
      <c r="I26" s="80"/>
    </row>
    <row r="27" spans="1:12" ht="13.5" hidden="1" x14ac:dyDescent="0.25">
      <c r="A27" s="81">
        <v>0</v>
      </c>
      <c r="B27" s="87" t="str">
        <f>IFERROR(VLOOKUP(H27,'[1]Consolidado MP Planta'!$A$2:$M$823,3,0),"")</f>
        <v/>
      </c>
      <c r="C27" s="82">
        <f t="shared" ref="C27:C32" si="6">+A27</f>
        <v>0</v>
      </c>
      <c r="D27" s="83" t="str">
        <f>IFERROR(VLOOKUP(H27,'[1]Consolidado MP Planta'!$A$2:$M$823,13,0),"")</f>
        <v/>
      </c>
      <c r="E27" s="83" t="str">
        <f>IFERROR(VLOOKUP(H27,'[1]Consolidado MP Planta'!$A$2:$M$823,12,0),"")</f>
        <v/>
      </c>
      <c r="F27" s="83" t="str">
        <f t="shared" ref="F27:F32" si="7">IFERROR(C27*E27,"")</f>
        <v/>
      </c>
      <c r="G27" s="84" t="str">
        <f t="shared" ref="G27:G32" si="8">IFERROR(F27/$F$66,"")</f>
        <v/>
      </c>
      <c r="H27" s="88"/>
      <c r="I27" s="88"/>
      <c r="J27" s="86"/>
      <c r="K27" s="436"/>
      <c r="L27" s="436"/>
    </row>
    <row r="28" spans="1:12" ht="13.5" hidden="1" x14ac:dyDescent="0.25">
      <c r="A28" s="81"/>
      <c r="B28" s="87" t="str">
        <f>IFERROR(VLOOKUP(H28,'[1]Consolidado MP Planta'!$A$2:$M$823,3,0),"")</f>
        <v/>
      </c>
      <c r="C28" s="82">
        <f t="shared" si="6"/>
        <v>0</v>
      </c>
      <c r="D28" s="83" t="str">
        <f>IFERROR(VLOOKUP(H28,'[1]Consolidado MP Planta'!$A$2:$M$823,13,0),"")</f>
        <v/>
      </c>
      <c r="E28" s="83" t="str">
        <f>IFERROR(VLOOKUP(H28,'[1]Consolidado MP Planta'!$A$2:$M$823,12,0),"")</f>
        <v/>
      </c>
      <c r="F28" s="83" t="str">
        <f t="shared" si="7"/>
        <v/>
      </c>
      <c r="G28" s="84" t="str">
        <f t="shared" si="8"/>
        <v/>
      </c>
      <c r="H28" s="88"/>
      <c r="I28" s="88"/>
      <c r="J28" s="86"/>
      <c r="K28" s="436"/>
      <c r="L28" s="436"/>
    </row>
    <row r="29" spans="1:12" ht="13.5" hidden="1" x14ac:dyDescent="0.25">
      <c r="A29" s="81"/>
      <c r="B29" s="87" t="str">
        <f>IFERROR(VLOOKUP(H29,'[1]Consolidado MP Planta'!$A$2:$M$823,3,0),"")</f>
        <v/>
      </c>
      <c r="C29" s="82">
        <f t="shared" si="6"/>
        <v>0</v>
      </c>
      <c r="D29" s="83" t="str">
        <f>IFERROR(VLOOKUP(H29,'[1]Consolidado MP Planta'!$A$2:$M$823,13,0),"")</f>
        <v/>
      </c>
      <c r="E29" s="83" t="str">
        <f>IFERROR(VLOOKUP(H29,'[1]Consolidado MP Planta'!$A$2:$M$823,12,0),"")</f>
        <v/>
      </c>
      <c r="F29" s="83" t="str">
        <f t="shared" si="7"/>
        <v/>
      </c>
      <c r="G29" s="84" t="str">
        <f t="shared" si="8"/>
        <v/>
      </c>
      <c r="H29" s="88"/>
      <c r="I29" s="88"/>
      <c r="J29" s="86"/>
      <c r="K29" s="436"/>
      <c r="L29" s="436"/>
    </row>
    <row r="30" spans="1:12" ht="13.5" hidden="1" x14ac:dyDescent="0.25">
      <c r="A30" s="81"/>
      <c r="B30" s="87" t="str">
        <f>IFERROR(VLOOKUP(H30,'[1]Consolidado MP Planta'!$A$2:$M$823,3,0),"")</f>
        <v/>
      </c>
      <c r="C30" s="82">
        <f t="shared" si="6"/>
        <v>0</v>
      </c>
      <c r="D30" s="83" t="str">
        <f>IFERROR(VLOOKUP(H30,'[1]Consolidado MP Planta'!$A$2:$M$823,13,0),"")</f>
        <v/>
      </c>
      <c r="E30" s="83" t="str">
        <f>IFERROR(VLOOKUP(H30,'[1]Consolidado MP Planta'!$A$2:$M$823,12,0),"")</f>
        <v/>
      </c>
      <c r="F30" s="83" t="str">
        <f t="shared" si="7"/>
        <v/>
      </c>
      <c r="G30" s="84" t="str">
        <f t="shared" si="8"/>
        <v/>
      </c>
      <c r="H30" s="88"/>
      <c r="I30" s="88"/>
      <c r="J30" s="86"/>
      <c r="K30" s="436"/>
      <c r="L30" s="436"/>
    </row>
    <row r="31" spans="1:12" ht="13.5" hidden="1" x14ac:dyDescent="0.25">
      <c r="A31" s="81"/>
      <c r="B31" s="87" t="str">
        <f>IFERROR(VLOOKUP(H31,'[1]Consolidado MP Planta'!$A$2:$M$823,3,0),"")</f>
        <v/>
      </c>
      <c r="C31" s="82">
        <f t="shared" si="6"/>
        <v>0</v>
      </c>
      <c r="D31" s="83" t="str">
        <f>IFERROR(VLOOKUP(H31,'[1]Consolidado MP Planta'!$A$2:$M$823,13,0),"")</f>
        <v/>
      </c>
      <c r="E31" s="83" t="str">
        <f>IFERROR(VLOOKUP(H31,'[1]Consolidado MP Planta'!$A$2:$M$823,12,0),"")</f>
        <v/>
      </c>
      <c r="F31" s="83" t="str">
        <f t="shared" si="7"/>
        <v/>
      </c>
      <c r="G31" s="84" t="str">
        <f t="shared" si="8"/>
        <v/>
      </c>
      <c r="H31" s="88"/>
      <c r="I31" s="88"/>
      <c r="J31" s="86"/>
      <c r="K31" s="89"/>
      <c r="L31" s="90"/>
    </row>
    <row r="32" spans="1:12" ht="13.5" hidden="1" x14ac:dyDescent="0.25">
      <c r="A32" s="81"/>
      <c r="B32" s="87" t="str">
        <f>IFERROR(VLOOKUP(H32,'[1]Consolidado MP Planta'!$A$2:$M$823,3,0),"")</f>
        <v/>
      </c>
      <c r="C32" s="82">
        <f t="shared" si="6"/>
        <v>0</v>
      </c>
      <c r="D32" s="83" t="str">
        <f>IFERROR(VLOOKUP(H32,'[1]Consolidado MP Planta'!$A$2:$M$823,13,0),"")</f>
        <v/>
      </c>
      <c r="E32" s="83" t="str">
        <f>IFERROR(VLOOKUP(H32,'[1]Consolidado MP Planta'!$A$2:$M$823,12,0),"")</f>
        <v/>
      </c>
      <c r="F32" s="83" t="str">
        <f t="shared" si="7"/>
        <v/>
      </c>
      <c r="G32" s="84" t="str">
        <f t="shared" si="8"/>
        <v/>
      </c>
      <c r="H32" s="88"/>
      <c r="I32" s="88"/>
      <c r="J32" s="86"/>
    </row>
    <row r="33" spans="1:13" ht="14.25" hidden="1" thickBot="1" x14ac:dyDescent="0.3">
      <c r="A33" s="81"/>
      <c r="B33" s="87"/>
      <c r="C33" s="82"/>
      <c r="D33" s="83"/>
      <c r="E33" s="83"/>
      <c r="F33" s="83"/>
      <c r="G33" s="84"/>
      <c r="H33" s="88"/>
      <c r="I33" s="88"/>
      <c r="J33" s="86"/>
    </row>
    <row r="34" spans="1:13" ht="26.25" thickBot="1" x14ac:dyDescent="0.25">
      <c r="A34" s="76" t="s">
        <v>96</v>
      </c>
      <c r="B34" s="77" t="s">
        <v>104</v>
      </c>
      <c r="C34" s="77" t="s">
        <v>96</v>
      </c>
      <c r="D34" s="78" t="s">
        <v>98</v>
      </c>
      <c r="E34" s="78" t="s">
        <v>99</v>
      </c>
      <c r="F34" s="78" t="s">
        <v>100</v>
      </c>
      <c r="G34" s="78" t="s">
        <v>101</v>
      </c>
      <c r="H34" s="79" t="s">
        <v>102</v>
      </c>
      <c r="I34" s="88"/>
      <c r="J34" s="86"/>
    </row>
    <row r="35" spans="1:13" ht="13.5" x14ac:dyDescent="0.25">
      <c r="A35" s="81">
        <f>+A17</f>
        <v>250</v>
      </c>
      <c r="B35" s="69" t="s">
        <v>45</v>
      </c>
      <c r="C35" s="82">
        <f>+A35</f>
        <v>250</v>
      </c>
      <c r="D35" s="83" t="s">
        <v>141</v>
      </c>
      <c r="E35" s="83">
        <v>0.05</v>
      </c>
      <c r="F35" s="83">
        <f>IFERROR(E35*C35,"")</f>
        <v>12.5</v>
      </c>
      <c r="G35" s="84">
        <f t="shared" ref="G35:G41" si="9">IFERROR(F35/$F$66,"")</f>
        <v>3.0509071933557588E-3</v>
      </c>
      <c r="H35" s="85" t="s">
        <v>44</v>
      </c>
      <c r="I35" s="88"/>
      <c r="J35" s="86"/>
    </row>
    <row r="36" spans="1:13" ht="13.5" x14ac:dyDescent="0.25">
      <c r="A36" s="81">
        <f t="shared" ref="A36:A41" si="10">+A18</f>
        <v>50</v>
      </c>
      <c r="B36" s="87" t="s">
        <v>50</v>
      </c>
      <c r="C36" s="82">
        <f t="shared" ref="C36:C41" si="11">+A36</f>
        <v>50</v>
      </c>
      <c r="D36" s="83" t="s">
        <v>141</v>
      </c>
      <c r="E36" s="83">
        <v>0.01</v>
      </c>
      <c r="F36" s="83">
        <f t="shared" ref="F36:F41" si="12">IFERROR(E36*C36,"")</f>
        <v>0.5</v>
      </c>
      <c r="G36" s="84">
        <f t="shared" si="9"/>
        <v>1.2203628773423036E-4</v>
      </c>
      <c r="H36" s="85" t="s">
        <v>49</v>
      </c>
      <c r="I36" s="88"/>
      <c r="J36" s="86"/>
    </row>
    <row r="37" spans="1:13" ht="13.5" hidden="1" x14ac:dyDescent="0.25">
      <c r="A37" s="81">
        <f t="shared" si="10"/>
        <v>0</v>
      </c>
      <c r="B37" s="87" t="str">
        <f>IFERROR(VLOOKUP(H37,[1]SEMIELABORADOS!$A$2:$M$6000,2,0),"")</f>
        <v/>
      </c>
      <c r="C37" s="82">
        <f t="shared" si="11"/>
        <v>0</v>
      </c>
      <c r="D37" s="83" t="str">
        <f>IFERROR(VLOOKUP(H37,[1]SEMIELABORADOS!$A$2:$M$6000,6,0),"")</f>
        <v/>
      </c>
      <c r="E37" s="83" t="str">
        <f>IFERROR(VLOOKUP(H37,[1]SEMIELABORADOS!$A$2:$M$65536,10,0),"")</f>
        <v/>
      </c>
      <c r="F37" s="83" t="str">
        <f t="shared" si="12"/>
        <v/>
      </c>
      <c r="G37" s="84" t="str">
        <f t="shared" si="9"/>
        <v/>
      </c>
      <c r="H37" s="88"/>
      <c r="I37" s="88"/>
      <c r="J37" s="86"/>
    </row>
    <row r="38" spans="1:13" ht="13.5" hidden="1" x14ac:dyDescent="0.25">
      <c r="A38" s="81">
        <f t="shared" si="10"/>
        <v>0</v>
      </c>
      <c r="B38" s="87" t="str">
        <f>IFERROR(VLOOKUP(H38,[1]SEMIELABORADOS!$A$2:$M$6000,2,0),"")</f>
        <v/>
      </c>
      <c r="C38" s="82">
        <f>+A38</f>
        <v>0</v>
      </c>
      <c r="D38" s="83" t="str">
        <f>IFERROR(VLOOKUP(H38,[1]SEMIELABORADOS!$A$2:$M$6000,6,0),"")</f>
        <v/>
      </c>
      <c r="E38" s="83" t="str">
        <f>IFERROR(VLOOKUP(H38,[1]SEMIELABORADOS!$A$2:$M$65536,10,0),"")</f>
        <v/>
      </c>
      <c r="F38" s="83" t="str">
        <f>IFERROR(E38*C38,"")</f>
        <v/>
      </c>
      <c r="G38" s="84" t="str">
        <f t="shared" si="9"/>
        <v/>
      </c>
      <c r="H38" s="88"/>
      <c r="I38" s="88"/>
      <c r="J38" s="86"/>
    </row>
    <row r="39" spans="1:13" ht="13.5" hidden="1" x14ac:dyDescent="0.25">
      <c r="A39" s="81">
        <f t="shared" si="10"/>
        <v>0</v>
      </c>
      <c r="B39" s="87" t="str">
        <f>IFERROR(VLOOKUP(H39,[1]SEMIELABORADOS!$A$2:$M$6000,2,0),"")</f>
        <v/>
      </c>
      <c r="C39" s="82">
        <f>+A39</f>
        <v>0</v>
      </c>
      <c r="D39" s="83" t="str">
        <f>IFERROR(VLOOKUP(H39,[1]SEMIELABORADOS!$A$2:$M$6000,6,0),"")</f>
        <v/>
      </c>
      <c r="E39" s="83" t="str">
        <f>IFERROR(VLOOKUP(H39,[1]SEMIELABORADOS!$A$2:$M$65536,10,0),"")</f>
        <v/>
      </c>
      <c r="F39" s="83" t="str">
        <f>IFERROR(E39*C39,"")</f>
        <v/>
      </c>
      <c r="G39" s="84" t="str">
        <f t="shared" si="9"/>
        <v/>
      </c>
      <c r="H39" s="88"/>
      <c r="I39" s="88"/>
      <c r="J39" s="86"/>
    </row>
    <row r="40" spans="1:13" ht="13.5" hidden="1" x14ac:dyDescent="0.25">
      <c r="A40" s="81">
        <f t="shared" si="10"/>
        <v>0</v>
      </c>
      <c r="B40" s="87" t="str">
        <f>IFERROR(VLOOKUP(H40,[1]SEMIELABORADOS!$A$2:$M$6000,2,0),"")</f>
        <v/>
      </c>
      <c r="C40" s="82">
        <f t="shared" si="11"/>
        <v>0</v>
      </c>
      <c r="D40" s="83" t="str">
        <f>IFERROR(VLOOKUP(H40,[1]SEMIELABORADOS!$A$2:$M$6000,6,0),"")</f>
        <v/>
      </c>
      <c r="E40" s="83" t="str">
        <f>IFERROR(VLOOKUP(H40,[1]SEMIELABORADOS!$A$2:$M$65536,10,0),"")</f>
        <v/>
      </c>
      <c r="F40" s="83" t="str">
        <f t="shared" si="12"/>
        <v/>
      </c>
      <c r="G40" s="84" t="str">
        <f t="shared" si="9"/>
        <v/>
      </c>
      <c r="H40" s="88"/>
      <c r="I40" s="88"/>
      <c r="J40" s="86"/>
    </row>
    <row r="41" spans="1:13" ht="13.5" hidden="1" x14ac:dyDescent="0.25">
      <c r="A41" s="81">
        <f t="shared" si="10"/>
        <v>0</v>
      </c>
      <c r="B41" s="87" t="str">
        <f>IFERROR(VLOOKUP(H41,[1]SEMIELABORADOS!$A$2:$M$6000,2,0),"")</f>
        <v/>
      </c>
      <c r="C41" s="82">
        <f t="shared" si="11"/>
        <v>0</v>
      </c>
      <c r="D41" s="83" t="str">
        <f>IFERROR(VLOOKUP(H41,[1]SEMIELABORADOS!$A$2:$M$6000,6,0),"")</f>
        <v/>
      </c>
      <c r="E41" s="83" t="str">
        <f>IFERROR(VLOOKUP(H41,[1]SEMIELABORADOS!$A$2:$M$65536,10,0),"")</f>
        <v/>
      </c>
      <c r="F41" s="83" t="str">
        <f t="shared" si="12"/>
        <v/>
      </c>
      <c r="G41" s="84" t="str">
        <f t="shared" si="9"/>
        <v/>
      </c>
      <c r="H41" s="88"/>
      <c r="I41" s="88"/>
      <c r="J41" s="86"/>
    </row>
    <row r="42" spans="1:13" ht="14.25" thickBot="1" x14ac:dyDescent="0.3">
      <c r="A42" s="81"/>
      <c r="B42" s="87"/>
      <c r="C42" s="82"/>
      <c r="D42" s="83"/>
      <c r="E42" s="83"/>
      <c r="F42" s="83"/>
      <c r="G42" s="84"/>
      <c r="H42" s="88"/>
      <c r="I42" s="88"/>
      <c r="J42" s="86"/>
    </row>
    <row r="43" spans="1:13" ht="26.25" thickBot="1" x14ac:dyDescent="0.25">
      <c r="A43" s="76" t="s">
        <v>96</v>
      </c>
      <c r="B43" s="77" t="s">
        <v>105</v>
      </c>
      <c r="C43" s="77" t="s">
        <v>96</v>
      </c>
      <c r="D43" s="78" t="s">
        <v>98</v>
      </c>
      <c r="E43" s="78" t="s">
        <v>99</v>
      </c>
      <c r="F43" s="78" t="s">
        <v>100</v>
      </c>
      <c r="G43" s="78" t="s">
        <v>101</v>
      </c>
      <c r="H43" s="79" t="s">
        <v>102</v>
      </c>
      <c r="I43" s="80"/>
      <c r="J43" s="86"/>
    </row>
    <row r="44" spans="1:13" ht="13.5" x14ac:dyDescent="0.25">
      <c r="A44" s="81">
        <f>+A35</f>
        <v>250</v>
      </c>
      <c r="B44" s="69" t="s">
        <v>45</v>
      </c>
      <c r="C44" s="82">
        <f>+A44</f>
        <v>250</v>
      </c>
      <c r="D44" s="83" t="s">
        <v>141</v>
      </c>
      <c r="E44" s="83">
        <v>0.04</v>
      </c>
      <c r="F44" s="83">
        <f>IFERROR(E44*C44,"")</f>
        <v>10</v>
      </c>
      <c r="G44" s="84">
        <f>IFERROR(F44/$F$66,"")</f>
        <v>2.4407257546846073E-3</v>
      </c>
      <c r="H44" s="85" t="s">
        <v>44</v>
      </c>
      <c r="I44" s="80"/>
      <c r="J44" s="86"/>
    </row>
    <row r="45" spans="1:13" ht="13.5" x14ac:dyDescent="0.25">
      <c r="A45" s="81">
        <f t="shared" ref="A45:A50" si="13">+A36</f>
        <v>50</v>
      </c>
      <c r="B45" s="87" t="s">
        <v>50</v>
      </c>
      <c r="C45" s="82">
        <f t="shared" ref="C45:C50" si="14">+A45</f>
        <v>50</v>
      </c>
      <c r="D45" s="83" t="s">
        <v>141</v>
      </c>
      <c r="E45" s="83">
        <v>0.01</v>
      </c>
      <c r="F45" s="83">
        <f t="shared" ref="F45:F50" si="15">IFERROR(E45*C45,"")</f>
        <v>0.5</v>
      </c>
      <c r="G45" s="84">
        <f t="shared" ref="G45:G50" si="16">IFERROR(F45/$F$66,"")</f>
        <v>1.2203628773423036E-4</v>
      </c>
      <c r="H45" s="85" t="s">
        <v>49</v>
      </c>
      <c r="I45" s="80"/>
      <c r="J45" s="86"/>
      <c r="M45" s="91"/>
    </row>
    <row r="46" spans="1:13" ht="13.5" hidden="1" x14ac:dyDescent="0.25">
      <c r="A46" s="81">
        <f t="shared" si="13"/>
        <v>0</v>
      </c>
      <c r="B46" s="87" t="str">
        <f>IFERROR(VLOOKUP(H46,[1]SEMIELABORADOS!$A$2:$M$6000,2,0),"")</f>
        <v/>
      </c>
      <c r="C46" s="82">
        <f t="shared" si="14"/>
        <v>0</v>
      </c>
      <c r="D46" s="83" t="str">
        <f>IFERROR(VLOOKUP(H46,[1]SEMIELABORADOS!$A$2:$M$6000,6,0),"")</f>
        <v/>
      </c>
      <c r="E46" s="83" t="str">
        <f>IFERROR(VLOOKUP(H46,[1]SEMIELABORADOS!$A$2:$M$65536,12,0),"")</f>
        <v/>
      </c>
      <c r="F46" s="83" t="str">
        <f t="shared" si="15"/>
        <v/>
      </c>
      <c r="G46" s="84" t="str">
        <f t="shared" si="16"/>
        <v/>
      </c>
      <c r="H46" s="88"/>
      <c r="I46" s="80"/>
      <c r="J46" s="86"/>
    </row>
    <row r="47" spans="1:13" ht="13.5" hidden="1" x14ac:dyDescent="0.25">
      <c r="A47" s="81">
        <f t="shared" si="13"/>
        <v>0</v>
      </c>
      <c r="B47" s="87" t="str">
        <f>IFERROR(VLOOKUP(H47,[1]SEMIELABORADOS!$A$2:$M$6000,2,0),"")</f>
        <v/>
      </c>
      <c r="C47" s="82">
        <f t="shared" si="14"/>
        <v>0</v>
      </c>
      <c r="D47" s="83" t="str">
        <f>IFERROR(VLOOKUP(H47,[1]SEMIELABORADOS!$A$2:$M$6000,6,0),"")</f>
        <v/>
      </c>
      <c r="E47" s="83" t="str">
        <f>IFERROR(VLOOKUP(H47,[1]SEMIELABORADOS!$A$2:$M$65536,12,0),"")</f>
        <v/>
      </c>
      <c r="F47" s="83" t="str">
        <f t="shared" si="15"/>
        <v/>
      </c>
      <c r="G47" s="84" t="str">
        <f t="shared" si="16"/>
        <v/>
      </c>
      <c r="H47" s="88"/>
      <c r="I47" s="80"/>
      <c r="J47" s="86"/>
    </row>
    <row r="48" spans="1:13" ht="13.5" hidden="1" x14ac:dyDescent="0.25">
      <c r="A48" s="81">
        <f t="shared" si="13"/>
        <v>0</v>
      </c>
      <c r="B48" s="87" t="str">
        <f>IFERROR(VLOOKUP(H48,[1]SEMIELABORADOS!$A$2:$M$6000,2,0),"")</f>
        <v/>
      </c>
      <c r="C48" s="82">
        <f t="shared" si="14"/>
        <v>0</v>
      </c>
      <c r="D48" s="83" t="str">
        <f>IFERROR(VLOOKUP(H48,[1]SEMIELABORADOS!$A$2:$M$6000,6,0),"")</f>
        <v/>
      </c>
      <c r="E48" s="83" t="str">
        <f>IFERROR(VLOOKUP(H48,[1]SEMIELABORADOS!$A$2:$M$65536,12,0),"")</f>
        <v/>
      </c>
      <c r="F48" s="83" t="str">
        <f t="shared" si="15"/>
        <v/>
      </c>
      <c r="G48" s="84" t="str">
        <f t="shared" si="16"/>
        <v/>
      </c>
      <c r="H48" s="88"/>
      <c r="I48" s="80"/>
      <c r="J48" s="86"/>
    </row>
    <row r="49" spans="1:17" ht="13.5" hidden="1" x14ac:dyDescent="0.25">
      <c r="A49" s="81">
        <f t="shared" si="13"/>
        <v>0</v>
      </c>
      <c r="B49" s="87" t="str">
        <f>IFERROR(VLOOKUP(H49,[1]SEMIELABORADOS!$A$2:$M$6000,2,0),"")</f>
        <v/>
      </c>
      <c r="C49" s="82">
        <f t="shared" si="14"/>
        <v>0</v>
      </c>
      <c r="D49" s="83" t="str">
        <f>IFERROR(VLOOKUP(H49,[1]SEMIELABORADOS!$A$2:$M$6000,6,0),"")</f>
        <v/>
      </c>
      <c r="E49" s="83" t="str">
        <f>IFERROR(VLOOKUP(H49,[1]SEMIELABORADOS!$A$2:$M$65536,12,0),"")</f>
        <v/>
      </c>
      <c r="F49" s="83" t="str">
        <f t="shared" si="15"/>
        <v/>
      </c>
      <c r="G49" s="84" t="str">
        <f t="shared" si="16"/>
        <v/>
      </c>
      <c r="H49" s="88"/>
      <c r="I49" s="80"/>
      <c r="J49" s="86"/>
    </row>
    <row r="50" spans="1:17" ht="13.5" hidden="1" x14ac:dyDescent="0.25">
      <c r="A50" s="81">
        <f t="shared" si="13"/>
        <v>0</v>
      </c>
      <c r="B50" s="87" t="str">
        <f>IFERROR(VLOOKUP(H50,[1]SEMIELABORADOS!$A$2:$M$6000,2,0),"")</f>
        <v/>
      </c>
      <c r="C50" s="82">
        <f t="shared" si="14"/>
        <v>0</v>
      </c>
      <c r="D50" s="83" t="str">
        <f>IFERROR(VLOOKUP(H50,[1]SEMIELABORADOS!$A$2:$M$6000,6,0),"")</f>
        <v/>
      </c>
      <c r="E50" s="83" t="str">
        <f>IFERROR(VLOOKUP(H50,[1]SEMIELABORADOS!$A$2:$M$65536,12,0),"")</f>
        <v/>
      </c>
      <c r="F50" s="83" t="str">
        <f t="shared" si="15"/>
        <v/>
      </c>
      <c r="G50" s="84" t="str">
        <f t="shared" si="16"/>
        <v/>
      </c>
      <c r="H50" s="87"/>
      <c r="I50" s="80"/>
      <c r="J50" s="86"/>
    </row>
    <row r="51" spans="1:17" ht="13.5" x14ac:dyDescent="0.25">
      <c r="A51" s="81">
        <v>1</v>
      </c>
      <c r="B51" s="87" t="s">
        <v>106</v>
      </c>
      <c r="C51" s="82">
        <f>+A51</f>
        <v>1</v>
      </c>
      <c r="D51" s="82" t="s">
        <v>107</v>
      </c>
      <c r="E51" s="83">
        <f>+F65</f>
        <v>308</v>
      </c>
      <c r="F51" s="83">
        <f>IFERROR(C51*E51,"")</f>
        <v>308</v>
      </c>
      <c r="G51" s="84">
        <f>IFERROR(F51/$F$66,"")</f>
        <v>7.5174353244285896E-2</v>
      </c>
      <c r="H51" s="92"/>
      <c r="I51" s="92"/>
      <c r="J51" s="86"/>
    </row>
    <row r="52" spans="1:17" ht="14.25" thickBot="1" x14ac:dyDescent="0.3">
      <c r="A52" s="81"/>
      <c r="B52" s="87"/>
      <c r="C52" s="82"/>
      <c r="D52" s="82"/>
      <c r="E52" s="83"/>
      <c r="F52" s="83"/>
      <c r="G52" s="84"/>
      <c r="H52" s="92"/>
      <c r="I52" s="92"/>
      <c r="J52" s="86"/>
    </row>
    <row r="53" spans="1:17" ht="13.5" thickBot="1" x14ac:dyDescent="0.25">
      <c r="A53" s="93"/>
      <c r="B53" s="446" t="s">
        <v>108</v>
      </c>
      <c r="C53" s="446"/>
      <c r="D53" s="446"/>
      <c r="E53" s="446"/>
      <c r="F53" s="95">
        <f>SUM(F8:F14,F17:F24)</f>
        <v>3702.1</v>
      </c>
      <c r="G53" s="84">
        <f>+F53/$F$66</f>
        <v>0.90358108164178841</v>
      </c>
      <c r="H53" s="96">
        <f>+F53/$D$60</f>
        <v>3702.1</v>
      </c>
      <c r="I53" s="96"/>
      <c r="J53" s="97"/>
      <c r="K53" s="98"/>
      <c r="L53" s="98"/>
      <c r="M53" s="98"/>
      <c r="N53" s="98"/>
      <c r="O53" s="98"/>
      <c r="P53" s="98"/>
      <c r="Q53" s="99"/>
    </row>
    <row r="54" spans="1:17" x14ac:dyDescent="0.2">
      <c r="A54" s="93"/>
      <c r="B54" s="446" t="s">
        <v>109</v>
      </c>
      <c r="C54" s="446"/>
      <c r="D54" s="446"/>
      <c r="E54" s="446"/>
      <c r="F54" s="95">
        <f>SUM(F27:F32,F35:F41)</f>
        <v>13</v>
      </c>
      <c r="G54" s="84">
        <f>+F54/$F$66</f>
        <v>3.1729434810899891E-3</v>
      </c>
      <c r="H54" s="96">
        <f>+F54/$D$60</f>
        <v>13</v>
      </c>
      <c r="I54" s="96"/>
      <c r="J54" s="100"/>
      <c r="K54" s="447" t="s">
        <v>110</v>
      </c>
      <c r="L54" s="448"/>
      <c r="M54" s="448"/>
      <c r="N54" s="448"/>
      <c r="O54" s="101">
        <f>+F55</f>
        <v>3715.1</v>
      </c>
      <c r="P54" s="101"/>
      <c r="Q54" s="102"/>
    </row>
    <row r="55" spans="1:17" x14ac:dyDescent="0.2">
      <c r="A55" s="93"/>
      <c r="B55" s="446" t="s">
        <v>111</v>
      </c>
      <c r="C55" s="446"/>
      <c r="D55" s="446"/>
      <c r="E55" s="446"/>
      <c r="F55" s="95">
        <f>+F53+F54</f>
        <v>3715.1</v>
      </c>
      <c r="G55" s="84">
        <f>+F55/$F$66</f>
        <v>0.90675402512287839</v>
      </c>
      <c r="H55" s="96">
        <f>+F55/$D$60</f>
        <v>3715.1</v>
      </c>
      <c r="I55" s="96"/>
      <c r="J55" s="103"/>
      <c r="K55" s="104"/>
      <c r="M55" s="105" t="s">
        <v>112</v>
      </c>
      <c r="N55" s="106"/>
      <c r="O55" s="101">
        <f>+H56</f>
        <v>318.5</v>
      </c>
      <c r="P55" s="101"/>
      <c r="Q55" s="102"/>
    </row>
    <row r="56" spans="1:17" ht="13.5" thickBot="1" x14ac:dyDescent="0.25">
      <c r="A56" s="93"/>
      <c r="B56" s="94"/>
      <c r="C56" s="446" t="s">
        <v>113</v>
      </c>
      <c r="D56" s="446"/>
      <c r="E56" s="446"/>
      <c r="F56" s="95">
        <f>SUM(F44:F51)</f>
        <v>318.5</v>
      </c>
      <c r="G56" s="84">
        <f>+F56/$F$66</f>
        <v>7.7737115286704739E-2</v>
      </c>
      <c r="H56" s="96">
        <f>+F56/$D$60</f>
        <v>318.5</v>
      </c>
      <c r="I56" s="96"/>
      <c r="J56" s="103"/>
      <c r="K56" s="104"/>
      <c r="L56" s="104"/>
      <c r="M56" s="104" t="s">
        <v>114</v>
      </c>
      <c r="N56" s="107"/>
      <c r="O56" s="101">
        <f>O54*N56</f>
        <v>0</v>
      </c>
      <c r="P56" s="101"/>
      <c r="Q56" s="102"/>
    </row>
    <row r="57" spans="1:17" ht="13.5" thickBot="1" x14ac:dyDescent="0.25">
      <c r="A57" s="93"/>
      <c r="B57" s="108"/>
      <c r="C57" s="108"/>
      <c r="D57" s="108"/>
      <c r="E57" s="108"/>
      <c r="F57" s="109"/>
      <c r="G57" s="84"/>
      <c r="H57" s="110"/>
      <c r="I57" s="96"/>
      <c r="J57" s="103"/>
      <c r="K57" s="111"/>
      <c r="M57" s="112" t="s">
        <v>115</v>
      </c>
      <c r="N57" s="113"/>
      <c r="O57" s="114">
        <f>SUM(O54:O56)</f>
        <v>4033.6</v>
      </c>
      <c r="P57" s="115"/>
      <c r="Q57" s="102"/>
    </row>
    <row r="58" spans="1:17" x14ac:dyDescent="0.2">
      <c r="B58" s="449" t="s">
        <v>116</v>
      </c>
      <c r="C58" s="449"/>
      <c r="D58" s="116">
        <v>1500</v>
      </c>
      <c r="E58" s="117"/>
      <c r="G58" s="84"/>
      <c r="H58" s="110">
        <f>+H56/77</f>
        <v>4.1363636363636367</v>
      </c>
      <c r="I58" s="118"/>
      <c r="J58" s="103"/>
      <c r="K58" s="111"/>
      <c r="L58" s="104"/>
      <c r="M58" s="104" t="s">
        <v>117</v>
      </c>
      <c r="N58" s="119"/>
      <c r="O58" s="101">
        <f>+H59</f>
        <v>264.72727272727275</v>
      </c>
      <c r="P58" s="101"/>
      <c r="Q58" s="102"/>
    </row>
    <row r="59" spans="1:17" x14ac:dyDescent="0.2">
      <c r="B59" s="449" t="s">
        <v>118</v>
      </c>
      <c r="C59" s="449"/>
      <c r="D59" s="120">
        <v>1500</v>
      </c>
      <c r="E59" s="117"/>
      <c r="G59" s="84"/>
      <c r="H59" s="110">
        <f>+H58*64</f>
        <v>264.72727272727275</v>
      </c>
      <c r="I59" s="118"/>
      <c r="J59" s="103"/>
      <c r="K59" s="111"/>
      <c r="L59" s="104"/>
      <c r="M59" s="450" t="s">
        <v>115</v>
      </c>
      <c r="N59" s="450"/>
      <c r="O59" s="101">
        <f>SUM(O57:O58)</f>
        <v>4298.3272727272724</v>
      </c>
      <c r="P59" s="101"/>
      <c r="Q59" s="102"/>
    </row>
    <row r="60" spans="1:17" ht="13.5" thickBot="1" x14ac:dyDescent="0.25">
      <c r="B60" s="442" t="s">
        <v>119</v>
      </c>
      <c r="C60" s="442"/>
      <c r="D60" s="116">
        <f>+D58/D59</f>
        <v>1</v>
      </c>
      <c r="E60" s="117"/>
      <c r="F60" s="121"/>
      <c r="G60" s="84"/>
      <c r="H60" s="110"/>
      <c r="I60" s="118"/>
      <c r="J60" s="103"/>
      <c r="K60" s="111"/>
      <c r="L60" s="450"/>
      <c r="M60" s="450"/>
      <c r="N60" s="119"/>
      <c r="O60" s="101">
        <f>+O59*N60</f>
        <v>0</v>
      </c>
      <c r="P60" s="101"/>
      <c r="Q60" s="102"/>
    </row>
    <row r="61" spans="1:17" ht="13.5" thickBot="1" x14ac:dyDescent="0.25">
      <c r="B61" s="442" t="s">
        <v>120</v>
      </c>
      <c r="C61" s="442"/>
      <c r="D61" s="122"/>
      <c r="E61" s="117"/>
      <c r="F61" s="121"/>
      <c r="G61" s="84"/>
      <c r="H61" s="110"/>
      <c r="I61" s="118"/>
      <c r="J61" s="103"/>
      <c r="K61" s="443" t="s">
        <v>121</v>
      </c>
      <c r="L61" s="444"/>
      <c r="M61" s="444"/>
      <c r="N61" s="445"/>
      <c r="O61" s="114">
        <f>SUM(O59:O60)</f>
        <v>4298.3272727272724</v>
      </c>
      <c r="P61" s="123" t="s">
        <v>122</v>
      </c>
      <c r="Q61" s="102"/>
    </row>
    <row r="62" spans="1:17" ht="13.5" thickBot="1" x14ac:dyDescent="0.25">
      <c r="C62" s="93" t="s">
        <v>123</v>
      </c>
      <c r="D62" s="124"/>
      <c r="E62" s="67" t="s">
        <v>124</v>
      </c>
      <c r="F62" s="125" t="s">
        <v>125</v>
      </c>
      <c r="G62" s="84"/>
      <c r="H62" s="110"/>
      <c r="I62" s="118"/>
      <c r="J62" s="126"/>
      <c r="K62" s="127"/>
      <c r="L62" s="456" t="s">
        <v>126</v>
      </c>
      <c r="M62" s="456"/>
      <c r="N62" s="456"/>
      <c r="O62" s="128">
        <f>+O61/D60</f>
        <v>4298.3272727272724</v>
      </c>
      <c r="P62" s="129">
        <f>+O62/D59</f>
        <v>2.8655515151515147</v>
      </c>
      <c r="Q62" s="130"/>
    </row>
    <row r="63" spans="1:17" ht="13.5" thickBot="1" x14ac:dyDescent="0.25">
      <c r="B63" s="457" t="s">
        <v>111</v>
      </c>
      <c r="C63" s="457"/>
      <c r="D63" s="457"/>
      <c r="E63" s="131">
        <f>+F63/F63</f>
        <v>1</v>
      </c>
      <c r="F63" s="132">
        <f>SUM(F55)</f>
        <v>3715.1</v>
      </c>
      <c r="G63" s="84">
        <f>+F63/$F$66</f>
        <v>0.90675402512287839</v>
      </c>
      <c r="H63" s="110"/>
      <c r="I63" s="118"/>
      <c r="K63" s="458"/>
      <c r="L63" s="459"/>
      <c r="M63" s="459"/>
      <c r="N63" s="459"/>
      <c r="O63" s="133"/>
      <c r="P63" s="134"/>
    </row>
    <row r="64" spans="1:17" ht="13.5" thickBot="1" x14ac:dyDescent="0.25">
      <c r="B64" s="460" t="s">
        <v>127</v>
      </c>
      <c r="C64" s="460"/>
      <c r="D64" s="460"/>
      <c r="E64" s="135">
        <v>0.02</v>
      </c>
      <c r="F64" s="132">
        <f>+F53*E64</f>
        <v>74.042000000000002</v>
      </c>
      <c r="G64" s="84">
        <f>+F64/$F$66</f>
        <v>1.8071621632835769E-2</v>
      </c>
      <c r="H64" s="96"/>
      <c r="I64" s="118"/>
      <c r="J64" s="136"/>
      <c r="O64" s="137"/>
      <c r="P64" s="94"/>
    </row>
    <row r="65" spans="2:13" ht="13.5" thickBot="1" x14ac:dyDescent="0.25">
      <c r="B65" s="461" t="s">
        <v>128</v>
      </c>
      <c r="C65" s="462"/>
      <c r="D65" s="138">
        <v>4</v>
      </c>
      <c r="E65" s="139">
        <v>77</v>
      </c>
      <c r="F65" s="132">
        <f>+E65*D65</f>
        <v>308</v>
      </c>
      <c r="G65" s="84">
        <f>+F65/$F$66</f>
        <v>7.5174353244285896E-2</v>
      </c>
      <c r="H65" s="96"/>
      <c r="I65" s="96"/>
      <c r="J65" s="86"/>
    </row>
    <row r="66" spans="2:13" ht="13.5" thickBot="1" x14ac:dyDescent="0.25">
      <c r="B66" s="463" t="s">
        <v>129</v>
      </c>
      <c r="C66" s="464"/>
      <c r="D66" s="464"/>
      <c r="E66" s="465"/>
      <c r="F66" s="109">
        <f>SUM(F63:F65)</f>
        <v>4097.1419999999998</v>
      </c>
      <c r="G66" s="84">
        <f>+F66/$F$66</f>
        <v>1</v>
      </c>
      <c r="H66" s="466"/>
      <c r="I66" s="96"/>
      <c r="J66" s="86"/>
      <c r="M66" s="69" t="s">
        <v>130</v>
      </c>
    </row>
    <row r="67" spans="2:13" x14ac:dyDescent="0.2">
      <c r="C67" s="91"/>
      <c r="D67" s="91"/>
      <c r="E67" s="141"/>
      <c r="F67" s="132"/>
      <c r="G67" s="84"/>
      <c r="H67" s="466"/>
      <c r="I67" s="140"/>
      <c r="J67" s="69"/>
      <c r="M67" s="69" t="s">
        <v>131</v>
      </c>
    </row>
    <row r="68" spans="2:13" ht="13.5" thickBot="1" x14ac:dyDescent="0.25">
      <c r="B68" s="451" t="s">
        <v>132</v>
      </c>
      <c r="C68" s="451"/>
      <c r="D68" s="451"/>
      <c r="E68" s="451"/>
      <c r="F68" s="451"/>
      <c r="G68" s="84"/>
      <c r="H68" s="143"/>
      <c r="I68" s="140"/>
      <c r="J68" s="69"/>
      <c r="M68" s="69" t="s">
        <v>133</v>
      </c>
    </row>
    <row r="69" spans="2:13" ht="13.5" thickBot="1" x14ac:dyDescent="0.25">
      <c r="B69" s="144" t="s">
        <v>134</v>
      </c>
      <c r="C69" s="145">
        <f>+F53</f>
        <v>3702.1</v>
      </c>
      <c r="D69" s="145">
        <f>+D58</f>
        <v>1500</v>
      </c>
      <c r="E69" s="146">
        <f>+C69/D69</f>
        <v>2.4680666666666666</v>
      </c>
      <c r="F69" s="84"/>
      <c r="G69" s="143"/>
      <c r="H69" s="86"/>
      <c r="I69" s="143"/>
      <c r="J69" s="69"/>
    </row>
    <row r="70" spans="2:13" x14ac:dyDescent="0.2">
      <c r="B70" s="147"/>
      <c r="C70" s="148"/>
      <c r="D70" s="149"/>
      <c r="E70" s="132"/>
      <c r="F70" s="84"/>
      <c r="G70" s="143"/>
      <c r="H70" s="86"/>
      <c r="I70" s="86"/>
      <c r="J70" s="69"/>
    </row>
    <row r="71" spans="2:13" x14ac:dyDescent="0.2">
      <c r="B71" s="144" t="s">
        <v>135</v>
      </c>
      <c r="C71" s="145">
        <f>SUM(F63:F64)</f>
        <v>3789.1419999999998</v>
      </c>
      <c r="D71" s="145">
        <f>+D58</f>
        <v>1500</v>
      </c>
      <c r="E71" s="150">
        <f>+C71/D71</f>
        <v>2.5260946666666664</v>
      </c>
      <c r="F71" s="84"/>
      <c r="G71" s="143"/>
      <c r="H71" s="86"/>
      <c r="I71" s="86"/>
      <c r="J71" s="69"/>
    </row>
    <row r="72" spans="2:13" x14ac:dyDescent="0.2">
      <c r="B72" s="144"/>
      <c r="C72" s="145"/>
      <c r="D72" s="145"/>
      <c r="E72" s="150"/>
      <c r="F72" s="84"/>
      <c r="G72" s="143"/>
      <c r="H72" s="86"/>
      <c r="I72" s="86"/>
      <c r="J72" s="69"/>
    </row>
    <row r="73" spans="2:13" ht="13.5" thickBot="1" x14ac:dyDescent="0.25">
      <c r="B73" s="144" t="s">
        <v>136</v>
      </c>
      <c r="C73" s="145">
        <f>+F65</f>
        <v>308</v>
      </c>
      <c r="D73" s="145">
        <f>+D58</f>
        <v>1500</v>
      </c>
      <c r="E73" s="150">
        <f>+C73/D73</f>
        <v>0.20533333333333334</v>
      </c>
      <c r="F73" s="84"/>
      <c r="G73" s="143"/>
      <c r="H73" s="86"/>
      <c r="I73" s="86"/>
      <c r="J73" s="69"/>
    </row>
    <row r="74" spans="2:13" ht="13.5" thickBot="1" x14ac:dyDescent="0.25">
      <c r="B74" s="144" t="s">
        <v>137</v>
      </c>
      <c r="C74" s="145">
        <f>+F56</f>
        <v>318.5</v>
      </c>
      <c r="D74" s="145">
        <f>+D73</f>
        <v>1500</v>
      </c>
      <c r="E74" s="146">
        <f>+C74/D74</f>
        <v>0.21233333333333335</v>
      </c>
      <c r="F74" s="84"/>
      <c r="G74" s="143"/>
      <c r="H74" s="86"/>
      <c r="I74" s="86"/>
      <c r="J74" s="69"/>
    </row>
    <row r="75" spans="2:13" ht="13.5" thickBot="1" x14ac:dyDescent="0.25">
      <c r="B75" s="108"/>
      <c r="C75" s="109"/>
      <c r="D75" s="109"/>
      <c r="E75" s="150"/>
      <c r="F75" s="84"/>
      <c r="G75" s="143"/>
      <c r="H75" s="86"/>
      <c r="I75" s="86"/>
      <c r="J75" s="69"/>
    </row>
    <row r="76" spans="2:13" ht="13.5" thickBot="1" x14ac:dyDescent="0.25">
      <c r="B76" s="144" t="s">
        <v>138</v>
      </c>
      <c r="C76" s="145">
        <f>+F54</f>
        <v>13</v>
      </c>
      <c r="D76" s="145">
        <f>+D74</f>
        <v>1500</v>
      </c>
      <c r="E76" s="146">
        <f>+C76/D76</f>
        <v>8.6666666666666663E-3</v>
      </c>
      <c r="F76" s="84"/>
      <c r="G76" s="143"/>
      <c r="H76" s="86"/>
      <c r="I76" s="86"/>
      <c r="J76" s="86"/>
    </row>
    <row r="77" spans="2:13" ht="13.5" thickBot="1" x14ac:dyDescent="0.25">
      <c r="B77" s="108"/>
      <c r="C77" s="109"/>
      <c r="D77" s="109"/>
      <c r="E77" s="150"/>
      <c r="F77" s="84"/>
      <c r="G77" s="143"/>
      <c r="H77" s="86"/>
      <c r="I77" s="86"/>
    </row>
    <row r="78" spans="2:13" ht="13.5" thickBot="1" x14ac:dyDescent="0.25">
      <c r="B78" s="452" t="s">
        <v>139</v>
      </c>
      <c r="C78" s="453"/>
      <c r="D78" s="454"/>
      <c r="E78" s="146">
        <f>+E69+E74</f>
        <v>2.6804000000000001</v>
      </c>
      <c r="G78" s="84"/>
      <c r="H78" s="143"/>
      <c r="I78" s="86"/>
      <c r="J78" s="150"/>
    </row>
    <row r="79" spans="2:13" x14ac:dyDescent="0.2">
      <c r="I79" s="143"/>
      <c r="J79" s="69"/>
    </row>
    <row r="80" spans="2:13" ht="13.5" thickBot="1" x14ac:dyDescent="0.25">
      <c r="B80" s="451" t="s">
        <v>140</v>
      </c>
      <c r="C80" s="451"/>
      <c r="D80" s="451"/>
      <c r="E80" s="451"/>
      <c r="F80" s="451"/>
      <c r="G80" s="84"/>
      <c r="H80" s="143"/>
      <c r="J80" s="69"/>
    </row>
    <row r="81" spans="1:10" ht="13.5" thickBot="1" x14ac:dyDescent="0.25">
      <c r="B81" s="144" t="s">
        <v>134</v>
      </c>
      <c r="C81" s="145">
        <f>+C69</f>
        <v>3702.1</v>
      </c>
      <c r="D81" s="145">
        <f>+D60</f>
        <v>1</v>
      </c>
      <c r="E81" s="146">
        <f>+C81/D81</f>
        <v>3702.1</v>
      </c>
      <c r="F81" s="84"/>
      <c r="G81" s="143"/>
      <c r="H81" s="86"/>
      <c r="I81" s="143"/>
      <c r="J81" s="69"/>
    </row>
    <row r="82" spans="1:10" x14ac:dyDescent="0.2">
      <c r="B82" s="147"/>
      <c r="C82" s="148"/>
      <c r="D82" s="149"/>
      <c r="E82" s="132"/>
      <c r="F82" s="84"/>
      <c r="G82" s="143"/>
      <c r="H82" s="86"/>
      <c r="I82" s="86"/>
      <c r="J82" s="69"/>
    </row>
    <row r="83" spans="1:10" x14ac:dyDescent="0.2">
      <c r="B83" s="144" t="s">
        <v>135</v>
      </c>
      <c r="C83" s="145">
        <f>+C71</f>
        <v>3789.1419999999998</v>
      </c>
      <c r="D83" s="145">
        <f>+D60</f>
        <v>1</v>
      </c>
      <c r="E83" s="150">
        <f>+C83/D83</f>
        <v>3789.1419999999998</v>
      </c>
      <c r="F83" s="84"/>
      <c r="G83" s="143"/>
      <c r="H83" s="86"/>
      <c r="I83" s="86"/>
      <c r="J83" s="69"/>
    </row>
    <row r="84" spans="1:10" x14ac:dyDescent="0.2">
      <c r="B84" s="144"/>
      <c r="C84" s="145"/>
      <c r="D84" s="145"/>
      <c r="E84" s="150"/>
      <c r="F84" s="84"/>
      <c r="G84" s="143"/>
      <c r="H84" s="86"/>
      <c r="I84" s="86"/>
      <c r="J84" s="69"/>
    </row>
    <row r="85" spans="1:10" ht="13.5" thickBot="1" x14ac:dyDescent="0.25">
      <c r="B85" s="144" t="s">
        <v>137</v>
      </c>
      <c r="C85" s="145">
        <f>+C73</f>
        <v>308</v>
      </c>
      <c r="D85" s="145">
        <f>+D60</f>
        <v>1</v>
      </c>
      <c r="E85" s="150">
        <f>+C85/D85</f>
        <v>308</v>
      </c>
      <c r="F85" s="152"/>
      <c r="G85" s="142"/>
      <c r="H85" s="68"/>
      <c r="I85" s="86"/>
    </row>
    <row r="86" spans="1:10" ht="13.5" thickBot="1" x14ac:dyDescent="0.25">
      <c r="B86" s="144" t="s">
        <v>137</v>
      </c>
      <c r="C86" s="145">
        <f>+C74</f>
        <v>318.5</v>
      </c>
      <c r="D86" s="145">
        <f>+D85</f>
        <v>1</v>
      </c>
      <c r="E86" s="146">
        <f>+C86/D86</f>
        <v>318.5</v>
      </c>
      <c r="F86" s="151"/>
      <c r="G86" s="142"/>
      <c r="H86" s="68"/>
      <c r="I86" s="68"/>
    </row>
    <row r="87" spans="1:10" x14ac:dyDescent="0.2">
      <c r="I87" s="68"/>
    </row>
    <row r="88" spans="1:10" x14ac:dyDescent="0.2">
      <c r="A88" s="455"/>
      <c r="B88" s="455"/>
      <c r="C88" s="153"/>
      <c r="D88" s="153"/>
      <c r="E88" s="154"/>
      <c r="G88" s="155"/>
    </row>
    <row r="89" spans="1:10" x14ac:dyDescent="0.2">
      <c r="A89" s="87"/>
      <c r="B89" s="156"/>
      <c r="C89" s="157"/>
      <c r="D89" s="157"/>
      <c r="E89" s="158"/>
      <c r="G89" s="155"/>
    </row>
    <row r="90" spans="1:10" x14ac:dyDescent="0.2">
      <c r="A90" s="87"/>
      <c r="B90" s="156"/>
      <c r="C90" s="159"/>
      <c r="D90" s="159"/>
      <c r="E90" s="87"/>
      <c r="G90" s="155"/>
    </row>
    <row r="91" spans="1:10" x14ac:dyDescent="0.2">
      <c r="A91" s="87"/>
      <c r="B91" s="156"/>
      <c r="C91" s="160"/>
      <c r="D91" s="160"/>
      <c r="E91" s="87"/>
      <c r="G91" s="155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A02E5-C6FE-49FB-B0CB-C94774219F79}">
  <dimension ref="A1:Q91"/>
  <sheetViews>
    <sheetView workbookViewId="0">
      <selection activeCell="B66" sqref="B66:E66"/>
    </sheetView>
  </sheetViews>
  <sheetFormatPr baseColWidth="10" defaultColWidth="8.42578125" defaultRowHeight="12.75" x14ac:dyDescent="0.2"/>
  <cols>
    <col min="1" max="1" width="10" style="69" bestFit="1" customWidth="1"/>
    <col min="2" max="2" width="44.28515625" style="69" bestFit="1" customWidth="1"/>
    <col min="3" max="3" width="10.42578125" style="69" bestFit="1" customWidth="1"/>
    <col min="4" max="4" width="10.42578125" style="69" customWidth="1"/>
    <col min="5" max="5" width="12.7109375" style="69" customWidth="1"/>
    <col min="6" max="6" width="9.5703125" style="69" bestFit="1" customWidth="1"/>
    <col min="7" max="7" width="9.5703125" style="151" bestFit="1" customWidth="1"/>
    <col min="8" max="8" width="10.42578125" style="142" bestFit="1" customWidth="1"/>
    <col min="9" max="9" width="4.5703125" style="142" customWidth="1"/>
    <col min="10" max="10" width="1.85546875" style="68" customWidth="1"/>
    <col min="11" max="11" width="7" style="69" bestFit="1" customWidth="1"/>
    <col min="12" max="12" width="6.28515625" style="69" customWidth="1"/>
    <col min="13" max="13" width="20.42578125" style="69" customWidth="1"/>
    <col min="14" max="14" width="6.42578125" style="69" bestFit="1" customWidth="1"/>
    <col min="15" max="16" width="8.42578125" style="69"/>
    <col min="17" max="17" width="3.28515625" style="69" customWidth="1"/>
    <col min="18" max="16384" width="8.42578125" style="69"/>
  </cols>
  <sheetData>
    <row r="1" spans="1:10" ht="27.75" customHeight="1" x14ac:dyDescent="0.2">
      <c r="A1" s="64"/>
      <c r="B1" s="64"/>
      <c r="C1" s="64"/>
      <c r="D1" s="64"/>
      <c r="E1" s="65" t="s">
        <v>90</v>
      </c>
      <c r="F1" s="66" t="s">
        <v>91</v>
      </c>
      <c r="G1" s="66" t="s">
        <v>92</v>
      </c>
      <c r="H1" s="66" t="s">
        <v>93</v>
      </c>
      <c r="I1" s="67"/>
    </row>
    <row r="2" spans="1:10" ht="30.75" customHeight="1" x14ac:dyDescent="0.2">
      <c r="A2" s="64"/>
      <c r="B2" s="64"/>
      <c r="C2" s="64"/>
      <c r="D2" s="64"/>
      <c r="E2" s="70">
        <f>IFERROR(O62,"")</f>
        <v>4439.1168831168834</v>
      </c>
      <c r="F2" s="70">
        <f>IFERROR(H53,"")</f>
        <v>3916.5</v>
      </c>
      <c r="G2" s="70">
        <f>IFERROR(H54,"")</f>
        <v>57.5</v>
      </c>
      <c r="H2" s="70">
        <f>IFERROR(H56,"")</f>
        <v>254</v>
      </c>
      <c r="I2" s="71"/>
    </row>
    <row r="3" spans="1:10" ht="15" customHeight="1" x14ac:dyDescent="0.2">
      <c r="A3" s="64"/>
      <c r="B3" s="64"/>
      <c r="C3" s="64"/>
      <c r="D3" s="64"/>
      <c r="E3" s="64"/>
      <c r="F3" s="72"/>
      <c r="G3" s="72"/>
      <c r="H3" s="72"/>
      <c r="I3" s="72"/>
    </row>
    <row r="4" spans="1:10" ht="24.75" customHeight="1" thickBot="1" x14ac:dyDescent="0.25">
      <c r="A4" s="437"/>
      <c r="B4" s="437"/>
      <c r="C4" s="437"/>
      <c r="D4" s="437"/>
      <c r="E4" s="437"/>
      <c r="F4" s="437"/>
      <c r="G4" s="437"/>
      <c r="H4" s="437"/>
      <c r="I4" s="73"/>
    </row>
    <row r="5" spans="1:10" ht="19.5" customHeight="1" thickBot="1" x14ac:dyDescent="0.25">
      <c r="A5" s="438" t="s">
        <v>94</v>
      </c>
      <c r="B5" s="439"/>
      <c r="C5" s="439"/>
      <c r="D5" s="439"/>
      <c r="E5" s="439"/>
      <c r="F5" s="439"/>
      <c r="G5" s="439"/>
      <c r="H5" s="440"/>
      <c r="I5" s="74"/>
    </row>
    <row r="6" spans="1:10" ht="19.5" thickBot="1" x14ac:dyDescent="0.25">
      <c r="A6" s="74"/>
      <c r="B6" s="74"/>
      <c r="C6" s="74"/>
      <c r="D6" s="74"/>
      <c r="E6" s="74"/>
      <c r="F6" s="441" t="s">
        <v>95</v>
      </c>
      <c r="G6" s="441"/>
      <c r="H6" s="75">
        <f ca="1">TODAY()</f>
        <v>46034</v>
      </c>
      <c r="I6" s="75"/>
    </row>
    <row r="7" spans="1:10" ht="26.25" thickBot="1" x14ac:dyDescent="0.25">
      <c r="A7" s="76" t="s">
        <v>96</v>
      </c>
      <c r="B7" s="77" t="s">
        <v>97</v>
      </c>
      <c r="C7" s="77" t="s">
        <v>96</v>
      </c>
      <c r="D7" s="78" t="s">
        <v>98</v>
      </c>
      <c r="E7" s="78" t="s">
        <v>99</v>
      </c>
      <c r="F7" s="78" t="s">
        <v>100</v>
      </c>
      <c r="G7" s="78" t="s">
        <v>101</v>
      </c>
      <c r="H7" s="79" t="s">
        <v>102</v>
      </c>
      <c r="I7" s="80"/>
    </row>
    <row r="8" spans="1:10" ht="13.5" x14ac:dyDescent="0.25">
      <c r="A8" s="81">
        <v>750</v>
      </c>
      <c r="B8" s="69" t="s">
        <v>52</v>
      </c>
      <c r="C8" s="82">
        <f>+A8</f>
        <v>750</v>
      </c>
      <c r="D8" s="83" t="s">
        <v>141</v>
      </c>
      <c r="E8" s="83">
        <v>0.52</v>
      </c>
      <c r="F8" s="83">
        <f>IFERROR(C8*E8,"")</f>
        <v>390</v>
      </c>
      <c r="G8" s="84">
        <f t="shared" ref="G8:G14" si="0">IFERROR(F8/$F$66,"")</f>
        <v>9.1050654514128027E-2</v>
      </c>
      <c r="H8" s="85" t="s">
        <v>51</v>
      </c>
      <c r="I8" s="85"/>
      <c r="J8" s="86"/>
    </row>
    <row r="9" spans="1:10" ht="13.5" x14ac:dyDescent="0.25">
      <c r="A9" s="81">
        <v>450</v>
      </c>
      <c r="B9" s="69" t="s">
        <v>54</v>
      </c>
      <c r="C9" s="82">
        <f t="shared" ref="C9:C14" si="1">+A9</f>
        <v>450</v>
      </c>
      <c r="D9" s="83" t="s">
        <v>141</v>
      </c>
      <c r="E9" s="83">
        <v>2.09</v>
      </c>
      <c r="F9" s="83">
        <f t="shared" ref="F9:F14" si="2">IFERROR(C9*E9,"")</f>
        <v>940.49999999999989</v>
      </c>
      <c r="G9" s="84">
        <f t="shared" si="0"/>
        <v>0.21957215530907026</v>
      </c>
      <c r="H9" s="85" t="s">
        <v>53</v>
      </c>
      <c r="I9" s="85"/>
      <c r="J9" s="86"/>
    </row>
    <row r="10" spans="1:10" ht="13.5" x14ac:dyDescent="0.25">
      <c r="A10" s="81">
        <v>1500</v>
      </c>
      <c r="B10" s="69" t="s">
        <v>56</v>
      </c>
      <c r="C10" s="82">
        <f t="shared" si="1"/>
        <v>1500</v>
      </c>
      <c r="D10" s="83" t="s">
        <v>141</v>
      </c>
      <c r="E10" s="83">
        <v>1.22</v>
      </c>
      <c r="F10" s="83">
        <f t="shared" si="2"/>
        <v>1830</v>
      </c>
      <c r="G10" s="84">
        <f t="shared" si="0"/>
        <v>0.42723768656629307</v>
      </c>
      <c r="H10" s="85" t="s">
        <v>55</v>
      </c>
      <c r="I10" s="85"/>
      <c r="J10" s="86"/>
    </row>
    <row r="11" spans="1:10" ht="13.5" x14ac:dyDescent="0.25">
      <c r="A11" s="81">
        <v>30</v>
      </c>
      <c r="B11" s="69" t="s">
        <v>47</v>
      </c>
      <c r="C11" s="82">
        <f t="shared" si="1"/>
        <v>30</v>
      </c>
      <c r="D11" s="83" t="s">
        <v>141</v>
      </c>
      <c r="E11" s="83">
        <v>6.8</v>
      </c>
      <c r="F11" s="83">
        <f t="shared" si="2"/>
        <v>204</v>
      </c>
      <c r="G11" s="84">
        <f t="shared" si="0"/>
        <v>4.7626496207390047E-2</v>
      </c>
      <c r="H11" s="85" t="s">
        <v>46</v>
      </c>
      <c r="I11" s="85"/>
      <c r="J11" s="86"/>
    </row>
    <row r="12" spans="1:10" ht="13.5" hidden="1" x14ac:dyDescent="0.25">
      <c r="A12" s="81"/>
      <c r="B12" s="69" t="str">
        <f>IFERROR(VLOOKUP(H12,'[1]Consolidado MP Planta'!$A$2:$M$823,3,0),"")</f>
        <v/>
      </c>
      <c r="C12" s="82">
        <f t="shared" si="1"/>
        <v>0</v>
      </c>
      <c r="D12" s="83" t="str">
        <f>IFERROR(VLOOKUP(H12,'[1]Consolidado MP Planta'!$A$2:$M$823,13,0),"")</f>
        <v/>
      </c>
      <c r="E12" s="83" t="str">
        <f>IFERROR(VLOOKUP(H12,'[1]Consolidado MP Planta'!$A$2:$M$823,12,0),"")</f>
        <v/>
      </c>
      <c r="F12" s="83" t="str">
        <f t="shared" si="2"/>
        <v/>
      </c>
      <c r="G12" s="84" t="str">
        <f t="shared" si="0"/>
        <v/>
      </c>
      <c r="H12" s="85"/>
      <c r="I12" s="85"/>
      <c r="J12" s="86"/>
    </row>
    <row r="13" spans="1:10" ht="13.5" hidden="1" x14ac:dyDescent="0.25">
      <c r="A13" s="81"/>
      <c r="B13" s="69" t="str">
        <f>IFERROR(VLOOKUP(H13,'[1]Consolidado MP Planta'!$A$2:$M$823,3,0),"")</f>
        <v/>
      </c>
      <c r="C13" s="82">
        <f t="shared" si="1"/>
        <v>0</v>
      </c>
      <c r="D13" s="83" t="str">
        <f>IFERROR(VLOOKUP(H13,'[1]Consolidado MP Planta'!$A$2:$M$823,13,0),"")</f>
        <v/>
      </c>
      <c r="E13" s="83" t="str">
        <f>IFERROR(VLOOKUP(H13,'[1]Consolidado MP Planta'!$A$2:$M$823,12,0),"")</f>
        <v/>
      </c>
      <c r="F13" s="83" t="str">
        <f t="shared" si="2"/>
        <v/>
      </c>
      <c r="G13" s="84" t="str">
        <f t="shared" si="0"/>
        <v/>
      </c>
      <c r="H13" s="85"/>
      <c r="I13" s="85"/>
      <c r="J13" s="86"/>
    </row>
    <row r="14" spans="1:10" ht="13.5" hidden="1" x14ac:dyDescent="0.25">
      <c r="A14" s="81"/>
      <c r="B14" s="69" t="str">
        <f>IFERROR(VLOOKUP(H14,'[1]Consolidado MP Planta'!$A$2:$M$823,3,0),"")</f>
        <v/>
      </c>
      <c r="C14" s="82">
        <f t="shared" si="1"/>
        <v>0</v>
      </c>
      <c r="D14" s="83" t="str">
        <f>IFERROR(VLOOKUP(H14,'[1]Consolidado MP Planta'!$A$2:$M$823,13,0),"")</f>
        <v/>
      </c>
      <c r="E14" s="83" t="str">
        <f>IFERROR(VLOOKUP(H14,'[1]Consolidado MP Planta'!$A$2:$M$823,12,0),"")</f>
        <v/>
      </c>
      <c r="F14" s="83" t="str">
        <f t="shared" si="2"/>
        <v/>
      </c>
      <c r="G14" s="84" t="str">
        <f t="shared" si="0"/>
        <v/>
      </c>
      <c r="H14" s="85"/>
      <c r="I14" s="85"/>
      <c r="J14" s="86"/>
    </row>
    <row r="15" spans="1:10" ht="14.25" thickBot="1" x14ac:dyDescent="0.3">
      <c r="A15" s="81"/>
      <c r="B15" s="69" t="str">
        <f>IFERROR(VLOOKUP(H15,'[2]ARTICULOS MP PLANTA'!$A$2:$G$589,2,0),"")</f>
        <v/>
      </c>
      <c r="C15" s="82"/>
      <c r="D15" s="83"/>
      <c r="E15" s="83"/>
      <c r="F15" s="83"/>
      <c r="G15" s="84"/>
      <c r="H15" s="85"/>
      <c r="I15" s="85"/>
      <c r="J15" s="86"/>
    </row>
    <row r="16" spans="1:10" ht="26.25" thickBot="1" x14ac:dyDescent="0.25">
      <c r="A16" s="76" t="s">
        <v>96</v>
      </c>
      <c r="B16" s="77" t="s">
        <v>103</v>
      </c>
      <c r="C16" s="77" t="s">
        <v>96</v>
      </c>
      <c r="D16" s="78" t="s">
        <v>98</v>
      </c>
      <c r="E16" s="78" t="s">
        <v>99</v>
      </c>
      <c r="F16" s="78" t="s">
        <v>100</v>
      </c>
      <c r="G16" s="78" t="s">
        <v>101</v>
      </c>
      <c r="H16" s="79" t="s">
        <v>102</v>
      </c>
      <c r="I16" s="80"/>
      <c r="J16" s="86"/>
    </row>
    <row r="17" spans="1:12" ht="13.5" x14ac:dyDescent="0.25">
      <c r="A17" s="81">
        <v>1150</v>
      </c>
      <c r="B17" s="69" t="s">
        <v>45</v>
      </c>
      <c r="C17" s="82">
        <f>+A17</f>
        <v>1150</v>
      </c>
      <c r="D17" s="82" t="s">
        <v>141</v>
      </c>
      <c r="E17" s="83">
        <v>0.48</v>
      </c>
      <c r="F17" s="83">
        <f>IFERROR(E17*C17,"")</f>
        <v>552</v>
      </c>
      <c r="G17" s="84">
        <f t="shared" ref="G17:G24" si="3">IFERROR(F17/$F$66,"")</f>
        <v>0.12887169561999659</v>
      </c>
      <c r="H17" s="85" t="s">
        <v>44</v>
      </c>
      <c r="I17" s="85"/>
      <c r="J17" s="86"/>
    </row>
    <row r="18" spans="1:12" ht="13.5" hidden="1" x14ac:dyDescent="0.25">
      <c r="A18" s="81"/>
      <c r="B18" s="69" t="str">
        <f>IFERROR(VLOOKUP(H18,[1]SEMIELABORADOS!$A$2:$M$6000,2,0),"")</f>
        <v/>
      </c>
      <c r="C18" s="82">
        <f t="shared" ref="C18:C24" si="4">+A18</f>
        <v>0</v>
      </c>
      <c r="D18" s="82" t="str">
        <f>IFERROR(VLOOKUP(H18,[1]SEMIELABORADOS!$A$2:$M$6000,6,0),"")</f>
        <v/>
      </c>
      <c r="E18" s="83" t="str">
        <f>IFERROR(VLOOKUP(H18,[1]SEMIELABORADOS!$A$2:$H$65536,8,0),"")</f>
        <v/>
      </c>
      <c r="F18" s="83" t="str">
        <f t="shared" ref="F18:F24" si="5">IFERROR(E18*C18,"")</f>
        <v/>
      </c>
      <c r="G18" s="84" t="str">
        <f t="shared" si="3"/>
        <v/>
      </c>
      <c r="H18" s="85"/>
      <c r="I18" s="85"/>
      <c r="J18" s="86"/>
    </row>
    <row r="19" spans="1:12" ht="13.5" hidden="1" x14ac:dyDescent="0.25">
      <c r="A19" s="81"/>
      <c r="B19" s="69" t="str">
        <f>IFERROR(VLOOKUP(H19,[1]SEMIELABORADOS!$A$2:$M$6000,2,0),"")</f>
        <v/>
      </c>
      <c r="C19" s="82">
        <f>+A19</f>
        <v>0</v>
      </c>
      <c r="D19" s="82" t="str">
        <f>IFERROR(VLOOKUP(H19,[1]SEMIELABORADOS!$A$2:$M$6000,6,0),"")</f>
        <v/>
      </c>
      <c r="E19" s="83" t="str">
        <f>IFERROR(VLOOKUP(H19,[1]SEMIELABORADOS!$A$2:$H$65536,8,0),"")</f>
        <v/>
      </c>
      <c r="F19" s="83" t="str">
        <f>IFERROR(E19*C19,"")</f>
        <v/>
      </c>
      <c r="G19" s="84" t="str">
        <f t="shared" si="3"/>
        <v/>
      </c>
      <c r="H19" s="85"/>
      <c r="I19" s="85"/>
      <c r="J19" s="86"/>
    </row>
    <row r="20" spans="1:12" ht="13.5" hidden="1" x14ac:dyDescent="0.25">
      <c r="A20" s="81"/>
      <c r="B20" s="69" t="str">
        <f>IFERROR(VLOOKUP(H20,[1]SEMIELABORADOS!$A$2:$M$6000,2,0),"")</f>
        <v/>
      </c>
      <c r="C20" s="82">
        <f>+A20</f>
        <v>0</v>
      </c>
      <c r="D20" s="82" t="str">
        <f>IFERROR(VLOOKUP(H20,[1]SEMIELABORADOS!$A$2:$M$6000,6,0),"")</f>
        <v/>
      </c>
      <c r="E20" s="83" t="str">
        <f>IFERROR(VLOOKUP(H20,[1]SEMIELABORADOS!$A$2:$H$65536,8,0),"")</f>
        <v/>
      </c>
      <c r="F20" s="83" t="str">
        <f>IFERROR(E20*C20,"")</f>
        <v/>
      </c>
      <c r="G20" s="84" t="str">
        <f t="shared" si="3"/>
        <v/>
      </c>
      <c r="H20" s="85"/>
      <c r="I20" s="85"/>
      <c r="J20" s="86"/>
    </row>
    <row r="21" spans="1:12" ht="13.5" hidden="1" x14ac:dyDescent="0.25">
      <c r="A21" s="81"/>
      <c r="B21" s="69" t="str">
        <f>IFERROR(VLOOKUP(H21,[1]SEMIELABORADOS!$A$2:$M$6000,2,0),"")</f>
        <v/>
      </c>
      <c r="C21" s="82">
        <f>+A21</f>
        <v>0</v>
      </c>
      <c r="D21" s="82" t="str">
        <f>IFERROR(VLOOKUP(H21,[1]SEMIELABORADOS!$A$2:$M$6000,6,0),"")</f>
        <v/>
      </c>
      <c r="E21" s="83" t="str">
        <f>IFERROR(VLOOKUP(H21,[1]SEMIELABORADOS!$A$2:$H$65536,8,0),"")</f>
        <v/>
      </c>
      <c r="F21" s="83" t="str">
        <f>IFERROR(E21*C21,"")</f>
        <v/>
      </c>
      <c r="G21" s="84" t="str">
        <f t="shared" si="3"/>
        <v/>
      </c>
      <c r="H21" s="85"/>
      <c r="I21" s="85"/>
      <c r="J21" s="86"/>
    </row>
    <row r="22" spans="1:12" ht="13.5" hidden="1" x14ac:dyDescent="0.25">
      <c r="A22" s="81"/>
      <c r="B22" s="69" t="str">
        <f>IFERROR(VLOOKUP(H22,[1]SEMIELABORADOS!$A$2:$M$6000,2,0),"")</f>
        <v/>
      </c>
      <c r="C22" s="82">
        <f t="shared" si="4"/>
        <v>0</v>
      </c>
      <c r="D22" s="82" t="str">
        <f>IFERROR(VLOOKUP(H22,[1]SEMIELABORADOS!$A$2:$M$6000,6,0),"")</f>
        <v/>
      </c>
      <c r="E22" s="83" t="str">
        <f>IFERROR(VLOOKUP(H22,[1]SEMIELABORADOS!$A$2:$H$65536,8,0),"")</f>
        <v/>
      </c>
      <c r="F22" s="83" t="str">
        <f t="shared" si="5"/>
        <v/>
      </c>
      <c r="G22" s="84" t="str">
        <f t="shared" si="3"/>
        <v/>
      </c>
      <c r="H22" s="85"/>
      <c r="I22" s="85"/>
      <c r="J22" s="86"/>
    </row>
    <row r="23" spans="1:12" ht="13.5" hidden="1" x14ac:dyDescent="0.25">
      <c r="A23" s="81"/>
      <c r="B23" s="69" t="str">
        <f>IFERROR(VLOOKUP(H23,[1]SEMIELABORADOS!$A$2:$M$6000,2,0),"")</f>
        <v/>
      </c>
      <c r="C23" s="82">
        <f t="shared" si="4"/>
        <v>0</v>
      </c>
      <c r="D23" s="82" t="str">
        <f>IFERROR(VLOOKUP(H23,[1]SEMIELABORADOS!$A$2:$M$6000,6,0),"")</f>
        <v/>
      </c>
      <c r="E23" s="83" t="str">
        <f>IFERROR(VLOOKUP(H23,[1]SEMIELABORADOS!$A$2:$H$65536,8,0),"")</f>
        <v/>
      </c>
      <c r="F23" s="83" t="str">
        <f t="shared" si="5"/>
        <v/>
      </c>
      <c r="G23" s="84" t="str">
        <f t="shared" si="3"/>
        <v/>
      </c>
      <c r="H23" s="85"/>
      <c r="I23" s="85"/>
      <c r="J23" s="86"/>
    </row>
    <row r="24" spans="1:12" ht="13.5" hidden="1" x14ac:dyDescent="0.25">
      <c r="A24" s="81"/>
      <c r="B24" s="69" t="str">
        <f>IFERROR(VLOOKUP(H24,[1]SEMIELABORADOS!$A$2:$M$6000,2,0),"")</f>
        <v/>
      </c>
      <c r="C24" s="82">
        <f t="shared" si="4"/>
        <v>0</v>
      </c>
      <c r="D24" s="82" t="str">
        <f>IFERROR(VLOOKUP(H24,[1]SEMIELABORADOS!$A$2:$M$6000,6,0),"")</f>
        <v/>
      </c>
      <c r="E24" s="83" t="str">
        <f>IFERROR(VLOOKUP(H24,[1]SEMIELABORADOS!$A$2:$H$65536,8,0),"")</f>
        <v/>
      </c>
      <c r="F24" s="83" t="str">
        <f t="shared" si="5"/>
        <v/>
      </c>
      <c r="G24" s="84" t="str">
        <f t="shared" si="3"/>
        <v/>
      </c>
      <c r="H24" s="85"/>
      <c r="I24" s="85"/>
      <c r="J24" s="86"/>
    </row>
    <row r="25" spans="1:12" ht="14.25" thickBot="1" x14ac:dyDescent="0.3">
      <c r="A25" s="81"/>
      <c r="C25" s="82"/>
      <c r="D25" s="82"/>
      <c r="E25" s="83"/>
      <c r="F25" s="83"/>
      <c r="G25" s="84"/>
      <c r="H25" s="85"/>
      <c r="I25" s="85"/>
      <c r="J25" s="86"/>
    </row>
    <row r="26" spans="1:12" ht="26.25" hidden="1" thickBot="1" x14ac:dyDescent="0.25">
      <c r="A26" s="76" t="s">
        <v>96</v>
      </c>
      <c r="B26" s="77" t="s">
        <v>74</v>
      </c>
      <c r="C26" s="77" t="s">
        <v>96</v>
      </c>
      <c r="D26" s="78" t="s">
        <v>98</v>
      </c>
      <c r="E26" s="78" t="s">
        <v>99</v>
      </c>
      <c r="F26" s="78" t="s">
        <v>100</v>
      </c>
      <c r="G26" s="78" t="s">
        <v>101</v>
      </c>
      <c r="H26" s="79" t="s">
        <v>102</v>
      </c>
      <c r="I26" s="80"/>
    </row>
    <row r="27" spans="1:12" ht="13.5" hidden="1" x14ac:dyDescent="0.25">
      <c r="A27" s="81">
        <v>0</v>
      </c>
      <c r="B27" s="87" t="str">
        <f>IFERROR(VLOOKUP(H27,'[1]Consolidado MP Planta'!$A$2:$M$823,3,0),"")</f>
        <v/>
      </c>
      <c r="C27" s="82">
        <f t="shared" ref="C27:C32" si="6">+A27</f>
        <v>0</v>
      </c>
      <c r="D27" s="83" t="str">
        <f>IFERROR(VLOOKUP(H27,'[1]Consolidado MP Planta'!$A$2:$M$823,13,0),"")</f>
        <v/>
      </c>
      <c r="E27" s="83" t="str">
        <f>IFERROR(VLOOKUP(H27,'[1]Consolidado MP Planta'!$A$2:$M$823,12,0),"")</f>
        <v/>
      </c>
      <c r="F27" s="83" t="str">
        <f t="shared" ref="F27:F32" si="7">IFERROR(C27*E27,"")</f>
        <v/>
      </c>
      <c r="G27" s="84" t="str">
        <f t="shared" ref="G27:G32" si="8">IFERROR(F27/$F$66,"")</f>
        <v/>
      </c>
      <c r="H27" s="88"/>
      <c r="I27" s="88"/>
      <c r="J27" s="86"/>
      <c r="K27" s="436"/>
      <c r="L27" s="436"/>
    </row>
    <row r="28" spans="1:12" ht="13.5" hidden="1" x14ac:dyDescent="0.25">
      <c r="A28" s="81"/>
      <c r="B28" s="87" t="str">
        <f>IFERROR(VLOOKUP(H28,'[1]Consolidado MP Planta'!$A$2:$M$823,3,0),"")</f>
        <v/>
      </c>
      <c r="C28" s="82">
        <f t="shared" si="6"/>
        <v>0</v>
      </c>
      <c r="D28" s="83" t="str">
        <f>IFERROR(VLOOKUP(H28,'[1]Consolidado MP Planta'!$A$2:$M$823,13,0),"")</f>
        <v/>
      </c>
      <c r="E28" s="83" t="str">
        <f>IFERROR(VLOOKUP(H28,'[1]Consolidado MP Planta'!$A$2:$M$823,12,0),"")</f>
        <v/>
      </c>
      <c r="F28" s="83" t="str">
        <f t="shared" si="7"/>
        <v/>
      </c>
      <c r="G28" s="84" t="str">
        <f t="shared" si="8"/>
        <v/>
      </c>
      <c r="H28" s="88"/>
      <c r="I28" s="88"/>
      <c r="J28" s="86"/>
      <c r="K28" s="436"/>
      <c r="L28" s="436"/>
    </row>
    <row r="29" spans="1:12" ht="13.5" hidden="1" x14ac:dyDescent="0.25">
      <c r="A29" s="81"/>
      <c r="B29" s="87" t="str">
        <f>IFERROR(VLOOKUP(H29,'[1]Consolidado MP Planta'!$A$2:$M$823,3,0),"")</f>
        <v/>
      </c>
      <c r="C29" s="82">
        <f t="shared" si="6"/>
        <v>0</v>
      </c>
      <c r="D29" s="83" t="str">
        <f>IFERROR(VLOOKUP(H29,'[1]Consolidado MP Planta'!$A$2:$M$823,13,0),"")</f>
        <v/>
      </c>
      <c r="E29" s="83" t="str">
        <f>IFERROR(VLOOKUP(H29,'[1]Consolidado MP Planta'!$A$2:$M$823,12,0),"")</f>
        <v/>
      </c>
      <c r="F29" s="83" t="str">
        <f t="shared" si="7"/>
        <v/>
      </c>
      <c r="G29" s="84" t="str">
        <f t="shared" si="8"/>
        <v/>
      </c>
      <c r="H29" s="88"/>
      <c r="I29" s="88"/>
      <c r="J29" s="86"/>
      <c r="K29" s="436"/>
      <c r="L29" s="436"/>
    </row>
    <row r="30" spans="1:12" ht="13.5" hidden="1" x14ac:dyDescent="0.25">
      <c r="A30" s="81"/>
      <c r="B30" s="87" t="str">
        <f>IFERROR(VLOOKUP(H30,'[1]Consolidado MP Planta'!$A$2:$M$823,3,0),"")</f>
        <v/>
      </c>
      <c r="C30" s="82">
        <f t="shared" si="6"/>
        <v>0</v>
      </c>
      <c r="D30" s="83" t="str">
        <f>IFERROR(VLOOKUP(H30,'[1]Consolidado MP Planta'!$A$2:$M$823,13,0),"")</f>
        <v/>
      </c>
      <c r="E30" s="83" t="str">
        <f>IFERROR(VLOOKUP(H30,'[1]Consolidado MP Planta'!$A$2:$M$823,12,0),"")</f>
        <v/>
      </c>
      <c r="F30" s="83" t="str">
        <f t="shared" si="7"/>
        <v/>
      </c>
      <c r="G30" s="84" t="str">
        <f t="shared" si="8"/>
        <v/>
      </c>
      <c r="H30" s="88"/>
      <c r="I30" s="88"/>
      <c r="J30" s="86"/>
      <c r="K30" s="436"/>
      <c r="L30" s="436"/>
    </row>
    <row r="31" spans="1:12" ht="13.5" hidden="1" x14ac:dyDescent="0.25">
      <c r="A31" s="81"/>
      <c r="B31" s="87" t="str">
        <f>IFERROR(VLOOKUP(H31,'[1]Consolidado MP Planta'!$A$2:$M$823,3,0),"")</f>
        <v/>
      </c>
      <c r="C31" s="82">
        <f t="shared" si="6"/>
        <v>0</v>
      </c>
      <c r="D31" s="83" t="str">
        <f>IFERROR(VLOOKUP(H31,'[1]Consolidado MP Planta'!$A$2:$M$823,13,0),"")</f>
        <v/>
      </c>
      <c r="E31" s="83" t="str">
        <f>IFERROR(VLOOKUP(H31,'[1]Consolidado MP Planta'!$A$2:$M$823,12,0),"")</f>
        <v/>
      </c>
      <c r="F31" s="83" t="str">
        <f t="shared" si="7"/>
        <v/>
      </c>
      <c r="G31" s="84" t="str">
        <f t="shared" si="8"/>
        <v/>
      </c>
      <c r="H31" s="88"/>
      <c r="I31" s="88"/>
      <c r="J31" s="86"/>
      <c r="K31" s="89"/>
      <c r="L31" s="90"/>
    </row>
    <row r="32" spans="1:12" ht="13.5" hidden="1" x14ac:dyDescent="0.25">
      <c r="A32" s="81"/>
      <c r="B32" s="87" t="str">
        <f>IFERROR(VLOOKUP(H32,'[1]Consolidado MP Planta'!$A$2:$M$823,3,0),"")</f>
        <v/>
      </c>
      <c r="C32" s="82">
        <f t="shared" si="6"/>
        <v>0</v>
      </c>
      <c r="D32" s="83" t="str">
        <f>IFERROR(VLOOKUP(H32,'[1]Consolidado MP Planta'!$A$2:$M$823,13,0),"")</f>
        <v/>
      </c>
      <c r="E32" s="83" t="str">
        <f>IFERROR(VLOOKUP(H32,'[1]Consolidado MP Planta'!$A$2:$M$823,12,0),"")</f>
        <v/>
      </c>
      <c r="F32" s="83" t="str">
        <f t="shared" si="7"/>
        <v/>
      </c>
      <c r="G32" s="84" t="str">
        <f t="shared" si="8"/>
        <v/>
      </c>
      <c r="H32" s="88"/>
      <c r="I32" s="88"/>
      <c r="J32" s="86"/>
    </row>
    <row r="33" spans="1:13" ht="14.25" hidden="1" thickBot="1" x14ac:dyDescent="0.3">
      <c r="A33" s="81"/>
      <c r="B33" s="87"/>
      <c r="C33" s="82"/>
      <c r="D33" s="83"/>
      <c r="E33" s="83"/>
      <c r="F33" s="83"/>
      <c r="G33" s="84"/>
      <c r="H33" s="88"/>
      <c r="I33" s="88"/>
      <c r="J33" s="86"/>
    </row>
    <row r="34" spans="1:13" ht="26.25" thickBot="1" x14ac:dyDescent="0.25">
      <c r="A34" s="76" t="s">
        <v>96</v>
      </c>
      <c r="B34" s="77" t="s">
        <v>104</v>
      </c>
      <c r="C34" s="77" t="s">
        <v>96</v>
      </c>
      <c r="D34" s="78" t="s">
        <v>98</v>
      </c>
      <c r="E34" s="78" t="s">
        <v>99</v>
      </c>
      <c r="F34" s="78" t="s">
        <v>100</v>
      </c>
      <c r="G34" s="78" t="s">
        <v>101</v>
      </c>
      <c r="H34" s="79" t="s">
        <v>102</v>
      </c>
      <c r="I34" s="88"/>
      <c r="J34" s="86"/>
    </row>
    <row r="35" spans="1:13" ht="13.5" x14ac:dyDescent="0.25">
      <c r="A35" s="81">
        <f>+A17</f>
        <v>1150</v>
      </c>
      <c r="B35" s="87" t="s">
        <v>45</v>
      </c>
      <c r="C35" s="82">
        <f>+A35</f>
        <v>1150</v>
      </c>
      <c r="D35" s="83" t="s">
        <v>141</v>
      </c>
      <c r="E35" s="83">
        <v>0.05</v>
      </c>
      <c r="F35" s="83">
        <f>IFERROR(E35*C35,"")</f>
        <v>57.5</v>
      </c>
      <c r="G35" s="84">
        <f t="shared" ref="G35:G41" si="9">IFERROR(F35/$F$66,"")</f>
        <v>1.3424134960416311E-2</v>
      </c>
      <c r="H35" s="88" t="s">
        <v>44</v>
      </c>
      <c r="I35" s="88"/>
      <c r="J35" s="86"/>
    </row>
    <row r="36" spans="1:13" ht="13.5" hidden="1" x14ac:dyDescent="0.25">
      <c r="A36" s="81">
        <f t="shared" ref="A36:A41" si="10">+A18</f>
        <v>0</v>
      </c>
      <c r="B36" s="87" t="str">
        <f>IFERROR(VLOOKUP(H36,[1]SEMIELABORADOS!$A$2:$M$6000,2,0),"")</f>
        <v/>
      </c>
      <c r="C36" s="82">
        <f t="shared" ref="C36:C41" si="11">+A36</f>
        <v>0</v>
      </c>
      <c r="D36" s="83" t="str">
        <f>IFERROR(VLOOKUP(H36,[1]SEMIELABORADOS!$A$2:$M$6000,6,0),"")</f>
        <v/>
      </c>
      <c r="E36" s="83" t="str">
        <f>IFERROR(VLOOKUP(H36,[1]SEMIELABORADOS!$A$2:$M$65536,10,0),"")</f>
        <v/>
      </c>
      <c r="F36" s="83" t="str">
        <f t="shared" ref="F36:F41" si="12">IFERROR(E36*C36,"")</f>
        <v/>
      </c>
      <c r="G36" s="84" t="str">
        <f t="shared" si="9"/>
        <v/>
      </c>
      <c r="H36" s="88"/>
      <c r="I36" s="88"/>
      <c r="J36" s="86"/>
    </row>
    <row r="37" spans="1:13" ht="13.5" hidden="1" x14ac:dyDescent="0.25">
      <c r="A37" s="81">
        <f t="shared" si="10"/>
        <v>0</v>
      </c>
      <c r="B37" s="87" t="str">
        <f>IFERROR(VLOOKUP(H37,[1]SEMIELABORADOS!$A$2:$M$6000,2,0),"")</f>
        <v/>
      </c>
      <c r="C37" s="82">
        <f t="shared" si="11"/>
        <v>0</v>
      </c>
      <c r="D37" s="83" t="str">
        <f>IFERROR(VLOOKUP(H37,[1]SEMIELABORADOS!$A$2:$M$6000,6,0),"")</f>
        <v/>
      </c>
      <c r="E37" s="83" t="str">
        <f>IFERROR(VLOOKUP(H37,[1]SEMIELABORADOS!$A$2:$M$65536,10,0),"")</f>
        <v/>
      </c>
      <c r="F37" s="83" t="str">
        <f t="shared" si="12"/>
        <v/>
      </c>
      <c r="G37" s="84" t="str">
        <f t="shared" si="9"/>
        <v/>
      </c>
      <c r="H37" s="88"/>
      <c r="I37" s="88"/>
      <c r="J37" s="86"/>
    </row>
    <row r="38" spans="1:13" ht="13.5" hidden="1" x14ac:dyDescent="0.25">
      <c r="A38" s="81">
        <f t="shared" si="10"/>
        <v>0</v>
      </c>
      <c r="B38" s="87" t="str">
        <f>IFERROR(VLOOKUP(H38,[1]SEMIELABORADOS!$A$2:$M$6000,2,0),"")</f>
        <v/>
      </c>
      <c r="C38" s="82">
        <f>+A38</f>
        <v>0</v>
      </c>
      <c r="D38" s="83" t="str">
        <f>IFERROR(VLOOKUP(H38,[1]SEMIELABORADOS!$A$2:$M$6000,6,0),"")</f>
        <v/>
      </c>
      <c r="E38" s="83" t="str">
        <f>IFERROR(VLOOKUP(H38,[1]SEMIELABORADOS!$A$2:$M$65536,10,0),"")</f>
        <v/>
      </c>
      <c r="F38" s="83" t="str">
        <f>IFERROR(E38*C38,"")</f>
        <v/>
      </c>
      <c r="G38" s="84" t="str">
        <f t="shared" si="9"/>
        <v/>
      </c>
      <c r="H38" s="88"/>
      <c r="I38" s="88"/>
      <c r="J38" s="86"/>
    </row>
    <row r="39" spans="1:13" ht="13.5" hidden="1" x14ac:dyDescent="0.25">
      <c r="A39" s="81">
        <f t="shared" si="10"/>
        <v>0</v>
      </c>
      <c r="B39" s="87" t="str">
        <f>IFERROR(VLOOKUP(H39,[1]SEMIELABORADOS!$A$2:$M$6000,2,0),"")</f>
        <v/>
      </c>
      <c r="C39" s="82">
        <f>+A39</f>
        <v>0</v>
      </c>
      <c r="D39" s="83" t="str">
        <f>IFERROR(VLOOKUP(H39,[1]SEMIELABORADOS!$A$2:$M$6000,6,0),"")</f>
        <v/>
      </c>
      <c r="E39" s="83" t="str">
        <f>IFERROR(VLOOKUP(H39,[1]SEMIELABORADOS!$A$2:$M$65536,10,0),"")</f>
        <v/>
      </c>
      <c r="F39" s="83" t="str">
        <f>IFERROR(E39*C39,"")</f>
        <v/>
      </c>
      <c r="G39" s="84" t="str">
        <f t="shared" si="9"/>
        <v/>
      </c>
      <c r="H39" s="88"/>
      <c r="I39" s="88"/>
      <c r="J39" s="86"/>
    </row>
    <row r="40" spans="1:13" ht="13.5" hidden="1" x14ac:dyDescent="0.25">
      <c r="A40" s="81">
        <f t="shared" si="10"/>
        <v>0</v>
      </c>
      <c r="B40" s="87" t="str">
        <f>IFERROR(VLOOKUP(H40,[1]SEMIELABORADOS!$A$2:$M$6000,2,0),"")</f>
        <v/>
      </c>
      <c r="C40" s="82">
        <f t="shared" si="11"/>
        <v>0</v>
      </c>
      <c r="D40" s="83" t="str">
        <f>IFERROR(VLOOKUP(H40,[1]SEMIELABORADOS!$A$2:$M$6000,6,0),"")</f>
        <v/>
      </c>
      <c r="E40" s="83" t="str">
        <f>IFERROR(VLOOKUP(H40,[1]SEMIELABORADOS!$A$2:$M$65536,10,0),"")</f>
        <v/>
      </c>
      <c r="F40" s="83" t="str">
        <f t="shared" si="12"/>
        <v/>
      </c>
      <c r="G40" s="84" t="str">
        <f t="shared" si="9"/>
        <v/>
      </c>
      <c r="H40" s="88"/>
      <c r="I40" s="88"/>
      <c r="J40" s="86"/>
    </row>
    <row r="41" spans="1:13" ht="13.5" hidden="1" x14ac:dyDescent="0.25">
      <c r="A41" s="81">
        <f t="shared" si="10"/>
        <v>0</v>
      </c>
      <c r="B41" s="87" t="str">
        <f>IFERROR(VLOOKUP(H41,[1]SEMIELABORADOS!$A$2:$M$6000,2,0),"")</f>
        <v/>
      </c>
      <c r="C41" s="82">
        <f t="shared" si="11"/>
        <v>0</v>
      </c>
      <c r="D41" s="83" t="str">
        <f>IFERROR(VLOOKUP(H41,[1]SEMIELABORADOS!$A$2:$M$6000,6,0),"")</f>
        <v/>
      </c>
      <c r="E41" s="83" t="str">
        <f>IFERROR(VLOOKUP(H41,[1]SEMIELABORADOS!$A$2:$M$65536,10,0),"")</f>
        <v/>
      </c>
      <c r="F41" s="83" t="str">
        <f t="shared" si="12"/>
        <v/>
      </c>
      <c r="G41" s="84" t="str">
        <f t="shared" si="9"/>
        <v/>
      </c>
      <c r="H41" s="88"/>
      <c r="I41" s="88"/>
      <c r="J41" s="86"/>
    </row>
    <row r="42" spans="1:13" ht="14.25" thickBot="1" x14ac:dyDescent="0.3">
      <c r="A42" s="81"/>
      <c r="B42" s="87"/>
      <c r="C42" s="82"/>
      <c r="D42" s="83"/>
      <c r="E42" s="83"/>
      <c r="F42" s="83"/>
      <c r="G42" s="84"/>
      <c r="H42" s="88"/>
      <c r="I42" s="88"/>
      <c r="J42" s="86"/>
    </row>
    <row r="43" spans="1:13" ht="26.25" thickBot="1" x14ac:dyDescent="0.25">
      <c r="A43" s="76" t="s">
        <v>96</v>
      </c>
      <c r="B43" s="77" t="s">
        <v>105</v>
      </c>
      <c r="C43" s="77" t="s">
        <v>96</v>
      </c>
      <c r="D43" s="78" t="s">
        <v>98</v>
      </c>
      <c r="E43" s="78" t="s">
        <v>99</v>
      </c>
      <c r="F43" s="78" t="s">
        <v>100</v>
      </c>
      <c r="G43" s="78" t="s">
        <v>101</v>
      </c>
      <c r="H43" s="79" t="s">
        <v>102</v>
      </c>
      <c r="I43" s="80"/>
      <c r="J43" s="86"/>
    </row>
    <row r="44" spans="1:13" ht="13.5" x14ac:dyDescent="0.25">
      <c r="A44" s="81">
        <f>+A35</f>
        <v>1150</v>
      </c>
      <c r="B44" s="87" t="s">
        <v>45</v>
      </c>
      <c r="C44" s="82">
        <f>+A44</f>
        <v>1150</v>
      </c>
      <c r="D44" s="83" t="s">
        <v>141</v>
      </c>
      <c r="E44" s="83">
        <v>0.02</v>
      </c>
      <c r="F44" s="83">
        <f>IFERROR(E44*C44,"")</f>
        <v>23</v>
      </c>
      <c r="G44" s="84">
        <f>IFERROR(F44/$F$66,"")</f>
        <v>5.3696539841665246E-3</v>
      </c>
      <c r="H44" s="88" t="s">
        <v>44</v>
      </c>
      <c r="I44" s="80"/>
      <c r="J44" s="86"/>
    </row>
    <row r="45" spans="1:13" ht="13.5" hidden="1" x14ac:dyDescent="0.25">
      <c r="A45" s="81">
        <f t="shared" ref="A45:A50" si="13">+A36</f>
        <v>0</v>
      </c>
      <c r="B45" s="87" t="str">
        <f>IFERROR(VLOOKUP(H45,[1]SEMIELABORADOS!$A$2:$M$6000,2,0),"")</f>
        <v/>
      </c>
      <c r="C45" s="82">
        <f t="shared" ref="C45:C50" si="14">+A45</f>
        <v>0</v>
      </c>
      <c r="D45" s="83" t="str">
        <f>IFERROR(VLOOKUP(H45,[1]SEMIELABORADOS!$A$2:$M$6000,6,0),"")</f>
        <v/>
      </c>
      <c r="E45" s="83" t="str">
        <f>IFERROR(VLOOKUP(H45,[1]SEMIELABORADOS!$A$2:$M$65536,12,0),"")</f>
        <v/>
      </c>
      <c r="F45" s="83" t="str">
        <f t="shared" ref="F45:F50" si="15">IFERROR(E45*C45,"")</f>
        <v/>
      </c>
      <c r="G45" s="84" t="str">
        <f t="shared" ref="G45:G50" si="16">IFERROR(F45/$F$66,"")</f>
        <v/>
      </c>
      <c r="H45" s="88"/>
      <c r="I45" s="80"/>
      <c r="J45" s="86"/>
      <c r="M45" s="91"/>
    </row>
    <row r="46" spans="1:13" ht="13.5" hidden="1" x14ac:dyDescent="0.25">
      <c r="A46" s="81">
        <f t="shared" si="13"/>
        <v>0</v>
      </c>
      <c r="B46" s="87" t="str">
        <f>IFERROR(VLOOKUP(H46,[1]SEMIELABORADOS!$A$2:$M$6000,2,0),"")</f>
        <v/>
      </c>
      <c r="C46" s="82">
        <f t="shared" si="14"/>
        <v>0</v>
      </c>
      <c r="D46" s="83" t="str">
        <f>IFERROR(VLOOKUP(H46,[1]SEMIELABORADOS!$A$2:$M$6000,6,0),"")</f>
        <v/>
      </c>
      <c r="E46" s="83" t="str">
        <f>IFERROR(VLOOKUP(H46,[1]SEMIELABORADOS!$A$2:$M$65536,12,0),"")</f>
        <v/>
      </c>
      <c r="F46" s="83" t="str">
        <f t="shared" si="15"/>
        <v/>
      </c>
      <c r="G46" s="84" t="str">
        <f t="shared" si="16"/>
        <v/>
      </c>
      <c r="H46" s="88"/>
      <c r="I46" s="80"/>
      <c r="J46" s="86"/>
    </row>
    <row r="47" spans="1:13" ht="13.5" hidden="1" x14ac:dyDescent="0.25">
      <c r="A47" s="81">
        <f t="shared" si="13"/>
        <v>0</v>
      </c>
      <c r="B47" s="87" t="str">
        <f>IFERROR(VLOOKUP(H47,[1]SEMIELABORADOS!$A$2:$M$6000,2,0),"")</f>
        <v/>
      </c>
      <c r="C47" s="82">
        <f t="shared" si="14"/>
        <v>0</v>
      </c>
      <c r="D47" s="83" t="str">
        <f>IFERROR(VLOOKUP(H47,[1]SEMIELABORADOS!$A$2:$M$6000,6,0),"")</f>
        <v/>
      </c>
      <c r="E47" s="83" t="str">
        <f>IFERROR(VLOOKUP(H47,[1]SEMIELABORADOS!$A$2:$M$65536,12,0),"")</f>
        <v/>
      </c>
      <c r="F47" s="83" t="str">
        <f t="shared" si="15"/>
        <v/>
      </c>
      <c r="G47" s="84" t="str">
        <f t="shared" si="16"/>
        <v/>
      </c>
      <c r="H47" s="88"/>
      <c r="I47" s="80"/>
      <c r="J47" s="86"/>
    </row>
    <row r="48" spans="1:13" ht="13.5" hidden="1" x14ac:dyDescent="0.25">
      <c r="A48" s="81">
        <f t="shared" si="13"/>
        <v>0</v>
      </c>
      <c r="B48" s="87" t="str">
        <f>IFERROR(VLOOKUP(H48,[1]SEMIELABORADOS!$A$2:$M$6000,2,0),"")</f>
        <v/>
      </c>
      <c r="C48" s="82">
        <f t="shared" si="14"/>
        <v>0</v>
      </c>
      <c r="D48" s="83" t="str">
        <f>IFERROR(VLOOKUP(H48,[1]SEMIELABORADOS!$A$2:$M$6000,6,0),"")</f>
        <v/>
      </c>
      <c r="E48" s="83" t="str">
        <f>IFERROR(VLOOKUP(H48,[1]SEMIELABORADOS!$A$2:$M$65536,12,0),"")</f>
        <v/>
      </c>
      <c r="F48" s="83" t="str">
        <f t="shared" si="15"/>
        <v/>
      </c>
      <c r="G48" s="84" t="str">
        <f t="shared" si="16"/>
        <v/>
      </c>
      <c r="H48" s="88"/>
      <c r="I48" s="80"/>
      <c r="J48" s="86"/>
    </row>
    <row r="49" spans="1:17" ht="13.5" hidden="1" x14ac:dyDescent="0.25">
      <c r="A49" s="81">
        <f t="shared" si="13"/>
        <v>0</v>
      </c>
      <c r="B49" s="87" t="str">
        <f>IFERROR(VLOOKUP(H49,[1]SEMIELABORADOS!$A$2:$M$6000,2,0),"")</f>
        <v/>
      </c>
      <c r="C49" s="82">
        <f t="shared" si="14"/>
        <v>0</v>
      </c>
      <c r="D49" s="83" t="str">
        <f>IFERROR(VLOOKUP(H49,[1]SEMIELABORADOS!$A$2:$M$6000,6,0),"")</f>
        <v/>
      </c>
      <c r="E49" s="83" t="str">
        <f>IFERROR(VLOOKUP(H49,[1]SEMIELABORADOS!$A$2:$M$65536,12,0),"")</f>
        <v/>
      </c>
      <c r="F49" s="83" t="str">
        <f t="shared" si="15"/>
        <v/>
      </c>
      <c r="G49" s="84" t="str">
        <f t="shared" si="16"/>
        <v/>
      </c>
      <c r="H49" s="88"/>
      <c r="I49" s="80"/>
      <c r="J49" s="86"/>
    </row>
    <row r="50" spans="1:17" ht="13.5" hidden="1" x14ac:dyDescent="0.25">
      <c r="A50" s="81">
        <f t="shared" si="13"/>
        <v>0</v>
      </c>
      <c r="B50" s="87" t="str">
        <f>IFERROR(VLOOKUP(H50,[1]SEMIELABORADOS!$A$2:$M$6000,2,0),"")</f>
        <v/>
      </c>
      <c r="C50" s="82">
        <f t="shared" si="14"/>
        <v>0</v>
      </c>
      <c r="D50" s="83" t="str">
        <f>IFERROR(VLOOKUP(H50,[1]SEMIELABORADOS!$A$2:$M$6000,6,0),"")</f>
        <v/>
      </c>
      <c r="E50" s="83" t="str">
        <f>IFERROR(VLOOKUP(H50,[1]SEMIELABORADOS!$A$2:$M$65536,12,0),"")</f>
        <v/>
      </c>
      <c r="F50" s="83" t="str">
        <f t="shared" si="15"/>
        <v/>
      </c>
      <c r="G50" s="84" t="str">
        <f t="shared" si="16"/>
        <v/>
      </c>
      <c r="H50" s="87"/>
      <c r="I50" s="80"/>
      <c r="J50" s="86"/>
    </row>
    <row r="51" spans="1:17" ht="13.5" x14ac:dyDescent="0.25">
      <c r="A51" s="81">
        <v>1</v>
      </c>
      <c r="B51" s="87" t="s">
        <v>106</v>
      </c>
      <c r="C51" s="82">
        <f>+A51</f>
        <v>1</v>
      </c>
      <c r="D51" s="82" t="s">
        <v>107</v>
      </c>
      <c r="E51" s="83">
        <f>+F65</f>
        <v>231</v>
      </c>
      <c r="F51" s="83">
        <f>IFERROR(C51*E51,"")</f>
        <v>231</v>
      </c>
      <c r="G51" s="84">
        <f>IFERROR(F51/$F$66,"")</f>
        <v>5.3930003058368141E-2</v>
      </c>
      <c r="H51" s="92"/>
      <c r="I51" s="92"/>
      <c r="J51" s="86"/>
    </row>
    <row r="52" spans="1:17" ht="14.25" thickBot="1" x14ac:dyDescent="0.3">
      <c r="A52" s="81"/>
      <c r="B52" s="87"/>
      <c r="C52" s="82"/>
      <c r="D52" s="82"/>
      <c r="E52" s="83"/>
      <c r="F52" s="83"/>
      <c r="G52" s="84"/>
      <c r="H52" s="92"/>
      <c r="I52" s="92"/>
      <c r="J52" s="86"/>
    </row>
    <row r="53" spans="1:17" ht="13.5" thickBot="1" x14ac:dyDescent="0.25">
      <c r="A53" s="93"/>
      <c r="B53" s="446" t="s">
        <v>108</v>
      </c>
      <c r="C53" s="446"/>
      <c r="D53" s="446"/>
      <c r="E53" s="446"/>
      <c r="F53" s="95">
        <f>SUM(F8:F14,F17:F24)</f>
        <v>3916.5</v>
      </c>
      <c r="G53" s="84">
        <f>+F53/$F$66</f>
        <v>0.91435868821687805</v>
      </c>
      <c r="H53" s="96">
        <f>+F53/$D$60</f>
        <v>3916.5</v>
      </c>
      <c r="I53" s="96"/>
      <c r="J53" s="97"/>
      <c r="K53" s="98"/>
      <c r="L53" s="98"/>
      <c r="M53" s="98"/>
      <c r="N53" s="98"/>
      <c r="O53" s="98"/>
      <c r="P53" s="98"/>
      <c r="Q53" s="99"/>
    </row>
    <row r="54" spans="1:17" x14ac:dyDescent="0.2">
      <c r="A54" s="93"/>
      <c r="B54" s="446" t="s">
        <v>109</v>
      </c>
      <c r="C54" s="446"/>
      <c r="D54" s="446"/>
      <c r="E54" s="446"/>
      <c r="F54" s="95">
        <f>SUM(F27:F32,F35:F41)</f>
        <v>57.5</v>
      </c>
      <c r="G54" s="84">
        <f>+F54/$F$66</f>
        <v>1.3424134960416311E-2</v>
      </c>
      <c r="H54" s="96">
        <f>+F54/$D$60</f>
        <v>57.5</v>
      </c>
      <c r="I54" s="96"/>
      <c r="J54" s="100"/>
      <c r="K54" s="447" t="s">
        <v>110</v>
      </c>
      <c r="L54" s="448"/>
      <c r="M54" s="448"/>
      <c r="N54" s="448"/>
      <c r="O54" s="101">
        <f>+F55</f>
        <v>3974</v>
      </c>
      <c r="P54" s="101"/>
      <c r="Q54" s="102"/>
    </row>
    <row r="55" spans="1:17" x14ac:dyDescent="0.2">
      <c r="A55" s="93"/>
      <c r="B55" s="446" t="s">
        <v>111</v>
      </c>
      <c r="C55" s="446"/>
      <c r="D55" s="446"/>
      <c r="E55" s="446"/>
      <c r="F55" s="95">
        <f>+F53+F54</f>
        <v>3974</v>
      </c>
      <c r="G55" s="84">
        <f>+F55/$F$66</f>
        <v>0.92778282317729432</v>
      </c>
      <c r="H55" s="96">
        <f>+F55/$D$60</f>
        <v>3974</v>
      </c>
      <c r="I55" s="96"/>
      <c r="J55" s="103"/>
      <c r="K55" s="104"/>
      <c r="M55" s="105" t="s">
        <v>112</v>
      </c>
      <c r="N55" s="106"/>
      <c r="O55" s="101">
        <f>+H56</f>
        <v>254</v>
      </c>
      <c r="P55" s="101"/>
      <c r="Q55" s="102"/>
    </row>
    <row r="56" spans="1:17" ht="13.5" thickBot="1" x14ac:dyDescent="0.25">
      <c r="A56" s="93"/>
      <c r="B56" s="94"/>
      <c r="C56" s="446" t="s">
        <v>113</v>
      </c>
      <c r="D56" s="446"/>
      <c r="E56" s="446"/>
      <c r="F56" s="95">
        <f>SUM(F44:F51)</f>
        <v>254</v>
      </c>
      <c r="G56" s="84">
        <f>+F56/$F$66</f>
        <v>5.9299657042534662E-2</v>
      </c>
      <c r="H56" s="96">
        <f>+F56/$D$60</f>
        <v>254</v>
      </c>
      <c r="I56" s="96"/>
      <c r="J56" s="103"/>
      <c r="K56" s="104"/>
      <c r="L56" s="104"/>
      <c r="M56" s="104" t="s">
        <v>114</v>
      </c>
      <c r="N56" s="107"/>
      <c r="O56" s="101">
        <f>O54*N56</f>
        <v>0</v>
      </c>
      <c r="P56" s="101"/>
      <c r="Q56" s="102"/>
    </row>
    <row r="57" spans="1:17" ht="13.5" thickBot="1" x14ac:dyDescent="0.25">
      <c r="A57" s="93"/>
      <c r="B57" s="108"/>
      <c r="C57" s="108"/>
      <c r="D57" s="108"/>
      <c r="E57" s="108"/>
      <c r="F57" s="109"/>
      <c r="G57" s="84"/>
      <c r="H57" s="110"/>
      <c r="I57" s="96"/>
      <c r="J57" s="103"/>
      <c r="K57" s="111"/>
      <c r="M57" s="112" t="s">
        <v>115</v>
      </c>
      <c r="N57" s="113"/>
      <c r="O57" s="114">
        <f>SUM(O54:O56)</f>
        <v>4228</v>
      </c>
      <c r="P57" s="115"/>
      <c r="Q57" s="102"/>
    </row>
    <row r="58" spans="1:17" x14ac:dyDescent="0.2">
      <c r="B58" s="449" t="s">
        <v>116</v>
      </c>
      <c r="C58" s="449"/>
      <c r="D58" s="116">
        <v>3500</v>
      </c>
      <c r="E58" s="117"/>
      <c r="G58" s="84"/>
      <c r="H58" s="110">
        <f>+H56/77</f>
        <v>3.2987012987012987</v>
      </c>
      <c r="I58" s="118"/>
      <c r="J58" s="103"/>
      <c r="K58" s="111"/>
      <c r="L58" s="104"/>
      <c r="M58" s="104" t="s">
        <v>117</v>
      </c>
      <c r="N58" s="119"/>
      <c r="O58" s="101">
        <f>+H59</f>
        <v>211.11688311688312</v>
      </c>
      <c r="P58" s="101"/>
      <c r="Q58" s="102"/>
    </row>
    <row r="59" spans="1:17" x14ac:dyDescent="0.2">
      <c r="B59" s="449" t="s">
        <v>118</v>
      </c>
      <c r="C59" s="449"/>
      <c r="D59" s="120">
        <v>3500</v>
      </c>
      <c r="E59" s="117"/>
      <c r="G59" s="84"/>
      <c r="H59" s="110">
        <f>+H58*64</f>
        <v>211.11688311688312</v>
      </c>
      <c r="I59" s="118"/>
      <c r="J59" s="103"/>
      <c r="K59" s="111"/>
      <c r="L59" s="104"/>
      <c r="M59" s="450" t="s">
        <v>115</v>
      </c>
      <c r="N59" s="450"/>
      <c r="O59" s="101">
        <f>SUM(O57:O58)</f>
        <v>4439.1168831168834</v>
      </c>
      <c r="P59" s="101"/>
      <c r="Q59" s="102"/>
    </row>
    <row r="60" spans="1:17" ht="13.5" thickBot="1" x14ac:dyDescent="0.25">
      <c r="B60" s="442" t="s">
        <v>119</v>
      </c>
      <c r="C60" s="442"/>
      <c r="D60" s="116">
        <f>+D58/D59</f>
        <v>1</v>
      </c>
      <c r="E60" s="117"/>
      <c r="F60" s="121"/>
      <c r="G60" s="84"/>
      <c r="H60" s="110"/>
      <c r="I60" s="118"/>
      <c r="J60" s="103"/>
      <c r="K60" s="111"/>
      <c r="L60" s="450"/>
      <c r="M60" s="450"/>
      <c r="N60" s="119"/>
      <c r="O60" s="101">
        <f>+O59*N60</f>
        <v>0</v>
      </c>
      <c r="P60" s="101"/>
      <c r="Q60" s="102"/>
    </row>
    <row r="61" spans="1:17" ht="13.5" thickBot="1" x14ac:dyDescent="0.25">
      <c r="B61" s="442" t="s">
        <v>120</v>
      </c>
      <c r="C61" s="442"/>
      <c r="D61" s="122"/>
      <c r="E61" s="117"/>
      <c r="F61" s="121"/>
      <c r="G61" s="84"/>
      <c r="H61" s="110"/>
      <c r="I61" s="118"/>
      <c r="J61" s="103"/>
      <c r="K61" s="443" t="s">
        <v>121</v>
      </c>
      <c r="L61" s="444"/>
      <c r="M61" s="444"/>
      <c r="N61" s="445"/>
      <c r="O61" s="114">
        <f>SUM(O59:O60)</f>
        <v>4439.1168831168834</v>
      </c>
      <c r="P61" s="123" t="s">
        <v>122</v>
      </c>
      <c r="Q61" s="102"/>
    </row>
    <row r="62" spans="1:17" ht="13.5" thickBot="1" x14ac:dyDescent="0.25">
      <c r="C62" s="93" t="s">
        <v>123</v>
      </c>
      <c r="D62" s="124"/>
      <c r="E62" s="67" t="s">
        <v>124</v>
      </c>
      <c r="F62" s="125" t="s">
        <v>125</v>
      </c>
      <c r="G62" s="84"/>
      <c r="H62" s="110"/>
      <c r="I62" s="118"/>
      <c r="J62" s="126"/>
      <c r="K62" s="127"/>
      <c r="L62" s="456" t="s">
        <v>126</v>
      </c>
      <c r="M62" s="456"/>
      <c r="N62" s="456"/>
      <c r="O62" s="128">
        <f>+O61/D60</f>
        <v>4439.1168831168834</v>
      </c>
      <c r="P62" s="129">
        <f>+O62/D59</f>
        <v>1.2683191094619666</v>
      </c>
      <c r="Q62" s="130"/>
    </row>
    <row r="63" spans="1:17" ht="13.5" thickBot="1" x14ac:dyDescent="0.25">
      <c r="B63" s="457" t="s">
        <v>111</v>
      </c>
      <c r="C63" s="457"/>
      <c r="D63" s="457"/>
      <c r="E63" s="131">
        <f>+F63/F63</f>
        <v>1</v>
      </c>
      <c r="F63" s="132">
        <f>SUM(F55)</f>
        <v>3974</v>
      </c>
      <c r="G63" s="84">
        <f>+F63/$F$66</f>
        <v>0.92778282317729432</v>
      </c>
      <c r="H63" s="110"/>
      <c r="I63" s="118"/>
      <c r="K63" s="458"/>
      <c r="L63" s="459"/>
      <c r="M63" s="459"/>
      <c r="N63" s="459"/>
      <c r="O63" s="133"/>
      <c r="P63" s="134"/>
    </row>
    <row r="64" spans="1:17" ht="13.5" thickBot="1" x14ac:dyDescent="0.25">
      <c r="B64" s="460" t="s">
        <v>127</v>
      </c>
      <c r="C64" s="460"/>
      <c r="D64" s="460"/>
      <c r="E64" s="135">
        <v>0.02</v>
      </c>
      <c r="F64" s="132">
        <f>+F53*E64</f>
        <v>78.33</v>
      </c>
      <c r="G64" s="84">
        <f>+F64/$F$66</f>
        <v>1.8287173764337559E-2</v>
      </c>
      <c r="H64" s="96"/>
      <c r="I64" s="118"/>
      <c r="J64" s="136"/>
      <c r="O64" s="137"/>
      <c r="P64" s="94"/>
    </row>
    <row r="65" spans="2:13" ht="13.5" thickBot="1" x14ac:dyDescent="0.25">
      <c r="B65" s="461" t="s">
        <v>128</v>
      </c>
      <c r="C65" s="462"/>
      <c r="D65" s="138">
        <v>3</v>
      </c>
      <c r="E65" s="139">
        <v>77</v>
      </c>
      <c r="F65" s="132">
        <f>+E65*D65</f>
        <v>231</v>
      </c>
      <c r="G65" s="84">
        <f>+F65/$F$66</f>
        <v>5.3930003058368141E-2</v>
      </c>
      <c r="H65" s="96"/>
      <c r="I65" s="96"/>
      <c r="J65" s="86"/>
    </row>
    <row r="66" spans="2:13" ht="13.5" thickBot="1" x14ac:dyDescent="0.25">
      <c r="B66" s="463" t="s">
        <v>129</v>
      </c>
      <c r="C66" s="464"/>
      <c r="D66" s="464"/>
      <c r="E66" s="465"/>
      <c r="F66" s="109">
        <f>SUM(F63:F65)</f>
        <v>4283.33</v>
      </c>
      <c r="G66" s="84">
        <f>+F66/$F$66</f>
        <v>1</v>
      </c>
      <c r="H66" s="466"/>
      <c r="I66" s="96"/>
      <c r="J66" s="86"/>
      <c r="M66" s="69" t="s">
        <v>130</v>
      </c>
    </row>
    <row r="67" spans="2:13" x14ac:dyDescent="0.2">
      <c r="C67" s="91"/>
      <c r="D67" s="91"/>
      <c r="E67" s="141"/>
      <c r="F67" s="132"/>
      <c r="G67" s="84"/>
      <c r="H67" s="466"/>
      <c r="I67" s="140"/>
      <c r="J67" s="69"/>
      <c r="M67" s="69" t="s">
        <v>131</v>
      </c>
    </row>
    <row r="68" spans="2:13" ht="13.5" thickBot="1" x14ac:dyDescent="0.25">
      <c r="B68" s="451" t="s">
        <v>132</v>
      </c>
      <c r="C68" s="451"/>
      <c r="D68" s="451"/>
      <c r="E68" s="451"/>
      <c r="F68" s="451"/>
      <c r="G68" s="84"/>
      <c r="H68" s="143"/>
      <c r="I68" s="140"/>
      <c r="J68" s="69"/>
      <c r="M68" s="69" t="s">
        <v>133</v>
      </c>
    </row>
    <row r="69" spans="2:13" ht="13.5" thickBot="1" x14ac:dyDescent="0.25">
      <c r="B69" s="144" t="s">
        <v>134</v>
      </c>
      <c r="C69" s="145">
        <f>+F53</f>
        <v>3916.5</v>
      </c>
      <c r="D69" s="145">
        <f>+D58</f>
        <v>3500</v>
      </c>
      <c r="E69" s="146">
        <f>+C69/D69</f>
        <v>1.119</v>
      </c>
      <c r="F69" s="84"/>
      <c r="G69" s="143"/>
      <c r="H69" s="86"/>
      <c r="I69" s="143"/>
      <c r="J69" s="69"/>
    </row>
    <row r="70" spans="2:13" x14ac:dyDescent="0.2">
      <c r="B70" s="147"/>
      <c r="C70" s="148"/>
      <c r="D70" s="149"/>
      <c r="E70" s="132"/>
      <c r="F70" s="84"/>
      <c r="G70" s="143"/>
      <c r="H70" s="86"/>
      <c r="I70" s="86"/>
      <c r="J70" s="69"/>
    </row>
    <row r="71" spans="2:13" x14ac:dyDescent="0.2">
      <c r="B71" s="144" t="s">
        <v>135</v>
      </c>
      <c r="C71" s="145">
        <f>SUM(F63:F64)</f>
        <v>4052.33</v>
      </c>
      <c r="D71" s="145">
        <f>+D58</f>
        <v>3500</v>
      </c>
      <c r="E71" s="150">
        <f>+C71/D71</f>
        <v>1.1578085714285713</v>
      </c>
      <c r="F71" s="84"/>
      <c r="G71" s="143"/>
      <c r="H71" s="86"/>
      <c r="I71" s="86"/>
      <c r="J71" s="69"/>
    </row>
    <row r="72" spans="2:13" x14ac:dyDescent="0.2">
      <c r="B72" s="144"/>
      <c r="C72" s="145"/>
      <c r="D72" s="145"/>
      <c r="E72" s="150"/>
      <c r="F72" s="84"/>
      <c r="G72" s="143"/>
      <c r="H72" s="86"/>
      <c r="I72" s="86"/>
      <c r="J72" s="69"/>
    </row>
    <row r="73" spans="2:13" ht="13.5" thickBot="1" x14ac:dyDescent="0.25">
      <c r="B73" s="144" t="s">
        <v>136</v>
      </c>
      <c r="C73" s="145">
        <f>+F65</f>
        <v>231</v>
      </c>
      <c r="D73" s="145">
        <f>+D58</f>
        <v>3500</v>
      </c>
      <c r="E73" s="150">
        <f>+C73/D73</f>
        <v>6.6000000000000003E-2</v>
      </c>
      <c r="F73" s="84"/>
      <c r="G73" s="143"/>
      <c r="H73" s="86"/>
      <c r="I73" s="86"/>
      <c r="J73" s="69"/>
    </row>
    <row r="74" spans="2:13" ht="13.5" thickBot="1" x14ac:dyDescent="0.25">
      <c r="B74" s="144" t="s">
        <v>137</v>
      </c>
      <c r="C74" s="145">
        <f>+F56</f>
        <v>254</v>
      </c>
      <c r="D74" s="145">
        <f>+D73</f>
        <v>3500</v>
      </c>
      <c r="E74" s="146">
        <f>+C74/D74</f>
        <v>7.2571428571428565E-2</v>
      </c>
      <c r="F74" s="84"/>
      <c r="G74" s="143"/>
      <c r="H74" s="86"/>
      <c r="I74" s="86"/>
      <c r="J74" s="69"/>
    </row>
    <row r="75" spans="2:13" ht="13.5" thickBot="1" x14ac:dyDescent="0.25">
      <c r="B75" s="108"/>
      <c r="C75" s="109"/>
      <c r="D75" s="109"/>
      <c r="E75" s="150"/>
      <c r="F75" s="84"/>
      <c r="G75" s="143"/>
      <c r="H75" s="86"/>
      <c r="I75" s="86"/>
      <c r="J75" s="69"/>
    </row>
    <row r="76" spans="2:13" ht="13.5" thickBot="1" x14ac:dyDescent="0.25">
      <c r="B76" s="144" t="s">
        <v>138</v>
      </c>
      <c r="C76" s="145">
        <f>+F54</f>
        <v>57.5</v>
      </c>
      <c r="D76" s="145">
        <f>+D74</f>
        <v>3500</v>
      </c>
      <c r="E76" s="146">
        <f>+C76/D76</f>
        <v>1.6428571428571428E-2</v>
      </c>
      <c r="F76" s="84"/>
      <c r="G76" s="143"/>
      <c r="H76" s="86"/>
      <c r="I76" s="86"/>
      <c r="J76" s="86"/>
    </row>
    <row r="77" spans="2:13" ht="13.5" thickBot="1" x14ac:dyDescent="0.25">
      <c r="B77" s="108"/>
      <c r="C77" s="109"/>
      <c r="D77" s="109"/>
      <c r="E77" s="150"/>
      <c r="F77" s="84"/>
      <c r="G77" s="143"/>
      <c r="H77" s="86"/>
      <c r="I77" s="86"/>
    </row>
    <row r="78" spans="2:13" ht="13.5" thickBot="1" x14ac:dyDescent="0.25">
      <c r="B78" s="452" t="s">
        <v>139</v>
      </c>
      <c r="C78" s="453"/>
      <c r="D78" s="454"/>
      <c r="E78" s="146">
        <f>+E69+E74</f>
        <v>1.1915714285714285</v>
      </c>
      <c r="G78" s="84"/>
      <c r="H78" s="143"/>
      <c r="I78" s="86"/>
      <c r="J78" s="150"/>
    </row>
    <row r="79" spans="2:13" x14ac:dyDescent="0.2">
      <c r="I79" s="143"/>
      <c r="J79" s="69"/>
    </row>
    <row r="80" spans="2:13" ht="13.5" thickBot="1" x14ac:dyDescent="0.25">
      <c r="B80" s="451" t="s">
        <v>140</v>
      </c>
      <c r="C80" s="451"/>
      <c r="D80" s="451"/>
      <c r="E80" s="451"/>
      <c r="F80" s="451"/>
      <c r="G80" s="84"/>
      <c r="H80" s="143"/>
      <c r="J80" s="69"/>
    </row>
    <row r="81" spans="1:10" ht="13.5" thickBot="1" x14ac:dyDescent="0.25">
      <c r="B81" s="144" t="s">
        <v>134</v>
      </c>
      <c r="C81" s="145">
        <f>+C69</f>
        <v>3916.5</v>
      </c>
      <c r="D81" s="145">
        <f>+D60</f>
        <v>1</v>
      </c>
      <c r="E81" s="146">
        <f>+C81/D81</f>
        <v>3916.5</v>
      </c>
      <c r="F81" s="84"/>
      <c r="G81" s="143"/>
      <c r="H81" s="86"/>
      <c r="I81" s="143"/>
      <c r="J81" s="69"/>
    </row>
    <row r="82" spans="1:10" x14ac:dyDescent="0.2">
      <c r="B82" s="147"/>
      <c r="C82" s="148"/>
      <c r="D82" s="149"/>
      <c r="E82" s="132"/>
      <c r="F82" s="84"/>
      <c r="G82" s="143"/>
      <c r="H82" s="86"/>
      <c r="I82" s="86"/>
      <c r="J82" s="69"/>
    </row>
    <row r="83" spans="1:10" x14ac:dyDescent="0.2">
      <c r="B83" s="144" t="s">
        <v>135</v>
      </c>
      <c r="C83" s="145">
        <f>+C71</f>
        <v>4052.33</v>
      </c>
      <c r="D83" s="145">
        <f>+D60</f>
        <v>1</v>
      </c>
      <c r="E83" s="150">
        <f>+C83/D83</f>
        <v>4052.33</v>
      </c>
      <c r="F83" s="84"/>
      <c r="G83" s="143"/>
      <c r="H83" s="86"/>
      <c r="I83" s="86"/>
      <c r="J83" s="69"/>
    </row>
    <row r="84" spans="1:10" x14ac:dyDescent="0.2">
      <c r="B84" s="144"/>
      <c r="C84" s="145"/>
      <c r="D84" s="145"/>
      <c r="E84" s="150"/>
      <c r="F84" s="84"/>
      <c r="G84" s="143"/>
      <c r="H84" s="86"/>
      <c r="I84" s="86"/>
      <c r="J84" s="69"/>
    </row>
    <row r="85" spans="1:10" ht="13.5" thickBot="1" x14ac:dyDescent="0.25">
      <c r="B85" s="144" t="s">
        <v>137</v>
      </c>
      <c r="C85" s="145">
        <f>+C73</f>
        <v>231</v>
      </c>
      <c r="D85" s="145">
        <f>+D60</f>
        <v>1</v>
      </c>
      <c r="E85" s="150">
        <f>+C85/D85</f>
        <v>231</v>
      </c>
      <c r="F85" s="152"/>
      <c r="G85" s="142"/>
      <c r="H85" s="68"/>
      <c r="I85" s="86"/>
    </row>
    <row r="86" spans="1:10" ht="13.5" thickBot="1" x14ac:dyDescent="0.25">
      <c r="B86" s="144" t="s">
        <v>137</v>
      </c>
      <c r="C86" s="145">
        <f>+C74</f>
        <v>254</v>
      </c>
      <c r="D86" s="145">
        <f>+D85</f>
        <v>1</v>
      </c>
      <c r="E86" s="146">
        <f>+C86/D86</f>
        <v>254</v>
      </c>
      <c r="F86" s="151"/>
      <c r="G86" s="142"/>
      <c r="H86" s="68"/>
      <c r="I86" s="68"/>
    </row>
    <row r="87" spans="1:10" x14ac:dyDescent="0.2">
      <c r="I87" s="68"/>
    </row>
    <row r="88" spans="1:10" x14ac:dyDescent="0.2">
      <c r="A88" s="455"/>
      <c r="B88" s="455"/>
      <c r="C88" s="153"/>
      <c r="D88" s="153"/>
      <c r="E88" s="154"/>
      <c r="G88" s="155"/>
    </row>
    <row r="89" spans="1:10" x14ac:dyDescent="0.2">
      <c r="A89" s="87"/>
      <c r="B89" s="156"/>
      <c r="C89" s="157"/>
      <c r="D89" s="157"/>
      <c r="E89" s="158"/>
      <c r="G89" s="155"/>
    </row>
    <row r="90" spans="1:10" x14ac:dyDescent="0.2">
      <c r="A90" s="87"/>
      <c r="B90" s="156"/>
      <c r="C90" s="159"/>
      <c r="D90" s="159"/>
      <c r="E90" s="87"/>
      <c r="G90" s="155"/>
    </row>
    <row r="91" spans="1:10" x14ac:dyDescent="0.2">
      <c r="A91" s="87"/>
      <c r="B91" s="156"/>
      <c r="C91" s="160"/>
      <c r="D91" s="160"/>
      <c r="E91" s="87"/>
      <c r="G91" s="155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07E04-CCD2-4DF6-A09D-1B07F9AA3AAF}">
  <dimension ref="A1:I64"/>
  <sheetViews>
    <sheetView workbookViewId="0">
      <selection activeCell="C15" sqref="C15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20.42578125" bestFit="1" customWidth="1"/>
  </cols>
  <sheetData>
    <row r="1" spans="1:9" ht="15" x14ac:dyDescent="0.2">
      <c r="A1" s="524"/>
      <c r="B1" s="525"/>
      <c r="C1" s="530" t="s">
        <v>0</v>
      </c>
      <c r="D1" s="530"/>
      <c r="E1" s="530"/>
      <c r="F1" s="530"/>
      <c r="G1" s="530"/>
      <c r="H1" s="287" t="s">
        <v>1</v>
      </c>
      <c r="I1" s="323" t="s">
        <v>254</v>
      </c>
    </row>
    <row r="2" spans="1:9" ht="15.75" x14ac:dyDescent="0.25">
      <c r="A2" s="526"/>
      <c r="B2" s="527"/>
      <c r="C2" s="531" t="s">
        <v>2</v>
      </c>
      <c r="D2" s="531"/>
      <c r="E2" s="531"/>
      <c r="F2" s="531"/>
      <c r="G2" s="531"/>
      <c r="H2" s="289" t="s">
        <v>3</v>
      </c>
      <c r="I2" s="290" t="s">
        <v>188</v>
      </c>
    </row>
    <row r="3" spans="1:9" ht="15.75" thickBot="1" x14ac:dyDescent="0.25">
      <c r="A3" s="526"/>
      <c r="B3" s="527"/>
      <c r="C3" s="532" t="s">
        <v>255</v>
      </c>
      <c r="D3" s="533"/>
      <c r="E3" s="533"/>
      <c r="F3" s="533"/>
      <c r="G3" s="534"/>
      <c r="H3" s="535" t="s">
        <v>4</v>
      </c>
      <c r="I3" s="515">
        <v>45609</v>
      </c>
    </row>
    <row r="4" spans="1:9" ht="13.5" x14ac:dyDescent="0.25">
      <c r="A4" s="526"/>
      <c r="B4" s="527"/>
      <c r="C4" s="291" t="s">
        <v>5</v>
      </c>
      <c r="D4" s="518" t="s">
        <v>32</v>
      </c>
      <c r="E4" s="519"/>
      <c r="F4" s="519"/>
      <c r="G4" s="520"/>
      <c r="H4" s="536"/>
      <c r="I4" s="516"/>
    </row>
    <row r="5" spans="1:9" ht="14.25" thickBot="1" x14ac:dyDescent="0.3">
      <c r="A5" s="528"/>
      <c r="B5" s="529"/>
      <c r="C5" s="292" t="s">
        <v>6</v>
      </c>
      <c r="D5" s="521" t="s">
        <v>33</v>
      </c>
      <c r="E5" s="522"/>
      <c r="F5" s="522"/>
      <c r="G5" s="523"/>
      <c r="H5" s="537"/>
      <c r="I5" s="517"/>
    </row>
    <row r="6" spans="1:9" ht="18.75" thickBot="1" x14ac:dyDescent="0.3">
      <c r="A6" s="506" t="s">
        <v>34</v>
      </c>
      <c r="B6" s="506"/>
      <c r="C6" s="506"/>
      <c r="D6" s="507" t="s">
        <v>57</v>
      </c>
      <c r="E6" s="507"/>
      <c r="F6" s="507"/>
      <c r="G6" s="508" t="s">
        <v>36</v>
      </c>
      <c r="H6" s="508"/>
      <c r="I6" s="15" t="s">
        <v>199</v>
      </c>
    </row>
    <row r="7" spans="1:9" x14ac:dyDescent="0.2">
      <c r="A7" s="509" t="s">
        <v>7</v>
      </c>
      <c r="B7" s="511" t="s">
        <v>37</v>
      </c>
      <c r="C7" s="513" t="s">
        <v>8</v>
      </c>
      <c r="D7" s="513" t="s">
        <v>9</v>
      </c>
      <c r="E7" s="513" t="s">
        <v>10</v>
      </c>
      <c r="F7" s="513"/>
      <c r="G7" s="513" t="s">
        <v>11</v>
      </c>
      <c r="H7" s="513"/>
      <c r="I7" s="16" t="s">
        <v>12</v>
      </c>
    </row>
    <row r="8" spans="1:9" ht="26.25" thickBot="1" x14ac:dyDescent="0.25">
      <c r="A8" s="510"/>
      <c r="B8" s="512"/>
      <c r="C8" s="514"/>
      <c r="D8" s="514"/>
      <c r="E8" s="17" t="s">
        <v>13</v>
      </c>
      <c r="F8" s="18" t="s">
        <v>14</v>
      </c>
      <c r="G8" s="17" t="s">
        <v>13</v>
      </c>
      <c r="H8" s="18" t="s">
        <v>14</v>
      </c>
      <c r="I8" s="19" t="s">
        <v>15</v>
      </c>
    </row>
    <row r="9" spans="1:9" ht="15" x14ac:dyDescent="0.25">
      <c r="A9" s="20"/>
      <c r="B9" s="220"/>
      <c r="C9" s="221" t="s">
        <v>191</v>
      </c>
      <c r="D9" s="21"/>
      <c r="E9" s="22"/>
      <c r="F9" s="23"/>
      <c r="G9" s="22"/>
      <c r="H9" s="23"/>
      <c r="I9" s="24"/>
    </row>
    <row r="10" spans="1:9" ht="15" x14ac:dyDescent="0.25">
      <c r="A10" s="324">
        <v>505605</v>
      </c>
      <c r="B10" s="325" t="s">
        <v>256</v>
      </c>
      <c r="C10" s="326" t="s">
        <v>257</v>
      </c>
      <c r="D10" s="327" t="s">
        <v>258</v>
      </c>
      <c r="E10" s="328">
        <v>204</v>
      </c>
      <c r="F10" s="329" t="s">
        <v>75</v>
      </c>
      <c r="G10" s="296"/>
      <c r="H10" s="297"/>
      <c r="I10" s="24"/>
    </row>
    <row r="11" spans="1:9" ht="15" x14ac:dyDescent="0.25">
      <c r="A11" s="61" t="s">
        <v>259</v>
      </c>
      <c r="B11" s="61"/>
      <c r="C11" s="330" t="s">
        <v>48</v>
      </c>
      <c r="D11" s="327" t="s">
        <v>38</v>
      </c>
      <c r="E11" s="328">
        <v>60000</v>
      </c>
      <c r="F11" s="329" t="s">
        <v>16</v>
      </c>
      <c r="G11" s="302"/>
      <c r="H11" s="297"/>
      <c r="I11" s="24"/>
    </row>
    <row r="12" spans="1:9" ht="15" x14ac:dyDescent="0.25">
      <c r="A12" s="331"/>
      <c r="B12" s="331"/>
      <c r="C12" s="332"/>
      <c r="D12" s="327"/>
      <c r="E12" s="328"/>
      <c r="F12" s="329"/>
      <c r="G12" s="302"/>
      <c r="H12" s="297"/>
      <c r="I12" s="24"/>
    </row>
    <row r="13" spans="1:9" ht="15" x14ac:dyDescent="0.25">
      <c r="A13" s="61"/>
      <c r="B13" s="61"/>
      <c r="C13" s="330"/>
      <c r="D13" s="327"/>
      <c r="E13" s="333"/>
      <c r="F13" s="334"/>
      <c r="G13" s="302"/>
      <c r="H13" s="297"/>
      <c r="I13" s="24"/>
    </row>
    <row r="14" spans="1:9" ht="15" x14ac:dyDescent="0.25">
      <c r="A14" s="335"/>
      <c r="B14" s="335"/>
      <c r="C14" s="336"/>
      <c r="D14" s="327"/>
      <c r="E14" s="333"/>
      <c r="F14" s="334"/>
      <c r="G14" s="302"/>
      <c r="H14" s="297"/>
      <c r="I14" s="24"/>
    </row>
    <row r="15" spans="1:9" ht="15" x14ac:dyDescent="0.25">
      <c r="A15" s="61"/>
      <c r="B15" s="61"/>
      <c r="C15" s="330"/>
      <c r="D15" s="327"/>
      <c r="E15" s="328"/>
      <c r="F15" s="329"/>
      <c r="G15" s="302"/>
      <c r="H15" s="297"/>
      <c r="I15" s="24"/>
    </row>
    <row r="16" spans="1:9" ht="15" x14ac:dyDescent="0.25">
      <c r="A16" s="61"/>
      <c r="B16" s="61"/>
      <c r="C16" s="330"/>
      <c r="D16" s="327"/>
      <c r="E16" s="328"/>
      <c r="F16" s="329"/>
      <c r="G16" s="302"/>
      <c r="H16" s="297"/>
      <c r="I16" s="24"/>
    </row>
    <row r="17" spans="1:9" ht="15" x14ac:dyDescent="0.25">
      <c r="A17" s="61"/>
      <c r="B17" s="61"/>
      <c r="C17" s="62"/>
      <c r="D17" s="327"/>
      <c r="E17" s="333"/>
      <c r="F17" s="334"/>
      <c r="G17" s="302"/>
      <c r="H17" s="297"/>
      <c r="I17" s="24"/>
    </row>
    <row r="18" spans="1:9" ht="15" x14ac:dyDescent="0.25">
      <c r="A18" s="337"/>
      <c r="B18" s="338"/>
      <c r="C18" s="339"/>
      <c r="D18" s="340"/>
      <c r="E18" s="340"/>
      <c r="F18" s="303"/>
      <c r="G18" s="302"/>
      <c r="H18" s="297"/>
      <c r="I18" s="24"/>
    </row>
    <row r="19" spans="1:9" ht="15" x14ac:dyDescent="0.25">
      <c r="A19" s="337"/>
      <c r="B19" s="338"/>
      <c r="C19" s="339"/>
      <c r="D19" s="341"/>
      <c r="E19" s="340"/>
      <c r="F19" s="303"/>
      <c r="G19" s="302"/>
      <c r="H19" s="297"/>
      <c r="I19" s="24"/>
    </row>
    <row r="20" spans="1:9" ht="15" x14ac:dyDescent="0.25">
      <c r="A20" s="306"/>
      <c r="B20" s="307"/>
      <c r="C20" s="309"/>
      <c r="D20" s="301"/>
      <c r="E20" s="195"/>
      <c r="F20" s="196"/>
      <c r="G20" s="302"/>
      <c r="H20" s="303"/>
      <c r="I20" s="24"/>
    </row>
    <row r="21" spans="1:9" ht="15" x14ac:dyDescent="0.25">
      <c r="A21" s="306"/>
      <c r="B21" s="307"/>
      <c r="C21" s="308"/>
      <c r="D21" s="301"/>
      <c r="E21" s="310"/>
      <c r="F21" s="310"/>
      <c r="G21" s="302"/>
      <c r="H21" s="303"/>
      <c r="I21" s="24"/>
    </row>
    <row r="22" spans="1:9" ht="15" x14ac:dyDescent="0.25">
      <c r="A22" s="311"/>
      <c r="B22" s="312"/>
      <c r="C22" s="313"/>
      <c r="D22" s="314"/>
      <c r="E22" s="315"/>
      <c r="F22" s="315"/>
      <c r="G22" s="316"/>
      <c r="H22" s="303"/>
      <c r="I22" s="24"/>
    </row>
    <row r="23" spans="1:9" ht="15" x14ac:dyDescent="0.25">
      <c r="A23" s="311"/>
      <c r="B23" s="312"/>
      <c r="C23" s="313"/>
      <c r="D23" s="314"/>
      <c r="E23" s="315"/>
      <c r="F23" s="315"/>
      <c r="G23" s="316"/>
      <c r="H23" s="303"/>
      <c r="I23" s="24"/>
    </row>
    <row r="24" spans="1:9" ht="15" x14ac:dyDescent="0.25">
      <c r="A24" s="311"/>
      <c r="B24" s="312"/>
      <c r="C24" s="313"/>
      <c r="D24" s="314"/>
      <c r="E24" s="315"/>
      <c r="F24" s="315"/>
      <c r="G24" s="316"/>
      <c r="H24" s="303"/>
      <c r="I24" s="24"/>
    </row>
    <row r="25" spans="1:9" ht="15.75" x14ac:dyDescent="0.25">
      <c r="A25" s="11"/>
      <c r="B25" s="11"/>
      <c r="D25" s="27"/>
      <c r="E25" s="317"/>
      <c r="F25" s="317"/>
      <c r="G25" s="22"/>
      <c r="H25" s="303"/>
      <c r="I25" s="24"/>
    </row>
    <row r="26" spans="1:9" ht="15" x14ac:dyDescent="0.25">
      <c r="A26" s="12"/>
      <c r="B26" s="12"/>
      <c r="C26" s="238"/>
      <c r="D26" s="27"/>
      <c r="E26" s="27"/>
      <c r="F26" s="29"/>
      <c r="G26" s="22"/>
      <c r="H26" s="303"/>
      <c r="I26" s="24"/>
    </row>
    <row r="27" spans="1:9" ht="15.75" x14ac:dyDescent="0.25">
      <c r="A27" s="31"/>
      <c r="B27" s="32"/>
      <c r="C27" s="239" t="s">
        <v>198</v>
      </c>
      <c r="D27" s="28" t="s">
        <v>248</v>
      </c>
      <c r="E27" s="240"/>
      <c r="F27" s="29"/>
      <c r="G27" s="22"/>
      <c r="H27" s="303"/>
      <c r="I27" s="24"/>
    </row>
    <row r="28" spans="1:9" ht="15" x14ac:dyDescent="0.25">
      <c r="A28" s="241"/>
      <c r="B28" s="237"/>
      <c r="C28" s="242"/>
      <c r="D28" s="243" t="s">
        <v>248</v>
      </c>
      <c r="E28" s="27"/>
      <c r="F28" s="29"/>
      <c r="G28" s="22"/>
      <c r="H28" s="303"/>
      <c r="I28" s="24"/>
    </row>
    <row r="29" spans="1:9" ht="15" x14ac:dyDescent="0.25">
      <c r="A29" s="12"/>
      <c r="B29" s="12"/>
      <c r="C29" s="238"/>
      <c r="D29" s="243" t="s">
        <v>248</v>
      </c>
      <c r="E29" s="27"/>
      <c r="F29" s="29"/>
      <c r="G29" s="22"/>
      <c r="H29" s="303"/>
      <c r="I29" s="24"/>
    </row>
    <row r="30" spans="1:9" ht="15" x14ac:dyDescent="0.25">
      <c r="A30" s="244"/>
      <c r="B30" s="244"/>
      <c r="C30" s="242"/>
      <c r="D30" s="243" t="s">
        <v>248</v>
      </c>
      <c r="E30" s="27"/>
      <c r="F30" s="29"/>
      <c r="G30" s="22"/>
      <c r="H30" s="303"/>
      <c r="I30" s="24"/>
    </row>
    <row r="31" spans="1:9" ht="15" x14ac:dyDescent="0.25">
      <c r="A31" s="12"/>
      <c r="B31" s="12"/>
      <c r="C31" s="238"/>
      <c r="D31" s="27" t="s">
        <v>248</v>
      </c>
      <c r="E31" s="28"/>
      <c r="F31" s="29"/>
      <c r="G31" s="22"/>
      <c r="H31" s="303"/>
      <c r="I31" s="24"/>
    </row>
    <row r="32" spans="1:9" ht="15" x14ac:dyDescent="0.25">
      <c r="A32" s="12"/>
      <c r="B32" s="12"/>
      <c r="C32" s="238"/>
      <c r="D32" s="245" t="s">
        <v>248</v>
      </c>
      <c r="E32" s="246"/>
      <c r="F32" s="247"/>
      <c r="G32" s="22"/>
      <c r="H32" s="303"/>
      <c r="I32" s="24"/>
    </row>
    <row r="33" spans="1:9" ht="15.75" x14ac:dyDescent="0.25">
      <c r="A33" s="248"/>
      <c r="B33" s="249"/>
      <c r="C33" s="250" t="s">
        <v>199</v>
      </c>
      <c r="D33" s="251" t="s">
        <v>248</v>
      </c>
      <c r="E33" s="22"/>
      <c r="F33" s="23"/>
      <c r="G33" s="22"/>
      <c r="H33" s="303"/>
      <c r="I33" s="24"/>
    </row>
    <row r="34" spans="1:9" ht="15.75" x14ac:dyDescent="0.25">
      <c r="A34" s="342">
        <v>702069</v>
      </c>
      <c r="B34" s="343" t="s">
        <v>30</v>
      </c>
      <c r="C34" s="344" t="s">
        <v>260</v>
      </c>
      <c r="D34" s="345"/>
      <c r="E34" s="317">
        <v>208</v>
      </c>
      <c r="F34" s="317" t="s">
        <v>75</v>
      </c>
      <c r="G34" s="302"/>
      <c r="H34" s="303"/>
      <c r="I34" s="24"/>
    </row>
    <row r="35" spans="1:9" ht="15" x14ac:dyDescent="0.25">
      <c r="A35" s="346"/>
      <c r="B35" s="347"/>
      <c r="C35" s="348"/>
      <c r="D35" s="349"/>
      <c r="E35" s="350"/>
      <c r="F35" s="351"/>
      <c r="G35" s="320"/>
      <c r="H35" s="303"/>
      <c r="I35" s="24"/>
    </row>
    <row r="36" spans="1:9" ht="15" x14ac:dyDescent="0.25">
      <c r="A36" s="298"/>
      <c r="B36" s="321"/>
      <c r="C36" s="300"/>
      <c r="D36" s="301"/>
      <c r="E36" s="41"/>
      <c r="F36" s="42"/>
      <c r="G36" s="22"/>
      <c r="H36" s="303"/>
      <c r="I36" s="24"/>
    </row>
    <row r="37" spans="1:9" ht="15" x14ac:dyDescent="0.25">
      <c r="A37" s="184"/>
      <c r="B37" s="184"/>
      <c r="C37" s="238"/>
      <c r="D37" s="28"/>
      <c r="E37" s="27"/>
      <c r="F37" s="29"/>
      <c r="G37" s="22"/>
      <c r="H37" s="23"/>
      <c r="I37" s="24"/>
    </row>
    <row r="38" spans="1:9" ht="15" x14ac:dyDescent="0.25">
      <c r="A38" s="263"/>
      <c r="B38" s="182"/>
      <c r="C38" s="183"/>
      <c r="D38" s="28"/>
      <c r="E38" s="27"/>
      <c r="F38" s="29"/>
      <c r="G38" s="22"/>
      <c r="H38" s="23"/>
      <c r="I38" s="24"/>
    </row>
    <row r="39" spans="1:9" ht="15.75" x14ac:dyDescent="0.25">
      <c r="A39" s="263"/>
      <c r="B39" s="182"/>
      <c r="C39" s="183"/>
      <c r="D39" s="47"/>
      <c r="E39" s="27"/>
      <c r="F39" s="29"/>
      <c r="G39" s="45"/>
      <c r="H39" s="28"/>
      <c r="I39" s="24"/>
    </row>
    <row r="40" spans="1:9" ht="15.75" x14ac:dyDescent="0.25">
      <c r="A40" s="31"/>
      <c r="B40" s="32"/>
      <c r="C40" s="46"/>
      <c r="D40" s="47"/>
      <c r="E40" s="27"/>
      <c r="F40" s="29"/>
      <c r="G40" s="27"/>
      <c r="H40" s="28"/>
      <c r="I40" s="24"/>
    </row>
    <row r="41" spans="1:9" ht="15.75" x14ac:dyDescent="0.25">
      <c r="A41" s="31"/>
      <c r="B41" s="32"/>
      <c r="C41" s="46"/>
      <c r="D41" s="47"/>
      <c r="E41" s="27"/>
      <c r="F41" s="29"/>
      <c r="G41" s="264"/>
      <c r="H41" s="29"/>
      <c r="I41" s="24"/>
    </row>
    <row r="42" spans="1:9" ht="15.75" x14ac:dyDescent="0.25">
      <c r="A42" s="31"/>
      <c r="B42" s="32"/>
      <c r="C42" s="46"/>
      <c r="D42" s="28"/>
      <c r="E42" s="28"/>
      <c r="F42" s="29"/>
      <c r="G42" s="47"/>
      <c r="H42" s="47"/>
      <c r="I42" s="24"/>
    </row>
    <row r="43" spans="1:9" ht="14.25" thickBot="1" x14ac:dyDescent="0.3">
      <c r="A43" s="48"/>
      <c r="B43" s="49"/>
      <c r="C43" s="50"/>
      <c r="D43" s="50"/>
      <c r="E43" s="51"/>
      <c r="F43" s="52"/>
      <c r="G43" s="50"/>
      <c r="H43" s="50"/>
      <c r="I43" s="53"/>
    </row>
    <row r="44" spans="1:9" ht="14.25" thickBot="1" x14ac:dyDescent="0.3">
      <c r="A44" s="54"/>
      <c r="B44" s="55"/>
      <c r="C44" s="56"/>
      <c r="D44" s="57" t="s">
        <v>13</v>
      </c>
      <c r="E44" s="58" t="s">
        <v>18</v>
      </c>
      <c r="F44" s="59"/>
      <c r="G44" s="56"/>
      <c r="H44" s="56"/>
      <c r="I44" s="60"/>
    </row>
    <row r="45" spans="1:9" ht="13.5" x14ac:dyDescent="0.25">
      <c r="A45" s="500" t="s">
        <v>19</v>
      </c>
      <c r="B45" s="501"/>
      <c r="C45" s="502"/>
      <c r="D45" s="211">
        <v>80580</v>
      </c>
      <c r="E45" s="212" t="s">
        <v>75</v>
      </c>
      <c r="F45" s="503" t="s">
        <v>20</v>
      </c>
      <c r="G45" s="503"/>
      <c r="H45" s="504"/>
      <c r="I45" s="505"/>
    </row>
    <row r="46" spans="1:9" ht="13.5" x14ac:dyDescent="0.25">
      <c r="A46" s="492" t="s">
        <v>21</v>
      </c>
      <c r="B46" s="493"/>
      <c r="C46" s="494"/>
      <c r="D46" s="213">
        <v>75</v>
      </c>
      <c r="E46" s="61" t="s">
        <v>22</v>
      </c>
      <c r="F46" s="495" t="s">
        <v>23</v>
      </c>
      <c r="G46" s="495"/>
      <c r="H46" s="496"/>
      <c r="I46" s="497"/>
    </row>
    <row r="47" spans="1:9" ht="13.5" x14ac:dyDescent="0.25">
      <c r="A47" s="492" t="s">
        <v>24</v>
      </c>
      <c r="B47" s="493"/>
      <c r="C47" s="494"/>
      <c r="D47" s="61">
        <v>4.25</v>
      </c>
      <c r="E47" s="61" t="s">
        <v>261</v>
      </c>
      <c r="F47" s="495" t="s">
        <v>25</v>
      </c>
      <c r="G47" s="495"/>
      <c r="H47" s="496"/>
      <c r="I47" s="497"/>
    </row>
    <row r="48" spans="1:9" ht="13.5" x14ac:dyDescent="0.25">
      <c r="A48" s="492" t="s">
        <v>26</v>
      </c>
      <c r="B48" s="493"/>
      <c r="C48" s="494"/>
      <c r="D48" s="61">
        <v>18960</v>
      </c>
      <c r="E48" s="61" t="s">
        <v>16</v>
      </c>
      <c r="F48" s="498" t="s">
        <v>27</v>
      </c>
      <c r="G48" s="499"/>
      <c r="H48" s="496"/>
      <c r="I48" s="497"/>
    </row>
    <row r="49" spans="1:9" ht="14.25" thickBot="1" x14ac:dyDescent="0.3">
      <c r="A49" s="480" t="s">
        <v>28</v>
      </c>
      <c r="B49" s="481"/>
      <c r="C49" s="482"/>
      <c r="D49" s="217">
        <v>60000</v>
      </c>
      <c r="E49" s="322" t="s">
        <v>16</v>
      </c>
      <c r="F49" s="483"/>
      <c r="G49" s="483"/>
      <c r="H49" s="484"/>
      <c r="I49" s="485"/>
    </row>
    <row r="50" spans="1:9" ht="13.5" thickBot="1" x14ac:dyDescent="0.25">
      <c r="A50" s="486" t="s">
        <v>29</v>
      </c>
      <c r="B50" s="487"/>
      <c r="C50" s="487"/>
      <c r="D50" s="487"/>
      <c r="E50" s="487"/>
      <c r="F50" s="487"/>
      <c r="G50" s="487"/>
      <c r="H50" s="487"/>
      <c r="I50" s="488"/>
    </row>
    <row r="51" spans="1:9" ht="15" x14ac:dyDescent="0.25">
      <c r="A51" s="489" t="s">
        <v>262</v>
      </c>
      <c r="B51" s="490"/>
      <c r="C51" s="490"/>
      <c r="D51" s="490"/>
      <c r="E51" s="490"/>
      <c r="F51" s="490"/>
      <c r="G51" s="490"/>
      <c r="H51" s="490"/>
      <c r="I51" s="491"/>
    </row>
    <row r="52" spans="1:9" ht="15" x14ac:dyDescent="0.25">
      <c r="A52" s="489" t="s">
        <v>263</v>
      </c>
      <c r="B52" s="490"/>
      <c r="C52" s="490"/>
      <c r="D52" s="490"/>
      <c r="E52" s="490"/>
      <c r="F52" s="490"/>
      <c r="G52" s="490"/>
      <c r="H52" s="490"/>
      <c r="I52" s="491"/>
    </row>
    <row r="53" spans="1:9" ht="15" x14ac:dyDescent="0.25">
      <c r="A53" s="489" t="s">
        <v>264</v>
      </c>
      <c r="B53" s="490"/>
      <c r="C53" s="490"/>
      <c r="D53" s="490"/>
      <c r="E53" s="490"/>
      <c r="F53" s="490"/>
      <c r="G53" s="490"/>
      <c r="H53" s="490"/>
      <c r="I53" s="491"/>
    </row>
    <row r="54" spans="1:9" ht="15" x14ac:dyDescent="0.25">
      <c r="A54" s="489" t="s">
        <v>265</v>
      </c>
      <c r="B54" s="490"/>
      <c r="C54" s="490"/>
      <c r="D54" s="490"/>
      <c r="E54" s="490"/>
      <c r="F54" s="490"/>
      <c r="G54" s="490"/>
      <c r="H54" s="490"/>
      <c r="I54" s="491"/>
    </row>
    <row r="55" spans="1:9" ht="15" x14ac:dyDescent="0.25">
      <c r="A55" s="489" t="s">
        <v>266</v>
      </c>
      <c r="B55" s="490"/>
      <c r="C55" s="490"/>
      <c r="D55" s="490"/>
      <c r="E55" s="490"/>
      <c r="F55" s="490"/>
      <c r="G55" s="490"/>
      <c r="H55" s="490"/>
      <c r="I55" s="491"/>
    </row>
    <row r="56" spans="1:9" ht="15" x14ac:dyDescent="0.25">
      <c r="A56" s="489" t="s">
        <v>267</v>
      </c>
      <c r="B56" s="490"/>
      <c r="C56" s="490"/>
      <c r="D56" s="490"/>
      <c r="E56" s="490"/>
      <c r="F56" s="490"/>
      <c r="G56" s="490"/>
      <c r="H56" s="490"/>
      <c r="I56" s="491"/>
    </row>
    <row r="57" spans="1:9" ht="14.25" x14ac:dyDescent="0.2">
      <c r="A57" s="477"/>
      <c r="B57" s="478"/>
      <c r="C57" s="478"/>
      <c r="D57" s="478"/>
      <c r="E57" s="478"/>
      <c r="F57" s="478"/>
      <c r="G57" s="478"/>
      <c r="H57" s="478"/>
      <c r="I57" s="479"/>
    </row>
    <row r="58" spans="1:9" ht="14.25" x14ac:dyDescent="0.2">
      <c r="A58" s="477"/>
      <c r="B58" s="478"/>
      <c r="C58" s="478"/>
      <c r="D58" s="478"/>
      <c r="E58" s="478"/>
      <c r="F58" s="478"/>
      <c r="G58" s="478"/>
      <c r="H58" s="478"/>
      <c r="I58" s="479"/>
    </row>
    <row r="59" spans="1:9" ht="15" thickBot="1" x14ac:dyDescent="0.25">
      <c r="A59" s="467"/>
      <c r="B59" s="468"/>
      <c r="C59" s="468"/>
      <c r="D59" s="468"/>
      <c r="E59" s="468"/>
      <c r="F59" s="468"/>
      <c r="G59" s="468"/>
      <c r="H59" s="468"/>
      <c r="I59" s="469"/>
    </row>
    <row r="60" spans="1:9" ht="15" x14ac:dyDescent="0.25">
      <c r="A60" s="219"/>
      <c r="B60" s="219"/>
      <c r="C60" s="219"/>
      <c r="D60" s="219"/>
      <c r="E60" s="219"/>
      <c r="F60" s="219"/>
      <c r="G60" s="219"/>
      <c r="H60" s="219"/>
      <c r="I60" s="219"/>
    </row>
    <row r="61" spans="1:9" ht="14.25" thickBot="1" x14ac:dyDescent="0.3">
      <c r="A61" s="470"/>
      <c r="B61" s="471"/>
      <c r="C61" s="471"/>
      <c r="D61" s="471"/>
      <c r="E61" s="471"/>
      <c r="F61" s="471"/>
      <c r="G61" s="471"/>
      <c r="H61" s="471"/>
      <c r="I61" s="472"/>
    </row>
    <row r="62" spans="1:9" x14ac:dyDescent="0.2">
      <c r="A62" s="473" t="s">
        <v>41</v>
      </c>
      <c r="B62" s="474"/>
      <c r="C62" s="474"/>
      <c r="D62" s="474"/>
      <c r="E62" s="474"/>
      <c r="F62" s="474"/>
      <c r="G62" s="474"/>
      <c r="H62" s="474"/>
      <c r="I62" s="474"/>
    </row>
    <row r="63" spans="1:9" ht="13.5" x14ac:dyDescent="0.25">
      <c r="A63" s="475"/>
      <c r="B63" s="476"/>
      <c r="C63" s="476"/>
      <c r="D63" s="476"/>
      <c r="E63" s="476"/>
      <c r="F63" s="476"/>
      <c r="G63" s="476"/>
      <c r="H63" s="476"/>
      <c r="I63" s="476"/>
    </row>
    <row r="64" spans="1:9" ht="13.5" x14ac:dyDescent="0.25">
      <c r="A64" s="475"/>
      <c r="B64" s="476"/>
      <c r="C64" s="476"/>
      <c r="D64" s="476"/>
      <c r="E64" s="476"/>
      <c r="F64" s="476"/>
      <c r="G64" s="476"/>
      <c r="H64" s="476"/>
      <c r="I64" s="476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9:I59"/>
    <mergeCell ref="A61:I61"/>
    <mergeCell ref="A62:I62"/>
    <mergeCell ref="A63:I63"/>
    <mergeCell ref="A64:I6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0E183-C99B-47AD-8062-BC04C24B9186}">
  <dimension ref="A1:I64"/>
  <sheetViews>
    <sheetView zoomScale="85" zoomScaleNormal="85" workbookViewId="0">
      <selection activeCell="C14" sqref="C14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20.42578125" bestFit="1" customWidth="1"/>
  </cols>
  <sheetData>
    <row r="1" spans="1:9" ht="15.75" x14ac:dyDescent="0.25">
      <c r="A1" s="524"/>
      <c r="B1" s="525"/>
      <c r="C1" s="530" t="s">
        <v>0</v>
      </c>
      <c r="D1" s="530"/>
      <c r="E1" s="530"/>
      <c r="F1" s="530"/>
      <c r="G1" s="530"/>
      <c r="H1" s="287" t="s">
        <v>1</v>
      </c>
      <c r="I1" s="288" t="s">
        <v>242</v>
      </c>
    </row>
    <row r="2" spans="1:9" ht="16.5" thickBot="1" x14ac:dyDescent="0.3">
      <c r="A2" s="526"/>
      <c r="B2" s="527"/>
      <c r="C2" s="531" t="s">
        <v>2</v>
      </c>
      <c r="D2" s="531"/>
      <c r="E2" s="531"/>
      <c r="F2" s="531"/>
      <c r="G2" s="531"/>
      <c r="H2" s="289" t="s">
        <v>3</v>
      </c>
      <c r="I2" s="290" t="s">
        <v>188</v>
      </c>
    </row>
    <row r="3" spans="1:9" ht="15.95" customHeight="1" thickBot="1" x14ac:dyDescent="0.25">
      <c r="A3" s="526"/>
      <c r="B3" s="527"/>
      <c r="C3" s="549" t="s">
        <v>243</v>
      </c>
      <c r="D3" s="550"/>
      <c r="E3" s="550"/>
      <c r="F3" s="550"/>
      <c r="G3" s="551"/>
      <c r="H3" s="535" t="s">
        <v>4</v>
      </c>
      <c r="I3" s="515">
        <v>45609</v>
      </c>
    </row>
    <row r="4" spans="1:9" ht="13.5" x14ac:dyDescent="0.25">
      <c r="A4" s="526"/>
      <c r="B4" s="527"/>
      <c r="C4" s="291" t="s">
        <v>5</v>
      </c>
      <c r="D4" s="518" t="s">
        <v>32</v>
      </c>
      <c r="E4" s="519"/>
      <c r="F4" s="519"/>
      <c r="G4" s="520"/>
      <c r="H4" s="536"/>
      <c r="I4" s="516"/>
    </row>
    <row r="5" spans="1:9" ht="14.25" thickBot="1" x14ac:dyDescent="0.3">
      <c r="A5" s="528"/>
      <c r="B5" s="529"/>
      <c r="C5" s="292" t="s">
        <v>6</v>
      </c>
      <c r="D5" s="521" t="s">
        <v>33</v>
      </c>
      <c r="E5" s="522"/>
      <c r="F5" s="522"/>
      <c r="G5" s="523"/>
      <c r="H5" s="537"/>
      <c r="I5" s="517"/>
    </row>
    <row r="6" spans="1:9" ht="18.75" thickBot="1" x14ac:dyDescent="0.3">
      <c r="A6" s="506" t="s">
        <v>34</v>
      </c>
      <c r="B6" s="506"/>
      <c r="C6" s="506"/>
      <c r="D6" s="507" t="s">
        <v>57</v>
      </c>
      <c r="E6" s="507"/>
      <c r="F6" s="507"/>
      <c r="G6" s="508" t="s">
        <v>36</v>
      </c>
      <c r="H6" s="508"/>
      <c r="I6" s="15" t="s">
        <v>57</v>
      </c>
    </row>
    <row r="7" spans="1:9" x14ac:dyDescent="0.2">
      <c r="A7" s="509" t="s">
        <v>7</v>
      </c>
      <c r="B7" s="511" t="s">
        <v>37</v>
      </c>
      <c r="C7" s="513" t="s">
        <v>8</v>
      </c>
      <c r="D7" s="513" t="s">
        <v>9</v>
      </c>
      <c r="E7" s="513" t="s">
        <v>10</v>
      </c>
      <c r="F7" s="513"/>
      <c r="G7" s="513" t="s">
        <v>11</v>
      </c>
      <c r="H7" s="513"/>
      <c r="I7" s="16" t="s">
        <v>12</v>
      </c>
    </row>
    <row r="8" spans="1:9" ht="26.25" thickBot="1" x14ac:dyDescent="0.25">
      <c r="A8" s="510"/>
      <c r="B8" s="512"/>
      <c r="C8" s="514"/>
      <c r="D8" s="514"/>
      <c r="E8" s="17" t="s">
        <v>13</v>
      </c>
      <c r="F8" s="18" t="s">
        <v>14</v>
      </c>
      <c r="G8" s="17" t="s">
        <v>13</v>
      </c>
      <c r="H8" s="18" t="s">
        <v>14</v>
      </c>
      <c r="I8" s="19" t="s">
        <v>15</v>
      </c>
    </row>
    <row r="9" spans="1:9" ht="15" x14ac:dyDescent="0.25">
      <c r="A9" s="20"/>
      <c r="B9" s="220"/>
      <c r="C9" s="221" t="s">
        <v>191</v>
      </c>
      <c r="D9" s="21"/>
      <c r="E9" s="22"/>
      <c r="F9" s="23"/>
      <c r="G9" s="22"/>
      <c r="H9" s="23"/>
      <c r="I9" s="24"/>
    </row>
    <row r="10" spans="1:9" ht="15.95" customHeight="1" x14ac:dyDescent="0.25">
      <c r="A10" s="235">
        <v>90100409</v>
      </c>
      <c r="B10" s="293" t="s">
        <v>244</v>
      </c>
      <c r="C10" s="294" t="s">
        <v>245</v>
      </c>
      <c r="D10" s="295" t="s">
        <v>38</v>
      </c>
      <c r="E10" s="296">
        <v>43</v>
      </c>
      <c r="F10" s="29" t="s">
        <v>246</v>
      </c>
      <c r="G10" s="296">
        <f>+E10*395</f>
        <v>16985</v>
      </c>
      <c r="H10" s="297" t="s">
        <v>247</v>
      </c>
      <c r="I10" s="24"/>
    </row>
    <row r="11" spans="1:9" ht="15" x14ac:dyDescent="0.25">
      <c r="A11" s="298"/>
      <c r="B11" s="299"/>
      <c r="C11" s="300"/>
      <c r="D11" s="301"/>
      <c r="E11" s="175"/>
      <c r="F11" s="175"/>
      <c r="G11" s="302"/>
      <c r="H11" s="303"/>
      <c r="I11" s="24"/>
    </row>
    <row r="12" spans="1:9" ht="15" x14ac:dyDescent="0.25">
      <c r="A12" s="298"/>
      <c r="B12" s="299"/>
      <c r="C12" s="300"/>
      <c r="D12" s="301"/>
      <c r="E12" s="175"/>
      <c r="F12" s="175"/>
      <c r="G12" s="302"/>
      <c r="H12" s="303"/>
      <c r="I12" s="24"/>
    </row>
    <row r="13" spans="1:9" ht="15" x14ac:dyDescent="0.25">
      <c r="A13" s="298"/>
      <c r="B13" s="299"/>
      <c r="C13" s="300"/>
      <c r="D13" s="301"/>
      <c r="E13" s="175"/>
      <c r="F13" s="196"/>
      <c r="G13" s="302"/>
      <c r="H13" s="303"/>
      <c r="I13" s="24"/>
    </row>
    <row r="14" spans="1:9" ht="15" x14ac:dyDescent="0.25">
      <c r="A14" s="298"/>
      <c r="B14" s="299"/>
      <c r="C14" s="300"/>
      <c r="D14" s="301"/>
      <c r="E14" s="195"/>
      <c r="F14" s="196"/>
      <c r="G14" s="302"/>
      <c r="H14" s="303"/>
      <c r="I14" s="24"/>
    </row>
    <row r="15" spans="1:9" ht="15" x14ac:dyDescent="0.25">
      <c r="A15" s="298"/>
      <c r="B15" s="299"/>
      <c r="C15" s="300"/>
      <c r="D15" s="301"/>
      <c r="E15" s="195"/>
      <c r="F15" s="196"/>
      <c r="G15" s="302"/>
      <c r="H15" s="303"/>
      <c r="I15" s="24"/>
    </row>
    <row r="16" spans="1:9" ht="15" x14ac:dyDescent="0.25">
      <c r="A16" s="298"/>
      <c r="B16" s="299"/>
      <c r="C16" s="300"/>
      <c r="D16" s="301"/>
      <c r="E16" s="175"/>
      <c r="F16" s="175"/>
      <c r="G16" s="302"/>
      <c r="H16" s="303"/>
      <c r="I16" s="24"/>
    </row>
    <row r="17" spans="1:9" ht="15" x14ac:dyDescent="0.25">
      <c r="A17" s="298"/>
      <c r="B17" s="304"/>
      <c r="C17" s="305"/>
      <c r="D17" s="301"/>
      <c r="E17" s="175"/>
      <c r="F17" s="175"/>
      <c r="G17" s="302"/>
      <c r="H17" s="303"/>
      <c r="I17" s="24"/>
    </row>
    <row r="18" spans="1:9" ht="15" x14ac:dyDescent="0.25">
      <c r="A18" s="306"/>
      <c r="B18" s="307"/>
      <c r="C18" s="308"/>
      <c r="D18" s="301"/>
      <c r="E18" s="195"/>
      <c r="F18" s="196"/>
      <c r="G18" s="302"/>
      <c r="H18" s="303"/>
      <c r="I18" s="24"/>
    </row>
    <row r="19" spans="1:9" ht="15" x14ac:dyDescent="0.25">
      <c r="A19" s="306"/>
      <c r="B19" s="307"/>
      <c r="C19" s="309"/>
      <c r="D19" s="301"/>
      <c r="E19" s="195"/>
      <c r="F19" s="196"/>
      <c r="G19" s="302"/>
      <c r="H19" s="303"/>
      <c r="I19" s="24"/>
    </row>
    <row r="20" spans="1:9" ht="15" x14ac:dyDescent="0.25">
      <c r="A20" s="306"/>
      <c r="B20" s="307"/>
      <c r="C20" s="309"/>
      <c r="D20" s="301"/>
      <c r="E20" s="195"/>
      <c r="F20" s="196"/>
      <c r="G20" s="302"/>
      <c r="H20" s="303"/>
      <c r="I20" s="24"/>
    </row>
    <row r="21" spans="1:9" ht="15" x14ac:dyDescent="0.25">
      <c r="A21" s="306"/>
      <c r="B21" s="307"/>
      <c r="C21" s="308"/>
      <c r="D21" s="301"/>
      <c r="E21" s="310"/>
      <c r="F21" s="310"/>
      <c r="G21" s="302"/>
      <c r="H21" s="303"/>
      <c r="I21" s="24"/>
    </row>
    <row r="22" spans="1:9" ht="15" x14ac:dyDescent="0.25">
      <c r="A22" s="311"/>
      <c r="B22" s="312"/>
      <c r="C22" s="313"/>
      <c r="D22" s="314"/>
      <c r="E22" s="315"/>
      <c r="F22" s="315"/>
      <c r="G22" s="316"/>
      <c r="H22" s="303"/>
      <c r="I22" s="24"/>
    </row>
    <row r="23" spans="1:9" ht="15" x14ac:dyDescent="0.25">
      <c r="A23" s="311"/>
      <c r="B23" s="312"/>
      <c r="C23" s="313"/>
      <c r="D23" s="314"/>
      <c r="E23" s="315"/>
      <c r="F23" s="315"/>
      <c r="G23" s="316"/>
      <c r="H23" s="303"/>
      <c r="I23" s="24"/>
    </row>
    <row r="24" spans="1:9" ht="15" x14ac:dyDescent="0.25">
      <c r="A24" s="311"/>
      <c r="B24" s="312"/>
      <c r="C24" s="313"/>
      <c r="D24" s="314"/>
      <c r="E24" s="315"/>
      <c r="F24" s="315"/>
      <c r="G24" s="316"/>
      <c r="H24" s="303"/>
      <c r="I24" s="24"/>
    </row>
    <row r="25" spans="1:9" ht="15.75" x14ac:dyDescent="0.25">
      <c r="A25" s="11"/>
      <c r="B25" s="11"/>
      <c r="D25" s="27"/>
      <c r="E25" s="317"/>
      <c r="F25" s="317"/>
      <c r="G25" s="22"/>
      <c r="H25" s="303"/>
      <c r="I25" s="24"/>
    </row>
    <row r="26" spans="1:9" ht="15" x14ac:dyDescent="0.25">
      <c r="A26" s="12"/>
      <c r="B26" s="12"/>
      <c r="C26" s="238"/>
      <c r="D26" s="27"/>
      <c r="E26" s="27"/>
      <c r="F26" s="29"/>
      <c r="G26" s="22"/>
      <c r="H26" s="303"/>
      <c r="I26" s="24"/>
    </row>
    <row r="27" spans="1:9" ht="15.75" x14ac:dyDescent="0.25">
      <c r="A27" s="31"/>
      <c r="B27" s="32"/>
      <c r="C27" s="239" t="s">
        <v>198</v>
      </c>
      <c r="D27" s="28" t="s">
        <v>248</v>
      </c>
      <c r="E27" s="240"/>
      <c r="F27" s="29"/>
      <c r="G27" s="22"/>
      <c r="H27" s="303"/>
      <c r="I27" s="24"/>
    </row>
    <row r="28" spans="1:9" ht="15" x14ac:dyDescent="0.25">
      <c r="A28" s="241"/>
      <c r="B28" s="237"/>
      <c r="C28" s="242"/>
      <c r="D28" s="243" t="s">
        <v>248</v>
      </c>
      <c r="E28" s="27"/>
      <c r="F28" s="29"/>
      <c r="G28" s="22"/>
      <c r="H28" s="303"/>
      <c r="I28" s="24"/>
    </row>
    <row r="29" spans="1:9" ht="15" x14ac:dyDescent="0.25">
      <c r="A29" s="12"/>
      <c r="B29" s="12"/>
      <c r="C29" s="238"/>
      <c r="D29" s="243" t="s">
        <v>248</v>
      </c>
      <c r="E29" s="27"/>
      <c r="F29" s="29"/>
      <c r="G29" s="22"/>
      <c r="H29" s="303"/>
      <c r="I29" s="24"/>
    </row>
    <row r="30" spans="1:9" ht="15" x14ac:dyDescent="0.25">
      <c r="A30" s="244"/>
      <c r="B30" s="244"/>
      <c r="C30" s="242"/>
      <c r="D30" s="243" t="s">
        <v>248</v>
      </c>
      <c r="E30" s="27"/>
      <c r="F30" s="29"/>
      <c r="G30" s="22"/>
      <c r="H30" s="303"/>
      <c r="I30" s="24"/>
    </row>
    <row r="31" spans="1:9" ht="15" x14ac:dyDescent="0.25">
      <c r="A31" s="12"/>
      <c r="B31" s="12"/>
      <c r="C31" s="238"/>
      <c r="D31" s="27" t="s">
        <v>248</v>
      </c>
      <c r="E31" s="28"/>
      <c r="F31" s="29"/>
      <c r="G31" s="22"/>
      <c r="H31" s="303"/>
      <c r="I31" s="24"/>
    </row>
    <row r="32" spans="1:9" ht="15" x14ac:dyDescent="0.25">
      <c r="A32" s="12"/>
      <c r="B32" s="12"/>
      <c r="C32" s="238"/>
      <c r="D32" s="245" t="s">
        <v>248</v>
      </c>
      <c r="E32" s="246"/>
      <c r="F32" s="247"/>
      <c r="G32" s="22"/>
      <c r="H32" s="303"/>
      <c r="I32" s="24"/>
    </row>
    <row r="33" spans="1:9" ht="15.75" x14ac:dyDescent="0.25">
      <c r="A33" s="248"/>
      <c r="B33" s="249"/>
      <c r="C33" s="250" t="s">
        <v>199</v>
      </c>
      <c r="D33" s="251" t="s">
        <v>248</v>
      </c>
      <c r="E33" s="22"/>
      <c r="F33" s="23"/>
      <c r="G33" s="22"/>
      <c r="H33" s="303"/>
      <c r="I33" s="24"/>
    </row>
    <row r="34" spans="1:9" ht="15.75" x14ac:dyDescent="0.25">
      <c r="A34" s="43">
        <v>702123</v>
      </c>
      <c r="B34" s="43" t="s">
        <v>78</v>
      </c>
      <c r="C34" s="43" t="s">
        <v>146</v>
      </c>
      <c r="D34" s="318" t="s">
        <v>229</v>
      </c>
      <c r="E34" s="264">
        <v>4</v>
      </c>
      <c r="F34" s="297" t="s">
        <v>75</v>
      </c>
      <c r="G34" s="302"/>
      <c r="H34" s="303"/>
      <c r="I34" s="24"/>
    </row>
    <row r="35" spans="1:9" ht="15" x14ac:dyDescent="0.25">
      <c r="A35" s="43">
        <v>51600050</v>
      </c>
      <c r="B35" s="43" t="s">
        <v>249</v>
      </c>
      <c r="C35" s="43" t="s">
        <v>250</v>
      </c>
      <c r="D35" s="319"/>
      <c r="E35" s="5">
        <v>4</v>
      </c>
      <c r="F35" s="224" t="s">
        <v>75</v>
      </c>
      <c r="G35" s="320"/>
      <c r="H35" s="303"/>
      <c r="I35" s="24"/>
    </row>
    <row r="36" spans="1:9" ht="15" x14ac:dyDescent="0.25">
      <c r="A36" s="298"/>
      <c r="B36" s="321"/>
      <c r="C36" s="300"/>
      <c r="D36" s="301"/>
      <c r="E36" s="41"/>
      <c r="F36" s="42"/>
      <c r="G36" s="22"/>
      <c r="H36" s="303"/>
      <c r="I36" s="24"/>
    </row>
    <row r="37" spans="1:9" ht="15" x14ac:dyDescent="0.25">
      <c r="A37" s="184"/>
      <c r="B37" s="184"/>
      <c r="C37" s="238"/>
      <c r="D37" s="28"/>
      <c r="E37" s="27"/>
      <c r="F37" s="29"/>
      <c r="G37" s="22"/>
      <c r="H37" s="23"/>
      <c r="I37" s="24"/>
    </row>
    <row r="38" spans="1:9" ht="15" x14ac:dyDescent="0.25">
      <c r="A38" s="263"/>
      <c r="B38" s="182"/>
      <c r="C38" s="183"/>
      <c r="D38" s="28"/>
      <c r="E38" s="27"/>
      <c r="F38" s="29"/>
      <c r="G38" s="22"/>
      <c r="H38" s="23"/>
      <c r="I38" s="24"/>
    </row>
    <row r="39" spans="1:9" ht="15.75" x14ac:dyDescent="0.25">
      <c r="A39" s="263"/>
      <c r="B39" s="182"/>
      <c r="C39" s="183"/>
      <c r="D39" s="47"/>
      <c r="E39" s="27"/>
      <c r="F39" s="29"/>
      <c r="G39" s="45"/>
      <c r="H39" s="28"/>
      <c r="I39" s="24"/>
    </row>
    <row r="40" spans="1:9" ht="15.75" x14ac:dyDescent="0.25">
      <c r="A40" s="31"/>
      <c r="B40" s="32"/>
      <c r="C40" s="46"/>
      <c r="D40" s="47"/>
      <c r="E40" s="27"/>
      <c r="F40" s="29"/>
      <c r="G40" s="27"/>
      <c r="H40" s="28"/>
      <c r="I40" s="24"/>
    </row>
    <row r="41" spans="1:9" ht="15.75" x14ac:dyDescent="0.25">
      <c r="A41" s="31"/>
      <c r="B41" s="32"/>
      <c r="C41" s="46"/>
      <c r="D41" s="47"/>
      <c r="E41" s="27"/>
      <c r="F41" s="29"/>
      <c r="G41" s="264"/>
      <c r="H41" s="29"/>
      <c r="I41" s="24"/>
    </row>
    <row r="42" spans="1:9" ht="15.75" x14ac:dyDescent="0.25">
      <c r="A42" s="31"/>
      <c r="B42" s="32"/>
      <c r="C42" s="46"/>
      <c r="D42" s="28"/>
      <c r="E42" s="28"/>
      <c r="F42" s="29"/>
      <c r="G42" s="47"/>
      <c r="H42" s="47"/>
      <c r="I42" s="24"/>
    </row>
    <row r="43" spans="1:9" ht="14.25" thickBot="1" x14ac:dyDescent="0.3">
      <c r="A43" s="48"/>
      <c r="B43" s="49"/>
      <c r="C43" s="50"/>
      <c r="D43" s="50"/>
      <c r="E43" s="51"/>
      <c r="F43" s="52"/>
      <c r="G43" s="50"/>
      <c r="H43" s="50"/>
      <c r="I43" s="53"/>
    </row>
    <row r="44" spans="1:9" ht="14.25" thickBot="1" x14ac:dyDescent="0.3">
      <c r="A44" s="54"/>
      <c r="B44" s="55"/>
      <c r="C44" s="56"/>
      <c r="D44" s="57" t="s">
        <v>13</v>
      </c>
      <c r="E44" s="58" t="s">
        <v>18</v>
      </c>
      <c r="F44" s="59"/>
      <c r="G44" s="56"/>
      <c r="H44" s="56"/>
      <c r="I44" s="60"/>
    </row>
    <row r="45" spans="1:9" ht="13.5" x14ac:dyDescent="0.25">
      <c r="A45" s="500" t="s">
        <v>19</v>
      </c>
      <c r="B45" s="501"/>
      <c r="C45" s="502"/>
      <c r="D45" s="211">
        <v>16000</v>
      </c>
      <c r="E45" s="212" t="s">
        <v>16</v>
      </c>
      <c r="F45" s="503" t="s">
        <v>20</v>
      </c>
      <c r="G45" s="503"/>
      <c r="H45" s="504"/>
      <c r="I45" s="505"/>
    </row>
    <row r="46" spans="1:9" ht="13.5" x14ac:dyDescent="0.25">
      <c r="A46" s="492" t="s">
        <v>21</v>
      </c>
      <c r="B46" s="493"/>
      <c r="C46" s="494"/>
      <c r="D46" s="213">
        <v>15</v>
      </c>
      <c r="E46" s="61" t="s">
        <v>22</v>
      </c>
      <c r="F46" s="495" t="s">
        <v>23</v>
      </c>
      <c r="G46" s="495"/>
      <c r="H46" s="496"/>
      <c r="I46" s="497"/>
    </row>
    <row r="47" spans="1:9" ht="13.5" x14ac:dyDescent="0.25">
      <c r="A47" s="492" t="s">
        <v>24</v>
      </c>
      <c r="B47" s="493"/>
      <c r="C47" s="494"/>
      <c r="D47" s="61">
        <v>4</v>
      </c>
      <c r="E47" s="61" t="s">
        <v>251</v>
      </c>
      <c r="F47" s="495" t="s">
        <v>25</v>
      </c>
      <c r="G47" s="495"/>
      <c r="H47" s="496"/>
      <c r="I47" s="497"/>
    </row>
    <row r="48" spans="1:9" ht="13.5" x14ac:dyDescent="0.25">
      <c r="A48" s="492" t="s">
        <v>26</v>
      </c>
      <c r="B48" s="493"/>
      <c r="C48" s="494"/>
      <c r="D48" s="61">
        <v>4000</v>
      </c>
      <c r="E48" s="61" t="s">
        <v>16</v>
      </c>
      <c r="F48" s="498" t="s">
        <v>27</v>
      </c>
      <c r="G48" s="499"/>
      <c r="H48" s="496"/>
      <c r="I48" s="497"/>
    </row>
    <row r="49" spans="1:9" ht="14.25" thickBot="1" x14ac:dyDescent="0.3">
      <c r="A49" s="480" t="s">
        <v>28</v>
      </c>
      <c r="B49" s="481"/>
      <c r="C49" s="482"/>
      <c r="D49" s="217">
        <v>985</v>
      </c>
      <c r="E49" s="322" t="s">
        <v>16</v>
      </c>
      <c r="F49" s="483"/>
      <c r="G49" s="483"/>
      <c r="H49" s="484"/>
      <c r="I49" s="485"/>
    </row>
    <row r="50" spans="1:9" ht="13.5" thickBot="1" x14ac:dyDescent="0.25">
      <c r="A50" s="486" t="s">
        <v>29</v>
      </c>
      <c r="B50" s="487"/>
      <c r="C50" s="487"/>
      <c r="D50" s="487"/>
      <c r="E50" s="487"/>
      <c r="F50" s="487"/>
      <c r="G50" s="487"/>
      <c r="H50" s="487"/>
      <c r="I50" s="488"/>
    </row>
    <row r="51" spans="1:9" ht="13.5" x14ac:dyDescent="0.25">
      <c r="A51" s="538" t="s">
        <v>252</v>
      </c>
      <c r="B51" s="539"/>
      <c r="C51" s="540"/>
      <c r="D51" s="540"/>
      <c r="E51" s="540"/>
      <c r="F51" s="540"/>
      <c r="G51" s="540"/>
      <c r="H51" s="540"/>
      <c r="I51" s="541"/>
    </row>
    <row r="52" spans="1:9" ht="13.5" x14ac:dyDescent="0.25">
      <c r="A52" s="538" t="s">
        <v>253</v>
      </c>
      <c r="B52" s="539"/>
      <c r="C52" s="540"/>
      <c r="D52" s="540"/>
      <c r="E52" s="540"/>
      <c r="F52" s="540"/>
      <c r="G52" s="540"/>
      <c r="H52" s="540"/>
      <c r="I52" s="541"/>
    </row>
    <row r="53" spans="1:9" ht="13.5" x14ac:dyDescent="0.25">
      <c r="A53" s="542">
        <f>D46/D45</f>
        <v>9.3749999999999997E-4</v>
      </c>
      <c r="B53" s="543"/>
      <c r="C53" s="543"/>
      <c r="D53" s="543"/>
      <c r="E53" s="543"/>
      <c r="F53" s="543"/>
      <c r="G53" s="543"/>
      <c r="H53" s="543"/>
      <c r="I53" s="544"/>
    </row>
    <row r="54" spans="1:9" ht="13.5" x14ac:dyDescent="0.25">
      <c r="A54" s="545"/>
      <c r="B54" s="546"/>
      <c r="C54" s="547"/>
      <c r="D54" s="547"/>
      <c r="E54" s="547"/>
      <c r="F54" s="547"/>
      <c r="G54" s="547"/>
      <c r="H54" s="547"/>
      <c r="I54" s="548"/>
    </row>
    <row r="55" spans="1:9" ht="15" x14ac:dyDescent="0.25">
      <c r="A55" s="489"/>
      <c r="B55" s="490"/>
      <c r="C55" s="490"/>
      <c r="D55" s="490"/>
      <c r="E55" s="490"/>
      <c r="F55" s="490"/>
      <c r="G55" s="490"/>
      <c r="H55" s="490"/>
      <c r="I55" s="491"/>
    </row>
    <row r="56" spans="1:9" ht="15" x14ac:dyDescent="0.25">
      <c r="A56" s="489"/>
      <c r="B56" s="490"/>
      <c r="C56" s="490"/>
      <c r="D56" s="490"/>
      <c r="E56" s="490"/>
      <c r="F56" s="490"/>
      <c r="G56" s="490"/>
      <c r="H56" s="490"/>
      <c r="I56" s="491"/>
    </row>
    <row r="57" spans="1:9" ht="14.25" x14ac:dyDescent="0.2">
      <c r="A57" s="477"/>
      <c r="B57" s="478"/>
      <c r="C57" s="478"/>
      <c r="D57" s="478"/>
      <c r="E57" s="478"/>
      <c r="F57" s="478"/>
      <c r="G57" s="478"/>
      <c r="H57" s="478"/>
      <c r="I57" s="479"/>
    </row>
    <row r="58" spans="1:9" ht="14.25" x14ac:dyDescent="0.2">
      <c r="A58" s="477"/>
      <c r="B58" s="478"/>
      <c r="C58" s="478"/>
      <c r="D58" s="478"/>
      <c r="E58" s="478"/>
      <c r="F58" s="478"/>
      <c r="G58" s="478"/>
      <c r="H58" s="478"/>
      <c r="I58" s="479"/>
    </row>
    <row r="59" spans="1:9" ht="18" customHeight="1" thickBot="1" x14ac:dyDescent="0.25">
      <c r="A59" s="467"/>
      <c r="B59" s="468"/>
      <c r="C59" s="468"/>
      <c r="D59" s="468"/>
      <c r="E59" s="468"/>
      <c r="F59" s="468"/>
      <c r="G59" s="468"/>
      <c r="H59" s="468"/>
      <c r="I59" s="469"/>
    </row>
    <row r="60" spans="1:9" ht="15" x14ac:dyDescent="0.25">
      <c r="A60" s="219"/>
      <c r="B60" s="219"/>
      <c r="C60" s="219"/>
      <c r="D60" s="219"/>
      <c r="E60" s="219"/>
      <c r="F60" s="219"/>
      <c r="G60" s="219"/>
      <c r="H60" s="219"/>
      <c r="I60" s="219"/>
    </row>
    <row r="61" spans="1:9" ht="14.25" thickBot="1" x14ac:dyDescent="0.3">
      <c r="A61" s="470"/>
      <c r="B61" s="471"/>
      <c r="C61" s="471"/>
      <c r="D61" s="471"/>
      <c r="E61" s="471"/>
      <c r="F61" s="471"/>
      <c r="G61" s="471"/>
      <c r="H61" s="471"/>
      <c r="I61" s="472"/>
    </row>
    <row r="62" spans="1:9" x14ac:dyDescent="0.2">
      <c r="A62" s="473" t="s">
        <v>41</v>
      </c>
      <c r="B62" s="474"/>
      <c r="C62" s="474"/>
      <c r="D62" s="474"/>
      <c r="E62" s="474"/>
      <c r="F62" s="474"/>
      <c r="G62" s="474"/>
      <c r="H62" s="474"/>
      <c r="I62" s="474"/>
    </row>
    <row r="63" spans="1:9" ht="13.5" x14ac:dyDescent="0.25">
      <c r="A63" s="475"/>
      <c r="B63" s="476"/>
      <c r="C63" s="476"/>
      <c r="D63" s="476"/>
      <c r="E63" s="476"/>
      <c r="F63" s="476"/>
      <c r="G63" s="476"/>
      <c r="H63" s="476"/>
      <c r="I63" s="476"/>
    </row>
    <row r="64" spans="1:9" ht="13.5" x14ac:dyDescent="0.25">
      <c r="A64" s="475"/>
      <c r="B64" s="476"/>
      <c r="C64" s="476"/>
      <c r="D64" s="476"/>
      <c r="E64" s="476"/>
      <c r="F64" s="476"/>
      <c r="G64" s="476"/>
      <c r="H64" s="476"/>
      <c r="I64" s="476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9:I59"/>
    <mergeCell ref="A61:I61"/>
    <mergeCell ref="A62:I62"/>
    <mergeCell ref="A63:I63"/>
    <mergeCell ref="A64:I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EED40-4535-4E91-8774-3C212BBBCA9F}">
  <dimension ref="A1:I55"/>
  <sheetViews>
    <sheetView zoomScale="85" zoomScaleNormal="85" workbookViewId="0">
      <selection activeCell="C13" sqref="C13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584"/>
      <c r="B1" s="585"/>
      <c r="C1" s="590" t="s">
        <v>0</v>
      </c>
      <c r="D1" s="590"/>
      <c r="E1" s="590"/>
      <c r="F1" s="590"/>
      <c r="G1" s="590"/>
      <c r="H1" s="1" t="s">
        <v>1</v>
      </c>
      <c r="I1" s="9" t="s">
        <v>215</v>
      </c>
    </row>
    <row r="2" spans="1:9" ht="18" customHeight="1" thickBot="1" x14ac:dyDescent="0.3">
      <c r="A2" s="586"/>
      <c r="B2" s="587"/>
      <c r="C2" s="591" t="s">
        <v>2</v>
      </c>
      <c r="D2" s="592"/>
      <c r="E2" s="592"/>
      <c r="F2" s="592"/>
      <c r="G2" s="593"/>
      <c r="H2" s="2" t="s">
        <v>3</v>
      </c>
      <c r="I2" s="10" t="s">
        <v>188</v>
      </c>
    </row>
    <row r="3" spans="1:9" ht="31.5" customHeight="1" thickBot="1" x14ac:dyDescent="0.25">
      <c r="A3" s="586"/>
      <c r="B3" s="587"/>
      <c r="C3" s="594" t="s">
        <v>216</v>
      </c>
      <c r="D3" s="595"/>
      <c r="E3" s="595"/>
      <c r="F3" s="595"/>
      <c r="G3" s="596"/>
      <c r="H3" s="597" t="s">
        <v>4</v>
      </c>
      <c r="I3" s="575">
        <v>45616</v>
      </c>
    </row>
    <row r="4" spans="1:9" ht="18" customHeight="1" x14ac:dyDescent="0.25">
      <c r="A4" s="586"/>
      <c r="B4" s="587"/>
      <c r="C4" s="13" t="s">
        <v>5</v>
      </c>
      <c r="D4" s="578" t="s">
        <v>32</v>
      </c>
      <c r="E4" s="579"/>
      <c r="F4" s="579"/>
      <c r="G4" s="580"/>
      <c r="H4" s="598"/>
      <c r="I4" s="576"/>
    </row>
    <row r="5" spans="1:9" ht="14.25" thickBot="1" x14ac:dyDescent="0.3">
      <c r="A5" s="588"/>
      <c r="B5" s="589"/>
      <c r="C5" s="14" t="s">
        <v>6</v>
      </c>
      <c r="D5" s="581" t="s">
        <v>33</v>
      </c>
      <c r="E5" s="582"/>
      <c r="F5" s="582"/>
      <c r="G5" s="583"/>
      <c r="H5" s="599"/>
      <c r="I5" s="577"/>
    </row>
    <row r="6" spans="1:9" ht="18.75" thickBot="1" x14ac:dyDescent="0.3">
      <c r="A6" s="506" t="s">
        <v>34</v>
      </c>
      <c r="B6" s="506"/>
      <c r="C6" s="506"/>
      <c r="D6" s="507" t="s">
        <v>217</v>
      </c>
      <c r="E6" s="507"/>
      <c r="F6" s="507"/>
      <c r="G6" s="508" t="s">
        <v>36</v>
      </c>
      <c r="H6" s="508"/>
      <c r="I6" s="15" t="s">
        <v>217</v>
      </c>
    </row>
    <row r="7" spans="1:9" x14ac:dyDescent="0.2">
      <c r="A7" s="509" t="s">
        <v>7</v>
      </c>
      <c r="B7" s="511" t="s">
        <v>37</v>
      </c>
      <c r="C7" s="513" t="s">
        <v>8</v>
      </c>
      <c r="D7" s="513" t="s">
        <v>9</v>
      </c>
      <c r="E7" s="513" t="s">
        <v>10</v>
      </c>
      <c r="F7" s="513"/>
      <c r="G7" s="513" t="s">
        <v>11</v>
      </c>
      <c r="H7" s="513"/>
      <c r="I7" s="16" t="s">
        <v>12</v>
      </c>
    </row>
    <row r="8" spans="1:9" ht="26.25" thickBot="1" x14ac:dyDescent="0.25">
      <c r="A8" s="510"/>
      <c r="B8" s="512"/>
      <c r="C8" s="514"/>
      <c r="D8" s="514"/>
      <c r="E8" s="17" t="s">
        <v>13</v>
      </c>
      <c r="F8" s="18" t="s">
        <v>14</v>
      </c>
      <c r="G8" s="17" t="s">
        <v>13</v>
      </c>
      <c r="H8" s="18" t="s">
        <v>14</v>
      </c>
      <c r="I8" s="19" t="s">
        <v>15</v>
      </c>
    </row>
    <row r="9" spans="1:9" ht="18.399999999999999" customHeight="1" x14ac:dyDescent="0.25">
      <c r="A9" s="20"/>
      <c r="B9" s="220"/>
      <c r="C9" s="221" t="s">
        <v>191</v>
      </c>
      <c r="D9" s="21"/>
      <c r="E9" s="22"/>
      <c r="F9" s="23"/>
      <c r="G9" s="22"/>
      <c r="H9" s="23"/>
      <c r="I9" s="24"/>
    </row>
    <row r="10" spans="1:9" ht="18" customHeight="1" x14ac:dyDescent="0.25">
      <c r="A10" s="268"/>
      <c r="B10" s="268" t="s">
        <v>218</v>
      </c>
      <c r="C10" s="269" t="s">
        <v>219</v>
      </c>
      <c r="D10" s="197" t="s">
        <v>220</v>
      </c>
      <c r="E10" s="270">
        <v>9000</v>
      </c>
      <c r="F10" s="271" t="s">
        <v>16</v>
      </c>
      <c r="G10" s="25"/>
      <c r="H10" s="26"/>
      <c r="I10" s="24"/>
    </row>
    <row r="11" spans="1:9" ht="15" x14ac:dyDescent="0.25">
      <c r="A11" s="268"/>
      <c r="B11" s="268" t="s">
        <v>221</v>
      </c>
      <c r="C11" s="269" t="s">
        <v>222</v>
      </c>
      <c r="D11" s="40" t="s">
        <v>223</v>
      </c>
      <c r="E11" s="41">
        <v>1</v>
      </c>
      <c r="F11" s="42" t="s">
        <v>224</v>
      </c>
      <c r="G11" s="25"/>
      <c r="H11" s="26"/>
      <c r="I11" s="24"/>
    </row>
    <row r="12" spans="1:9" ht="15.75" x14ac:dyDescent="0.25">
      <c r="A12" s="268"/>
      <c r="B12" s="268" t="s">
        <v>225</v>
      </c>
      <c r="C12" s="269" t="s">
        <v>226</v>
      </c>
      <c r="D12" s="272" t="s">
        <v>227</v>
      </c>
      <c r="E12" s="272">
        <v>12000</v>
      </c>
      <c r="F12" s="272" t="s">
        <v>16</v>
      </c>
      <c r="G12" s="4"/>
      <c r="H12" s="26"/>
      <c r="I12" s="24"/>
    </row>
    <row r="13" spans="1:9" ht="15.75" x14ac:dyDescent="0.25">
      <c r="A13" s="12"/>
      <c r="B13" s="12" t="s">
        <v>170</v>
      </c>
      <c r="C13" s="273" t="s">
        <v>171</v>
      </c>
      <c r="D13" s="272" t="s">
        <v>228</v>
      </c>
      <c r="E13" s="272">
        <v>24</v>
      </c>
      <c r="F13" s="272" t="s">
        <v>16</v>
      </c>
      <c r="G13" s="4"/>
      <c r="H13" s="26"/>
      <c r="I13" s="24"/>
    </row>
    <row r="14" spans="1:9" ht="15.75" x14ac:dyDescent="0.25">
      <c r="A14" s="268"/>
      <c r="B14" s="268"/>
      <c r="C14" s="274"/>
      <c r="D14" s="272"/>
      <c r="E14" s="272"/>
      <c r="F14" s="272"/>
      <c r="G14" s="4"/>
      <c r="H14" s="26"/>
      <c r="I14" s="24"/>
    </row>
    <row r="15" spans="1:9" ht="15.75" x14ac:dyDescent="0.25">
      <c r="A15" s="12"/>
      <c r="B15" s="12"/>
      <c r="C15" s="173"/>
      <c r="D15" s="272"/>
      <c r="E15" s="272"/>
      <c r="F15" s="272"/>
      <c r="G15" s="4"/>
      <c r="H15" s="26"/>
      <c r="I15" s="24"/>
    </row>
    <row r="16" spans="1:9" ht="15.75" x14ac:dyDescent="0.25">
      <c r="A16" s="12"/>
      <c r="B16" s="12"/>
      <c r="C16" s="173"/>
      <c r="D16" s="272"/>
      <c r="E16" s="272"/>
      <c r="F16" s="272"/>
      <c r="G16" s="4"/>
      <c r="H16" s="26"/>
      <c r="I16" s="24"/>
    </row>
    <row r="17" spans="1:9" ht="15.75" x14ac:dyDescent="0.25">
      <c r="A17" s="12"/>
      <c r="B17" s="12"/>
      <c r="C17" s="173"/>
      <c r="D17" s="272"/>
      <c r="E17" s="272"/>
      <c r="F17" s="272"/>
      <c r="G17" s="4"/>
      <c r="H17" s="26"/>
      <c r="I17" s="24"/>
    </row>
    <row r="18" spans="1:9" ht="15.75" x14ac:dyDescent="0.25">
      <c r="A18" s="31"/>
      <c r="B18" s="32"/>
      <c r="C18" s="239" t="s">
        <v>198</v>
      </c>
      <c r="D18" s="30"/>
      <c r="E18" s="30"/>
      <c r="F18" s="30"/>
      <c r="G18" s="22"/>
      <c r="H18" s="26"/>
      <c r="I18" s="24"/>
    </row>
    <row r="19" spans="1:9" ht="15.75" x14ac:dyDescent="0.25">
      <c r="A19" s="31"/>
      <c r="B19" s="32"/>
      <c r="C19" s="239"/>
      <c r="D19" s="28"/>
      <c r="E19" s="240"/>
      <c r="F19" s="29"/>
      <c r="G19" s="22"/>
      <c r="H19" s="26"/>
      <c r="I19" s="24"/>
    </row>
    <row r="20" spans="1:9" ht="15" x14ac:dyDescent="0.25">
      <c r="A20" s="33"/>
      <c r="B20" s="34"/>
      <c r="C20" s="35"/>
      <c r="D20" s="36"/>
      <c r="E20" s="37"/>
      <c r="F20" s="38"/>
      <c r="G20" s="22"/>
      <c r="H20" s="26"/>
      <c r="I20" s="24"/>
    </row>
    <row r="21" spans="1:9" ht="15" x14ac:dyDescent="0.25">
      <c r="A21" s="33"/>
      <c r="B21" s="34"/>
      <c r="C21" s="35"/>
      <c r="D21" s="36"/>
      <c r="E21" s="39"/>
      <c r="F21" s="38"/>
      <c r="G21" s="22"/>
      <c r="H21" s="23"/>
      <c r="I21" s="24"/>
    </row>
    <row r="22" spans="1:9" ht="15" x14ac:dyDescent="0.25">
      <c r="A22" s="33"/>
      <c r="B22" s="34"/>
      <c r="C22" s="35"/>
      <c r="D22" s="36"/>
      <c r="E22" s="37"/>
      <c r="F22" s="38"/>
      <c r="G22" s="22"/>
      <c r="H22" s="23"/>
      <c r="I22" s="24"/>
    </row>
    <row r="23" spans="1:9" ht="15" x14ac:dyDescent="0.25">
      <c r="A23" s="33"/>
      <c r="B23" s="34"/>
      <c r="C23" s="35"/>
      <c r="D23" s="36"/>
      <c r="E23" s="275"/>
      <c r="F23" s="276"/>
      <c r="G23" s="22"/>
      <c r="H23" s="23"/>
      <c r="I23" s="24"/>
    </row>
    <row r="24" spans="1:9" ht="15" x14ac:dyDescent="0.25">
      <c r="A24" s="12"/>
      <c r="B24" s="12"/>
      <c r="C24" s="173"/>
      <c r="D24" s="277"/>
      <c r="E24" s="3"/>
      <c r="F24" s="256"/>
      <c r="G24" s="22"/>
      <c r="H24" s="23"/>
      <c r="I24" s="24"/>
    </row>
    <row r="25" spans="1:9" ht="15.75" x14ac:dyDescent="0.25">
      <c r="A25" s="248"/>
      <c r="B25" s="249"/>
      <c r="C25" s="250" t="s">
        <v>199</v>
      </c>
      <c r="D25" s="251"/>
      <c r="E25" s="252"/>
      <c r="F25" s="23"/>
      <c r="G25" s="22"/>
      <c r="I25" s="24"/>
    </row>
    <row r="26" spans="1:9" ht="15" x14ac:dyDescent="0.25">
      <c r="A26" s="278"/>
      <c r="B26" s="279" t="s">
        <v>78</v>
      </c>
      <c r="C26" s="280" t="s">
        <v>146</v>
      </c>
      <c r="D26" s="40" t="s">
        <v>229</v>
      </c>
      <c r="E26" s="41">
        <v>2</v>
      </c>
      <c r="F26" s="42" t="s">
        <v>75</v>
      </c>
      <c r="G26" s="253"/>
      <c r="H26" s="23"/>
      <c r="I26" s="24"/>
    </row>
    <row r="27" spans="1:9" ht="15" x14ac:dyDescent="0.25">
      <c r="A27" s="278"/>
      <c r="B27" s="279" t="s">
        <v>230</v>
      </c>
      <c r="C27" s="280" t="s">
        <v>231</v>
      </c>
      <c r="D27" s="40" t="s">
        <v>232</v>
      </c>
      <c r="E27" s="41">
        <v>2</v>
      </c>
      <c r="F27" s="42" t="s">
        <v>75</v>
      </c>
      <c r="G27" s="253"/>
      <c r="H27" s="23"/>
      <c r="I27" s="24"/>
    </row>
    <row r="28" spans="1:9" ht="15" x14ac:dyDescent="0.25">
      <c r="A28" s="281"/>
      <c r="B28" s="282" t="s">
        <v>233</v>
      </c>
      <c r="C28" s="283" t="s">
        <v>234</v>
      </c>
      <c r="D28" s="40" t="s">
        <v>229</v>
      </c>
      <c r="E28" s="41">
        <v>1</v>
      </c>
      <c r="F28" s="42" t="s">
        <v>75</v>
      </c>
      <c r="G28" s="253"/>
      <c r="H28" s="23"/>
      <c r="I28" s="24"/>
    </row>
    <row r="29" spans="1:9" ht="15" x14ac:dyDescent="0.25">
      <c r="A29" s="43"/>
      <c r="B29" s="43" t="s">
        <v>235</v>
      </c>
      <c r="C29" s="44" t="s">
        <v>236</v>
      </c>
      <c r="D29" s="40" t="s">
        <v>237</v>
      </c>
      <c r="E29" s="41">
        <v>2</v>
      </c>
      <c r="F29" s="42" t="s">
        <v>75</v>
      </c>
      <c r="G29" s="22"/>
      <c r="H29" s="23"/>
      <c r="I29" s="24"/>
    </row>
    <row r="30" spans="1:9" ht="15" x14ac:dyDescent="0.25">
      <c r="A30" s="43"/>
      <c r="B30" s="43"/>
      <c r="C30" s="44"/>
      <c r="D30" s="40"/>
      <c r="E30" s="41"/>
      <c r="F30" s="42"/>
      <c r="G30" s="22"/>
      <c r="H30" s="23"/>
      <c r="I30" s="24"/>
    </row>
    <row r="31" spans="1:9" ht="15" x14ac:dyDescent="0.25">
      <c r="A31" s="43"/>
      <c r="B31" s="43"/>
      <c r="C31" s="44"/>
      <c r="D31" s="40"/>
      <c r="E31" s="41"/>
      <c r="F31" s="42"/>
      <c r="G31" s="45"/>
      <c r="H31" s="23"/>
      <c r="I31" s="24"/>
    </row>
    <row r="32" spans="1:9" ht="15.75" x14ac:dyDescent="0.25">
      <c r="A32" s="43"/>
      <c r="B32" s="43"/>
      <c r="C32" s="44"/>
      <c r="D32" s="272"/>
      <c r="E32" s="41"/>
      <c r="F32" s="42"/>
      <c r="G32" s="27"/>
      <c r="H32" s="23"/>
      <c r="I32" s="24"/>
    </row>
    <row r="33" spans="1:9" ht="15" x14ac:dyDescent="0.25">
      <c r="A33" s="284"/>
      <c r="B33" s="284"/>
      <c r="C33" s="285"/>
      <c r="D33" s="40"/>
      <c r="E33" s="256"/>
      <c r="F33" s="256"/>
      <c r="G33" s="27"/>
      <c r="H33" s="23"/>
      <c r="I33" s="24"/>
    </row>
    <row r="34" spans="1:9" ht="15" x14ac:dyDescent="0.25">
      <c r="A34" s="254"/>
      <c r="B34" s="12"/>
      <c r="C34" s="255"/>
      <c r="D34" s="245"/>
      <c r="E34" s="3"/>
      <c r="F34" s="4"/>
      <c r="G34" s="27"/>
      <c r="H34" s="23"/>
      <c r="I34" s="24"/>
    </row>
    <row r="35" spans="1:9" ht="15.75" x14ac:dyDescent="0.25">
      <c r="A35" s="43"/>
      <c r="B35" s="43"/>
      <c r="C35" s="44"/>
      <c r="D35" s="40"/>
      <c r="E35" s="3"/>
      <c r="F35" s="4"/>
      <c r="G35" s="264"/>
      <c r="H35" s="23"/>
      <c r="I35" s="24"/>
    </row>
    <row r="36" spans="1:9" ht="15.75" x14ac:dyDescent="0.25">
      <c r="A36" s="31"/>
      <c r="B36" s="32"/>
      <c r="C36" s="46"/>
      <c r="D36" s="28"/>
      <c r="E36" s="28"/>
      <c r="F36" s="29"/>
      <c r="G36" s="47"/>
      <c r="H36" s="47"/>
      <c r="I36" s="24"/>
    </row>
    <row r="37" spans="1:9" ht="14.25" thickBot="1" x14ac:dyDescent="0.3">
      <c r="A37" s="48"/>
      <c r="B37" s="49"/>
      <c r="C37" s="50"/>
      <c r="D37" s="50"/>
      <c r="E37" s="51"/>
      <c r="F37" s="52"/>
      <c r="G37" s="50"/>
      <c r="H37" s="50"/>
      <c r="I37" s="53"/>
    </row>
    <row r="38" spans="1:9" ht="14.25" thickBot="1" x14ac:dyDescent="0.3">
      <c r="A38" s="54"/>
      <c r="B38" s="55"/>
      <c r="C38" s="56"/>
      <c r="D38" s="57" t="s">
        <v>13</v>
      </c>
      <c r="E38" s="58" t="s">
        <v>18</v>
      </c>
      <c r="F38" s="59"/>
      <c r="G38" s="56"/>
      <c r="H38" s="56"/>
      <c r="I38" s="60"/>
    </row>
    <row r="39" spans="1:9" ht="13.5" x14ac:dyDescent="0.25">
      <c r="A39" s="500" t="s">
        <v>19</v>
      </c>
      <c r="B39" s="501"/>
      <c r="C39" s="502"/>
      <c r="D39" s="5">
        <v>23524</v>
      </c>
      <c r="E39" s="6" t="s">
        <v>16</v>
      </c>
      <c r="F39" s="503" t="s">
        <v>20</v>
      </c>
      <c r="G39" s="503"/>
      <c r="H39" s="504"/>
      <c r="I39" s="505"/>
    </row>
    <row r="40" spans="1:9" ht="13.5" x14ac:dyDescent="0.25">
      <c r="A40" s="492" t="s">
        <v>21</v>
      </c>
      <c r="B40" s="493"/>
      <c r="C40" s="494"/>
      <c r="D40" s="286">
        <v>0.14583333333333334</v>
      </c>
      <c r="E40" s="4" t="s">
        <v>238</v>
      </c>
      <c r="F40" s="495" t="s">
        <v>23</v>
      </c>
      <c r="G40" s="495"/>
      <c r="H40" s="496"/>
      <c r="I40" s="497"/>
    </row>
    <row r="41" spans="1:9" ht="13.5" x14ac:dyDescent="0.25">
      <c r="A41" s="492" t="s">
        <v>24</v>
      </c>
      <c r="B41" s="493"/>
      <c r="C41" s="494"/>
      <c r="D41" s="3">
        <v>1</v>
      </c>
      <c r="E41" s="4" t="s">
        <v>174</v>
      </c>
      <c r="F41" s="495" t="s">
        <v>25</v>
      </c>
      <c r="G41" s="495"/>
      <c r="H41" s="496"/>
      <c r="I41" s="497"/>
    </row>
    <row r="42" spans="1:9" ht="13.5" x14ac:dyDescent="0.25">
      <c r="A42" s="492" t="s">
        <v>26</v>
      </c>
      <c r="B42" s="493"/>
      <c r="C42" s="494"/>
      <c r="D42" s="3">
        <v>23524</v>
      </c>
      <c r="E42" s="4" t="s">
        <v>16</v>
      </c>
      <c r="F42" s="498" t="s">
        <v>27</v>
      </c>
      <c r="G42" s="499"/>
      <c r="H42" s="570"/>
      <c r="I42" s="571"/>
    </row>
    <row r="43" spans="1:9" ht="14.25" thickBot="1" x14ac:dyDescent="0.3">
      <c r="A43" s="480" t="s">
        <v>28</v>
      </c>
      <c r="B43" s="481"/>
      <c r="C43" s="482"/>
      <c r="D43" s="7">
        <v>0</v>
      </c>
      <c r="E43" s="8" t="s">
        <v>16</v>
      </c>
      <c r="F43" s="483"/>
      <c r="G43" s="483"/>
      <c r="H43" s="496"/>
      <c r="I43" s="497"/>
    </row>
    <row r="44" spans="1:9" ht="13.5" thickBot="1" x14ac:dyDescent="0.25">
      <c r="A44" s="486" t="s">
        <v>29</v>
      </c>
      <c r="B44" s="487"/>
      <c r="C44" s="487"/>
      <c r="D44" s="487"/>
      <c r="E44" s="487"/>
      <c r="F44" s="487"/>
      <c r="G44" s="487"/>
      <c r="H44" s="487"/>
      <c r="I44" s="488"/>
    </row>
    <row r="45" spans="1:9" ht="14.65" customHeight="1" x14ac:dyDescent="0.25">
      <c r="A45" s="572" t="s">
        <v>239</v>
      </c>
      <c r="B45" s="573"/>
      <c r="C45" s="573"/>
      <c r="D45" s="573"/>
      <c r="E45" s="573"/>
      <c r="F45" s="573"/>
      <c r="G45" s="573"/>
      <c r="H45" s="573"/>
      <c r="I45" s="574"/>
    </row>
    <row r="46" spans="1:9" ht="15.4" customHeight="1" x14ac:dyDescent="0.25">
      <c r="A46" s="559" t="s">
        <v>240</v>
      </c>
      <c r="B46" s="560"/>
      <c r="C46" s="561"/>
      <c r="D46" s="561"/>
      <c r="E46" s="561"/>
      <c r="F46" s="561"/>
      <c r="G46" s="561"/>
      <c r="H46" s="561"/>
      <c r="I46" s="562"/>
    </row>
    <row r="47" spans="1:9" ht="14.65" customHeight="1" thickBot="1" x14ac:dyDescent="0.3">
      <c r="A47" s="556" t="s">
        <v>241</v>
      </c>
      <c r="B47" s="557"/>
      <c r="C47" s="557"/>
      <c r="D47" s="557"/>
      <c r="E47" s="557"/>
      <c r="F47" s="557"/>
      <c r="G47" s="557"/>
      <c r="H47" s="557"/>
      <c r="I47" s="558"/>
    </row>
    <row r="48" spans="1:9" ht="14.65" customHeight="1" x14ac:dyDescent="0.25">
      <c r="A48" s="559"/>
      <c r="B48" s="560"/>
      <c r="C48" s="561"/>
      <c r="D48" s="561"/>
      <c r="E48" s="561"/>
      <c r="F48" s="561"/>
      <c r="G48" s="561"/>
      <c r="H48" s="561"/>
      <c r="I48" s="562"/>
    </row>
    <row r="49" spans="1:9" ht="14.65" customHeight="1" x14ac:dyDescent="0.25">
      <c r="A49" s="559"/>
      <c r="B49" s="560"/>
      <c r="C49" s="561"/>
      <c r="D49" s="561"/>
      <c r="E49" s="561"/>
      <c r="F49" s="561"/>
      <c r="G49" s="561"/>
      <c r="H49" s="561"/>
      <c r="I49" s="562"/>
    </row>
    <row r="50" spans="1:9" ht="18" customHeight="1" thickBot="1" x14ac:dyDescent="0.3">
      <c r="A50" s="563"/>
      <c r="B50" s="564"/>
      <c r="C50" s="565"/>
      <c r="D50" s="565"/>
      <c r="E50" s="565"/>
      <c r="F50" s="565"/>
      <c r="G50" s="565"/>
      <c r="H50" s="565"/>
      <c r="I50" s="566"/>
    </row>
    <row r="51" spans="1:9" ht="15.75" x14ac:dyDescent="0.25">
      <c r="A51" s="567"/>
      <c r="B51" s="568"/>
      <c r="C51" s="568"/>
      <c r="D51" s="568"/>
      <c r="E51" s="568"/>
      <c r="F51" s="568"/>
      <c r="G51" s="568"/>
      <c r="H51" s="568"/>
      <c r="I51" s="569"/>
    </row>
    <row r="52" spans="1:9" ht="15" thickBot="1" x14ac:dyDescent="0.25">
      <c r="A52" s="477"/>
      <c r="B52" s="478"/>
      <c r="C52" s="478"/>
      <c r="D52" s="478"/>
      <c r="E52" s="478"/>
      <c r="F52" s="478"/>
      <c r="G52" s="478"/>
      <c r="H52" s="478"/>
      <c r="I52" s="479"/>
    </row>
    <row r="53" spans="1:9" x14ac:dyDescent="0.2">
      <c r="A53" s="552" t="s">
        <v>41</v>
      </c>
      <c r="B53" s="553"/>
      <c r="C53" s="553"/>
      <c r="D53" s="553"/>
      <c r="E53" s="553"/>
      <c r="F53" s="553"/>
      <c r="G53" s="553"/>
      <c r="H53" s="553"/>
      <c r="I53" s="553"/>
    </row>
    <row r="54" spans="1:9" ht="13.5" x14ac:dyDescent="0.25">
      <c r="A54" s="554"/>
      <c r="B54" s="555"/>
      <c r="C54" s="555"/>
      <c r="D54" s="555"/>
      <c r="E54" s="555"/>
      <c r="F54" s="555"/>
      <c r="G54" s="555"/>
      <c r="H54" s="555"/>
      <c r="I54" s="555"/>
    </row>
    <row r="55" spans="1:9" ht="13.5" x14ac:dyDescent="0.25">
      <c r="A55" s="554"/>
      <c r="B55" s="555"/>
      <c r="C55" s="555"/>
      <c r="D55" s="555"/>
      <c r="E55" s="555"/>
      <c r="F55" s="555"/>
      <c r="G55" s="555"/>
      <c r="H55" s="555"/>
      <c r="I55" s="555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3:I53"/>
    <mergeCell ref="A54:I54"/>
    <mergeCell ref="A55:I55"/>
    <mergeCell ref="A47:I47"/>
    <mergeCell ref="A48:I48"/>
    <mergeCell ref="A49:I49"/>
    <mergeCell ref="A50:I50"/>
    <mergeCell ref="A51:I51"/>
    <mergeCell ref="A52:I5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6184-963A-45E5-8DD4-B19877F9A0B2}">
  <dimension ref="A1:I51"/>
  <sheetViews>
    <sheetView zoomScale="85" zoomScaleNormal="85" workbookViewId="0">
      <selection activeCell="C13" sqref="C13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584"/>
      <c r="B1" s="585"/>
      <c r="C1" s="590" t="s">
        <v>0</v>
      </c>
      <c r="D1" s="590"/>
      <c r="E1" s="590"/>
      <c r="F1" s="590"/>
      <c r="G1" s="590"/>
      <c r="H1" s="1" t="s">
        <v>1</v>
      </c>
      <c r="I1" s="9" t="s">
        <v>205</v>
      </c>
    </row>
    <row r="2" spans="1:9" ht="18" customHeight="1" thickBot="1" x14ac:dyDescent="0.3">
      <c r="A2" s="586"/>
      <c r="B2" s="587"/>
      <c r="C2" s="591" t="s">
        <v>2</v>
      </c>
      <c r="D2" s="592"/>
      <c r="E2" s="592"/>
      <c r="F2" s="592"/>
      <c r="G2" s="593"/>
      <c r="H2" s="2" t="s">
        <v>3</v>
      </c>
      <c r="I2" s="10" t="s">
        <v>188</v>
      </c>
    </row>
    <row r="3" spans="1:9" ht="31.5" customHeight="1" thickBot="1" x14ac:dyDescent="0.25">
      <c r="A3" s="586"/>
      <c r="B3" s="587"/>
      <c r="C3" s="594" t="s">
        <v>206</v>
      </c>
      <c r="D3" s="595"/>
      <c r="E3" s="595"/>
      <c r="F3" s="595"/>
      <c r="G3" s="596"/>
      <c r="H3" s="597" t="s">
        <v>4</v>
      </c>
      <c r="I3" s="575">
        <v>45611</v>
      </c>
    </row>
    <row r="4" spans="1:9" ht="18" customHeight="1" x14ac:dyDescent="0.25">
      <c r="A4" s="586"/>
      <c r="B4" s="587"/>
      <c r="C4" s="13" t="s">
        <v>5</v>
      </c>
      <c r="D4" s="578" t="s">
        <v>32</v>
      </c>
      <c r="E4" s="579"/>
      <c r="F4" s="579"/>
      <c r="G4" s="580"/>
      <c r="H4" s="598"/>
      <c r="I4" s="576"/>
    </row>
    <row r="5" spans="1:9" ht="14.25" thickBot="1" x14ac:dyDescent="0.3">
      <c r="A5" s="588"/>
      <c r="B5" s="589"/>
      <c r="C5" s="14" t="s">
        <v>6</v>
      </c>
      <c r="D5" s="581" t="s">
        <v>33</v>
      </c>
      <c r="E5" s="582"/>
      <c r="F5" s="582"/>
      <c r="G5" s="583"/>
      <c r="H5" s="599"/>
      <c r="I5" s="577"/>
    </row>
    <row r="6" spans="1:9" ht="18.75" thickBot="1" x14ac:dyDescent="0.3">
      <c r="A6" s="506" t="s">
        <v>34</v>
      </c>
      <c r="B6" s="506"/>
      <c r="C6" s="506"/>
      <c r="D6" s="507" t="s">
        <v>190</v>
      </c>
      <c r="E6" s="507"/>
      <c r="F6" s="507"/>
      <c r="G6" s="508" t="s">
        <v>36</v>
      </c>
      <c r="H6" s="508"/>
      <c r="I6" s="15" t="s">
        <v>190</v>
      </c>
    </row>
    <row r="7" spans="1:9" ht="25.5" x14ac:dyDescent="0.2">
      <c r="A7" s="509" t="s">
        <v>7</v>
      </c>
      <c r="B7" s="511" t="s">
        <v>37</v>
      </c>
      <c r="C7" s="513" t="s">
        <v>8</v>
      </c>
      <c r="D7" s="513" t="s">
        <v>9</v>
      </c>
      <c r="E7" s="513" t="s">
        <v>10</v>
      </c>
      <c r="F7" s="513"/>
      <c r="G7" s="513" t="s">
        <v>11</v>
      </c>
      <c r="H7" s="513"/>
      <c r="I7" s="16" t="s">
        <v>12</v>
      </c>
    </row>
    <row r="8" spans="1:9" ht="26.25" thickBot="1" x14ac:dyDescent="0.25">
      <c r="A8" s="510"/>
      <c r="B8" s="512"/>
      <c r="C8" s="514"/>
      <c r="D8" s="514"/>
      <c r="E8" s="17" t="s">
        <v>13</v>
      </c>
      <c r="F8" s="18" t="s">
        <v>14</v>
      </c>
      <c r="G8" s="17" t="s">
        <v>13</v>
      </c>
      <c r="H8" s="18" t="s">
        <v>14</v>
      </c>
      <c r="I8" s="19" t="s">
        <v>15</v>
      </c>
    </row>
    <row r="9" spans="1:9" ht="15" x14ac:dyDescent="0.25">
      <c r="A9" s="20"/>
      <c r="B9" s="220"/>
      <c r="C9" s="221" t="s">
        <v>191</v>
      </c>
      <c r="D9" s="21"/>
      <c r="E9" s="22"/>
      <c r="F9" s="23"/>
      <c r="G9" s="22"/>
      <c r="H9" s="23"/>
      <c r="I9" s="24"/>
    </row>
    <row r="10" spans="1:9" ht="18" customHeight="1" x14ac:dyDescent="0.25">
      <c r="A10" s="11">
        <v>901000014</v>
      </c>
      <c r="B10" s="266" t="s">
        <v>207</v>
      </c>
      <c r="C10" t="s">
        <v>208</v>
      </c>
      <c r="D10" s="267" t="s">
        <v>209</v>
      </c>
      <c r="E10" s="41">
        <v>23524</v>
      </c>
      <c r="F10" s="42" t="s">
        <v>16</v>
      </c>
      <c r="G10" s="5"/>
      <c r="H10" s="224"/>
      <c r="I10" s="24"/>
    </row>
    <row r="11" spans="1:9" ht="15" x14ac:dyDescent="0.25">
      <c r="A11" s="225"/>
      <c r="B11" s="225"/>
      <c r="C11" s="226"/>
      <c r="D11" s="230"/>
      <c r="E11" s="4"/>
      <c r="F11" s="4"/>
      <c r="G11" s="227"/>
      <c r="H11" s="228"/>
      <c r="I11" s="24"/>
    </row>
    <row r="12" spans="1:9" ht="15" x14ac:dyDescent="0.25">
      <c r="A12" s="11"/>
      <c r="B12" s="11"/>
      <c r="C12" s="229"/>
      <c r="D12" s="230"/>
      <c r="E12" s="4"/>
      <c r="F12" s="4"/>
      <c r="G12" s="227"/>
      <c r="H12" s="228"/>
      <c r="I12" s="24"/>
    </row>
    <row r="13" spans="1:9" ht="15" x14ac:dyDescent="0.25">
      <c r="A13" s="11"/>
      <c r="B13" s="11"/>
      <c r="D13" s="230"/>
      <c r="E13" s="230"/>
      <c r="F13" s="231"/>
      <c r="G13" s="227"/>
      <c r="H13" s="232"/>
      <c r="I13" s="24"/>
    </row>
    <row r="14" spans="1:9" ht="15" x14ac:dyDescent="0.25">
      <c r="A14" s="233"/>
      <c r="B14" s="11"/>
      <c r="C14" s="234"/>
      <c r="D14" s="40"/>
      <c r="E14" s="40"/>
      <c r="F14" s="63"/>
      <c r="G14" s="227"/>
      <c r="H14" s="232"/>
      <c r="I14" s="24"/>
    </row>
    <row r="15" spans="1:9" ht="15" x14ac:dyDescent="0.25">
      <c r="A15" s="12"/>
      <c r="B15" s="12"/>
      <c r="C15" s="238"/>
      <c r="D15" s="27"/>
      <c r="E15" s="27"/>
      <c r="F15" s="29"/>
      <c r="G15" s="22"/>
      <c r="H15" s="23"/>
      <c r="I15" s="24"/>
    </row>
    <row r="16" spans="1:9" ht="15.75" x14ac:dyDescent="0.25">
      <c r="A16" s="31"/>
      <c r="B16" s="32"/>
      <c r="C16" s="239" t="s">
        <v>198</v>
      </c>
      <c r="D16" s="28"/>
      <c r="E16" s="240"/>
      <c r="F16" s="29"/>
      <c r="G16" s="22"/>
      <c r="H16" s="23"/>
      <c r="I16" s="24"/>
    </row>
    <row r="17" spans="1:9" ht="15" x14ac:dyDescent="0.25">
      <c r="A17" s="241"/>
      <c r="B17" s="237"/>
      <c r="C17" s="242"/>
      <c r="D17" s="243"/>
      <c r="E17" s="27"/>
      <c r="F17" s="29"/>
      <c r="G17" s="22"/>
      <c r="H17" s="23"/>
      <c r="I17" s="24"/>
    </row>
    <row r="18" spans="1:9" ht="15" x14ac:dyDescent="0.25">
      <c r="A18" s="12"/>
      <c r="B18" s="12"/>
      <c r="C18" s="238"/>
      <c r="D18" s="243"/>
      <c r="E18" s="27"/>
      <c r="F18" s="29"/>
      <c r="G18" s="22"/>
      <c r="H18" s="23"/>
      <c r="I18" s="24"/>
    </row>
    <row r="19" spans="1:9" ht="15" x14ac:dyDescent="0.25">
      <c r="A19" s="244"/>
      <c r="B19" s="244"/>
      <c r="C19" s="242"/>
      <c r="D19" s="243"/>
      <c r="E19" s="27"/>
      <c r="F19" s="29"/>
      <c r="G19" s="22"/>
      <c r="H19" s="23"/>
      <c r="I19" s="24"/>
    </row>
    <row r="20" spans="1:9" ht="15" x14ac:dyDescent="0.25">
      <c r="A20" s="12"/>
      <c r="B20" s="12"/>
      <c r="C20" s="238"/>
      <c r="D20" s="27"/>
      <c r="E20" s="28"/>
      <c r="F20" s="29"/>
      <c r="G20" s="22"/>
      <c r="H20" s="23"/>
      <c r="I20" s="24"/>
    </row>
    <row r="21" spans="1:9" ht="15" x14ac:dyDescent="0.25">
      <c r="A21" s="12"/>
      <c r="B21" s="12"/>
      <c r="C21" s="238"/>
      <c r="D21" s="245"/>
      <c r="E21" s="246"/>
      <c r="F21" s="247"/>
      <c r="G21" s="22"/>
      <c r="H21" s="23"/>
      <c r="I21" s="24"/>
    </row>
    <row r="22" spans="1:9" ht="15.75" x14ac:dyDescent="0.25">
      <c r="A22" s="248"/>
      <c r="B22" s="249"/>
      <c r="C22" s="250" t="s">
        <v>199</v>
      </c>
      <c r="D22" s="251"/>
      <c r="E22" s="252"/>
      <c r="F22" s="23"/>
      <c r="G22" s="22"/>
      <c r="I22" s="24"/>
    </row>
    <row r="23" spans="1:9" ht="15" x14ac:dyDescent="0.25">
      <c r="A23" s="225"/>
      <c r="B23" s="225"/>
      <c r="C23" s="226"/>
      <c r="D23" s="40"/>
      <c r="E23" s="40"/>
      <c r="F23" s="63"/>
      <c r="G23" s="253"/>
      <c r="H23" s="23"/>
      <c r="I23" s="24"/>
    </row>
    <row r="24" spans="1:9" ht="15" x14ac:dyDescent="0.25">
      <c r="A24" s="235"/>
      <c r="B24" s="11"/>
      <c r="C24" s="229"/>
      <c r="D24" s="40"/>
      <c r="E24" s="40"/>
      <c r="F24" s="63"/>
      <c r="G24" s="253"/>
      <c r="H24" s="23"/>
      <c r="I24" s="24"/>
    </row>
    <row r="25" spans="1:9" ht="15" x14ac:dyDescent="0.25">
      <c r="A25" s="254"/>
      <c r="B25" s="254"/>
      <c r="C25" s="255"/>
      <c r="D25" s="40"/>
      <c r="E25" s="256"/>
      <c r="F25" s="224"/>
      <c r="G25" s="253"/>
      <c r="H25" s="23"/>
      <c r="I25" s="24"/>
    </row>
    <row r="26" spans="1:9" ht="15" x14ac:dyDescent="0.25">
      <c r="A26" s="254"/>
      <c r="B26" s="11"/>
      <c r="C26" s="255"/>
      <c r="D26" s="40"/>
      <c r="E26" s="257"/>
      <c r="F26" s="224"/>
      <c r="G26" s="22"/>
      <c r="H26" s="23"/>
      <c r="I26" s="24"/>
    </row>
    <row r="27" spans="1:9" ht="15" x14ac:dyDescent="0.25">
      <c r="A27" s="258"/>
      <c r="B27" s="259"/>
      <c r="C27" s="260"/>
      <c r="D27" s="40"/>
      <c r="E27" s="261"/>
      <c r="F27" s="262"/>
      <c r="G27" s="22"/>
      <c r="H27" s="23"/>
      <c r="I27" s="24"/>
    </row>
    <row r="28" spans="1:9" ht="15" x14ac:dyDescent="0.25">
      <c r="A28" s="263"/>
      <c r="B28" s="182"/>
      <c r="C28" s="183"/>
      <c r="D28" s="40"/>
      <c r="E28" s="27"/>
      <c r="F28" s="29"/>
      <c r="G28" s="45"/>
      <c r="H28" s="28"/>
      <c r="I28" s="24"/>
    </row>
    <row r="29" spans="1:9" ht="15" x14ac:dyDescent="0.25">
      <c r="A29" s="31"/>
      <c r="B29" s="32"/>
      <c r="C29" s="46"/>
      <c r="D29" s="40"/>
      <c r="E29" s="27"/>
      <c r="F29" s="29"/>
      <c r="G29" s="27"/>
      <c r="H29" s="28"/>
      <c r="I29" s="24"/>
    </row>
    <row r="30" spans="1:9" ht="15.75" x14ac:dyDescent="0.25">
      <c r="A30" s="31"/>
      <c r="B30" s="32"/>
      <c r="C30" s="46"/>
      <c r="D30" s="40"/>
      <c r="E30" s="27"/>
      <c r="F30" s="29"/>
      <c r="G30" s="264"/>
      <c r="H30" s="29"/>
      <c r="I30" s="24"/>
    </row>
    <row r="31" spans="1:9" ht="15.75" x14ac:dyDescent="0.25">
      <c r="A31" s="31"/>
      <c r="B31" s="32"/>
      <c r="C31" s="46"/>
      <c r="D31" s="28"/>
      <c r="E31" s="28"/>
      <c r="F31" s="29"/>
      <c r="G31" s="47"/>
      <c r="H31" s="47"/>
      <c r="I31" s="24"/>
    </row>
    <row r="32" spans="1:9" ht="14.25" thickBot="1" x14ac:dyDescent="0.3">
      <c r="A32" s="48"/>
      <c r="B32" s="49"/>
      <c r="C32" s="50"/>
      <c r="D32" s="50"/>
      <c r="E32" s="51"/>
      <c r="F32" s="52"/>
      <c r="G32" s="50"/>
      <c r="H32" s="50"/>
      <c r="I32" s="53"/>
    </row>
    <row r="33" spans="1:9" ht="14.25" thickBot="1" x14ac:dyDescent="0.3">
      <c r="A33" s="54"/>
      <c r="B33" s="55"/>
      <c r="C33" s="56"/>
      <c r="D33" s="57" t="s">
        <v>13</v>
      </c>
      <c r="E33" s="58" t="s">
        <v>18</v>
      </c>
      <c r="F33" s="59"/>
      <c r="G33" s="56"/>
      <c r="H33" s="56"/>
      <c r="I33" s="60"/>
    </row>
    <row r="34" spans="1:9" ht="13.5" x14ac:dyDescent="0.25">
      <c r="A34" s="500" t="s">
        <v>19</v>
      </c>
      <c r="B34" s="501"/>
      <c r="C34" s="502"/>
      <c r="D34" s="5">
        <v>23300</v>
      </c>
      <c r="E34" s="6" t="s">
        <v>16</v>
      </c>
      <c r="F34" s="503" t="s">
        <v>20</v>
      </c>
      <c r="G34" s="503"/>
      <c r="H34" s="504" t="s">
        <v>210</v>
      </c>
      <c r="I34" s="505"/>
    </row>
    <row r="35" spans="1:9" ht="13.5" x14ac:dyDescent="0.25">
      <c r="A35" s="492" t="s">
        <v>21</v>
      </c>
      <c r="B35" s="493"/>
      <c r="C35" s="494"/>
      <c r="D35" s="265">
        <v>8</v>
      </c>
      <c r="E35" s="4" t="s">
        <v>22</v>
      </c>
      <c r="F35" s="495" t="s">
        <v>23</v>
      </c>
      <c r="G35" s="495"/>
      <c r="H35" s="496" t="s">
        <v>211</v>
      </c>
      <c r="I35" s="497"/>
    </row>
    <row r="36" spans="1:9" ht="13.5" x14ac:dyDescent="0.25">
      <c r="A36" s="492" t="s">
        <v>24</v>
      </c>
      <c r="B36" s="493"/>
      <c r="C36" s="494"/>
      <c r="D36" s="4">
        <v>1</v>
      </c>
      <c r="E36" s="4" t="s">
        <v>174</v>
      </c>
      <c r="F36" s="495" t="s">
        <v>25</v>
      </c>
      <c r="G36" s="495"/>
      <c r="H36" s="496" t="s">
        <v>212</v>
      </c>
      <c r="I36" s="497"/>
    </row>
    <row r="37" spans="1:9" ht="13.5" x14ac:dyDescent="0.25">
      <c r="A37" s="492" t="s">
        <v>26</v>
      </c>
      <c r="B37" s="493"/>
      <c r="C37" s="494"/>
      <c r="D37" s="3">
        <v>23300</v>
      </c>
      <c r="E37" s="4" t="s">
        <v>16</v>
      </c>
      <c r="F37" s="498" t="s">
        <v>27</v>
      </c>
      <c r="G37" s="499"/>
      <c r="H37" s="496"/>
      <c r="I37" s="497"/>
    </row>
    <row r="38" spans="1:9" ht="14.25" thickBot="1" x14ac:dyDescent="0.3">
      <c r="A38" s="480" t="s">
        <v>28</v>
      </c>
      <c r="B38" s="481"/>
      <c r="C38" s="482"/>
      <c r="D38" s="7">
        <v>224</v>
      </c>
      <c r="E38" s="8" t="s">
        <v>16</v>
      </c>
      <c r="F38" s="483"/>
      <c r="G38" s="483"/>
      <c r="H38" s="484"/>
      <c r="I38" s="485"/>
    </row>
    <row r="39" spans="1:9" ht="13.5" thickBot="1" x14ac:dyDescent="0.25">
      <c r="A39" s="486" t="s">
        <v>29</v>
      </c>
      <c r="B39" s="487"/>
      <c r="C39" s="487"/>
      <c r="D39" s="487"/>
      <c r="E39" s="487"/>
      <c r="F39" s="487"/>
      <c r="G39" s="487"/>
      <c r="H39" s="487"/>
      <c r="I39" s="488"/>
    </row>
    <row r="40" spans="1:9" ht="18.399999999999999" customHeight="1" x14ac:dyDescent="0.25">
      <c r="A40" s="613" t="s">
        <v>213</v>
      </c>
      <c r="B40" s="614"/>
      <c r="C40" s="614"/>
      <c r="D40" s="614"/>
      <c r="E40" s="614"/>
      <c r="F40" s="614"/>
      <c r="G40" s="614"/>
      <c r="H40" s="614"/>
      <c r="I40" s="615"/>
    </row>
    <row r="41" spans="1:9" ht="14.65" customHeight="1" x14ac:dyDescent="0.25">
      <c r="A41" s="613" t="s">
        <v>214</v>
      </c>
      <c r="B41" s="614"/>
      <c r="C41" s="614"/>
      <c r="D41" s="614"/>
      <c r="E41" s="614"/>
      <c r="F41" s="614"/>
      <c r="G41" s="614"/>
      <c r="H41" s="614"/>
      <c r="I41" s="615"/>
    </row>
    <row r="42" spans="1:9" ht="14.65" customHeight="1" x14ac:dyDescent="0.2">
      <c r="A42" s="603"/>
      <c r="B42" s="604"/>
      <c r="C42" s="604"/>
      <c r="D42" s="604"/>
      <c r="E42" s="604"/>
      <c r="F42" s="604"/>
      <c r="G42" s="604"/>
      <c r="H42" s="604"/>
      <c r="I42" s="605"/>
    </row>
    <row r="43" spans="1:9" ht="14.25" x14ac:dyDescent="0.2">
      <c r="A43" s="606"/>
      <c r="B43" s="607"/>
      <c r="C43" s="608"/>
      <c r="D43" s="608"/>
      <c r="E43" s="608"/>
      <c r="F43" s="608"/>
      <c r="G43" s="608"/>
      <c r="H43" s="608"/>
      <c r="I43" s="609"/>
    </row>
    <row r="44" spans="1:9" ht="14.65" customHeight="1" x14ac:dyDescent="0.2">
      <c r="A44" s="606"/>
      <c r="B44" s="607"/>
      <c r="C44" s="608"/>
      <c r="D44" s="608"/>
      <c r="E44" s="608"/>
      <c r="F44" s="608"/>
      <c r="G44" s="608"/>
      <c r="H44" s="608"/>
      <c r="I44" s="609"/>
    </row>
    <row r="45" spans="1:9" ht="14.65" customHeight="1" x14ac:dyDescent="0.2">
      <c r="A45" s="610"/>
      <c r="B45" s="611"/>
      <c r="C45" s="611"/>
      <c r="D45" s="611"/>
      <c r="E45" s="611"/>
      <c r="F45" s="611"/>
      <c r="G45" s="611"/>
      <c r="H45" s="611"/>
      <c r="I45" s="612"/>
    </row>
    <row r="46" spans="1:9" ht="18" customHeight="1" x14ac:dyDescent="0.2">
      <c r="A46" s="600"/>
      <c r="B46" s="601"/>
      <c r="C46" s="601"/>
      <c r="D46" s="601"/>
      <c r="E46" s="601"/>
      <c r="F46" s="601"/>
      <c r="G46" s="601"/>
      <c r="H46" s="601"/>
      <c r="I46" s="602"/>
    </row>
    <row r="47" spans="1:9" ht="14.25" x14ac:dyDescent="0.2">
      <c r="A47" s="600"/>
      <c r="B47" s="601"/>
      <c r="C47" s="601"/>
      <c r="D47" s="601"/>
      <c r="E47" s="601"/>
      <c r="F47" s="601"/>
      <c r="G47" s="601"/>
      <c r="H47" s="601"/>
      <c r="I47" s="602"/>
    </row>
    <row r="48" spans="1:9" ht="15" thickBot="1" x14ac:dyDescent="0.25">
      <c r="A48" s="600"/>
      <c r="B48" s="601"/>
      <c r="C48" s="601"/>
      <c r="D48" s="601"/>
      <c r="E48" s="601"/>
      <c r="F48" s="601"/>
      <c r="G48" s="601"/>
      <c r="H48" s="601"/>
      <c r="I48" s="602"/>
    </row>
    <row r="49" spans="1:9" x14ac:dyDescent="0.2">
      <c r="A49" s="552" t="s">
        <v>41</v>
      </c>
      <c r="B49" s="553"/>
      <c r="C49" s="553"/>
      <c r="D49" s="553"/>
      <c r="E49" s="553"/>
      <c r="F49" s="553"/>
      <c r="G49" s="553"/>
      <c r="H49" s="553"/>
      <c r="I49" s="553"/>
    </row>
    <row r="50" spans="1:9" ht="13.5" x14ac:dyDescent="0.25">
      <c r="A50" s="554"/>
      <c r="B50" s="555"/>
      <c r="C50" s="555"/>
      <c r="D50" s="555"/>
      <c r="E50" s="555"/>
      <c r="F50" s="555"/>
      <c r="G50" s="555"/>
      <c r="H50" s="555"/>
      <c r="I50" s="555"/>
    </row>
    <row r="51" spans="1:9" ht="13.5" x14ac:dyDescent="0.25">
      <c r="A51" s="554"/>
      <c r="B51" s="555"/>
      <c r="C51" s="555"/>
      <c r="D51" s="555"/>
      <c r="E51" s="555"/>
      <c r="F51" s="555"/>
      <c r="G51" s="555"/>
      <c r="H51" s="555"/>
      <c r="I51" s="555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4:C34"/>
    <mergeCell ref="F34:G34"/>
    <mergeCell ref="H34:I34"/>
    <mergeCell ref="A35:C35"/>
    <mergeCell ref="F35:G35"/>
    <mergeCell ref="H35:I35"/>
    <mergeCell ref="A41:I41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I39"/>
    <mergeCell ref="A40:I40"/>
    <mergeCell ref="A48:I48"/>
    <mergeCell ref="A49:I49"/>
    <mergeCell ref="A50:I50"/>
    <mergeCell ref="A51:I51"/>
    <mergeCell ref="A42:I42"/>
    <mergeCell ref="A43:I43"/>
    <mergeCell ref="A44:I44"/>
    <mergeCell ref="A45:I45"/>
    <mergeCell ref="A46:I46"/>
    <mergeCell ref="A47:I4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AF71F-A877-4E19-BF6F-EE4F2FA63060}">
  <dimension ref="A1:I53"/>
  <sheetViews>
    <sheetView zoomScale="85" zoomScaleNormal="85" workbookViewId="0">
      <selection activeCell="D12" sqref="D12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42578125" bestFit="1" customWidth="1"/>
  </cols>
  <sheetData>
    <row r="1" spans="1:9" ht="15.75" x14ac:dyDescent="0.25">
      <c r="A1" s="584"/>
      <c r="B1" s="585"/>
      <c r="C1" s="590" t="s">
        <v>0</v>
      </c>
      <c r="D1" s="590"/>
      <c r="E1" s="590"/>
      <c r="F1" s="590"/>
      <c r="G1" s="590"/>
      <c r="H1" s="1" t="s">
        <v>1</v>
      </c>
      <c r="I1" s="9" t="s">
        <v>187</v>
      </c>
    </row>
    <row r="2" spans="1:9" ht="18" customHeight="1" thickBot="1" x14ac:dyDescent="0.3">
      <c r="A2" s="586"/>
      <c r="B2" s="587"/>
      <c r="C2" s="591" t="s">
        <v>2</v>
      </c>
      <c r="D2" s="592"/>
      <c r="E2" s="592"/>
      <c r="F2" s="592"/>
      <c r="G2" s="593"/>
      <c r="H2" s="2" t="s">
        <v>3</v>
      </c>
      <c r="I2" s="10" t="s">
        <v>188</v>
      </c>
    </row>
    <row r="3" spans="1:9" ht="31.5" customHeight="1" thickBot="1" x14ac:dyDescent="0.25">
      <c r="A3" s="586"/>
      <c r="B3" s="587"/>
      <c r="C3" s="594" t="s">
        <v>189</v>
      </c>
      <c r="D3" s="595"/>
      <c r="E3" s="595"/>
      <c r="F3" s="595"/>
      <c r="G3" s="596"/>
      <c r="H3" s="597" t="s">
        <v>4</v>
      </c>
      <c r="I3" s="575">
        <v>45611</v>
      </c>
    </row>
    <row r="4" spans="1:9" ht="18" customHeight="1" x14ac:dyDescent="0.25">
      <c r="A4" s="586"/>
      <c r="B4" s="587"/>
      <c r="C4" s="13" t="s">
        <v>5</v>
      </c>
      <c r="D4" s="578" t="s">
        <v>32</v>
      </c>
      <c r="E4" s="579"/>
      <c r="F4" s="579"/>
      <c r="G4" s="580"/>
      <c r="H4" s="598"/>
      <c r="I4" s="576"/>
    </row>
    <row r="5" spans="1:9" ht="14.25" thickBot="1" x14ac:dyDescent="0.3">
      <c r="A5" s="588"/>
      <c r="B5" s="589"/>
      <c r="C5" s="14" t="s">
        <v>6</v>
      </c>
      <c r="D5" s="581" t="s">
        <v>33</v>
      </c>
      <c r="E5" s="582"/>
      <c r="F5" s="582"/>
      <c r="G5" s="583"/>
      <c r="H5" s="599"/>
      <c r="I5" s="577"/>
    </row>
    <row r="6" spans="1:9" ht="18.75" thickBot="1" x14ac:dyDescent="0.3">
      <c r="A6" s="506" t="s">
        <v>34</v>
      </c>
      <c r="B6" s="506"/>
      <c r="C6" s="506"/>
      <c r="D6" s="507" t="s">
        <v>190</v>
      </c>
      <c r="E6" s="507"/>
      <c r="F6" s="507"/>
      <c r="G6" s="508" t="s">
        <v>36</v>
      </c>
      <c r="H6" s="508"/>
      <c r="I6" s="15" t="s">
        <v>190</v>
      </c>
    </row>
    <row r="7" spans="1:9" x14ac:dyDescent="0.2">
      <c r="A7" s="509" t="s">
        <v>7</v>
      </c>
      <c r="B7" s="511" t="s">
        <v>37</v>
      </c>
      <c r="C7" s="513" t="s">
        <v>8</v>
      </c>
      <c r="D7" s="513" t="s">
        <v>9</v>
      </c>
      <c r="E7" s="513" t="s">
        <v>10</v>
      </c>
      <c r="F7" s="513"/>
      <c r="G7" s="513" t="s">
        <v>11</v>
      </c>
      <c r="H7" s="513"/>
      <c r="I7" s="16" t="s">
        <v>12</v>
      </c>
    </row>
    <row r="8" spans="1:9" ht="26.25" thickBot="1" x14ac:dyDescent="0.25">
      <c r="A8" s="510"/>
      <c r="B8" s="512"/>
      <c r="C8" s="514"/>
      <c r="D8" s="514"/>
      <c r="E8" s="17" t="s">
        <v>13</v>
      </c>
      <c r="F8" s="18" t="s">
        <v>14</v>
      </c>
      <c r="G8" s="17" t="s">
        <v>13</v>
      </c>
      <c r="H8" s="18" t="s">
        <v>14</v>
      </c>
      <c r="I8" s="19" t="s">
        <v>15</v>
      </c>
    </row>
    <row r="9" spans="1:9" ht="15" x14ac:dyDescent="0.25">
      <c r="A9" s="20"/>
      <c r="B9" s="220"/>
      <c r="C9" s="221" t="s">
        <v>191</v>
      </c>
      <c r="D9" s="21"/>
      <c r="E9" s="22"/>
      <c r="F9" s="23"/>
      <c r="G9" s="22"/>
      <c r="H9" s="23"/>
      <c r="I9" s="24"/>
    </row>
    <row r="10" spans="1:9" ht="18" customHeight="1" x14ac:dyDescent="0.25">
      <c r="A10" s="222" t="s">
        <v>192</v>
      </c>
      <c r="B10" s="11" t="s">
        <v>193</v>
      </c>
      <c r="C10" s="223" t="s">
        <v>194</v>
      </c>
      <c r="D10" s="197" t="s">
        <v>38</v>
      </c>
      <c r="E10" s="224">
        <v>1001</v>
      </c>
      <c r="F10" s="224" t="s">
        <v>16</v>
      </c>
      <c r="G10" s="5"/>
      <c r="H10" s="224"/>
      <c r="I10" s="24"/>
    </row>
    <row r="11" spans="1:9" ht="15" x14ac:dyDescent="0.25">
      <c r="A11" s="225" t="s">
        <v>195</v>
      </c>
      <c r="B11" s="225" t="s">
        <v>196</v>
      </c>
      <c r="C11" s="226" t="s">
        <v>197</v>
      </c>
      <c r="D11" s="40" t="s">
        <v>38</v>
      </c>
      <c r="E11" s="40">
        <v>20</v>
      </c>
      <c r="F11" s="63" t="s">
        <v>16</v>
      </c>
      <c r="G11" s="227"/>
      <c r="H11" s="228"/>
      <c r="I11" s="24"/>
    </row>
    <row r="12" spans="1:9" ht="15" x14ac:dyDescent="0.25">
      <c r="A12" s="11"/>
      <c r="B12" s="11"/>
      <c r="C12" s="229"/>
      <c r="D12" s="230"/>
      <c r="E12" s="4"/>
      <c r="F12" s="4"/>
      <c r="G12" s="227"/>
      <c r="H12" s="228"/>
      <c r="I12" s="24"/>
    </row>
    <row r="13" spans="1:9" ht="15" x14ac:dyDescent="0.25">
      <c r="A13" s="11"/>
      <c r="B13" s="11"/>
      <c r="D13" s="230"/>
      <c r="E13" s="230"/>
      <c r="F13" s="231"/>
      <c r="G13" s="227"/>
      <c r="H13" s="232"/>
      <c r="I13" s="24"/>
    </row>
    <row r="14" spans="1:9" ht="15" x14ac:dyDescent="0.25">
      <c r="A14" s="233"/>
      <c r="B14" s="11"/>
      <c r="C14" s="234"/>
      <c r="D14" s="40"/>
      <c r="E14" s="40"/>
      <c r="F14" s="63"/>
      <c r="G14" s="227"/>
      <c r="H14" s="232"/>
      <c r="I14" s="24"/>
    </row>
    <row r="15" spans="1:9" ht="15" x14ac:dyDescent="0.25">
      <c r="A15" s="235"/>
      <c r="B15" s="11"/>
      <c r="C15" s="229"/>
      <c r="D15" s="40"/>
      <c r="E15" s="40"/>
      <c r="F15" s="63"/>
      <c r="G15" s="227"/>
      <c r="H15" s="232"/>
      <c r="I15" s="24"/>
    </row>
    <row r="16" spans="1:9" ht="15" x14ac:dyDescent="0.25">
      <c r="A16" s="236"/>
      <c r="B16" s="12"/>
      <c r="C16" s="173"/>
      <c r="D16" s="237"/>
      <c r="E16" s="237"/>
      <c r="F16" s="237"/>
      <c r="G16" s="227"/>
      <c r="H16" s="232"/>
      <c r="I16" s="24"/>
    </row>
    <row r="17" spans="1:9" ht="15" x14ac:dyDescent="0.25">
      <c r="A17" s="12"/>
      <c r="B17" s="12"/>
      <c r="C17" s="238"/>
      <c r="D17" s="27"/>
      <c r="E17" s="27"/>
      <c r="F17" s="29"/>
      <c r="G17" s="22"/>
      <c r="H17" s="23"/>
      <c r="I17" s="24"/>
    </row>
    <row r="18" spans="1:9" ht="15.75" x14ac:dyDescent="0.25">
      <c r="A18" s="31"/>
      <c r="B18" s="32"/>
      <c r="C18" s="239" t="s">
        <v>198</v>
      </c>
      <c r="D18" s="28"/>
      <c r="E18" s="240"/>
      <c r="F18" s="29"/>
      <c r="G18" s="22"/>
      <c r="H18" s="23"/>
      <c r="I18" s="24"/>
    </row>
    <row r="19" spans="1:9" ht="15" x14ac:dyDescent="0.25">
      <c r="A19" s="241"/>
      <c r="B19" s="237"/>
      <c r="C19" s="242"/>
      <c r="D19" s="243"/>
      <c r="E19" s="27"/>
      <c r="F19" s="29"/>
      <c r="G19" s="22"/>
      <c r="H19" s="23"/>
      <c r="I19" s="24"/>
    </row>
    <row r="20" spans="1:9" ht="15" x14ac:dyDescent="0.25">
      <c r="A20" s="12"/>
      <c r="B20" s="12"/>
      <c r="C20" s="238"/>
      <c r="D20" s="243"/>
      <c r="E20" s="27"/>
      <c r="F20" s="29"/>
      <c r="G20" s="22"/>
      <c r="H20" s="23"/>
      <c r="I20" s="24"/>
    </row>
    <row r="21" spans="1:9" ht="15" x14ac:dyDescent="0.25">
      <c r="A21" s="244"/>
      <c r="B21" s="244"/>
      <c r="C21" s="242"/>
      <c r="D21" s="243"/>
      <c r="E21" s="27"/>
      <c r="F21" s="29"/>
      <c r="G21" s="22"/>
      <c r="H21" s="23"/>
      <c r="I21" s="24"/>
    </row>
    <row r="22" spans="1:9" ht="15" x14ac:dyDescent="0.25">
      <c r="A22" s="12"/>
      <c r="B22" s="12"/>
      <c r="C22" s="238"/>
      <c r="D22" s="27"/>
      <c r="E22" s="28"/>
      <c r="F22" s="29"/>
      <c r="G22" s="22"/>
      <c r="H22" s="23"/>
      <c r="I22" s="24"/>
    </row>
    <row r="23" spans="1:9" ht="15" x14ac:dyDescent="0.25">
      <c r="A23" s="12"/>
      <c r="B23" s="12"/>
      <c r="C23" s="238"/>
      <c r="D23" s="245"/>
      <c r="E23" s="246"/>
      <c r="F23" s="247"/>
      <c r="G23" s="22"/>
      <c r="H23" s="23"/>
      <c r="I23" s="24"/>
    </row>
    <row r="24" spans="1:9" ht="15.75" x14ac:dyDescent="0.25">
      <c r="A24" s="248"/>
      <c r="B24" s="249"/>
      <c r="C24" s="250" t="s">
        <v>199</v>
      </c>
      <c r="D24" s="251"/>
      <c r="E24" s="252"/>
      <c r="F24" s="23"/>
      <c r="G24" s="22"/>
      <c r="I24" s="24"/>
    </row>
    <row r="25" spans="1:9" ht="15" x14ac:dyDescent="0.25">
      <c r="A25" s="225"/>
      <c r="B25" s="225"/>
      <c r="C25" s="226"/>
      <c r="D25" s="40"/>
      <c r="E25" s="40"/>
      <c r="F25" s="63"/>
      <c r="G25" s="253"/>
      <c r="H25" s="23"/>
      <c r="I25" s="24"/>
    </row>
    <row r="26" spans="1:9" ht="15" x14ac:dyDescent="0.25">
      <c r="A26" s="235"/>
      <c r="B26" s="11"/>
      <c r="C26" s="229"/>
      <c r="D26" s="40"/>
      <c r="E26" s="40"/>
      <c r="F26" s="63"/>
      <c r="G26" s="253"/>
      <c r="H26" s="23"/>
      <c r="I26" s="24"/>
    </row>
    <row r="27" spans="1:9" ht="15" x14ac:dyDescent="0.25">
      <c r="A27" s="254"/>
      <c r="B27" s="254"/>
      <c r="C27" s="255"/>
      <c r="D27" s="40"/>
      <c r="E27" s="256"/>
      <c r="F27" s="224"/>
      <c r="G27" s="253"/>
      <c r="H27" s="23"/>
      <c r="I27" s="24"/>
    </row>
    <row r="28" spans="1:9" ht="15" x14ac:dyDescent="0.25">
      <c r="A28" s="254"/>
      <c r="B28" s="11"/>
      <c r="C28" s="255"/>
      <c r="D28" s="40"/>
      <c r="E28" s="257"/>
      <c r="F28" s="224"/>
      <c r="G28" s="22"/>
      <c r="H28" s="23"/>
      <c r="I28" s="24"/>
    </row>
    <row r="29" spans="1:9" ht="15" x14ac:dyDescent="0.25">
      <c r="A29" s="258"/>
      <c r="B29" s="259"/>
      <c r="C29" s="260"/>
      <c r="D29" s="40"/>
      <c r="E29" s="261"/>
      <c r="F29" s="262"/>
      <c r="G29" s="22"/>
      <c r="H29" s="23"/>
      <c r="I29" s="24"/>
    </row>
    <row r="30" spans="1:9" ht="15" x14ac:dyDescent="0.25">
      <c r="A30" s="263"/>
      <c r="B30" s="182"/>
      <c r="C30" s="183"/>
      <c r="D30" s="40"/>
      <c r="E30" s="27"/>
      <c r="F30" s="29"/>
      <c r="G30" s="45"/>
      <c r="H30" s="28"/>
      <c r="I30" s="24"/>
    </row>
    <row r="31" spans="1:9" ht="15" x14ac:dyDescent="0.25">
      <c r="A31" s="31"/>
      <c r="B31" s="32"/>
      <c r="C31" s="46"/>
      <c r="D31" s="40"/>
      <c r="E31" s="27"/>
      <c r="F31" s="29"/>
      <c r="G31" s="27"/>
      <c r="H31" s="28"/>
      <c r="I31" s="24"/>
    </row>
    <row r="32" spans="1:9" ht="15.75" x14ac:dyDescent="0.25">
      <c r="A32" s="31"/>
      <c r="B32" s="32"/>
      <c r="C32" s="46"/>
      <c r="D32" s="40"/>
      <c r="E32" s="27"/>
      <c r="F32" s="29"/>
      <c r="G32" s="264"/>
      <c r="H32" s="29"/>
      <c r="I32" s="24"/>
    </row>
    <row r="33" spans="1:9" ht="15.75" x14ac:dyDescent="0.25">
      <c r="A33" s="31"/>
      <c r="B33" s="32"/>
      <c r="C33" s="46"/>
      <c r="D33" s="28"/>
      <c r="E33" s="28"/>
      <c r="F33" s="29"/>
      <c r="G33" s="47"/>
      <c r="H33" s="47"/>
      <c r="I33" s="24"/>
    </row>
    <row r="34" spans="1:9" ht="14.25" thickBot="1" x14ac:dyDescent="0.3">
      <c r="A34" s="48"/>
      <c r="B34" s="49"/>
      <c r="C34" s="50"/>
      <c r="D34" s="50"/>
      <c r="E34" s="51"/>
      <c r="F34" s="52"/>
      <c r="G34" s="50"/>
      <c r="H34" s="50"/>
      <c r="I34" s="53"/>
    </row>
    <row r="35" spans="1:9" ht="14.25" thickBot="1" x14ac:dyDescent="0.3">
      <c r="A35" s="54"/>
      <c r="B35" s="55"/>
      <c r="C35" s="56"/>
      <c r="D35" s="57" t="s">
        <v>13</v>
      </c>
      <c r="E35" s="58" t="s">
        <v>18</v>
      </c>
      <c r="F35" s="59"/>
      <c r="G35" s="56"/>
      <c r="H35" s="56"/>
      <c r="I35" s="60"/>
    </row>
    <row r="36" spans="1:9" ht="13.5" x14ac:dyDescent="0.25">
      <c r="A36" s="500" t="s">
        <v>19</v>
      </c>
      <c r="B36" s="501"/>
      <c r="C36" s="502"/>
      <c r="D36" s="5">
        <v>1001</v>
      </c>
      <c r="E36" s="6" t="s">
        <v>16</v>
      </c>
      <c r="F36" s="503" t="s">
        <v>20</v>
      </c>
      <c r="G36" s="503"/>
      <c r="H36" s="504"/>
      <c r="I36" s="505"/>
    </row>
    <row r="37" spans="1:9" ht="13.5" x14ac:dyDescent="0.25">
      <c r="A37" s="492" t="s">
        <v>21</v>
      </c>
      <c r="B37" s="493"/>
      <c r="C37" s="494"/>
      <c r="D37" s="265">
        <v>2</v>
      </c>
      <c r="E37" s="4" t="s">
        <v>22</v>
      </c>
      <c r="F37" s="495" t="s">
        <v>23</v>
      </c>
      <c r="G37" s="495"/>
      <c r="H37" s="496"/>
      <c r="I37" s="497"/>
    </row>
    <row r="38" spans="1:9" ht="13.5" x14ac:dyDescent="0.25">
      <c r="A38" s="492" t="s">
        <v>24</v>
      </c>
      <c r="B38" s="493"/>
      <c r="C38" s="494"/>
      <c r="D38" s="4">
        <v>7</v>
      </c>
      <c r="E38" s="4" t="s">
        <v>200</v>
      </c>
      <c r="F38" s="495" t="s">
        <v>25</v>
      </c>
      <c r="G38" s="495"/>
      <c r="H38" s="496"/>
      <c r="I38" s="497"/>
    </row>
    <row r="39" spans="1:9" ht="13.5" x14ac:dyDescent="0.25">
      <c r="A39" s="492" t="s">
        <v>26</v>
      </c>
      <c r="B39" s="493"/>
      <c r="C39" s="494"/>
      <c r="D39" s="3">
        <v>143</v>
      </c>
      <c r="E39" s="4" t="s">
        <v>16</v>
      </c>
      <c r="F39" s="498" t="s">
        <v>27</v>
      </c>
      <c r="G39" s="499"/>
      <c r="H39" s="496"/>
      <c r="I39" s="497"/>
    </row>
    <row r="40" spans="1:9" ht="14.25" thickBot="1" x14ac:dyDescent="0.3">
      <c r="A40" s="480" t="s">
        <v>28</v>
      </c>
      <c r="B40" s="481"/>
      <c r="C40" s="482"/>
      <c r="D40" s="7">
        <v>0</v>
      </c>
      <c r="E40" s="8" t="s">
        <v>16</v>
      </c>
      <c r="F40" s="483"/>
      <c r="G40" s="483"/>
      <c r="H40" s="484"/>
      <c r="I40" s="485"/>
    </row>
    <row r="41" spans="1:9" ht="13.5" thickBot="1" x14ac:dyDescent="0.25">
      <c r="A41" s="486" t="s">
        <v>29</v>
      </c>
      <c r="B41" s="487"/>
      <c r="C41" s="487"/>
      <c r="D41" s="487"/>
      <c r="E41" s="487"/>
      <c r="F41" s="487"/>
      <c r="G41" s="487"/>
      <c r="H41" s="487"/>
      <c r="I41" s="488"/>
    </row>
    <row r="42" spans="1:9" ht="18.600000000000001" customHeight="1" x14ac:dyDescent="0.25">
      <c r="A42" s="622" t="s">
        <v>201</v>
      </c>
      <c r="B42" s="623"/>
      <c r="C42" s="623"/>
      <c r="D42" s="623"/>
      <c r="E42" s="623"/>
      <c r="F42" s="623"/>
      <c r="G42" s="623"/>
      <c r="H42" s="623"/>
      <c r="I42" s="624"/>
    </row>
    <row r="43" spans="1:9" ht="14.45" customHeight="1" x14ac:dyDescent="0.25">
      <c r="A43" s="616" t="s">
        <v>202</v>
      </c>
      <c r="B43" s="617"/>
      <c r="C43" s="617"/>
      <c r="D43" s="617"/>
      <c r="E43" s="617"/>
      <c r="F43" s="617"/>
      <c r="G43" s="617"/>
      <c r="H43" s="617"/>
      <c r="I43" s="618"/>
    </row>
    <row r="44" spans="1:9" ht="14.45" customHeight="1" x14ac:dyDescent="0.25">
      <c r="A44" s="616" t="s">
        <v>203</v>
      </c>
      <c r="B44" s="617"/>
      <c r="C44" s="617"/>
      <c r="D44" s="617"/>
      <c r="E44" s="617"/>
      <c r="F44" s="617"/>
      <c r="G44" s="617"/>
      <c r="H44" s="617"/>
      <c r="I44" s="618"/>
    </row>
    <row r="45" spans="1:9" ht="14.45" customHeight="1" x14ac:dyDescent="0.25">
      <c r="A45" s="613" t="s">
        <v>204</v>
      </c>
      <c r="B45" s="614"/>
      <c r="C45" s="614"/>
      <c r="D45" s="614"/>
      <c r="E45" s="614"/>
      <c r="F45" s="614"/>
      <c r="G45" s="614"/>
      <c r="H45" s="614"/>
      <c r="I45" s="615"/>
    </row>
    <row r="46" spans="1:9" ht="14.45" customHeight="1" x14ac:dyDescent="0.2">
      <c r="A46" s="619"/>
      <c r="B46" s="620"/>
      <c r="C46" s="620"/>
      <c r="D46" s="620"/>
      <c r="E46" s="620"/>
      <c r="F46" s="620"/>
      <c r="G46" s="620"/>
      <c r="H46" s="620"/>
      <c r="I46" s="621"/>
    </row>
    <row r="47" spans="1:9" ht="15" x14ac:dyDescent="0.25">
      <c r="A47" s="489"/>
      <c r="B47" s="490"/>
      <c r="C47" s="490"/>
      <c r="D47" s="490"/>
      <c r="E47" s="490"/>
      <c r="F47" s="490"/>
      <c r="G47" s="490"/>
      <c r="H47" s="490"/>
      <c r="I47" s="491"/>
    </row>
    <row r="48" spans="1:9" ht="18" customHeight="1" x14ac:dyDescent="0.2">
      <c r="A48" s="619"/>
      <c r="B48" s="620"/>
      <c r="C48" s="620"/>
      <c r="D48" s="620"/>
      <c r="E48" s="620"/>
      <c r="F48" s="620"/>
      <c r="G48" s="620"/>
      <c r="H48" s="620"/>
      <c r="I48" s="621"/>
    </row>
    <row r="49" spans="1:9" ht="13.5" x14ac:dyDescent="0.25">
      <c r="A49" s="542"/>
      <c r="B49" s="543"/>
      <c r="C49" s="543"/>
      <c r="D49" s="543"/>
      <c r="E49" s="543"/>
      <c r="F49" s="543"/>
      <c r="G49" s="543"/>
      <c r="H49" s="543"/>
      <c r="I49" s="544"/>
    </row>
    <row r="50" spans="1:9" ht="14.25" thickBot="1" x14ac:dyDescent="0.3">
      <c r="A50" s="470"/>
      <c r="B50" s="471"/>
      <c r="C50" s="471"/>
      <c r="D50" s="471"/>
      <c r="E50" s="471"/>
      <c r="F50" s="471"/>
      <c r="G50" s="471"/>
      <c r="H50" s="471"/>
      <c r="I50" s="472"/>
    </row>
    <row r="51" spans="1:9" x14ac:dyDescent="0.2">
      <c r="A51" s="552" t="s">
        <v>41</v>
      </c>
      <c r="B51" s="553"/>
      <c r="C51" s="553"/>
      <c r="D51" s="553"/>
      <c r="E51" s="553"/>
      <c r="F51" s="553"/>
      <c r="G51" s="553"/>
      <c r="H51" s="553"/>
      <c r="I51" s="553"/>
    </row>
    <row r="52" spans="1:9" ht="13.5" x14ac:dyDescent="0.25">
      <c r="A52" s="554"/>
      <c r="B52" s="555"/>
      <c r="C52" s="555"/>
      <c r="D52" s="555"/>
      <c r="E52" s="555"/>
      <c r="F52" s="555"/>
      <c r="G52" s="555"/>
      <c r="H52" s="555"/>
      <c r="I52" s="555"/>
    </row>
    <row r="53" spans="1:9" ht="13.5" x14ac:dyDescent="0.25">
      <c r="A53" s="554"/>
      <c r="B53" s="555"/>
      <c r="C53" s="555"/>
      <c r="D53" s="555"/>
      <c r="E53" s="555"/>
      <c r="F53" s="555"/>
      <c r="G53" s="555"/>
      <c r="H53" s="555"/>
      <c r="I53" s="555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502A-318E-49DC-A459-BF989A5B61AC}">
  <dimension ref="A1:M36"/>
  <sheetViews>
    <sheetView workbookViewId="0">
      <selection activeCell="B11" sqref="B11"/>
    </sheetView>
  </sheetViews>
  <sheetFormatPr baseColWidth="10" defaultColWidth="9.28515625" defaultRowHeight="12.75" x14ac:dyDescent="0.2"/>
  <cols>
    <col min="1" max="2" width="16.28515625" style="163" customWidth="1"/>
    <col min="3" max="3" width="40.5703125" style="163" customWidth="1"/>
    <col min="4" max="4" width="18.7109375" style="163" customWidth="1"/>
    <col min="5" max="5" width="9.28515625" style="163"/>
    <col min="6" max="6" width="13.28515625" style="163" customWidth="1"/>
    <col min="7" max="7" width="12.5703125" style="163" customWidth="1"/>
    <col min="8" max="8" width="15.5703125" style="163" customWidth="1"/>
    <col min="9" max="9" width="16" style="163" customWidth="1"/>
    <col min="10" max="16384" width="9.28515625" style="163"/>
  </cols>
  <sheetData>
    <row r="1" spans="1:12" ht="18" x14ac:dyDescent="0.25">
      <c r="A1" s="664"/>
      <c r="B1" s="664"/>
      <c r="C1" s="665" t="s">
        <v>0</v>
      </c>
      <c r="D1" s="666"/>
      <c r="E1" s="666"/>
      <c r="F1" s="666"/>
      <c r="G1" s="666"/>
      <c r="H1" s="161" t="s">
        <v>1</v>
      </c>
      <c r="I1" s="162" t="s">
        <v>147</v>
      </c>
    </row>
    <row r="2" spans="1:12" ht="18.75" thickBot="1" x14ac:dyDescent="0.3">
      <c r="A2" s="664"/>
      <c r="B2" s="664"/>
      <c r="C2" s="667" t="s">
        <v>2</v>
      </c>
      <c r="D2" s="668"/>
      <c r="E2" s="668"/>
      <c r="F2" s="668"/>
      <c r="G2" s="668"/>
      <c r="H2" s="164" t="s">
        <v>3</v>
      </c>
      <c r="I2" s="165" t="s">
        <v>148</v>
      </c>
    </row>
    <row r="3" spans="1:12" ht="15.75" thickBot="1" x14ac:dyDescent="0.25">
      <c r="A3" s="664"/>
      <c r="B3" s="664"/>
      <c r="C3" s="669" t="s">
        <v>149</v>
      </c>
      <c r="D3" s="669"/>
      <c r="E3" s="669"/>
      <c r="F3" s="669"/>
      <c r="G3" s="670"/>
      <c r="H3" s="671" t="s">
        <v>4</v>
      </c>
      <c r="I3" s="660">
        <v>45546</v>
      </c>
    </row>
    <row r="4" spans="1:12" ht="14.25" x14ac:dyDescent="0.2">
      <c r="A4" s="664"/>
      <c r="B4" s="664"/>
      <c r="C4" s="166" t="s">
        <v>5</v>
      </c>
      <c r="D4" s="662" t="s">
        <v>32</v>
      </c>
      <c r="E4" s="662"/>
      <c r="F4" s="662"/>
      <c r="G4" s="662"/>
      <c r="H4" s="672"/>
      <c r="I4" s="660"/>
    </row>
    <row r="5" spans="1:12" ht="15" thickBot="1" x14ac:dyDescent="0.25">
      <c r="A5" s="664"/>
      <c r="B5" s="664"/>
      <c r="C5" s="167" t="s">
        <v>6</v>
      </c>
      <c r="D5" s="663" t="s">
        <v>33</v>
      </c>
      <c r="E5" s="663"/>
      <c r="F5" s="663"/>
      <c r="G5" s="663"/>
      <c r="H5" s="673"/>
      <c r="I5" s="661"/>
    </row>
    <row r="6" spans="1:12" ht="18.75" thickBot="1" x14ac:dyDescent="0.3">
      <c r="A6" s="652" t="s">
        <v>34</v>
      </c>
      <c r="B6" s="506"/>
      <c r="C6" s="506"/>
      <c r="D6" s="507" t="s">
        <v>35</v>
      </c>
      <c r="E6" s="507"/>
      <c r="F6" s="507"/>
      <c r="G6" s="508" t="s">
        <v>36</v>
      </c>
      <c r="H6" s="508"/>
      <c r="I6" s="168" t="s">
        <v>35</v>
      </c>
    </row>
    <row r="7" spans="1:12" ht="25.5" x14ac:dyDescent="0.2">
      <c r="A7" s="653" t="s">
        <v>7</v>
      </c>
      <c r="B7" s="655" t="s">
        <v>150</v>
      </c>
      <c r="C7" s="657" t="s">
        <v>8</v>
      </c>
      <c r="D7" s="657" t="s">
        <v>9</v>
      </c>
      <c r="E7" s="657" t="s">
        <v>10</v>
      </c>
      <c r="F7" s="657"/>
      <c r="G7" s="657" t="s">
        <v>151</v>
      </c>
      <c r="H7" s="657"/>
      <c r="I7" s="169" t="s">
        <v>12</v>
      </c>
    </row>
    <row r="8" spans="1:12" ht="26.25" thickBot="1" x14ac:dyDescent="0.25">
      <c r="A8" s="654"/>
      <c r="B8" s="656"/>
      <c r="C8" s="658"/>
      <c r="D8" s="659"/>
      <c r="E8" s="170" t="s">
        <v>13</v>
      </c>
      <c r="F8" s="171" t="s">
        <v>14</v>
      </c>
      <c r="G8" s="170" t="s">
        <v>13</v>
      </c>
      <c r="H8" s="171" t="s">
        <v>14</v>
      </c>
      <c r="I8" s="172" t="s">
        <v>15</v>
      </c>
    </row>
    <row r="9" spans="1:12" ht="15" x14ac:dyDescent="0.25">
      <c r="A9" s="12" t="s">
        <v>152</v>
      </c>
      <c r="B9" s="12" t="s">
        <v>153</v>
      </c>
      <c r="C9" s="173" t="s">
        <v>154</v>
      </c>
      <c r="D9" s="174" t="s">
        <v>155</v>
      </c>
      <c r="E9" s="175">
        <v>2500</v>
      </c>
      <c r="F9" s="175" t="s">
        <v>16</v>
      </c>
      <c r="G9" s="176"/>
      <c r="H9" s="177"/>
      <c r="I9" s="178"/>
    </row>
    <row r="10" spans="1:12" ht="15" x14ac:dyDescent="0.25">
      <c r="A10" s="12" t="s">
        <v>156</v>
      </c>
      <c r="B10" s="12" t="s">
        <v>157</v>
      </c>
      <c r="C10" s="173" t="s">
        <v>158</v>
      </c>
      <c r="D10" s="174" t="s">
        <v>155</v>
      </c>
      <c r="E10" s="175">
        <v>1500</v>
      </c>
      <c r="F10" s="175" t="s">
        <v>16</v>
      </c>
      <c r="G10" s="179"/>
      <c r="H10" s="180"/>
      <c r="I10" s="181"/>
    </row>
    <row r="11" spans="1:12" ht="15" x14ac:dyDescent="0.25">
      <c r="A11" s="31" t="s">
        <v>159</v>
      </c>
      <c r="B11" s="182" t="s">
        <v>160</v>
      </c>
      <c r="C11" s="183" t="s">
        <v>161</v>
      </c>
      <c r="D11" s="174" t="s">
        <v>38</v>
      </c>
      <c r="E11" s="175">
        <v>1000</v>
      </c>
      <c r="F11" s="175" t="s">
        <v>16</v>
      </c>
      <c r="G11" s="645" t="s">
        <v>162</v>
      </c>
      <c r="H11" s="646"/>
      <c r="I11" s="647"/>
    </row>
    <row r="12" spans="1:12" ht="15" x14ac:dyDescent="0.25">
      <c r="A12" s="184" t="s">
        <v>163</v>
      </c>
      <c r="B12" s="184" t="s">
        <v>164</v>
      </c>
      <c r="C12" s="185" t="s">
        <v>165</v>
      </c>
      <c r="D12" s="174" t="s">
        <v>166</v>
      </c>
      <c r="E12" s="175">
        <v>3000</v>
      </c>
      <c r="F12" s="175" t="s">
        <v>16</v>
      </c>
      <c r="G12" s="186"/>
      <c r="H12" s="40"/>
      <c r="I12" s="187"/>
    </row>
    <row r="13" spans="1:12" ht="15" x14ac:dyDescent="0.25">
      <c r="A13" s="188">
        <v>101000073</v>
      </c>
      <c r="B13" s="188" t="s">
        <v>167</v>
      </c>
      <c r="C13" s="185" t="s">
        <v>168</v>
      </c>
      <c r="D13" s="174"/>
      <c r="E13" s="175">
        <v>1400</v>
      </c>
      <c r="F13" s="175" t="s">
        <v>16</v>
      </c>
      <c r="G13" s="186"/>
      <c r="H13" s="40"/>
      <c r="I13" s="187"/>
    </row>
    <row r="14" spans="1:12" ht="15" x14ac:dyDescent="0.25">
      <c r="A14" s="189" t="s">
        <v>169</v>
      </c>
      <c r="B14" s="189" t="s">
        <v>170</v>
      </c>
      <c r="C14" s="190" t="s">
        <v>171</v>
      </c>
      <c r="D14" s="174"/>
      <c r="E14" s="175">
        <v>10</v>
      </c>
      <c r="F14" s="175" t="s">
        <v>16</v>
      </c>
      <c r="G14" s="186"/>
      <c r="H14" s="40"/>
      <c r="I14" s="187"/>
    </row>
    <row r="15" spans="1:12" ht="15" x14ac:dyDescent="0.25">
      <c r="A15" s="191"/>
      <c r="B15" s="192"/>
      <c r="C15" s="193"/>
      <c r="D15" s="194"/>
      <c r="E15" s="195"/>
      <c r="F15" s="196"/>
      <c r="G15" s="176"/>
      <c r="H15" s="197"/>
      <c r="I15" s="178"/>
    </row>
    <row r="16" spans="1:12" ht="13.5" thickBot="1" x14ac:dyDescent="0.25">
      <c r="A16" s="198"/>
      <c r="B16" s="199"/>
      <c r="E16" s="200"/>
      <c r="F16" s="201"/>
      <c r="I16" s="202"/>
      <c r="L16" s="203"/>
    </row>
    <row r="17" spans="1:13" ht="13.5" thickBot="1" x14ac:dyDescent="0.25">
      <c r="A17" s="204"/>
      <c r="B17" s="205"/>
      <c r="C17" s="206"/>
      <c r="D17" s="207" t="s">
        <v>13</v>
      </c>
      <c r="E17" s="208" t="s">
        <v>18</v>
      </c>
      <c r="F17" s="209"/>
      <c r="G17" s="206"/>
      <c r="H17" s="206"/>
      <c r="I17" s="210"/>
      <c r="L17" s="203"/>
    </row>
    <row r="18" spans="1:13" ht="12.75" customHeight="1" x14ac:dyDescent="0.2">
      <c r="A18" s="648" t="s">
        <v>19</v>
      </c>
      <c r="B18" s="649"/>
      <c r="C18" s="650"/>
      <c r="D18" s="211">
        <v>9000</v>
      </c>
      <c r="E18" s="212" t="s">
        <v>16</v>
      </c>
      <c r="F18" s="651" t="s">
        <v>172</v>
      </c>
      <c r="G18" s="651"/>
      <c r="L18" s="203"/>
    </row>
    <row r="19" spans="1:13" ht="13.5" customHeight="1" x14ac:dyDescent="0.2">
      <c r="A19" s="631" t="s">
        <v>21</v>
      </c>
      <c r="B19" s="632"/>
      <c r="C19" s="633"/>
      <c r="D19" s="213">
        <v>15</v>
      </c>
      <c r="E19" s="214" t="s">
        <v>22</v>
      </c>
      <c r="F19" s="634" t="s">
        <v>173</v>
      </c>
      <c r="G19" s="634"/>
      <c r="H19" s="635"/>
      <c r="I19" s="636"/>
      <c r="L19" s="203"/>
      <c r="M19" s="215"/>
    </row>
    <row r="20" spans="1:13" ht="17.25" customHeight="1" x14ac:dyDescent="0.2">
      <c r="A20" s="631" t="s">
        <v>24</v>
      </c>
      <c r="B20" s="632"/>
      <c r="C20" s="633"/>
      <c r="D20" s="216">
        <f>D18/D21</f>
        <v>1</v>
      </c>
      <c r="E20" s="214" t="s">
        <v>174</v>
      </c>
      <c r="F20" s="634" t="s">
        <v>175</v>
      </c>
      <c r="G20" s="634"/>
      <c r="H20" s="635">
        <f>15/9</f>
        <v>1.6666666666666667</v>
      </c>
      <c r="I20" s="636"/>
      <c r="L20" s="203"/>
    </row>
    <row r="21" spans="1:13" ht="17.25" customHeight="1" x14ac:dyDescent="0.2">
      <c r="A21" s="631" t="s">
        <v>26</v>
      </c>
      <c r="B21" s="632"/>
      <c r="C21" s="633"/>
      <c r="D21" s="216">
        <v>9000</v>
      </c>
      <c r="E21" s="214" t="s">
        <v>16</v>
      </c>
      <c r="F21" s="634" t="s">
        <v>176</v>
      </c>
      <c r="G21" s="634"/>
      <c r="H21" s="635"/>
      <c r="I21" s="636"/>
    </row>
    <row r="22" spans="1:13" ht="13.5" thickBot="1" x14ac:dyDescent="0.25">
      <c r="A22" s="637" t="s">
        <v>28</v>
      </c>
      <c r="B22" s="638"/>
      <c r="C22" s="639"/>
      <c r="D22" s="217">
        <f>SUM(E9:E15)-D18</f>
        <v>410</v>
      </c>
      <c r="E22" s="218" t="s">
        <v>16</v>
      </c>
      <c r="F22" s="639"/>
      <c r="G22" s="639"/>
      <c r="H22" s="640"/>
      <c r="I22" s="641"/>
    </row>
    <row r="23" spans="1:13" ht="13.5" thickBot="1" x14ac:dyDescent="0.25">
      <c r="A23" s="628" t="s">
        <v>29</v>
      </c>
      <c r="B23" s="629"/>
      <c r="C23" s="629"/>
      <c r="D23" s="629"/>
      <c r="E23" s="629"/>
      <c r="F23" s="629"/>
      <c r="G23" s="629"/>
      <c r="H23" s="629"/>
      <c r="I23" s="630"/>
    </row>
    <row r="24" spans="1:13" ht="15" x14ac:dyDescent="0.25">
      <c r="A24" s="642" t="s">
        <v>177</v>
      </c>
      <c r="B24" s="643"/>
      <c r="C24" s="643"/>
      <c r="D24" s="643"/>
      <c r="E24" s="643"/>
      <c r="F24" s="643"/>
      <c r="G24" s="643"/>
      <c r="H24" s="643"/>
      <c r="I24" s="644"/>
    </row>
    <row r="25" spans="1:13" ht="15.75" hidden="1" x14ac:dyDescent="0.25">
      <c r="A25" s="613" t="s">
        <v>178</v>
      </c>
      <c r="B25" s="614"/>
      <c r="C25" s="614"/>
      <c r="D25" s="614"/>
      <c r="E25" s="614"/>
      <c r="F25" s="614"/>
      <c r="G25" s="614"/>
      <c r="H25" s="614"/>
      <c r="I25" s="615"/>
    </row>
    <row r="26" spans="1:13" ht="15" thickBot="1" x14ac:dyDescent="0.25">
      <c r="A26" s="477" t="s">
        <v>179</v>
      </c>
      <c r="B26" s="478"/>
      <c r="C26" s="478"/>
      <c r="D26" s="478"/>
      <c r="E26" s="478"/>
      <c r="F26" s="478"/>
      <c r="G26" s="478"/>
      <c r="H26" s="478"/>
      <c r="I26" s="479"/>
    </row>
    <row r="27" spans="1:13" ht="15" hidden="1" thickBot="1" x14ac:dyDescent="0.25">
      <c r="A27" s="477"/>
      <c r="B27" s="478"/>
      <c r="C27" s="478"/>
      <c r="D27" s="478"/>
      <c r="E27" s="478"/>
      <c r="F27" s="478"/>
      <c r="G27" s="478"/>
      <c r="H27" s="478"/>
      <c r="I27" s="479"/>
    </row>
    <row r="28" spans="1:13" ht="13.5" thickBot="1" x14ac:dyDescent="0.25">
      <c r="A28" s="628" t="s">
        <v>41</v>
      </c>
      <c r="B28" s="629"/>
      <c r="C28" s="629"/>
      <c r="D28" s="629"/>
      <c r="E28" s="629"/>
      <c r="F28" s="629"/>
      <c r="G28" s="629"/>
      <c r="H28" s="629"/>
      <c r="I28" s="630"/>
    </row>
    <row r="29" spans="1:13" ht="15" thickBot="1" x14ac:dyDescent="0.25">
      <c r="A29" s="467"/>
      <c r="B29" s="468"/>
      <c r="C29" s="468"/>
      <c r="D29" s="468"/>
      <c r="E29" s="468"/>
      <c r="F29" s="468"/>
      <c r="G29" s="468"/>
      <c r="H29" s="468"/>
      <c r="I29" s="469"/>
    </row>
    <row r="30" spans="1:13" ht="15" thickBot="1" x14ac:dyDescent="0.25">
      <c r="A30" s="625" t="s">
        <v>180</v>
      </c>
      <c r="B30" s="626"/>
      <c r="C30" s="626"/>
      <c r="D30" s="626"/>
      <c r="E30" s="626"/>
      <c r="F30" s="626"/>
      <c r="G30" s="626"/>
      <c r="H30" s="626"/>
      <c r="I30" s="627"/>
    </row>
    <row r="31" spans="1:13" ht="15" thickBot="1" x14ac:dyDescent="0.25">
      <c r="A31" s="625" t="s">
        <v>181</v>
      </c>
      <c r="B31" s="626"/>
      <c r="C31" s="626"/>
      <c r="D31" s="626"/>
      <c r="E31" s="626"/>
      <c r="F31" s="626"/>
      <c r="G31" s="626"/>
      <c r="H31" s="626"/>
      <c r="I31" s="627"/>
    </row>
    <row r="32" spans="1:13" ht="15" thickBot="1" x14ac:dyDescent="0.25">
      <c r="A32" s="625" t="s">
        <v>182</v>
      </c>
      <c r="B32" s="626"/>
      <c r="C32" s="626"/>
      <c r="D32" s="626"/>
      <c r="E32" s="626"/>
      <c r="F32" s="626"/>
      <c r="G32" s="626"/>
      <c r="H32" s="626"/>
      <c r="I32" s="627"/>
    </row>
    <row r="33" spans="1:1" x14ac:dyDescent="0.2">
      <c r="A33" s="163" t="s">
        <v>183</v>
      </c>
    </row>
    <row r="34" spans="1:1" x14ac:dyDescent="0.2">
      <c r="A34" s="163" t="s">
        <v>184</v>
      </c>
    </row>
    <row r="35" spans="1:1" x14ac:dyDescent="0.2">
      <c r="A35" s="163" t="s">
        <v>185</v>
      </c>
    </row>
    <row r="36" spans="1:1" x14ac:dyDescent="0.2">
      <c r="A36" s="163" t="s">
        <v>186</v>
      </c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G11:I11"/>
    <mergeCell ref="A18:C18"/>
    <mergeCell ref="F18:G18"/>
    <mergeCell ref="A19:C19"/>
    <mergeCell ref="F19:G19"/>
    <mergeCell ref="H19:I19"/>
    <mergeCell ref="A25:I25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I23"/>
    <mergeCell ref="A24:I24"/>
    <mergeCell ref="A32:I32"/>
    <mergeCell ref="A26:I26"/>
    <mergeCell ref="A27:I27"/>
    <mergeCell ref="A28:I28"/>
    <mergeCell ref="A29:I29"/>
    <mergeCell ref="A30:I30"/>
    <mergeCell ref="A31:I3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F2BEC-5739-4662-B42F-1C1F8ED97353}">
  <dimension ref="A1:Q91"/>
  <sheetViews>
    <sheetView workbookViewId="0">
      <selection activeCell="E9" sqref="E9"/>
    </sheetView>
  </sheetViews>
  <sheetFormatPr baseColWidth="10" defaultColWidth="8.42578125" defaultRowHeight="12.75" x14ac:dyDescent="0.2"/>
  <cols>
    <col min="1" max="1" width="10" style="69" bestFit="1" customWidth="1"/>
    <col min="2" max="2" width="44.28515625" style="69" bestFit="1" customWidth="1"/>
    <col min="3" max="3" width="10.42578125" style="69" bestFit="1" customWidth="1"/>
    <col min="4" max="4" width="10.42578125" style="69" customWidth="1"/>
    <col min="5" max="5" width="11.5703125" style="69" customWidth="1"/>
    <col min="6" max="6" width="9.5703125" style="69" bestFit="1" customWidth="1"/>
    <col min="7" max="7" width="10.85546875" style="151" customWidth="1"/>
    <col min="8" max="8" width="10.42578125" style="142" bestFit="1" customWidth="1"/>
    <col min="9" max="9" width="4.5703125" style="142" customWidth="1"/>
    <col min="10" max="10" width="1.85546875" style="68" customWidth="1"/>
    <col min="11" max="11" width="7" style="69" bestFit="1" customWidth="1"/>
    <col min="12" max="12" width="6.28515625" style="69" customWidth="1"/>
    <col min="13" max="13" width="20.42578125" style="69" customWidth="1"/>
    <col min="14" max="14" width="6.42578125" style="69" bestFit="1" customWidth="1"/>
    <col min="15" max="16" width="8.42578125" style="69"/>
    <col min="17" max="17" width="3.28515625" style="69" customWidth="1"/>
    <col min="18" max="16384" width="8.42578125" style="69"/>
  </cols>
  <sheetData>
    <row r="1" spans="1:10" ht="27.75" customHeight="1" x14ac:dyDescent="0.2">
      <c r="A1" s="64"/>
      <c r="B1" s="64"/>
      <c r="C1" s="64"/>
      <c r="D1" s="64"/>
      <c r="E1" s="65" t="s">
        <v>90</v>
      </c>
      <c r="F1" s="66" t="s">
        <v>91</v>
      </c>
      <c r="G1" s="66" t="s">
        <v>92</v>
      </c>
      <c r="H1" s="66" t="s">
        <v>93</v>
      </c>
      <c r="I1" s="67"/>
    </row>
    <row r="2" spans="1:10" ht="30.75" customHeight="1" x14ac:dyDescent="0.2">
      <c r="A2" s="64"/>
      <c r="B2" s="64"/>
      <c r="C2" s="64"/>
      <c r="D2" s="64"/>
      <c r="E2" s="70">
        <f>IFERROR(O62,"")</f>
        <v>17151.628571428573</v>
      </c>
      <c r="F2" s="70">
        <f>IFERROR(H53,"")</f>
        <v>14803.2</v>
      </c>
      <c r="G2" s="70">
        <f>IFERROR(H54,"")</f>
        <v>32</v>
      </c>
      <c r="H2" s="70">
        <f>IFERROR(H56,"")</f>
        <v>1265</v>
      </c>
      <c r="I2" s="71"/>
    </row>
    <row r="3" spans="1:10" ht="15" customHeight="1" x14ac:dyDescent="0.2">
      <c r="A3" s="64"/>
      <c r="B3" s="64"/>
      <c r="C3" s="64"/>
      <c r="D3" s="64"/>
      <c r="E3" s="64"/>
      <c r="F3" s="72"/>
      <c r="G3" s="72"/>
      <c r="H3" s="72"/>
      <c r="I3" s="72"/>
    </row>
    <row r="4" spans="1:10" ht="24.75" customHeight="1" thickBot="1" x14ac:dyDescent="0.25">
      <c r="A4" s="437"/>
      <c r="B4" s="437"/>
      <c r="C4" s="437"/>
      <c r="D4" s="437"/>
      <c r="E4" s="437"/>
      <c r="F4" s="437"/>
      <c r="G4" s="437"/>
      <c r="H4" s="437"/>
      <c r="I4" s="73"/>
    </row>
    <row r="5" spans="1:10" ht="19.5" customHeight="1" thickBot="1" x14ac:dyDescent="0.25">
      <c r="A5" s="438" t="s">
        <v>94</v>
      </c>
      <c r="B5" s="439"/>
      <c r="C5" s="439"/>
      <c r="D5" s="439"/>
      <c r="E5" s="439"/>
      <c r="F5" s="439"/>
      <c r="G5" s="439"/>
      <c r="H5" s="440"/>
      <c r="I5" s="74"/>
    </row>
    <row r="6" spans="1:10" ht="19.5" thickBot="1" x14ac:dyDescent="0.25">
      <c r="A6" s="74"/>
      <c r="B6" s="74"/>
      <c r="C6" s="74"/>
      <c r="D6" s="74"/>
      <c r="E6" s="74"/>
      <c r="F6" s="441" t="s">
        <v>95</v>
      </c>
      <c r="G6" s="441"/>
      <c r="H6" s="75">
        <f ca="1">TODAY()</f>
        <v>46034</v>
      </c>
      <c r="I6" s="75"/>
    </row>
    <row r="7" spans="1:10" ht="26.25" thickBot="1" x14ac:dyDescent="0.25">
      <c r="A7" s="76" t="s">
        <v>96</v>
      </c>
      <c r="B7" s="77" t="s">
        <v>97</v>
      </c>
      <c r="C7" s="77" t="s">
        <v>96</v>
      </c>
      <c r="D7" s="78" t="s">
        <v>98</v>
      </c>
      <c r="E7" s="78" t="s">
        <v>99</v>
      </c>
      <c r="F7" s="78" t="s">
        <v>100</v>
      </c>
      <c r="G7" s="78" t="s">
        <v>101</v>
      </c>
      <c r="H7" s="79" t="s">
        <v>102</v>
      </c>
      <c r="I7" s="80"/>
    </row>
    <row r="8" spans="1:10" ht="13.5" x14ac:dyDescent="0.25">
      <c r="A8" s="81">
        <v>2000</v>
      </c>
      <c r="B8" s="69" t="s">
        <v>59</v>
      </c>
      <c r="C8" s="82">
        <f>+A8</f>
        <v>2000</v>
      </c>
      <c r="D8" s="83" t="s">
        <v>141</v>
      </c>
      <c r="E8" s="83">
        <v>2.0299999999999998</v>
      </c>
      <c r="F8" s="83">
        <f>IFERROR(C8*E8,"")</f>
        <v>4059.9999999999995</v>
      </c>
      <c r="G8" s="84">
        <f t="shared" ref="G8:G14" si="0">IFERROR(F8/$F$66,"")</f>
        <v>0.26166092559394449</v>
      </c>
      <c r="H8" s="85" t="s">
        <v>58</v>
      </c>
      <c r="I8" s="85"/>
      <c r="J8" s="86"/>
    </row>
    <row r="9" spans="1:10" ht="13.5" x14ac:dyDescent="0.25">
      <c r="A9" s="81">
        <v>1800</v>
      </c>
      <c r="B9" s="69" t="s">
        <v>61</v>
      </c>
      <c r="C9" s="82">
        <f t="shared" ref="C9:C14" si="1">+A9</f>
        <v>1800</v>
      </c>
      <c r="D9" s="83" t="s">
        <v>141</v>
      </c>
      <c r="E9" s="83">
        <v>3.07</v>
      </c>
      <c r="F9" s="83">
        <f t="shared" ref="F9:F14" si="2">IFERROR(C9*E9,"")</f>
        <v>5526</v>
      </c>
      <c r="G9" s="84">
        <f t="shared" si="0"/>
        <v>0.35614243222466435</v>
      </c>
      <c r="H9" s="85" t="s">
        <v>60</v>
      </c>
      <c r="I9" s="85"/>
      <c r="J9" s="86"/>
    </row>
    <row r="10" spans="1:10" ht="13.5" x14ac:dyDescent="0.25">
      <c r="A10" s="81">
        <v>20</v>
      </c>
      <c r="B10" t="s">
        <v>47</v>
      </c>
      <c r="C10" s="82">
        <f t="shared" si="1"/>
        <v>20</v>
      </c>
      <c r="D10" s="83" t="s">
        <v>141</v>
      </c>
      <c r="E10" s="83">
        <v>6.8</v>
      </c>
      <c r="F10" s="83">
        <f t="shared" si="2"/>
        <v>136</v>
      </c>
      <c r="G10" s="84">
        <f t="shared" si="0"/>
        <v>8.7649965223587315E-3</v>
      </c>
      <c r="H10" s="85" t="s">
        <v>46</v>
      </c>
      <c r="I10" s="85"/>
      <c r="J10" s="86"/>
    </row>
    <row r="11" spans="1:10" ht="13.5" x14ac:dyDescent="0.25">
      <c r="A11" s="81">
        <v>120</v>
      </c>
      <c r="B11" s="69" t="s">
        <v>65</v>
      </c>
      <c r="C11" s="82">
        <f t="shared" si="1"/>
        <v>120</v>
      </c>
      <c r="D11" s="83" t="s">
        <v>141</v>
      </c>
      <c r="E11" s="83">
        <v>13.01</v>
      </c>
      <c r="F11" s="83">
        <f t="shared" si="2"/>
        <v>1561.2</v>
      </c>
      <c r="G11" s="84">
        <f t="shared" si="0"/>
        <v>0.10061700419637098</v>
      </c>
      <c r="H11" t="s">
        <v>64</v>
      </c>
      <c r="I11" s="85"/>
      <c r="J11" s="86"/>
    </row>
    <row r="12" spans="1:10" ht="13.5" hidden="1" x14ac:dyDescent="0.25">
      <c r="A12" s="81"/>
      <c r="B12" s="69" t="str">
        <f>IFERROR(VLOOKUP(H12,'[1]Consolidado MP Planta'!$A$2:$M$823,3,0),"")</f>
        <v/>
      </c>
      <c r="C12" s="82">
        <f t="shared" si="1"/>
        <v>0</v>
      </c>
      <c r="D12" s="83" t="str">
        <f>IFERROR(VLOOKUP(H12,'[1]Consolidado MP Planta'!$A$2:$M$823,13,0),"")</f>
        <v/>
      </c>
      <c r="E12" s="83" t="str">
        <f>IFERROR(VLOOKUP(H12,'[1]Consolidado MP Planta'!$A$2:$M$823,12,0),"")</f>
        <v/>
      </c>
      <c r="F12" s="83" t="str">
        <f t="shared" si="2"/>
        <v/>
      </c>
      <c r="G12" s="84" t="str">
        <f t="shared" si="0"/>
        <v/>
      </c>
      <c r="H12" s="85"/>
      <c r="I12" s="85"/>
      <c r="J12" s="86"/>
    </row>
    <row r="13" spans="1:10" ht="13.5" hidden="1" x14ac:dyDescent="0.25">
      <c r="A13" s="81"/>
      <c r="B13" s="69" t="str">
        <f>IFERROR(VLOOKUP(H13,'[1]Consolidado MP Planta'!$A$2:$M$823,3,0),"")</f>
        <v/>
      </c>
      <c r="C13" s="82">
        <f t="shared" si="1"/>
        <v>0</v>
      </c>
      <c r="D13" s="83" t="str">
        <f>IFERROR(VLOOKUP(H13,'[1]Consolidado MP Planta'!$A$2:$M$823,13,0),"")</f>
        <v/>
      </c>
      <c r="E13" s="83" t="str">
        <f>IFERROR(VLOOKUP(H13,'[1]Consolidado MP Planta'!$A$2:$M$823,12,0),"")</f>
        <v/>
      </c>
      <c r="F13" s="83" t="str">
        <f t="shared" si="2"/>
        <v/>
      </c>
      <c r="G13" s="84" t="str">
        <f t="shared" si="0"/>
        <v/>
      </c>
      <c r="H13" s="85"/>
      <c r="I13" s="85"/>
      <c r="J13" s="86"/>
    </row>
    <row r="14" spans="1:10" ht="13.5" hidden="1" x14ac:dyDescent="0.25">
      <c r="A14" s="81"/>
      <c r="B14" s="69" t="str">
        <f>IFERROR(VLOOKUP(H14,'[1]Consolidado MP Planta'!$A$2:$M$823,3,0),"")</f>
        <v/>
      </c>
      <c r="C14" s="82">
        <f t="shared" si="1"/>
        <v>0</v>
      </c>
      <c r="D14" s="83" t="str">
        <f>IFERROR(VLOOKUP(H14,'[1]Consolidado MP Planta'!$A$2:$M$823,13,0),"")</f>
        <v/>
      </c>
      <c r="E14" s="83" t="str">
        <f>IFERROR(VLOOKUP(H14,'[1]Consolidado MP Planta'!$A$2:$M$823,12,0),"")</f>
        <v/>
      </c>
      <c r="F14" s="83" t="str">
        <f t="shared" si="2"/>
        <v/>
      </c>
      <c r="G14" s="84" t="str">
        <f t="shared" si="0"/>
        <v/>
      </c>
      <c r="H14" s="85"/>
      <c r="I14" s="85"/>
      <c r="J14" s="86"/>
    </row>
    <row r="15" spans="1:10" ht="14.25" thickBot="1" x14ac:dyDescent="0.3">
      <c r="A15" s="81"/>
      <c r="B15" s="69" t="str">
        <f>IFERROR(VLOOKUP(H15,'[2]ARTICULOS MP PLANTA'!$A$2:$G$589,2,0),"")</f>
        <v/>
      </c>
      <c r="C15" s="82"/>
      <c r="D15" s="83"/>
      <c r="E15" s="83"/>
      <c r="F15" s="83"/>
      <c r="G15" s="84"/>
      <c r="H15" s="85"/>
      <c r="I15" s="85"/>
      <c r="J15" s="86"/>
    </row>
    <row r="16" spans="1:10" ht="26.25" thickBot="1" x14ac:dyDescent="0.25">
      <c r="A16" s="76" t="s">
        <v>96</v>
      </c>
      <c r="B16" s="77" t="s">
        <v>103</v>
      </c>
      <c r="C16" s="77" t="s">
        <v>96</v>
      </c>
      <c r="D16" s="78" t="s">
        <v>98</v>
      </c>
      <c r="E16" s="78" t="s">
        <v>99</v>
      </c>
      <c r="F16" s="78" t="s">
        <v>100</v>
      </c>
      <c r="G16" s="78" t="s">
        <v>101</v>
      </c>
      <c r="H16" s="79" t="s">
        <v>102</v>
      </c>
      <c r="I16" s="80"/>
      <c r="J16" s="86"/>
    </row>
    <row r="17" spans="1:12" ht="13.5" x14ac:dyDescent="0.25">
      <c r="A17" s="81">
        <v>1600</v>
      </c>
      <c r="B17" s="69" t="s">
        <v>63</v>
      </c>
      <c r="C17" s="82">
        <f>+A17</f>
        <v>1600</v>
      </c>
      <c r="D17" s="82" t="s">
        <v>141</v>
      </c>
      <c r="E17" s="83">
        <v>2.2000000000000002</v>
      </c>
      <c r="F17" s="83">
        <f>IFERROR(E17*C17,"")</f>
        <v>3520.0000000000005</v>
      </c>
      <c r="G17" s="84">
        <f t="shared" ref="G17:G24" si="3">IFERROR(F17/$F$66,"")</f>
        <v>0.2268587335198731</v>
      </c>
      <c r="H17" s="85" t="s">
        <v>62</v>
      </c>
      <c r="I17" s="85"/>
      <c r="J17" s="86"/>
    </row>
    <row r="18" spans="1:12" ht="13.5" hidden="1" x14ac:dyDescent="0.25">
      <c r="A18" s="81"/>
      <c r="B18" s="69" t="str">
        <f>IFERROR(VLOOKUP(H18,[1]SEMIELABORADOS!$A$2:$M$6000,2,0),"")</f>
        <v/>
      </c>
      <c r="C18" s="82">
        <f t="shared" ref="C18:C24" si="4">+A18</f>
        <v>0</v>
      </c>
      <c r="D18" s="82" t="str">
        <f>IFERROR(VLOOKUP(H18,[1]SEMIELABORADOS!$A$2:$M$6000,6,0),"")</f>
        <v/>
      </c>
      <c r="E18" s="83" t="str">
        <f>IFERROR(VLOOKUP(H18,[1]SEMIELABORADOS!$A$2:$H$65536,8,0),"")</f>
        <v/>
      </c>
      <c r="F18" s="83" t="str">
        <f t="shared" ref="F18:F24" si="5">IFERROR(E18*C18,"")</f>
        <v/>
      </c>
      <c r="G18" s="84" t="str">
        <f t="shared" si="3"/>
        <v/>
      </c>
      <c r="H18" s="85"/>
      <c r="I18" s="85"/>
      <c r="J18" s="86"/>
    </row>
    <row r="19" spans="1:12" ht="13.5" hidden="1" x14ac:dyDescent="0.25">
      <c r="A19" s="81"/>
      <c r="B19" s="69" t="str">
        <f>IFERROR(VLOOKUP(H19,[1]SEMIELABORADOS!$A$2:$M$6000,2,0),"")</f>
        <v/>
      </c>
      <c r="C19" s="82">
        <f>+A19</f>
        <v>0</v>
      </c>
      <c r="D19" s="82" t="str">
        <f>IFERROR(VLOOKUP(H19,[1]SEMIELABORADOS!$A$2:$M$6000,6,0),"")</f>
        <v/>
      </c>
      <c r="E19" s="83" t="str">
        <f>IFERROR(VLOOKUP(H19,[1]SEMIELABORADOS!$A$2:$H$65536,8,0),"")</f>
        <v/>
      </c>
      <c r="F19" s="83" t="str">
        <f>IFERROR(E19*C19,"")</f>
        <v/>
      </c>
      <c r="G19" s="84" t="str">
        <f t="shared" si="3"/>
        <v/>
      </c>
      <c r="H19" s="85"/>
      <c r="I19" s="85"/>
      <c r="J19" s="86"/>
    </row>
    <row r="20" spans="1:12" ht="13.5" hidden="1" x14ac:dyDescent="0.25">
      <c r="A20" s="81"/>
      <c r="B20" s="69" t="str">
        <f>IFERROR(VLOOKUP(H20,[1]SEMIELABORADOS!$A$2:$M$6000,2,0),"")</f>
        <v/>
      </c>
      <c r="C20" s="82">
        <f>+A20</f>
        <v>0</v>
      </c>
      <c r="D20" s="82" t="str">
        <f>IFERROR(VLOOKUP(H20,[1]SEMIELABORADOS!$A$2:$M$6000,6,0),"")</f>
        <v/>
      </c>
      <c r="E20" s="83" t="str">
        <f>IFERROR(VLOOKUP(H20,[1]SEMIELABORADOS!$A$2:$H$65536,8,0),"")</f>
        <v/>
      </c>
      <c r="F20" s="83" t="str">
        <f>IFERROR(E20*C20,"")</f>
        <v/>
      </c>
      <c r="G20" s="84" t="str">
        <f t="shared" si="3"/>
        <v/>
      </c>
      <c r="H20" s="85"/>
      <c r="I20" s="85"/>
      <c r="J20" s="86"/>
    </row>
    <row r="21" spans="1:12" ht="13.5" hidden="1" x14ac:dyDescent="0.25">
      <c r="A21" s="81"/>
      <c r="B21" s="69" t="str">
        <f>IFERROR(VLOOKUP(H21,[1]SEMIELABORADOS!$A$2:$M$6000,2,0),"")</f>
        <v/>
      </c>
      <c r="C21" s="82">
        <f>+A21</f>
        <v>0</v>
      </c>
      <c r="D21" s="82" t="str">
        <f>IFERROR(VLOOKUP(H21,[1]SEMIELABORADOS!$A$2:$M$6000,6,0),"")</f>
        <v/>
      </c>
      <c r="E21" s="83" t="str">
        <f>IFERROR(VLOOKUP(H21,[1]SEMIELABORADOS!$A$2:$H$65536,8,0),"")</f>
        <v/>
      </c>
      <c r="F21" s="83" t="str">
        <f>IFERROR(E21*C21,"")</f>
        <v/>
      </c>
      <c r="G21" s="84" t="str">
        <f t="shared" si="3"/>
        <v/>
      </c>
      <c r="H21" s="85"/>
      <c r="I21" s="85"/>
      <c r="J21" s="86"/>
    </row>
    <row r="22" spans="1:12" ht="13.5" hidden="1" x14ac:dyDescent="0.25">
      <c r="A22" s="81"/>
      <c r="B22" s="69" t="str">
        <f>IFERROR(VLOOKUP(H22,[1]SEMIELABORADOS!$A$2:$M$6000,2,0),"")</f>
        <v/>
      </c>
      <c r="C22" s="82">
        <f t="shared" si="4"/>
        <v>0</v>
      </c>
      <c r="D22" s="82" t="str">
        <f>IFERROR(VLOOKUP(H22,[1]SEMIELABORADOS!$A$2:$M$6000,6,0),"")</f>
        <v/>
      </c>
      <c r="E22" s="83" t="str">
        <f>IFERROR(VLOOKUP(H22,[1]SEMIELABORADOS!$A$2:$H$65536,8,0),"")</f>
        <v/>
      </c>
      <c r="F22" s="83" t="str">
        <f t="shared" si="5"/>
        <v/>
      </c>
      <c r="G22" s="84" t="str">
        <f t="shared" si="3"/>
        <v/>
      </c>
      <c r="H22" s="85"/>
      <c r="I22" s="85"/>
      <c r="J22" s="86"/>
    </row>
    <row r="23" spans="1:12" ht="13.5" hidden="1" x14ac:dyDescent="0.25">
      <c r="A23" s="81"/>
      <c r="B23" s="69" t="str">
        <f>IFERROR(VLOOKUP(H23,[1]SEMIELABORADOS!$A$2:$M$6000,2,0),"")</f>
        <v/>
      </c>
      <c r="C23" s="82">
        <f t="shared" si="4"/>
        <v>0</v>
      </c>
      <c r="D23" s="82" t="str">
        <f>IFERROR(VLOOKUP(H23,[1]SEMIELABORADOS!$A$2:$M$6000,6,0),"")</f>
        <v/>
      </c>
      <c r="E23" s="83" t="str">
        <f>IFERROR(VLOOKUP(H23,[1]SEMIELABORADOS!$A$2:$H$65536,8,0),"")</f>
        <v/>
      </c>
      <c r="F23" s="83" t="str">
        <f t="shared" si="5"/>
        <v/>
      </c>
      <c r="G23" s="84" t="str">
        <f t="shared" si="3"/>
        <v/>
      </c>
      <c r="H23" s="85"/>
      <c r="I23" s="85"/>
      <c r="J23" s="86"/>
    </row>
    <row r="24" spans="1:12" ht="13.5" hidden="1" x14ac:dyDescent="0.25">
      <c r="A24" s="81"/>
      <c r="B24" s="69" t="str">
        <f>IFERROR(VLOOKUP(H24,[1]SEMIELABORADOS!$A$2:$M$6000,2,0),"")</f>
        <v/>
      </c>
      <c r="C24" s="82">
        <f t="shared" si="4"/>
        <v>0</v>
      </c>
      <c r="D24" s="82" t="str">
        <f>IFERROR(VLOOKUP(H24,[1]SEMIELABORADOS!$A$2:$M$6000,6,0),"")</f>
        <v/>
      </c>
      <c r="E24" s="83" t="str">
        <f>IFERROR(VLOOKUP(H24,[1]SEMIELABORADOS!$A$2:$H$65536,8,0),"")</f>
        <v/>
      </c>
      <c r="F24" s="83" t="str">
        <f t="shared" si="5"/>
        <v/>
      </c>
      <c r="G24" s="84" t="str">
        <f t="shared" si="3"/>
        <v/>
      </c>
      <c r="H24" s="85"/>
      <c r="I24" s="85"/>
      <c r="J24" s="86"/>
    </row>
    <row r="25" spans="1:12" ht="14.25" thickBot="1" x14ac:dyDescent="0.3">
      <c r="A25" s="81"/>
      <c r="C25" s="82"/>
      <c r="D25" s="82"/>
      <c r="E25" s="83"/>
      <c r="F25" s="83"/>
      <c r="G25" s="84"/>
      <c r="H25" s="85"/>
      <c r="I25" s="85"/>
      <c r="J25" s="86"/>
    </row>
    <row r="26" spans="1:12" ht="26.25" hidden="1" thickBot="1" x14ac:dyDescent="0.25">
      <c r="A26" s="76" t="s">
        <v>96</v>
      </c>
      <c r="B26" s="77" t="s">
        <v>74</v>
      </c>
      <c r="C26" s="77" t="s">
        <v>96</v>
      </c>
      <c r="D26" s="78" t="s">
        <v>98</v>
      </c>
      <c r="E26" s="78" t="s">
        <v>99</v>
      </c>
      <c r="F26" s="78" t="s">
        <v>100</v>
      </c>
      <c r="G26" s="78" t="s">
        <v>101</v>
      </c>
      <c r="H26" s="79" t="s">
        <v>102</v>
      </c>
      <c r="I26" s="80"/>
    </row>
    <row r="27" spans="1:12" ht="13.5" hidden="1" x14ac:dyDescent="0.25">
      <c r="A27" s="81">
        <v>0</v>
      </c>
      <c r="B27" s="87" t="str">
        <f>IFERROR(VLOOKUP(H27,'[1]Consolidado MP Planta'!$A$2:$M$823,3,0),"")</f>
        <v/>
      </c>
      <c r="C27" s="82">
        <f t="shared" ref="C27:C32" si="6">+A27</f>
        <v>0</v>
      </c>
      <c r="D27" s="83" t="str">
        <f>IFERROR(VLOOKUP(H27,'[1]Consolidado MP Planta'!$A$2:$M$823,13,0),"")</f>
        <v/>
      </c>
      <c r="E27" s="83" t="str">
        <f>IFERROR(VLOOKUP(H27,'[1]Consolidado MP Planta'!$A$2:$M$823,12,0),"")</f>
        <v/>
      </c>
      <c r="F27" s="83" t="str">
        <f t="shared" ref="F27:F32" si="7">IFERROR(C27*E27,"")</f>
        <v/>
      </c>
      <c r="G27" s="84" t="str">
        <f t="shared" ref="G27:G32" si="8">IFERROR(F27/$F$66,"")</f>
        <v/>
      </c>
      <c r="H27" s="88"/>
      <c r="I27" s="88"/>
      <c r="J27" s="86"/>
      <c r="K27" s="436"/>
      <c r="L27" s="436"/>
    </row>
    <row r="28" spans="1:12" ht="13.5" hidden="1" x14ac:dyDescent="0.25">
      <c r="A28" s="81"/>
      <c r="B28" s="87" t="str">
        <f>IFERROR(VLOOKUP(H28,'[1]Consolidado MP Planta'!$A$2:$M$823,3,0),"")</f>
        <v/>
      </c>
      <c r="C28" s="82">
        <f t="shared" si="6"/>
        <v>0</v>
      </c>
      <c r="D28" s="83" t="str">
        <f>IFERROR(VLOOKUP(H28,'[1]Consolidado MP Planta'!$A$2:$M$823,13,0),"")</f>
        <v/>
      </c>
      <c r="E28" s="83" t="str">
        <f>IFERROR(VLOOKUP(H28,'[1]Consolidado MP Planta'!$A$2:$M$823,12,0),"")</f>
        <v/>
      </c>
      <c r="F28" s="83" t="str">
        <f t="shared" si="7"/>
        <v/>
      </c>
      <c r="G28" s="84" t="str">
        <f t="shared" si="8"/>
        <v/>
      </c>
      <c r="H28" s="88"/>
      <c r="I28" s="88"/>
      <c r="J28" s="86"/>
      <c r="K28" s="436"/>
      <c r="L28" s="436"/>
    </row>
    <row r="29" spans="1:12" ht="13.5" hidden="1" x14ac:dyDescent="0.25">
      <c r="A29" s="81"/>
      <c r="B29" s="87" t="str">
        <f>IFERROR(VLOOKUP(H29,'[1]Consolidado MP Planta'!$A$2:$M$823,3,0),"")</f>
        <v/>
      </c>
      <c r="C29" s="82">
        <f t="shared" si="6"/>
        <v>0</v>
      </c>
      <c r="D29" s="83" t="str">
        <f>IFERROR(VLOOKUP(H29,'[1]Consolidado MP Planta'!$A$2:$M$823,13,0),"")</f>
        <v/>
      </c>
      <c r="E29" s="83" t="str">
        <f>IFERROR(VLOOKUP(H29,'[1]Consolidado MP Planta'!$A$2:$M$823,12,0),"")</f>
        <v/>
      </c>
      <c r="F29" s="83" t="str">
        <f t="shared" si="7"/>
        <v/>
      </c>
      <c r="G29" s="84" t="str">
        <f t="shared" si="8"/>
        <v/>
      </c>
      <c r="H29" s="88"/>
      <c r="I29" s="88"/>
      <c r="J29" s="86"/>
      <c r="K29" s="436"/>
      <c r="L29" s="436"/>
    </row>
    <row r="30" spans="1:12" ht="13.5" hidden="1" x14ac:dyDescent="0.25">
      <c r="A30" s="81"/>
      <c r="B30" s="87" t="str">
        <f>IFERROR(VLOOKUP(H30,'[1]Consolidado MP Planta'!$A$2:$M$823,3,0),"")</f>
        <v/>
      </c>
      <c r="C30" s="82">
        <f t="shared" si="6"/>
        <v>0</v>
      </c>
      <c r="D30" s="83" t="str">
        <f>IFERROR(VLOOKUP(H30,'[1]Consolidado MP Planta'!$A$2:$M$823,13,0),"")</f>
        <v/>
      </c>
      <c r="E30" s="83" t="str">
        <f>IFERROR(VLOOKUP(H30,'[1]Consolidado MP Planta'!$A$2:$M$823,12,0),"")</f>
        <v/>
      </c>
      <c r="F30" s="83" t="str">
        <f t="shared" si="7"/>
        <v/>
      </c>
      <c r="G30" s="84" t="str">
        <f t="shared" si="8"/>
        <v/>
      </c>
      <c r="H30" s="88"/>
      <c r="I30" s="88"/>
      <c r="J30" s="86"/>
      <c r="K30" s="436"/>
      <c r="L30" s="436"/>
    </row>
    <row r="31" spans="1:12" ht="13.5" hidden="1" x14ac:dyDescent="0.25">
      <c r="A31" s="81"/>
      <c r="B31" s="87" t="str">
        <f>IFERROR(VLOOKUP(H31,'[1]Consolidado MP Planta'!$A$2:$M$823,3,0),"")</f>
        <v/>
      </c>
      <c r="C31" s="82">
        <f t="shared" si="6"/>
        <v>0</v>
      </c>
      <c r="D31" s="83" t="str">
        <f>IFERROR(VLOOKUP(H31,'[1]Consolidado MP Planta'!$A$2:$M$823,13,0),"")</f>
        <v/>
      </c>
      <c r="E31" s="83" t="str">
        <f>IFERROR(VLOOKUP(H31,'[1]Consolidado MP Planta'!$A$2:$M$823,12,0),"")</f>
        <v/>
      </c>
      <c r="F31" s="83" t="str">
        <f t="shared" si="7"/>
        <v/>
      </c>
      <c r="G31" s="84" t="str">
        <f t="shared" si="8"/>
        <v/>
      </c>
      <c r="H31" s="88"/>
      <c r="I31" s="88"/>
      <c r="J31" s="86"/>
      <c r="K31" s="89"/>
      <c r="L31" s="90"/>
    </row>
    <row r="32" spans="1:12" ht="13.5" hidden="1" x14ac:dyDescent="0.25">
      <c r="A32" s="81"/>
      <c r="B32" s="87" t="str">
        <f>IFERROR(VLOOKUP(H32,'[1]Consolidado MP Planta'!$A$2:$M$823,3,0),"")</f>
        <v/>
      </c>
      <c r="C32" s="82">
        <f t="shared" si="6"/>
        <v>0</v>
      </c>
      <c r="D32" s="83" t="str">
        <f>IFERROR(VLOOKUP(H32,'[1]Consolidado MP Planta'!$A$2:$M$823,13,0),"")</f>
        <v/>
      </c>
      <c r="E32" s="83" t="str">
        <f>IFERROR(VLOOKUP(H32,'[1]Consolidado MP Planta'!$A$2:$M$823,12,0),"")</f>
        <v/>
      </c>
      <c r="F32" s="83" t="str">
        <f t="shared" si="7"/>
        <v/>
      </c>
      <c r="G32" s="84" t="str">
        <f t="shared" si="8"/>
        <v/>
      </c>
      <c r="H32" s="88"/>
      <c r="I32" s="88"/>
      <c r="J32" s="86"/>
    </row>
    <row r="33" spans="1:13" ht="14.25" hidden="1" thickBot="1" x14ac:dyDescent="0.3">
      <c r="A33" s="81"/>
      <c r="B33" s="87"/>
      <c r="C33" s="82"/>
      <c r="D33" s="83"/>
      <c r="E33" s="83"/>
      <c r="F33" s="83"/>
      <c r="G33" s="84"/>
      <c r="H33" s="88"/>
      <c r="I33" s="88"/>
      <c r="J33" s="86"/>
    </row>
    <row r="34" spans="1:13" ht="26.25" thickBot="1" x14ac:dyDescent="0.25">
      <c r="A34" s="76" t="s">
        <v>96</v>
      </c>
      <c r="B34" s="77" t="s">
        <v>104</v>
      </c>
      <c r="C34" s="77" t="s">
        <v>96</v>
      </c>
      <c r="D34" s="78" t="s">
        <v>98</v>
      </c>
      <c r="E34" s="78" t="s">
        <v>99</v>
      </c>
      <c r="F34" s="78" t="s">
        <v>100</v>
      </c>
      <c r="G34" s="78" t="s">
        <v>101</v>
      </c>
      <c r="H34" s="79" t="s">
        <v>102</v>
      </c>
      <c r="I34" s="88"/>
      <c r="J34" s="86"/>
    </row>
    <row r="35" spans="1:13" ht="13.5" x14ac:dyDescent="0.25">
      <c r="A35" s="81">
        <f>+A17</f>
        <v>1600</v>
      </c>
      <c r="B35" s="69" t="s">
        <v>63</v>
      </c>
      <c r="C35" s="82">
        <f>+A35</f>
        <v>1600</v>
      </c>
      <c r="D35" s="83" t="s">
        <v>141</v>
      </c>
      <c r="E35" s="83">
        <v>0.02</v>
      </c>
      <c r="F35" s="83">
        <f>IFERROR(E35*C35,"")</f>
        <v>32</v>
      </c>
      <c r="G35" s="84">
        <f t="shared" ref="G35:G41" si="9">IFERROR(F35/$F$66,"")</f>
        <v>2.0623521229079368E-3</v>
      </c>
      <c r="H35" s="88" t="s">
        <v>62</v>
      </c>
      <c r="I35" s="88"/>
      <c r="J35" s="86"/>
    </row>
    <row r="36" spans="1:13" ht="13.5" hidden="1" x14ac:dyDescent="0.25">
      <c r="A36" s="81">
        <f t="shared" ref="A36:A41" si="10">+A18</f>
        <v>0</v>
      </c>
      <c r="B36" s="87" t="str">
        <f>IFERROR(VLOOKUP(H36,[1]SEMIELABORADOS!$A$2:$M$6000,2,0),"")</f>
        <v/>
      </c>
      <c r="C36" s="82">
        <f t="shared" ref="C36:C41" si="11">+A36</f>
        <v>0</v>
      </c>
      <c r="D36" s="83" t="str">
        <f>IFERROR(VLOOKUP(H36,[1]SEMIELABORADOS!$A$2:$M$6000,6,0),"")</f>
        <v/>
      </c>
      <c r="E36" s="83" t="str">
        <f>IFERROR(VLOOKUP(H36,[1]SEMIELABORADOS!$A$2:$M$65536,10,0),"")</f>
        <v/>
      </c>
      <c r="F36" s="83" t="str">
        <f t="shared" ref="F36:F41" si="12">IFERROR(E36*C36,"")</f>
        <v/>
      </c>
      <c r="G36" s="84" t="str">
        <f t="shared" si="9"/>
        <v/>
      </c>
      <c r="H36" s="88"/>
      <c r="I36" s="88"/>
      <c r="J36" s="86"/>
    </row>
    <row r="37" spans="1:13" ht="13.5" hidden="1" x14ac:dyDescent="0.25">
      <c r="A37" s="81">
        <f t="shared" si="10"/>
        <v>0</v>
      </c>
      <c r="B37" s="87" t="str">
        <f>IFERROR(VLOOKUP(H37,[1]SEMIELABORADOS!$A$2:$M$6000,2,0),"")</f>
        <v/>
      </c>
      <c r="C37" s="82">
        <f t="shared" si="11"/>
        <v>0</v>
      </c>
      <c r="D37" s="83" t="str">
        <f>IFERROR(VLOOKUP(H37,[1]SEMIELABORADOS!$A$2:$M$6000,6,0),"")</f>
        <v/>
      </c>
      <c r="E37" s="83" t="str">
        <f>IFERROR(VLOOKUP(H37,[1]SEMIELABORADOS!$A$2:$M$65536,10,0),"")</f>
        <v/>
      </c>
      <c r="F37" s="83" t="str">
        <f t="shared" si="12"/>
        <v/>
      </c>
      <c r="G37" s="84" t="str">
        <f t="shared" si="9"/>
        <v/>
      </c>
      <c r="H37" s="88"/>
      <c r="I37" s="88"/>
      <c r="J37" s="86"/>
    </row>
    <row r="38" spans="1:13" ht="13.5" hidden="1" x14ac:dyDescent="0.25">
      <c r="A38" s="81">
        <f t="shared" si="10"/>
        <v>0</v>
      </c>
      <c r="B38" s="87" t="str">
        <f>IFERROR(VLOOKUP(H38,[1]SEMIELABORADOS!$A$2:$M$6000,2,0),"")</f>
        <v/>
      </c>
      <c r="C38" s="82">
        <f>+A38</f>
        <v>0</v>
      </c>
      <c r="D38" s="83" t="str">
        <f>IFERROR(VLOOKUP(H38,[1]SEMIELABORADOS!$A$2:$M$6000,6,0),"")</f>
        <v/>
      </c>
      <c r="E38" s="83" t="str">
        <f>IFERROR(VLOOKUP(H38,[1]SEMIELABORADOS!$A$2:$M$65536,10,0),"")</f>
        <v/>
      </c>
      <c r="F38" s="83" t="str">
        <f>IFERROR(E38*C38,"")</f>
        <v/>
      </c>
      <c r="G38" s="84" t="str">
        <f t="shared" si="9"/>
        <v/>
      </c>
      <c r="H38" s="88"/>
      <c r="I38" s="88"/>
      <c r="J38" s="86"/>
    </row>
    <row r="39" spans="1:13" ht="13.5" hidden="1" x14ac:dyDescent="0.25">
      <c r="A39" s="81">
        <f t="shared" si="10"/>
        <v>0</v>
      </c>
      <c r="B39" s="87" t="str">
        <f>IFERROR(VLOOKUP(H39,[1]SEMIELABORADOS!$A$2:$M$6000,2,0),"")</f>
        <v/>
      </c>
      <c r="C39" s="82">
        <f>+A39</f>
        <v>0</v>
      </c>
      <c r="D39" s="83" t="str">
        <f>IFERROR(VLOOKUP(H39,[1]SEMIELABORADOS!$A$2:$M$6000,6,0),"")</f>
        <v/>
      </c>
      <c r="E39" s="83" t="str">
        <f>IFERROR(VLOOKUP(H39,[1]SEMIELABORADOS!$A$2:$M$65536,10,0),"")</f>
        <v/>
      </c>
      <c r="F39" s="83" t="str">
        <f>IFERROR(E39*C39,"")</f>
        <v/>
      </c>
      <c r="G39" s="84" t="str">
        <f t="shared" si="9"/>
        <v/>
      </c>
      <c r="H39" s="88"/>
      <c r="I39" s="88"/>
      <c r="J39" s="86"/>
    </row>
    <row r="40" spans="1:13" ht="13.5" hidden="1" x14ac:dyDescent="0.25">
      <c r="A40" s="81">
        <f t="shared" si="10"/>
        <v>0</v>
      </c>
      <c r="B40" s="87" t="str">
        <f>IFERROR(VLOOKUP(H40,[1]SEMIELABORADOS!$A$2:$M$6000,2,0),"")</f>
        <v/>
      </c>
      <c r="C40" s="82">
        <f t="shared" si="11"/>
        <v>0</v>
      </c>
      <c r="D40" s="83" t="str">
        <f>IFERROR(VLOOKUP(H40,[1]SEMIELABORADOS!$A$2:$M$6000,6,0),"")</f>
        <v/>
      </c>
      <c r="E40" s="83" t="str">
        <f>IFERROR(VLOOKUP(H40,[1]SEMIELABORADOS!$A$2:$M$65536,10,0),"")</f>
        <v/>
      </c>
      <c r="F40" s="83" t="str">
        <f t="shared" si="12"/>
        <v/>
      </c>
      <c r="G40" s="84" t="str">
        <f t="shared" si="9"/>
        <v/>
      </c>
      <c r="H40" s="88"/>
      <c r="I40" s="88"/>
      <c r="J40" s="86"/>
    </row>
    <row r="41" spans="1:13" ht="13.5" hidden="1" x14ac:dyDescent="0.25">
      <c r="A41" s="81">
        <f t="shared" si="10"/>
        <v>0</v>
      </c>
      <c r="B41" s="87" t="str">
        <f>IFERROR(VLOOKUP(H41,[1]SEMIELABORADOS!$A$2:$M$6000,2,0),"")</f>
        <v/>
      </c>
      <c r="C41" s="82">
        <f t="shared" si="11"/>
        <v>0</v>
      </c>
      <c r="D41" s="83" t="str">
        <f>IFERROR(VLOOKUP(H41,[1]SEMIELABORADOS!$A$2:$M$6000,6,0),"")</f>
        <v/>
      </c>
      <c r="E41" s="83" t="str">
        <f>IFERROR(VLOOKUP(H41,[1]SEMIELABORADOS!$A$2:$M$65536,10,0),"")</f>
        <v/>
      </c>
      <c r="F41" s="83" t="str">
        <f t="shared" si="12"/>
        <v/>
      </c>
      <c r="G41" s="84" t="str">
        <f t="shared" si="9"/>
        <v/>
      </c>
      <c r="H41" s="88"/>
      <c r="I41" s="88"/>
      <c r="J41" s="86"/>
    </row>
    <row r="42" spans="1:13" ht="14.25" thickBot="1" x14ac:dyDescent="0.3">
      <c r="A42" s="81"/>
      <c r="B42" s="87"/>
      <c r="C42" s="82"/>
      <c r="D42" s="83"/>
      <c r="E42" s="83"/>
      <c r="F42" s="83"/>
      <c r="G42" s="84"/>
      <c r="H42" s="88"/>
      <c r="I42" s="88"/>
      <c r="J42" s="86"/>
    </row>
    <row r="43" spans="1:13" ht="26.25" thickBot="1" x14ac:dyDescent="0.25">
      <c r="A43" s="76" t="s">
        <v>96</v>
      </c>
      <c r="B43" s="77" t="s">
        <v>105</v>
      </c>
      <c r="C43" s="77" t="s">
        <v>96</v>
      </c>
      <c r="D43" s="78" t="s">
        <v>98</v>
      </c>
      <c r="E43" s="78" t="s">
        <v>99</v>
      </c>
      <c r="F43" s="78" t="s">
        <v>100</v>
      </c>
      <c r="G43" s="78" t="s">
        <v>101</v>
      </c>
      <c r="H43" s="79" t="s">
        <v>102</v>
      </c>
      <c r="I43" s="80"/>
      <c r="J43" s="86"/>
    </row>
    <row r="44" spans="1:13" ht="13.5" x14ac:dyDescent="0.25">
      <c r="A44" s="81">
        <f>+A35</f>
        <v>1600</v>
      </c>
      <c r="B44" s="69" t="s">
        <v>63</v>
      </c>
      <c r="C44" s="82">
        <f>+A44</f>
        <v>1600</v>
      </c>
      <c r="D44" s="83" t="s">
        <v>141</v>
      </c>
      <c r="E44" s="83">
        <v>0.55000000000000004</v>
      </c>
      <c r="F44" s="83">
        <f>IFERROR(E44*C44,"")</f>
        <v>880.00000000000011</v>
      </c>
      <c r="G44" s="84">
        <f>IFERROR(F44/$F$66,"")</f>
        <v>5.6714683379968274E-2</v>
      </c>
      <c r="H44" s="88" t="s">
        <v>62</v>
      </c>
      <c r="I44" s="80"/>
      <c r="J44" s="86"/>
    </row>
    <row r="45" spans="1:13" ht="13.5" hidden="1" x14ac:dyDescent="0.25">
      <c r="A45" s="81">
        <f t="shared" ref="A45:A50" si="13">+A36</f>
        <v>0</v>
      </c>
      <c r="B45" s="87" t="str">
        <f>IFERROR(VLOOKUP(H45,[1]SEMIELABORADOS!$A$2:$M$6000,2,0),"")</f>
        <v/>
      </c>
      <c r="C45" s="82">
        <f t="shared" ref="C45:C50" si="14">+A45</f>
        <v>0</v>
      </c>
      <c r="D45" s="83" t="str">
        <f>IFERROR(VLOOKUP(H45,[1]SEMIELABORADOS!$A$2:$M$6000,6,0),"")</f>
        <v/>
      </c>
      <c r="E45" s="83" t="str">
        <f>IFERROR(VLOOKUP(H45,[1]SEMIELABORADOS!$A$2:$M$65536,12,0),"")</f>
        <v/>
      </c>
      <c r="F45" s="83" t="str">
        <f t="shared" ref="F45:F50" si="15">IFERROR(E45*C45,"")</f>
        <v/>
      </c>
      <c r="G45" s="84" t="str">
        <f t="shared" ref="G45:G50" si="16">IFERROR(F45/$F$66,"")</f>
        <v/>
      </c>
      <c r="H45" s="88"/>
      <c r="I45" s="80"/>
      <c r="J45" s="86"/>
      <c r="M45" s="91"/>
    </row>
    <row r="46" spans="1:13" ht="13.5" hidden="1" x14ac:dyDescent="0.25">
      <c r="A46" s="81">
        <f t="shared" si="13"/>
        <v>0</v>
      </c>
      <c r="B46" s="87" t="str">
        <f>IFERROR(VLOOKUP(H46,[1]SEMIELABORADOS!$A$2:$M$6000,2,0),"")</f>
        <v/>
      </c>
      <c r="C46" s="82">
        <f t="shared" si="14"/>
        <v>0</v>
      </c>
      <c r="D46" s="83" t="str">
        <f>IFERROR(VLOOKUP(H46,[1]SEMIELABORADOS!$A$2:$M$6000,6,0),"")</f>
        <v/>
      </c>
      <c r="E46" s="83" t="str">
        <f>IFERROR(VLOOKUP(H46,[1]SEMIELABORADOS!$A$2:$M$65536,12,0),"")</f>
        <v/>
      </c>
      <c r="F46" s="83" t="str">
        <f t="shared" si="15"/>
        <v/>
      </c>
      <c r="G46" s="84" t="str">
        <f t="shared" si="16"/>
        <v/>
      </c>
      <c r="H46" s="88"/>
      <c r="I46" s="80"/>
      <c r="J46" s="86"/>
    </row>
    <row r="47" spans="1:13" ht="13.5" hidden="1" x14ac:dyDescent="0.25">
      <c r="A47" s="81">
        <f t="shared" si="13"/>
        <v>0</v>
      </c>
      <c r="B47" s="87" t="str">
        <f>IFERROR(VLOOKUP(H47,[1]SEMIELABORADOS!$A$2:$M$6000,2,0),"")</f>
        <v/>
      </c>
      <c r="C47" s="82">
        <f t="shared" si="14"/>
        <v>0</v>
      </c>
      <c r="D47" s="83" t="str">
        <f>IFERROR(VLOOKUP(H47,[1]SEMIELABORADOS!$A$2:$M$6000,6,0),"")</f>
        <v/>
      </c>
      <c r="E47" s="83" t="str">
        <f>IFERROR(VLOOKUP(H47,[1]SEMIELABORADOS!$A$2:$M$65536,12,0),"")</f>
        <v/>
      </c>
      <c r="F47" s="83" t="str">
        <f t="shared" si="15"/>
        <v/>
      </c>
      <c r="G47" s="84" t="str">
        <f t="shared" si="16"/>
        <v/>
      </c>
      <c r="H47" s="88"/>
      <c r="I47" s="80"/>
      <c r="J47" s="86"/>
    </row>
    <row r="48" spans="1:13" ht="13.5" hidden="1" x14ac:dyDescent="0.25">
      <c r="A48" s="81">
        <f t="shared" si="13"/>
        <v>0</v>
      </c>
      <c r="B48" s="87" t="str">
        <f>IFERROR(VLOOKUP(H48,[1]SEMIELABORADOS!$A$2:$M$6000,2,0),"")</f>
        <v/>
      </c>
      <c r="C48" s="82">
        <f t="shared" si="14"/>
        <v>0</v>
      </c>
      <c r="D48" s="83" t="str">
        <f>IFERROR(VLOOKUP(H48,[1]SEMIELABORADOS!$A$2:$M$6000,6,0),"")</f>
        <v/>
      </c>
      <c r="E48" s="83" t="str">
        <f>IFERROR(VLOOKUP(H48,[1]SEMIELABORADOS!$A$2:$M$65536,12,0),"")</f>
        <v/>
      </c>
      <c r="F48" s="83" t="str">
        <f t="shared" si="15"/>
        <v/>
      </c>
      <c r="G48" s="84" t="str">
        <f t="shared" si="16"/>
        <v/>
      </c>
      <c r="H48" s="88"/>
      <c r="I48" s="80"/>
      <c r="J48" s="86"/>
    </row>
    <row r="49" spans="1:17" ht="13.5" hidden="1" x14ac:dyDescent="0.25">
      <c r="A49" s="81">
        <f t="shared" si="13"/>
        <v>0</v>
      </c>
      <c r="B49" s="87" t="str">
        <f>IFERROR(VLOOKUP(H49,[1]SEMIELABORADOS!$A$2:$M$6000,2,0),"")</f>
        <v/>
      </c>
      <c r="C49" s="82">
        <f t="shared" si="14"/>
        <v>0</v>
      </c>
      <c r="D49" s="83" t="str">
        <f>IFERROR(VLOOKUP(H49,[1]SEMIELABORADOS!$A$2:$M$6000,6,0),"")</f>
        <v/>
      </c>
      <c r="E49" s="83" t="str">
        <f>IFERROR(VLOOKUP(H49,[1]SEMIELABORADOS!$A$2:$M$65536,12,0),"")</f>
        <v/>
      </c>
      <c r="F49" s="83" t="str">
        <f t="shared" si="15"/>
        <v/>
      </c>
      <c r="G49" s="84" t="str">
        <f t="shared" si="16"/>
        <v/>
      </c>
      <c r="H49" s="88"/>
      <c r="I49" s="80"/>
      <c r="J49" s="86"/>
    </row>
    <row r="50" spans="1:17" ht="13.5" hidden="1" x14ac:dyDescent="0.25">
      <c r="A50" s="81">
        <f t="shared" si="13"/>
        <v>0</v>
      </c>
      <c r="B50" s="87" t="str">
        <f>IFERROR(VLOOKUP(H50,[1]SEMIELABORADOS!$A$2:$M$6000,2,0),"")</f>
        <v/>
      </c>
      <c r="C50" s="82">
        <f t="shared" si="14"/>
        <v>0</v>
      </c>
      <c r="D50" s="83" t="str">
        <f>IFERROR(VLOOKUP(H50,[1]SEMIELABORADOS!$A$2:$M$6000,6,0),"")</f>
        <v/>
      </c>
      <c r="E50" s="83" t="str">
        <f>IFERROR(VLOOKUP(H50,[1]SEMIELABORADOS!$A$2:$M$65536,12,0),"")</f>
        <v/>
      </c>
      <c r="F50" s="83" t="str">
        <f t="shared" si="15"/>
        <v/>
      </c>
      <c r="G50" s="84" t="str">
        <f t="shared" si="16"/>
        <v/>
      </c>
      <c r="H50" s="87"/>
      <c r="I50" s="80"/>
      <c r="J50" s="86"/>
    </row>
    <row r="51" spans="1:17" ht="13.5" x14ac:dyDescent="0.25">
      <c r="A51" s="81">
        <v>1</v>
      </c>
      <c r="B51" s="87" t="s">
        <v>106</v>
      </c>
      <c r="C51" s="82">
        <f>+A51</f>
        <v>1</v>
      </c>
      <c r="D51" s="82" t="s">
        <v>107</v>
      </c>
      <c r="E51" s="83">
        <f>+F65</f>
        <v>385</v>
      </c>
      <c r="F51" s="83">
        <f>IFERROR(C51*E51,"")</f>
        <v>385</v>
      </c>
      <c r="G51" s="84">
        <f>IFERROR(F51/$F$66,"")</f>
        <v>2.4812673978736117E-2</v>
      </c>
      <c r="H51" s="92"/>
      <c r="I51" s="92"/>
      <c r="J51" s="86"/>
    </row>
    <row r="52" spans="1:17" ht="14.25" thickBot="1" x14ac:dyDescent="0.3">
      <c r="A52" s="81"/>
      <c r="B52" s="87"/>
      <c r="C52" s="82"/>
      <c r="D52" s="82"/>
      <c r="E52" s="83"/>
      <c r="F52" s="83"/>
      <c r="G52" s="84"/>
      <c r="H52" s="92"/>
      <c r="I52" s="92"/>
      <c r="J52" s="86"/>
    </row>
    <row r="53" spans="1:17" ht="13.5" thickBot="1" x14ac:dyDescent="0.25">
      <c r="A53" s="93"/>
      <c r="B53" s="446" t="s">
        <v>108</v>
      </c>
      <c r="C53" s="446"/>
      <c r="D53" s="446"/>
      <c r="E53" s="446"/>
      <c r="F53" s="95">
        <f>SUM(F8:F14,F17:F24)</f>
        <v>14803.2</v>
      </c>
      <c r="G53" s="84">
        <f>+F53/$F$66</f>
        <v>0.95404409205721175</v>
      </c>
      <c r="H53" s="96">
        <f>+F53/$D$60</f>
        <v>14803.2</v>
      </c>
      <c r="I53" s="96"/>
      <c r="J53" s="97"/>
      <c r="K53" s="98"/>
      <c r="L53" s="98"/>
      <c r="M53" s="98"/>
      <c r="N53" s="98"/>
      <c r="O53" s="98"/>
      <c r="P53" s="98"/>
      <c r="Q53" s="99"/>
    </row>
    <row r="54" spans="1:17" x14ac:dyDescent="0.2">
      <c r="A54" s="93"/>
      <c r="B54" s="446" t="s">
        <v>109</v>
      </c>
      <c r="C54" s="446"/>
      <c r="D54" s="446"/>
      <c r="E54" s="446"/>
      <c r="F54" s="95">
        <f>SUM(F27:F32,F35:F41)</f>
        <v>32</v>
      </c>
      <c r="G54" s="84">
        <f>+F54/$F$66</f>
        <v>2.0623521229079368E-3</v>
      </c>
      <c r="H54" s="96">
        <f>+F54/$D$60</f>
        <v>32</v>
      </c>
      <c r="I54" s="96"/>
      <c r="J54" s="100"/>
      <c r="K54" s="447" t="s">
        <v>110</v>
      </c>
      <c r="L54" s="448"/>
      <c r="M54" s="448"/>
      <c r="N54" s="448"/>
      <c r="O54" s="101">
        <f>+F55</f>
        <v>14835.2</v>
      </c>
      <c r="P54" s="101"/>
      <c r="Q54" s="102"/>
    </row>
    <row r="55" spans="1:17" x14ac:dyDescent="0.2">
      <c r="A55" s="93"/>
      <c r="B55" s="446" t="s">
        <v>111</v>
      </c>
      <c r="C55" s="446"/>
      <c r="D55" s="446"/>
      <c r="E55" s="446"/>
      <c r="F55" s="95">
        <f>+F53+F54</f>
        <v>14835.2</v>
      </c>
      <c r="G55" s="84">
        <f>+F55/$F$66</f>
        <v>0.95610644418011959</v>
      </c>
      <c r="H55" s="96">
        <f>+F55/$D$60</f>
        <v>14835.2</v>
      </c>
      <c r="I55" s="96"/>
      <c r="J55" s="103"/>
      <c r="K55" s="104"/>
      <c r="M55" s="105" t="s">
        <v>112</v>
      </c>
      <c r="N55" s="106"/>
      <c r="O55" s="101">
        <f>+H56</f>
        <v>1265</v>
      </c>
      <c r="P55" s="101"/>
      <c r="Q55" s="102"/>
    </row>
    <row r="56" spans="1:17" ht="13.5" thickBot="1" x14ac:dyDescent="0.25">
      <c r="A56" s="93"/>
      <c r="B56" s="94"/>
      <c r="C56" s="446" t="s">
        <v>113</v>
      </c>
      <c r="D56" s="446"/>
      <c r="E56" s="446"/>
      <c r="F56" s="95">
        <f>SUM(F44:F51)</f>
        <v>1265</v>
      </c>
      <c r="G56" s="84">
        <f>+F56/$F$66</f>
        <v>8.152735735870438E-2</v>
      </c>
      <c r="H56" s="96">
        <f>+F56/$D$60</f>
        <v>1265</v>
      </c>
      <c r="I56" s="96"/>
      <c r="J56" s="103"/>
      <c r="K56" s="104"/>
      <c r="L56" s="104"/>
      <c r="M56" s="104" t="s">
        <v>114</v>
      </c>
      <c r="N56" s="107"/>
      <c r="O56" s="101">
        <f>O54*N56</f>
        <v>0</v>
      </c>
      <c r="P56" s="101"/>
      <c r="Q56" s="102"/>
    </row>
    <row r="57" spans="1:17" ht="13.5" thickBot="1" x14ac:dyDescent="0.25">
      <c r="A57" s="93"/>
      <c r="B57" s="108"/>
      <c r="C57" s="108"/>
      <c r="D57" s="108"/>
      <c r="E57" s="108"/>
      <c r="F57" s="109"/>
      <c r="G57" s="84"/>
      <c r="H57" s="110"/>
      <c r="I57" s="96"/>
      <c r="J57" s="103"/>
      <c r="K57" s="111"/>
      <c r="M57" s="112" t="s">
        <v>115</v>
      </c>
      <c r="N57" s="113"/>
      <c r="O57" s="114">
        <f>SUM(O54:O56)</f>
        <v>16100.2</v>
      </c>
      <c r="P57" s="115"/>
      <c r="Q57" s="102"/>
    </row>
    <row r="58" spans="1:17" x14ac:dyDescent="0.2">
      <c r="B58" s="449" t="s">
        <v>116</v>
      </c>
      <c r="C58" s="449"/>
      <c r="D58" s="116">
        <v>6400</v>
      </c>
      <c r="E58" s="117"/>
      <c r="G58" s="84"/>
      <c r="H58" s="110">
        <f>+H56/77</f>
        <v>16.428571428571427</v>
      </c>
      <c r="I58" s="118"/>
      <c r="J58" s="103"/>
      <c r="K58" s="111"/>
      <c r="L58" s="104"/>
      <c r="M58" s="104" t="s">
        <v>117</v>
      </c>
      <c r="N58" s="119"/>
      <c r="O58" s="101">
        <f>+H59</f>
        <v>1051.4285714285713</v>
      </c>
      <c r="P58" s="101"/>
      <c r="Q58" s="102"/>
    </row>
    <row r="59" spans="1:17" x14ac:dyDescent="0.2">
      <c r="B59" s="449" t="s">
        <v>118</v>
      </c>
      <c r="C59" s="449"/>
      <c r="D59" s="120">
        <v>6400</v>
      </c>
      <c r="E59" s="117"/>
      <c r="G59" s="84"/>
      <c r="H59" s="110">
        <f>+H58*64</f>
        <v>1051.4285714285713</v>
      </c>
      <c r="I59" s="118"/>
      <c r="J59" s="103"/>
      <c r="K59" s="111"/>
      <c r="L59" s="104"/>
      <c r="M59" s="450" t="s">
        <v>115</v>
      </c>
      <c r="N59" s="450"/>
      <c r="O59" s="101">
        <f>SUM(O57:O58)</f>
        <v>17151.628571428573</v>
      </c>
      <c r="P59" s="101"/>
      <c r="Q59" s="102"/>
    </row>
    <row r="60" spans="1:17" ht="13.5" thickBot="1" x14ac:dyDescent="0.25">
      <c r="B60" s="442" t="s">
        <v>119</v>
      </c>
      <c r="C60" s="442"/>
      <c r="D60" s="116">
        <f>+D58/D59</f>
        <v>1</v>
      </c>
      <c r="E60" s="117"/>
      <c r="F60" s="121"/>
      <c r="G60" s="84"/>
      <c r="H60" s="110"/>
      <c r="I60" s="118"/>
      <c r="J60" s="103"/>
      <c r="K60" s="111"/>
      <c r="L60" s="450"/>
      <c r="M60" s="450"/>
      <c r="N60" s="119"/>
      <c r="O60" s="101">
        <f>+O59*N60</f>
        <v>0</v>
      </c>
      <c r="P60" s="101"/>
      <c r="Q60" s="102"/>
    </row>
    <row r="61" spans="1:17" ht="13.5" thickBot="1" x14ac:dyDescent="0.25">
      <c r="B61" s="442" t="s">
        <v>120</v>
      </c>
      <c r="C61" s="442"/>
      <c r="D61" s="122"/>
      <c r="E61" s="117"/>
      <c r="F61" s="121"/>
      <c r="G61" s="84"/>
      <c r="H61" s="110"/>
      <c r="I61" s="118"/>
      <c r="J61" s="103"/>
      <c r="K61" s="443" t="s">
        <v>121</v>
      </c>
      <c r="L61" s="444"/>
      <c r="M61" s="444"/>
      <c r="N61" s="445"/>
      <c r="O61" s="114">
        <f>SUM(O59:O60)</f>
        <v>17151.628571428573</v>
      </c>
      <c r="P61" s="123" t="s">
        <v>122</v>
      </c>
      <c r="Q61" s="102"/>
    </row>
    <row r="62" spans="1:17" ht="13.5" thickBot="1" x14ac:dyDescent="0.25">
      <c r="C62" s="93" t="s">
        <v>123</v>
      </c>
      <c r="D62" s="124"/>
      <c r="E62" s="67" t="s">
        <v>124</v>
      </c>
      <c r="F62" s="125" t="s">
        <v>125</v>
      </c>
      <c r="G62" s="84"/>
      <c r="H62" s="110"/>
      <c r="I62" s="118"/>
      <c r="J62" s="126"/>
      <c r="K62" s="127"/>
      <c r="L62" s="456" t="s">
        <v>126</v>
      </c>
      <c r="M62" s="456"/>
      <c r="N62" s="456"/>
      <c r="O62" s="128">
        <f>+O61/D60</f>
        <v>17151.628571428573</v>
      </c>
      <c r="P62" s="129">
        <f>+O62/D59</f>
        <v>2.6799419642857147</v>
      </c>
      <c r="Q62" s="130"/>
    </row>
    <row r="63" spans="1:17" ht="13.5" thickBot="1" x14ac:dyDescent="0.25">
      <c r="B63" s="457" t="s">
        <v>111</v>
      </c>
      <c r="C63" s="457"/>
      <c r="D63" s="457"/>
      <c r="E63" s="131">
        <f>+F63/F63</f>
        <v>1</v>
      </c>
      <c r="F63" s="132">
        <f>SUM(F55)</f>
        <v>14835.2</v>
      </c>
      <c r="G63" s="84">
        <f>+F63/$F$66</f>
        <v>0.95610644418011959</v>
      </c>
      <c r="H63" s="110"/>
      <c r="I63" s="118"/>
      <c r="K63" s="458"/>
      <c r="L63" s="459"/>
      <c r="M63" s="459"/>
      <c r="N63" s="459"/>
      <c r="O63" s="133"/>
      <c r="P63" s="134"/>
    </row>
    <row r="64" spans="1:17" ht="13.5" thickBot="1" x14ac:dyDescent="0.25">
      <c r="B64" s="460" t="s">
        <v>127</v>
      </c>
      <c r="C64" s="460"/>
      <c r="D64" s="460"/>
      <c r="E64" s="135">
        <v>0.02</v>
      </c>
      <c r="F64" s="132">
        <f>+F53*E64</f>
        <v>296.06400000000002</v>
      </c>
      <c r="G64" s="84">
        <f>+F64/$F$66</f>
        <v>1.9080881841144235E-2</v>
      </c>
      <c r="H64" s="96"/>
      <c r="I64" s="118"/>
      <c r="J64" s="136"/>
      <c r="O64" s="137"/>
      <c r="P64" s="94"/>
    </row>
    <row r="65" spans="2:13" ht="13.5" thickBot="1" x14ac:dyDescent="0.25">
      <c r="B65" s="461" t="s">
        <v>128</v>
      </c>
      <c r="C65" s="462"/>
      <c r="D65" s="138">
        <v>5</v>
      </c>
      <c r="E65" s="139">
        <v>77</v>
      </c>
      <c r="F65" s="132">
        <f>+E65*D65</f>
        <v>385</v>
      </c>
      <c r="G65" s="84">
        <f>+F65/$F$66</f>
        <v>2.4812673978736117E-2</v>
      </c>
      <c r="H65" s="96"/>
      <c r="I65" s="96"/>
      <c r="J65" s="86"/>
    </row>
    <row r="66" spans="2:13" ht="13.5" thickBot="1" x14ac:dyDescent="0.25">
      <c r="B66" s="463" t="s">
        <v>129</v>
      </c>
      <c r="C66" s="464"/>
      <c r="D66" s="464"/>
      <c r="E66" s="465"/>
      <c r="F66" s="109">
        <f>SUM(F63:F65)</f>
        <v>15516.264000000001</v>
      </c>
      <c r="G66" s="84">
        <f>+F66/$F$66</f>
        <v>1</v>
      </c>
      <c r="H66" s="466"/>
      <c r="I66" s="96"/>
      <c r="J66" s="86"/>
      <c r="M66" s="69" t="s">
        <v>130</v>
      </c>
    </row>
    <row r="67" spans="2:13" x14ac:dyDescent="0.2">
      <c r="C67" s="91"/>
      <c r="D67" s="91"/>
      <c r="E67" s="141"/>
      <c r="F67" s="132"/>
      <c r="G67" s="84"/>
      <c r="H67" s="466"/>
      <c r="I67" s="140"/>
      <c r="J67" s="69"/>
      <c r="M67" s="69" t="s">
        <v>131</v>
      </c>
    </row>
    <row r="68" spans="2:13" ht="13.5" thickBot="1" x14ac:dyDescent="0.25">
      <c r="B68" s="451" t="s">
        <v>132</v>
      </c>
      <c r="C68" s="451"/>
      <c r="D68" s="451"/>
      <c r="E68" s="451"/>
      <c r="F68" s="451"/>
      <c r="G68" s="84"/>
      <c r="H68" s="143"/>
      <c r="I68" s="140"/>
      <c r="J68" s="69"/>
      <c r="M68" s="69" t="s">
        <v>133</v>
      </c>
    </row>
    <row r="69" spans="2:13" ht="13.5" thickBot="1" x14ac:dyDescent="0.25">
      <c r="B69" s="144" t="s">
        <v>134</v>
      </c>
      <c r="C69" s="145">
        <f>+F53</f>
        <v>14803.2</v>
      </c>
      <c r="D69" s="145">
        <f>+D58</f>
        <v>6400</v>
      </c>
      <c r="E69" s="146">
        <f>+C69/D69</f>
        <v>2.3130000000000002</v>
      </c>
      <c r="F69" s="84"/>
      <c r="G69" s="143"/>
      <c r="H69" s="86"/>
      <c r="I69" s="143"/>
      <c r="J69" s="69"/>
    </row>
    <row r="70" spans="2:13" x14ac:dyDescent="0.2">
      <c r="B70" s="147"/>
      <c r="C70" s="148"/>
      <c r="D70" s="149"/>
      <c r="E70" s="132"/>
      <c r="F70" s="84"/>
      <c r="G70" s="143"/>
      <c r="H70" s="86"/>
      <c r="I70" s="86"/>
      <c r="J70" s="69"/>
    </row>
    <row r="71" spans="2:13" x14ac:dyDescent="0.2">
      <c r="B71" s="144" t="s">
        <v>135</v>
      </c>
      <c r="C71" s="145">
        <f>SUM(F63:F64)</f>
        <v>15131.264000000001</v>
      </c>
      <c r="D71" s="145">
        <f>+D58</f>
        <v>6400</v>
      </c>
      <c r="E71" s="150">
        <f>+C71/D71</f>
        <v>2.3642600000000003</v>
      </c>
      <c r="F71" s="84"/>
      <c r="G71" s="143"/>
      <c r="H71" s="86"/>
      <c r="I71" s="86"/>
      <c r="J71" s="69"/>
    </row>
    <row r="72" spans="2:13" x14ac:dyDescent="0.2">
      <c r="B72" s="144"/>
      <c r="C72" s="145"/>
      <c r="D72" s="145"/>
      <c r="E72" s="150"/>
      <c r="F72" s="84"/>
      <c r="G72" s="143"/>
      <c r="H72" s="86"/>
      <c r="I72" s="86"/>
      <c r="J72" s="69"/>
    </row>
    <row r="73" spans="2:13" ht="13.5" thickBot="1" x14ac:dyDescent="0.25">
      <c r="B73" s="144" t="s">
        <v>136</v>
      </c>
      <c r="C73" s="145">
        <f>+F65</f>
        <v>385</v>
      </c>
      <c r="D73" s="145">
        <f>+D58</f>
        <v>6400</v>
      </c>
      <c r="E73" s="150">
        <f>+C73/D73</f>
        <v>6.0156250000000001E-2</v>
      </c>
      <c r="F73" s="84"/>
      <c r="G73" s="143"/>
      <c r="H73" s="86"/>
      <c r="I73" s="86"/>
      <c r="J73" s="69"/>
    </row>
    <row r="74" spans="2:13" ht="13.5" thickBot="1" x14ac:dyDescent="0.25">
      <c r="B74" s="144" t="s">
        <v>137</v>
      </c>
      <c r="C74" s="145">
        <f>+F56</f>
        <v>1265</v>
      </c>
      <c r="D74" s="145">
        <f>+D73</f>
        <v>6400</v>
      </c>
      <c r="E74" s="146">
        <f>+C74/D74</f>
        <v>0.19765625000000001</v>
      </c>
      <c r="F74" s="84"/>
      <c r="G74" s="143"/>
      <c r="H74" s="86"/>
      <c r="I74" s="86"/>
      <c r="J74" s="69"/>
    </row>
    <row r="75" spans="2:13" ht="13.5" thickBot="1" x14ac:dyDescent="0.25">
      <c r="B75" s="108"/>
      <c r="C75" s="109"/>
      <c r="D75" s="109"/>
      <c r="E75" s="150"/>
      <c r="F75" s="84"/>
      <c r="G75" s="143"/>
      <c r="H75" s="86"/>
      <c r="I75" s="86"/>
      <c r="J75" s="69"/>
    </row>
    <row r="76" spans="2:13" ht="13.5" thickBot="1" x14ac:dyDescent="0.25">
      <c r="B76" s="144" t="s">
        <v>138</v>
      </c>
      <c r="C76" s="145">
        <f>+F54</f>
        <v>32</v>
      </c>
      <c r="D76" s="145">
        <f>+D74</f>
        <v>6400</v>
      </c>
      <c r="E76" s="146">
        <f>+C76/D76</f>
        <v>5.0000000000000001E-3</v>
      </c>
      <c r="F76" s="84"/>
      <c r="G76" s="143"/>
      <c r="H76" s="86"/>
      <c r="I76" s="86"/>
      <c r="J76" s="86"/>
    </row>
    <row r="77" spans="2:13" ht="13.5" thickBot="1" x14ac:dyDescent="0.25">
      <c r="B77" s="108"/>
      <c r="C77" s="109"/>
      <c r="D77" s="109"/>
      <c r="E77" s="150"/>
      <c r="F77" s="84"/>
      <c r="G77" s="143"/>
      <c r="H77" s="86"/>
      <c r="I77" s="86"/>
    </row>
    <row r="78" spans="2:13" ht="13.5" thickBot="1" x14ac:dyDescent="0.25">
      <c r="B78" s="452" t="s">
        <v>139</v>
      </c>
      <c r="C78" s="453"/>
      <c r="D78" s="454"/>
      <c r="E78" s="146">
        <f>+E69+E74</f>
        <v>2.5106562500000003</v>
      </c>
      <c r="G78" s="84"/>
      <c r="H78" s="143"/>
      <c r="I78" s="86"/>
      <c r="J78" s="150"/>
    </row>
    <row r="79" spans="2:13" x14ac:dyDescent="0.2">
      <c r="I79" s="143"/>
      <c r="J79" s="69"/>
    </row>
    <row r="80" spans="2:13" ht="13.5" thickBot="1" x14ac:dyDescent="0.25">
      <c r="B80" s="451" t="s">
        <v>140</v>
      </c>
      <c r="C80" s="451"/>
      <c r="D80" s="451"/>
      <c r="E80" s="451"/>
      <c r="F80" s="451"/>
      <c r="G80" s="84"/>
      <c r="H80" s="143"/>
      <c r="J80" s="69"/>
    </row>
    <row r="81" spans="1:10" ht="13.5" thickBot="1" x14ac:dyDescent="0.25">
      <c r="B81" s="144" t="s">
        <v>134</v>
      </c>
      <c r="C81" s="145">
        <f>+C69</f>
        <v>14803.2</v>
      </c>
      <c r="D81" s="145">
        <f>+D60</f>
        <v>1</v>
      </c>
      <c r="E81" s="146">
        <f>+C81/D81</f>
        <v>14803.2</v>
      </c>
      <c r="F81" s="84"/>
      <c r="G81" s="143"/>
      <c r="H81" s="86"/>
      <c r="I81" s="143"/>
      <c r="J81" s="69"/>
    </row>
    <row r="82" spans="1:10" x14ac:dyDescent="0.2">
      <c r="B82" s="147"/>
      <c r="C82" s="148"/>
      <c r="D82" s="149"/>
      <c r="E82" s="132"/>
      <c r="F82" s="84"/>
      <c r="G82" s="143"/>
      <c r="H82" s="86"/>
      <c r="I82" s="86"/>
      <c r="J82" s="69"/>
    </row>
    <row r="83" spans="1:10" x14ac:dyDescent="0.2">
      <c r="B83" s="144" t="s">
        <v>135</v>
      </c>
      <c r="C83" s="145">
        <f>+C71</f>
        <v>15131.264000000001</v>
      </c>
      <c r="D83" s="145">
        <f>+D60</f>
        <v>1</v>
      </c>
      <c r="E83" s="150">
        <f>+C83/D83</f>
        <v>15131.264000000001</v>
      </c>
      <c r="F83" s="84"/>
      <c r="G83" s="143"/>
      <c r="H83" s="86"/>
      <c r="I83" s="86"/>
      <c r="J83" s="69"/>
    </row>
    <row r="84" spans="1:10" x14ac:dyDescent="0.2">
      <c r="B84" s="144"/>
      <c r="C84" s="145"/>
      <c r="D84" s="145"/>
      <c r="E84" s="150"/>
      <c r="F84" s="84"/>
      <c r="G84" s="143"/>
      <c r="H84" s="86"/>
      <c r="I84" s="86"/>
      <c r="J84" s="69"/>
    </row>
    <row r="85" spans="1:10" ht="13.5" thickBot="1" x14ac:dyDescent="0.25">
      <c r="B85" s="144" t="s">
        <v>137</v>
      </c>
      <c r="C85" s="145">
        <f>+C73</f>
        <v>385</v>
      </c>
      <c r="D85" s="145">
        <f>+D60</f>
        <v>1</v>
      </c>
      <c r="E85" s="150">
        <f>+C85/D85</f>
        <v>385</v>
      </c>
      <c r="F85" s="152"/>
      <c r="G85" s="142"/>
      <c r="H85" s="68"/>
      <c r="I85" s="86"/>
    </row>
    <row r="86" spans="1:10" ht="13.5" thickBot="1" x14ac:dyDescent="0.25">
      <c r="B86" s="144" t="s">
        <v>137</v>
      </c>
      <c r="C86" s="145">
        <f>+C74</f>
        <v>1265</v>
      </c>
      <c r="D86" s="145">
        <f>+D85</f>
        <v>1</v>
      </c>
      <c r="E86" s="146">
        <f>+C86/D86</f>
        <v>1265</v>
      </c>
      <c r="F86" s="151"/>
      <c r="G86" s="142"/>
      <c r="H86" s="68"/>
      <c r="I86" s="68"/>
    </row>
    <row r="87" spans="1:10" x14ac:dyDescent="0.2">
      <c r="I87" s="68"/>
    </row>
    <row r="88" spans="1:10" x14ac:dyDescent="0.2">
      <c r="A88" s="455"/>
      <c r="B88" s="455"/>
      <c r="C88" s="153"/>
      <c r="D88" s="153"/>
      <c r="E88" s="154"/>
      <c r="G88" s="155"/>
    </row>
    <row r="89" spans="1:10" x14ac:dyDescent="0.2">
      <c r="A89" s="87"/>
      <c r="B89" s="156"/>
      <c r="C89" s="157"/>
      <c r="D89" s="157"/>
      <c r="E89" s="158"/>
      <c r="G89" s="155"/>
    </row>
    <row r="90" spans="1:10" x14ac:dyDescent="0.2">
      <c r="A90" s="87"/>
      <c r="B90" s="156"/>
      <c r="C90" s="159"/>
      <c r="D90" s="159"/>
      <c r="E90" s="87"/>
      <c r="G90" s="155"/>
    </row>
    <row r="91" spans="1:10" x14ac:dyDescent="0.2">
      <c r="A91" s="87"/>
      <c r="B91" s="156"/>
      <c r="C91" s="160"/>
      <c r="D91" s="160"/>
      <c r="E91" s="87"/>
      <c r="G91" s="155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6814A-5120-4A51-8140-F579114C2945}">
  <sheetPr>
    <pageSetUpPr fitToPage="1"/>
  </sheetPr>
  <dimension ref="A1:I45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7.28515625" customWidth="1"/>
    <col min="3" max="3" width="63.140625" bestFit="1" customWidth="1"/>
    <col min="4" max="4" width="15.7109375" customWidth="1"/>
    <col min="5" max="5" width="13.85546875" customWidth="1"/>
    <col min="7" max="7" width="21.5703125" customWidth="1"/>
    <col min="8" max="8" width="17.7109375" customWidth="1"/>
    <col min="9" max="9" width="17.85546875" customWidth="1"/>
  </cols>
  <sheetData>
    <row r="1" spans="1:9" ht="15.75" x14ac:dyDescent="0.25">
      <c r="A1" s="584"/>
      <c r="B1" s="585"/>
      <c r="C1" s="590" t="s">
        <v>0</v>
      </c>
      <c r="D1" s="590"/>
      <c r="E1" s="590"/>
      <c r="F1" s="590"/>
      <c r="G1" s="590"/>
      <c r="H1" s="1" t="s">
        <v>1</v>
      </c>
      <c r="I1" s="9" t="s">
        <v>274</v>
      </c>
    </row>
    <row r="2" spans="1:9" ht="16.5" thickBot="1" x14ac:dyDescent="0.3">
      <c r="A2" s="586"/>
      <c r="B2" s="587"/>
      <c r="C2" s="591" t="s">
        <v>2</v>
      </c>
      <c r="D2" s="592"/>
      <c r="E2" s="592"/>
      <c r="F2" s="592"/>
      <c r="G2" s="593"/>
      <c r="H2" s="2" t="s">
        <v>3</v>
      </c>
      <c r="I2" s="435" t="s">
        <v>188</v>
      </c>
    </row>
    <row r="3" spans="1:9" ht="30.75" customHeight="1" thickBot="1" x14ac:dyDescent="0.25">
      <c r="A3" s="586"/>
      <c r="B3" s="587"/>
      <c r="C3" s="712" t="s">
        <v>268</v>
      </c>
      <c r="D3" s="712"/>
      <c r="E3" s="712"/>
      <c r="F3" s="712"/>
      <c r="G3" s="713"/>
      <c r="H3" s="597" t="s">
        <v>4</v>
      </c>
      <c r="I3" s="575">
        <v>45988</v>
      </c>
    </row>
    <row r="4" spans="1:9" ht="13.5" x14ac:dyDescent="0.25">
      <c r="A4" s="586"/>
      <c r="B4" s="587"/>
      <c r="C4" s="13" t="s">
        <v>5</v>
      </c>
      <c r="D4" s="578" t="s">
        <v>279</v>
      </c>
      <c r="E4" s="579"/>
      <c r="F4" s="579"/>
      <c r="G4" s="580"/>
      <c r="H4" s="598"/>
      <c r="I4" s="576"/>
    </row>
    <row r="5" spans="1:9" ht="14.25" thickBot="1" x14ac:dyDescent="0.3">
      <c r="A5" s="588"/>
      <c r="B5" s="589"/>
      <c r="C5" s="14" t="s">
        <v>6</v>
      </c>
      <c r="D5" s="581" t="s">
        <v>33</v>
      </c>
      <c r="E5" s="582"/>
      <c r="F5" s="582"/>
      <c r="G5" s="583"/>
      <c r="H5" s="599"/>
      <c r="I5" s="577"/>
    </row>
    <row r="6" spans="1:9" ht="18.75" thickBot="1" x14ac:dyDescent="0.3">
      <c r="A6" s="506" t="s">
        <v>34</v>
      </c>
      <c r="B6" s="506"/>
      <c r="C6" s="506"/>
      <c r="D6" s="709" t="s">
        <v>35</v>
      </c>
      <c r="E6" s="709"/>
      <c r="F6" s="709"/>
      <c r="G6" s="508" t="s">
        <v>36</v>
      </c>
      <c r="H6" s="508"/>
      <c r="I6" s="393" t="s">
        <v>35</v>
      </c>
    </row>
    <row r="7" spans="1:9" ht="25.5" x14ac:dyDescent="0.2">
      <c r="A7" s="509" t="s">
        <v>7</v>
      </c>
      <c r="B7" s="511" t="s">
        <v>37</v>
      </c>
      <c r="C7" s="513" t="s">
        <v>8</v>
      </c>
      <c r="D7" s="513" t="s">
        <v>9</v>
      </c>
      <c r="E7" s="513" t="s">
        <v>10</v>
      </c>
      <c r="F7" s="513"/>
      <c r="G7" s="513" t="s">
        <v>11</v>
      </c>
      <c r="H7" s="513"/>
      <c r="I7" s="16" t="s">
        <v>12</v>
      </c>
    </row>
    <row r="8" spans="1:9" ht="36" customHeight="1" thickBot="1" x14ac:dyDescent="0.25">
      <c r="A8" s="510"/>
      <c r="B8" s="710"/>
      <c r="C8" s="711"/>
      <c r="D8" s="514"/>
      <c r="E8" s="17" t="s">
        <v>13</v>
      </c>
      <c r="F8" s="18" t="s">
        <v>14</v>
      </c>
      <c r="G8" s="17" t="s">
        <v>13</v>
      </c>
      <c r="H8" s="18" t="s">
        <v>14</v>
      </c>
      <c r="I8" s="19" t="s">
        <v>15</v>
      </c>
    </row>
    <row r="9" spans="1:9" ht="40.5" x14ac:dyDescent="0.3">
      <c r="A9" s="390">
        <v>907000002</v>
      </c>
      <c r="B9" s="362" t="s">
        <v>31</v>
      </c>
      <c r="C9" s="392" t="s">
        <v>66</v>
      </c>
      <c r="D9" s="415" t="s">
        <v>38</v>
      </c>
      <c r="E9" s="352">
        <v>100</v>
      </c>
      <c r="F9" s="353" t="s">
        <v>16</v>
      </c>
      <c r="G9" s="352"/>
      <c r="H9" s="353" t="s">
        <v>67</v>
      </c>
      <c r="I9" s="354"/>
    </row>
    <row r="10" spans="1:9" ht="20.25" x14ac:dyDescent="0.3">
      <c r="A10" s="355"/>
      <c r="B10" s="425" t="s">
        <v>271</v>
      </c>
      <c r="C10" s="426" t="s">
        <v>68</v>
      </c>
      <c r="D10" s="416" t="s">
        <v>38</v>
      </c>
      <c r="E10" s="356">
        <v>300</v>
      </c>
      <c r="F10" s="357" t="s">
        <v>16</v>
      </c>
      <c r="G10" s="358"/>
      <c r="H10" s="359"/>
      <c r="I10" s="354"/>
    </row>
    <row r="11" spans="1:9" ht="20.25" x14ac:dyDescent="0.3">
      <c r="A11" s="389"/>
      <c r="B11" s="427" t="s">
        <v>272</v>
      </c>
      <c r="C11" s="428" t="s">
        <v>69</v>
      </c>
      <c r="D11" s="417" t="s">
        <v>38</v>
      </c>
      <c r="E11" s="395">
        <v>100</v>
      </c>
      <c r="F11" s="361" t="s">
        <v>16</v>
      </c>
      <c r="G11" s="358"/>
      <c r="H11" s="359" t="s">
        <v>85</v>
      </c>
      <c r="I11" s="354"/>
    </row>
    <row r="12" spans="1:9" ht="20.25" x14ac:dyDescent="0.3">
      <c r="A12" s="389"/>
      <c r="B12" s="429" t="s">
        <v>80</v>
      </c>
      <c r="C12" s="430" t="s">
        <v>81</v>
      </c>
      <c r="D12" s="418" t="s">
        <v>82</v>
      </c>
      <c r="E12" s="396">
        <v>90</v>
      </c>
      <c r="F12" s="361" t="s">
        <v>16</v>
      </c>
      <c r="G12" s="358"/>
      <c r="H12" s="359" t="s">
        <v>85</v>
      </c>
      <c r="I12" s="354"/>
    </row>
    <row r="13" spans="1:9" ht="20.25" x14ac:dyDescent="0.3">
      <c r="A13" s="390"/>
      <c r="B13" s="362"/>
      <c r="C13" s="392"/>
      <c r="D13" s="419"/>
      <c r="E13" s="360"/>
      <c r="F13" s="361"/>
      <c r="G13" s="362"/>
      <c r="H13" s="359"/>
      <c r="I13" s="354"/>
    </row>
    <row r="14" spans="1:9" ht="20.25" x14ac:dyDescent="0.3">
      <c r="A14" s="390"/>
      <c r="B14" s="362"/>
      <c r="C14" s="397" t="s">
        <v>70</v>
      </c>
      <c r="D14" s="420"/>
      <c r="E14" s="364"/>
      <c r="F14" s="365"/>
      <c r="G14" s="362"/>
      <c r="H14" s="359"/>
      <c r="I14" s="354"/>
    </row>
    <row r="15" spans="1:9" ht="20.25" x14ac:dyDescent="0.3">
      <c r="A15" s="390"/>
      <c r="B15" s="429" t="s">
        <v>80</v>
      </c>
      <c r="C15" s="430" t="s">
        <v>81</v>
      </c>
      <c r="D15" s="421" t="s">
        <v>82</v>
      </c>
      <c r="E15" s="398">
        <v>10</v>
      </c>
      <c r="F15" s="365" t="s">
        <v>16</v>
      </c>
      <c r="G15" s="368"/>
      <c r="H15" s="359"/>
      <c r="I15" s="354"/>
    </row>
    <row r="16" spans="1:9" ht="20.25" x14ac:dyDescent="0.3">
      <c r="A16" s="390"/>
      <c r="B16" s="362" t="s">
        <v>71</v>
      </c>
      <c r="C16" s="392" t="s">
        <v>72</v>
      </c>
      <c r="D16" s="420" t="s">
        <v>38</v>
      </c>
      <c r="E16" s="364">
        <v>30</v>
      </c>
      <c r="F16" s="365" t="s">
        <v>16</v>
      </c>
      <c r="G16" s="368"/>
      <c r="H16" s="359" t="s">
        <v>277</v>
      </c>
      <c r="I16" s="354"/>
    </row>
    <row r="17" spans="1:9" ht="20.25" x14ac:dyDescent="0.3">
      <c r="A17" s="412"/>
      <c r="B17" s="399" t="s">
        <v>272</v>
      </c>
      <c r="C17" s="400" t="s">
        <v>69</v>
      </c>
      <c r="D17" s="422" t="s">
        <v>38</v>
      </c>
      <c r="E17" s="401">
        <v>150</v>
      </c>
      <c r="F17" s="402" t="s">
        <v>16</v>
      </c>
      <c r="G17" s="352"/>
      <c r="H17" s="359" t="s">
        <v>278</v>
      </c>
      <c r="I17" s="354"/>
    </row>
    <row r="18" spans="1:9" ht="20.25" x14ac:dyDescent="0.3">
      <c r="A18" s="394"/>
      <c r="B18" s="431" t="s">
        <v>273</v>
      </c>
      <c r="C18" s="403" t="s">
        <v>73</v>
      </c>
      <c r="D18" s="423" t="s">
        <v>38</v>
      </c>
      <c r="E18" s="363">
        <v>30</v>
      </c>
      <c r="F18" s="365" t="s">
        <v>16</v>
      </c>
      <c r="G18" s="352"/>
      <c r="H18" s="353"/>
      <c r="I18" s="354"/>
    </row>
    <row r="19" spans="1:9" ht="20.25" x14ac:dyDescent="0.3">
      <c r="A19" s="413"/>
      <c r="B19" s="432"/>
      <c r="C19" s="433"/>
      <c r="D19" s="404"/>
      <c r="E19" s="405"/>
      <c r="F19" s="406"/>
      <c r="G19" s="352"/>
      <c r="H19" s="353"/>
      <c r="I19" s="354"/>
    </row>
    <row r="20" spans="1:9" ht="20.25" x14ac:dyDescent="0.3">
      <c r="A20" s="413"/>
      <c r="B20" s="432"/>
      <c r="C20" s="434" t="s">
        <v>74</v>
      </c>
      <c r="D20" s="404"/>
      <c r="E20" s="407"/>
      <c r="F20" s="406"/>
      <c r="G20" s="352"/>
      <c r="H20" s="353"/>
      <c r="I20" s="354"/>
    </row>
    <row r="21" spans="1:9" ht="20.25" x14ac:dyDescent="0.3">
      <c r="A21" s="413"/>
      <c r="B21" s="425" t="s">
        <v>269</v>
      </c>
      <c r="C21" s="408" t="s">
        <v>270</v>
      </c>
      <c r="D21" s="404" t="s">
        <v>38</v>
      </c>
      <c r="E21" s="405">
        <v>1</v>
      </c>
      <c r="F21" s="406" t="s">
        <v>75</v>
      </c>
      <c r="G21" s="352"/>
      <c r="H21" s="353"/>
      <c r="I21" s="354"/>
    </row>
    <row r="22" spans="1:9" ht="20.25" x14ac:dyDescent="0.3">
      <c r="A22" s="414"/>
      <c r="B22" s="362" t="s">
        <v>80</v>
      </c>
      <c r="C22" s="392" t="s">
        <v>81</v>
      </c>
      <c r="D22" s="404" t="s">
        <v>82</v>
      </c>
      <c r="E22" s="405">
        <v>10</v>
      </c>
      <c r="F22" s="406" t="s">
        <v>16</v>
      </c>
      <c r="G22" s="352"/>
      <c r="H22" s="353"/>
      <c r="I22" s="354"/>
    </row>
    <row r="23" spans="1:9" ht="20.25" x14ac:dyDescent="0.3">
      <c r="A23" s="390">
        <v>702069</v>
      </c>
      <c r="B23" s="362" t="s">
        <v>30</v>
      </c>
      <c r="C23" s="392" t="s">
        <v>39</v>
      </c>
      <c r="D23" s="424" t="s">
        <v>40</v>
      </c>
      <c r="E23" s="362">
        <v>1</v>
      </c>
      <c r="F23" s="362" t="s">
        <v>75</v>
      </c>
      <c r="G23" s="352"/>
      <c r="H23" s="353"/>
      <c r="I23" s="354"/>
    </row>
    <row r="24" spans="1:9" ht="20.25" x14ac:dyDescent="0.3">
      <c r="A24" s="391">
        <v>701096</v>
      </c>
      <c r="B24" s="366" t="s">
        <v>76</v>
      </c>
      <c r="C24" s="367" t="s">
        <v>77</v>
      </c>
      <c r="D24" s="424" t="s">
        <v>40</v>
      </c>
      <c r="E24" s="362">
        <v>1</v>
      </c>
      <c r="F24" s="409" t="s">
        <v>75</v>
      </c>
      <c r="G24" s="352"/>
      <c r="H24" s="353"/>
      <c r="I24" s="354"/>
    </row>
    <row r="25" spans="1:9" ht="20.25" x14ac:dyDescent="0.3">
      <c r="A25" s="391"/>
      <c r="B25" s="362" t="s">
        <v>78</v>
      </c>
      <c r="C25" s="392" t="s">
        <v>79</v>
      </c>
      <c r="D25" s="424" t="s">
        <v>40</v>
      </c>
      <c r="E25" s="362">
        <v>1</v>
      </c>
      <c r="F25" s="409" t="s">
        <v>75</v>
      </c>
      <c r="G25" s="352"/>
      <c r="H25" s="353"/>
      <c r="I25" s="354"/>
    </row>
    <row r="26" spans="1:9" ht="20.25" x14ac:dyDescent="0.3">
      <c r="A26" s="366"/>
      <c r="B26" s="366"/>
      <c r="C26" s="367"/>
      <c r="D26" s="362"/>
      <c r="E26" s="368"/>
      <c r="F26" s="410"/>
      <c r="G26" s="411"/>
      <c r="H26" s="353"/>
      <c r="I26" s="354"/>
    </row>
    <row r="27" spans="1:9" ht="20.25" x14ac:dyDescent="0.3">
      <c r="A27" s="369"/>
      <c r="B27" s="370"/>
      <c r="C27" s="371"/>
      <c r="D27" s="364"/>
      <c r="E27" s="364"/>
      <c r="F27" s="365"/>
      <c r="G27" s="364"/>
      <c r="H27" s="364"/>
      <c r="I27" s="354"/>
    </row>
    <row r="28" spans="1:9" ht="21" thickBot="1" x14ac:dyDescent="0.35">
      <c r="A28" s="372"/>
      <c r="B28" s="373"/>
      <c r="C28" s="374"/>
      <c r="D28" s="374"/>
      <c r="E28" s="375"/>
      <c r="F28" s="376"/>
      <c r="G28" s="374"/>
      <c r="H28" s="374"/>
      <c r="I28" s="377"/>
    </row>
    <row r="29" spans="1:9" ht="21" thickBot="1" x14ac:dyDescent="0.35">
      <c r="A29" s="378"/>
      <c r="B29" s="379"/>
      <c r="C29" s="380"/>
      <c r="D29" s="381" t="s">
        <v>13</v>
      </c>
      <c r="E29" s="382" t="s">
        <v>18</v>
      </c>
      <c r="F29" s="383"/>
      <c r="G29" s="380"/>
      <c r="H29" s="380"/>
      <c r="I29" s="384"/>
    </row>
    <row r="30" spans="1:9" ht="20.25" x14ac:dyDescent="0.3">
      <c r="A30" s="703" t="s">
        <v>19</v>
      </c>
      <c r="B30" s="704"/>
      <c r="C30" s="705"/>
      <c r="D30" s="385">
        <v>800</v>
      </c>
      <c r="E30" s="386" t="s">
        <v>16</v>
      </c>
      <c r="F30" s="706" t="s">
        <v>20</v>
      </c>
      <c r="G30" s="706"/>
      <c r="H30" s="707"/>
      <c r="I30" s="708"/>
    </row>
    <row r="31" spans="1:9" ht="20.25" x14ac:dyDescent="0.3">
      <c r="A31" s="686" t="s">
        <v>21</v>
      </c>
      <c r="B31" s="687"/>
      <c r="C31" s="688"/>
      <c r="D31" s="368">
        <v>7</v>
      </c>
      <c r="E31" s="362" t="s">
        <v>22</v>
      </c>
      <c r="F31" s="689" t="s">
        <v>23</v>
      </c>
      <c r="G31" s="689"/>
      <c r="H31" s="690"/>
      <c r="I31" s="691"/>
    </row>
    <row r="32" spans="1:9" ht="20.25" x14ac:dyDescent="0.3">
      <c r="A32" s="686" t="s">
        <v>24</v>
      </c>
      <c r="B32" s="687"/>
      <c r="C32" s="688"/>
      <c r="D32" s="362">
        <v>1</v>
      </c>
      <c r="E32" s="362" t="s">
        <v>17</v>
      </c>
      <c r="F32" s="689" t="s">
        <v>25</v>
      </c>
      <c r="G32" s="689"/>
      <c r="H32" s="690"/>
      <c r="I32" s="691"/>
    </row>
    <row r="33" spans="1:9" ht="20.25" x14ac:dyDescent="0.3">
      <c r="A33" s="686" t="s">
        <v>26</v>
      </c>
      <c r="B33" s="687"/>
      <c r="C33" s="688"/>
      <c r="D33" s="368">
        <v>800</v>
      </c>
      <c r="E33" s="362" t="s">
        <v>16</v>
      </c>
      <c r="F33" s="692" t="s">
        <v>27</v>
      </c>
      <c r="G33" s="693"/>
      <c r="H33" s="694"/>
      <c r="I33" s="695"/>
    </row>
    <row r="34" spans="1:9" ht="21" thickBot="1" x14ac:dyDescent="0.35">
      <c r="A34" s="696" t="s">
        <v>28</v>
      </c>
      <c r="B34" s="697"/>
      <c r="C34" s="698"/>
      <c r="D34" s="387">
        <f>SUM(E9:E18)-D30</f>
        <v>10</v>
      </c>
      <c r="E34" s="388" t="s">
        <v>16</v>
      </c>
      <c r="F34" s="699"/>
      <c r="G34" s="699"/>
      <c r="H34" s="690"/>
      <c r="I34" s="691"/>
    </row>
    <row r="35" spans="1:9" ht="21" thickBot="1" x14ac:dyDescent="0.35">
      <c r="A35" s="700" t="s">
        <v>29</v>
      </c>
      <c r="B35" s="701"/>
      <c r="C35" s="701"/>
      <c r="D35" s="701"/>
      <c r="E35" s="701"/>
      <c r="F35" s="701"/>
      <c r="G35" s="701"/>
      <c r="H35" s="701"/>
      <c r="I35" s="702"/>
    </row>
    <row r="36" spans="1:9" ht="20.25" x14ac:dyDescent="0.3">
      <c r="A36" s="679" t="s">
        <v>275</v>
      </c>
      <c r="B36" s="680"/>
      <c r="C36" s="681"/>
      <c r="D36" s="681"/>
      <c r="E36" s="681"/>
      <c r="F36" s="681"/>
      <c r="G36" s="681"/>
      <c r="H36" s="681"/>
      <c r="I36" s="682"/>
    </row>
    <row r="37" spans="1:9" ht="20.25" x14ac:dyDescent="0.3">
      <c r="A37" s="679" t="s">
        <v>276</v>
      </c>
      <c r="B37" s="680"/>
      <c r="C37" s="681"/>
      <c r="D37" s="681"/>
      <c r="E37" s="681"/>
      <c r="F37" s="681"/>
      <c r="G37" s="681"/>
      <c r="H37" s="681"/>
      <c r="I37" s="682"/>
    </row>
    <row r="38" spans="1:9" ht="20.25" x14ac:dyDescent="0.3">
      <c r="A38" s="679" t="s">
        <v>86</v>
      </c>
      <c r="B38" s="680"/>
      <c r="C38" s="681"/>
      <c r="D38" s="681"/>
      <c r="E38" s="681"/>
      <c r="F38" s="681"/>
      <c r="G38" s="681"/>
      <c r="H38" s="681"/>
      <c r="I38" s="682"/>
    </row>
    <row r="39" spans="1:9" ht="20.25" x14ac:dyDescent="0.3">
      <c r="A39" s="679" t="s">
        <v>87</v>
      </c>
      <c r="B39" s="680"/>
      <c r="C39" s="681"/>
      <c r="D39" s="681"/>
      <c r="E39" s="681"/>
      <c r="F39" s="681"/>
      <c r="G39" s="681"/>
      <c r="H39" s="681"/>
      <c r="I39" s="682"/>
    </row>
    <row r="40" spans="1:9" ht="20.25" x14ac:dyDescent="0.3">
      <c r="A40" s="683" t="s">
        <v>88</v>
      </c>
      <c r="B40" s="684"/>
      <c r="C40" s="684"/>
      <c r="D40" s="684"/>
      <c r="E40" s="684"/>
      <c r="F40" s="684"/>
      <c r="G40" s="684"/>
      <c r="H40" s="684"/>
      <c r="I40" s="685"/>
    </row>
    <row r="41" spans="1:9" ht="20.25" x14ac:dyDescent="0.3">
      <c r="A41" s="679"/>
      <c r="B41" s="680"/>
      <c r="C41" s="681"/>
      <c r="D41" s="681"/>
      <c r="E41" s="681"/>
      <c r="F41" s="681"/>
      <c r="G41" s="681"/>
      <c r="H41" s="681"/>
      <c r="I41" s="682"/>
    </row>
    <row r="42" spans="1:9" ht="20.25" x14ac:dyDescent="0.3">
      <c r="A42" s="674"/>
      <c r="B42" s="675"/>
      <c r="C42" s="675"/>
      <c r="D42" s="675"/>
      <c r="E42" s="675"/>
      <c r="F42" s="675"/>
      <c r="G42" s="675"/>
      <c r="H42" s="675"/>
      <c r="I42" s="676"/>
    </row>
    <row r="43" spans="1:9" ht="20.25" x14ac:dyDescent="0.3">
      <c r="A43" s="677" t="s">
        <v>41</v>
      </c>
      <c r="B43" s="677"/>
      <c r="C43" s="677"/>
      <c r="D43" s="677"/>
      <c r="E43" s="677"/>
      <c r="F43" s="677"/>
      <c r="G43" s="677"/>
      <c r="H43" s="677"/>
      <c r="I43" s="677"/>
    </row>
    <row r="44" spans="1:9" ht="20.25" x14ac:dyDescent="0.3">
      <c r="A44" s="678"/>
      <c r="B44" s="678"/>
      <c r="C44" s="678"/>
      <c r="D44" s="678"/>
      <c r="E44" s="678"/>
      <c r="F44" s="678"/>
      <c r="G44" s="678"/>
      <c r="H44" s="678"/>
      <c r="I44" s="678"/>
    </row>
    <row r="45" spans="1:9" ht="20.25" x14ac:dyDescent="0.3">
      <c r="A45" s="678"/>
      <c r="B45" s="678"/>
      <c r="C45" s="678"/>
      <c r="D45" s="678"/>
      <c r="E45" s="678"/>
      <c r="F45" s="678"/>
      <c r="G45" s="678"/>
      <c r="H45" s="678"/>
      <c r="I45" s="678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0:C30"/>
    <mergeCell ref="F30:G30"/>
    <mergeCell ref="H30:I30"/>
    <mergeCell ref="A31:C31"/>
    <mergeCell ref="F31:G31"/>
    <mergeCell ref="H31:I31"/>
    <mergeCell ref="A37:I37"/>
    <mergeCell ref="A32:C32"/>
    <mergeCell ref="F32:G32"/>
    <mergeCell ref="H32:I32"/>
    <mergeCell ref="A33:C33"/>
    <mergeCell ref="F33:G33"/>
    <mergeCell ref="H33:I33"/>
    <mergeCell ref="A34:C34"/>
    <mergeCell ref="F34:G34"/>
    <mergeCell ref="H34:I34"/>
    <mergeCell ref="A35:I35"/>
    <mergeCell ref="A36:I36"/>
    <mergeCell ref="A42:I42"/>
    <mergeCell ref="A43:I43"/>
    <mergeCell ref="A44:I44"/>
    <mergeCell ref="A45:I45"/>
    <mergeCell ref="A38:I38"/>
    <mergeCell ref="A39:I39"/>
    <mergeCell ref="A40:I40"/>
    <mergeCell ref="A41:I41"/>
  </mergeCells>
  <pageMargins left="0.25" right="0.25" top="0.75" bottom="0.75" header="0.3" footer="0.3"/>
  <pageSetup scale="53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C34D1-2524-4BE7-98D3-427142252ECA}">
  <dimension ref="A1:Q90"/>
  <sheetViews>
    <sheetView topLeftCell="A6" workbookViewId="0">
      <selection activeCell="L44" sqref="L44"/>
    </sheetView>
  </sheetViews>
  <sheetFormatPr baseColWidth="10" defaultColWidth="8.42578125" defaultRowHeight="12.75" x14ac:dyDescent="0.2"/>
  <cols>
    <col min="1" max="1" width="11.140625" style="69" customWidth="1"/>
    <col min="2" max="2" width="44.28515625" style="69" bestFit="1" customWidth="1"/>
    <col min="3" max="3" width="10.42578125" style="69" bestFit="1" customWidth="1"/>
    <col min="4" max="4" width="10.42578125" style="69" customWidth="1"/>
    <col min="5" max="5" width="13.5703125" style="69" customWidth="1"/>
    <col min="6" max="6" width="11.7109375" style="69" customWidth="1"/>
    <col min="7" max="7" width="12.28515625" style="151" customWidth="1"/>
    <col min="8" max="8" width="10.42578125" style="142" bestFit="1" customWidth="1"/>
    <col min="9" max="9" width="4.5703125" style="142" customWidth="1"/>
    <col min="10" max="10" width="1.85546875" style="68" customWidth="1"/>
    <col min="11" max="11" width="7" style="69" bestFit="1" customWidth="1"/>
    <col min="12" max="12" width="6.28515625" style="69" customWidth="1"/>
    <col min="13" max="13" width="20.42578125" style="69" customWidth="1"/>
    <col min="14" max="14" width="6.42578125" style="69" bestFit="1" customWidth="1"/>
    <col min="15" max="16" width="8.42578125" style="69"/>
    <col min="17" max="17" width="3.28515625" style="69" customWidth="1"/>
    <col min="18" max="16384" width="8.42578125" style="69"/>
  </cols>
  <sheetData>
    <row r="1" spans="1:10" ht="27.75" customHeight="1" x14ac:dyDescent="0.2">
      <c r="A1" s="64"/>
      <c r="B1" s="64"/>
      <c r="C1" s="64"/>
      <c r="D1" s="64"/>
      <c r="E1" s="65" t="s">
        <v>90</v>
      </c>
      <c r="F1" s="66" t="s">
        <v>91</v>
      </c>
      <c r="G1" s="66" t="s">
        <v>92</v>
      </c>
      <c r="H1" s="66" t="s">
        <v>93</v>
      </c>
      <c r="I1" s="67"/>
    </row>
    <row r="2" spans="1:10" ht="30.75" customHeight="1" x14ac:dyDescent="0.2">
      <c r="A2" s="64"/>
      <c r="B2" s="64"/>
      <c r="C2" s="64"/>
      <c r="D2" s="64"/>
      <c r="E2" s="70">
        <f>IFERROR(O61,"")</f>
        <v>3472.974976422387</v>
      </c>
      <c r="F2" s="70">
        <f>IFERROR(H52,"")</f>
        <v>1906.4866666666667</v>
      </c>
      <c r="G2" s="70">
        <f>IFERROR(H53,"")</f>
        <v>340.04952380952381</v>
      </c>
      <c r="H2" s="70">
        <f>IFERROR(H55,"")</f>
        <v>669.75735119047613</v>
      </c>
      <c r="I2" s="71"/>
    </row>
    <row r="3" spans="1:10" ht="15" customHeight="1" x14ac:dyDescent="0.2">
      <c r="A3" s="64"/>
      <c r="B3" s="64"/>
      <c r="C3" s="64"/>
      <c r="D3" s="64"/>
      <c r="E3" s="64"/>
      <c r="F3" s="72"/>
      <c r="G3" s="72"/>
      <c r="H3" s="72"/>
      <c r="I3" s="72"/>
    </row>
    <row r="4" spans="1:10" ht="24.75" customHeight="1" thickBot="1" x14ac:dyDescent="0.25">
      <c r="A4" s="437"/>
      <c r="B4" s="437"/>
      <c r="C4" s="437"/>
      <c r="D4" s="437"/>
      <c r="E4" s="437"/>
      <c r="F4" s="437"/>
      <c r="G4" s="437"/>
      <c r="H4" s="437"/>
      <c r="I4" s="73"/>
    </row>
    <row r="5" spans="1:10" ht="19.5" customHeight="1" thickBot="1" x14ac:dyDescent="0.25">
      <c r="A5" s="438" t="s">
        <v>94</v>
      </c>
      <c r="B5" s="439"/>
      <c r="C5" s="439"/>
      <c r="D5" s="439"/>
      <c r="E5" s="439"/>
      <c r="F5" s="439"/>
      <c r="G5" s="439"/>
      <c r="H5" s="440"/>
      <c r="I5" s="74"/>
    </row>
    <row r="6" spans="1:10" ht="19.5" thickBot="1" x14ac:dyDescent="0.25">
      <c r="A6" s="74"/>
      <c r="B6" s="74"/>
      <c r="C6" s="74"/>
      <c r="D6" s="74"/>
      <c r="E6" s="74"/>
      <c r="F6" s="441" t="s">
        <v>95</v>
      </c>
      <c r="G6" s="441"/>
      <c r="H6" s="75">
        <f ca="1">TODAY()</f>
        <v>46034</v>
      </c>
      <c r="I6" s="75"/>
    </row>
    <row r="7" spans="1:10" ht="26.25" thickBot="1" x14ac:dyDescent="0.25">
      <c r="A7" s="76" t="s">
        <v>96</v>
      </c>
      <c r="B7" s="77" t="s">
        <v>97</v>
      </c>
      <c r="C7" s="77" t="s">
        <v>96</v>
      </c>
      <c r="D7" s="78" t="s">
        <v>98</v>
      </c>
      <c r="E7" s="78" t="s">
        <v>99</v>
      </c>
      <c r="F7" s="78" t="s">
        <v>100</v>
      </c>
      <c r="G7" s="78" t="s">
        <v>101</v>
      </c>
      <c r="H7" s="79" t="s">
        <v>102</v>
      </c>
      <c r="I7" s="80"/>
    </row>
    <row r="8" spans="1:10" ht="13.5" x14ac:dyDescent="0.25">
      <c r="A8" s="81">
        <v>110</v>
      </c>
      <c r="B8" t="s">
        <v>81</v>
      </c>
      <c r="C8" s="82">
        <f>+A8</f>
        <v>110</v>
      </c>
      <c r="D8" s="83" t="s">
        <v>141</v>
      </c>
      <c r="E8" s="83">
        <v>2.56</v>
      </c>
      <c r="F8" s="83">
        <f>IFERROR(C8*E8,"")</f>
        <v>281.60000000000002</v>
      </c>
      <c r="G8" s="84">
        <f t="shared" ref="G8:G14" si="0">IFERROR(F8/$F$65,"")</f>
        <v>9.9728511657668731E-2</v>
      </c>
      <c r="H8" s="85" t="s">
        <v>80</v>
      </c>
      <c r="I8" s="85"/>
      <c r="J8" s="86"/>
    </row>
    <row r="9" spans="1:10" ht="13.5" hidden="1" x14ac:dyDescent="0.25">
      <c r="A9" s="81"/>
      <c r="B9" s="69" t="str">
        <f>IFERROR(VLOOKUP(H9,'[1]Consolidado MP Planta'!$A$2:$M$823,3,0),"")</f>
        <v/>
      </c>
      <c r="C9" s="82">
        <f t="shared" ref="C9:C14" si="1">+A9</f>
        <v>0</v>
      </c>
      <c r="D9" s="83" t="str">
        <f>IFERROR(VLOOKUP(H9,'[1]Consolidado MP Planta'!$A$2:$M$823,13,0),"")</f>
        <v/>
      </c>
      <c r="E9" s="83" t="str">
        <f>IFERROR(VLOOKUP(H9,'[1]Consolidado MP Planta'!$A$2:$M$823,12,0),"")</f>
        <v/>
      </c>
      <c r="F9" s="83" t="str">
        <f t="shared" ref="F9:F14" si="2">IFERROR(C9*E9,"")</f>
        <v/>
      </c>
      <c r="G9" s="84" t="str">
        <f t="shared" si="0"/>
        <v/>
      </c>
      <c r="H9" s="85"/>
      <c r="I9" s="85"/>
      <c r="J9" s="86"/>
    </row>
    <row r="10" spans="1:10" ht="13.5" hidden="1" x14ac:dyDescent="0.25">
      <c r="A10" s="81"/>
      <c r="B10" s="69" t="str">
        <f>IFERROR(VLOOKUP(H10,'[1]Consolidado MP Planta'!$A$2:$M$823,3,0),"")</f>
        <v/>
      </c>
      <c r="C10" s="82">
        <f t="shared" si="1"/>
        <v>0</v>
      </c>
      <c r="D10" s="83" t="str">
        <f>IFERROR(VLOOKUP(H10,'[1]Consolidado MP Planta'!$A$2:$M$823,13,0),"")</f>
        <v/>
      </c>
      <c r="E10" s="83" t="str">
        <f>IFERROR(VLOOKUP(H10,'[1]Consolidado MP Planta'!$A$2:$M$823,12,0),"")</f>
        <v/>
      </c>
      <c r="F10" s="83" t="str">
        <f t="shared" si="2"/>
        <v/>
      </c>
      <c r="G10" s="84" t="str">
        <f t="shared" si="0"/>
        <v/>
      </c>
      <c r="H10" s="85"/>
      <c r="I10" s="85"/>
      <c r="J10" s="86"/>
    </row>
    <row r="11" spans="1:10" ht="13.5" hidden="1" x14ac:dyDescent="0.25">
      <c r="A11" s="81"/>
      <c r="B11" s="69" t="str">
        <f>IFERROR(VLOOKUP(H11,'[1]Consolidado MP Planta'!$A$2:$M$823,3,0),"")</f>
        <v/>
      </c>
      <c r="C11" s="82">
        <f t="shared" si="1"/>
        <v>0</v>
      </c>
      <c r="D11" s="83" t="str">
        <f>IFERROR(VLOOKUP(H11,'[1]Consolidado MP Planta'!$A$2:$M$823,13,0),"")</f>
        <v/>
      </c>
      <c r="E11" s="83" t="str">
        <f>IFERROR(VLOOKUP(H11,'[1]Consolidado MP Planta'!$A$2:$M$823,12,0),"")</f>
        <v/>
      </c>
      <c r="F11" s="83" t="str">
        <f t="shared" si="2"/>
        <v/>
      </c>
      <c r="G11" s="84" t="str">
        <f t="shared" si="0"/>
        <v/>
      </c>
      <c r="H11" s="85"/>
      <c r="I11" s="85"/>
      <c r="J11" s="86"/>
    </row>
    <row r="12" spans="1:10" ht="13.5" hidden="1" x14ac:dyDescent="0.25">
      <c r="A12" s="81"/>
      <c r="B12" s="69" t="str">
        <f>IFERROR(VLOOKUP(H12,'[1]Consolidado MP Planta'!$A$2:$M$823,3,0),"")</f>
        <v/>
      </c>
      <c r="C12" s="82">
        <f t="shared" si="1"/>
        <v>0</v>
      </c>
      <c r="D12" s="83" t="str">
        <f>IFERROR(VLOOKUP(H12,'[1]Consolidado MP Planta'!$A$2:$M$823,13,0),"")</f>
        <v/>
      </c>
      <c r="E12" s="83" t="str">
        <f>IFERROR(VLOOKUP(H12,'[1]Consolidado MP Planta'!$A$2:$M$823,12,0),"")</f>
        <v/>
      </c>
      <c r="F12" s="83" t="str">
        <f t="shared" si="2"/>
        <v/>
      </c>
      <c r="G12" s="84" t="str">
        <f t="shared" si="0"/>
        <v/>
      </c>
      <c r="H12" s="85"/>
      <c r="I12" s="85"/>
      <c r="J12" s="86"/>
    </row>
    <row r="13" spans="1:10" ht="13.5" hidden="1" x14ac:dyDescent="0.25">
      <c r="A13" s="81"/>
      <c r="B13" s="69" t="str">
        <f>IFERROR(VLOOKUP(H13,'[1]Consolidado MP Planta'!$A$2:$M$823,3,0),"")</f>
        <v/>
      </c>
      <c r="C13" s="82">
        <f t="shared" si="1"/>
        <v>0</v>
      </c>
      <c r="D13" s="83" t="str">
        <f>IFERROR(VLOOKUP(H13,'[1]Consolidado MP Planta'!$A$2:$M$823,13,0),"")</f>
        <v/>
      </c>
      <c r="E13" s="83" t="str">
        <f>IFERROR(VLOOKUP(H13,'[1]Consolidado MP Planta'!$A$2:$M$823,12,0),"")</f>
        <v/>
      </c>
      <c r="F13" s="83" t="str">
        <f t="shared" si="2"/>
        <v/>
      </c>
      <c r="G13" s="84" t="str">
        <f t="shared" si="0"/>
        <v/>
      </c>
      <c r="H13" s="85"/>
      <c r="I13" s="85"/>
      <c r="J13" s="86"/>
    </row>
    <row r="14" spans="1:10" ht="13.5" hidden="1" x14ac:dyDescent="0.25">
      <c r="A14" s="81"/>
      <c r="B14" s="69" t="str">
        <f>IFERROR(VLOOKUP(H14,'[1]Consolidado MP Planta'!$A$2:$M$823,3,0),"")</f>
        <v/>
      </c>
      <c r="C14" s="82">
        <f t="shared" si="1"/>
        <v>0</v>
      </c>
      <c r="D14" s="83" t="str">
        <f>IFERROR(VLOOKUP(H14,'[1]Consolidado MP Planta'!$A$2:$M$823,13,0),"")</f>
        <v/>
      </c>
      <c r="E14" s="83" t="str">
        <f>IFERROR(VLOOKUP(H14,'[1]Consolidado MP Planta'!$A$2:$M$823,12,0),"")</f>
        <v/>
      </c>
      <c r="F14" s="83" t="str">
        <f t="shared" si="2"/>
        <v/>
      </c>
      <c r="G14" s="84" t="str">
        <f t="shared" si="0"/>
        <v/>
      </c>
      <c r="H14" s="85"/>
      <c r="I14" s="85"/>
      <c r="J14" s="86"/>
    </row>
    <row r="15" spans="1:10" ht="14.25" thickBot="1" x14ac:dyDescent="0.3">
      <c r="A15" s="81"/>
      <c r="B15" s="69" t="str">
        <f>IFERROR(VLOOKUP(H15,'[2]ARTICULOS MP PLANTA'!$A$2:$G$589,2,0),"")</f>
        <v/>
      </c>
      <c r="C15" s="82"/>
      <c r="D15" s="83"/>
      <c r="E15" s="83"/>
      <c r="F15" s="83"/>
      <c r="G15" s="84"/>
      <c r="H15" s="85"/>
      <c r="I15" s="85"/>
      <c r="J15" s="86"/>
    </row>
    <row r="16" spans="1:10" ht="26.25" thickBot="1" x14ac:dyDescent="0.25">
      <c r="A16" s="76" t="s">
        <v>96</v>
      </c>
      <c r="B16" s="77" t="s">
        <v>103</v>
      </c>
      <c r="C16" s="77" t="s">
        <v>96</v>
      </c>
      <c r="D16" s="78" t="s">
        <v>98</v>
      </c>
      <c r="E16" s="78" t="s">
        <v>99</v>
      </c>
      <c r="F16" s="78" t="s">
        <v>100</v>
      </c>
      <c r="G16" s="78" t="s">
        <v>101</v>
      </c>
      <c r="H16" s="79" t="s">
        <v>102</v>
      </c>
      <c r="I16" s="80"/>
      <c r="J16" s="86"/>
    </row>
    <row r="17" spans="1:12" ht="13.5" x14ac:dyDescent="0.25">
      <c r="A17" s="81">
        <v>100</v>
      </c>
      <c r="B17" s="69" t="s">
        <v>66</v>
      </c>
      <c r="C17" s="82">
        <f>+A17</f>
        <v>100</v>
      </c>
      <c r="D17" s="82" t="s">
        <v>141</v>
      </c>
      <c r="E17" s="83">
        <v>2.35</v>
      </c>
      <c r="F17" s="83">
        <f>IFERROR(E17*C17,"")</f>
        <v>235</v>
      </c>
      <c r="G17" s="84">
        <f t="shared" ref="G17:G24" si="3">IFERROR(F17/$F$65,"")</f>
        <v>8.3225142896136903E-2</v>
      </c>
      <c r="H17" s="85" t="s">
        <v>31</v>
      </c>
      <c r="I17" s="85"/>
      <c r="J17" s="86"/>
    </row>
    <row r="18" spans="1:12" ht="13.5" x14ac:dyDescent="0.25">
      <c r="A18" s="81">
        <v>300</v>
      </c>
      <c r="B18" s="69" t="s">
        <v>68</v>
      </c>
      <c r="C18" s="82">
        <f t="shared" ref="C18:C24" si="4">+A18</f>
        <v>300</v>
      </c>
      <c r="D18" s="82" t="s">
        <v>141</v>
      </c>
      <c r="E18" s="83">
        <f>+'Costo Mousse de Queso'!E69</f>
        <v>2.3130000000000002</v>
      </c>
      <c r="F18" s="83">
        <f t="shared" ref="F18:F24" si="5">IFERROR(E18*C18,"")</f>
        <v>693.90000000000009</v>
      </c>
      <c r="G18" s="84">
        <f t="shared" si="3"/>
        <v>0.24574436874735917</v>
      </c>
      <c r="H18" s="85" t="s">
        <v>42</v>
      </c>
      <c r="I18" s="85"/>
      <c r="J18" s="86"/>
    </row>
    <row r="19" spans="1:12" ht="13.5" x14ac:dyDescent="0.25">
      <c r="A19" s="81">
        <v>250</v>
      </c>
      <c r="B19" s="69" t="s">
        <v>69</v>
      </c>
      <c r="C19" s="82">
        <f>+A19</f>
        <v>250</v>
      </c>
      <c r="D19" s="82" t="s">
        <v>141</v>
      </c>
      <c r="E19" s="83">
        <f>+'Costo de Relleno'!E69</f>
        <v>2.4680666666666666</v>
      </c>
      <c r="F19" s="83">
        <f>IFERROR(E19*C19,"")</f>
        <v>617.01666666666665</v>
      </c>
      <c r="G19" s="84">
        <f t="shared" si="3"/>
        <v>0.21851617128779319</v>
      </c>
      <c r="H19" s="85" t="s">
        <v>42</v>
      </c>
      <c r="I19" s="85"/>
      <c r="J19" s="86"/>
    </row>
    <row r="20" spans="1:12" ht="13.5" x14ac:dyDescent="0.25">
      <c r="A20" s="81">
        <v>20</v>
      </c>
      <c r="B20" s="69" t="s">
        <v>72</v>
      </c>
      <c r="C20" s="82">
        <f>+A20</f>
        <v>20</v>
      </c>
      <c r="D20" s="82" t="s">
        <v>141</v>
      </c>
      <c r="E20" s="83">
        <v>2.27</v>
      </c>
      <c r="F20" s="83">
        <f>IFERROR(E20*C20,"")</f>
        <v>45.4</v>
      </c>
      <c r="G20" s="84">
        <f t="shared" si="3"/>
        <v>1.6078389308445171E-2</v>
      </c>
      <c r="H20" s="85" t="s">
        <v>71</v>
      </c>
      <c r="I20" s="85"/>
      <c r="J20" s="86"/>
    </row>
    <row r="21" spans="1:12" ht="13.5" x14ac:dyDescent="0.25">
      <c r="A21" s="81">
        <v>30</v>
      </c>
      <c r="B21" s="69" t="s">
        <v>73</v>
      </c>
      <c r="C21" s="82">
        <f>+A21</f>
        <v>30</v>
      </c>
      <c r="D21" s="82" t="s">
        <v>141</v>
      </c>
      <c r="E21" s="83">
        <f>+'Costo Crumble'!E69</f>
        <v>1.119</v>
      </c>
      <c r="F21" s="83">
        <f>IFERROR(E21*C21,"")</f>
        <v>33.57</v>
      </c>
      <c r="G21" s="84">
        <f t="shared" si="3"/>
        <v>1.1888800200099216E-2</v>
      </c>
      <c r="H21" s="85" t="s">
        <v>42</v>
      </c>
      <c r="I21" s="85"/>
      <c r="J21" s="86"/>
    </row>
    <row r="22" spans="1:12" ht="13.5" hidden="1" x14ac:dyDescent="0.25">
      <c r="A22" s="81"/>
      <c r="B22" s="69" t="str">
        <f>IFERROR(VLOOKUP(H22,[1]SEMIELABORADOS!$A$2:$M$6000,2,0),"")</f>
        <v/>
      </c>
      <c r="C22" s="82">
        <f t="shared" si="4"/>
        <v>0</v>
      </c>
      <c r="D22" s="82" t="str">
        <f>IFERROR(VLOOKUP(H22,[1]SEMIELABORADOS!$A$2:$M$6000,6,0),"")</f>
        <v/>
      </c>
      <c r="E22" s="83" t="str">
        <f>IFERROR(VLOOKUP(H22,[1]SEMIELABORADOS!$A$2:$H$65536,8,0),"")</f>
        <v/>
      </c>
      <c r="F22" s="83" t="str">
        <f t="shared" si="5"/>
        <v/>
      </c>
      <c r="G22" s="84" t="str">
        <f t="shared" si="3"/>
        <v/>
      </c>
      <c r="H22" s="85"/>
      <c r="I22" s="85"/>
      <c r="J22" s="86"/>
    </row>
    <row r="23" spans="1:12" ht="13.5" hidden="1" x14ac:dyDescent="0.25">
      <c r="A23" s="81"/>
      <c r="B23" s="69" t="str">
        <f>IFERROR(VLOOKUP(H23,[1]SEMIELABORADOS!$A$2:$M$6000,2,0),"")</f>
        <v/>
      </c>
      <c r="C23" s="82">
        <f t="shared" si="4"/>
        <v>0</v>
      </c>
      <c r="D23" s="82" t="str">
        <f>IFERROR(VLOOKUP(H23,[1]SEMIELABORADOS!$A$2:$M$6000,6,0),"")</f>
        <v/>
      </c>
      <c r="E23" s="83" t="str">
        <f>IFERROR(VLOOKUP(H23,[1]SEMIELABORADOS!$A$2:$H$65536,8,0),"")</f>
        <v/>
      </c>
      <c r="F23" s="83" t="str">
        <f t="shared" si="5"/>
        <v/>
      </c>
      <c r="G23" s="84" t="str">
        <f t="shared" si="3"/>
        <v/>
      </c>
      <c r="H23" s="85"/>
      <c r="I23" s="85"/>
      <c r="J23" s="86"/>
    </row>
    <row r="24" spans="1:12" ht="13.5" hidden="1" x14ac:dyDescent="0.25">
      <c r="A24" s="81"/>
      <c r="B24" s="69" t="str">
        <f>IFERROR(VLOOKUP(H24,[1]SEMIELABORADOS!$A$2:$M$6000,2,0),"")</f>
        <v/>
      </c>
      <c r="C24" s="82">
        <f t="shared" si="4"/>
        <v>0</v>
      </c>
      <c r="D24" s="82" t="str">
        <f>IFERROR(VLOOKUP(H24,[1]SEMIELABORADOS!$A$2:$M$6000,6,0),"")</f>
        <v/>
      </c>
      <c r="E24" s="83" t="str">
        <f>IFERROR(VLOOKUP(H24,[1]SEMIELABORADOS!$A$2:$H$65536,8,0),"")</f>
        <v/>
      </c>
      <c r="F24" s="83" t="str">
        <f t="shared" si="5"/>
        <v/>
      </c>
      <c r="G24" s="84" t="str">
        <f t="shared" si="3"/>
        <v/>
      </c>
      <c r="H24" s="85"/>
      <c r="I24" s="85"/>
      <c r="J24" s="86"/>
    </row>
    <row r="25" spans="1:12" ht="14.25" thickBot="1" x14ac:dyDescent="0.3">
      <c r="A25" s="81"/>
      <c r="C25" s="82"/>
      <c r="D25" s="82"/>
      <c r="E25" s="83"/>
      <c r="F25" s="83"/>
      <c r="G25" s="84"/>
      <c r="H25" s="85"/>
      <c r="I25" s="85"/>
      <c r="J25" s="86"/>
    </row>
    <row r="26" spans="1:12" ht="26.25" thickBot="1" x14ac:dyDescent="0.25">
      <c r="A26" s="76" t="s">
        <v>96</v>
      </c>
      <c r="B26" s="77" t="s">
        <v>74</v>
      </c>
      <c r="C26" s="77" t="s">
        <v>96</v>
      </c>
      <c r="D26" s="78" t="s">
        <v>98</v>
      </c>
      <c r="E26" s="78" t="s">
        <v>99</v>
      </c>
      <c r="F26" s="78" t="s">
        <v>100</v>
      </c>
      <c r="G26" s="78" t="s">
        <v>101</v>
      </c>
      <c r="H26" s="79" t="s">
        <v>102</v>
      </c>
      <c r="I26" s="80"/>
    </row>
    <row r="27" spans="1:12" ht="13.5" x14ac:dyDescent="0.25">
      <c r="A27" s="81">
        <v>1</v>
      </c>
      <c r="B27" s="87" t="s">
        <v>142</v>
      </c>
      <c r="C27" s="82">
        <f t="shared" ref="C27:C31" si="6">+A27</f>
        <v>1</v>
      </c>
      <c r="D27" s="83" t="s">
        <v>143</v>
      </c>
      <c r="E27" s="83">
        <v>245.63</v>
      </c>
      <c r="F27" s="83">
        <f t="shared" ref="F27:F31" si="7">IFERROR(C27*E27,"")</f>
        <v>245.63</v>
      </c>
      <c r="G27" s="84">
        <f>IFERROR(F27/$F$65,"")</f>
        <v>8.6989752551396196E-2</v>
      </c>
      <c r="H27" s="88" t="s">
        <v>42</v>
      </c>
      <c r="I27" s="88"/>
      <c r="J27" s="86"/>
      <c r="K27" s="436"/>
      <c r="L27" s="436"/>
    </row>
    <row r="28" spans="1:12" ht="13.5" x14ac:dyDescent="0.25">
      <c r="A28" s="81">
        <v>1</v>
      </c>
      <c r="B28" s="87" t="s">
        <v>144</v>
      </c>
      <c r="C28" s="82">
        <f t="shared" si="6"/>
        <v>1</v>
      </c>
      <c r="D28" s="83" t="s">
        <v>143</v>
      </c>
      <c r="E28" s="83">
        <v>85</v>
      </c>
      <c r="F28" s="83">
        <f t="shared" si="7"/>
        <v>85</v>
      </c>
      <c r="G28" s="84">
        <f>IFERROR(F28/$F$65,"")</f>
        <v>3.0102711260304837E-2</v>
      </c>
      <c r="H28" s="88" t="s">
        <v>42</v>
      </c>
      <c r="I28" s="88"/>
      <c r="J28" s="86"/>
      <c r="K28" s="436"/>
      <c r="L28" s="436"/>
    </row>
    <row r="29" spans="1:12" ht="13.5" x14ac:dyDescent="0.25">
      <c r="A29" s="81">
        <v>1</v>
      </c>
      <c r="B29" s="87" t="s">
        <v>39</v>
      </c>
      <c r="C29" s="82">
        <f t="shared" si="6"/>
        <v>1</v>
      </c>
      <c r="D29" s="83" t="s">
        <v>143</v>
      </c>
      <c r="E29" s="83">
        <v>1.74</v>
      </c>
      <c r="F29" s="83">
        <f t="shared" si="7"/>
        <v>1.74</v>
      </c>
      <c r="G29" s="84">
        <f>IFERROR(F29/$F$65,"")</f>
        <v>6.162202069756519E-4</v>
      </c>
      <c r="H29" s="88" t="s">
        <v>30</v>
      </c>
      <c r="I29" s="88"/>
      <c r="J29" s="86"/>
      <c r="K29" s="436"/>
      <c r="L29" s="436"/>
    </row>
    <row r="30" spans="1:12" ht="13.5" x14ac:dyDescent="0.25">
      <c r="A30" s="81">
        <v>1</v>
      </c>
      <c r="B30" s="87" t="s">
        <v>145</v>
      </c>
      <c r="C30" s="82">
        <f t="shared" si="6"/>
        <v>1</v>
      </c>
      <c r="D30" s="83" t="s">
        <v>143</v>
      </c>
      <c r="E30" s="83">
        <v>0.39</v>
      </c>
      <c r="F30" s="83">
        <f t="shared" si="7"/>
        <v>0.39</v>
      </c>
      <c r="G30" s="84">
        <f>IFERROR(F30/$F$65,"")</f>
        <v>1.3811832225316337E-4</v>
      </c>
      <c r="H30" s="88" t="s">
        <v>76</v>
      </c>
      <c r="I30" s="88"/>
      <c r="J30" s="86"/>
      <c r="K30" s="89"/>
      <c r="L30" s="90"/>
    </row>
    <row r="31" spans="1:12" ht="13.5" x14ac:dyDescent="0.25">
      <c r="A31" s="81">
        <v>1</v>
      </c>
      <c r="B31" s="87" t="s">
        <v>146</v>
      </c>
      <c r="C31" s="82">
        <f t="shared" si="6"/>
        <v>1</v>
      </c>
      <c r="D31" s="83" t="s">
        <v>143</v>
      </c>
      <c r="E31" s="83">
        <v>2.13</v>
      </c>
      <c r="F31" s="83">
        <f t="shared" si="7"/>
        <v>2.13</v>
      </c>
      <c r="G31" s="84">
        <f>IFERROR(F31/$F$65,"")</f>
        <v>7.543385292288153E-4</v>
      </c>
      <c r="H31" s="88" t="s">
        <v>78</v>
      </c>
      <c r="I31" s="88"/>
      <c r="J31" s="86"/>
    </row>
    <row r="32" spans="1:12" ht="14.25" thickBot="1" x14ac:dyDescent="0.3">
      <c r="A32" s="81"/>
      <c r="B32" s="87"/>
      <c r="C32" s="82"/>
      <c r="D32" s="83"/>
      <c r="E32" s="83"/>
      <c r="F32" s="83"/>
      <c r="G32" s="84"/>
      <c r="H32" s="88"/>
      <c r="I32" s="88"/>
      <c r="J32" s="86"/>
    </row>
    <row r="33" spans="1:13" ht="26.25" thickBot="1" x14ac:dyDescent="0.25">
      <c r="A33" s="76" t="s">
        <v>96</v>
      </c>
      <c r="B33" s="77" t="s">
        <v>104</v>
      </c>
      <c r="C33" s="77" t="s">
        <v>96</v>
      </c>
      <c r="D33" s="78" t="s">
        <v>98</v>
      </c>
      <c r="E33" s="78" t="s">
        <v>99</v>
      </c>
      <c r="F33" s="78" t="s">
        <v>100</v>
      </c>
      <c r="G33" s="78" t="s">
        <v>101</v>
      </c>
      <c r="H33" s="79" t="s">
        <v>102</v>
      </c>
      <c r="I33" s="88"/>
      <c r="J33" s="86"/>
    </row>
    <row r="34" spans="1:13" ht="13.5" x14ac:dyDescent="0.25">
      <c r="A34" s="81">
        <f t="shared" ref="A34:A40" si="8">+A17</f>
        <v>100</v>
      </c>
      <c r="B34" s="69" t="s">
        <v>66</v>
      </c>
      <c r="C34" s="82">
        <f>+A34</f>
        <v>100</v>
      </c>
      <c r="D34" s="82" t="s">
        <v>141</v>
      </c>
      <c r="E34" s="83">
        <v>0.01</v>
      </c>
      <c r="F34" s="83">
        <f>IFERROR(E34*C34,"")</f>
        <v>1</v>
      </c>
      <c r="G34" s="84">
        <f t="shared" ref="G34:G40" si="9">IFERROR(F34/$F$65,"")</f>
        <v>3.5414954423888042E-4</v>
      </c>
      <c r="H34" s="85" t="s">
        <v>31</v>
      </c>
      <c r="I34" s="88"/>
      <c r="J34" s="86"/>
    </row>
    <row r="35" spans="1:13" ht="13.5" x14ac:dyDescent="0.25">
      <c r="A35" s="81">
        <f t="shared" si="8"/>
        <v>300</v>
      </c>
      <c r="B35" s="69" t="s">
        <v>68</v>
      </c>
      <c r="C35" s="82">
        <f t="shared" ref="C35:C40" si="10">+A35</f>
        <v>300</v>
      </c>
      <c r="D35" s="82" t="s">
        <v>141</v>
      </c>
      <c r="E35" s="83">
        <f>+'Costo Mousse de Queso'!E76</f>
        <v>5.0000000000000001E-3</v>
      </c>
      <c r="F35" s="83">
        <f t="shared" ref="F35:F40" si="11">IFERROR(E35*C35,"")</f>
        <v>1.5</v>
      </c>
      <c r="G35" s="84">
        <f t="shared" si="9"/>
        <v>5.3122431635832068E-4</v>
      </c>
      <c r="H35" s="85" t="s">
        <v>42</v>
      </c>
      <c r="I35" s="88"/>
      <c r="J35" s="86"/>
    </row>
    <row r="36" spans="1:13" ht="13.5" x14ac:dyDescent="0.25">
      <c r="A36" s="81">
        <f t="shared" si="8"/>
        <v>250</v>
      </c>
      <c r="B36" s="69" t="s">
        <v>69</v>
      </c>
      <c r="C36" s="82">
        <f t="shared" si="10"/>
        <v>250</v>
      </c>
      <c r="D36" s="83" t="s">
        <v>141</v>
      </c>
      <c r="E36" s="83">
        <f>+'Costo de Relleno'!E76</f>
        <v>8.6666666666666663E-3</v>
      </c>
      <c r="F36" s="83">
        <f t="shared" si="11"/>
        <v>2.1666666666666665</v>
      </c>
      <c r="G36" s="84">
        <f t="shared" si="9"/>
        <v>7.6732401251757422E-4</v>
      </c>
      <c r="H36" s="88" t="s">
        <v>42</v>
      </c>
      <c r="I36" s="88"/>
      <c r="J36" s="86"/>
    </row>
    <row r="37" spans="1:13" ht="13.5" x14ac:dyDescent="0.25">
      <c r="A37" s="81">
        <f t="shared" si="8"/>
        <v>20</v>
      </c>
      <c r="B37" s="69" t="s">
        <v>72</v>
      </c>
      <c r="C37" s="82">
        <f>+A37</f>
        <v>20</v>
      </c>
      <c r="D37" s="83" t="s">
        <v>141</v>
      </c>
      <c r="E37" s="83">
        <v>0</v>
      </c>
      <c r="F37" s="83">
        <f>IFERROR(E37*C37,"")</f>
        <v>0</v>
      </c>
      <c r="G37" s="84">
        <f t="shared" si="9"/>
        <v>0</v>
      </c>
      <c r="H37" s="88" t="s">
        <v>71</v>
      </c>
      <c r="I37" s="88"/>
      <c r="J37" s="86"/>
    </row>
    <row r="38" spans="1:13" ht="13.5" x14ac:dyDescent="0.25">
      <c r="A38" s="81">
        <f t="shared" si="8"/>
        <v>30</v>
      </c>
      <c r="B38" s="69" t="s">
        <v>73</v>
      </c>
      <c r="C38" s="82">
        <f>+A38</f>
        <v>30</v>
      </c>
      <c r="D38" s="83" t="s">
        <v>141</v>
      </c>
      <c r="E38" s="83">
        <f>+'Costo Crumble'!E76</f>
        <v>1.6428571428571428E-2</v>
      </c>
      <c r="F38" s="83">
        <f>IFERROR(E38*C38,"")</f>
        <v>0.49285714285714283</v>
      </c>
      <c r="G38" s="84">
        <f t="shared" si="9"/>
        <v>1.7454513251773392E-4</v>
      </c>
      <c r="H38" s="88" t="s">
        <v>42</v>
      </c>
      <c r="I38" s="88"/>
      <c r="J38" s="86"/>
    </row>
    <row r="39" spans="1:13" ht="13.5" hidden="1" x14ac:dyDescent="0.25">
      <c r="A39" s="81">
        <f t="shared" si="8"/>
        <v>0</v>
      </c>
      <c r="B39" s="87" t="str">
        <f>IFERROR(VLOOKUP(H39,[1]SEMIELABORADOS!$A$2:$M$6000,2,0),"")</f>
        <v/>
      </c>
      <c r="C39" s="82">
        <f t="shared" si="10"/>
        <v>0</v>
      </c>
      <c r="D39" s="83" t="str">
        <f>IFERROR(VLOOKUP(H39,[1]SEMIELABORADOS!$A$2:$M$6000,6,0),"")</f>
        <v/>
      </c>
      <c r="E39" s="83" t="str">
        <f>IFERROR(VLOOKUP(H39,[1]SEMIELABORADOS!$A$2:$M$65536,10,0),"")</f>
        <v/>
      </c>
      <c r="F39" s="83" t="str">
        <f t="shared" si="11"/>
        <v/>
      </c>
      <c r="G39" s="84" t="str">
        <f t="shared" si="9"/>
        <v/>
      </c>
      <c r="H39" s="88"/>
      <c r="I39" s="88"/>
      <c r="J39" s="86"/>
    </row>
    <row r="40" spans="1:13" ht="13.5" hidden="1" x14ac:dyDescent="0.25">
      <c r="A40" s="81">
        <f t="shared" si="8"/>
        <v>0</v>
      </c>
      <c r="B40" s="87" t="str">
        <f>IFERROR(VLOOKUP(H40,[1]SEMIELABORADOS!$A$2:$M$6000,2,0),"")</f>
        <v/>
      </c>
      <c r="C40" s="82">
        <f t="shared" si="10"/>
        <v>0</v>
      </c>
      <c r="D40" s="83" t="str">
        <f>IFERROR(VLOOKUP(H40,[1]SEMIELABORADOS!$A$2:$M$6000,6,0),"")</f>
        <v/>
      </c>
      <c r="E40" s="83" t="str">
        <f>IFERROR(VLOOKUP(H40,[1]SEMIELABORADOS!$A$2:$M$65536,10,0),"")</f>
        <v/>
      </c>
      <c r="F40" s="83" t="str">
        <f t="shared" si="11"/>
        <v/>
      </c>
      <c r="G40" s="84" t="str">
        <f t="shared" si="9"/>
        <v/>
      </c>
      <c r="H40" s="88"/>
      <c r="I40" s="88"/>
      <c r="J40" s="86"/>
    </row>
    <row r="41" spans="1:13" ht="14.25" thickBot="1" x14ac:dyDescent="0.3">
      <c r="A41" s="81"/>
      <c r="B41" s="87"/>
      <c r="C41" s="82"/>
      <c r="D41" s="83"/>
      <c r="E41" s="83"/>
      <c r="F41" s="83"/>
      <c r="G41" s="84"/>
      <c r="H41" s="88"/>
      <c r="I41" s="88"/>
      <c r="J41" s="86"/>
    </row>
    <row r="42" spans="1:13" ht="26.25" thickBot="1" x14ac:dyDescent="0.25">
      <c r="A42" s="76" t="s">
        <v>96</v>
      </c>
      <c r="B42" s="77" t="s">
        <v>105</v>
      </c>
      <c r="C42" s="77" t="s">
        <v>96</v>
      </c>
      <c r="D42" s="78" t="s">
        <v>98</v>
      </c>
      <c r="E42" s="78" t="s">
        <v>99</v>
      </c>
      <c r="F42" s="78" t="s">
        <v>100</v>
      </c>
      <c r="G42" s="78" t="s">
        <v>101</v>
      </c>
      <c r="H42" s="79" t="s">
        <v>102</v>
      </c>
      <c r="I42" s="80"/>
      <c r="J42" s="86"/>
    </row>
    <row r="43" spans="1:13" ht="13.5" x14ac:dyDescent="0.25">
      <c r="A43" s="81">
        <f>+A34</f>
        <v>100</v>
      </c>
      <c r="B43" s="69" t="s">
        <v>66</v>
      </c>
      <c r="C43" s="82">
        <f>+A43</f>
        <v>100</v>
      </c>
      <c r="D43" s="82" t="s">
        <v>141</v>
      </c>
      <c r="E43" s="83">
        <v>0.16</v>
      </c>
      <c r="F43" s="83">
        <f>IFERROR(E43*C43,"")</f>
        <v>16</v>
      </c>
      <c r="G43" s="84">
        <f>IFERROR(F43/$F$65,"")</f>
        <v>5.6663927078220867E-3</v>
      </c>
      <c r="H43" s="85" t="s">
        <v>31</v>
      </c>
      <c r="I43" s="80"/>
      <c r="J43" s="86"/>
    </row>
    <row r="44" spans="1:13" ht="13.5" x14ac:dyDescent="0.25">
      <c r="A44" s="81">
        <f t="shared" ref="A44:A49" si="12">+A35</f>
        <v>300</v>
      </c>
      <c r="B44" s="69" t="s">
        <v>68</v>
      </c>
      <c r="C44" s="82">
        <f t="shared" ref="C44:C49" si="13">+A44</f>
        <v>300</v>
      </c>
      <c r="D44" s="82" t="s">
        <v>141</v>
      </c>
      <c r="E44" s="83">
        <f>+'Costo Mousse de Queso'!E74</f>
        <v>0.19765625000000001</v>
      </c>
      <c r="F44" s="83">
        <f t="shared" ref="F44:F49" si="14">IFERROR(E44*C44,"")</f>
        <v>59.296875</v>
      </c>
      <c r="G44" s="84">
        <f t="shared" ref="G44:G49" si="15">IFERROR(F44/$F$65,"")</f>
        <v>2.0999961256039864E-2</v>
      </c>
      <c r="H44" s="85" t="s">
        <v>42</v>
      </c>
      <c r="I44" s="80"/>
      <c r="J44" s="86"/>
      <c r="M44" s="91"/>
    </row>
    <row r="45" spans="1:13" ht="13.5" x14ac:dyDescent="0.25">
      <c r="A45" s="81">
        <f t="shared" si="12"/>
        <v>250</v>
      </c>
      <c r="B45" s="69" t="s">
        <v>69</v>
      </c>
      <c r="C45" s="82">
        <f t="shared" si="13"/>
        <v>250</v>
      </c>
      <c r="D45" s="83" t="s">
        <v>141</v>
      </c>
      <c r="E45" s="83">
        <f>+'Costo de Relleno'!E74</f>
        <v>0.21233333333333335</v>
      </c>
      <c r="F45" s="83">
        <f t="shared" si="14"/>
        <v>53.083333333333336</v>
      </c>
      <c r="G45" s="84">
        <f t="shared" si="15"/>
        <v>1.8799438306680571E-2</v>
      </c>
      <c r="H45" s="88" t="s">
        <v>42</v>
      </c>
      <c r="I45" s="80"/>
      <c r="J45" s="86"/>
    </row>
    <row r="46" spans="1:13" ht="13.5" x14ac:dyDescent="0.25">
      <c r="A46" s="81">
        <f t="shared" si="12"/>
        <v>20</v>
      </c>
      <c r="B46" s="69" t="s">
        <v>72</v>
      </c>
      <c r="C46" s="82">
        <f t="shared" si="13"/>
        <v>20</v>
      </c>
      <c r="D46" s="83" t="s">
        <v>141</v>
      </c>
      <c r="E46" s="83">
        <v>0.01</v>
      </c>
      <c r="F46" s="83">
        <f t="shared" si="14"/>
        <v>0.2</v>
      </c>
      <c r="G46" s="84">
        <f t="shared" si="15"/>
        <v>7.0829908847776086E-5</v>
      </c>
      <c r="H46" s="88" t="s">
        <v>71</v>
      </c>
      <c r="I46" s="80"/>
      <c r="J46" s="86"/>
    </row>
    <row r="47" spans="1:13" ht="13.5" x14ac:dyDescent="0.25">
      <c r="A47" s="81">
        <f t="shared" si="12"/>
        <v>30</v>
      </c>
      <c r="B47" s="69" t="s">
        <v>73</v>
      </c>
      <c r="C47" s="82">
        <f t="shared" si="13"/>
        <v>30</v>
      </c>
      <c r="D47" s="83" t="s">
        <v>141</v>
      </c>
      <c r="E47" s="83">
        <f>+'Costo Crumble'!E74</f>
        <v>7.2571428571428565E-2</v>
      </c>
      <c r="F47" s="83">
        <f t="shared" si="14"/>
        <v>2.177142857142857</v>
      </c>
      <c r="G47" s="84">
        <f t="shared" si="15"/>
        <v>7.7103415060007677E-4</v>
      </c>
      <c r="H47" s="88" t="s">
        <v>42</v>
      </c>
      <c r="I47" s="80"/>
      <c r="J47" s="86"/>
    </row>
    <row r="48" spans="1:13" ht="13.5" hidden="1" x14ac:dyDescent="0.25">
      <c r="A48" s="81">
        <f t="shared" si="12"/>
        <v>0</v>
      </c>
      <c r="B48" s="87" t="str">
        <f>IFERROR(VLOOKUP(H48,[1]SEMIELABORADOS!$A$2:$M$6000,2,0),"")</f>
        <v/>
      </c>
      <c r="C48" s="82">
        <f t="shared" si="13"/>
        <v>0</v>
      </c>
      <c r="D48" s="83" t="str">
        <f>IFERROR(VLOOKUP(H48,[1]SEMIELABORADOS!$A$2:$M$6000,6,0),"")</f>
        <v/>
      </c>
      <c r="E48" s="83" t="str">
        <f>IFERROR(VLOOKUP(H48,[1]SEMIELABORADOS!$A$2:$M$65536,12,0),"")</f>
        <v/>
      </c>
      <c r="F48" s="83" t="str">
        <f t="shared" si="14"/>
        <v/>
      </c>
      <c r="G48" s="84" t="str">
        <f t="shared" si="15"/>
        <v/>
      </c>
      <c r="H48" s="88"/>
      <c r="I48" s="80"/>
      <c r="J48" s="86"/>
    </row>
    <row r="49" spans="1:17" ht="13.5" hidden="1" x14ac:dyDescent="0.25">
      <c r="A49" s="81">
        <f t="shared" si="12"/>
        <v>0</v>
      </c>
      <c r="B49" s="87" t="str">
        <f>IFERROR(VLOOKUP(H49,[1]SEMIELABORADOS!$A$2:$M$6000,2,0),"")</f>
        <v/>
      </c>
      <c r="C49" s="82">
        <f t="shared" si="13"/>
        <v>0</v>
      </c>
      <c r="D49" s="83" t="str">
        <f>IFERROR(VLOOKUP(H49,[1]SEMIELABORADOS!$A$2:$M$6000,6,0),"")</f>
        <v/>
      </c>
      <c r="E49" s="83" t="str">
        <f>IFERROR(VLOOKUP(H49,[1]SEMIELABORADOS!$A$2:$M$65536,12,0),"")</f>
        <v/>
      </c>
      <c r="F49" s="83" t="str">
        <f t="shared" si="14"/>
        <v/>
      </c>
      <c r="G49" s="84" t="str">
        <f t="shared" si="15"/>
        <v/>
      </c>
      <c r="H49" s="87"/>
      <c r="I49" s="80"/>
      <c r="J49" s="86"/>
    </row>
    <row r="50" spans="1:17" ht="13.5" x14ac:dyDescent="0.25">
      <c r="A50" s="81">
        <v>1</v>
      </c>
      <c r="B50" s="87" t="s">
        <v>106</v>
      </c>
      <c r="C50" s="82">
        <f>+A50</f>
        <v>1</v>
      </c>
      <c r="D50" s="82" t="s">
        <v>107</v>
      </c>
      <c r="E50" s="83">
        <f>+F64</f>
        <v>539</v>
      </c>
      <c r="F50" s="83">
        <f>IFERROR(C50*E50,"")</f>
        <v>539</v>
      </c>
      <c r="G50" s="84">
        <f>IFERROR(F50/$F$65,"")</f>
        <v>0.19088660434475654</v>
      </c>
      <c r="H50" s="92"/>
      <c r="I50" s="92"/>
      <c r="J50" s="86"/>
    </row>
    <row r="51" spans="1:17" ht="14.25" thickBot="1" x14ac:dyDescent="0.3">
      <c r="A51" s="81"/>
      <c r="B51" s="87"/>
      <c r="C51" s="82"/>
      <c r="D51" s="82"/>
      <c r="E51" s="83"/>
      <c r="F51" s="83"/>
      <c r="G51" s="84"/>
      <c r="H51" s="92"/>
      <c r="I51" s="92"/>
      <c r="J51" s="86"/>
    </row>
    <row r="52" spans="1:17" ht="13.5" thickBot="1" x14ac:dyDescent="0.25">
      <c r="A52" s="93"/>
      <c r="B52" s="446" t="s">
        <v>108</v>
      </c>
      <c r="C52" s="446"/>
      <c r="D52" s="446"/>
      <c r="E52" s="446"/>
      <c r="F52" s="95">
        <f>SUM(F8:F14,F17:F24)</f>
        <v>1906.4866666666667</v>
      </c>
      <c r="G52" s="84">
        <f>+F52/$F$65</f>
        <v>0.67518138409750239</v>
      </c>
      <c r="H52" s="96">
        <f>+F52/$D$59</f>
        <v>1906.4866666666667</v>
      </c>
      <c r="I52" s="96"/>
      <c r="J52" s="97"/>
      <c r="K52" s="98"/>
      <c r="L52" s="98"/>
      <c r="M52" s="98"/>
      <c r="N52" s="98"/>
      <c r="O52" s="98"/>
      <c r="P52" s="98"/>
      <c r="Q52" s="99"/>
    </row>
    <row r="53" spans="1:17" x14ac:dyDescent="0.2">
      <c r="A53" s="93"/>
      <c r="B53" s="446" t="s">
        <v>109</v>
      </c>
      <c r="C53" s="446"/>
      <c r="D53" s="446"/>
      <c r="E53" s="446"/>
      <c r="F53" s="95">
        <f>SUM(F27:F31,F34:F40)</f>
        <v>340.04952380952381</v>
      </c>
      <c r="G53" s="84">
        <f>+F53/$F$65</f>
        <v>0.12042838387579118</v>
      </c>
      <c r="H53" s="96">
        <f>+F53/$D$59</f>
        <v>340.04952380952381</v>
      </c>
      <c r="I53" s="96"/>
      <c r="J53" s="100"/>
      <c r="K53" s="447" t="s">
        <v>110</v>
      </c>
      <c r="L53" s="448"/>
      <c r="M53" s="448"/>
      <c r="N53" s="448"/>
      <c r="O53" s="101">
        <f>+F54</f>
        <v>2246.5361904761903</v>
      </c>
      <c r="P53" s="101"/>
      <c r="Q53" s="102"/>
    </row>
    <row r="54" spans="1:17" x14ac:dyDescent="0.2">
      <c r="A54" s="93"/>
      <c r="B54" s="446" t="s">
        <v>111</v>
      </c>
      <c r="C54" s="446"/>
      <c r="D54" s="446"/>
      <c r="E54" s="446"/>
      <c r="F54" s="95">
        <f>+F52+F53</f>
        <v>2246.5361904761903</v>
      </c>
      <c r="G54" s="84">
        <f>+F54/$F$65</f>
        <v>0.79560976797329341</v>
      </c>
      <c r="H54" s="96">
        <f>+F54/$D$59</f>
        <v>2246.5361904761903</v>
      </c>
      <c r="I54" s="96"/>
      <c r="J54" s="103"/>
      <c r="K54" s="104"/>
      <c r="M54" s="105" t="s">
        <v>112</v>
      </c>
      <c r="N54" s="106"/>
      <c r="O54" s="101">
        <f>+H55</f>
        <v>669.75735119047613</v>
      </c>
      <c r="P54" s="101"/>
      <c r="Q54" s="102"/>
    </row>
    <row r="55" spans="1:17" ht="13.5" thickBot="1" x14ac:dyDescent="0.25">
      <c r="A55" s="93"/>
      <c r="B55" s="94"/>
      <c r="C55" s="446" t="s">
        <v>113</v>
      </c>
      <c r="D55" s="446"/>
      <c r="E55" s="446"/>
      <c r="F55" s="95">
        <f>SUM(F43:F50)</f>
        <v>669.75735119047613</v>
      </c>
      <c r="G55" s="84">
        <f>+F55/$F$65</f>
        <v>0.23719426067474689</v>
      </c>
      <c r="H55" s="96">
        <f>+F55/$D$59</f>
        <v>669.75735119047613</v>
      </c>
      <c r="I55" s="96"/>
      <c r="J55" s="103"/>
      <c r="K55" s="104"/>
      <c r="L55" s="104"/>
      <c r="M55" s="104" t="s">
        <v>114</v>
      </c>
      <c r="N55" s="107"/>
      <c r="O55" s="101">
        <f>O53*N55</f>
        <v>0</v>
      </c>
      <c r="P55" s="101"/>
      <c r="Q55" s="102"/>
    </row>
    <row r="56" spans="1:17" ht="13.5" thickBot="1" x14ac:dyDescent="0.25">
      <c r="A56" s="93"/>
      <c r="B56" s="108"/>
      <c r="C56" s="108"/>
      <c r="D56" s="108"/>
      <c r="E56" s="108"/>
      <c r="F56" s="109"/>
      <c r="G56" s="84"/>
      <c r="H56" s="110"/>
      <c r="I56" s="96"/>
      <c r="J56" s="103"/>
      <c r="K56" s="111"/>
      <c r="M56" s="112" t="s">
        <v>115</v>
      </c>
      <c r="N56" s="113"/>
      <c r="O56" s="114">
        <f>SUM(O53:O55)</f>
        <v>2916.2935416666664</v>
      </c>
      <c r="P56" s="115"/>
      <c r="Q56" s="102"/>
    </row>
    <row r="57" spans="1:17" x14ac:dyDescent="0.2">
      <c r="B57" s="449" t="s">
        <v>116</v>
      </c>
      <c r="C57" s="449"/>
      <c r="D57" s="116">
        <v>800</v>
      </c>
      <c r="E57" s="117"/>
      <c r="G57" s="84"/>
      <c r="H57" s="110">
        <f>+H55/77</f>
        <v>8.6981474180581309</v>
      </c>
      <c r="I57" s="118"/>
      <c r="J57" s="103"/>
      <c r="K57" s="111"/>
      <c r="L57" s="104"/>
      <c r="M57" s="104" t="s">
        <v>117</v>
      </c>
      <c r="N57" s="119"/>
      <c r="O57" s="101">
        <f>+H58</f>
        <v>556.68143475572037</v>
      </c>
      <c r="P57" s="101"/>
      <c r="Q57" s="102"/>
    </row>
    <row r="58" spans="1:17" x14ac:dyDescent="0.2">
      <c r="B58" s="449" t="s">
        <v>118</v>
      </c>
      <c r="C58" s="449"/>
      <c r="D58" s="120">
        <v>800</v>
      </c>
      <c r="E58" s="117"/>
      <c r="G58" s="84"/>
      <c r="H58" s="110">
        <f>+H57*64</f>
        <v>556.68143475572037</v>
      </c>
      <c r="I58" s="118"/>
      <c r="J58" s="103"/>
      <c r="K58" s="111"/>
      <c r="L58" s="104"/>
      <c r="M58" s="450" t="s">
        <v>115</v>
      </c>
      <c r="N58" s="450"/>
      <c r="O58" s="101">
        <f>SUM(O56:O57)</f>
        <v>3472.974976422387</v>
      </c>
      <c r="P58" s="101"/>
      <c r="Q58" s="102"/>
    </row>
    <row r="59" spans="1:17" ht="13.5" thickBot="1" x14ac:dyDescent="0.25">
      <c r="B59" s="442" t="s">
        <v>119</v>
      </c>
      <c r="C59" s="442"/>
      <c r="D59" s="116">
        <f>+D57/D58</f>
        <v>1</v>
      </c>
      <c r="E59" s="117"/>
      <c r="F59" s="121"/>
      <c r="G59" s="84"/>
      <c r="H59" s="110"/>
      <c r="I59" s="118"/>
      <c r="J59" s="103"/>
      <c r="K59" s="111"/>
      <c r="L59" s="450"/>
      <c r="M59" s="450"/>
      <c r="N59" s="119"/>
      <c r="O59" s="101">
        <f>+O58*N59</f>
        <v>0</v>
      </c>
      <c r="P59" s="101"/>
      <c r="Q59" s="102"/>
    </row>
    <row r="60" spans="1:17" ht="13.5" thickBot="1" x14ac:dyDescent="0.25">
      <c r="B60" s="442" t="s">
        <v>120</v>
      </c>
      <c r="C60" s="442"/>
      <c r="D60" s="122"/>
      <c r="E60" s="117"/>
      <c r="F60" s="121"/>
      <c r="G60" s="84"/>
      <c r="H60" s="110"/>
      <c r="I60" s="118"/>
      <c r="J60" s="103"/>
      <c r="K60" s="443" t="s">
        <v>121</v>
      </c>
      <c r="L60" s="444"/>
      <c r="M60" s="444"/>
      <c r="N60" s="445"/>
      <c r="O60" s="114">
        <f>SUM(O58:O59)</f>
        <v>3472.974976422387</v>
      </c>
      <c r="P60" s="123" t="s">
        <v>122</v>
      </c>
      <c r="Q60" s="102"/>
    </row>
    <row r="61" spans="1:17" ht="13.5" thickBot="1" x14ac:dyDescent="0.25">
      <c r="C61" s="93" t="s">
        <v>123</v>
      </c>
      <c r="D61" s="124"/>
      <c r="E61" s="67" t="s">
        <v>124</v>
      </c>
      <c r="F61" s="125" t="s">
        <v>125</v>
      </c>
      <c r="G61" s="84"/>
      <c r="H61" s="110"/>
      <c r="I61" s="118"/>
      <c r="J61" s="126"/>
      <c r="K61" s="127"/>
      <c r="L61" s="456" t="s">
        <v>126</v>
      </c>
      <c r="M61" s="456"/>
      <c r="N61" s="456"/>
      <c r="O61" s="128">
        <f>+O60/D59</f>
        <v>3472.974976422387</v>
      </c>
      <c r="P61" s="129">
        <f>+O61/D58</f>
        <v>4.3412187205279835</v>
      </c>
      <c r="Q61" s="130"/>
    </row>
    <row r="62" spans="1:17" ht="13.5" thickBot="1" x14ac:dyDescent="0.25">
      <c r="B62" s="457" t="s">
        <v>111</v>
      </c>
      <c r="C62" s="457"/>
      <c r="D62" s="457"/>
      <c r="E62" s="131">
        <f>+F62/F62</f>
        <v>1</v>
      </c>
      <c r="F62" s="132">
        <f>SUM(F54)</f>
        <v>2246.5361904761903</v>
      </c>
      <c r="G62" s="84">
        <f>+F62/$F$65</f>
        <v>0.79560976797329341</v>
      </c>
      <c r="H62" s="110"/>
      <c r="I62" s="118"/>
      <c r="K62" s="458"/>
      <c r="L62" s="459"/>
      <c r="M62" s="459"/>
      <c r="N62" s="459"/>
      <c r="O62" s="133"/>
      <c r="P62" s="134"/>
    </row>
    <row r="63" spans="1:17" ht="13.5" thickBot="1" x14ac:dyDescent="0.25">
      <c r="B63" s="460" t="s">
        <v>127</v>
      </c>
      <c r="C63" s="460"/>
      <c r="D63" s="460"/>
      <c r="E63" s="135">
        <v>0.02</v>
      </c>
      <c r="F63" s="132">
        <f>+F52*E63</f>
        <v>38.129733333333334</v>
      </c>
      <c r="G63" s="84">
        <f>+F63/$F$65</f>
        <v>1.3503627681950047E-2</v>
      </c>
      <c r="H63" s="96"/>
      <c r="I63" s="118"/>
      <c r="J63" s="136"/>
      <c r="O63" s="137"/>
      <c r="P63" s="94"/>
    </row>
    <row r="64" spans="1:17" ht="13.5" thickBot="1" x14ac:dyDescent="0.25">
      <c r="B64" s="461" t="s">
        <v>128</v>
      </c>
      <c r="C64" s="462"/>
      <c r="D64" s="138">
        <v>7</v>
      </c>
      <c r="E64" s="139">
        <v>77</v>
      </c>
      <c r="F64" s="132">
        <f>+E64*D64</f>
        <v>539</v>
      </c>
      <c r="G64" s="84">
        <f>+F64/$F$65</f>
        <v>0.19088660434475654</v>
      </c>
      <c r="H64" s="96"/>
      <c r="I64" s="96"/>
      <c r="J64" s="86"/>
    </row>
    <row r="65" spans="2:13" ht="13.5" thickBot="1" x14ac:dyDescent="0.25">
      <c r="B65" s="463" t="s">
        <v>129</v>
      </c>
      <c r="C65" s="464"/>
      <c r="D65" s="464"/>
      <c r="E65" s="465"/>
      <c r="F65" s="109">
        <f>SUM(F62:F64)</f>
        <v>2823.6659238095235</v>
      </c>
      <c r="G65" s="84">
        <f>+F65/$F$65</f>
        <v>1</v>
      </c>
      <c r="H65" s="466"/>
      <c r="I65" s="96"/>
      <c r="J65" s="86"/>
      <c r="M65" s="69" t="s">
        <v>130</v>
      </c>
    </row>
    <row r="66" spans="2:13" x14ac:dyDescent="0.2">
      <c r="C66" s="91"/>
      <c r="D66" s="91"/>
      <c r="E66" s="141"/>
      <c r="F66" s="132"/>
      <c r="G66" s="84"/>
      <c r="H66" s="466"/>
      <c r="I66" s="140"/>
      <c r="J66" s="69"/>
      <c r="M66" s="69" t="s">
        <v>131</v>
      </c>
    </row>
    <row r="67" spans="2:13" ht="13.5" thickBot="1" x14ac:dyDescent="0.25">
      <c r="B67" s="451" t="s">
        <v>132</v>
      </c>
      <c r="C67" s="451"/>
      <c r="D67" s="451"/>
      <c r="E67" s="451"/>
      <c r="F67" s="451"/>
      <c r="G67" s="84"/>
      <c r="H67" s="143"/>
      <c r="I67" s="140"/>
      <c r="J67" s="69"/>
      <c r="M67" s="69" t="s">
        <v>133</v>
      </c>
    </row>
    <row r="68" spans="2:13" ht="13.5" thickBot="1" x14ac:dyDescent="0.25">
      <c r="B68" s="144" t="s">
        <v>134</v>
      </c>
      <c r="C68" s="145">
        <f>+F52</f>
        <v>1906.4866666666667</v>
      </c>
      <c r="D68" s="145">
        <f>+D57</f>
        <v>800</v>
      </c>
      <c r="E68" s="146">
        <f>+C68/D68</f>
        <v>2.3831083333333334</v>
      </c>
      <c r="F68" s="84"/>
      <c r="G68" s="143"/>
      <c r="H68" s="86"/>
      <c r="I68" s="143"/>
      <c r="J68" s="69"/>
    </row>
    <row r="69" spans="2:13" x14ac:dyDescent="0.2">
      <c r="B69" s="147"/>
      <c r="C69" s="148"/>
      <c r="D69" s="149"/>
      <c r="E69" s="132"/>
      <c r="F69" s="84"/>
      <c r="G69" s="143"/>
      <c r="H69" s="86"/>
      <c r="I69" s="86"/>
      <c r="J69" s="69"/>
    </row>
    <row r="70" spans="2:13" x14ac:dyDescent="0.2">
      <c r="B70" s="144" t="s">
        <v>135</v>
      </c>
      <c r="C70" s="145">
        <f>SUM(F62:F63)</f>
        <v>2284.6659238095235</v>
      </c>
      <c r="D70" s="145">
        <f>+D57</f>
        <v>800</v>
      </c>
      <c r="E70" s="150">
        <f>+C70/D70</f>
        <v>2.8558324047619044</v>
      </c>
      <c r="F70" s="84"/>
      <c r="G70" s="143"/>
      <c r="H70" s="86"/>
      <c r="I70" s="86"/>
      <c r="J70" s="69"/>
    </row>
    <row r="71" spans="2:13" x14ac:dyDescent="0.2">
      <c r="B71" s="144"/>
      <c r="C71" s="145"/>
      <c r="D71" s="145"/>
      <c r="E71" s="150"/>
      <c r="F71" s="84"/>
      <c r="G71" s="143"/>
      <c r="H71" s="86"/>
      <c r="I71" s="86"/>
      <c r="J71" s="69"/>
    </row>
    <row r="72" spans="2:13" ht="13.5" thickBot="1" x14ac:dyDescent="0.25">
      <c r="B72" s="144" t="s">
        <v>136</v>
      </c>
      <c r="C72" s="145">
        <f>+F64</f>
        <v>539</v>
      </c>
      <c r="D72" s="145">
        <f>+D57</f>
        <v>800</v>
      </c>
      <c r="E72" s="150">
        <f>+C72/D72</f>
        <v>0.67374999999999996</v>
      </c>
      <c r="F72" s="84"/>
      <c r="G72" s="143"/>
      <c r="H72" s="86"/>
      <c r="I72" s="86"/>
      <c r="J72" s="69"/>
    </row>
    <row r="73" spans="2:13" ht="13.5" thickBot="1" x14ac:dyDescent="0.25">
      <c r="B73" s="144" t="s">
        <v>137</v>
      </c>
      <c r="C73" s="145">
        <f>+F55</f>
        <v>669.75735119047613</v>
      </c>
      <c r="D73" s="145">
        <f>+D72</f>
        <v>800</v>
      </c>
      <c r="E73" s="146">
        <f>+C73/D73</f>
        <v>0.83719668898809518</v>
      </c>
      <c r="F73" s="84"/>
      <c r="G73" s="143"/>
      <c r="H73" s="86"/>
      <c r="I73" s="86"/>
      <c r="J73" s="69"/>
    </row>
    <row r="74" spans="2:13" ht="13.5" thickBot="1" x14ac:dyDescent="0.25">
      <c r="B74" s="108"/>
      <c r="C74" s="109"/>
      <c r="D74" s="109"/>
      <c r="E74" s="150"/>
      <c r="F74" s="84"/>
      <c r="G74" s="143"/>
      <c r="H74" s="86"/>
      <c r="I74" s="86"/>
      <c r="J74" s="69"/>
    </row>
    <row r="75" spans="2:13" ht="13.5" thickBot="1" x14ac:dyDescent="0.25">
      <c r="B75" s="144" t="s">
        <v>138</v>
      </c>
      <c r="C75" s="145">
        <f>+F53</f>
        <v>340.04952380952381</v>
      </c>
      <c r="D75" s="145">
        <f>+D73</f>
        <v>800</v>
      </c>
      <c r="E75" s="146">
        <f>+C75/D75</f>
        <v>0.42506190476190475</v>
      </c>
      <c r="F75" s="84"/>
      <c r="G75" s="143"/>
      <c r="H75" s="86"/>
      <c r="I75" s="86"/>
      <c r="J75" s="86"/>
    </row>
    <row r="76" spans="2:13" ht="13.5" thickBot="1" x14ac:dyDescent="0.25">
      <c r="B76" s="108"/>
      <c r="C76" s="109"/>
      <c r="D76" s="109"/>
      <c r="E76" s="150"/>
      <c r="F76" s="84"/>
      <c r="G76" s="143"/>
      <c r="H76" s="86"/>
      <c r="I76" s="86"/>
    </row>
    <row r="77" spans="2:13" ht="13.5" thickBot="1" x14ac:dyDescent="0.25">
      <c r="B77" s="452" t="s">
        <v>139</v>
      </c>
      <c r="C77" s="453"/>
      <c r="D77" s="454"/>
      <c r="E77" s="146">
        <f>+E68+E73</f>
        <v>3.2203050223214285</v>
      </c>
      <c r="G77" s="84"/>
      <c r="H77" s="143"/>
      <c r="I77" s="86"/>
      <c r="J77" s="150"/>
    </row>
    <row r="78" spans="2:13" x14ac:dyDescent="0.2">
      <c r="I78" s="143"/>
      <c r="J78" s="69"/>
    </row>
    <row r="79" spans="2:13" ht="13.5" thickBot="1" x14ac:dyDescent="0.25">
      <c r="B79" s="451" t="s">
        <v>140</v>
      </c>
      <c r="C79" s="451"/>
      <c r="D79" s="451"/>
      <c r="E79" s="451"/>
      <c r="F79" s="451"/>
      <c r="G79" s="84"/>
      <c r="H79" s="143"/>
      <c r="J79" s="69"/>
    </row>
    <row r="80" spans="2:13" ht="13.5" thickBot="1" x14ac:dyDescent="0.25">
      <c r="B80" s="144" t="s">
        <v>134</v>
      </c>
      <c r="C80" s="145">
        <f>+C68</f>
        <v>1906.4866666666667</v>
      </c>
      <c r="D80" s="145">
        <f>+D59</f>
        <v>1</v>
      </c>
      <c r="E80" s="146">
        <f>+C80/D80</f>
        <v>1906.4866666666667</v>
      </c>
      <c r="F80" s="84"/>
      <c r="G80" s="143"/>
      <c r="H80" s="86"/>
      <c r="I80" s="143"/>
      <c r="J80" s="69"/>
    </row>
    <row r="81" spans="1:10" x14ac:dyDescent="0.2">
      <c r="B81" s="147"/>
      <c r="C81" s="148"/>
      <c r="D81" s="149"/>
      <c r="E81" s="132"/>
      <c r="F81" s="84"/>
      <c r="G81" s="143"/>
      <c r="H81" s="86"/>
      <c r="I81" s="86"/>
      <c r="J81" s="69"/>
    </row>
    <row r="82" spans="1:10" x14ac:dyDescent="0.2">
      <c r="B82" s="144" t="s">
        <v>135</v>
      </c>
      <c r="C82" s="145">
        <f>+C70</f>
        <v>2284.6659238095235</v>
      </c>
      <c r="D82" s="145">
        <f>+D59</f>
        <v>1</v>
      </c>
      <c r="E82" s="150">
        <f>+C82/D82</f>
        <v>2284.6659238095235</v>
      </c>
      <c r="F82" s="84"/>
      <c r="G82" s="143"/>
      <c r="H82" s="86"/>
      <c r="I82" s="86"/>
      <c r="J82" s="69"/>
    </row>
    <row r="83" spans="1:10" x14ac:dyDescent="0.2">
      <c r="B83" s="144"/>
      <c r="C83" s="145"/>
      <c r="D83" s="145"/>
      <c r="E83" s="150"/>
      <c r="F83" s="84"/>
      <c r="G83" s="143"/>
      <c r="H83" s="86"/>
      <c r="I83" s="86"/>
      <c r="J83" s="69"/>
    </row>
    <row r="84" spans="1:10" ht="13.5" thickBot="1" x14ac:dyDescent="0.25">
      <c r="B84" s="144" t="s">
        <v>137</v>
      </c>
      <c r="C84" s="145">
        <f>+C72</f>
        <v>539</v>
      </c>
      <c r="D84" s="145">
        <f>+D59</f>
        <v>1</v>
      </c>
      <c r="E84" s="150">
        <f>+C84/D84</f>
        <v>539</v>
      </c>
      <c r="F84" s="152"/>
      <c r="G84" s="142"/>
      <c r="H84" s="68"/>
      <c r="I84" s="86"/>
    </row>
    <row r="85" spans="1:10" ht="13.5" thickBot="1" x14ac:dyDescent="0.25">
      <c r="B85" s="144" t="s">
        <v>137</v>
      </c>
      <c r="C85" s="145">
        <f>+C73</f>
        <v>669.75735119047613</v>
      </c>
      <c r="D85" s="145">
        <f>+D84</f>
        <v>1</v>
      </c>
      <c r="E85" s="146">
        <f>+C85/D85</f>
        <v>669.75735119047613</v>
      </c>
      <c r="F85" s="151"/>
      <c r="G85" s="142"/>
      <c r="H85" s="68"/>
      <c r="I85" s="68"/>
    </row>
    <row r="86" spans="1:10" x14ac:dyDescent="0.2">
      <c r="I86" s="68"/>
    </row>
    <row r="87" spans="1:10" x14ac:dyDescent="0.2">
      <c r="A87" s="455"/>
      <c r="B87" s="455"/>
      <c r="C87" s="153"/>
      <c r="D87" s="153"/>
      <c r="E87" s="154"/>
      <c r="G87" s="155"/>
    </row>
    <row r="88" spans="1:10" x14ac:dyDescent="0.2">
      <c r="A88" s="87"/>
      <c r="B88" s="156"/>
      <c r="C88" s="157"/>
      <c r="D88" s="157"/>
      <c r="E88" s="158"/>
      <c r="G88" s="155"/>
    </row>
    <row r="89" spans="1:10" x14ac:dyDescent="0.2">
      <c r="A89" s="87"/>
      <c r="B89" s="156"/>
      <c r="C89" s="159"/>
      <c r="D89" s="159"/>
      <c r="E89" s="87"/>
      <c r="G89" s="155"/>
    </row>
    <row r="90" spans="1:10" x14ac:dyDescent="0.2">
      <c r="A90" s="87"/>
      <c r="B90" s="156"/>
      <c r="C90" s="160"/>
      <c r="D90" s="160"/>
      <c r="E90" s="87"/>
      <c r="G90" s="155"/>
    </row>
  </sheetData>
  <mergeCells count="29">
    <mergeCell ref="B67:F67"/>
    <mergeCell ref="B77:D77"/>
    <mergeCell ref="B79:F79"/>
    <mergeCell ref="A87:B87"/>
    <mergeCell ref="L61:N61"/>
    <mergeCell ref="B62:D62"/>
    <mergeCell ref="K62:N62"/>
    <mergeCell ref="B63:D63"/>
    <mergeCell ref="B64:C64"/>
    <mergeCell ref="B65:E65"/>
    <mergeCell ref="H65:H66"/>
    <mergeCell ref="B60:C60"/>
    <mergeCell ref="K60:N60"/>
    <mergeCell ref="B52:E52"/>
    <mergeCell ref="B53:E53"/>
    <mergeCell ref="K53:N53"/>
    <mergeCell ref="B54:E54"/>
    <mergeCell ref="C55:E55"/>
    <mergeCell ref="B57:C57"/>
    <mergeCell ref="B58:C58"/>
    <mergeCell ref="M58:N58"/>
    <mergeCell ref="B59:C59"/>
    <mergeCell ref="L59:M59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49688B-0C87-4022-9F33-FCF00B9AF37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0229AE9D-74F8-4617-8ED8-909805A5EA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1CC3D5-A989-4BB4-A390-1F72F30453C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Costo de Relleno</vt:lpstr>
      <vt:lpstr>Costo Crumble</vt:lpstr>
      <vt:lpstr>Leche cond cocinada dura</vt:lpstr>
      <vt:lpstr>Trasvasado leche cond</vt:lpstr>
      <vt:lpstr>Premez pasta Chilena </vt:lpstr>
      <vt:lpstr>Pasta Galleta Chilena </vt:lpstr>
      <vt:lpstr>Corte Galleta Chilena </vt:lpstr>
      <vt:lpstr>Base de galleta para CK</vt:lpstr>
      <vt:lpstr>Costo Mousse de Queso</vt:lpstr>
      <vt:lpstr>Ensamble</vt:lpstr>
      <vt:lpstr>Costo Ensamble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Rodriguez</dc:creator>
  <cp:keywords/>
  <dc:description/>
  <cp:lastModifiedBy>Allan Brenes</cp:lastModifiedBy>
  <cp:revision/>
  <cp:lastPrinted>2026-01-12T14:23:01Z</cp:lastPrinted>
  <dcterms:created xsi:type="dcterms:W3CDTF">2012-08-16T22:23:23Z</dcterms:created>
  <dcterms:modified xsi:type="dcterms:W3CDTF">2026-01-12T14:23:46Z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382000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
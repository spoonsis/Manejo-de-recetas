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F9F7E3C5-6FD2-4895-B426-368278134B43}" xr6:coauthVersionLast="47" xr6:coauthVersionMax="47" xr10:uidLastSave="{C0F236B1-CD3E-44DF-828C-AA72E495DCAC}"/>
  <bookViews>
    <workbookView xWindow="-120" yWindow="-120" windowWidth="20730" windowHeight="11040" tabRatio="907" firstSheet="1" activeTab="1" xr2:uid="{DB727E5C-7261-4A15-B8A1-729D76EEA651}"/>
  </bookViews>
  <sheets>
    <sheet name="Porción de Tiramisu" sheetId="2" state="hidden" r:id="rId1"/>
    <sheet name="Porción Lemon Court" sheetId="6" r:id="rId2"/>
    <sheet name="Base Galleta para CK " sheetId="8" state="hidden" r:id="rId3"/>
    <sheet name="Corte Galleta Chilena " sheetId="9" state="hidden" r:id="rId4"/>
    <sheet name="Pasta Chilena " sheetId="10" state="hidden" r:id="rId5"/>
    <sheet name="Premezcla Pasta Chilena " sheetId="13" state="hidden" r:id="rId6"/>
    <sheet name="Relleno Blanco de Limon " sheetId="11" state="hidden" r:id="rId7"/>
    <sheet name="Crema Blanca Chantilly " sheetId="12" state="hidden" r:id="rId8"/>
    <sheet name="Topping Lemon Court " sheetId="14" state="hidden" r:id="rId9"/>
    <sheet name="Empaque Topping Lemon Court " sheetId="15" state="hidden" r:id="rId10"/>
    <sheet name="Costo Porcion Lemon court" sheetId="7" state="hidden" r:id="rId11"/>
  </sheets>
  <externalReferences>
    <externalReference r:id="rId12"/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6" l="1"/>
  <c r="D22" i="15"/>
  <c r="E16" i="14"/>
  <c r="E14" i="14"/>
  <c r="E13" i="14"/>
  <c r="E12" i="14"/>
  <c r="E11" i="14"/>
  <c r="E10" i="14"/>
  <c r="K9" i="14"/>
  <c r="E9" i="14"/>
  <c r="D26" i="14" s="1"/>
  <c r="D22" i="8"/>
  <c r="H20" i="8"/>
  <c r="D20" i="8"/>
  <c r="F18" i="7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A48" i="7"/>
  <c r="C48" i="7" s="1"/>
  <c r="A44" i="7"/>
  <c r="C44" i="7" s="1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C39" i="7"/>
  <c r="B39" i="7"/>
  <c r="A39" i="7"/>
  <c r="A38" i="7"/>
  <c r="A47" i="7" s="1"/>
  <c r="C47" i="7" s="1"/>
  <c r="A37" i="7"/>
  <c r="A46" i="7" s="1"/>
  <c r="C46" i="7" s="1"/>
  <c r="A36" i="7"/>
  <c r="C36" i="7" s="1"/>
  <c r="A35" i="7"/>
  <c r="C35" i="7" s="1"/>
  <c r="C32" i="7"/>
  <c r="C31" i="7"/>
  <c r="C30" i="7"/>
  <c r="C29" i="7"/>
  <c r="C28" i="7"/>
  <c r="C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C20" i="7"/>
  <c r="C19" i="7"/>
  <c r="C18" i="7"/>
  <c r="F17" i="7"/>
  <c r="C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 s="1"/>
  <c r="D12" i="7"/>
  <c r="C12" i="7"/>
  <c r="B12" i="7"/>
  <c r="E11" i="7"/>
  <c r="F11" i="7" s="1"/>
  <c r="D11" i="7"/>
  <c r="C11" i="7"/>
  <c r="B11" i="7"/>
  <c r="E10" i="7"/>
  <c r="D10" i="7"/>
  <c r="C10" i="7"/>
  <c r="B10" i="7"/>
  <c r="E9" i="7"/>
  <c r="F9" i="7" s="1"/>
  <c r="D9" i="7"/>
  <c r="C9" i="7"/>
  <c r="B9" i="7"/>
  <c r="E8" i="7"/>
  <c r="D8" i="7"/>
  <c r="C8" i="7"/>
  <c r="B8" i="7"/>
  <c r="H6" i="7"/>
  <c r="D27" i="6"/>
  <c r="E13" i="6"/>
  <c r="E11" i="6"/>
  <c r="E10" i="6"/>
  <c r="K15" i="2"/>
  <c r="D81" i="7" l="1"/>
  <c r="D83" i="7"/>
  <c r="F39" i="7"/>
  <c r="F50" i="7"/>
  <c r="F8" i="7"/>
  <c r="F10" i="7"/>
  <c r="F27" i="7"/>
  <c r="F28" i="7"/>
  <c r="F29" i="7"/>
  <c r="F30" i="7"/>
  <c r="F31" i="7"/>
  <c r="F32" i="7"/>
  <c r="F20" i="7"/>
  <c r="C38" i="7"/>
  <c r="F38" i="7" s="1"/>
  <c r="F19" i="7"/>
  <c r="F35" i="7"/>
  <c r="F46" i="7"/>
  <c r="F36" i="7"/>
  <c r="F47" i="7"/>
  <c r="F48" i="7"/>
  <c r="F40" i="7"/>
  <c r="F44" i="7"/>
  <c r="C37" i="7"/>
  <c r="F37" i="7" s="1"/>
  <c r="C41" i="7"/>
  <c r="F41" i="7" s="1"/>
  <c r="A45" i="7"/>
  <c r="C45" i="7" s="1"/>
  <c r="F45" i="7" s="1"/>
  <c r="A49" i="7"/>
  <c r="C49" i="7" s="1"/>
  <c r="F49" i="7" s="1"/>
  <c r="C73" i="7"/>
  <c r="F53" i="7" l="1"/>
  <c r="H53" i="7" s="1"/>
  <c r="F2" i="7" s="1"/>
  <c r="F54" i="7"/>
  <c r="F56" i="7"/>
  <c r="C85" i="7"/>
  <c r="E85" i="7" s="1"/>
  <c r="E73" i="7"/>
  <c r="C69" i="7" l="1"/>
  <c r="C81" i="7" s="1"/>
  <c r="E81" i="7" s="1"/>
  <c r="F64" i="7"/>
  <c r="H54" i="7"/>
  <c r="G2" i="7" s="1"/>
  <c r="C76" i="7"/>
  <c r="E76" i="7" s="1"/>
  <c r="H56" i="7"/>
  <c r="C74" i="7"/>
  <c r="F55" i="7"/>
  <c r="E69" i="7" l="1"/>
  <c r="E74" i="7"/>
  <c r="C86" i="7"/>
  <c r="E86" i="7" s="1"/>
  <c r="H55" i="7"/>
  <c r="F63" i="7"/>
  <c r="O54" i="7"/>
  <c r="H58" i="7"/>
  <c r="H59" i="7" s="1"/>
  <c r="O58" i="7" s="1"/>
  <c r="O55" i="7"/>
  <c r="H2" i="7"/>
  <c r="E78" i="7" l="1"/>
  <c r="O56" i="7"/>
  <c r="O57" i="7" s="1"/>
  <c r="O59" i="7" s="1"/>
  <c r="C71" i="7"/>
  <c r="E63" i="7"/>
  <c r="F66" i="7"/>
  <c r="G63" i="7" s="1"/>
  <c r="C83" i="7" l="1"/>
  <c r="E83" i="7" s="1"/>
  <c r="E71" i="7"/>
  <c r="G66" i="7"/>
  <c r="G13" i="7"/>
  <c r="G20" i="7"/>
  <c r="G27" i="7"/>
  <c r="G31" i="7"/>
  <c r="G14" i="7"/>
  <c r="G19" i="7"/>
  <c r="G24" i="7"/>
  <c r="G65" i="7"/>
  <c r="G38" i="7"/>
  <c r="G11" i="7"/>
  <c r="G28" i="7"/>
  <c r="G32" i="7"/>
  <c r="G21" i="7"/>
  <c r="G9" i="7"/>
  <c r="G12" i="7"/>
  <c r="G29" i="7"/>
  <c r="G35" i="7"/>
  <c r="G51" i="7"/>
  <c r="G8" i="7"/>
  <c r="G22" i="7"/>
  <c r="G10" i="7"/>
  <c r="G17" i="7"/>
  <c r="G30" i="7"/>
  <c r="G50" i="7"/>
  <c r="G18" i="7"/>
  <c r="G23" i="7"/>
  <c r="G39" i="7"/>
  <c r="G49" i="7"/>
  <c r="G45" i="7"/>
  <c r="G37" i="7"/>
  <c r="G40" i="7"/>
  <c r="G36" i="7"/>
  <c r="G53" i="7"/>
  <c r="G47" i="7"/>
  <c r="G41" i="7"/>
  <c r="G44" i="7"/>
  <c r="G46" i="7"/>
  <c r="G48" i="7"/>
  <c r="G64" i="7"/>
  <c r="G56" i="7"/>
  <c r="G54" i="7"/>
  <c r="G55" i="7"/>
  <c r="O60" i="7"/>
  <c r="O61" i="7" s="1"/>
  <c r="O62" i="7" s="1"/>
  <c r="O64" i="7" s="1"/>
  <c r="P62" i="7" l="1"/>
  <c r="E2" i="7"/>
</calcChain>
</file>

<file path=xl/sharedStrings.xml><?xml version="1.0" encoding="utf-8"?>
<sst xmlns="http://schemas.openxmlformats.org/spreadsheetml/2006/main" count="855" uniqueCount="307">
  <si>
    <t>SERVICIOS DE PASTELERIA S.A.</t>
  </si>
  <si>
    <t>CÓDIGO:</t>
  </si>
  <si>
    <t>ESP-RE-DES-XXX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</si>
  <si>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</si>
  <si>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</si>
  <si>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</si>
  <si>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</si>
  <si>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</si>
  <si>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</si>
  <si>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</si>
  <si>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</si>
  <si>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</si>
  <si>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</si>
  <si>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</si>
  <si>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ALERGENO</t>
  </si>
  <si>
    <t>OBSERVACIONES GENERALES</t>
  </si>
  <si>
    <t>Cantidad</t>
  </si>
  <si>
    <t xml:space="preserve">Unidad medida </t>
  </si>
  <si>
    <t>FAS</t>
  </si>
  <si>
    <t>g</t>
  </si>
  <si>
    <t>Unidad</t>
  </si>
  <si>
    <t xml:space="preserve">OTROS DATOS </t>
  </si>
  <si>
    <t>PESO TOTAL OBTENIDO</t>
  </si>
  <si>
    <t>TIEMPO TOTAL DE PREPARACION</t>
  </si>
  <si>
    <t>Minutos</t>
  </si>
  <si>
    <t>CANTIDAD DE PORCIONES OBTENIDAS</t>
  </si>
  <si>
    <t>PESO DE CADA PORCIÓN</t>
  </si>
  <si>
    <t>MERMA</t>
  </si>
  <si>
    <t>PROCEDIMIENTO DE PREPARACION DE LA  RECETA</t>
  </si>
  <si>
    <t>CONTROL DE CAMBIOS</t>
  </si>
  <si>
    <t>Unidad de Medida</t>
  </si>
  <si>
    <t># Revisión</t>
  </si>
  <si>
    <t>Detalle del Cambio</t>
  </si>
  <si>
    <t xml:space="preserve">Postres </t>
  </si>
  <si>
    <r>
      <rPr>
        <b/>
        <sz val="11"/>
        <color rgb="FFFF0000"/>
        <rFont val="Calibri"/>
        <family val="2"/>
        <scheme val="minor"/>
      </rPr>
      <t>Postres</t>
    </r>
    <r>
      <rPr>
        <sz val="11"/>
        <color theme="1"/>
        <rFont val="Calibri"/>
        <family val="2"/>
        <scheme val="minor"/>
      </rPr>
      <t xml:space="preserve"> </t>
    </r>
  </si>
  <si>
    <t xml:space="preserve">Esteban Cartin, Gerente Manofactura </t>
  </si>
  <si>
    <t>Mariela Barrantes Sánchez, Chef</t>
  </si>
  <si>
    <t>Nuevo</t>
  </si>
  <si>
    <t>ud</t>
  </si>
  <si>
    <t>EM10002</t>
  </si>
  <si>
    <t>Etiplast</t>
  </si>
  <si>
    <t xml:space="preserve">Postre Lemon Court </t>
  </si>
  <si>
    <t>Cemusa</t>
  </si>
  <si>
    <t>SE00041</t>
  </si>
  <si>
    <t>Base Galleta P/Chesse Cake</t>
  </si>
  <si>
    <t xml:space="preserve">Relleno de Lemon Court </t>
  </si>
  <si>
    <t>Base</t>
  </si>
  <si>
    <t>BASE GALLETA P/CHEESE CAKE (KILO)</t>
  </si>
  <si>
    <t>Toping de Lemon Court</t>
  </si>
  <si>
    <t>EMPAQUE</t>
  </si>
  <si>
    <t>EM10105</t>
  </si>
  <si>
    <t>VASO 9oz SUNDA TS9 PAQ:50(CAJA:1000 UND)</t>
  </si>
  <si>
    <t>Food P</t>
  </si>
  <si>
    <t>EM10181</t>
  </si>
  <si>
    <t>TAPA VASO 9oz P/SUN PAQ:50 (CAJA:2000UN)</t>
  </si>
  <si>
    <t>Etiq.Blanca 1 1/4 * 3/4</t>
  </si>
  <si>
    <t>EM10011</t>
  </si>
  <si>
    <t>ETIQUETA BLANCA 2 5/8X1 15/16 (UND)</t>
  </si>
  <si>
    <t>EM10124</t>
  </si>
  <si>
    <t>ETIQUETA BLANCA R-153 (UND)</t>
  </si>
  <si>
    <t>ESP-RE-POS-415</t>
  </si>
  <si>
    <t>Esteban Cartin, Gte Manufactura</t>
  </si>
  <si>
    <t>Postres</t>
  </si>
  <si>
    <t xml:space="preserve"># Código </t>
  </si>
  <si>
    <t>Unidad Internacional</t>
  </si>
  <si>
    <t>Medida alternativa</t>
  </si>
  <si>
    <t xml:space="preserve">Costo - Referencia </t>
  </si>
  <si>
    <t>Colones</t>
  </si>
  <si>
    <t>Tiempo de Horneo:</t>
  </si>
  <si>
    <t>min</t>
  </si>
  <si>
    <t>Horno:</t>
  </si>
  <si>
    <t>Temperatura de Horneo:</t>
  </si>
  <si>
    <t>Otros</t>
  </si>
  <si>
    <t>Mariela Barrantes Sánchez</t>
  </si>
  <si>
    <t>SE00010</t>
  </si>
  <si>
    <t>Crema Chantilly Blanca (Spoon-Ind)</t>
  </si>
  <si>
    <t>60g x unidad</t>
  </si>
  <si>
    <t>15g x unidad</t>
  </si>
  <si>
    <t>Relleno Blanco de Limon</t>
  </si>
  <si>
    <t xml:space="preserve">2. Con la boquilla #4FT realizar el colocho en todo el borde y en el centro agregar el toping de Lemon Court. </t>
  </si>
  <si>
    <t>1. En cada vaso de Sunday, colocar como base la basse de galleta y agregar con una manga el relleno blanco de limón.</t>
  </si>
  <si>
    <t>3. Tapar, sellar y etiquetar.</t>
  </si>
  <si>
    <t>25g x unidad</t>
  </si>
  <si>
    <t>EM10111</t>
  </si>
  <si>
    <t>ETIQ CIRCULO BUCCA DULCE (UND)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</si>
  <si>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</si>
  <si>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</si>
  <si>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</si>
  <si>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</si>
  <si>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</si>
  <si>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</si>
  <si>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</si>
  <si>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</si>
  <si>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</si>
  <si>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</si>
  <si>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</si>
  <si>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</si>
  <si>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</si>
  <si>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</si>
  <si>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</si>
  <si>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</si>
  <si>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</si>
  <si>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</si>
  <si>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</si>
  <si>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</si>
  <si>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</si>
  <si>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</si>
  <si>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</si>
  <si>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</si>
  <si>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</si>
  <si>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</si>
  <si>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</si>
  <si>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</si>
  <si>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</si>
  <si>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</si>
  <si>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</si>
  <si>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</si>
  <si>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</si>
  <si>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</si>
  <si>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</si>
  <si>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</si>
  <si>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</si>
  <si>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</si>
  <si>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</si>
  <si>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</si>
  <si>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</si>
  <si>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</si>
  <si>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</si>
  <si>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</si>
  <si>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</si>
  <si>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</si>
  <si>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</si>
  <si>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</si>
  <si>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</si>
  <si>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</si>
  <si>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</si>
  <si>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</si>
  <si>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</si>
  <si>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ESP-RE-POS-031</t>
  </si>
  <si>
    <t>15</t>
  </si>
  <si>
    <t xml:space="preserve"> Base Galleta Cheesecake  SE00041</t>
  </si>
  <si>
    <t>Javier Tong, Chef</t>
  </si>
  <si>
    <t># Codigo Netsuite</t>
  </si>
  <si>
    <t>Medida Costos</t>
  </si>
  <si>
    <t>10100344</t>
  </si>
  <si>
    <t>MP10523</t>
  </si>
  <si>
    <t xml:space="preserve">GALLETA SODA MOLIDA (PAQ:1 KILO) </t>
  </si>
  <si>
    <t>POZUELO</t>
  </si>
  <si>
    <t>10100345</t>
  </si>
  <si>
    <t>MP10555</t>
  </si>
  <si>
    <t>GALLETA YEMITA (KILO)</t>
  </si>
  <si>
    <t>906000002</t>
  </si>
  <si>
    <t>SE00204</t>
  </si>
  <si>
    <t>Corte Galleta Chilena Grande</t>
  </si>
  <si>
    <t>RECORTE DE CHILENA</t>
  </si>
  <si>
    <t>0310107</t>
  </si>
  <si>
    <t>MP10022</t>
  </si>
  <si>
    <t>LACTOCREMA GRANEL (CAJA:25 KG)</t>
  </si>
  <si>
    <t>DOS PINOS</t>
  </si>
  <si>
    <t>MP10041</t>
  </si>
  <si>
    <t>AZUCAR GLASS MOLIDA (PAQ: 4 K)</t>
  </si>
  <si>
    <t>1212410</t>
  </si>
  <si>
    <t>MP10008</t>
  </si>
  <si>
    <t>PRESERVANTE 1047S (PAQ=5 KILO)</t>
  </si>
  <si>
    <t>TIEMPO DE HORNEO</t>
  </si>
  <si>
    <t>HORNO</t>
  </si>
  <si>
    <t>Tanda</t>
  </si>
  <si>
    <t>TEMPERATURA HORNEO</t>
  </si>
  <si>
    <t>OTROS</t>
  </si>
  <si>
    <t>1.- Derretir la lactocrema. No hervir.</t>
  </si>
  <si>
    <t>2.- Mezclar todos los ingredientes en un bowl con el azucar en polvo.</t>
  </si>
  <si>
    <t xml:space="preserve">2, Mezclar la galletas procesada con el azucar y la lactocrema, en batidora con paleta, hasta homogeneo. </t>
  </si>
  <si>
    <t>Revisión #9: Actualización de codigos</t>
  </si>
  <si>
    <t>Revisión #10: Actualizacion de peso final, y productos de reproceso.</t>
  </si>
  <si>
    <t xml:space="preserve">Revisión #11: Actualizacion completa por cambio de galletas y rendimiento. </t>
  </si>
  <si>
    <t xml:space="preserve">Revision #12: Actualizacion del peso de la lactocrema y el rendimiento. </t>
  </si>
  <si>
    <t>Revision #13: Se elimina galleta Maria y se agrega recorte de galleta chilena Spoon</t>
  </si>
  <si>
    <t>Revision #14: Se le bajo Lactocrema</t>
  </si>
  <si>
    <t>Revisión# 15:Se le aumenta la cantidad de lactocrema a la receta</t>
  </si>
  <si>
    <t>ESP-RE-PAPS-002</t>
  </si>
  <si>
    <t>Corte Galleta Chilena Grande 143g 906000002(SE00204)</t>
  </si>
  <si>
    <t>Pastas</t>
  </si>
  <si>
    <t>Ensamble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</si>
  <si>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</si>
  <si>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</si>
  <si>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</si>
  <si>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</si>
  <si>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</si>
  <si>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</si>
  <si>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Decoración</t>
  </si>
  <si>
    <t>Empaque</t>
  </si>
  <si>
    <t>Galletas</t>
  </si>
  <si>
    <r>
      <rPr>
        <b/>
        <sz val="12"/>
        <rFont val="Times New Roman"/>
        <family val="1"/>
      </rPr>
      <t>1-.</t>
    </r>
    <r>
      <rPr>
        <sz val="12"/>
        <rFont val="Times New Roman"/>
        <family val="1"/>
      </rPr>
      <t xml:space="preserve"> Laminar la masa hasta 4 mm con ayuda e la maquina, hacer huecos con el zorro. En la laminadora Rondo a 2.8, en la laminadora Kemplex 3.</t>
    </r>
  </si>
  <si>
    <r>
      <rPr>
        <b/>
        <sz val="12"/>
        <rFont val="Times New Roman"/>
        <family val="1"/>
      </rPr>
      <t>2-.</t>
    </r>
    <r>
      <rPr>
        <sz val="12"/>
        <rFont val="Times New Roman"/>
        <family val="1"/>
      </rPr>
      <t xml:space="preserve"> Cortar con cortador redondo de 23 cm diametro y colocar los 7 circulos en la bandeja</t>
    </r>
  </si>
  <si>
    <r>
      <rPr>
        <b/>
        <sz val="12"/>
        <rFont val="Times New Roman"/>
        <family val="1"/>
      </rPr>
      <t>3-.</t>
    </r>
    <r>
      <rPr>
        <sz val="12"/>
        <rFont val="Times New Roman"/>
        <family val="1"/>
      </rPr>
      <t xml:space="preserve"> Llevar al horno en Dicte 1 por 23 min a 170°C o Dicte 2 por 22 a 24 min a 170°C.</t>
    </r>
  </si>
  <si>
    <r>
      <rPr>
        <b/>
        <sz val="12"/>
        <rFont val="Times New Roman"/>
        <family val="1"/>
      </rPr>
      <t>4-.</t>
    </r>
    <r>
      <rPr>
        <sz val="12"/>
        <rFont val="Times New Roman"/>
        <family val="1"/>
      </rPr>
      <t xml:space="preserve"> Enfriar.</t>
    </r>
  </si>
  <si>
    <t>ESP-RE-PAPS-011</t>
  </si>
  <si>
    <t>PASTA TORTA CHILENA SPOON KILO SE00177</t>
  </si>
  <si>
    <t>SE00178</t>
  </si>
  <si>
    <t>PREMEZCLA P/PASTA CHILENA SPOON</t>
  </si>
  <si>
    <t>Spoon</t>
  </si>
  <si>
    <t>60 min</t>
  </si>
  <si>
    <t>Dicte 1,2,3</t>
  </si>
  <si>
    <t>185 C</t>
  </si>
  <si>
    <t>1.- Colocar la margarina, azucar y harina y preservante. Batir en velocidad 1 por 3 minutos, con ayuda de la paleta.</t>
  </si>
  <si>
    <t>2.- Utilizar de inmediato.</t>
  </si>
  <si>
    <t>ESP-RE-PRES-008</t>
  </si>
  <si>
    <t>PREMEZCLA P/PASTA CHILENA SPOON 901000014(SE00178)</t>
  </si>
  <si>
    <t>Premezclas</t>
  </si>
  <si>
    <t>MP10040</t>
  </si>
  <si>
    <t>MARGARINA BAKER TABLETA (CAJA: 25 K)</t>
  </si>
  <si>
    <t>NUMAR</t>
  </si>
  <si>
    <t>MP10049</t>
  </si>
  <si>
    <t>AZUCAR POLVO P.REAL (PAQ:2.5 Kg)</t>
  </si>
  <si>
    <t>PASTELERO REAL</t>
  </si>
  <si>
    <t>Bolsa</t>
  </si>
  <si>
    <t>MP10051</t>
  </si>
  <si>
    <t>HARINA TRIGO NACARINA (SACO: 25 K)</t>
  </si>
  <si>
    <t>NACARINA</t>
  </si>
  <si>
    <t>ASEAL</t>
  </si>
  <si>
    <t>ETIPLAST</t>
  </si>
  <si>
    <t>EM10013</t>
  </si>
  <si>
    <t>BOLSA 17x25 TRANSP</t>
  </si>
  <si>
    <t>PLASTICOS P</t>
  </si>
  <si>
    <t>EM10133</t>
  </si>
  <si>
    <t>ETIQUETA ROJA LETRA ALERJENO (UND)</t>
  </si>
  <si>
    <t>AS00020</t>
  </si>
  <si>
    <t>GUANTE LATEX CORRIENTE (CAJA:100 UND)</t>
  </si>
  <si>
    <t>MAYCA</t>
  </si>
  <si>
    <t>1.- Colocar en 1  bolsa 17*25 la margarina. Etiquetar con nombre y alerjeno</t>
  </si>
  <si>
    <t>2.- Colocar la harina, preservante en otra bolsa 17*25, enviar 1 bolsa de azucar en polvo entera.</t>
  </si>
  <si>
    <t>3.- Etiquetar ambas bolsas con nombre y alerjeno.</t>
  </si>
  <si>
    <t xml:space="preserve">Relleno Blanco de Limon </t>
  </si>
  <si>
    <t>MP10050</t>
  </si>
  <si>
    <t>Leche Condensada</t>
  </si>
  <si>
    <t>Nestle</t>
  </si>
  <si>
    <t>MP10239</t>
  </si>
  <si>
    <t>Limon En Polvo</t>
  </si>
  <si>
    <t>Resoco</t>
  </si>
  <si>
    <t>MP10043</t>
  </si>
  <si>
    <t>Gelatina Pura</t>
  </si>
  <si>
    <t>Mayca</t>
  </si>
  <si>
    <t xml:space="preserve">Agua </t>
  </si>
  <si>
    <t>Para  Gelatina</t>
  </si>
  <si>
    <t>Preservante 1047S</t>
  </si>
  <si>
    <t>MP10150</t>
  </si>
  <si>
    <t>Colorante Gel Egg Yellow</t>
  </si>
  <si>
    <t>tanda</t>
  </si>
  <si>
    <t xml:space="preserve">1. En la Batidora agregar la crema cantilly Blanca montada, agregar la leche condensada, el limon el polvo, el colorante y revolver. </t>
  </si>
  <si>
    <t xml:space="preserve">2. Hidratar la gelatina con el agua, derretirla y temperarla con la mezcla anterior y agregarla en forma de hilo a la mezcla. </t>
  </si>
  <si>
    <t xml:space="preserve">3. Utilizar inmediatamente. </t>
  </si>
  <si>
    <t>ESP-RE-DES-018</t>
  </si>
  <si>
    <t>Crema Blanca Spoon (20800g)  SE00010</t>
  </si>
  <si>
    <t>Decoracion</t>
  </si>
  <si>
    <t>MP10047</t>
  </si>
  <si>
    <t>BETTERCREME SUPREMO (UND:4 K)</t>
  </si>
  <si>
    <t>RICHS</t>
  </si>
  <si>
    <t>MP10048</t>
  </si>
  <si>
    <t>CREMA PRESTIGE GRAND (UND:4 K)</t>
  </si>
  <si>
    <t>10415</t>
  </si>
  <si>
    <t>AGUA POTABLE (PLANTA)</t>
  </si>
  <si>
    <t>AYA</t>
  </si>
  <si>
    <t>Etiplas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</si>
  <si>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</si>
  <si>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</si>
  <si>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</si>
  <si>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</si>
  <si>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</si>
  <si>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Toping Lemon Court</t>
  </si>
  <si>
    <t>MP10074</t>
  </si>
  <si>
    <t>Azucar Blanco Industrial</t>
  </si>
  <si>
    <t>LAYCA</t>
  </si>
  <si>
    <t>MP10026</t>
  </si>
  <si>
    <t>Almidon Modificado</t>
  </si>
  <si>
    <t xml:space="preserve">Para almidon </t>
  </si>
  <si>
    <t>MP10240</t>
  </si>
  <si>
    <t>Limones Maya</t>
  </si>
  <si>
    <t>LA PERLA</t>
  </si>
  <si>
    <t>Ralladura</t>
  </si>
  <si>
    <t>MP10025</t>
  </si>
  <si>
    <t>Preservante 1017S</t>
  </si>
  <si>
    <t>Aceal</t>
  </si>
  <si>
    <t xml:space="preserve">1, En una olla agregar, el azucar, el agua, el limon en polvo, el preservante, la ralladura de limon y el colorante Egg Yellow, y revolver constantemente. </t>
  </si>
  <si>
    <t xml:space="preserve">2, Una vez que empieze a hervir, se agrega el almidon (previamente disuelto en el agua) nunca dejando de revolver para que no se apelote la mezcla. </t>
  </si>
  <si>
    <t>3, Luego de espezar, apartar del fuego y dejar enfriar.</t>
  </si>
  <si>
    <t xml:space="preserve">4, Ya frio, empacar y etiquetar. </t>
  </si>
  <si>
    <t>Empaque Toping Lemon Court</t>
  </si>
  <si>
    <t>NUEVO</t>
  </si>
  <si>
    <t>RELLENO LEMON COURT</t>
  </si>
  <si>
    <t>EM10016</t>
  </si>
  <si>
    <t>BOLSA 17x25 TRANSP (KILO)</t>
  </si>
  <si>
    <t>ETIQ.BLANCA 1 1/4 * 3/4 (UND)</t>
  </si>
  <si>
    <t>EM10004</t>
  </si>
  <si>
    <t>ETIQ.FECHA VENCIMIENTO BLANCO (ROLLO)</t>
  </si>
  <si>
    <t xml:space="preserve">1, Empacar 5000g del Toping de limon, en una bolsa 17*25.  </t>
  </si>
  <si>
    <t>2, Cerrar y etiquetar.</t>
  </si>
  <si>
    <t>SE00754</t>
  </si>
  <si>
    <t>Empaque Toping de Lemon Court</t>
  </si>
  <si>
    <t>SE00756</t>
  </si>
  <si>
    <t>Colocho 
Boquilla#4FT</t>
  </si>
  <si>
    <t>ESP-RE-POF-050</t>
  </si>
  <si>
    <t>EM10492</t>
  </si>
  <si>
    <t>ETIQUETA TENTACIÓN LIMÓN VASITO</t>
  </si>
  <si>
    <t>10g x unidad</t>
  </si>
  <si>
    <t xml:space="preserve">2, Se agrega etiqueta, se cambia nombre y cambio dato crema </t>
  </si>
  <si>
    <t>PTI00270 Postre Individual Tentación Limón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</si>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</sst>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  <numFmt numFmtId="171" formatCode="[$-F400]h:mm:ss\ AM/PM"/>
  </numFmts>
  <fonts count="7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0"/>
      <color indexed="8"/>
      <name val="Century Gothic"/>
      <family val="2"/>
    </font>
    <font>
      <b/>
      <i/>
      <sz val="12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name val="Century Gothic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2"/>
      <name val="Arial"/>
      <family val="2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1"/>
      <color theme="1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1"/>
      <name val="Century Gothic"/>
      <family val="2"/>
    </font>
    <font>
      <b/>
      <sz val="20"/>
      <name val="Century Gothic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1"/>
      <name val="Century Gothic"/>
      <family val="2"/>
    </font>
    <font>
      <b/>
      <sz val="12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5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6" fillId="0" borderId="0"/>
    <xf numFmtId="0" fontId="16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26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1" fontId="8" fillId="0" borderId="5" xfId="3" applyNumberFormat="1" applyFont="1" applyBorder="1" applyAlignment="1">
      <alignment horizontal="center" wrapText="1"/>
    </xf>
    <xf numFmtId="0" fontId="0" fillId="4" borderId="5" xfId="0" applyFill="1" applyBorder="1"/>
    <xf numFmtId="49" fontId="9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8" xfId="3" applyFont="1" applyFill="1" applyBorder="1" applyAlignment="1">
      <alignment horizontal="center"/>
    </xf>
    <xf numFmtId="0" fontId="7" fillId="0" borderId="0" xfId="3"/>
    <xf numFmtId="0" fontId="2" fillId="2" borderId="0" xfId="3" applyFont="1" applyFill="1" applyAlignment="1">
      <alignment horizontal="left" indent="1"/>
    </xf>
    <xf numFmtId="9" fontId="2" fillId="2" borderId="0" xfId="5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0" fontId="2" fillId="0" borderId="6" xfId="3" applyFont="1" applyBorder="1" applyAlignment="1">
      <alignment horizontal="center"/>
    </xf>
    <xf numFmtId="0" fontId="2" fillId="0" borderId="15" xfId="3" applyFont="1" applyBorder="1" applyAlignment="1">
      <alignment horizontal="center"/>
    </xf>
    <xf numFmtId="0" fontId="3" fillId="3" borderId="19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164" fontId="2" fillId="0" borderId="0" xfId="3" applyNumberFormat="1" applyFont="1" applyAlignment="1">
      <alignment horizontal="center"/>
    </xf>
    <xf numFmtId="0" fontId="3" fillId="2" borderId="6" xfId="1" applyFont="1" applyFill="1" applyBorder="1" applyAlignment="1">
      <alignment horizontal="right" vertical="top" wrapText="1"/>
    </xf>
    <xf numFmtId="0" fontId="3" fillId="2" borderId="14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3" borderId="12" xfId="3" applyFont="1" applyFill="1" applyBorder="1" applyAlignment="1">
      <alignment horizontal="center"/>
    </xf>
    <xf numFmtId="0" fontId="2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3" xfId="3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2" fillId="0" borderId="0" xfId="3" applyFont="1" applyAlignment="1">
      <alignment horizontal="center"/>
    </xf>
    <xf numFmtId="0" fontId="3" fillId="3" borderId="21" xfId="3" applyFont="1" applyFill="1" applyBorder="1" applyAlignment="1">
      <alignment horizontal="left"/>
    </xf>
    <xf numFmtId="0" fontId="2" fillId="4" borderId="5" xfId="1" applyFont="1" applyFill="1" applyBorder="1" applyAlignment="1">
      <alignment horizontal="center"/>
    </xf>
    <xf numFmtId="0" fontId="3" fillId="4" borderId="5" xfId="1" applyFont="1" applyFill="1" applyBorder="1"/>
    <xf numFmtId="0" fontId="14" fillId="0" borderId="0" xfId="3" applyFont="1"/>
    <xf numFmtId="0" fontId="13" fillId="0" borderId="0" xfId="0" applyFont="1"/>
    <xf numFmtId="1" fontId="0" fillId="0" borderId="0" xfId="0" applyNumberFormat="1"/>
    <xf numFmtId="0" fontId="1" fillId="0" borderId="38" xfId="0" applyFont="1" applyBorder="1" applyAlignment="1">
      <alignment horizontal="center"/>
    </xf>
    <xf numFmtId="0" fontId="7" fillId="4" borderId="5" xfId="0" applyFont="1" applyFill="1" applyBorder="1"/>
    <xf numFmtId="0" fontId="17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right"/>
    </xf>
    <xf numFmtId="12" fontId="12" fillId="0" borderId="9" xfId="3" applyNumberFormat="1" applyFont="1" applyBorder="1" applyAlignment="1">
      <alignment horizontal="center"/>
    </xf>
    <xf numFmtId="16" fontId="2" fillId="0" borderId="5" xfId="3" applyNumberFormat="1" applyFont="1" applyBorder="1" applyAlignment="1">
      <alignment horizontal="center"/>
    </xf>
    <xf numFmtId="0" fontId="19" fillId="4" borderId="5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12" fontId="11" fillId="0" borderId="34" xfId="3" applyNumberFormat="1" applyFont="1" applyBorder="1" applyAlignment="1">
      <alignment horizontal="center"/>
    </xf>
    <xf numFmtId="12" fontId="11" fillId="0" borderId="9" xfId="3" applyNumberFormat="1" applyFont="1" applyBorder="1" applyAlignment="1">
      <alignment horizontal="center"/>
    </xf>
    <xf numFmtId="12" fontId="11" fillId="0" borderId="17" xfId="3" applyNumberFormat="1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49" fontId="21" fillId="0" borderId="5" xfId="3" applyNumberFormat="1" applyFont="1" applyBorder="1"/>
    <xf numFmtId="16" fontId="22" fillId="0" borderId="5" xfId="0" applyNumberFormat="1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1" fontId="22" fillId="0" borderId="5" xfId="0" applyNumberFormat="1" applyFont="1" applyBorder="1" applyAlignment="1">
      <alignment horizontal="center" wrapText="1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6" fontId="17" fillId="0" borderId="38" xfId="0" applyNumberFormat="1" applyFont="1" applyBorder="1" applyAlignment="1">
      <alignment horizontal="center"/>
    </xf>
    <xf numFmtId="1" fontId="22" fillId="0" borderId="5" xfId="3" applyNumberFormat="1" applyFont="1" applyBorder="1" applyAlignment="1">
      <alignment horizontal="center" wrapText="1"/>
    </xf>
    <xf numFmtId="0" fontId="3" fillId="2" borderId="2" xfId="2" applyFont="1" applyFill="1" applyBorder="1" applyAlignment="1">
      <alignment horizontal="right"/>
    </xf>
    <xf numFmtId="0" fontId="2" fillId="2" borderId="3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right"/>
    </xf>
    <xf numFmtId="49" fontId="2" fillId="2" borderId="6" xfId="2" applyNumberFormat="1" applyFont="1" applyFill="1" applyBorder="1" applyAlignment="1">
      <alignment horizontal="center"/>
    </xf>
    <xf numFmtId="0" fontId="2" fillId="2" borderId="38" xfId="2" applyFont="1" applyFill="1" applyBorder="1" applyAlignment="1">
      <alignment horizontal="right"/>
    </xf>
    <xf numFmtId="0" fontId="2" fillId="2" borderId="5" xfId="2" applyFont="1" applyFill="1" applyBorder="1" applyAlignment="1">
      <alignment horizontal="right"/>
    </xf>
    <xf numFmtId="0" fontId="3" fillId="3" borderId="3" xfId="3" applyFont="1" applyFill="1" applyBorder="1" applyAlignment="1">
      <alignment horizontal="center" vertical="center" wrapText="1"/>
    </xf>
    <xf numFmtId="1" fontId="3" fillId="3" borderId="14" xfId="3" applyNumberFormat="1" applyFont="1" applyFill="1" applyBorder="1" applyAlignment="1">
      <alignment horizontal="center"/>
    </xf>
    <xf numFmtId="1" fontId="3" fillId="3" borderId="14" xfId="3" applyNumberFormat="1" applyFont="1" applyFill="1" applyBorder="1" applyAlignment="1">
      <alignment horizontal="center" wrapText="1"/>
    </xf>
    <xf numFmtId="0" fontId="3" fillId="3" borderId="15" xfId="3" applyFont="1" applyFill="1" applyBorder="1" applyAlignment="1">
      <alignment horizontal="center"/>
    </xf>
    <xf numFmtId="0" fontId="8" fillId="0" borderId="5" xfId="3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/>
    </xf>
    <xf numFmtId="0" fontId="22" fillId="0" borderId="6" xfId="3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0" borderId="38" xfId="0" applyFont="1" applyBorder="1" applyAlignment="1">
      <alignment horizontal="center" wrapText="1"/>
    </xf>
    <xf numFmtId="12" fontId="2" fillId="0" borderId="38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2" fillId="0" borderId="5" xfId="3" applyFont="1" applyBorder="1" applyAlignment="1">
      <alignment horizontal="center"/>
    </xf>
    <xf numFmtId="49" fontId="22" fillId="0" borderId="16" xfId="3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49" fontId="9" fillId="2" borderId="4" xfId="3" applyNumberFormat="1" applyFont="1" applyFill="1" applyBorder="1" applyAlignment="1">
      <alignment horizontal="center" vertical="center"/>
    </xf>
    <xf numFmtId="0" fontId="2" fillId="3" borderId="19" xfId="3" applyFont="1" applyFill="1" applyBorder="1" applyAlignment="1">
      <alignment horizontal="center"/>
    </xf>
    <xf numFmtId="0" fontId="2" fillId="3" borderId="20" xfId="3" applyFont="1" applyFill="1" applyBorder="1" applyAlignment="1">
      <alignment horizontal="center"/>
    </xf>
    <xf numFmtId="0" fontId="2" fillId="3" borderId="20" xfId="3" applyFont="1" applyFill="1" applyBorder="1"/>
    <xf numFmtId="0" fontId="3" fillId="3" borderId="20" xfId="3" applyFont="1" applyFill="1" applyBorder="1" applyAlignment="1">
      <alignment horizontal="center"/>
    </xf>
    <xf numFmtId="1" fontId="3" fillId="3" borderId="20" xfId="3" applyNumberFormat="1" applyFont="1" applyFill="1" applyBorder="1" applyAlignment="1">
      <alignment horizontal="center"/>
    </xf>
    <xf numFmtId="164" fontId="2" fillId="3" borderId="20" xfId="3" applyNumberFormat="1" applyFont="1" applyFill="1" applyBorder="1" applyAlignment="1">
      <alignment horizontal="center" wrapText="1"/>
    </xf>
    <xf numFmtId="0" fontId="2" fillId="3" borderId="21" xfId="3" applyFont="1" applyFill="1" applyBorder="1" applyAlignment="1">
      <alignment horizontal="center"/>
    </xf>
    <xf numFmtId="1" fontId="2" fillId="0" borderId="38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21" fillId="4" borderId="5" xfId="0" applyFont="1" applyFill="1" applyBorder="1" applyAlignment="1">
      <alignment horizontal="center"/>
    </xf>
    <xf numFmtId="0" fontId="21" fillId="4" borderId="0" xfId="0" applyFont="1" applyFill="1" applyAlignment="1">
      <alignment vertical="center"/>
    </xf>
    <xf numFmtId="0" fontId="27" fillId="8" borderId="5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43" fontId="27" fillId="0" borderId="5" xfId="72" applyFont="1" applyFill="1" applyBorder="1" applyAlignment="1">
      <alignment horizontal="center" vertical="center"/>
    </xf>
    <xf numFmtId="43" fontId="27" fillId="0" borderId="0" xfId="72" applyFont="1" applyFill="1" applyBorder="1" applyAlignment="1">
      <alignment horizontal="center" vertical="center"/>
    </xf>
    <xf numFmtId="43" fontId="29" fillId="0" borderId="0" xfId="72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66" fontId="32" fillId="0" borderId="0" xfId="0" applyNumberFormat="1" applyFont="1" applyAlignment="1">
      <alignment horizontal="center" vertical="center" wrapText="1"/>
    </xf>
    <xf numFmtId="0" fontId="27" fillId="9" borderId="55" xfId="0" applyFont="1" applyFill="1" applyBorder="1" applyAlignment="1">
      <alignment horizontal="center" vertical="center"/>
    </xf>
    <xf numFmtId="0" fontId="27" fillId="9" borderId="56" xfId="0" applyFont="1" applyFill="1" applyBorder="1" applyAlignment="1">
      <alignment horizontal="center" vertical="center"/>
    </xf>
    <xf numFmtId="0" fontId="27" fillId="9" borderId="56" xfId="0" applyFont="1" applyFill="1" applyBorder="1" applyAlignment="1">
      <alignment horizontal="center" vertical="center" wrapText="1"/>
    </xf>
    <xf numFmtId="0" fontId="27" fillId="9" borderId="5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2" fontId="33" fillId="0" borderId="0" xfId="0" applyNumberFormat="1" applyFont="1" applyAlignment="1">
      <alignment horizontal="center"/>
    </xf>
    <xf numFmtId="4" fontId="33" fillId="0" borderId="0" xfId="73" applyNumberFormat="1" applyFont="1" applyFill="1" applyAlignment="1">
      <alignment horizontal="center" vertical="center"/>
    </xf>
    <xf numFmtId="4" fontId="27" fillId="0" borderId="0" xfId="73" applyNumberFormat="1" applyFont="1" applyFill="1" applyAlignment="1">
      <alignment horizontal="center" vertical="center"/>
    </xf>
    <xf numFmtId="10" fontId="27" fillId="0" borderId="0" xfId="13" applyNumberFormat="1" applyFont="1" applyFill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10" fontId="28" fillId="0" borderId="0" xfId="13" applyNumberFormat="1" applyFont="1" applyFill="1" applyAlignment="1">
      <alignment vertical="center"/>
    </xf>
    <xf numFmtId="0" fontId="21" fillId="0" borderId="0" xfId="0" applyFont="1"/>
    <xf numFmtId="49" fontId="27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43" fontId="21" fillId="0" borderId="0" xfId="72" applyFont="1" applyFill="1" applyAlignment="1">
      <alignment vertical="center"/>
    </xf>
    <xf numFmtId="49" fontId="34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4" fontId="27" fillId="0" borderId="0" xfId="72" applyNumberFormat="1" applyFont="1" applyFill="1" applyAlignment="1">
      <alignment vertical="center"/>
    </xf>
    <xf numFmtId="43" fontId="35" fillId="0" borderId="0" xfId="72" applyFont="1" applyFill="1" applyAlignment="1">
      <alignment horizontal="center" vertical="center"/>
    </xf>
    <xf numFmtId="10" fontId="28" fillId="9" borderId="58" xfId="13" applyNumberFormat="1" applyFont="1" applyFill="1" applyBorder="1" applyAlignment="1">
      <alignment vertical="center"/>
    </xf>
    <xf numFmtId="0" fontId="21" fillId="9" borderId="20" xfId="0" applyFont="1" applyFill="1" applyBorder="1" applyAlignment="1">
      <alignment vertical="center"/>
    </xf>
    <xf numFmtId="0" fontId="21" fillId="9" borderId="58" xfId="0" applyFont="1" applyFill="1" applyBorder="1" applyAlignment="1">
      <alignment vertical="center"/>
    </xf>
    <xf numFmtId="43" fontId="35" fillId="9" borderId="59" xfId="72" applyFont="1" applyFill="1" applyBorder="1" applyAlignment="1">
      <alignment horizontal="center" vertical="center"/>
    </xf>
    <xf numFmtId="43" fontId="37" fillId="0" borderId="0" xfId="72" applyFont="1" applyFill="1" applyBorder="1" applyAlignment="1">
      <alignment horizontal="right"/>
    </xf>
    <xf numFmtId="0" fontId="21" fillId="9" borderId="59" xfId="0" applyFont="1" applyFill="1" applyBorder="1" applyAlignment="1">
      <alignment vertical="center"/>
    </xf>
    <xf numFmtId="10" fontId="28" fillId="9" borderId="59" xfId="13" applyNumberFormat="1" applyFont="1" applyFill="1" applyBorder="1" applyAlignment="1">
      <alignment vertical="center"/>
    </xf>
    <xf numFmtId="0" fontId="36" fillId="0" borderId="0" xfId="0" applyFont="1" applyAlignment="1">
      <alignment horizontal="right"/>
    </xf>
    <xf numFmtId="0" fontId="36" fillId="0" borderId="0" xfId="0" applyFont="1"/>
    <xf numFmtId="9" fontId="36" fillId="0" borderId="0" xfId="0" applyNumberFormat="1" applyFont="1"/>
    <xf numFmtId="9" fontId="38" fillId="0" borderId="0" xfId="13" applyFont="1" applyFill="1" applyAlignment="1">
      <alignment horizontal="center"/>
    </xf>
    <xf numFmtId="0" fontId="35" fillId="0" borderId="0" xfId="0" applyFont="1" applyAlignment="1">
      <alignment horizontal="right" vertical="center"/>
    </xf>
    <xf numFmtId="4" fontId="35" fillId="0" borderId="0" xfId="72" applyNumberFormat="1" applyFont="1" applyFill="1" applyAlignment="1">
      <alignment vertical="center"/>
    </xf>
    <xf numFmtId="4" fontId="35" fillId="0" borderId="0" xfId="73" applyNumberFormat="1" applyFont="1" applyAlignment="1">
      <alignment horizontal="center" vertical="center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18" xfId="0" applyFont="1" applyBorder="1" applyAlignment="1">
      <alignment horizontal="right"/>
    </xf>
    <xf numFmtId="43" fontId="41" fillId="6" borderId="60" xfId="72" applyFont="1" applyFill="1" applyBorder="1" applyAlignment="1">
      <alignment horizontal="right"/>
    </xf>
    <xf numFmtId="43" fontId="41" fillId="0" borderId="0" xfId="72" applyFont="1" applyFill="1" applyBorder="1" applyAlignment="1">
      <alignment horizontal="right"/>
    </xf>
    <xf numFmtId="43" fontId="27" fillId="0" borderId="5" xfId="72" applyFont="1" applyFill="1" applyBorder="1" applyAlignment="1">
      <alignment vertical="center"/>
    </xf>
    <xf numFmtId="0" fontId="42" fillId="0" borderId="0" xfId="0" applyFont="1" applyAlignment="1">
      <alignment horizontal="left" vertical="center"/>
    </xf>
    <xf numFmtId="4" fontId="35" fillId="0" borderId="0" xfId="73" applyNumberFormat="1" applyFont="1" applyFill="1" applyAlignment="1">
      <alignment horizontal="center" vertical="center"/>
    </xf>
    <xf numFmtId="10" fontId="43" fillId="0" borderId="0" xfId="13" applyNumberFormat="1" applyFont="1" applyFill="1" applyAlignment="1">
      <alignment horizontal="right"/>
    </xf>
    <xf numFmtId="168" fontId="27" fillId="9" borderId="5" xfId="72" applyNumberFormat="1" applyFont="1" applyFill="1" applyBorder="1" applyAlignment="1">
      <alignment vertical="center"/>
    </xf>
    <xf numFmtId="4" fontId="21" fillId="0" borderId="0" xfId="0" applyNumberFormat="1" applyFont="1" applyAlignment="1">
      <alignment horizontal="center" vertical="center"/>
    </xf>
    <xf numFmtId="43" fontId="27" fillId="10" borderId="5" xfId="72" applyFont="1" applyFill="1" applyBorder="1" applyAlignment="1">
      <alignment vertical="center"/>
    </xf>
    <xf numFmtId="165" fontId="44" fillId="0" borderId="0" xfId="0" applyNumberFormat="1" applyFont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8" fillId="9" borderId="61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2" fontId="43" fillId="0" borderId="0" xfId="72" applyNumberFormat="1" applyFont="1" applyFill="1" applyBorder="1" applyAlignment="1">
      <alignment horizontal="center"/>
    </xf>
    <xf numFmtId="2" fontId="40" fillId="0" borderId="0" xfId="72" applyNumberFormat="1" applyFont="1" applyFill="1" applyBorder="1" applyAlignment="1">
      <alignment horizontal="center"/>
    </xf>
    <xf numFmtId="0" fontId="21" fillId="9" borderId="61" xfId="0" applyFont="1" applyFill="1" applyBorder="1" applyAlignment="1">
      <alignment vertical="center"/>
    </xf>
    <xf numFmtId="10" fontId="21" fillId="0" borderId="0" xfId="13" applyNumberFormat="1" applyFont="1" applyFill="1" applyAlignment="1">
      <alignment vertical="center"/>
    </xf>
    <xf numFmtId="4" fontId="21" fillId="0" borderId="0" xfId="72" applyNumberFormat="1" applyFont="1" applyFill="1" applyAlignment="1">
      <alignment vertical="center"/>
    </xf>
    <xf numFmtId="43" fontId="41" fillId="9" borderId="20" xfId="72" applyFont="1" applyFill="1" applyBorder="1" applyAlignment="1">
      <alignment horizontal="right"/>
    </xf>
    <xf numFmtId="0" fontId="27" fillId="9" borderId="21" xfId="0" applyFont="1" applyFill="1" applyBorder="1" applyAlignment="1">
      <alignment horizontal="right" vertical="center"/>
    </xf>
    <xf numFmtId="10" fontId="47" fillId="0" borderId="0" xfId="72" applyNumberFormat="1" applyFont="1" applyFill="1" applyAlignment="1">
      <alignment vertical="center"/>
    </xf>
    <xf numFmtId="10" fontId="28" fillId="0" borderId="0" xfId="13" applyNumberFormat="1" applyFont="1" applyFill="1" applyBorder="1" applyAlignment="1">
      <alignment vertical="center"/>
    </xf>
    <xf numFmtId="165" fontId="48" fillId="0" borderId="0" xfId="0" applyNumberFormat="1" applyFont="1" applyAlignment="1">
      <alignment horizontal="center" vertical="center"/>
    </xf>
    <xf numFmtId="0" fontId="21" fillId="4" borderId="60" xfId="0" applyFont="1" applyFill="1" applyBorder="1" applyAlignment="1">
      <alignment horizontal="center" vertical="center"/>
    </xf>
    <xf numFmtId="43" fontId="49" fillId="0" borderId="0" xfId="72" applyFont="1" applyFill="1" applyAlignment="1">
      <alignment vertical="center"/>
    </xf>
    <xf numFmtId="4" fontId="50" fillId="0" borderId="0" xfId="73" applyNumberFormat="1" applyFont="1" applyFill="1" applyAlignment="1">
      <alignment horizontal="center" vertical="center" wrapText="1"/>
    </xf>
    <xf numFmtId="9" fontId="21" fillId="0" borderId="0" xfId="72" applyNumberFormat="1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/>
    </xf>
    <xf numFmtId="4" fontId="34" fillId="0" borderId="0" xfId="72" applyNumberFormat="1" applyFont="1" applyFill="1" applyAlignment="1">
      <alignment vertical="center"/>
    </xf>
    <xf numFmtId="4" fontId="27" fillId="12" borderId="60" xfId="7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1" fillId="0" borderId="0" xfId="72" applyFont="1" applyFill="1" applyAlignment="1">
      <alignment vertical="center"/>
    </xf>
    <xf numFmtId="9" fontId="51" fillId="0" borderId="0" xfId="72" applyNumberFormat="1" applyFont="1" applyFill="1" applyAlignment="1">
      <alignment vertical="center"/>
    </xf>
    <xf numFmtId="4" fontId="27" fillId="0" borderId="0" xfId="72" applyNumberFormat="1" applyFont="1" applyFill="1" applyAlignment="1">
      <alignment horizontal="center" vertical="center"/>
    </xf>
    <xf numFmtId="10" fontId="44" fillId="0" borderId="0" xfId="13" applyNumberFormat="1" applyFont="1" applyFill="1" applyAlignment="1">
      <alignment vertical="center"/>
    </xf>
    <xf numFmtId="43" fontId="44" fillId="0" borderId="0" xfId="72" applyFont="1" applyFill="1" applyBorder="1" applyAlignment="1">
      <alignment vertical="center"/>
    </xf>
    <xf numFmtId="4" fontId="21" fillId="0" borderId="0" xfId="0" applyNumberFormat="1" applyFont="1" applyAlignment="1">
      <alignment horizontal="center"/>
    </xf>
    <xf numFmtId="43" fontId="21" fillId="0" borderId="0" xfId="72" applyFont="1" applyFill="1" applyBorder="1"/>
    <xf numFmtId="10" fontId="44" fillId="0" borderId="0" xfId="13" applyNumberFormat="1" applyFont="1" applyFill="1" applyBorder="1" applyAlignment="1">
      <alignment vertical="center"/>
    </xf>
    <xf numFmtId="0" fontId="44" fillId="0" borderId="0" xfId="0" applyFont="1" applyAlignment="1">
      <alignment horizontal="right"/>
    </xf>
    <xf numFmtId="43" fontId="21" fillId="0" borderId="0" xfId="72" applyFont="1" applyFill="1" applyBorder="1" applyAlignment="1">
      <alignment horizontal="center"/>
    </xf>
    <xf numFmtId="9" fontId="54" fillId="0" borderId="0" xfId="0" applyNumberFormat="1" applyFont="1" applyAlignment="1">
      <alignment horizontal="left"/>
    </xf>
    <xf numFmtId="4" fontId="27" fillId="0" borderId="0" xfId="0" applyNumberFormat="1" applyFont="1" applyAlignment="1">
      <alignment horizontal="center"/>
    </xf>
    <xf numFmtId="165" fontId="27" fillId="0" borderId="0" xfId="0" applyNumberFormat="1" applyFont="1"/>
    <xf numFmtId="0" fontId="14" fillId="2" borderId="2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left"/>
    </xf>
    <xf numFmtId="0" fontId="7" fillId="2" borderId="0" xfId="0" applyFont="1" applyFill="1"/>
    <xf numFmtId="0" fontId="14" fillId="2" borderId="5" xfId="2" applyFont="1" applyFill="1" applyBorder="1" applyAlignment="1">
      <alignment horizontal="right"/>
    </xf>
    <xf numFmtId="49" fontId="7" fillId="2" borderId="6" xfId="2" applyNumberFormat="1" applyFont="1" applyFill="1" applyBorder="1" applyAlignment="1">
      <alignment horizontal="center"/>
    </xf>
    <xf numFmtId="0" fontId="7" fillId="2" borderId="54" xfId="2" applyFont="1" applyFill="1" applyBorder="1" applyAlignment="1">
      <alignment horizontal="right"/>
    </xf>
    <xf numFmtId="0" fontId="7" fillId="2" borderId="24" xfId="2" applyFont="1" applyFill="1" applyBorder="1" applyAlignment="1">
      <alignment horizontal="right"/>
    </xf>
    <xf numFmtId="14" fontId="6" fillId="2" borderId="18" xfId="2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1" fontId="14" fillId="3" borderId="14" xfId="0" applyNumberFormat="1" applyFont="1" applyFill="1" applyBorder="1" applyAlignment="1">
      <alignment horizontal="center"/>
    </xf>
    <xf numFmtId="1" fontId="14" fillId="3" borderId="14" xfId="0" applyNumberFormat="1" applyFont="1" applyFill="1" applyBorder="1" applyAlignment="1">
      <alignment horizontal="center" wrapText="1"/>
    </xf>
    <xf numFmtId="0" fontId="14" fillId="3" borderId="15" xfId="0" applyFont="1" applyFill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164" fontId="22" fillId="0" borderId="38" xfId="0" applyNumberFormat="1" applyFont="1" applyBorder="1" applyAlignment="1">
      <alignment horizontal="right"/>
    </xf>
    <xf numFmtId="1" fontId="22" fillId="0" borderId="38" xfId="0" applyNumberFormat="1" applyFont="1" applyBorder="1"/>
    <xf numFmtId="0" fontId="14" fillId="4" borderId="53" xfId="0" applyFont="1" applyFill="1" applyBorder="1" applyAlignment="1">
      <alignment horizontal="center"/>
    </xf>
    <xf numFmtId="2" fontId="22" fillId="0" borderId="5" xfId="0" applyNumberFormat="1" applyFont="1" applyBorder="1" applyAlignment="1">
      <alignment horizontal="right"/>
    </xf>
    <xf numFmtId="1" fontId="22" fillId="0" borderId="5" xfId="0" applyNumberFormat="1" applyFont="1" applyBorder="1"/>
    <xf numFmtId="0" fontId="14" fillId="4" borderId="6" xfId="0" applyFont="1" applyFill="1" applyBorder="1" applyAlignment="1">
      <alignment horizontal="center"/>
    </xf>
    <xf numFmtId="49" fontId="22" fillId="4" borderId="10" xfId="3" applyNumberFormat="1" applyFont="1" applyFill="1" applyBorder="1" applyAlignment="1">
      <alignment horizontal="center"/>
    </xf>
    <xf numFmtId="49" fontId="21" fillId="4" borderId="5" xfId="3" applyNumberFormat="1" applyFont="1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vertical="center"/>
    </xf>
    <xf numFmtId="164" fontId="22" fillId="0" borderId="5" xfId="0" applyNumberFormat="1" applyFont="1" applyBorder="1" applyAlignment="1">
      <alignment horizontal="right"/>
    </xf>
    <xf numFmtId="0" fontId="14" fillId="4" borderId="5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49" fontId="7" fillId="0" borderId="16" xfId="3" applyNumberFormat="1" applyBorder="1" applyAlignment="1">
      <alignment horizontal="center"/>
    </xf>
    <xf numFmtId="49" fontId="7" fillId="0" borderId="10" xfId="3" applyNumberFormat="1" applyBorder="1" applyAlignment="1">
      <alignment horizontal="center"/>
    </xf>
    <xf numFmtId="49" fontId="7" fillId="0" borderId="5" xfId="3" applyNumberFormat="1" applyBorder="1"/>
    <xf numFmtId="16" fontId="7" fillId="0" borderId="5" xfId="3" applyNumberFormat="1" applyBorder="1" applyAlignment="1">
      <alignment horizontal="center"/>
    </xf>
    <xf numFmtId="1" fontId="7" fillId="0" borderId="5" xfId="3" applyNumberFormat="1" applyBorder="1" applyAlignment="1">
      <alignment horizontal="center"/>
    </xf>
    <xf numFmtId="1" fontId="7" fillId="0" borderId="5" xfId="3" applyNumberFormat="1" applyBorder="1" applyAlignment="1">
      <alignment horizontal="center" wrapText="1"/>
    </xf>
    <xf numFmtId="0" fontId="22" fillId="0" borderId="38" xfId="0" applyFont="1" applyBorder="1" applyAlignment="1">
      <alignment horizontal="center"/>
    </xf>
    <xf numFmtId="49" fontId="56" fillId="2" borderId="4" xfId="0" applyNumberFormat="1" applyFont="1" applyFill="1" applyBorder="1" applyAlignment="1">
      <alignment horizontal="center" vertical="center"/>
    </xf>
    <xf numFmtId="49" fontId="56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left" indent="1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0" xfId="0" applyFont="1" applyFill="1" applyBorder="1"/>
    <xf numFmtId="0" fontId="14" fillId="3" borderId="20" xfId="0" applyFont="1" applyFill="1" applyBorder="1" applyAlignment="1">
      <alignment horizontal="center"/>
    </xf>
    <xf numFmtId="1" fontId="14" fillId="3" borderId="20" xfId="0" applyNumberFormat="1" applyFont="1" applyFill="1" applyBorder="1" applyAlignment="1">
      <alignment horizontal="center"/>
    </xf>
    <xf numFmtId="164" fontId="7" fillId="3" borderId="20" xfId="0" applyNumberFormat="1" applyFont="1" applyFill="1" applyBorder="1" applyAlignment="1">
      <alignment horizontal="center" wrapText="1"/>
    </xf>
    <xf numFmtId="0" fontId="7" fillId="3" borderId="21" xfId="0" applyFont="1" applyFill="1" applyBorder="1" applyAlignment="1">
      <alignment horizontal="center"/>
    </xf>
    <xf numFmtId="1" fontId="7" fillId="0" borderId="38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9" fontId="7" fillId="2" borderId="0" xfId="13" applyFont="1" applyFill="1"/>
    <xf numFmtId="1" fontId="7" fillId="0" borderId="5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0" fontId="8" fillId="0" borderId="16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57" fillId="0" borderId="5" xfId="3" applyFont="1" applyBorder="1" applyAlignment="1">
      <alignment vertical="center"/>
    </xf>
    <xf numFmtId="0" fontId="22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1" fillId="0" borderId="5" xfId="0" applyFont="1" applyBorder="1"/>
    <xf numFmtId="0" fontId="2" fillId="0" borderId="38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0" xfId="0" applyFont="1"/>
    <xf numFmtId="0" fontId="22" fillId="0" borderId="5" xfId="0" applyFont="1" applyBorder="1" applyAlignment="1">
      <alignment horizontal="center" wrapText="1"/>
    </xf>
    <xf numFmtId="2" fontId="8" fillId="0" borderId="5" xfId="3" applyNumberFormat="1" applyFont="1" applyBorder="1" applyAlignment="1">
      <alignment horizontal="center"/>
    </xf>
    <xf numFmtId="1" fontId="3" fillId="4" borderId="66" xfId="3" applyNumberFormat="1" applyFont="1" applyFill="1" applyBorder="1" applyAlignment="1">
      <alignment horizontal="center" wrapText="1"/>
    </xf>
    <xf numFmtId="0" fontId="58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 wrapText="1"/>
    </xf>
    <xf numFmtId="2" fontId="8" fillId="0" borderId="5" xfId="3" applyNumberFormat="1" applyFont="1" applyBorder="1" applyAlignment="1">
      <alignment horizontal="center" wrapText="1"/>
    </xf>
    <xf numFmtId="0" fontId="58" fillId="0" borderId="5" xfId="0" applyFont="1" applyBorder="1" applyAlignment="1">
      <alignment horizontal="center"/>
    </xf>
    <xf numFmtId="0" fontId="58" fillId="0" borderId="5" xfId="0" applyFont="1" applyBorder="1"/>
    <xf numFmtId="0" fontId="58" fillId="0" borderId="5" xfId="0" applyFont="1" applyBorder="1" applyAlignment="1">
      <alignment horizontal="center" vertical="center"/>
    </xf>
    <xf numFmtId="0" fontId="7" fillId="0" borderId="5" xfId="3" applyBorder="1" applyAlignment="1">
      <alignment horizontal="center"/>
    </xf>
    <xf numFmtId="1" fontId="22" fillId="0" borderId="5" xfId="3" applyNumberFormat="1" applyFont="1" applyBorder="1" applyAlignment="1">
      <alignment horizontal="center"/>
    </xf>
    <xf numFmtId="49" fontId="22" fillId="0" borderId="10" xfId="3" applyNumberFormat="1" applyFont="1" applyBorder="1" applyAlignment="1">
      <alignment horizontal="center"/>
    </xf>
    <xf numFmtId="0" fontId="24" fillId="4" borderId="5" xfId="3" applyFont="1" applyFill="1" applyBorder="1" applyAlignment="1">
      <alignment horizontal="left"/>
    </xf>
    <xf numFmtId="169" fontId="22" fillId="0" borderId="5" xfId="3" applyNumberFormat="1" applyFont="1" applyBorder="1" applyAlignment="1">
      <alignment horizontal="center"/>
    </xf>
    <xf numFmtId="0" fontId="7" fillId="0" borderId="16" xfId="4" applyBorder="1" applyAlignment="1">
      <alignment horizontal="center"/>
    </xf>
    <xf numFmtId="0" fontId="7" fillId="4" borderId="5" xfId="4" applyFill="1" applyBorder="1"/>
    <xf numFmtId="16" fontId="22" fillId="0" borderId="5" xfId="4" applyNumberFormat="1" applyFont="1" applyBorder="1" applyAlignment="1">
      <alignment horizontal="center"/>
    </xf>
    <xf numFmtId="0" fontId="7" fillId="0" borderId="5" xfId="4" applyBorder="1" applyAlignment="1">
      <alignment horizontal="center"/>
    </xf>
    <xf numFmtId="1" fontId="22" fillId="0" borderId="5" xfId="4" applyNumberFormat="1" applyFont="1" applyBorder="1" applyAlignment="1">
      <alignment horizontal="center"/>
    </xf>
    <xf numFmtId="1" fontId="22" fillId="0" borderId="5" xfId="4" applyNumberFormat="1" applyFont="1" applyBorder="1" applyAlignment="1">
      <alignment horizontal="center" wrapText="1"/>
    </xf>
    <xf numFmtId="49" fontId="8" fillId="0" borderId="37" xfId="3" applyNumberFormat="1" applyFont="1" applyBorder="1" applyAlignment="1">
      <alignment horizontal="center"/>
    </xf>
    <xf numFmtId="49" fontId="8" fillId="0" borderId="9" xfId="3" applyNumberFormat="1" applyFont="1" applyBorder="1" applyAlignment="1">
      <alignment horizontal="center"/>
    </xf>
    <xf numFmtId="0" fontId="59" fillId="4" borderId="5" xfId="3" applyFont="1" applyFill="1" applyBorder="1" applyAlignment="1">
      <alignment vertical="center"/>
    </xf>
    <xf numFmtId="0" fontId="8" fillId="0" borderId="10" xfId="3" applyFont="1" applyBorder="1" applyAlignment="1">
      <alignment horizontal="center"/>
    </xf>
    <xf numFmtId="169" fontId="8" fillId="0" borderId="5" xfId="3" applyNumberFormat="1" applyFont="1" applyBorder="1" applyAlignment="1">
      <alignment horizontal="center"/>
    </xf>
    <xf numFmtId="170" fontId="3" fillId="4" borderId="5" xfId="72" applyNumberFormat="1" applyFont="1" applyFill="1" applyBorder="1" applyAlignment="1">
      <alignment horizontal="center"/>
    </xf>
    <xf numFmtId="49" fontId="22" fillId="0" borderId="5" xfId="0" applyNumberFormat="1" applyFont="1" applyBorder="1" applyAlignment="1">
      <alignment horizontal="center"/>
    </xf>
    <xf numFmtId="49" fontId="21" fillId="0" borderId="5" xfId="0" applyNumberFormat="1" applyFont="1" applyBorder="1"/>
    <xf numFmtId="1" fontId="2" fillId="0" borderId="5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0" fontId="60" fillId="0" borderId="16" xfId="0" quotePrefix="1" applyFont="1" applyBorder="1" applyAlignment="1">
      <alignment horizontal="center"/>
    </xf>
    <xf numFmtId="0" fontId="60" fillId="0" borderId="10" xfId="0" quotePrefix="1" applyFont="1" applyBorder="1" applyAlignment="1">
      <alignment horizontal="center"/>
    </xf>
    <xf numFmtId="0" fontId="61" fillId="0" borderId="5" xfId="0" quotePrefix="1" applyFont="1" applyBorder="1"/>
    <xf numFmtId="1" fontId="2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 wrapText="1"/>
    </xf>
    <xf numFmtId="49" fontId="22" fillId="4" borderId="16" xfId="3" applyNumberFormat="1" applyFont="1" applyFill="1" applyBorder="1" applyAlignment="1">
      <alignment horizontal="center"/>
    </xf>
    <xf numFmtId="12" fontId="22" fillId="0" borderId="5" xfId="3" applyNumberFormat="1" applyFont="1" applyBorder="1" applyAlignment="1">
      <alignment horizontal="center"/>
    </xf>
    <xf numFmtId="1" fontId="17" fillId="0" borderId="5" xfId="3" applyNumberFormat="1" applyFont="1" applyBorder="1" applyAlignment="1">
      <alignment horizontal="center"/>
    </xf>
    <xf numFmtId="0" fontId="17" fillId="0" borderId="5" xfId="3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2" fillId="0" borderId="5" xfId="0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/>
    </xf>
    <xf numFmtId="0" fontId="3" fillId="2" borderId="2" xfId="1" applyFont="1" applyFill="1" applyBorder="1" applyAlignment="1">
      <alignment horizontal="right"/>
    </xf>
    <xf numFmtId="0" fontId="3" fillId="2" borderId="5" xfId="1" applyFont="1" applyFill="1" applyBorder="1" applyAlignment="1">
      <alignment horizontal="right"/>
    </xf>
    <xf numFmtId="0" fontId="2" fillId="2" borderId="38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0" fontId="23" fillId="0" borderId="5" xfId="3" applyFont="1" applyBorder="1" applyAlignment="1">
      <alignment horizontal="center" vertical="center"/>
    </xf>
    <xf numFmtId="0" fontId="23" fillId="0" borderId="5" xfId="3" applyFont="1" applyBorder="1" applyAlignment="1">
      <alignment horizontal="left" vertical="center"/>
    </xf>
    <xf numFmtId="0" fontId="22" fillId="0" borderId="38" xfId="3" applyFont="1" applyBorder="1" applyAlignment="1">
      <alignment horizontal="center"/>
    </xf>
    <xf numFmtId="1" fontId="22" fillId="0" borderId="38" xfId="3" applyNumberFormat="1" applyFont="1" applyBorder="1" applyAlignment="1">
      <alignment horizontal="center"/>
    </xf>
    <xf numFmtId="1" fontId="22" fillId="0" borderId="38" xfId="3" applyNumberFormat="1" applyFont="1" applyBorder="1" applyAlignment="1">
      <alignment horizontal="center" wrapText="1"/>
    </xf>
    <xf numFmtId="0" fontId="2" fillId="0" borderId="38" xfId="3" applyFont="1" applyBorder="1" applyAlignment="1">
      <alignment horizontal="center" wrapText="1"/>
    </xf>
    <xf numFmtId="12" fontId="2" fillId="0" borderId="38" xfId="3" applyNumberFormat="1" applyFont="1" applyBorder="1" applyAlignment="1">
      <alignment horizontal="center"/>
    </xf>
    <xf numFmtId="0" fontId="2" fillId="0" borderId="5" xfId="3" applyFont="1" applyBorder="1" applyAlignment="1">
      <alignment horizontal="center"/>
    </xf>
    <xf numFmtId="0" fontId="7" fillId="0" borderId="5" xfId="3" applyBorder="1" applyAlignment="1">
      <alignment horizontal="left"/>
    </xf>
    <xf numFmtId="0" fontId="24" fillId="0" borderId="5" xfId="3" applyFont="1" applyBorder="1"/>
    <xf numFmtId="0" fontId="7" fillId="0" borderId="5" xfId="3" applyBorder="1"/>
    <xf numFmtId="0" fontId="2" fillId="4" borderId="5" xfId="3" applyFont="1" applyFill="1" applyBorder="1" applyAlignment="1">
      <alignment horizontal="center"/>
    </xf>
    <xf numFmtId="0" fontId="62" fillId="4" borderId="16" xfId="3" applyFont="1" applyFill="1" applyBorder="1" applyAlignment="1">
      <alignment horizontal="center"/>
    </xf>
    <xf numFmtId="0" fontId="62" fillId="4" borderId="54" xfId="3" applyFont="1" applyFill="1" applyBorder="1" applyAlignment="1">
      <alignment horizontal="center"/>
    </xf>
    <xf numFmtId="0" fontId="62" fillId="4" borderId="38" xfId="3" applyFont="1" applyFill="1" applyBorder="1"/>
    <xf numFmtId="0" fontId="2" fillId="4" borderId="10" xfId="3" applyFont="1" applyFill="1" applyBorder="1" applyAlignment="1">
      <alignment horizontal="center"/>
    </xf>
    <xf numFmtId="1" fontId="2" fillId="4" borderId="38" xfId="3" applyNumberFormat="1" applyFont="1" applyFill="1" applyBorder="1" applyAlignment="1">
      <alignment horizontal="center"/>
    </xf>
    <xf numFmtId="1" fontId="2" fillId="4" borderId="38" xfId="3" applyNumberFormat="1" applyFont="1" applyFill="1" applyBorder="1" applyAlignment="1">
      <alignment horizontal="center" wrapText="1"/>
    </xf>
    <xf numFmtId="49" fontId="2" fillId="4" borderId="38" xfId="3" applyNumberFormat="1" applyFont="1" applyFill="1" applyBorder="1" applyAlignment="1">
      <alignment horizontal="center"/>
    </xf>
    <xf numFmtId="1" fontId="2" fillId="4" borderId="5" xfId="3" applyNumberFormat="1" applyFont="1" applyFill="1" applyBorder="1" applyAlignment="1">
      <alignment horizontal="center"/>
    </xf>
    <xf numFmtId="1" fontId="2" fillId="4" borderId="5" xfId="3" applyNumberFormat="1" applyFont="1" applyFill="1" applyBorder="1" applyAlignment="1">
      <alignment horizontal="center" wrapText="1"/>
    </xf>
    <xf numFmtId="1" fontId="2" fillId="0" borderId="5" xfId="3" applyNumberFormat="1" applyFont="1" applyBorder="1" applyAlignment="1">
      <alignment horizontal="center"/>
    </xf>
    <xf numFmtId="1" fontId="2" fillId="0" borderId="5" xfId="3" applyNumberFormat="1" applyFont="1" applyBorder="1" applyAlignment="1">
      <alignment horizontal="center" wrapText="1"/>
    </xf>
    <xf numFmtId="49" fontId="27" fillId="0" borderId="5" xfId="3" applyNumberFormat="1" applyFont="1" applyBorder="1"/>
    <xf numFmtId="170" fontId="3" fillId="4" borderId="5" xfId="74" applyNumberFormat="1" applyFont="1" applyFill="1" applyBorder="1" applyAlignment="1">
      <alignment horizontal="center"/>
    </xf>
    <xf numFmtId="0" fontId="63" fillId="0" borderId="16" xfId="3" applyFont="1" applyBorder="1" applyAlignment="1">
      <alignment horizontal="center"/>
    </xf>
    <xf numFmtId="0" fontId="63" fillId="0" borderId="10" xfId="3" applyFont="1" applyBorder="1" applyAlignment="1">
      <alignment horizontal="center"/>
    </xf>
    <xf numFmtId="0" fontId="51" fillId="0" borderId="5" xfId="3" applyFont="1" applyBorder="1"/>
    <xf numFmtId="0" fontId="7" fillId="0" borderId="5" xfId="3" applyBorder="1" applyAlignment="1">
      <alignment horizontal="center" vertical="center"/>
    </xf>
    <xf numFmtId="0" fontId="7" fillId="0" borderId="5" xfId="3" applyBorder="1" applyAlignment="1">
      <alignment horizontal="left" vertical="center"/>
    </xf>
    <xf numFmtId="0" fontId="2" fillId="0" borderId="5" xfId="3" quotePrefix="1" applyFont="1" applyBorder="1" applyAlignment="1">
      <alignment horizontal="center"/>
    </xf>
    <xf numFmtId="0" fontId="2" fillId="0" borderId="5" xfId="3" quotePrefix="1" applyFont="1" applyBorder="1"/>
    <xf numFmtId="49" fontId="22" fillId="0" borderId="5" xfId="3" applyNumberFormat="1" applyFont="1" applyBorder="1" applyAlignment="1">
      <alignment horizontal="center"/>
    </xf>
    <xf numFmtId="16" fontId="22" fillId="0" borderId="5" xfId="3" applyNumberFormat="1" applyFont="1" applyBorder="1" applyAlignment="1">
      <alignment horizontal="center"/>
    </xf>
    <xf numFmtId="1" fontId="2" fillId="0" borderId="38" xfId="3" applyNumberFormat="1" applyFont="1" applyBorder="1" applyAlignment="1">
      <alignment horizontal="center"/>
    </xf>
    <xf numFmtId="0" fontId="2" fillId="0" borderId="22" xfId="3" applyFont="1" applyBorder="1" applyAlignment="1">
      <alignment horizontal="center"/>
    </xf>
    <xf numFmtId="171" fontId="2" fillId="0" borderId="5" xfId="3" applyNumberFormat="1" applyFont="1" applyBorder="1" applyAlignment="1">
      <alignment horizontal="center"/>
    </xf>
    <xf numFmtId="1" fontId="2" fillId="0" borderId="14" xfId="3" applyNumberFormat="1" applyFont="1" applyBorder="1" applyAlignment="1">
      <alignment horizontal="center"/>
    </xf>
    <xf numFmtId="0" fontId="2" fillId="0" borderId="14" xfId="3" applyFont="1" applyBorder="1" applyAlignment="1">
      <alignment horizontal="center"/>
    </xf>
    <xf numFmtId="1" fontId="8" fillId="0" borderId="38" xfId="3" applyNumberFormat="1" applyFont="1" applyBorder="1" applyAlignment="1">
      <alignment horizontal="center"/>
    </xf>
    <xf numFmtId="1" fontId="8" fillId="0" borderId="38" xfId="3" applyNumberFormat="1" applyFont="1" applyBorder="1" applyAlignment="1">
      <alignment horizontal="center" wrapText="1"/>
    </xf>
    <xf numFmtId="0" fontId="21" fillId="0" borderId="5" xfId="12" applyFont="1" applyBorder="1" applyAlignment="1">
      <alignment horizontal="center"/>
    </xf>
    <xf numFmtId="16" fontId="21" fillId="0" borderId="5" xfId="12" applyNumberFormat="1" applyFont="1" applyBorder="1" applyAlignment="1">
      <alignment horizontal="center"/>
    </xf>
    <xf numFmtId="1" fontId="17" fillId="0" borderId="5" xfId="0" applyNumberFormat="1" applyFont="1" applyBorder="1" applyAlignment="1">
      <alignment horizontal="center"/>
    </xf>
    <xf numFmtId="0" fontId="62" fillId="4" borderId="16" xfId="0" applyFont="1" applyFill="1" applyBorder="1" applyAlignment="1">
      <alignment horizontal="center"/>
    </xf>
    <xf numFmtId="0" fontId="62" fillId="4" borderId="5" xfId="0" applyFont="1" applyFill="1" applyBorder="1" applyAlignment="1">
      <alignment horizontal="center"/>
    </xf>
    <xf numFmtId="0" fontId="62" fillId="4" borderId="38" xfId="0" applyFont="1" applyFill="1" applyBorder="1"/>
    <xf numFmtId="0" fontId="2" fillId="4" borderId="10" xfId="0" applyFont="1" applyFill="1" applyBorder="1" applyAlignment="1">
      <alignment horizontal="center"/>
    </xf>
    <xf numFmtId="0" fontId="62" fillId="4" borderId="10" xfId="0" applyFont="1" applyFill="1" applyBorder="1" applyAlignment="1">
      <alignment horizontal="center"/>
    </xf>
    <xf numFmtId="0" fontId="62" fillId="4" borderId="5" xfId="0" applyFont="1" applyFill="1" applyBorder="1"/>
    <xf numFmtId="1" fontId="2" fillId="4" borderId="38" xfId="0" applyNumberFormat="1" applyFont="1" applyFill="1" applyBorder="1" applyAlignment="1">
      <alignment horizontal="center"/>
    </xf>
    <xf numFmtId="1" fontId="2" fillId="4" borderId="38" xfId="0" applyNumberFormat="1" applyFont="1" applyFill="1" applyBorder="1" applyAlignment="1">
      <alignment horizontal="center" wrapText="1"/>
    </xf>
    <xf numFmtId="0" fontId="65" fillId="0" borderId="5" xfId="0" applyFont="1" applyBorder="1" applyAlignment="1">
      <alignment horizontal="center"/>
    </xf>
    <xf numFmtId="0" fontId="65" fillId="0" borderId="5" xfId="0" applyFont="1" applyBorder="1" applyAlignment="1">
      <alignment horizontal="center" vertical="center"/>
    </xf>
    <xf numFmtId="0" fontId="65" fillId="13" borderId="5" xfId="0" applyFont="1" applyFill="1" applyBorder="1"/>
    <xf numFmtId="0" fontId="2" fillId="0" borderId="5" xfId="0" applyFont="1" applyBorder="1" applyAlignment="1">
      <alignment horizontal="center" wrapText="1"/>
    </xf>
    <xf numFmtId="0" fontId="65" fillId="13" borderId="0" xfId="0" applyFont="1" applyFill="1" applyAlignment="1">
      <alignment horizontal="center"/>
    </xf>
    <xf numFmtId="0" fontId="65" fillId="13" borderId="0" xfId="0" applyFont="1" applyFill="1"/>
    <xf numFmtId="0" fontId="3" fillId="13" borderId="5" xfId="0" applyFont="1" applyFill="1" applyBorder="1" applyAlignment="1">
      <alignment horizontal="left"/>
    </xf>
    <xf numFmtId="0" fontId="65" fillId="13" borderId="5" xfId="0" applyFont="1" applyFill="1" applyBorder="1" applyAlignment="1">
      <alignment horizontal="left" vertical="center"/>
    </xf>
    <xf numFmtId="16" fontId="17" fillId="0" borderId="10" xfId="0" applyNumberFormat="1" applyFont="1" applyBorder="1" applyAlignment="1">
      <alignment horizontal="center"/>
    </xf>
    <xf numFmtId="1" fontId="17" fillId="0" borderId="5" xfId="0" applyNumberFormat="1" applyFont="1" applyBorder="1" applyAlignment="1">
      <alignment horizontal="center" wrapText="1"/>
    </xf>
    <xf numFmtId="0" fontId="62" fillId="4" borderId="54" xfId="0" applyFont="1" applyFill="1" applyBorder="1" applyAlignment="1">
      <alignment horizontal="center"/>
    </xf>
    <xf numFmtId="16" fontId="2" fillId="4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2" fillId="0" borderId="38" xfId="0" applyNumberFormat="1" applyFont="1" applyBorder="1" applyAlignment="1">
      <alignment horizontal="center" wrapText="1"/>
    </xf>
    <xf numFmtId="16" fontId="2" fillId="0" borderId="5" xfId="0" applyNumberFormat="1" applyFont="1" applyBorder="1" applyAlignment="1">
      <alignment horizontal="center"/>
    </xf>
    <xf numFmtId="0" fontId="2" fillId="0" borderId="38" xfId="3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22" fillId="0" borderId="39" xfId="0" applyFont="1" applyBorder="1" applyAlignment="1">
      <alignment horizontal="center"/>
    </xf>
    <xf numFmtId="1" fontId="7" fillId="0" borderId="5" xfId="0" applyNumberFormat="1" applyFont="1" applyBorder="1" applyAlignment="1">
      <alignment horizontal="left" vertical="center"/>
    </xf>
    <xf numFmtId="0" fontId="22" fillId="4" borderId="16" xfId="0" applyFont="1" applyFill="1" applyBorder="1" applyAlignment="1">
      <alignment horizontal="center"/>
    </xf>
    <xf numFmtId="0" fontId="66" fillId="4" borderId="0" xfId="0" applyFont="1" applyFill="1" applyAlignment="1">
      <alignment horizontal="center"/>
    </xf>
    <xf numFmtId="1" fontId="21" fillId="4" borderId="5" xfId="0" applyNumberFormat="1" applyFont="1" applyFill="1" applyBorder="1"/>
    <xf numFmtId="0" fontId="17" fillId="4" borderId="5" xfId="0" applyFont="1" applyFill="1" applyBorder="1" applyAlignment="1">
      <alignment horizontal="center" wrapText="1"/>
    </xf>
    <xf numFmtId="49" fontId="2" fillId="0" borderId="5" xfId="12" applyNumberFormat="1" applyFont="1" applyBorder="1" applyAlignment="1">
      <alignment horizontal="center"/>
    </xf>
    <xf numFmtId="49" fontId="2" fillId="0" borderId="5" xfId="12" applyNumberFormat="1" applyFont="1" applyBorder="1"/>
    <xf numFmtId="0" fontId="2" fillId="0" borderId="5" xfId="12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5" xfId="0" applyNumberFormat="1" applyFont="1" applyBorder="1"/>
    <xf numFmtId="16" fontId="2" fillId="0" borderId="5" xfId="12" applyNumberFormat="1" applyFont="1" applyBorder="1" applyAlignment="1">
      <alignment horizontal="center"/>
    </xf>
    <xf numFmtId="0" fontId="56" fillId="0" borderId="5" xfId="0" applyFont="1" applyBorder="1" applyAlignment="1">
      <alignment vertical="top"/>
    </xf>
    <xf numFmtId="0" fontId="2" fillId="0" borderId="5" xfId="0" quotePrefix="1" applyFont="1" applyBorder="1" applyAlignment="1">
      <alignment horizontal="center"/>
    </xf>
    <xf numFmtId="49" fontId="27" fillId="0" borderId="5" xfId="0" applyNumberFormat="1" applyFont="1" applyBorder="1" applyAlignment="1">
      <alignment horizontal="center"/>
    </xf>
    <xf numFmtId="0" fontId="2" fillId="0" borderId="5" xfId="0" quotePrefix="1" applyFont="1" applyBorder="1"/>
    <xf numFmtId="0" fontId="69" fillId="0" borderId="5" xfId="3" applyFont="1" applyBorder="1" applyAlignment="1">
      <alignment horizontal="center" vertical="center"/>
    </xf>
    <xf numFmtId="0" fontId="70" fillId="0" borderId="5" xfId="0" applyFont="1" applyBorder="1" applyAlignment="1">
      <alignment horizontal="center" vertical="center"/>
    </xf>
    <xf numFmtId="0" fontId="69" fillId="0" borderId="5" xfId="0" applyFont="1" applyBorder="1"/>
    <xf numFmtId="0" fontId="71" fillId="0" borderId="5" xfId="0" applyFont="1" applyBorder="1" applyAlignment="1">
      <alignment horizontal="center"/>
    </xf>
    <xf numFmtId="1" fontId="69" fillId="0" borderId="5" xfId="3" applyNumberFormat="1" applyFont="1" applyBorder="1" applyAlignment="1">
      <alignment horizontal="center"/>
    </xf>
    <xf numFmtId="1" fontId="69" fillId="0" borderId="5" xfId="3" applyNumberFormat="1" applyFont="1" applyBorder="1" applyAlignment="1">
      <alignment horizontal="center" wrapText="1"/>
    </xf>
    <xf numFmtId="0" fontId="71" fillId="0" borderId="6" xfId="3" applyFont="1" applyBorder="1" applyAlignment="1">
      <alignment horizontal="center"/>
    </xf>
    <xf numFmtId="1" fontId="72" fillId="0" borderId="5" xfId="0" applyNumberFormat="1" applyFont="1" applyBorder="1" applyAlignment="1">
      <alignment horizontal="center"/>
    </xf>
    <xf numFmtId="0" fontId="72" fillId="0" borderId="5" xfId="0" applyFont="1" applyBorder="1" applyAlignment="1">
      <alignment horizontal="left"/>
    </xf>
    <xf numFmtId="0" fontId="72" fillId="0" borderId="5" xfId="0" applyFont="1" applyBorder="1"/>
    <xf numFmtId="0" fontId="72" fillId="0" borderId="5" xfId="0" applyFont="1" applyBorder="1" applyAlignment="1">
      <alignment horizontal="center"/>
    </xf>
    <xf numFmtId="0" fontId="71" fillId="0" borderId="38" xfId="0" applyFont="1" applyBorder="1" applyAlignment="1">
      <alignment horizontal="center" wrapText="1"/>
    </xf>
    <xf numFmtId="12" fontId="71" fillId="0" borderId="38" xfId="0" applyNumberFormat="1" applyFont="1" applyBorder="1" applyAlignment="1">
      <alignment horizontal="center"/>
    </xf>
    <xf numFmtId="0" fontId="70" fillId="0" borderId="5" xfId="0" applyFont="1" applyBorder="1" applyAlignment="1">
      <alignment vertical="top"/>
    </xf>
    <xf numFmtId="16" fontId="71" fillId="0" borderId="5" xfId="0" applyNumberFormat="1" applyFont="1" applyBorder="1" applyAlignment="1">
      <alignment horizontal="center"/>
    </xf>
    <xf numFmtId="0" fontId="69" fillId="0" borderId="5" xfId="0" quotePrefix="1" applyFont="1" applyBorder="1" applyAlignment="1">
      <alignment horizontal="left"/>
    </xf>
    <xf numFmtId="0" fontId="73" fillId="0" borderId="5" xfId="0" applyFont="1" applyBorder="1" applyAlignment="1">
      <alignment vertical="center"/>
    </xf>
    <xf numFmtId="16" fontId="71" fillId="0" borderId="5" xfId="3" applyNumberFormat="1" applyFont="1" applyBorder="1" applyAlignment="1">
      <alignment horizontal="center"/>
    </xf>
    <xf numFmtId="0" fontId="72" fillId="0" borderId="5" xfId="0" applyFont="1" applyBorder="1" applyAlignment="1">
      <alignment horizontal="left" vertical="center"/>
    </xf>
    <xf numFmtId="0" fontId="71" fillId="0" borderId="5" xfId="3" applyFont="1" applyBorder="1" applyAlignment="1">
      <alignment horizontal="center"/>
    </xf>
    <xf numFmtId="1" fontId="71" fillId="0" borderId="5" xfId="3" applyNumberFormat="1" applyFont="1" applyBorder="1" applyAlignment="1">
      <alignment horizontal="center" wrapText="1"/>
    </xf>
    <xf numFmtId="1" fontId="72" fillId="0" borderId="5" xfId="0" applyNumberFormat="1" applyFont="1" applyBorder="1"/>
    <xf numFmtId="0" fontId="71" fillId="4" borderId="5" xfId="3" applyFont="1" applyFill="1" applyBorder="1" applyAlignment="1">
      <alignment horizontal="center"/>
    </xf>
    <xf numFmtId="49" fontId="71" fillId="0" borderId="16" xfId="3" applyNumberFormat="1" applyFont="1" applyBorder="1" applyAlignment="1">
      <alignment horizontal="center"/>
    </xf>
    <xf numFmtId="0" fontId="71" fillId="4" borderId="5" xfId="0" applyFont="1" applyFill="1" applyBorder="1" applyAlignment="1">
      <alignment horizontal="center"/>
    </xf>
    <xf numFmtId="0" fontId="71" fillId="0" borderId="38" xfId="0" applyFont="1" applyBorder="1" applyAlignment="1">
      <alignment horizontal="center"/>
    </xf>
    <xf numFmtId="49" fontId="70" fillId="2" borderId="4" xfId="3" applyNumberFormat="1" applyFont="1" applyFill="1" applyBorder="1" applyAlignment="1">
      <alignment horizontal="center" vertical="center"/>
    </xf>
    <xf numFmtId="49" fontId="70" fillId="2" borderId="0" xfId="3" applyNumberFormat="1" applyFont="1" applyFill="1" applyAlignment="1">
      <alignment horizontal="center" vertical="center"/>
    </xf>
    <xf numFmtId="0" fontId="71" fillId="2" borderId="0" xfId="3" applyFont="1" applyFill="1"/>
    <xf numFmtId="1" fontId="71" fillId="2" borderId="0" xfId="3" applyNumberFormat="1" applyFont="1" applyFill="1" applyAlignment="1">
      <alignment horizontal="center"/>
    </xf>
    <xf numFmtId="164" fontId="71" fillId="2" borderId="0" xfId="3" applyNumberFormat="1" applyFont="1" applyFill="1" applyAlignment="1">
      <alignment horizontal="center" wrapText="1"/>
    </xf>
    <xf numFmtId="0" fontId="71" fillId="2" borderId="18" xfId="3" applyFont="1" applyFill="1" applyBorder="1" applyAlignment="1">
      <alignment horizontal="center"/>
    </xf>
    <xf numFmtId="0" fontId="71" fillId="3" borderId="19" xfId="3" applyFont="1" applyFill="1" applyBorder="1" applyAlignment="1">
      <alignment horizontal="center"/>
    </xf>
    <xf numFmtId="0" fontId="71" fillId="3" borderId="20" xfId="3" applyFont="1" applyFill="1" applyBorder="1" applyAlignment="1">
      <alignment horizontal="center"/>
    </xf>
    <xf numFmtId="0" fontId="71" fillId="3" borderId="20" xfId="3" applyFont="1" applyFill="1" applyBorder="1"/>
    <xf numFmtId="0" fontId="69" fillId="3" borderId="20" xfId="3" applyFont="1" applyFill="1" applyBorder="1" applyAlignment="1">
      <alignment horizontal="center"/>
    </xf>
    <xf numFmtId="1" fontId="69" fillId="3" borderId="20" xfId="3" applyNumberFormat="1" applyFont="1" applyFill="1" applyBorder="1" applyAlignment="1">
      <alignment horizontal="center"/>
    </xf>
    <xf numFmtId="164" fontId="71" fillId="3" borderId="20" xfId="3" applyNumberFormat="1" applyFont="1" applyFill="1" applyBorder="1" applyAlignment="1">
      <alignment horizontal="center" wrapText="1"/>
    </xf>
    <xf numFmtId="0" fontId="71" fillId="3" borderId="21" xfId="3" applyFont="1" applyFill="1" applyBorder="1" applyAlignment="1">
      <alignment horizontal="center"/>
    </xf>
    <xf numFmtId="1" fontId="71" fillId="0" borderId="38" xfId="0" applyNumberFormat="1" applyFont="1" applyBorder="1" applyAlignment="1">
      <alignment horizontal="center"/>
    </xf>
    <xf numFmtId="0" fontId="71" fillId="0" borderId="22" xfId="0" applyFont="1" applyBorder="1" applyAlignment="1">
      <alignment horizontal="center"/>
    </xf>
    <xf numFmtId="1" fontId="71" fillId="0" borderId="5" xfId="0" applyNumberFormat="1" applyFont="1" applyBorder="1" applyAlignment="1">
      <alignment horizontal="center"/>
    </xf>
    <xf numFmtId="1" fontId="71" fillId="0" borderId="14" xfId="0" applyNumberFormat="1" applyFont="1" applyBorder="1" applyAlignment="1">
      <alignment horizontal="center"/>
    </xf>
    <xf numFmtId="0" fontId="71" fillId="0" borderId="14" xfId="0" applyFont="1" applyBorder="1" applyAlignment="1">
      <alignment horizontal="center"/>
    </xf>
    <xf numFmtId="12" fontId="69" fillId="0" borderId="38" xfId="0" applyNumberFormat="1" applyFont="1" applyBorder="1" applyAlignment="1">
      <alignment horizontal="center" wrapText="1"/>
    </xf>
    <xf numFmtId="0" fontId="74" fillId="3" borderId="3" xfId="3" applyFont="1" applyFill="1" applyBorder="1" applyAlignment="1">
      <alignment horizontal="center" vertical="center" wrapText="1"/>
    </xf>
    <xf numFmtId="1" fontId="74" fillId="3" borderId="14" xfId="3" applyNumberFormat="1" applyFont="1" applyFill="1" applyBorder="1" applyAlignment="1">
      <alignment horizontal="center"/>
    </xf>
    <xf numFmtId="1" fontId="74" fillId="3" borderId="14" xfId="3" applyNumberFormat="1" applyFont="1" applyFill="1" applyBorder="1" applyAlignment="1">
      <alignment horizontal="center" wrapText="1"/>
    </xf>
    <xf numFmtId="0" fontId="74" fillId="3" borderId="15" xfId="3" applyFont="1" applyFill="1" applyBorder="1" applyAlignment="1">
      <alignment horizontal="center"/>
    </xf>
    <xf numFmtId="14" fontId="75" fillId="2" borderId="0" xfId="2" applyNumberFormat="1" applyFont="1" applyFill="1" applyAlignment="1">
      <alignment horizontal="center" vertical="center" wrapText="1"/>
    </xf>
    <xf numFmtId="1" fontId="11" fillId="0" borderId="34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/>
    </xf>
    <xf numFmtId="1" fontId="11" fillId="0" borderId="17" xfId="3" applyNumberFormat="1" applyFont="1" applyBorder="1" applyAlignment="1">
      <alignment horizontal="center"/>
    </xf>
    <xf numFmtId="164" fontId="3" fillId="3" borderId="19" xfId="3" applyNumberFormat="1" applyFont="1" applyFill="1" applyBorder="1" applyAlignment="1">
      <alignment horizontal="center" wrapText="1"/>
    </xf>
    <xf numFmtId="164" fontId="3" fillId="3" borderId="20" xfId="3" applyNumberFormat="1" applyFont="1" applyFill="1" applyBorder="1" applyAlignment="1">
      <alignment horizontal="center" wrapText="1"/>
    </xf>
    <xf numFmtId="164" fontId="3" fillId="3" borderId="21" xfId="3" applyNumberFormat="1" applyFont="1" applyFill="1" applyBorder="1" applyAlignment="1">
      <alignment horizontal="center" wrapText="1"/>
    </xf>
    <xf numFmtId="0" fontId="3" fillId="4" borderId="34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2" fillId="0" borderId="35" xfId="3" applyFont="1" applyBorder="1" applyAlignment="1">
      <alignment horizontal="left" vertical="center" wrapText="1"/>
    </xf>
    <xf numFmtId="0" fontId="2" fillId="0" borderId="7" xfId="3" applyFont="1" applyBorder="1" applyAlignment="1">
      <alignment horizontal="left" vertical="center" wrapText="1"/>
    </xf>
    <xf numFmtId="0" fontId="2" fillId="0" borderId="36" xfId="3" applyFont="1" applyBorder="1" applyAlignment="1">
      <alignment horizontal="left" vertical="center" wrapText="1"/>
    </xf>
    <xf numFmtId="0" fontId="3" fillId="0" borderId="3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164" fontId="2" fillId="0" borderId="30" xfId="3" applyNumberFormat="1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164" fontId="2" fillId="0" borderId="31" xfId="3" applyNumberFormat="1" applyFont="1" applyBorder="1" applyAlignment="1">
      <alignment horizontal="center"/>
    </xf>
    <xf numFmtId="164" fontId="2" fillId="0" borderId="32" xfId="3" applyNumberFormat="1" applyFont="1" applyBorder="1" applyAlignment="1">
      <alignment horizontal="center"/>
    </xf>
    <xf numFmtId="164" fontId="2" fillId="0" borderId="28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1" fontId="17" fillId="0" borderId="34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2" borderId="12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3" borderId="12" xfId="3" applyFont="1" applyFill="1" applyBorder="1" applyAlignment="1">
      <alignment horizontal="center" vertical="center" wrapText="1"/>
    </xf>
    <xf numFmtId="0" fontId="3" fillId="3" borderId="40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39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3" fillId="5" borderId="26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0" fontId="3" fillId="3" borderId="29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12" fontId="11" fillId="0" borderId="34" xfId="3" applyNumberFormat="1" applyFont="1" applyBorder="1" applyAlignment="1">
      <alignment horizontal="center"/>
    </xf>
    <xf numFmtId="12" fontId="11" fillId="0" borderId="9" xfId="3" applyNumberFormat="1" applyFont="1" applyBorder="1" applyAlignment="1">
      <alignment horizontal="center"/>
    </xf>
    <xf numFmtId="12" fontId="11" fillId="0" borderId="17" xfId="3" applyNumberFormat="1" applyFont="1" applyBorder="1" applyAlignment="1">
      <alignment horizontal="center"/>
    </xf>
    <xf numFmtId="0" fontId="2" fillId="0" borderId="24" xfId="3" applyFont="1" applyBorder="1" applyAlignment="1">
      <alignment horizontal="left"/>
    </xf>
    <xf numFmtId="0" fontId="2" fillId="0" borderId="14" xfId="3" applyFont="1" applyBorder="1" applyAlignment="1">
      <alignment horizontal="left"/>
    </xf>
    <xf numFmtId="0" fontId="2" fillId="0" borderId="15" xfId="3" applyFont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3" fillId="3" borderId="27" xfId="3" applyFont="1" applyFill="1" applyBorder="1" applyAlignment="1">
      <alignment horizontal="left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71" fillId="2" borderId="5" xfId="2" applyFont="1" applyFill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10" xfId="0" applyFont="1" applyBorder="1" applyAlignment="1">
      <alignment horizontal="left"/>
    </xf>
    <xf numFmtId="0" fontId="71" fillId="0" borderId="5" xfId="0" applyFont="1" applyBorder="1" applyAlignment="1">
      <alignment horizontal="left"/>
    </xf>
    <xf numFmtId="0" fontId="71" fillId="0" borderId="6" xfId="0" applyFont="1" applyBorder="1" applyAlignment="1">
      <alignment horizontal="left"/>
    </xf>
    <xf numFmtId="0" fontId="71" fillId="0" borderId="16" xfId="0" applyFont="1" applyBorder="1" applyAlignment="1">
      <alignment horizontal="left" wrapText="1"/>
    </xf>
    <xf numFmtId="0" fontId="71" fillId="0" borderId="10" xfId="0" applyFont="1" applyBorder="1" applyAlignment="1">
      <alignment horizontal="left" wrapText="1"/>
    </xf>
    <xf numFmtId="0" fontId="71" fillId="0" borderId="5" xfId="0" applyFont="1" applyBorder="1" applyAlignment="1">
      <alignment horizontal="left" wrapText="1"/>
    </xf>
    <xf numFmtId="0" fontId="71" fillId="0" borderId="6" xfId="0" applyFont="1" applyBorder="1" applyAlignment="1">
      <alignment horizontal="left" wrapText="1"/>
    </xf>
    <xf numFmtId="0" fontId="69" fillId="0" borderId="16" xfId="3" applyFont="1" applyBorder="1" applyAlignment="1">
      <alignment horizontal="left" wrapText="1"/>
    </xf>
    <xf numFmtId="0" fontId="69" fillId="0" borderId="10" xfId="3" applyFont="1" applyBorder="1" applyAlignment="1">
      <alignment horizontal="left" wrapText="1"/>
    </xf>
    <xf numFmtId="0" fontId="69" fillId="0" borderId="5" xfId="3" applyFont="1" applyBorder="1" applyAlignment="1">
      <alignment horizontal="left" wrapText="1"/>
    </xf>
    <xf numFmtId="0" fontId="69" fillId="0" borderId="6" xfId="3" applyFont="1" applyBorder="1" applyAlignment="1">
      <alignment horizontal="left" wrapText="1"/>
    </xf>
    <xf numFmtId="0" fontId="69" fillId="0" borderId="37" xfId="0" applyFont="1" applyBorder="1" applyAlignment="1">
      <alignment horizontal="left"/>
    </xf>
    <xf numFmtId="0" fontId="69" fillId="0" borderId="9" xfId="0" applyFont="1" applyBorder="1" applyAlignment="1">
      <alignment horizontal="left"/>
    </xf>
    <xf numFmtId="0" fontId="69" fillId="0" borderId="17" xfId="0" applyFont="1" applyBorder="1" applyAlignment="1">
      <alignment horizontal="left"/>
    </xf>
    <xf numFmtId="0" fontId="69" fillId="7" borderId="29" xfId="2" applyFont="1" applyFill="1" applyBorder="1" applyAlignment="1">
      <alignment horizontal="center"/>
    </xf>
    <xf numFmtId="0" fontId="69" fillId="7" borderId="1" xfId="2" applyFont="1" applyFill="1" applyBorder="1" applyAlignment="1">
      <alignment horizontal="center"/>
    </xf>
    <xf numFmtId="0" fontId="69" fillId="0" borderId="37" xfId="3" applyFont="1" applyBorder="1" applyAlignment="1">
      <alignment horizontal="right"/>
    </xf>
    <xf numFmtId="0" fontId="69" fillId="0" borderId="9" xfId="3" applyFont="1" applyBorder="1" applyAlignment="1">
      <alignment horizontal="right"/>
    </xf>
    <xf numFmtId="0" fontId="69" fillId="0" borderId="10" xfId="3" applyFont="1" applyBorder="1" applyAlignment="1">
      <alignment horizontal="right"/>
    </xf>
    <xf numFmtId="0" fontId="71" fillId="0" borderId="5" xfId="3" applyFont="1" applyBorder="1" applyAlignment="1">
      <alignment horizontal="right"/>
    </xf>
    <xf numFmtId="164" fontId="71" fillId="0" borderId="34" xfId="3" applyNumberFormat="1" applyFont="1" applyBorder="1" applyAlignment="1">
      <alignment horizontal="center"/>
    </xf>
    <xf numFmtId="164" fontId="71" fillId="0" borderId="17" xfId="3" applyNumberFormat="1" applyFont="1" applyBorder="1" applyAlignment="1">
      <alignment horizontal="center"/>
    </xf>
    <xf numFmtId="164" fontId="71" fillId="0" borderId="34" xfId="3" applyNumberFormat="1" applyFont="1" applyBorder="1" applyAlignment="1">
      <alignment horizontal="right" wrapText="1"/>
    </xf>
    <xf numFmtId="164" fontId="71" fillId="0" borderId="10" xfId="3" applyNumberFormat="1" applyFont="1" applyBorder="1" applyAlignment="1">
      <alignment horizontal="right" wrapText="1"/>
    </xf>
    <xf numFmtId="164" fontId="71" fillId="0" borderId="34" xfId="0" applyNumberFormat="1" applyFont="1" applyBorder="1" applyAlignment="1">
      <alignment horizontal="center" wrapText="1"/>
    </xf>
    <xf numFmtId="164" fontId="71" fillId="0" borderId="17" xfId="0" applyNumberFormat="1" applyFont="1" applyBorder="1" applyAlignment="1">
      <alignment horizontal="center" wrapText="1"/>
    </xf>
    <xf numFmtId="0" fontId="69" fillId="0" borderId="13" xfId="3" applyFont="1" applyBorder="1" applyAlignment="1">
      <alignment horizontal="right"/>
    </xf>
    <xf numFmtId="0" fontId="69" fillId="0" borderId="24" xfId="3" applyFont="1" applyBorder="1" applyAlignment="1">
      <alignment horizontal="right"/>
    </xf>
    <xf numFmtId="0" fontId="69" fillId="0" borderId="14" xfId="3" applyFont="1" applyBorder="1" applyAlignment="1">
      <alignment horizontal="right"/>
    </xf>
    <xf numFmtId="0" fontId="71" fillId="0" borderId="14" xfId="3" applyFont="1" applyBorder="1" applyAlignment="1">
      <alignment horizontal="right"/>
    </xf>
    <xf numFmtId="0" fontId="69" fillId="3" borderId="19" xfId="3" applyFont="1" applyFill="1" applyBorder="1" applyAlignment="1">
      <alignment horizontal="center"/>
    </xf>
    <xf numFmtId="0" fontId="69" fillId="3" borderId="20" xfId="3" applyFont="1" applyFill="1" applyBorder="1" applyAlignment="1">
      <alignment horizontal="center"/>
    </xf>
    <xf numFmtId="0" fontId="69" fillId="3" borderId="21" xfId="3" applyFont="1" applyFill="1" applyBorder="1" applyAlignment="1">
      <alignment horizontal="center"/>
    </xf>
    <xf numFmtId="0" fontId="71" fillId="0" borderId="37" xfId="0" applyFont="1" applyBorder="1" applyAlignment="1">
      <alignment horizontal="left"/>
    </xf>
    <xf numFmtId="0" fontId="71" fillId="0" borderId="9" xfId="0" applyFont="1" applyBorder="1" applyAlignment="1">
      <alignment horizontal="left"/>
    </xf>
    <xf numFmtId="0" fontId="71" fillId="0" borderId="17" xfId="0" applyFont="1" applyBorder="1" applyAlignment="1">
      <alignment horizontal="left"/>
    </xf>
    <xf numFmtId="0" fontId="69" fillId="0" borderId="51" xfId="3" applyFont="1" applyBorder="1" applyAlignment="1">
      <alignment horizontal="right"/>
    </xf>
    <xf numFmtId="0" fontId="69" fillId="0" borderId="8" xfId="3" applyFont="1" applyBorder="1" applyAlignment="1">
      <alignment horizontal="right"/>
    </xf>
    <xf numFmtId="0" fontId="69" fillId="0" borderId="54" xfId="3" applyFont="1" applyBorder="1" applyAlignment="1">
      <alignment horizontal="right"/>
    </xf>
    <xf numFmtId="164" fontId="71" fillId="0" borderId="38" xfId="3" applyNumberFormat="1" applyFont="1" applyBorder="1" applyAlignment="1">
      <alignment horizontal="right"/>
    </xf>
    <xf numFmtId="0" fontId="71" fillId="2" borderId="22" xfId="3" applyFont="1" applyFill="1" applyBorder="1" applyAlignment="1">
      <alignment horizontal="center"/>
    </xf>
    <xf numFmtId="0" fontId="71" fillId="2" borderId="23" xfId="3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75" fillId="2" borderId="11" xfId="2" applyFont="1" applyFill="1" applyBorder="1" applyAlignment="1">
      <alignment horizontal="center"/>
    </xf>
    <xf numFmtId="0" fontId="5" fillId="2" borderId="0" xfId="2" applyFont="1" applyFill="1"/>
    <xf numFmtId="0" fontId="74" fillId="3" borderId="12" xfId="3" applyFont="1" applyFill="1" applyBorder="1" applyAlignment="1">
      <alignment horizontal="center" vertical="center"/>
    </xf>
    <xf numFmtId="0" fontId="74" fillId="3" borderId="40" xfId="3" applyFont="1" applyFill="1" applyBorder="1" applyAlignment="1">
      <alignment horizontal="center" vertical="center"/>
    </xf>
    <xf numFmtId="0" fontId="74" fillId="3" borderId="12" xfId="3" applyFont="1" applyFill="1" applyBorder="1" applyAlignment="1">
      <alignment horizontal="center" vertical="center" wrapText="1"/>
    </xf>
    <xf numFmtId="0" fontId="74" fillId="3" borderId="40" xfId="3" applyFont="1" applyFill="1" applyBorder="1" applyAlignment="1">
      <alignment horizontal="center" vertical="center" wrapText="1"/>
    </xf>
    <xf numFmtId="0" fontId="74" fillId="3" borderId="2" xfId="3" applyFont="1" applyFill="1" applyBorder="1" applyAlignment="1">
      <alignment horizontal="center" vertical="center"/>
    </xf>
    <xf numFmtId="0" fontId="74" fillId="3" borderId="39" xfId="3" applyFont="1" applyFill="1" applyBorder="1" applyAlignment="1">
      <alignment horizontal="center" vertical="center"/>
    </xf>
    <xf numFmtId="0" fontId="74" fillId="3" borderId="14" xfId="3" applyFont="1" applyFill="1" applyBorder="1" applyAlignment="1">
      <alignment horizontal="center" vertical="center"/>
    </xf>
    <xf numFmtId="14" fontId="2" fillId="2" borderId="46" xfId="2" applyNumberFormat="1" applyFont="1" applyFill="1" applyBorder="1" applyAlignment="1">
      <alignment horizontal="center" vertical="center" wrapText="1"/>
    </xf>
    <xf numFmtId="14" fontId="2" fillId="2" borderId="50" xfId="2" applyNumberFormat="1" applyFont="1" applyFill="1" applyBorder="1" applyAlignment="1">
      <alignment horizontal="center" vertical="center" wrapText="1"/>
    </xf>
    <xf numFmtId="14" fontId="2" fillId="2" borderId="53" xfId="2" applyNumberFormat="1" applyFont="1" applyFill="1" applyBorder="1" applyAlignment="1">
      <alignment horizontal="center" vertical="center" wrapText="1"/>
    </xf>
    <xf numFmtId="0" fontId="2" fillId="2" borderId="47" xfId="2" applyFont="1" applyFill="1" applyBorder="1" applyAlignment="1">
      <alignment horizontal="left"/>
    </xf>
    <xf numFmtId="0" fontId="2" fillId="2" borderId="7" xfId="2" applyFont="1" applyFill="1" applyBorder="1" applyAlignment="1">
      <alignment horizontal="left"/>
    </xf>
    <xf numFmtId="0" fontId="2" fillId="2" borderId="48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left"/>
    </xf>
    <xf numFmtId="0" fontId="2" fillId="2" borderId="9" xfId="2" applyFont="1" applyFill="1" applyBorder="1" applyAlignment="1">
      <alignment horizontal="left"/>
    </xf>
    <xf numFmtId="0" fontId="2" fillId="2" borderId="10" xfId="2" applyFont="1" applyFill="1" applyBorder="1" applyAlignment="1">
      <alignment horizontal="left"/>
    </xf>
    <xf numFmtId="0" fontId="2" fillId="2" borderId="42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51" xfId="2" applyFont="1" applyFill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0" fontId="25" fillId="2" borderId="2" xfId="2" applyFont="1" applyFill="1" applyBorder="1" applyAlignment="1">
      <alignment horizontal="center"/>
    </xf>
    <xf numFmtId="0" fontId="25" fillId="2" borderId="43" xfId="2" applyFont="1" applyFill="1" applyBorder="1" applyAlignment="1">
      <alignment horizontal="center"/>
    </xf>
    <xf numFmtId="0" fontId="25" fillId="2" borderId="44" xfId="2" applyFont="1" applyFill="1" applyBorder="1" applyAlignment="1">
      <alignment horizontal="center"/>
    </xf>
    <xf numFmtId="0" fontId="25" fillId="2" borderId="24" xfId="2" applyFont="1" applyFill="1" applyBorder="1" applyAlignment="1">
      <alignment horizontal="center"/>
    </xf>
    <xf numFmtId="0" fontId="68" fillId="6" borderId="19" xfId="2" applyFont="1" applyFill="1" applyBorder="1" applyAlignment="1">
      <alignment horizontal="center" vertical="center" wrapText="1"/>
    </xf>
    <xf numFmtId="0" fontId="68" fillId="6" borderId="20" xfId="2" applyFont="1" applyFill="1" applyBorder="1" applyAlignment="1">
      <alignment horizontal="center" vertical="center" wrapText="1"/>
    </xf>
    <xf numFmtId="0" fontId="68" fillId="6" borderId="21" xfId="2" applyFont="1" applyFill="1" applyBorder="1" applyAlignment="1">
      <alignment horizontal="center" vertical="center" wrapText="1"/>
    </xf>
    <xf numFmtId="0" fontId="3" fillId="2" borderId="45" xfId="2" applyFont="1" applyFill="1" applyBorder="1" applyAlignment="1">
      <alignment horizontal="right" vertical="top" wrapText="1"/>
    </xf>
    <xf numFmtId="0" fontId="3" fillId="2" borderId="49" xfId="2" applyFont="1" applyFill="1" applyBorder="1" applyAlignment="1">
      <alignment horizontal="right" vertical="top" wrapText="1"/>
    </xf>
    <xf numFmtId="0" fontId="3" fillId="2" borderId="52" xfId="2" applyFont="1" applyFill="1" applyBorder="1" applyAlignment="1">
      <alignment horizontal="right" vertical="top" wrapText="1"/>
    </xf>
    <xf numFmtId="14" fontId="7" fillId="4" borderId="6" xfId="2" applyNumberFormat="1" applyFont="1" applyFill="1" applyBorder="1" applyAlignment="1">
      <alignment horizontal="center" vertical="center" wrapText="1"/>
    </xf>
    <xf numFmtId="14" fontId="7" fillId="4" borderId="15" xfId="2" applyNumberFormat="1" applyFont="1" applyFill="1" applyBorder="1" applyAlignment="1">
      <alignment horizontal="center" vertical="center" wrapText="1"/>
    </xf>
    <xf numFmtId="0" fontId="18" fillId="2" borderId="38" xfId="2" applyFont="1" applyFill="1" applyBorder="1" applyAlignment="1">
      <alignment horizontal="left"/>
    </xf>
    <xf numFmtId="0" fontId="18" fillId="2" borderId="14" xfId="2" applyFont="1" applyFill="1" applyBorder="1" applyAlignment="1">
      <alignment horizontal="left"/>
    </xf>
    <xf numFmtId="0" fontId="7" fillId="2" borderId="5" xfId="2" applyFont="1" applyFill="1" applyBorder="1" applyAlignment="1">
      <alignment horizontal="center"/>
    </xf>
    <xf numFmtId="0" fontId="5" fillId="2" borderId="48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45" xfId="2" applyFont="1" applyFill="1" applyBorder="1" applyAlignment="1">
      <alignment horizontal="center"/>
    </xf>
    <xf numFmtId="0" fontId="5" fillId="2" borderId="39" xfId="2" applyFont="1" applyFill="1" applyBorder="1" applyAlignment="1">
      <alignment horizontal="center"/>
    </xf>
    <xf numFmtId="0" fontId="55" fillId="6" borderId="20" xfId="2" applyFont="1" applyFill="1" applyBorder="1" applyAlignment="1">
      <alignment horizontal="center" vertical="center" wrapText="1"/>
    </xf>
    <xf numFmtId="0" fontId="55" fillId="6" borderId="21" xfId="2" applyFont="1" applyFill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right" vertical="top" wrapText="1"/>
    </xf>
    <xf numFmtId="0" fontId="14" fillId="2" borderId="5" xfId="2" applyFont="1" applyFill="1" applyBorder="1" applyAlignment="1">
      <alignment horizontal="right" vertical="top" wrapText="1"/>
    </xf>
    <xf numFmtId="0" fontId="14" fillId="2" borderId="14" xfId="2" applyFont="1" applyFill="1" applyBorder="1" applyAlignment="1">
      <alignment horizontal="right" vertical="top" wrapText="1"/>
    </xf>
    <xf numFmtId="0" fontId="5" fillId="2" borderId="4" xfId="2" applyFont="1" applyFill="1" applyBorder="1" applyAlignment="1">
      <alignment horizontal="right"/>
    </xf>
    <xf numFmtId="0" fontId="14" fillId="3" borderId="12" xfId="0" applyFont="1" applyFill="1" applyBorder="1" applyAlignment="1">
      <alignment horizontal="center" vertical="center"/>
    </xf>
    <xf numFmtId="0" fontId="14" fillId="3" borderId="40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164" fontId="22" fillId="0" borderId="34" xfId="0" applyNumberFormat="1" applyFont="1" applyBorder="1" applyAlignment="1">
      <alignment horizontal="center"/>
    </xf>
    <xf numFmtId="164" fontId="22" fillId="0" borderId="9" xfId="0" applyNumberFormat="1" applyFont="1" applyBorder="1" applyAlignment="1">
      <alignment horizontal="center"/>
    </xf>
    <xf numFmtId="164" fontId="22" fillId="0" borderId="17" xfId="0" applyNumberFormat="1" applyFont="1" applyBorder="1" applyAlignment="1">
      <alignment horizontal="center"/>
    </xf>
    <xf numFmtId="0" fontId="14" fillId="0" borderId="51" xfId="0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0" fontId="14" fillId="0" borderId="54" xfId="0" applyFont="1" applyBorder="1" applyAlignment="1">
      <alignment horizontal="right"/>
    </xf>
    <xf numFmtId="0" fontId="14" fillId="0" borderId="38" xfId="0" applyFont="1" applyBorder="1" applyAlignment="1">
      <alignment horizontal="right"/>
    </xf>
    <xf numFmtId="0" fontId="14" fillId="0" borderId="37" xfId="0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164" fontId="7" fillId="0" borderId="34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0" fontId="17" fillId="0" borderId="37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7" fillId="0" borderId="40" xfId="0" applyFont="1" applyBorder="1" applyAlignment="1">
      <alignment horizontal="right"/>
    </xf>
    <xf numFmtId="0" fontId="7" fillId="0" borderId="45" xfId="0" applyFont="1" applyBorder="1" applyAlignment="1">
      <alignment horizontal="right"/>
    </xf>
    <xf numFmtId="0" fontId="7" fillId="0" borderId="39" xfId="0" applyFont="1" applyBorder="1" applyAlignment="1">
      <alignment horizontal="right"/>
    </xf>
    <xf numFmtId="164" fontId="7" fillId="0" borderId="63" xfId="0" applyNumberFormat="1" applyFont="1" applyBorder="1" applyAlignment="1">
      <alignment horizontal="center"/>
    </xf>
    <xf numFmtId="164" fontId="7" fillId="0" borderId="64" xfId="0" applyNumberFormat="1" applyFont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22" fillId="0" borderId="37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18" fillId="4" borderId="65" xfId="3" applyFont="1" applyFill="1" applyBorder="1" applyAlignment="1">
      <alignment horizontal="left"/>
    </xf>
    <xf numFmtId="0" fontId="18" fillId="4" borderId="11" xfId="3" applyFont="1" applyFill="1" applyBorder="1" applyAlignment="1">
      <alignment horizontal="left"/>
    </xf>
    <xf numFmtId="0" fontId="18" fillId="4" borderId="62" xfId="3" applyFont="1" applyFill="1" applyBorder="1" applyAlignment="1">
      <alignment horizontal="left"/>
    </xf>
    <xf numFmtId="0" fontId="18" fillId="0" borderId="51" xfId="3" applyFont="1" applyBorder="1" applyAlignment="1">
      <alignment horizontal="left"/>
    </xf>
    <xf numFmtId="0" fontId="18" fillId="0" borderId="8" xfId="3" applyFont="1" applyBorder="1" applyAlignment="1">
      <alignment horizontal="left"/>
    </xf>
    <xf numFmtId="0" fontId="18" fillId="0" borderId="23" xfId="3" applyFont="1" applyBorder="1" applyAlignment="1">
      <alignment horizontal="left"/>
    </xf>
    <xf numFmtId="0" fontId="18" fillId="0" borderId="65" xfId="3" applyFont="1" applyBorder="1" applyAlignment="1">
      <alignment horizontal="left"/>
    </xf>
    <xf numFmtId="0" fontId="18" fillId="0" borderId="11" xfId="3" applyFont="1" applyBorder="1" applyAlignment="1">
      <alignment horizontal="left"/>
    </xf>
    <xf numFmtId="0" fontId="18" fillId="0" borderId="62" xfId="3" applyFont="1" applyBorder="1" applyAlignment="1">
      <alignment horizontal="left"/>
    </xf>
    <xf numFmtId="0" fontId="4" fillId="6" borderId="19" xfId="2" applyFont="1" applyFill="1" applyBorder="1" applyAlignment="1">
      <alignment horizontal="center" vertical="center" wrapText="1"/>
    </xf>
    <xf numFmtId="0" fontId="4" fillId="6" borderId="20" xfId="2" applyFont="1" applyFill="1" applyBorder="1" applyAlignment="1">
      <alignment horizontal="center" vertical="center" wrapText="1"/>
    </xf>
    <xf numFmtId="0" fontId="4" fillId="6" borderId="21" xfId="2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 wrapText="1"/>
    </xf>
    <xf numFmtId="0" fontId="3" fillId="0" borderId="51" xfId="3" applyFont="1" applyBorder="1" applyAlignment="1">
      <alignment horizontal="right"/>
    </xf>
    <xf numFmtId="0" fontId="3" fillId="0" borderId="8" xfId="3" applyFont="1" applyBorder="1" applyAlignment="1">
      <alignment horizontal="right"/>
    </xf>
    <xf numFmtId="0" fontId="3" fillId="0" borderId="54" xfId="3" applyFont="1" applyBorder="1" applyAlignment="1">
      <alignment horizontal="right"/>
    </xf>
    <xf numFmtId="164" fontId="2" fillId="0" borderId="38" xfId="3" applyNumberFormat="1" applyFont="1" applyBorder="1" applyAlignment="1">
      <alignment horizontal="right"/>
    </xf>
    <xf numFmtId="0" fontId="2" fillId="2" borderId="22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/>
    </xf>
    <xf numFmtId="0" fontId="3" fillId="0" borderId="37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0" fontId="2" fillId="0" borderId="5" xfId="3" applyFont="1" applyBorder="1" applyAlignment="1">
      <alignment horizontal="right"/>
    </xf>
    <xf numFmtId="164" fontId="2" fillId="0" borderId="34" xfId="3" applyNumberFormat="1" applyFont="1" applyBorder="1" applyAlignment="1">
      <alignment horizontal="center"/>
    </xf>
    <xf numFmtId="164" fontId="2" fillId="0" borderId="17" xfId="3" applyNumberFormat="1" applyFont="1" applyBorder="1" applyAlignment="1">
      <alignment horizontal="center"/>
    </xf>
    <xf numFmtId="0" fontId="17" fillId="0" borderId="51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164" fontId="2" fillId="0" borderId="34" xfId="3" applyNumberFormat="1" applyFont="1" applyBorder="1" applyAlignment="1">
      <alignment horizontal="right" wrapText="1"/>
    </xf>
    <xf numFmtId="164" fontId="2" fillId="0" borderId="10" xfId="3" applyNumberFormat="1" applyFont="1" applyBorder="1" applyAlignment="1">
      <alignment horizontal="right" wrapText="1"/>
    </xf>
    <xf numFmtId="0" fontId="3" fillId="0" borderId="13" xfId="3" applyFont="1" applyBorder="1" applyAlignment="1">
      <alignment horizontal="right"/>
    </xf>
    <xf numFmtId="0" fontId="3" fillId="0" borderId="24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4" xfId="3" applyFont="1" applyBorder="1" applyAlignment="1">
      <alignment horizontal="right"/>
    </xf>
    <xf numFmtId="164" fontId="2" fillId="0" borderId="43" xfId="3" applyNumberFormat="1" applyFont="1" applyBorder="1" applyAlignment="1">
      <alignment horizontal="center"/>
    </xf>
    <xf numFmtId="164" fontId="2" fillId="0" borderId="67" xfId="3" applyNumberFormat="1" applyFont="1" applyBorder="1" applyAlignment="1">
      <alignment horizontal="center"/>
    </xf>
    <xf numFmtId="0" fontId="3" fillId="3" borderId="19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3" fillId="3" borderId="21" xfId="3" applyFont="1" applyFill="1" applyBorder="1" applyAlignment="1">
      <alignment horizontal="left"/>
    </xf>
    <xf numFmtId="0" fontId="17" fillId="0" borderId="35" xfId="0" applyFont="1" applyBorder="1" applyAlignment="1">
      <alignment horizontal="left" wrapText="1"/>
    </xf>
    <xf numFmtId="0" fontId="17" fillId="0" borderId="7" xfId="0" applyFont="1" applyBorder="1" applyAlignment="1">
      <alignment horizontal="left" wrapText="1"/>
    </xf>
    <xf numFmtId="0" fontId="17" fillId="0" borderId="36" xfId="0" applyFont="1" applyBorder="1" applyAlignment="1">
      <alignment horizontal="left" wrapText="1"/>
    </xf>
    <xf numFmtId="0" fontId="2" fillId="0" borderId="68" xfId="3" applyFont="1" applyBorder="1" applyAlignment="1">
      <alignment horizontal="left"/>
    </xf>
    <xf numFmtId="0" fontId="2" fillId="0" borderId="44" xfId="3" applyFont="1" applyBorder="1" applyAlignment="1">
      <alignment horizontal="left"/>
    </xf>
    <xf numFmtId="0" fontId="2" fillId="0" borderId="67" xfId="3" applyFont="1" applyBorder="1" applyAlignment="1">
      <alignment horizontal="left"/>
    </xf>
    <xf numFmtId="0" fontId="3" fillId="7" borderId="29" xfId="2" applyFont="1" applyFill="1" applyBorder="1" applyAlignment="1">
      <alignment horizontal="center"/>
    </xf>
    <xf numFmtId="0" fontId="3" fillId="7" borderId="1" xfId="2" applyFont="1" applyFill="1" applyBorder="1" applyAlignment="1">
      <alignment horizontal="center"/>
    </xf>
    <xf numFmtId="0" fontId="2" fillId="2" borderId="41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21" fillId="0" borderId="37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6" fillId="0" borderId="51" xfId="3" applyFont="1" applyBorder="1" applyAlignment="1">
      <alignment horizontal="left" wrapText="1"/>
    </xf>
    <xf numFmtId="0" fontId="26" fillId="0" borderId="8" xfId="3" applyFont="1" applyBorder="1" applyAlignment="1">
      <alignment horizontal="left" wrapText="1"/>
    </xf>
    <xf numFmtId="0" fontId="26" fillId="0" borderId="23" xfId="3" applyFont="1" applyBorder="1" applyAlignment="1">
      <alignment horizontal="left" wrapText="1"/>
    </xf>
    <xf numFmtId="0" fontId="2" fillId="0" borderId="37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17" xfId="3" applyFont="1" applyBorder="1" applyAlignment="1">
      <alignment horizontal="left" wrapText="1"/>
    </xf>
    <xf numFmtId="0" fontId="8" fillId="0" borderId="37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22" fillId="0" borderId="37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8" xfId="0" applyFont="1" applyBorder="1" applyAlignment="1">
      <alignment horizontal="left"/>
    </xf>
    <xf numFmtId="14" fontId="2" fillId="2" borderId="46" xfId="1" applyNumberFormat="1" applyFont="1" applyFill="1" applyBorder="1" applyAlignment="1">
      <alignment horizontal="center" vertical="center" wrapText="1"/>
    </xf>
    <xf numFmtId="14" fontId="2" fillId="2" borderId="50" xfId="1" applyNumberFormat="1" applyFont="1" applyFill="1" applyBorder="1" applyAlignment="1">
      <alignment horizontal="center" vertical="center" wrapText="1"/>
    </xf>
    <xf numFmtId="14" fontId="2" fillId="2" borderId="53" xfId="1" applyNumberFormat="1" applyFont="1" applyFill="1" applyBorder="1" applyAlignment="1">
      <alignment horizontal="center" vertical="center" wrapText="1"/>
    </xf>
    <xf numFmtId="0" fontId="2" fillId="2" borderId="47" xfId="1" applyFont="1" applyFill="1" applyBorder="1" applyAlignment="1">
      <alignment horizontal="left"/>
    </xf>
    <xf numFmtId="0" fontId="2" fillId="2" borderId="7" xfId="1" applyFont="1" applyFill="1" applyBorder="1" applyAlignment="1">
      <alignment horizontal="left"/>
    </xf>
    <xf numFmtId="0" fontId="2" fillId="2" borderId="48" xfId="1" applyFont="1" applyFill="1" applyBorder="1" applyAlignment="1">
      <alignment horizontal="left"/>
    </xf>
    <xf numFmtId="0" fontId="2" fillId="2" borderId="34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51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5" fillId="2" borderId="2" xfId="1" applyFont="1" applyFill="1" applyBorder="1" applyAlignment="1">
      <alignment horizontal="center"/>
    </xf>
    <xf numFmtId="0" fontId="25" fillId="2" borderId="43" xfId="1" applyFont="1" applyFill="1" applyBorder="1" applyAlignment="1">
      <alignment horizontal="center"/>
    </xf>
    <xf numFmtId="0" fontId="25" fillId="2" borderId="44" xfId="1" applyFont="1" applyFill="1" applyBorder="1" applyAlignment="1">
      <alignment horizontal="center"/>
    </xf>
    <xf numFmtId="0" fontId="25" fillId="2" borderId="24" xfId="1" applyFont="1" applyFill="1" applyBorder="1" applyAlignment="1">
      <alignment horizontal="center"/>
    </xf>
    <xf numFmtId="0" fontId="4" fillId="6" borderId="19" xfId="1" applyFont="1" applyFill="1" applyBorder="1" applyAlignment="1">
      <alignment horizontal="center" vertical="center" wrapText="1"/>
    </xf>
    <xf numFmtId="0" fontId="4" fillId="6" borderId="20" xfId="1" applyFont="1" applyFill="1" applyBorder="1" applyAlignment="1">
      <alignment horizontal="center" vertical="center" wrapText="1"/>
    </xf>
    <xf numFmtId="0" fontId="4" fillId="6" borderId="21" xfId="1" applyFont="1" applyFill="1" applyBorder="1" applyAlignment="1">
      <alignment horizontal="center" vertical="center" wrapText="1"/>
    </xf>
    <xf numFmtId="0" fontId="3" fillId="2" borderId="45" xfId="1" applyFont="1" applyFill="1" applyBorder="1" applyAlignment="1">
      <alignment horizontal="right" vertical="top" wrapText="1"/>
    </xf>
    <xf numFmtId="0" fontId="3" fillId="2" borderId="49" xfId="1" applyFont="1" applyFill="1" applyBorder="1" applyAlignment="1">
      <alignment horizontal="right" vertical="top" wrapText="1"/>
    </xf>
    <xf numFmtId="0" fontId="3" fillId="2" borderId="52" xfId="1" applyFont="1" applyFill="1" applyBorder="1" applyAlignment="1">
      <alignment horizontal="right" vertical="top" wrapText="1"/>
    </xf>
    <xf numFmtId="0" fontId="17" fillId="0" borderId="16" xfId="3" applyFont="1" applyBorder="1" applyAlignment="1">
      <alignment horizontal="left"/>
    </xf>
    <xf numFmtId="0" fontId="17" fillId="0" borderId="10" xfId="3" applyFont="1" applyBorder="1" applyAlignment="1">
      <alignment horizontal="left"/>
    </xf>
    <xf numFmtId="0" fontId="17" fillId="0" borderId="5" xfId="3" applyFont="1" applyBorder="1" applyAlignment="1">
      <alignment horizontal="left"/>
    </xf>
    <xf numFmtId="0" fontId="17" fillId="0" borderId="6" xfId="3" applyFont="1" applyBorder="1" applyAlignment="1">
      <alignment horizontal="left"/>
    </xf>
    <xf numFmtId="164" fontId="2" fillId="0" borderId="34" xfId="3" applyNumberFormat="1" applyFont="1" applyBorder="1" applyAlignment="1">
      <alignment horizontal="center" wrapText="1"/>
    </xf>
    <xf numFmtId="164" fontId="2" fillId="0" borderId="17" xfId="3" applyNumberFormat="1" applyFont="1" applyBorder="1" applyAlignment="1">
      <alignment horizontal="center" wrapText="1"/>
    </xf>
    <xf numFmtId="0" fontId="17" fillId="0" borderId="42" xfId="3" applyFont="1" applyBorder="1" applyAlignment="1">
      <alignment horizontal="left"/>
    </xf>
    <xf numFmtId="0" fontId="17" fillId="0" borderId="1" xfId="3" applyFont="1" applyBorder="1" applyAlignment="1">
      <alignment horizontal="left"/>
    </xf>
    <xf numFmtId="0" fontId="17" fillId="0" borderId="27" xfId="3" applyFont="1" applyBorder="1" applyAlignment="1">
      <alignment horizontal="left"/>
    </xf>
    <xf numFmtId="0" fontId="3" fillId="7" borderId="29" xfId="1" applyFont="1" applyFill="1" applyBorder="1" applyAlignment="1">
      <alignment horizontal="center"/>
    </xf>
    <xf numFmtId="0" fontId="3" fillId="7" borderId="1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17" fillId="0" borderId="65" xfId="3" applyFont="1" applyBorder="1" applyAlignment="1">
      <alignment horizontal="left"/>
    </xf>
    <xf numFmtId="0" fontId="17" fillId="0" borderId="11" xfId="3" applyFont="1" applyBorder="1" applyAlignment="1">
      <alignment horizontal="left"/>
    </xf>
    <xf numFmtId="0" fontId="17" fillId="0" borderId="62" xfId="3" applyFont="1" applyBorder="1" applyAlignment="1">
      <alignment horizontal="left"/>
    </xf>
    <xf numFmtId="0" fontId="2" fillId="0" borderId="13" xfId="3" applyFont="1" applyBorder="1" applyAlignment="1">
      <alignment horizontal="left"/>
    </xf>
    <xf numFmtId="0" fontId="17" fillId="0" borderId="37" xfId="3" applyFont="1" applyBorder="1" applyAlignment="1">
      <alignment horizontal="left" wrapText="1"/>
    </xf>
    <xf numFmtId="0" fontId="17" fillId="0" borderId="9" xfId="3" applyFont="1" applyBorder="1" applyAlignment="1">
      <alignment horizontal="left" wrapText="1"/>
    </xf>
    <xf numFmtId="0" fontId="17" fillId="0" borderId="17" xfId="3" applyFont="1" applyBorder="1" applyAlignment="1">
      <alignment horizontal="left" wrapText="1"/>
    </xf>
    <xf numFmtId="0" fontId="3" fillId="3" borderId="40" xfId="3" applyFont="1" applyFill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wrapText="1"/>
    </xf>
    <xf numFmtId="164" fontId="2" fillId="0" borderId="17" xfId="0" applyNumberFormat="1" applyFont="1" applyBorder="1" applyAlignment="1">
      <alignment horizontal="center" wrapText="1"/>
    </xf>
    <xf numFmtId="0" fontId="64" fillId="0" borderId="44" xfId="0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26" fillId="0" borderId="16" xfId="3" applyFont="1" applyBorder="1" applyAlignment="1">
      <alignment horizontal="left" wrapText="1"/>
    </xf>
    <xf numFmtId="0" fontId="26" fillId="0" borderId="10" xfId="3" applyFont="1" applyBorder="1" applyAlignment="1">
      <alignment horizontal="left" wrapText="1"/>
    </xf>
    <xf numFmtId="0" fontId="26" fillId="0" borderId="5" xfId="3" applyFont="1" applyBorder="1" applyAlignment="1">
      <alignment horizontal="left" wrapText="1"/>
    </xf>
    <xf numFmtId="0" fontId="26" fillId="0" borderId="6" xfId="3" applyFont="1" applyBorder="1" applyAlignment="1">
      <alignment horizontal="left" wrapText="1"/>
    </xf>
    <xf numFmtId="0" fontId="22" fillId="0" borderId="51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2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7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68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67" xfId="0" applyFont="1" applyBorder="1" applyAlignment="1">
      <alignment horizontal="left"/>
    </xf>
    <xf numFmtId="0" fontId="67" fillId="0" borderId="35" xfId="3" applyFont="1" applyBorder="1" applyAlignment="1">
      <alignment horizontal="left" vertical="center" wrapText="1"/>
    </xf>
    <xf numFmtId="0" fontId="67" fillId="0" borderId="7" xfId="3" applyFont="1" applyBorder="1" applyAlignment="1">
      <alignment horizontal="left" vertical="center" wrapText="1"/>
    </xf>
    <xf numFmtId="0" fontId="67" fillId="0" borderId="36" xfId="3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35" fillId="0" borderId="0" xfId="0" applyFont="1" applyAlignment="1">
      <alignment horizontal="center" vertical="center"/>
    </xf>
    <xf numFmtId="0" fontId="52" fillId="0" borderId="19" xfId="0" applyFont="1" applyBorder="1" applyAlignment="1">
      <alignment horizontal="right" vertical="center"/>
    </xf>
    <xf numFmtId="0" fontId="52" fillId="0" borderId="20" xfId="0" applyFont="1" applyBorder="1" applyAlignment="1">
      <alignment horizontal="right" vertical="center"/>
    </xf>
    <xf numFmtId="0" fontId="52" fillId="0" borderId="21" xfId="0" applyFont="1" applyBorder="1" applyAlignment="1">
      <alignment horizontal="right" vertical="center"/>
    </xf>
    <xf numFmtId="0" fontId="53" fillId="0" borderId="0" xfId="0" applyFont="1" applyAlignment="1">
      <alignment horizontal="right"/>
    </xf>
    <xf numFmtId="0" fontId="43" fillId="0" borderId="11" xfId="0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41" fillId="9" borderId="19" xfId="0" applyFont="1" applyFill="1" applyBorder="1" applyAlignment="1">
      <alignment horizontal="right"/>
    </xf>
    <xf numFmtId="0" fontId="41" fillId="9" borderId="20" xfId="0" applyFont="1" applyFill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7" fillId="0" borderId="11" xfId="0" applyFont="1" applyBorder="1" applyAlignment="1">
      <alignment horizontal="right" vertical="center"/>
    </xf>
    <xf numFmtId="0" fontId="27" fillId="0" borderId="62" xfId="0" applyFont="1" applyBorder="1" applyAlignment="1">
      <alignment horizontal="right" vertical="center"/>
    </xf>
    <xf numFmtId="0" fontId="27" fillId="11" borderId="19" xfId="0" applyFont="1" applyFill="1" applyBorder="1" applyAlignment="1">
      <alignment horizontal="right" vertical="center"/>
    </xf>
    <xf numFmtId="0" fontId="27" fillId="11" borderId="20" xfId="0" applyFont="1" applyFill="1" applyBorder="1" applyAlignment="1">
      <alignment horizontal="right" vertical="center"/>
    </xf>
    <xf numFmtId="0" fontId="27" fillId="11" borderId="21" xfId="0" applyFont="1" applyFill="1" applyBorder="1" applyAlignment="1">
      <alignment horizontal="right" vertical="center"/>
    </xf>
    <xf numFmtId="4" fontId="50" fillId="0" borderId="0" xfId="73" applyNumberFormat="1" applyFont="1" applyFill="1" applyAlignment="1">
      <alignment horizontal="center" vertical="center" wrapText="1"/>
    </xf>
    <xf numFmtId="0" fontId="44" fillId="0" borderId="5" xfId="0" applyFont="1" applyBorder="1" applyAlignment="1">
      <alignment horizontal="right" vertical="center"/>
    </xf>
    <xf numFmtId="0" fontId="45" fillId="0" borderId="4" xfId="0" applyFont="1" applyBorder="1" applyAlignment="1">
      <alignment horizontal="right"/>
    </xf>
    <xf numFmtId="0" fontId="45" fillId="0" borderId="0" xfId="0" applyFont="1" applyAlignment="1">
      <alignment horizontal="right"/>
    </xf>
    <xf numFmtId="0" fontId="45" fillId="0" borderId="18" xfId="0" applyFont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6" fillId="0" borderId="42" xfId="0" applyFont="1" applyBorder="1" applyAlignment="1">
      <alignment horizontal="right"/>
    </xf>
    <xf numFmtId="0" fontId="36" fillId="0" borderId="1" xfId="0" applyFont="1" applyBorder="1" applyAlignment="1">
      <alignment horizontal="right"/>
    </xf>
    <xf numFmtId="0" fontId="21" fillId="0" borderId="5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30" fillId="0" borderId="11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right" vertical="center" wrapText="1"/>
    </xf>
  </cellXfs>
  <cellStyles count="75">
    <cellStyle name="Millares" xfId="72" builtinId="3"/>
    <cellStyle name="Millares [0]" xfId="73" builtinId="6"/>
    <cellStyle name="Millares [0] 2" xfId="9" xr:uid="{73371371-F543-43D7-8908-AAAA364952D6}"/>
    <cellStyle name="Millares [0] 2 2" xfId="17" xr:uid="{5277948D-D0DA-47EF-A01C-89E7DD5772D1}"/>
    <cellStyle name="Millares [0] 2 2 2" xfId="32" xr:uid="{A10EA61B-A1DE-4C04-8969-B341FF8DBF7A}"/>
    <cellStyle name="Millares [0] 2 2 2 2" xfId="60" xr:uid="{65B73CE9-C885-4964-B4AC-030341EA336D}"/>
    <cellStyle name="Millares [0] 2 2 3" xfId="45" xr:uid="{469BEC87-1765-4AFB-AB45-EEDEF9464AB2}"/>
    <cellStyle name="Millares [0] 2 3" xfId="22" xr:uid="{A495B227-D87E-49A6-8158-8CE2B9B5CF41}"/>
    <cellStyle name="Millares [0] 2 3 2" xfId="37" xr:uid="{8FB77EAC-42B5-4E99-956D-902941DF2BAF}"/>
    <cellStyle name="Millares [0] 2 3 2 2" xfId="65" xr:uid="{256906C5-42F5-4B88-B914-7EFAB1E204BD}"/>
    <cellStyle name="Millares [0] 2 3 3" xfId="50" xr:uid="{268F2503-F3C9-4BF3-A383-6EBC8D660435}"/>
    <cellStyle name="Millares [0] 2 4" xfId="27" xr:uid="{63666CEC-B3E6-44D4-A07C-8F7D335F5A4D}"/>
    <cellStyle name="Millares [0] 2 4 2" xfId="55" xr:uid="{FB0B6EB2-A9D0-4A15-B8CD-9FBC7DD5CDD4}"/>
    <cellStyle name="Millares [0] 2 5" xfId="40" xr:uid="{AE6E017E-E83D-4398-B3C6-97CFA78B27F8}"/>
    <cellStyle name="Millares [0] 3" xfId="20" xr:uid="{A3F8510E-070D-46DB-8709-AB0F99B978FE}"/>
    <cellStyle name="Millares [0] 3 2" xfId="35" xr:uid="{2E641034-42E8-4774-B99F-D50BA197A729}"/>
    <cellStyle name="Millares [0] 3 2 2" xfId="63" xr:uid="{570FB30A-1EF1-40AA-AD89-2D7F43C6AA0F}"/>
    <cellStyle name="Millares [0] 3 2 3 2 3" xfId="15" xr:uid="{D58F9C74-DFF5-48AD-BCD1-37507D3EECF4}"/>
    <cellStyle name="Millares [0] 3 2 3 2 3 2" xfId="30" xr:uid="{22AE7D9C-FAF2-4573-9BD3-DDCE1B3A9B3B}"/>
    <cellStyle name="Millares [0] 3 2 3 2 3 2 2" xfId="58" xr:uid="{1B53BB0E-7F49-4EA5-823C-444EA6AE60C2}"/>
    <cellStyle name="Millares [0] 3 2 3 2 3 3" xfId="43" xr:uid="{ACD56387-5520-4169-B030-E19108E1BA04}"/>
    <cellStyle name="Millares [0] 3 3" xfId="48" xr:uid="{29B768F0-20E9-4FCF-8EEA-86AD5AB99A7A}"/>
    <cellStyle name="Millares [0] 4" xfId="54" xr:uid="{619DD870-EC87-4D13-9BF8-05BE82BBE00B}"/>
    <cellStyle name="Millares [0] 5" xfId="26" xr:uid="{3C482C00-AD41-4CE8-865C-CE14A3BB77DD}"/>
    <cellStyle name="Millares 10" xfId="70" xr:uid="{691ECCAC-B647-4642-BC41-B79F1DF26175}"/>
    <cellStyle name="Millares 11" xfId="74" xr:uid="{41C9CDCB-F59C-46C3-8AE6-6395F18695ED}"/>
    <cellStyle name="Millares 2" xfId="10" xr:uid="{CB209AE9-0F7D-40CD-B31D-E36C85322FC3}"/>
    <cellStyle name="Millares 2 2" xfId="16" xr:uid="{1B2B6E5C-4F16-42C7-8F1E-5691CBB2DA91}"/>
    <cellStyle name="Millares 2 2 2" xfId="31" xr:uid="{B8C3243D-F73E-4818-9F14-660087274224}"/>
    <cellStyle name="Millares 2 2 2 2" xfId="59" xr:uid="{EB384E68-3DE1-4B1C-9507-DFB6BEAD4E2C}"/>
    <cellStyle name="Millares 2 2 3" xfId="44" xr:uid="{5FD04799-F745-4FA9-8C70-85E5B813CCE8}"/>
    <cellStyle name="Millares 2 3" xfId="21" xr:uid="{5F89DB67-3549-4F47-8680-CF2D8DD916C1}"/>
    <cellStyle name="Millares 2 3 2" xfId="36" xr:uid="{6F83A733-95D5-47B9-A933-C125F20F3F22}"/>
    <cellStyle name="Millares 2 3 2 2" xfId="64" xr:uid="{3EF771B7-56D1-47EB-B88A-E535998B3AB1}"/>
    <cellStyle name="Millares 2 3 3" xfId="49" xr:uid="{7AEFF9ED-F6F3-467E-97F9-13D8F5F633D0}"/>
    <cellStyle name="Millares 2 4" xfId="28" xr:uid="{BDCD1706-A482-4E57-9AA5-6B2F638C05BB}"/>
    <cellStyle name="Millares 2 4 2" xfId="56" xr:uid="{0936025D-B91A-4774-A30C-7CFE20B11457}"/>
    <cellStyle name="Millares 2 5" xfId="41" xr:uid="{2558DE7B-1271-45B4-9EF0-1938B1F2B4D0}"/>
    <cellStyle name="Millares 3" xfId="11" xr:uid="{74317C1B-7E10-4473-A3B6-1491E72D5C5D}"/>
    <cellStyle name="Millares 3 2" xfId="18" xr:uid="{6C6C5968-D214-48CD-9995-3C58DC5BDE8D}"/>
    <cellStyle name="Millares 3 2 2" xfId="33" xr:uid="{C29950BD-AEDB-40CD-993F-E73A9EF069C6}"/>
    <cellStyle name="Millares 3 2 2 2" xfId="61" xr:uid="{43DEAB43-9E95-425D-98BD-AA6E2F75EE40}"/>
    <cellStyle name="Millares 3 2 3" xfId="46" xr:uid="{8B3529EE-B5B9-4C44-AA80-96D636B8D6DF}"/>
    <cellStyle name="Millares 3 3" xfId="23" xr:uid="{8AC9163B-932D-42B8-A13D-18D28DAB1789}"/>
    <cellStyle name="Millares 3 3 2" xfId="38" xr:uid="{223FBFFA-F0BA-49CF-8C5F-08281D89F37D}"/>
    <cellStyle name="Millares 3 3 2 2" xfId="66" xr:uid="{25D0088F-FA45-42D2-B5F6-6588F5E95875}"/>
    <cellStyle name="Millares 3 3 3" xfId="51" xr:uid="{B8237972-87DC-4B8E-B49D-D3103DB9A66B}"/>
    <cellStyle name="Millares 3 4" xfId="29" xr:uid="{1F4C9C52-D452-4590-AEF8-138030CA2F80}"/>
    <cellStyle name="Millares 3 4 2" xfId="57" xr:uid="{8E54619C-D0B3-42BF-AAB2-1989CF2FCA9A}"/>
    <cellStyle name="Millares 3 5" xfId="42" xr:uid="{397DF4F4-976B-460C-87B5-FAF1685EB799}"/>
    <cellStyle name="Millares 4" xfId="24" xr:uid="{AC1881BA-FEEF-4F08-917D-C47CD1E010FC}"/>
    <cellStyle name="Millares 4 2" xfId="39" xr:uid="{1DC30700-382F-4F5D-AC6A-5412799A734C}"/>
    <cellStyle name="Millares 4 2 2" xfId="67" xr:uid="{E15499B6-91F3-46F8-98C7-8E522281690C}"/>
    <cellStyle name="Millares 4 3" xfId="52" xr:uid="{B7A8BE5E-E226-4549-A61B-8F7640652317}"/>
    <cellStyle name="Millares 5" xfId="19" xr:uid="{6C7D7FDF-E192-4B96-831E-7C5770295392}"/>
    <cellStyle name="Millares 5 2" xfId="34" xr:uid="{27DEBC3D-F1B0-4397-B281-3EDC9E7BA295}"/>
    <cellStyle name="Millares 5 2 2" xfId="62" xr:uid="{3E5AF9FE-D540-433D-A13F-2423133816A5}"/>
    <cellStyle name="Millares 5 3" xfId="47" xr:uid="{778075B3-A380-458C-8877-EF30A677F68D}"/>
    <cellStyle name="Millares 6" xfId="53" xr:uid="{B34DDADE-A3AF-479F-B6A5-B4CD70237C77}"/>
    <cellStyle name="Millares 7" xfId="68" xr:uid="{B43D82E9-E068-4C6D-AD42-C612AD594C92}"/>
    <cellStyle name="Millares 8" xfId="25" xr:uid="{64A117E6-D40B-4655-B8FF-0DC99158D86F}"/>
    <cellStyle name="Millares 9" xfId="69" xr:uid="{31628C00-7F7B-4935-BB11-BE6D2C29E2F2}"/>
    <cellStyle name="Normal" xfId="0" builtinId="0"/>
    <cellStyle name="Normal 2" xfId="3" xr:uid="{F0E50ADB-0AEC-4629-B918-110FA540EAD9}"/>
    <cellStyle name="Normal 2 2" xfId="12" xr:uid="{35D0BA6E-ECA9-40C1-AE0E-10FBEEFDA79D}"/>
    <cellStyle name="Normal 3" xfId="8" xr:uid="{B29AC443-944F-4CD5-8988-527E431CA1FE}"/>
    <cellStyle name="Normal 3 2" xfId="4" xr:uid="{4F9DCEA8-106E-4C47-8641-B18BB36960E3}"/>
    <cellStyle name="Normal 4" xfId="71" xr:uid="{AB84DC0D-111C-4132-8B89-64EC685C5013}"/>
    <cellStyle name="Normal 5" xfId="6" xr:uid="{8493BE70-73E2-4C76-BFAB-704DB73307F9}"/>
    <cellStyle name="Normal 5 3" xfId="7" xr:uid="{CAE30A43-F476-4516-ACB4-01A3B2642E73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" xfId="13" xr:uid="{2F8340D0-EA57-41C0-B13B-9220575E5C3D}"/>
    <cellStyle name="Porcentaje 2 2" xfId="5" xr:uid="{7356EC4B-EC1A-4B43-9769-1C0998AFE9FA}"/>
    <cellStyle name="Porcentaje 3 2" xfId="14" xr:uid="{2B51B02B-CC62-4E43-ACBA-7ADF5E0E1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0</xdr:col>
      <xdr:colOff>1089498</xdr:colOff>
      <xdr:row>3</xdr:row>
      <xdr:rowOff>53340</xdr:rowOff>
    </xdr:to>
    <xdr:pic>
      <xdr:nvPicPr>
        <xdr:cNvPr id="3" name="Imagen 91">
          <a:extLst>
            <a:ext uri="{FF2B5EF4-FFF2-40B4-BE49-F238E27FC236}">
              <a16:creationId xmlns:a16="http://schemas.microsoft.com/office/drawing/2014/main" id="{86168460-C475-4F88-AF55-C4481907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1059018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61315</xdr:colOff>
      <xdr:row>0</xdr:row>
      <xdr:rowOff>149680</xdr:rowOff>
    </xdr:from>
    <xdr:to>
      <xdr:col>1</xdr:col>
      <xdr:colOff>1124044</xdr:colOff>
      <xdr:row>4</xdr:row>
      <xdr:rowOff>21500</xdr:rowOff>
    </xdr:to>
    <xdr:pic>
      <xdr:nvPicPr>
        <xdr:cNvPr id="2" name="Imagen 91">
          <a:extLst>
            <a:ext uri="{FF2B5EF4-FFF2-40B4-BE49-F238E27FC236}">
              <a16:creationId xmlns:a16="http://schemas.microsoft.com/office/drawing/2014/main" id="{689C5C45-B7D9-4416-B130-7905A64A2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15" y="149680"/>
          <a:ext cx="2028836" cy="938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0</xdr:row>
      <xdr:rowOff>0</xdr:rowOff>
    </xdr:from>
    <xdr:to>
      <xdr:col>1</xdr:col>
      <xdr:colOff>480060</xdr:colOff>
      <xdr:row>5</xdr:row>
      <xdr:rowOff>69961</xdr:rowOff>
    </xdr:to>
    <xdr:pic>
      <xdr:nvPicPr>
        <xdr:cNvPr id="3" name="Imagen 4" descr="C:\Users\mbeeche\Desktop\logo de spoon nuevo - copia.gif">
          <a:extLst>
            <a:ext uri="{FF2B5EF4-FFF2-40B4-BE49-F238E27FC236}">
              <a16:creationId xmlns:a16="http://schemas.microsoft.com/office/drawing/2014/main" id="{EEF864C9-9BBE-47E6-A90E-B685D169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0"/>
          <a:ext cx="1052830" cy="1083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0</xdr:rowOff>
    </xdr:from>
    <xdr:to>
      <xdr:col>1</xdr:col>
      <xdr:colOff>518160</xdr:colOff>
      <xdr:row>4</xdr:row>
      <xdr:rowOff>172200</xdr:rowOff>
    </xdr:to>
    <xdr:pic>
      <xdr:nvPicPr>
        <xdr:cNvPr id="2" name="Imagen 91">
          <a:extLst>
            <a:ext uri="{FF2B5EF4-FFF2-40B4-BE49-F238E27FC236}">
              <a16:creationId xmlns:a16="http://schemas.microsoft.com/office/drawing/2014/main" id="{1011FF11-2305-422D-8396-C3E438B8A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0"/>
          <a:ext cx="1112520" cy="903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0</xdr:rowOff>
    </xdr:from>
    <xdr:to>
      <xdr:col>1</xdr:col>
      <xdr:colOff>518160</xdr:colOff>
      <xdr:row>5</xdr:row>
      <xdr:rowOff>118860</xdr:rowOff>
    </xdr:to>
    <xdr:pic>
      <xdr:nvPicPr>
        <xdr:cNvPr id="2" name="Imagen 91">
          <a:extLst>
            <a:ext uri="{FF2B5EF4-FFF2-40B4-BE49-F238E27FC236}">
              <a16:creationId xmlns:a16="http://schemas.microsoft.com/office/drawing/2014/main" id="{429CFB2E-0C28-4071-A8CC-E2ED37CA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0"/>
          <a:ext cx="1112520" cy="1033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3E6D-E9A7-4EE3-9AF4-3795C1205768}">
  <dimension ref="A1:M47"/>
  <sheetViews>
    <sheetView workbookViewId="0">
      <selection activeCell="C16" sqref="C16"/>
    </sheetView>
  </sheetViews>
  <sheetFormatPr baseColWidth="10" defaultColWidth="11.42578125" defaultRowHeight="15" x14ac:dyDescent="0.25"/>
  <cols>
    <col min="1" max="1" width="18.140625" customWidth="1"/>
    <col min="2" max="2" width="40.85546875" customWidth="1"/>
    <col min="3" max="3" width="18" customWidth="1"/>
    <col min="4" max="4" width="18.42578125" customWidth="1"/>
    <col min="5" max="5" width="11.85546875" customWidth="1"/>
    <col min="7" max="7" width="12.28515625" customWidth="1"/>
    <col min="8" max="8" width="14.42578125" customWidth="1"/>
    <col min="9" max="9" width="14.7109375" customWidth="1"/>
  </cols>
  <sheetData>
    <row r="1" spans="1:11" ht="21" customHeight="1" x14ac:dyDescent="0.25">
      <c r="A1" s="478"/>
      <c r="B1" s="481" t="s">
        <v>0</v>
      </c>
      <c r="C1" s="481"/>
      <c r="D1" s="481"/>
      <c r="E1" s="481"/>
      <c r="F1" s="481"/>
      <c r="G1" s="481"/>
      <c r="H1" s="29" t="s">
        <v>1</v>
      </c>
      <c r="I1" s="1" t="s">
        <v>2</v>
      </c>
    </row>
    <row r="2" spans="1:11" ht="21" customHeight="1" x14ac:dyDescent="0.25">
      <c r="A2" s="479"/>
      <c r="B2" s="482" t="s">
        <v>3</v>
      </c>
      <c r="C2" s="482"/>
      <c r="D2" s="482"/>
      <c r="E2" s="482"/>
      <c r="F2" s="482"/>
      <c r="G2" s="482"/>
      <c r="H2" s="30" t="s">
        <v>4</v>
      </c>
      <c r="I2" s="2" t="s">
        <v>5</v>
      </c>
    </row>
    <row r="3" spans="1:11" ht="29.45" customHeight="1" x14ac:dyDescent="0.25">
      <c r="A3" s="479"/>
      <c r="B3" s="483" t="s">
        <v>41</v>
      </c>
      <c r="C3" s="483"/>
      <c r="D3" s="483"/>
      <c r="E3" s="483"/>
      <c r="F3" s="483"/>
      <c r="G3" s="483"/>
      <c r="H3" s="31" t="s">
        <v>6</v>
      </c>
      <c r="I3" s="27"/>
    </row>
    <row r="4" spans="1:11" ht="18" customHeight="1" thickBot="1" x14ac:dyDescent="0.3">
      <c r="A4" s="480"/>
      <c r="B4" s="28" t="s">
        <v>7</v>
      </c>
      <c r="C4" s="484" t="s">
        <v>36</v>
      </c>
      <c r="D4" s="484"/>
      <c r="E4" s="485" t="s">
        <v>8</v>
      </c>
      <c r="F4" s="485"/>
      <c r="G4" s="484" t="s">
        <v>35</v>
      </c>
      <c r="H4" s="484"/>
      <c r="I4" s="486"/>
    </row>
    <row r="5" spans="1:11" x14ac:dyDescent="0.25">
      <c r="A5" s="21"/>
      <c r="B5" s="22"/>
      <c r="C5" s="23"/>
      <c r="D5" s="23"/>
      <c r="E5" s="23"/>
      <c r="F5" s="23"/>
      <c r="G5" s="23"/>
      <c r="H5" s="24"/>
      <c r="I5" s="25"/>
    </row>
    <row r="6" spans="1:11" ht="18.75" thickBot="1" x14ac:dyDescent="0.3">
      <c r="A6" s="487" t="s">
        <v>9</v>
      </c>
      <c r="B6" s="487"/>
      <c r="C6" s="488" t="s">
        <v>33</v>
      </c>
      <c r="D6" s="488"/>
      <c r="E6" s="487" t="s">
        <v>10</v>
      </c>
      <c r="F6" s="487"/>
      <c r="G6" s="487"/>
      <c r="H6" s="489" t="s">
        <v>34</v>
      </c>
      <c r="I6" s="489"/>
    </row>
    <row r="7" spans="1:11" ht="18.75" thickBot="1" x14ac:dyDescent="0.3">
      <c r="A7" s="14"/>
      <c r="B7" s="14"/>
      <c r="C7" s="16"/>
      <c r="D7" s="16"/>
      <c r="E7" s="16"/>
      <c r="F7" s="16"/>
      <c r="G7" s="15"/>
      <c r="H7" s="15"/>
      <c r="I7" s="3"/>
    </row>
    <row r="8" spans="1:11" x14ac:dyDescent="0.25">
      <c r="A8" s="490" t="s">
        <v>11</v>
      </c>
      <c r="B8" s="492" t="s">
        <v>12</v>
      </c>
      <c r="C8" s="492" t="s">
        <v>13</v>
      </c>
      <c r="D8" s="495" t="s">
        <v>14</v>
      </c>
      <c r="E8" s="492" t="s">
        <v>16</v>
      </c>
      <c r="F8" s="497" t="s">
        <v>30</v>
      </c>
      <c r="G8" s="499" t="s">
        <v>15</v>
      </c>
      <c r="H8" s="500"/>
      <c r="I8" s="501"/>
    </row>
    <row r="9" spans="1:11" ht="15.75" thickBot="1" x14ac:dyDescent="0.3">
      <c r="A9" s="491"/>
      <c r="B9" s="493"/>
      <c r="C9" s="494"/>
      <c r="D9" s="496"/>
      <c r="E9" s="494"/>
      <c r="F9" s="498" t="s">
        <v>17</v>
      </c>
      <c r="G9" s="502"/>
      <c r="H9" s="503"/>
      <c r="I9" s="504"/>
    </row>
    <row r="10" spans="1:11" ht="15.75" x14ac:dyDescent="0.25">
      <c r="A10" t="s">
        <v>43</v>
      </c>
      <c r="B10" t="s">
        <v>44</v>
      </c>
      <c r="C10" s="52" t="s">
        <v>18</v>
      </c>
      <c r="D10" s="46"/>
      <c r="E10" s="46"/>
      <c r="F10" s="4"/>
      <c r="G10" s="453"/>
      <c r="H10" s="454"/>
      <c r="I10" s="455"/>
    </row>
    <row r="11" spans="1:11" ht="15.75" x14ac:dyDescent="0.25">
      <c r="A11" s="61" t="s">
        <v>37</v>
      </c>
      <c r="B11" s="60" t="s">
        <v>45</v>
      </c>
      <c r="C11" s="52" t="s">
        <v>18</v>
      </c>
      <c r="D11" s="46"/>
      <c r="E11" s="63"/>
      <c r="F11" s="4"/>
      <c r="G11" s="453"/>
      <c r="H11" s="454"/>
      <c r="I11" s="455"/>
    </row>
    <row r="12" spans="1:11" ht="15.75" x14ac:dyDescent="0.25">
      <c r="A12" s="61"/>
      <c r="B12" s="60"/>
      <c r="C12" s="62"/>
      <c r="D12" s="46"/>
      <c r="E12" s="63"/>
      <c r="F12" s="4"/>
      <c r="G12" s="453"/>
      <c r="H12" s="454"/>
      <c r="I12" s="455"/>
    </row>
    <row r="13" spans="1:11" ht="15.75" x14ac:dyDescent="0.25">
      <c r="A13" s="61"/>
      <c r="B13" s="60"/>
      <c r="C13" s="52"/>
      <c r="D13" s="46"/>
      <c r="E13" s="63"/>
      <c r="F13" s="4"/>
      <c r="G13" s="453"/>
      <c r="H13" s="454"/>
      <c r="I13" s="455"/>
    </row>
    <row r="14" spans="1:11" ht="15.75" x14ac:dyDescent="0.25">
      <c r="A14" s="61"/>
      <c r="B14" s="60"/>
      <c r="C14" s="52"/>
      <c r="D14" s="46"/>
      <c r="E14" s="63"/>
      <c r="F14" s="4"/>
      <c r="G14" s="453"/>
      <c r="H14" s="454"/>
      <c r="I14" s="455"/>
    </row>
    <row r="15" spans="1:11" ht="15.75" x14ac:dyDescent="0.25">
      <c r="A15" s="61"/>
      <c r="B15" s="60"/>
      <c r="C15" s="52"/>
      <c r="D15" s="48"/>
      <c r="E15" s="49"/>
      <c r="F15" s="4"/>
      <c r="G15" s="505"/>
      <c r="H15" s="506"/>
      <c r="I15" s="507"/>
      <c r="K15" s="45">
        <f>SUM(E10:E25)</f>
        <v>0</v>
      </c>
    </row>
    <row r="16" spans="1:11" ht="15.75" x14ac:dyDescent="0.25">
      <c r="A16" s="61"/>
      <c r="B16" s="64"/>
      <c r="C16" s="65"/>
      <c r="D16" s="60"/>
      <c r="E16" s="66"/>
      <c r="F16" s="67"/>
      <c r="G16" s="473"/>
      <c r="H16" s="474"/>
      <c r="I16" s="475"/>
      <c r="K16" s="45"/>
    </row>
    <row r="17" spans="1:13" ht="15.75" x14ac:dyDescent="0.25">
      <c r="A17" s="61"/>
      <c r="B17" s="60"/>
      <c r="C17" s="68"/>
      <c r="D17" s="60"/>
      <c r="E17" s="69"/>
      <c r="F17" s="63"/>
      <c r="G17" s="473"/>
      <c r="H17" s="474"/>
      <c r="I17" s="475"/>
      <c r="K17" s="45"/>
    </row>
    <row r="18" spans="1:13" ht="15.75" x14ac:dyDescent="0.25">
      <c r="A18" s="61"/>
      <c r="B18" s="60"/>
      <c r="C18" s="68"/>
      <c r="D18" s="60"/>
      <c r="E18" s="69"/>
      <c r="F18" s="63"/>
      <c r="G18" s="473"/>
      <c r="H18" s="474"/>
      <c r="I18" s="475"/>
      <c r="K18" s="45"/>
    </row>
    <row r="19" spans="1:13" ht="15.75" x14ac:dyDescent="0.25">
      <c r="A19" s="61"/>
      <c r="B19" s="60"/>
      <c r="C19" s="63"/>
      <c r="D19" s="60"/>
      <c r="E19" s="63"/>
      <c r="F19" s="63"/>
      <c r="G19" s="473"/>
      <c r="H19" s="474"/>
      <c r="I19" s="475"/>
      <c r="K19" s="45"/>
    </row>
    <row r="20" spans="1:13" ht="15.75" x14ac:dyDescent="0.25">
      <c r="A20" s="61"/>
      <c r="B20" s="60"/>
      <c r="C20" s="70"/>
      <c r="D20" s="60"/>
      <c r="E20" s="63"/>
      <c r="F20" s="63"/>
      <c r="G20" s="473"/>
      <c r="H20" s="474"/>
      <c r="I20" s="475"/>
      <c r="K20" s="45"/>
    </row>
    <row r="21" spans="1:13" ht="15.75" x14ac:dyDescent="0.25">
      <c r="A21" s="61"/>
      <c r="B21" s="60"/>
      <c r="C21" s="52"/>
      <c r="D21" s="48"/>
      <c r="E21" s="49"/>
      <c r="F21" s="4"/>
      <c r="G21" s="57"/>
      <c r="H21" s="58"/>
      <c r="I21" s="59"/>
      <c r="K21" s="45"/>
    </row>
    <row r="22" spans="1:13" ht="15.75" x14ac:dyDescent="0.25">
      <c r="A22" s="54"/>
      <c r="B22" s="5"/>
      <c r="C22" s="52"/>
      <c r="D22" s="48"/>
      <c r="E22" s="49"/>
      <c r="F22" s="4"/>
      <c r="G22" s="57"/>
      <c r="H22" s="51"/>
      <c r="I22" s="59"/>
      <c r="K22" s="45"/>
    </row>
    <row r="23" spans="1:13" ht="15.75" x14ac:dyDescent="0.25">
      <c r="A23" s="54"/>
      <c r="B23" s="5"/>
      <c r="C23" s="52"/>
      <c r="D23" s="48"/>
      <c r="E23" s="49"/>
      <c r="F23" s="4"/>
      <c r="G23" s="57"/>
      <c r="H23" s="51"/>
      <c r="I23" s="59"/>
      <c r="K23" s="45"/>
    </row>
    <row r="24" spans="1:13" ht="15.75" x14ac:dyDescent="0.25">
      <c r="A24" s="54"/>
      <c r="B24" s="5"/>
      <c r="C24" s="52"/>
      <c r="D24" s="48"/>
      <c r="E24" s="49"/>
      <c r="F24" s="4"/>
      <c r="G24" s="57"/>
      <c r="H24" s="51"/>
      <c r="I24" s="59"/>
      <c r="K24" s="45"/>
    </row>
    <row r="25" spans="1:13" x14ac:dyDescent="0.25">
      <c r="A25" s="55"/>
      <c r="B25" s="53"/>
      <c r="C25" s="52"/>
      <c r="D25" s="47"/>
      <c r="E25" s="56"/>
      <c r="F25" s="4"/>
      <c r="G25" s="57"/>
      <c r="H25" s="51"/>
      <c r="I25" s="59"/>
      <c r="K25" s="45"/>
    </row>
    <row r="26" spans="1:13" ht="15.75" thickBot="1" x14ac:dyDescent="0.3">
      <c r="A26" s="6"/>
      <c r="B26" s="7"/>
      <c r="C26" s="7"/>
      <c r="D26" s="7"/>
      <c r="E26" s="8"/>
      <c r="F26" s="9"/>
      <c r="G26" s="7"/>
      <c r="H26" s="7"/>
      <c r="I26" s="10"/>
      <c r="J26" s="11"/>
      <c r="K26" s="11"/>
      <c r="L26" s="12"/>
      <c r="M26" s="11"/>
    </row>
    <row r="27" spans="1:13" ht="15.75" thickBot="1" x14ac:dyDescent="0.3">
      <c r="A27" s="34"/>
      <c r="B27" s="35"/>
      <c r="C27" s="36" t="s">
        <v>16</v>
      </c>
      <c r="D27" s="37" t="s">
        <v>20</v>
      </c>
      <c r="F27" s="456" t="s">
        <v>21</v>
      </c>
      <c r="G27" s="457"/>
      <c r="H27" s="457"/>
      <c r="I27" s="458"/>
      <c r="J27" s="11"/>
      <c r="K27" s="11"/>
      <c r="L27" s="12"/>
      <c r="M27" s="11"/>
    </row>
    <row r="28" spans="1:13" x14ac:dyDescent="0.25">
      <c r="A28" s="465" t="s">
        <v>22</v>
      </c>
      <c r="B28" s="466"/>
      <c r="C28" s="33"/>
      <c r="D28" s="17" t="s">
        <v>19</v>
      </c>
      <c r="F28" s="467"/>
      <c r="G28" s="468"/>
      <c r="H28" s="468"/>
      <c r="I28" s="469"/>
      <c r="J28" s="11"/>
      <c r="K28" s="11"/>
      <c r="L28" s="12"/>
      <c r="M28" s="11"/>
    </row>
    <row r="29" spans="1:13" x14ac:dyDescent="0.25">
      <c r="A29" s="465" t="s">
        <v>23</v>
      </c>
      <c r="B29" s="466"/>
      <c r="C29" s="33"/>
      <c r="D29" s="17" t="s">
        <v>24</v>
      </c>
      <c r="F29" s="467"/>
      <c r="G29" s="468"/>
      <c r="H29" s="468"/>
      <c r="I29" s="469"/>
      <c r="J29" s="11"/>
      <c r="K29" s="11"/>
      <c r="L29" s="12"/>
      <c r="M29" s="11"/>
    </row>
    <row r="30" spans="1:13" x14ac:dyDescent="0.25">
      <c r="A30" s="513" t="s">
        <v>25</v>
      </c>
      <c r="B30" s="514"/>
      <c r="C30" s="33"/>
      <c r="D30" s="17" t="s">
        <v>38</v>
      </c>
      <c r="F30" s="467"/>
      <c r="G30" s="468"/>
      <c r="H30" s="468"/>
      <c r="I30" s="469"/>
      <c r="J30" s="11"/>
      <c r="K30" s="11"/>
      <c r="L30" s="12"/>
      <c r="M30" s="11"/>
    </row>
    <row r="31" spans="1:13" x14ac:dyDescent="0.25">
      <c r="A31" s="513" t="s">
        <v>26</v>
      </c>
      <c r="B31" s="514"/>
      <c r="C31" s="33"/>
      <c r="D31" s="17" t="s">
        <v>19</v>
      </c>
      <c r="F31" s="467"/>
      <c r="G31" s="468"/>
      <c r="H31" s="468"/>
      <c r="I31" s="469"/>
      <c r="J31" s="11"/>
      <c r="K31" s="11"/>
      <c r="L31" s="12"/>
      <c r="M31" s="13"/>
    </row>
    <row r="32" spans="1:13" ht="15.75" thickBot="1" x14ac:dyDescent="0.3">
      <c r="A32" s="476" t="s">
        <v>27</v>
      </c>
      <c r="B32" s="477"/>
      <c r="C32" s="50"/>
      <c r="D32" s="18" t="s">
        <v>19</v>
      </c>
      <c r="F32" s="470"/>
      <c r="G32" s="471"/>
      <c r="H32" s="471"/>
      <c r="I32" s="472"/>
      <c r="J32" s="7"/>
      <c r="K32" s="7"/>
      <c r="L32" s="12"/>
      <c r="M32" s="7"/>
    </row>
    <row r="33" spans="1:13" ht="15.75" thickBot="1" x14ac:dyDescent="0.3">
      <c r="A33" s="38"/>
      <c r="B33" s="32"/>
      <c r="C33" s="32"/>
      <c r="D33" s="39"/>
      <c r="F33" s="26"/>
      <c r="G33" s="26"/>
      <c r="H33" s="26"/>
      <c r="I33" s="26"/>
      <c r="J33" s="7"/>
      <c r="K33" s="7"/>
      <c r="L33" s="12"/>
      <c r="M33" s="7"/>
    </row>
    <row r="34" spans="1:13" ht="15.75" thickBot="1" x14ac:dyDescent="0.3">
      <c r="A34" s="19" t="s">
        <v>28</v>
      </c>
      <c r="B34" s="20"/>
      <c r="C34" s="20"/>
      <c r="D34" s="20"/>
      <c r="E34" s="20"/>
      <c r="F34" s="20"/>
      <c r="G34" s="20"/>
      <c r="H34" s="20"/>
      <c r="I34" s="40"/>
      <c r="J34" s="11"/>
      <c r="K34" s="11"/>
      <c r="L34" s="11"/>
      <c r="M34" s="11"/>
    </row>
    <row r="35" spans="1:13" ht="27.6" customHeight="1" thickBot="1" x14ac:dyDescent="0.3">
      <c r="A35" s="462"/>
      <c r="B35" s="463"/>
      <c r="C35" s="463"/>
      <c r="D35" s="463"/>
      <c r="E35" s="463"/>
      <c r="F35" s="463"/>
      <c r="G35" s="463"/>
      <c r="H35" s="463"/>
      <c r="I35" s="464"/>
      <c r="J35" s="11"/>
      <c r="K35" s="11"/>
      <c r="L35" s="11"/>
      <c r="M35" s="11"/>
    </row>
    <row r="36" spans="1:13" ht="27.6" customHeight="1" thickBot="1" x14ac:dyDescent="0.3">
      <c r="A36" s="462"/>
      <c r="B36" s="463"/>
      <c r="C36" s="463"/>
      <c r="D36" s="463"/>
      <c r="E36" s="463"/>
      <c r="F36" s="463"/>
      <c r="G36" s="463"/>
      <c r="H36" s="463"/>
      <c r="I36" s="464"/>
      <c r="J36" s="11"/>
      <c r="K36" s="11"/>
      <c r="L36" s="11"/>
      <c r="M36" s="11"/>
    </row>
    <row r="37" spans="1:13" ht="27.6" customHeight="1" x14ac:dyDescent="0.25">
      <c r="A37" s="462"/>
      <c r="B37" s="463"/>
      <c r="C37" s="463"/>
      <c r="D37" s="463"/>
      <c r="E37" s="463"/>
      <c r="F37" s="463"/>
      <c r="G37" s="463"/>
      <c r="H37" s="463"/>
      <c r="I37" s="464"/>
      <c r="J37" s="11"/>
      <c r="K37" s="11"/>
      <c r="L37" s="11"/>
      <c r="M37" s="11"/>
    </row>
    <row r="38" spans="1:13" ht="27.6" customHeight="1" thickBot="1" x14ac:dyDescent="0.3">
      <c r="J38" s="11"/>
      <c r="K38" s="11"/>
      <c r="L38" s="11"/>
      <c r="M38" s="11"/>
    </row>
    <row r="39" spans="1:13" ht="27.6" customHeight="1" x14ac:dyDescent="0.25">
      <c r="A39" s="462"/>
      <c r="B39" s="463"/>
      <c r="C39" s="463"/>
      <c r="D39" s="463"/>
      <c r="E39" s="463"/>
      <c r="F39" s="463"/>
      <c r="G39" s="463"/>
      <c r="H39" s="463"/>
      <c r="I39" s="464"/>
      <c r="J39" s="11"/>
      <c r="K39" s="11"/>
      <c r="L39" s="11"/>
      <c r="M39" s="11"/>
    </row>
    <row r="40" spans="1:13" ht="24" customHeight="1" thickBot="1" x14ac:dyDescent="0.3">
      <c r="A40" s="508"/>
      <c r="B40" s="509"/>
      <c r="C40" s="509"/>
      <c r="D40" s="509"/>
      <c r="E40" s="509"/>
      <c r="F40" s="509"/>
      <c r="G40" s="509"/>
      <c r="H40" s="509"/>
      <c r="I40" s="510"/>
      <c r="J40" s="11"/>
      <c r="K40" s="11"/>
      <c r="L40" s="11"/>
      <c r="M40" s="11"/>
    </row>
    <row r="41" spans="1:13" x14ac:dyDescent="0.25">
      <c r="A41" s="511" t="s">
        <v>29</v>
      </c>
      <c r="B41" s="511"/>
      <c r="C41" s="511"/>
      <c r="D41" s="511"/>
      <c r="E41" s="511"/>
      <c r="F41" s="511"/>
      <c r="G41" s="511"/>
      <c r="H41" s="511"/>
      <c r="I41" s="512"/>
      <c r="J41" s="11"/>
      <c r="K41" s="11"/>
      <c r="L41" s="11"/>
      <c r="M41" s="11"/>
    </row>
    <row r="42" spans="1:13" s="44" customFormat="1" x14ac:dyDescent="0.25">
      <c r="A42" s="42" t="s">
        <v>31</v>
      </c>
      <c r="B42" s="459" t="s">
        <v>32</v>
      </c>
      <c r="C42" s="460"/>
      <c r="D42" s="460"/>
      <c r="E42" s="460"/>
      <c r="F42" s="460"/>
      <c r="G42" s="460"/>
      <c r="H42" s="460"/>
      <c r="I42" s="461"/>
      <c r="J42" s="43"/>
      <c r="K42" s="43"/>
      <c r="L42" s="43"/>
      <c r="M42" s="43"/>
    </row>
    <row r="43" spans="1:13" s="44" customFormat="1" x14ac:dyDescent="0.25">
      <c r="A43" s="41">
        <v>1</v>
      </c>
      <c r="B43" s="459"/>
      <c r="C43" s="460"/>
      <c r="D43" s="460"/>
      <c r="E43" s="460"/>
      <c r="F43" s="460"/>
      <c r="G43" s="460"/>
      <c r="H43" s="460"/>
      <c r="I43" s="461"/>
      <c r="J43" s="43"/>
      <c r="K43" s="43"/>
      <c r="L43" s="43"/>
      <c r="M43" s="43"/>
    </row>
    <row r="44" spans="1:13" s="44" customFormat="1" x14ac:dyDescent="0.25">
      <c r="A44" s="41">
        <v>2</v>
      </c>
      <c r="B44" s="459"/>
      <c r="C44" s="460"/>
      <c r="D44" s="460"/>
      <c r="E44" s="460"/>
      <c r="F44" s="460"/>
      <c r="G44" s="460"/>
      <c r="H44" s="460"/>
      <c r="I44" s="461"/>
      <c r="J44" s="43"/>
      <c r="K44" s="43"/>
      <c r="L44" s="43"/>
      <c r="M44" s="43"/>
    </row>
    <row r="45" spans="1:13" s="44" customFormat="1" x14ac:dyDescent="0.25">
      <c r="A45" s="41">
        <v>3</v>
      </c>
      <c r="B45" s="459"/>
      <c r="C45" s="460"/>
      <c r="D45" s="460"/>
      <c r="E45" s="460"/>
      <c r="F45" s="460"/>
      <c r="G45" s="460"/>
      <c r="H45" s="460"/>
      <c r="I45" s="461"/>
      <c r="J45" s="43"/>
      <c r="K45" s="43"/>
      <c r="L45" s="43"/>
      <c r="M45" s="43"/>
    </row>
    <row r="46" spans="1:13" s="44" customFormat="1" x14ac:dyDescent="0.25">
      <c r="A46" s="41">
        <v>4</v>
      </c>
      <c r="B46" s="459"/>
      <c r="C46" s="460"/>
      <c r="D46" s="460"/>
      <c r="E46" s="460"/>
      <c r="F46" s="460"/>
      <c r="G46" s="460"/>
      <c r="H46" s="460"/>
      <c r="I46" s="461"/>
      <c r="J46" s="43"/>
      <c r="K46" s="43"/>
      <c r="L46" s="43"/>
      <c r="M46" s="43"/>
    </row>
    <row r="47" spans="1:13" s="44" customFormat="1" x14ac:dyDescent="0.25">
      <c r="A47" s="41">
        <v>5</v>
      </c>
      <c r="B47" s="459"/>
      <c r="C47" s="460"/>
      <c r="D47" s="460"/>
      <c r="E47" s="460"/>
      <c r="F47" s="460"/>
      <c r="G47" s="460"/>
      <c r="H47" s="460"/>
      <c r="I47" s="461"/>
      <c r="J47" s="43"/>
      <c r="K47" s="43"/>
      <c r="L47" s="43"/>
      <c r="M47" s="43"/>
    </row>
  </sheetData>
  <mergeCells count="48">
    <mergeCell ref="B44:I44"/>
    <mergeCell ref="B45:I45"/>
    <mergeCell ref="B46:I46"/>
    <mergeCell ref="B47:I47"/>
    <mergeCell ref="G11:I11"/>
    <mergeCell ref="G12:I12"/>
    <mergeCell ref="G13:I13"/>
    <mergeCell ref="G15:I15"/>
    <mergeCell ref="A35:I35"/>
    <mergeCell ref="A39:I39"/>
    <mergeCell ref="A40:I40"/>
    <mergeCell ref="A41:I41"/>
    <mergeCell ref="B43:I43"/>
    <mergeCell ref="A29:B29"/>
    <mergeCell ref="A30:B30"/>
    <mergeCell ref="A31:B31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A1:A4"/>
    <mergeCell ref="B1:G1"/>
    <mergeCell ref="B2:G2"/>
    <mergeCell ref="B3:G3"/>
    <mergeCell ref="C4:D4"/>
    <mergeCell ref="E4:F4"/>
    <mergeCell ref="G4:I4"/>
    <mergeCell ref="G10:I10"/>
    <mergeCell ref="F27:I27"/>
    <mergeCell ref="B42:I42"/>
    <mergeCell ref="G14:I14"/>
    <mergeCell ref="A36:I36"/>
    <mergeCell ref="A28:B28"/>
    <mergeCell ref="F28:I32"/>
    <mergeCell ref="G16:I16"/>
    <mergeCell ref="G17:I17"/>
    <mergeCell ref="G18:I18"/>
    <mergeCell ref="G19:I19"/>
    <mergeCell ref="G20:I20"/>
    <mergeCell ref="A32:B32"/>
    <mergeCell ref="A37:I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7245-97E0-402B-91F6-C92DE4843CDA}">
  <sheetPr>
    <pageSetUpPr fitToPage="1"/>
  </sheetPr>
  <dimension ref="A1:I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4.5703125" customWidth="1"/>
    <col min="2" max="2" width="17.85546875" customWidth="1"/>
    <col min="3" max="3" width="69.28515625" bestFit="1" customWidth="1"/>
    <col min="4" max="4" width="27.7109375" customWidth="1"/>
    <col min="5" max="5" width="15" customWidth="1"/>
    <col min="6" max="6" width="15.7109375" customWidth="1"/>
    <col min="7" max="7" width="19.140625" customWidth="1"/>
    <col min="8" max="8" width="20.7109375" customWidth="1"/>
    <col min="9" max="9" width="16.85546875" bestFit="1" customWidth="1"/>
  </cols>
  <sheetData>
    <row r="1" spans="1:9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300</v>
      </c>
    </row>
    <row r="2" spans="1:9" ht="18" customHeight="1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306</v>
      </c>
    </row>
    <row r="3" spans="1:9" ht="31.5" customHeight="1" thickBot="1" x14ac:dyDescent="0.3">
      <c r="A3" s="580"/>
      <c r="B3" s="581"/>
      <c r="C3" s="588" t="s">
        <v>305</v>
      </c>
      <c r="D3" s="589"/>
      <c r="E3" s="589"/>
      <c r="F3" s="589"/>
      <c r="G3" s="590"/>
      <c r="H3" s="591" t="s">
        <v>6</v>
      </c>
      <c r="I3" s="569">
        <v>45919</v>
      </c>
    </row>
    <row r="4" spans="1:9" ht="18" customHeight="1" x14ac:dyDescent="0.25">
      <c r="A4" s="580"/>
      <c r="B4" s="581"/>
      <c r="C4" s="76" t="s">
        <v>7</v>
      </c>
      <c r="D4" s="572" t="s">
        <v>73</v>
      </c>
      <c r="E4" s="573"/>
      <c r="F4" s="573"/>
      <c r="G4" s="574"/>
      <c r="H4" s="592"/>
      <c r="I4" s="570"/>
    </row>
    <row r="5" spans="1:9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9" ht="18.75" thickBot="1" x14ac:dyDescent="0.3">
      <c r="A6" s="559" t="s">
        <v>9</v>
      </c>
      <c r="B6" s="559"/>
      <c r="C6" s="559"/>
      <c r="D6" s="560" t="s">
        <v>62</v>
      </c>
      <c r="E6" s="560"/>
      <c r="F6" s="560"/>
      <c r="G6" s="561" t="s">
        <v>10</v>
      </c>
      <c r="H6" s="561"/>
      <c r="I6" s="452" t="s">
        <v>62</v>
      </c>
    </row>
    <row r="7" spans="1:9" ht="28.5" x14ac:dyDescent="0.25">
      <c r="A7" s="562" t="s">
        <v>63</v>
      </c>
      <c r="B7" s="564" t="s">
        <v>11</v>
      </c>
      <c r="C7" s="566" t="s">
        <v>12</v>
      </c>
      <c r="D7" s="566" t="s">
        <v>13</v>
      </c>
      <c r="E7" s="566" t="s">
        <v>64</v>
      </c>
      <c r="F7" s="566"/>
      <c r="G7" s="566" t="s">
        <v>65</v>
      </c>
      <c r="H7" s="566"/>
      <c r="I7" s="448" t="s">
        <v>66</v>
      </c>
    </row>
    <row r="8" spans="1:9" ht="34.5" customHeight="1" thickBot="1" x14ac:dyDescent="0.3">
      <c r="A8" s="563"/>
      <c r="B8" s="565"/>
      <c r="C8" s="567"/>
      <c r="D8" s="568"/>
      <c r="E8" s="449" t="s">
        <v>16</v>
      </c>
      <c r="F8" s="450" t="s">
        <v>17</v>
      </c>
      <c r="G8" s="449" t="s">
        <v>16</v>
      </c>
      <c r="H8" s="450" t="s">
        <v>17</v>
      </c>
      <c r="I8" s="451" t="s">
        <v>67</v>
      </c>
    </row>
    <row r="9" spans="1:9" ht="18.399999999999999" customHeight="1" x14ac:dyDescent="0.3">
      <c r="A9" s="403"/>
      <c r="B9" s="404"/>
      <c r="C9" s="405" t="s">
        <v>46</v>
      </c>
      <c r="D9" s="406"/>
      <c r="E9" s="407"/>
      <c r="F9" s="408"/>
      <c r="G9" s="407"/>
      <c r="H9" s="408"/>
      <c r="I9" s="409"/>
    </row>
    <row r="10" spans="1:9" ht="20.25" x14ac:dyDescent="0.3">
      <c r="A10" s="410"/>
      <c r="B10" s="411" t="s">
        <v>43</v>
      </c>
      <c r="C10" s="412" t="s">
        <v>47</v>
      </c>
      <c r="D10" s="406" t="s">
        <v>18</v>
      </c>
      <c r="E10" s="406">
        <f>25*6</f>
        <v>150</v>
      </c>
      <c r="F10" s="413" t="s">
        <v>19</v>
      </c>
      <c r="G10" s="414" t="s">
        <v>82</v>
      </c>
      <c r="H10" s="415"/>
      <c r="I10" s="409"/>
    </row>
    <row r="11" spans="1:9" ht="20.25" x14ac:dyDescent="0.3">
      <c r="A11" s="413"/>
      <c r="B11" s="411" t="s">
        <v>296</v>
      </c>
      <c r="C11" s="416" t="s">
        <v>78</v>
      </c>
      <c r="D11" s="417" t="s">
        <v>18</v>
      </c>
      <c r="E11" s="406">
        <f>60*6</f>
        <v>360</v>
      </c>
      <c r="F11" s="413" t="s">
        <v>19</v>
      </c>
      <c r="G11" s="414" t="s">
        <v>76</v>
      </c>
      <c r="H11" s="415"/>
      <c r="I11" s="409"/>
    </row>
    <row r="12" spans="1:9" ht="40.5" x14ac:dyDescent="0.3">
      <c r="A12" s="413"/>
      <c r="B12" s="412" t="s">
        <v>74</v>
      </c>
      <c r="C12" s="412" t="s">
        <v>75</v>
      </c>
      <c r="D12" s="417" t="s">
        <v>18</v>
      </c>
      <c r="E12" s="406">
        <v>60</v>
      </c>
      <c r="F12" s="413" t="s">
        <v>19</v>
      </c>
      <c r="G12" s="414" t="s">
        <v>303</v>
      </c>
      <c r="H12" s="447" t="s">
        <v>299</v>
      </c>
      <c r="I12" s="409"/>
    </row>
    <row r="13" spans="1:9" ht="20.25" x14ac:dyDescent="0.3">
      <c r="A13" s="404"/>
      <c r="B13" s="411" t="s">
        <v>298</v>
      </c>
      <c r="C13" s="416" t="s">
        <v>297</v>
      </c>
      <c r="D13" s="417" t="s">
        <v>18</v>
      </c>
      <c r="E13" s="406">
        <f>15*6</f>
        <v>90</v>
      </c>
      <c r="F13" s="413" t="s">
        <v>19</v>
      </c>
      <c r="G13" s="414" t="s">
        <v>77</v>
      </c>
      <c r="H13" s="415"/>
      <c r="I13" s="409"/>
    </row>
    <row r="14" spans="1:9" ht="20.25" x14ac:dyDescent="0.3">
      <c r="A14" s="413"/>
      <c r="B14" s="411"/>
      <c r="C14" s="416"/>
      <c r="D14" s="417"/>
      <c r="E14" s="406"/>
      <c r="F14" s="406"/>
      <c r="G14" s="406"/>
      <c r="H14" s="415"/>
      <c r="I14" s="409"/>
    </row>
    <row r="15" spans="1:9" ht="20.25" x14ac:dyDescent="0.3">
      <c r="A15" s="404"/>
      <c r="B15" s="411"/>
      <c r="C15" s="416"/>
      <c r="D15" s="417"/>
      <c r="E15" s="406"/>
      <c r="F15" s="406"/>
      <c r="G15" s="406"/>
      <c r="H15" s="415"/>
      <c r="I15" s="409"/>
    </row>
    <row r="16" spans="1:9" ht="20.25" x14ac:dyDescent="0.3">
      <c r="A16" s="413"/>
      <c r="B16" s="418"/>
      <c r="C16" s="419" t="s">
        <v>49</v>
      </c>
      <c r="D16" s="420"/>
      <c r="E16" s="406"/>
      <c r="F16" s="406"/>
      <c r="G16" s="406"/>
      <c r="H16" s="415"/>
      <c r="I16" s="409"/>
    </row>
    <row r="17" spans="1:9" ht="20.25" x14ac:dyDescent="0.3">
      <c r="A17" s="413"/>
      <c r="B17" s="421" t="s">
        <v>50</v>
      </c>
      <c r="C17" s="421" t="s">
        <v>51</v>
      </c>
      <c r="D17" s="406" t="s">
        <v>52</v>
      </c>
      <c r="E17" s="422">
        <v>6</v>
      </c>
      <c r="F17" s="423" t="s">
        <v>38</v>
      </c>
      <c r="G17" s="406"/>
      <c r="H17" s="415"/>
      <c r="I17" s="409"/>
    </row>
    <row r="18" spans="1:9" ht="20.25" x14ac:dyDescent="0.3">
      <c r="A18" s="413"/>
      <c r="B18" s="421" t="s">
        <v>53</v>
      </c>
      <c r="C18" s="421" t="s">
        <v>54</v>
      </c>
      <c r="D18" s="406" t="s">
        <v>52</v>
      </c>
      <c r="E18" s="422">
        <v>6</v>
      </c>
      <c r="F18" s="423" t="s">
        <v>38</v>
      </c>
      <c r="G18" s="406"/>
      <c r="H18" s="415"/>
      <c r="I18" s="409"/>
    </row>
    <row r="19" spans="1:9" ht="20.25" x14ac:dyDescent="0.3">
      <c r="A19" s="413"/>
      <c r="B19" s="411" t="s">
        <v>39</v>
      </c>
      <c r="C19" s="412" t="s">
        <v>55</v>
      </c>
      <c r="D19" s="406" t="s">
        <v>40</v>
      </c>
      <c r="E19" s="422">
        <v>6</v>
      </c>
      <c r="F19" s="423" t="s">
        <v>38</v>
      </c>
      <c r="G19" s="406"/>
      <c r="H19" s="415"/>
      <c r="I19" s="409"/>
    </row>
    <row r="20" spans="1:9" ht="20.25" x14ac:dyDescent="0.3">
      <c r="A20" s="413"/>
      <c r="B20" s="421" t="s">
        <v>56</v>
      </c>
      <c r="C20" s="421" t="s">
        <v>57</v>
      </c>
      <c r="D20" s="406" t="s">
        <v>42</v>
      </c>
      <c r="E20" s="422">
        <v>6</v>
      </c>
      <c r="F20" s="423" t="s">
        <v>38</v>
      </c>
      <c r="G20" s="406"/>
      <c r="H20" s="415"/>
      <c r="I20" s="409"/>
    </row>
    <row r="21" spans="1:9" ht="20.25" x14ac:dyDescent="0.3">
      <c r="A21" s="424"/>
      <c r="B21" s="421" t="s">
        <v>58</v>
      </c>
      <c r="C21" s="421" t="s">
        <v>59</v>
      </c>
      <c r="D21" s="420"/>
      <c r="E21" s="425">
        <v>6</v>
      </c>
      <c r="F21" s="423" t="s">
        <v>38</v>
      </c>
      <c r="G21" s="407"/>
      <c r="H21" s="415"/>
      <c r="I21" s="409"/>
    </row>
    <row r="22" spans="1:9" ht="20.25" x14ac:dyDescent="0.3">
      <c r="A22" s="426"/>
      <c r="B22" s="411" t="s">
        <v>301</v>
      </c>
      <c r="C22" s="412" t="s">
        <v>302</v>
      </c>
      <c r="D22" s="420"/>
      <c r="E22" s="427">
        <v>6</v>
      </c>
      <c r="F22" s="428" t="s">
        <v>38</v>
      </c>
      <c r="G22" s="428"/>
      <c r="H22" s="408"/>
      <c r="I22" s="409"/>
    </row>
    <row r="23" spans="1:9" ht="21" thickBot="1" x14ac:dyDescent="0.35">
      <c r="A23" s="429"/>
      <c r="B23" s="430"/>
      <c r="C23" s="431"/>
      <c r="D23" s="431"/>
      <c r="E23" s="432"/>
      <c r="F23" s="433"/>
      <c r="G23" s="431"/>
      <c r="H23" s="431"/>
      <c r="I23" s="434"/>
    </row>
    <row r="24" spans="1:9" ht="21" thickBot="1" x14ac:dyDescent="0.35">
      <c r="A24" s="435"/>
      <c r="B24" s="436"/>
      <c r="C24" s="437"/>
      <c r="D24" s="438" t="s">
        <v>16</v>
      </c>
      <c r="E24" s="439" t="s">
        <v>20</v>
      </c>
      <c r="F24" s="440"/>
      <c r="G24" s="437"/>
      <c r="H24" s="437"/>
      <c r="I24" s="441"/>
    </row>
    <row r="25" spans="1:9" ht="20.25" x14ac:dyDescent="0.3">
      <c r="A25" s="553" t="s">
        <v>22</v>
      </c>
      <c r="B25" s="554"/>
      <c r="C25" s="555"/>
      <c r="D25" s="442">
        <v>630</v>
      </c>
      <c r="E25" s="443" t="s">
        <v>19</v>
      </c>
      <c r="F25" s="556" t="s">
        <v>68</v>
      </c>
      <c r="G25" s="556"/>
      <c r="H25" s="557"/>
      <c r="I25" s="558"/>
    </row>
    <row r="26" spans="1:9" ht="20.25" x14ac:dyDescent="0.3">
      <c r="A26" s="533" t="s">
        <v>23</v>
      </c>
      <c r="B26" s="534"/>
      <c r="C26" s="535"/>
      <c r="D26" s="444">
        <v>7</v>
      </c>
      <c r="E26" s="406" t="s">
        <v>69</v>
      </c>
      <c r="F26" s="536" t="s">
        <v>70</v>
      </c>
      <c r="G26" s="536"/>
      <c r="H26" s="537"/>
      <c r="I26" s="538"/>
    </row>
    <row r="27" spans="1:9" ht="20.25" x14ac:dyDescent="0.3">
      <c r="A27" s="533" t="s">
        <v>25</v>
      </c>
      <c r="B27" s="534"/>
      <c r="C27" s="535"/>
      <c r="D27" s="444">
        <f>D25/D28</f>
        <v>6</v>
      </c>
      <c r="E27" s="406" t="s">
        <v>38</v>
      </c>
      <c r="F27" s="536" t="s">
        <v>71</v>
      </c>
      <c r="G27" s="536"/>
      <c r="H27" s="537"/>
      <c r="I27" s="538"/>
    </row>
    <row r="28" spans="1:9" ht="20.25" x14ac:dyDescent="0.3">
      <c r="A28" s="533" t="s">
        <v>26</v>
      </c>
      <c r="B28" s="534"/>
      <c r="C28" s="535"/>
      <c r="D28" s="444">
        <v>105</v>
      </c>
      <c r="E28" s="406" t="s">
        <v>19</v>
      </c>
      <c r="F28" s="539" t="s">
        <v>72</v>
      </c>
      <c r="G28" s="540"/>
      <c r="H28" s="541"/>
      <c r="I28" s="542"/>
    </row>
    <row r="29" spans="1:9" ht="21" thickBot="1" x14ac:dyDescent="0.35">
      <c r="A29" s="543" t="s">
        <v>27</v>
      </c>
      <c r="B29" s="544"/>
      <c r="C29" s="545"/>
      <c r="D29" s="445">
        <f>SUM(E10:E13)-D25</f>
        <v>30</v>
      </c>
      <c r="E29" s="446" t="s">
        <v>19</v>
      </c>
      <c r="F29" s="546"/>
      <c r="G29" s="546"/>
      <c r="H29" s="537"/>
      <c r="I29" s="538"/>
    </row>
    <row r="30" spans="1:9" ht="21" thickBot="1" x14ac:dyDescent="0.35">
      <c r="A30" s="547" t="s">
        <v>28</v>
      </c>
      <c r="B30" s="548"/>
      <c r="C30" s="548"/>
      <c r="D30" s="548"/>
      <c r="E30" s="548"/>
      <c r="F30" s="548"/>
      <c r="G30" s="548"/>
      <c r="H30" s="548"/>
      <c r="I30" s="549"/>
    </row>
    <row r="31" spans="1:9" ht="20.25" x14ac:dyDescent="0.3">
      <c r="A31" s="550" t="s">
        <v>80</v>
      </c>
      <c r="B31" s="551"/>
      <c r="C31" s="551"/>
      <c r="D31" s="551"/>
      <c r="E31" s="551"/>
      <c r="F31" s="551"/>
      <c r="G31" s="551"/>
      <c r="H31" s="551"/>
      <c r="I31" s="552"/>
    </row>
    <row r="32" spans="1:9" ht="20.25" x14ac:dyDescent="0.3">
      <c r="A32" s="516" t="s">
        <v>79</v>
      </c>
      <c r="B32" s="517"/>
      <c r="C32" s="518"/>
      <c r="D32" s="518"/>
      <c r="E32" s="518"/>
      <c r="F32" s="518"/>
      <c r="G32" s="518"/>
      <c r="H32" s="518"/>
      <c r="I32" s="519"/>
    </row>
    <row r="33" spans="1:9" ht="20.25" x14ac:dyDescent="0.3">
      <c r="A33" s="516" t="s">
        <v>81</v>
      </c>
      <c r="B33" s="517"/>
      <c r="C33" s="518"/>
      <c r="D33" s="518"/>
      <c r="E33" s="518"/>
      <c r="F33" s="518"/>
      <c r="G33" s="518"/>
      <c r="H33" s="518"/>
      <c r="I33" s="519"/>
    </row>
    <row r="34" spans="1:9" ht="20.25" x14ac:dyDescent="0.3">
      <c r="A34" s="520"/>
      <c r="B34" s="521"/>
      <c r="C34" s="522"/>
      <c r="D34" s="522"/>
      <c r="E34" s="522"/>
      <c r="F34" s="522"/>
      <c r="G34" s="522"/>
      <c r="H34" s="522"/>
      <c r="I34" s="523"/>
    </row>
    <row r="35" spans="1:9" ht="18" customHeight="1" x14ac:dyDescent="0.3">
      <c r="A35" s="516"/>
      <c r="B35" s="517"/>
      <c r="C35" s="518"/>
      <c r="D35" s="518"/>
      <c r="E35" s="518"/>
      <c r="F35" s="518"/>
      <c r="G35" s="518"/>
      <c r="H35" s="518"/>
      <c r="I35" s="519"/>
    </row>
    <row r="36" spans="1:9" ht="20.25" x14ac:dyDescent="0.3">
      <c r="A36" s="524"/>
      <c r="B36" s="525"/>
      <c r="C36" s="526"/>
      <c r="D36" s="526"/>
      <c r="E36" s="526"/>
      <c r="F36" s="526"/>
      <c r="G36" s="526"/>
      <c r="H36" s="526"/>
      <c r="I36" s="527"/>
    </row>
    <row r="37" spans="1:9" ht="21" thickBot="1" x14ac:dyDescent="0.35">
      <c r="A37" s="528"/>
      <c r="B37" s="529"/>
      <c r="C37" s="529"/>
      <c r="D37" s="529"/>
      <c r="E37" s="529"/>
      <c r="F37" s="529"/>
      <c r="G37" s="529"/>
      <c r="H37" s="529"/>
      <c r="I37" s="530"/>
    </row>
    <row r="38" spans="1:9" ht="20.25" x14ac:dyDescent="0.3">
      <c r="A38" s="531" t="s">
        <v>29</v>
      </c>
      <c r="B38" s="532"/>
      <c r="C38" s="532"/>
      <c r="D38" s="532"/>
      <c r="E38" s="532"/>
      <c r="F38" s="532"/>
      <c r="G38" s="532"/>
      <c r="H38" s="532"/>
      <c r="I38" s="532"/>
    </row>
    <row r="39" spans="1:9" ht="20.25" x14ac:dyDescent="0.3">
      <c r="A39" s="515" t="s">
        <v>304</v>
      </c>
      <c r="B39" s="515"/>
      <c r="C39" s="515"/>
      <c r="D39" s="515"/>
      <c r="E39" s="515"/>
      <c r="F39" s="515"/>
      <c r="G39" s="515"/>
      <c r="H39" s="515"/>
      <c r="I39" s="515"/>
    </row>
    <row r="40" spans="1:9" ht="20.25" x14ac:dyDescent="0.3">
      <c r="A40" s="515"/>
      <c r="B40" s="515"/>
      <c r="C40" s="515"/>
      <c r="D40" s="515"/>
      <c r="E40" s="515"/>
      <c r="F40" s="515"/>
      <c r="G40" s="515"/>
      <c r="H40" s="515"/>
      <c r="I40" s="515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5:C25"/>
    <mergeCell ref="F25:G25"/>
    <mergeCell ref="H25:I25"/>
    <mergeCell ref="A26:C26"/>
    <mergeCell ref="F26:G26"/>
    <mergeCell ref="H26:I26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39:I39"/>
    <mergeCell ref="A40:I40"/>
    <mergeCell ref="A33:I33"/>
    <mergeCell ref="A34:I34"/>
    <mergeCell ref="A35:I35"/>
    <mergeCell ref="A36:I36"/>
    <mergeCell ref="A37:I37"/>
    <mergeCell ref="A38:I38"/>
  </mergeCells>
  <pageMargins left="0.7" right="0.7" top="0.75" bottom="0.75" header="0.3" footer="0.3"/>
  <pageSetup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7AAB-A81A-4306-AF83-F624855D513A}">
  <dimension ref="A1:M36"/>
  <sheetViews>
    <sheetView workbookViewId="0">
      <selection activeCell="C13" sqref="C13"/>
    </sheetView>
  </sheetViews>
  <sheetFormatPr baseColWidth="10" defaultColWidth="9.28515625" defaultRowHeight="12.75" x14ac:dyDescent="0.2"/>
  <cols>
    <col min="1" max="2" width="16.28515625" style="205" customWidth="1"/>
    <col min="3" max="3" width="40.5703125" style="205" customWidth="1"/>
    <col min="4" max="4" width="18.7109375" style="205" customWidth="1"/>
    <col min="5" max="5" width="9.28515625" style="205"/>
    <col min="6" max="6" width="13.28515625" style="205" customWidth="1"/>
    <col min="7" max="7" width="12.5703125" style="205" customWidth="1"/>
    <col min="8" max="8" width="15.5703125" style="205" customWidth="1"/>
    <col min="9" max="9" width="16" style="205" customWidth="1"/>
    <col min="10" max="16384" width="9.28515625" style="205"/>
  </cols>
  <sheetData>
    <row r="1" spans="1:12" ht="18" x14ac:dyDescent="0.25">
      <c r="A1" s="598"/>
      <c r="B1" s="598"/>
      <c r="C1" s="599" t="s">
        <v>0</v>
      </c>
      <c r="D1" s="600"/>
      <c r="E1" s="600"/>
      <c r="F1" s="600"/>
      <c r="G1" s="600"/>
      <c r="H1" s="203" t="s">
        <v>1</v>
      </c>
      <c r="I1" s="204" t="s">
        <v>138</v>
      </c>
    </row>
    <row r="2" spans="1:12" ht="18.75" thickBot="1" x14ac:dyDescent="0.3">
      <c r="A2" s="598"/>
      <c r="B2" s="598"/>
      <c r="C2" s="601" t="s">
        <v>3</v>
      </c>
      <c r="D2" s="602"/>
      <c r="E2" s="602"/>
      <c r="F2" s="602"/>
      <c r="G2" s="602"/>
      <c r="H2" s="206" t="s">
        <v>4</v>
      </c>
      <c r="I2" s="207" t="s">
        <v>139</v>
      </c>
    </row>
    <row r="3" spans="1:12" ht="15.75" thickBot="1" x14ac:dyDescent="0.25">
      <c r="A3" s="598"/>
      <c r="B3" s="598"/>
      <c r="C3" s="603" t="s">
        <v>140</v>
      </c>
      <c r="D3" s="603"/>
      <c r="E3" s="603"/>
      <c r="F3" s="603"/>
      <c r="G3" s="604"/>
      <c r="H3" s="605" t="s">
        <v>6</v>
      </c>
      <c r="I3" s="594">
        <v>45546</v>
      </c>
    </row>
    <row r="4" spans="1:12" ht="14.25" x14ac:dyDescent="0.2">
      <c r="A4" s="598"/>
      <c r="B4" s="598"/>
      <c r="C4" s="208" t="s">
        <v>7</v>
      </c>
      <c r="D4" s="596" t="s">
        <v>141</v>
      </c>
      <c r="E4" s="596"/>
      <c r="F4" s="596"/>
      <c r="G4" s="596"/>
      <c r="H4" s="606"/>
      <c r="I4" s="594"/>
    </row>
    <row r="5" spans="1:12" ht="15" thickBot="1" x14ac:dyDescent="0.25">
      <c r="A5" s="598"/>
      <c r="B5" s="598"/>
      <c r="C5" s="209" t="s">
        <v>8</v>
      </c>
      <c r="D5" s="597" t="s">
        <v>61</v>
      </c>
      <c r="E5" s="597"/>
      <c r="F5" s="597"/>
      <c r="G5" s="597"/>
      <c r="H5" s="607"/>
      <c r="I5" s="595"/>
    </row>
    <row r="6" spans="1:12" ht="18.75" thickBot="1" x14ac:dyDescent="0.3">
      <c r="A6" s="608" t="s">
        <v>9</v>
      </c>
      <c r="B6" s="559"/>
      <c r="C6" s="559"/>
      <c r="D6" s="488" t="s">
        <v>62</v>
      </c>
      <c r="E6" s="488"/>
      <c r="F6" s="488"/>
      <c r="G6" s="561" t="s">
        <v>10</v>
      </c>
      <c r="H6" s="561"/>
      <c r="I6" s="210" t="s">
        <v>62</v>
      </c>
    </row>
    <row r="7" spans="1:12" ht="25.5" x14ac:dyDescent="0.2">
      <c r="A7" s="609" t="s">
        <v>63</v>
      </c>
      <c r="B7" s="611" t="s">
        <v>142</v>
      </c>
      <c r="C7" s="613" t="s">
        <v>12</v>
      </c>
      <c r="D7" s="613" t="s">
        <v>13</v>
      </c>
      <c r="E7" s="613" t="s">
        <v>64</v>
      </c>
      <c r="F7" s="613"/>
      <c r="G7" s="613" t="s">
        <v>143</v>
      </c>
      <c r="H7" s="613"/>
      <c r="I7" s="211" t="s">
        <v>66</v>
      </c>
    </row>
    <row r="8" spans="1:12" ht="26.25" thickBot="1" x14ac:dyDescent="0.25">
      <c r="A8" s="610"/>
      <c r="B8" s="612"/>
      <c r="C8" s="614"/>
      <c r="D8" s="615"/>
      <c r="E8" s="212" t="s">
        <v>16</v>
      </c>
      <c r="F8" s="213" t="s">
        <v>17</v>
      </c>
      <c r="G8" s="212" t="s">
        <v>16</v>
      </c>
      <c r="H8" s="213" t="s">
        <v>17</v>
      </c>
      <c r="I8" s="214" t="s">
        <v>67</v>
      </c>
    </row>
    <row r="9" spans="1:12" ht="15" x14ac:dyDescent="0.25">
      <c r="A9" s="61" t="s">
        <v>144</v>
      </c>
      <c r="B9" s="61" t="s">
        <v>145</v>
      </c>
      <c r="C9" s="60" t="s">
        <v>146</v>
      </c>
      <c r="D9" s="215" t="s">
        <v>147</v>
      </c>
      <c r="E9" s="216">
        <v>2500</v>
      </c>
      <c r="F9" s="216" t="s">
        <v>19</v>
      </c>
      <c r="G9" s="217"/>
      <c r="H9" s="218"/>
      <c r="I9" s="219"/>
    </row>
    <row r="10" spans="1:12" ht="15" x14ac:dyDescent="0.25">
      <c r="A10" s="61" t="s">
        <v>148</v>
      </c>
      <c r="B10" s="61" t="s">
        <v>149</v>
      </c>
      <c r="C10" s="60" t="s">
        <v>150</v>
      </c>
      <c r="D10" s="215" t="s">
        <v>147</v>
      </c>
      <c r="E10" s="216">
        <v>1500</v>
      </c>
      <c r="F10" s="216" t="s">
        <v>19</v>
      </c>
      <c r="G10" s="220"/>
      <c r="H10" s="221"/>
      <c r="I10" s="222"/>
    </row>
    <row r="11" spans="1:12" ht="15" x14ac:dyDescent="0.25">
      <c r="A11" s="90" t="s">
        <v>151</v>
      </c>
      <c r="B11" s="223" t="s">
        <v>152</v>
      </c>
      <c r="C11" s="224" t="s">
        <v>153</v>
      </c>
      <c r="D11" s="215" t="s">
        <v>18</v>
      </c>
      <c r="E11" s="216">
        <v>1000</v>
      </c>
      <c r="F11" s="216" t="s">
        <v>19</v>
      </c>
      <c r="G11" s="616" t="s">
        <v>154</v>
      </c>
      <c r="H11" s="617"/>
      <c r="I11" s="618"/>
    </row>
    <row r="12" spans="1:12" ht="15" x14ac:dyDescent="0.25">
      <c r="A12" s="225" t="s">
        <v>155</v>
      </c>
      <c r="B12" s="225" t="s">
        <v>156</v>
      </c>
      <c r="C12" s="226" t="s">
        <v>157</v>
      </c>
      <c r="D12" s="215" t="s">
        <v>158</v>
      </c>
      <c r="E12" s="216">
        <v>3000</v>
      </c>
      <c r="F12" s="216" t="s">
        <v>19</v>
      </c>
      <c r="G12" s="227"/>
      <c r="H12" s="66"/>
      <c r="I12" s="228"/>
    </row>
    <row r="13" spans="1:12" ht="15" x14ac:dyDescent="0.25">
      <c r="A13" s="229">
        <v>101000073</v>
      </c>
      <c r="B13" s="229" t="s">
        <v>159</v>
      </c>
      <c r="C13" s="226" t="s">
        <v>160</v>
      </c>
      <c r="D13" s="215"/>
      <c r="E13" s="216">
        <v>1400</v>
      </c>
      <c r="F13" s="216" t="s">
        <v>19</v>
      </c>
      <c r="G13" s="227"/>
      <c r="H13" s="66"/>
      <c r="I13" s="228"/>
    </row>
    <row r="14" spans="1:12" ht="15" x14ac:dyDescent="0.25">
      <c r="A14" s="230" t="s">
        <v>161</v>
      </c>
      <c r="B14" s="230" t="s">
        <v>162</v>
      </c>
      <c r="C14" s="231" t="s">
        <v>163</v>
      </c>
      <c r="D14" s="215"/>
      <c r="E14" s="216">
        <v>10</v>
      </c>
      <c r="F14" s="216" t="s">
        <v>19</v>
      </c>
      <c r="G14" s="227"/>
      <c r="H14" s="66"/>
      <c r="I14" s="228"/>
    </row>
    <row r="15" spans="1:12" ht="15" x14ac:dyDescent="0.25">
      <c r="A15" s="232"/>
      <c r="B15" s="233"/>
      <c r="C15" s="234"/>
      <c r="D15" s="235"/>
      <c r="E15" s="236"/>
      <c r="F15" s="237"/>
      <c r="G15" s="217"/>
      <c r="H15" s="238"/>
      <c r="I15" s="219"/>
    </row>
    <row r="16" spans="1:12" ht="13.5" thickBot="1" x14ac:dyDescent="0.25">
      <c r="A16" s="239"/>
      <c r="B16" s="240"/>
      <c r="E16" s="241"/>
      <c r="F16" s="242"/>
      <c r="I16" s="243"/>
      <c r="L16" s="244"/>
    </row>
    <row r="17" spans="1:13" ht="13.5" thickBot="1" x14ac:dyDescent="0.25">
      <c r="A17" s="245"/>
      <c r="B17" s="246"/>
      <c r="C17" s="247"/>
      <c r="D17" s="248" t="s">
        <v>16</v>
      </c>
      <c r="E17" s="249" t="s">
        <v>20</v>
      </c>
      <c r="F17" s="250"/>
      <c r="G17" s="247"/>
      <c r="H17" s="247"/>
      <c r="I17" s="251"/>
      <c r="L17" s="244"/>
    </row>
    <row r="18" spans="1:13" x14ac:dyDescent="0.2">
      <c r="A18" s="619" t="s">
        <v>22</v>
      </c>
      <c r="B18" s="620"/>
      <c r="C18" s="621"/>
      <c r="D18" s="252">
        <v>9000</v>
      </c>
      <c r="E18" s="253" t="s">
        <v>19</v>
      </c>
      <c r="F18" s="622" t="s">
        <v>164</v>
      </c>
      <c r="G18" s="622"/>
      <c r="L18" s="244"/>
    </row>
    <row r="19" spans="1:13" x14ac:dyDescent="0.2">
      <c r="A19" s="623" t="s">
        <v>23</v>
      </c>
      <c r="B19" s="624"/>
      <c r="C19" s="625"/>
      <c r="D19" s="254">
        <v>15</v>
      </c>
      <c r="E19" s="255" t="s">
        <v>69</v>
      </c>
      <c r="F19" s="626" t="s">
        <v>165</v>
      </c>
      <c r="G19" s="626"/>
      <c r="H19" s="627"/>
      <c r="I19" s="628"/>
      <c r="L19" s="244"/>
      <c r="M19" s="256"/>
    </row>
    <row r="20" spans="1:13" x14ac:dyDescent="0.2">
      <c r="A20" s="623" t="s">
        <v>25</v>
      </c>
      <c r="B20" s="624"/>
      <c r="C20" s="625"/>
      <c r="D20" s="257">
        <f>D18/D21</f>
        <v>1</v>
      </c>
      <c r="E20" s="255" t="s">
        <v>166</v>
      </c>
      <c r="F20" s="626" t="s">
        <v>167</v>
      </c>
      <c r="G20" s="626"/>
      <c r="H20" s="627">
        <f>15/9</f>
        <v>1.6666666666666667</v>
      </c>
      <c r="I20" s="628"/>
      <c r="L20" s="244"/>
    </row>
    <row r="21" spans="1:13" x14ac:dyDescent="0.2">
      <c r="A21" s="623" t="s">
        <v>26</v>
      </c>
      <c r="B21" s="624"/>
      <c r="C21" s="625"/>
      <c r="D21" s="257">
        <v>9000</v>
      </c>
      <c r="E21" s="255" t="s">
        <v>19</v>
      </c>
      <c r="F21" s="626" t="s">
        <v>168</v>
      </c>
      <c r="G21" s="626"/>
      <c r="H21" s="627"/>
      <c r="I21" s="628"/>
    </row>
    <row r="22" spans="1:13" ht="13.5" thickBot="1" x14ac:dyDescent="0.25">
      <c r="A22" s="632" t="s">
        <v>27</v>
      </c>
      <c r="B22" s="633"/>
      <c r="C22" s="634"/>
      <c r="D22" s="258">
        <f>SUM(E9:E15)-D18</f>
        <v>410</v>
      </c>
      <c r="E22" s="259" t="s">
        <v>19</v>
      </c>
      <c r="F22" s="634"/>
      <c r="G22" s="634"/>
      <c r="H22" s="635"/>
      <c r="I22" s="636"/>
    </row>
    <row r="23" spans="1:13" ht="13.5" thickBot="1" x14ac:dyDescent="0.25">
      <c r="A23" s="637" t="s">
        <v>28</v>
      </c>
      <c r="B23" s="638"/>
      <c r="C23" s="638"/>
      <c r="D23" s="638"/>
      <c r="E23" s="638"/>
      <c r="F23" s="638"/>
      <c r="G23" s="638"/>
      <c r="H23" s="638"/>
      <c r="I23" s="639"/>
    </row>
    <row r="24" spans="1:13" ht="15" x14ac:dyDescent="0.25">
      <c r="A24" s="640" t="s">
        <v>169</v>
      </c>
      <c r="B24" s="641"/>
      <c r="C24" s="641"/>
      <c r="D24" s="641"/>
      <c r="E24" s="641"/>
      <c r="F24" s="641"/>
      <c r="G24" s="641"/>
      <c r="H24" s="641"/>
      <c r="I24" s="642"/>
    </row>
    <row r="25" spans="1:13" ht="15.75" hidden="1" x14ac:dyDescent="0.25">
      <c r="A25" s="629" t="s">
        <v>170</v>
      </c>
      <c r="B25" s="630"/>
      <c r="C25" s="630"/>
      <c r="D25" s="630"/>
      <c r="E25" s="630"/>
      <c r="F25" s="630"/>
      <c r="G25" s="630"/>
      <c r="H25" s="630"/>
      <c r="I25" s="631"/>
    </row>
    <row r="26" spans="1:13" ht="15" thickBot="1" x14ac:dyDescent="0.25">
      <c r="A26" s="646" t="s">
        <v>171</v>
      </c>
      <c r="B26" s="647"/>
      <c r="C26" s="647"/>
      <c r="D26" s="647"/>
      <c r="E26" s="647"/>
      <c r="F26" s="647"/>
      <c r="G26" s="647"/>
      <c r="H26" s="647"/>
      <c r="I26" s="648"/>
    </row>
    <row r="27" spans="1:13" ht="15" hidden="1" thickBot="1" x14ac:dyDescent="0.25">
      <c r="A27" s="646"/>
      <c r="B27" s="647"/>
      <c r="C27" s="647"/>
      <c r="D27" s="647"/>
      <c r="E27" s="647"/>
      <c r="F27" s="647"/>
      <c r="G27" s="647"/>
      <c r="H27" s="647"/>
      <c r="I27" s="648"/>
    </row>
    <row r="28" spans="1:13" ht="13.5" thickBot="1" x14ac:dyDescent="0.25">
      <c r="A28" s="637" t="s">
        <v>29</v>
      </c>
      <c r="B28" s="638"/>
      <c r="C28" s="638"/>
      <c r="D28" s="638"/>
      <c r="E28" s="638"/>
      <c r="F28" s="638"/>
      <c r="G28" s="638"/>
      <c r="H28" s="638"/>
      <c r="I28" s="639"/>
    </row>
    <row r="29" spans="1:13" ht="15" thickBot="1" x14ac:dyDescent="0.25">
      <c r="A29" s="649"/>
      <c r="B29" s="650"/>
      <c r="C29" s="650"/>
      <c r="D29" s="650"/>
      <c r="E29" s="650"/>
      <c r="F29" s="650"/>
      <c r="G29" s="650"/>
      <c r="H29" s="650"/>
      <c r="I29" s="651"/>
    </row>
    <row r="30" spans="1:13" ht="15" thickBot="1" x14ac:dyDescent="0.25">
      <c r="A30" s="643" t="s">
        <v>172</v>
      </c>
      <c r="B30" s="644"/>
      <c r="C30" s="644"/>
      <c r="D30" s="644"/>
      <c r="E30" s="644"/>
      <c r="F30" s="644"/>
      <c r="G30" s="644"/>
      <c r="H30" s="644"/>
      <c r="I30" s="645"/>
    </row>
    <row r="31" spans="1:13" ht="15" thickBot="1" x14ac:dyDescent="0.25">
      <c r="A31" s="643" t="s">
        <v>173</v>
      </c>
      <c r="B31" s="644"/>
      <c r="C31" s="644"/>
      <c r="D31" s="644"/>
      <c r="E31" s="644"/>
      <c r="F31" s="644"/>
      <c r="G31" s="644"/>
      <c r="H31" s="644"/>
      <c r="I31" s="645"/>
    </row>
    <row r="32" spans="1:13" ht="15" thickBot="1" x14ac:dyDescent="0.25">
      <c r="A32" s="643" t="s">
        <v>174</v>
      </c>
      <c r="B32" s="644"/>
      <c r="C32" s="644"/>
      <c r="D32" s="644"/>
      <c r="E32" s="644"/>
      <c r="F32" s="644"/>
      <c r="G32" s="644"/>
      <c r="H32" s="644"/>
      <c r="I32" s="645"/>
    </row>
    <row r="33" spans="1:1" x14ac:dyDescent="0.2">
      <c r="A33" s="205" t="s">
        <v>175</v>
      </c>
    </row>
    <row r="34" spans="1:1" x14ac:dyDescent="0.2">
      <c r="A34" s="205" t="s">
        <v>176</v>
      </c>
    </row>
    <row r="35" spans="1:1" x14ac:dyDescent="0.2">
      <c r="A35" s="205" t="s">
        <v>177</v>
      </c>
    </row>
    <row r="36" spans="1:1" x14ac:dyDescent="0.2">
      <c r="A36" s="205" t="s">
        <v>178</v>
      </c>
    </row>
  </sheetData>
  <mergeCells count="42">
    <mergeCell ref="A32:I32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G11:I11"/>
    <mergeCell ref="A18:C18"/>
    <mergeCell ref="F18:G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DA10-0DC5-40C4-84B6-EFC7E2A04669}">
  <dimension ref="A1:I53"/>
  <sheetViews>
    <sheetView workbookViewId="0">
      <selection activeCell="C12" sqref="C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179</v>
      </c>
    </row>
    <row r="2" spans="1:9" ht="18" customHeight="1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5</v>
      </c>
    </row>
    <row r="3" spans="1:9" ht="31.5" customHeight="1" thickBot="1" x14ac:dyDescent="0.3">
      <c r="A3" s="580"/>
      <c r="B3" s="581"/>
      <c r="C3" s="652" t="s">
        <v>180</v>
      </c>
      <c r="D3" s="653"/>
      <c r="E3" s="653"/>
      <c r="F3" s="653"/>
      <c r="G3" s="654"/>
      <c r="H3" s="591" t="s">
        <v>6</v>
      </c>
      <c r="I3" s="569">
        <v>45611</v>
      </c>
    </row>
    <row r="4" spans="1:9" ht="18" customHeight="1" x14ac:dyDescent="0.25">
      <c r="A4" s="580"/>
      <c r="B4" s="581"/>
      <c r="C4" s="76" t="s">
        <v>7</v>
      </c>
      <c r="D4" s="572" t="s">
        <v>141</v>
      </c>
      <c r="E4" s="573"/>
      <c r="F4" s="573"/>
      <c r="G4" s="574"/>
      <c r="H4" s="592"/>
      <c r="I4" s="570"/>
    </row>
    <row r="5" spans="1:9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9" ht="18.75" thickBot="1" x14ac:dyDescent="0.3">
      <c r="A6" s="559" t="s">
        <v>9</v>
      </c>
      <c r="B6" s="559"/>
      <c r="C6" s="559"/>
      <c r="D6" s="488" t="s">
        <v>181</v>
      </c>
      <c r="E6" s="488"/>
      <c r="F6" s="488"/>
      <c r="G6" s="561" t="s">
        <v>10</v>
      </c>
      <c r="H6" s="561"/>
      <c r="I6" s="3" t="s">
        <v>181</v>
      </c>
    </row>
    <row r="7" spans="1:9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9" ht="27" thickBot="1" x14ac:dyDescent="0.3">
      <c r="A8" s="656"/>
      <c r="B8" s="657"/>
      <c r="C8" s="494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9" x14ac:dyDescent="0.25">
      <c r="A9" s="260"/>
      <c r="B9" s="261"/>
      <c r="C9" s="262" t="s">
        <v>182</v>
      </c>
      <c r="D9" s="82"/>
      <c r="E9" s="83"/>
      <c r="F9" s="4"/>
      <c r="G9" s="83"/>
      <c r="H9" s="4"/>
      <c r="I9" s="84"/>
    </row>
    <row r="10" spans="1:9" ht="18" customHeight="1" x14ac:dyDescent="0.25">
      <c r="A10" s="263" t="s">
        <v>183</v>
      </c>
      <c r="B10" s="264" t="s">
        <v>184</v>
      </c>
      <c r="C10" s="265" t="s">
        <v>185</v>
      </c>
      <c r="D10" s="238" t="s">
        <v>18</v>
      </c>
      <c r="E10" s="266">
        <v>1001</v>
      </c>
      <c r="F10" s="266" t="s">
        <v>19</v>
      </c>
      <c r="G10" s="100"/>
      <c r="H10" s="266"/>
      <c r="I10" s="84"/>
    </row>
    <row r="11" spans="1:9" x14ac:dyDescent="0.25">
      <c r="A11" s="267" t="s">
        <v>186</v>
      </c>
      <c r="B11" s="267" t="s">
        <v>187</v>
      </c>
      <c r="C11" s="268" t="s">
        <v>188</v>
      </c>
      <c r="D11" s="66" t="s">
        <v>18</v>
      </c>
      <c r="E11" s="66">
        <v>20</v>
      </c>
      <c r="F11" s="269" t="s">
        <v>19</v>
      </c>
      <c r="G11" s="270"/>
      <c r="H11" s="271"/>
      <c r="I11" s="84"/>
    </row>
    <row r="12" spans="1:9" x14ac:dyDescent="0.25">
      <c r="A12" s="264"/>
      <c r="B12" s="264"/>
      <c r="C12" s="272"/>
      <c r="D12" s="273"/>
      <c r="E12" s="88"/>
      <c r="F12" s="88"/>
      <c r="G12" s="270"/>
      <c r="H12" s="271"/>
      <c r="I12" s="84"/>
    </row>
    <row r="13" spans="1:9" x14ac:dyDescent="0.25">
      <c r="A13" s="264"/>
      <c r="B13" s="264"/>
      <c r="D13" s="273"/>
      <c r="E13" s="273"/>
      <c r="F13" s="274"/>
      <c r="G13" s="270"/>
      <c r="H13" s="275"/>
      <c r="I13" s="84"/>
    </row>
    <row r="14" spans="1:9" x14ac:dyDescent="0.25">
      <c r="A14" s="276"/>
      <c r="B14" s="264"/>
      <c r="C14" s="277"/>
      <c r="D14" s="66"/>
      <c r="E14" s="66"/>
      <c r="F14" s="269"/>
      <c r="G14" s="270"/>
      <c r="H14" s="275"/>
      <c r="I14" s="84"/>
    </row>
    <row r="15" spans="1:9" x14ac:dyDescent="0.25">
      <c r="A15" s="278"/>
      <c r="B15" s="264"/>
      <c r="C15" s="272"/>
      <c r="D15" s="66"/>
      <c r="E15" s="66"/>
      <c r="F15" s="269"/>
      <c r="G15" s="270"/>
      <c r="H15" s="275"/>
      <c r="I15" s="84"/>
    </row>
    <row r="16" spans="1:9" x14ac:dyDescent="0.25">
      <c r="A16" s="85"/>
      <c r="B16" s="61"/>
      <c r="C16" s="60"/>
      <c r="D16" s="279"/>
      <c r="E16" s="279"/>
      <c r="F16" s="279"/>
      <c r="G16" s="270"/>
      <c r="H16" s="275"/>
      <c r="I16" s="84"/>
    </row>
    <row r="17" spans="1:9" x14ac:dyDescent="0.25">
      <c r="A17" s="61"/>
      <c r="B17" s="61"/>
      <c r="C17" s="5"/>
      <c r="D17" s="280"/>
      <c r="E17" s="280"/>
      <c r="F17" s="71"/>
      <c r="G17" s="83"/>
      <c r="H17" s="4"/>
      <c r="I17" s="84"/>
    </row>
    <row r="18" spans="1:9" ht="15.75" x14ac:dyDescent="0.25">
      <c r="A18" s="90"/>
      <c r="B18" s="281"/>
      <c r="C18" s="282" t="s">
        <v>189</v>
      </c>
      <c r="D18" s="89"/>
      <c r="E18" s="283"/>
      <c r="F18" s="71"/>
      <c r="G18" s="83"/>
      <c r="H18" s="4"/>
      <c r="I18" s="84"/>
    </row>
    <row r="19" spans="1:9" x14ac:dyDescent="0.25">
      <c r="A19" s="284"/>
      <c r="B19" s="279"/>
      <c r="C19" s="285"/>
      <c r="D19" s="286"/>
      <c r="E19" s="280"/>
      <c r="F19" s="71"/>
      <c r="G19" s="83"/>
      <c r="H19" s="4"/>
      <c r="I19" s="84"/>
    </row>
    <row r="20" spans="1:9" x14ac:dyDescent="0.25">
      <c r="A20" s="61"/>
      <c r="B20" s="61"/>
      <c r="C20" s="5"/>
      <c r="D20" s="286"/>
      <c r="E20" s="280"/>
      <c r="F20" s="71"/>
      <c r="G20" s="83"/>
      <c r="H20" s="4"/>
      <c r="I20" s="84"/>
    </row>
    <row r="21" spans="1:9" x14ac:dyDescent="0.25">
      <c r="A21" s="287"/>
      <c r="B21" s="287"/>
      <c r="C21" s="285"/>
      <c r="D21" s="286"/>
      <c r="E21" s="280"/>
      <c r="F21" s="71"/>
      <c r="G21" s="83"/>
      <c r="H21" s="4"/>
      <c r="I21" s="84"/>
    </row>
    <row r="22" spans="1:9" x14ac:dyDescent="0.25">
      <c r="A22" s="61"/>
      <c r="B22" s="61"/>
      <c r="C22" s="5"/>
      <c r="D22" s="280"/>
      <c r="E22" s="89"/>
      <c r="F22" s="71"/>
      <c r="G22" s="83"/>
      <c r="H22" s="4"/>
      <c r="I22" s="84"/>
    </row>
    <row r="23" spans="1:9" x14ac:dyDescent="0.25">
      <c r="A23" s="61"/>
      <c r="B23" s="61"/>
      <c r="C23" s="5"/>
      <c r="D23" s="65"/>
      <c r="E23" s="288"/>
      <c r="F23" s="289"/>
      <c r="G23" s="83"/>
      <c r="H23" s="4"/>
      <c r="I23" s="84"/>
    </row>
    <row r="24" spans="1:9" ht="15.75" x14ac:dyDescent="0.25">
      <c r="A24" s="290"/>
      <c r="B24" s="291"/>
      <c r="C24" s="292" t="s">
        <v>190</v>
      </c>
      <c r="D24" s="293"/>
      <c r="E24" s="294"/>
      <c r="F24" s="4"/>
      <c r="G24" s="83"/>
      <c r="I24" s="84"/>
    </row>
    <row r="25" spans="1:9" x14ac:dyDescent="0.25">
      <c r="A25" s="267"/>
      <c r="B25" s="267"/>
      <c r="C25" s="268"/>
      <c r="D25" s="66"/>
      <c r="E25" s="66"/>
      <c r="F25" s="269"/>
      <c r="G25" s="295"/>
      <c r="H25" s="4"/>
      <c r="I25" s="84"/>
    </row>
    <row r="26" spans="1:9" x14ac:dyDescent="0.25">
      <c r="A26" s="278"/>
      <c r="B26" s="264"/>
      <c r="C26" s="272"/>
      <c r="D26" s="66"/>
      <c r="E26" s="66"/>
      <c r="F26" s="269"/>
      <c r="G26" s="295"/>
      <c r="H26" s="4"/>
      <c r="I26" s="84"/>
    </row>
    <row r="27" spans="1:9" x14ac:dyDescent="0.25">
      <c r="A27" s="296"/>
      <c r="B27" s="296"/>
      <c r="C27" s="297"/>
      <c r="D27" s="66"/>
      <c r="E27" s="298"/>
      <c r="F27" s="266"/>
      <c r="G27" s="295"/>
      <c r="H27" s="4"/>
      <c r="I27" s="84"/>
    </row>
    <row r="28" spans="1:9" x14ac:dyDescent="0.25">
      <c r="A28" s="296"/>
      <c r="B28" s="264"/>
      <c r="C28" s="297"/>
      <c r="D28" s="66"/>
      <c r="E28" s="299"/>
      <c r="F28" s="266"/>
      <c r="G28" s="83"/>
      <c r="H28" s="4"/>
      <c r="I28" s="84"/>
    </row>
    <row r="29" spans="1:9" x14ac:dyDescent="0.25">
      <c r="A29" s="300"/>
      <c r="B29" s="301"/>
      <c r="C29" s="302"/>
      <c r="D29" s="66"/>
      <c r="E29" s="303"/>
      <c r="F29" s="304"/>
      <c r="G29" s="83"/>
      <c r="H29" s="4"/>
      <c r="I29" s="84"/>
    </row>
    <row r="30" spans="1:9" x14ac:dyDescent="0.25">
      <c r="A30" s="305"/>
      <c r="B30" s="223"/>
      <c r="C30" s="224"/>
      <c r="D30" s="66"/>
      <c r="E30" s="280"/>
      <c r="F30" s="71"/>
      <c r="G30" s="306"/>
      <c r="H30" s="89"/>
      <c r="I30" s="84"/>
    </row>
    <row r="31" spans="1:9" x14ac:dyDescent="0.25">
      <c r="A31" s="90"/>
      <c r="B31" s="281"/>
      <c r="C31" s="64"/>
      <c r="D31" s="66"/>
      <c r="E31" s="280"/>
      <c r="F31" s="71"/>
      <c r="G31" s="280"/>
      <c r="H31" s="89"/>
      <c r="I31" s="84"/>
    </row>
    <row r="32" spans="1:9" ht="15.75" x14ac:dyDescent="0.25">
      <c r="A32" s="90"/>
      <c r="B32" s="281"/>
      <c r="C32" s="64"/>
      <c r="D32" s="66"/>
      <c r="E32" s="280"/>
      <c r="F32" s="71"/>
      <c r="G32" s="307"/>
      <c r="H32" s="71"/>
      <c r="I32" s="84"/>
    </row>
    <row r="33" spans="1:9" ht="15.75" x14ac:dyDescent="0.25">
      <c r="A33" s="90"/>
      <c r="B33" s="281"/>
      <c r="C33" s="64"/>
      <c r="D33" s="89"/>
      <c r="E33" s="89"/>
      <c r="F33" s="71"/>
      <c r="G33" s="308"/>
      <c r="H33" s="308"/>
      <c r="I33" s="84"/>
    </row>
    <row r="34" spans="1:9" ht="15.75" thickBot="1" x14ac:dyDescent="0.3">
      <c r="A34" s="92"/>
      <c r="B34" s="6"/>
      <c r="C34" s="7"/>
      <c r="D34" s="7"/>
      <c r="E34" s="8"/>
      <c r="F34" s="9"/>
      <c r="G34" s="7"/>
      <c r="H34" s="7"/>
      <c r="I34" s="10"/>
    </row>
    <row r="35" spans="1:9" ht="15.75" thickBot="1" x14ac:dyDescent="0.3">
      <c r="A35" s="93"/>
      <c r="B35" s="94"/>
      <c r="C35" s="95"/>
      <c r="D35" s="96" t="s">
        <v>16</v>
      </c>
      <c r="E35" s="97" t="s">
        <v>20</v>
      </c>
      <c r="F35" s="98"/>
      <c r="G35" s="95"/>
      <c r="H35" s="95"/>
      <c r="I35" s="99"/>
    </row>
    <row r="36" spans="1:9" x14ac:dyDescent="0.25">
      <c r="A36" s="658" t="s">
        <v>22</v>
      </c>
      <c r="B36" s="659"/>
      <c r="C36" s="660"/>
      <c r="D36" s="100">
        <v>1001</v>
      </c>
      <c r="E36" s="101" t="s">
        <v>19</v>
      </c>
      <c r="F36" s="661" t="s">
        <v>68</v>
      </c>
      <c r="G36" s="661"/>
      <c r="H36" s="662"/>
      <c r="I36" s="663"/>
    </row>
    <row r="37" spans="1:9" x14ac:dyDescent="0.25">
      <c r="A37" s="664" t="s">
        <v>23</v>
      </c>
      <c r="B37" s="665"/>
      <c r="C37" s="666"/>
      <c r="D37" s="309">
        <v>2</v>
      </c>
      <c r="E37" s="88" t="s">
        <v>69</v>
      </c>
      <c r="F37" s="667" t="s">
        <v>70</v>
      </c>
      <c r="G37" s="667"/>
      <c r="H37" s="668"/>
      <c r="I37" s="669"/>
    </row>
    <row r="38" spans="1:9" x14ac:dyDescent="0.25">
      <c r="A38" s="664" t="s">
        <v>25</v>
      </c>
      <c r="B38" s="665"/>
      <c r="C38" s="666"/>
      <c r="D38" s="88">
        <v>7</v>
      </c>
      <c r="E38" s="88" t="s">
        <v>191</v>
      </c>
      <c r="F38" s="667" t="s">
        <v>71</v>
      </c>
      <c r="G38" s="667"/>
      <c r="H38" s="668"/>
      <c r="I38" s="669"/>
    </row>
    <row r="39" spans="1:9" x14ac:dyDescent="0.25">
      <c r="A39" s="664" t="s">
        <v>26</v>
      </c>
      <c r="B39" s="665"/>
      <c r="C39" s="666"/>
      <c r="D39" s="91">
        <v>143</v>
      </c>
      <c r="E39" s="88" t="s">
        <v>19</v>
      </c>
      <c r="F39" s="673" t="s">
        <v>72</v>
      </c>
      <c r="G39" s="674"/>
      <c r="H39" s="668"/>
      <c r="I39" s="669"/>
    </row>
    <row r="40" spans="1:9" ht="15.75" thickBot="1" x14ac:dyDescent="0.3">
      <c r="A40" s="675" t="s">
        <v>27</v>
      </c>
      <c r="B40" s="676"/>
      <c r="C40" s="677"/>
      <c r="D40" s="102">
        <v>0</v>
      </c>
      <c r="E40" s="103" t="s">
        <v>19</v>
      </c>
      <c r="F40" s="678"/>
      <c r="G40" s="678"/>
      <c r="H40" s="679"/>
      <c r="I40" s="680"/>
    </row>
    <row r="41" spans="1:9" ht="15.75" thickBot="1" x14ac:dyDescent="0.3">
      <c r="A41" s="681" t="s">
        <v>28</v>
      </c>
      <c r="B41" s="682"/>
      <c r="C41" s="682"/>
      <c r="D41" s="682"/>
      <c r="E41" s="682"/>
      <c r="F41" s="682"/>
      <c r="G41" s="682"/>
      <c r="H41" s="682"/>
      <c r="I41" s="683"/>
    </row>
    <row r="42" spans="1:9" ht="18.600000000000001" customHeight="1" x14ac:dyDescent="0.25">
      <c r="A42" s="684" t="s">
        <v>192</v>
      </c>
      <c r="B42" s="685"/>
      <c r="C42" s="685"/>
      <c r="D42" s="685"/>
      <c r="E42" s="685"/>
      <c r="F42" s="685"/>
      <c r="G42" s="685"/>
      <c r="H42" s="685"/>
      <c r="I42" s="686"/>
    </row>
    <row r="43" spans="1:9" ht="14.45" customHeight="1" x14ac:dyDescent="0.25">
      <c r="A43" s="670" t="s">
        <v>193</v>
      </c>
      <c r="B43" s="671"/>
      <c r="C43" s="671"/>
      <c r="D43" s="671"/>
      <c r="E43" s="671"/>
      <c r="F43" s="671"/>
      <c r="G43" s="671"/>
      <c r="H43" s="671"/>
      <c r="I43" s="672"/>
    </row>
    <row r="44" spans="1:9" ht="14.45" customHeight="1" x14ac:dyDescent="0.25">
      <c r="A44" s="670" t="s">
        <v>194</v>
      </c>
      <c r="B44" s="671"/>
      <c r="C44" s="671"/>
      <c r="D44" s="671"/>
      <c r="E44" s="671"/>
      <c r="F44" s="671"/>
      <c r="G44" s="671"/>
      <c r="H44" s="671"/>
      <c r="I44" s="672"/>
    </row>
    <row r="45" spans="1:9" ht="14.45" customHeight="1" x14ac:dyDescent="0.25">
      <c r="A45" s="629" t="s">
        <v>195</v>
      </c>
      <c r="B45" s="630"/>
      <c r="C45" s="630"/>
      <c r="D45" s="630"/>
      <c r="E45" s="630"/>
      <c r="F45" s="630"/>
      <c r="G45" s="630"/>
      <c r="H45" s="630"/>
      <c r="I45" s="631"/>
    </row>
    <row r="46" spans="1:9" ht="14.45" customHeight="1" x14ac:dyDescent="0.25">
      <c r="A46" s="694"/>
      <c r="B46" s="695"/>
      <c r="C46" s="695"/>
      <c r="D46" s="695"/>
      <c r="E46" s="695"/>
      <c r="F46" s="695"/>
      <c r="G46" s="695"/>
      <c r="H46" s="695"/>
      <c r="I46" s="696"/>
    </row>
    <row r="47" spans="1:9" x14ac:dyDescent="0.25">
      <c r="A47" s="697"/>
      <c r="B47" s="698"/>
      <c r="C47" s="698"/>
      <c r="D47" s="698"/>
      <c r="E47" s="698"/>
      <c r="F47" s="698"/>
      <c r="G47" s="698"/>
      <c r="H47" s="698"/>
      <c r="I47" s="699"/>
    </row>
    <row r="48" spans="1:9" ht="18" customHeight="1" x14ac:dyDescent="0.25">
      <c r="A48" s="694"/>
      <c r="B48" s="695"/>
      <c r="C48" s="695"/>
      <c r="D48" s="695"/>
      <c r="E48" s="695"/>
      <c r="F48" s="695"/>
      <c r="G48" s="695"/>
      <c r="H48" s="695"/>
      <c r="I48" s="696"/>
    </row>
    <row r="49" spans="1:9" x14ac:dyDescent="0.25">
      <c r="A49" s="700"/>
      <c r="B49" s="701"/>
      <c r="C49" s="701"/>
      <c r="D49" s="701"/>
      <c r="E49" s="701"/>
      <c r="F49" s="701"/>
      <c r="G49" s="701"/>
      <c r="H49" s="701"/>
      <c r="I49" s="702"/>
    </row>
    <row r="50" spans="1:9" ht="15.75" thickBot="1" x14ac:dyDescent="0.3">
      <c r="A50" s="687"/>
      <c r="B50" s="688"/>
      <c r="C50" s="688"/>
      <c r="D50" s="688"/>
      <c r="E50" s="688"/>
      <c r="F50" s="688"/>
      <c r="G50" s="688"/>
      <c r="H50" s="688"/>
      <c r="I50" s="689"/>
    </row>
    <row r="51" spans="1:9" x14ac:dyDescent="0.25">
      <c r="A51" s="690" t="s">
        <v>29</v>
      </c>
      <c r="B51" s="691"/>
      <c r="C51" s="691"/>
      <c r="D51" s="691"/>
      <c r="E51" s="691"/>
      <c r="F51" s="691"/>
      <c r="G51" s="691"/>
      <c r="H51" s="691"/>
      <c r="I51" s="691"/>
    </row>
    <row r="52" spans="1:9" x14ac:dyDescent="0.25">
      <c r="A52" s="692"/>
      <c r="B52" s="693"/>
      <c r="C52" s="693"/>
      <c r="D52" s="693"/>
      <c r="E52" s="693"/>
      <c r="F52" s="693"/>
      <c r="G52" s="693"/>
      <c r="H52" s="693"/>
      <c r="I52" s="693"/>
    </row>
    <row r="53" spans="1:9" x14ac:dyDescent="0.25">
      <c r="A53" s="692"/>
      <c r="B53" s="693"/>
      <c r="C53" s="693"/>
      <c r="D53" s="693"/>
      <c r="E53" s="693"/>
      <c r="F53" s="693"/>
      <c r="G53" s="693"/>
      <c r="H53" s="693"/>
      <c r="I53" s="693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FA0C-44AB-4D09-A18D-B50F1E1A52F6}">
  <dimension ref="A1:I51"/>
  <sheetViews>
    <sheetView topLeftCell="A3" workbookViewId="0">
      <selection activeCell="C13" sqref="C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196</v>
      </c>
    </row>
    <row r="2" spans="1:9" ht="18" customHeight="1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5</v>
      </c>
    </row>
    <row r="3" spans="1:9" ht="31.5" customHeight="1" thickBot="1" x14ac:dyDescent="0.3">
      <c r="A3" s="580"/>
      <c r="B3" s="581"/>
      <c r="C3" s="652" t="s">
        <v>197</v>
      </c>
      <c r="D3" s="653"/>
      <c r="E3" s="653"/>
      <c r="F3" s="653"/>
      <c r="G3" s="654"/>
      <c r="H3" s="591" t="s">
        <v>6</v>
      </c>
      <c r="I3" s="569">
        <v>45611</v>
      </c>
    </row>
    <row r="4" spans="1:9" ht="18" customHeight="1" x14ac:dyDescent="0.25">
      <c r="A4" s="580"/>
      <c r="B4" s="581"/>
      <c r="C4" s="76" t="s">
        <v>7</v>
      </c>
      <c r="D4" s="572" t="s">
        <v>141</v>
      </c>
      <c r="E4" s="573"/>
      <c r="F4" s="573"/>
      <c r="G4" s="574"/>
      <c r="H4" s="592"/>
      <c r="I4" s="570"/>
    </row>
    <row r="5" spans="1:9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9" ht="18.75" thickBot="1" x14ac:dyDescent="0.3">
      <c r="A6" s="559" t="s">
        <v>9</v>
      </c>
      <c r="B6" s="559"/>
      <c r="C6" s="559"/>
      <c r="D6" s="488" t="s">
        <v>181</v>
      </c>
      <c r="E6" s="488"/>
      <c r="F6" s="488"/>
      <c r="G6" s="561" t="s">
        <v>10</v>
      </c>
      <c r="H6" s="561"/>
      <c r="I6" s="3" t="s">
        <v>181</v>
      </c>
    </row>
    <row r="7" spans="1:9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9" ht="27" thickBot="1" x14ac:dyDescent="0.3">
      <c r="A8" s="656"/>
      <c r="B8" s="657"/>
      <c r="C8" s="494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9" x14ac:dyDescent="0.25">
      <c r="A9" s="260"/>
      <c r="B9" s="261"/>
      <c r="C9" s="262" t="s">
        <v>182</v>
      </c>
      <c r="D9" s="82"/>
      <c r="E9" s="83"/>
      <c r="F9" s="4"/>
      <c r="G9" s="83"/>
      <c r="H9" s="4"/>
      <c r="I9" s="84"/>
    </row>
    <row r="10" spans="1:9" ht="18" customHeight="1" x14ac:dyDescent="0.25">
      <c r="A10" s="264">
        <v>901000014</v>
      </c>
      <c r="B10" s="310" t="s">
        <v>198</v>
      </c>
      <c r="C10" t="s">
        <v>199</v>
      </c>
      <c r="D10" s="311" t="s">
        <v>200</v>
      </c>
      <c r="E10" s="312">
        <v>23524</v>
      </c>
      <c r="F10" s="67" t="s">
        <v>19</v>
      </c>
      <c r="G10" s="100"/>
      <c r="H10" s="266"/>
      <c r="I10" s="84"/>
    </row>
    <row r="11" spans="1:9" x14ac:dyDescent="0.25">
      <c r="A11" s="267"/>
      <c r="B11" s="267"/>
      <c r="C11" s="268"/>
      <c r="D11" s="273"/>
      <c r="E11" s="88"/>
      <c r="F11" s="88"/>
      <c r="G11" s="270"/>
      <c r="H11" s="271"/>
      <c r="I11" s="84"/>
    </row>
    <row r="12" spans="1:9" x14ac:dyDescent="0.25">
      <c r="A12" s="264"/>
      <c r="B12" s="264"/>
      <c r="C12" s="272"/>
      <c r="D12" s="273"/>
      <c r="E12" s="88"/>
      <c r="F12" s="88"/>
      <c r="G12" s="270"/>
      <c r="H12" s="271"/>
      <c r="I12" s="84"/>
    </row>
    <row r="13" spans="1:9" x14ac:dyDescent="0.25">
      <c r="A13" s="264"/>
      <c r="B13" s="264"/>
      <c r="D13" s="273"/>
      <c r="E13" s="273"/>
      <c r="F13" s="274"/>
      <c r="G13" s="270"/>
      <c r="H13" s="275"/>
      <c r="I13" s="84"/>
    </row>
    <row r="14" spans="1:9" x14ac:dyDescent="0.25">
      <c r="A14" s="276"/>
      <c r="B14" s="264"/>
      <c r="C14" s="277"/>
      <c r="D14" s="66"/>
      <c r="E14" s="66"/>
      <c r="F14" s="269"/>
      <c r="G14" s="270"/>
      <c r="H14" s="275"/>
      <c r="I14" s="84"/>
    </row>
    <row r="15" spans="1:9" x14ac:dyDescent="0.25">
      <c r="A15" s="61"/>
      <c r="B15" s="61"/>
      <c r="C15" s="5"/>
      <c r="D15" s="280"/>
      <c r="E15" s="280"/>
      <c r="F15" s="71"/>
      <c r="G15" s="83"/>
      <c r="H15" s="4"/>
      <c r="I15" s="84"/>
    </row>
    <row r="16" spans="1:9" ht="15.75" x14ac:dyDescent="0.25">
      <c r="A16" s="90"/>
      <c r="B16" s="281"/>
      <c r="C16" s="282" t="s">
        <v>189</v>
      </c>
      <c r="D16" s="89"/>
      <c r="E16" s="283"/>
      <c r="F16" s="71"/>
      <c r="G16" s="83"/>
      <c r="H16" s="4"/>
      <c r="I16" s="84"/>
    </row>
    <row r="17" spans="1:9" x14ac:dyDescent="0.25">
      <c r="A17" s="284"/>
      <c r="B17" s="279"/>
      <c r="C17" s="285"/>
      <c r="D17" s="286"/>
      <c r="E17" s="280"/>
      <c r="F17" s="71"/>
      <c r="G17" s="83"/>
      <c r="H17" s="4"/>
      <c r="I17" s="84"/>
    </row>
    <row r="18" spans="1:9" x14ac:dyDescent="0.25">
      <c r="A18" s="61"/>
      <c r="B18" s="61"/>
      <c r="C18" s="5"/>
      <c r="D18" s="286"/>
      <c r="E18" s="280"/>
      <c r="F18" s="71"/>
      <c r="G18" s="83"/>
      <c r="H18" s="4"/>
      <c r="I18" s="84"/>
    </row>
    <row r="19" spans="1:9" x14ac:dyDescent="0.25">
      <c r="A19" s="287"/>
      <c r="B19" s="287"/>
      <c r="C19" s="285"/>
      <c r="D19" s="286"/>
      <c r="E19" s="280"/>
      <c r="F19" s="71"/>
      <c r="G19" s="83"/>
      <c r="H19" s="4"/>
      <c r="I19" s="84"/>
    </row>
    <row r="20" spans="1:9" x14ac:dyDescent="0.25">
      <c r="A20" s="61"/>
      <c r="B20" s="61"/>
      <c r="C20" s="5"/>
      <c r="D20" s="280"/>
      <c r="E20" s="89"/>
      <c r="F20" s="71"/>
      <c r="G20" s="83"/>
      <c r="H20" s="4"/>
      <c r="I20" s="84"/>
    </row>
    <row r="21" spans="1:9" x14ac:dyDescent="0.25">
      <c r="A21" s="61"/>
      <c r="B21" s="61"/>
      <c r="C21" s="5"/>
      <c r="D21" s="65"/>
      <c r="E21" s="288"/>
      <c r="F21" s="289"/>
      <c r="G21" s="83"/>
      <c r="H21" s="4"/>
      <c r="I21" s="84"/>
    </row>
    <row r="22" spans="1:9" ht="15.75" x14ac:dyDescent="0.25">
      <c r="A22" s="290"/>
      <c r="B22" s="291"/>
      <c r="C22" s="292" t="s">
        <v>190</v>
      </c>
      <c r="D22" s="293"/>
      <c r="E22" s="294"/>
      <c r="F22" s="4"/>
      <c r="G22" s="83"/>
      <c r="I22" s="84"/>
    </row>
    <row r="23" spans="1:9" x14ac:dyDescent="0.25">
      <c r="A23" s="267"/>
      <c r="B23" s="267"/>
      <c r="C23" s="268"/>
      <c r="D23" s="66"/>
      <c r="E23" s="66"/>
      <c r="F23" s="269"/>
      <c r="G23" s="295"/>
      <c r="H23" s="4"/>
      <c r="I23" s="84"/>
    </row>
    <row r="24" spans="1:9" x14ac:dyDescent="0.25">
      <c r="A24" s="278"/>
      <c r="B24" s="264"/>
      <c r="C24" s="272"/>
      <c r="D24" s="66"/>
      <c r="E24" s="66"/>
      <c r="F24" s="269"/>
      <c r="G24" s="295"/>
      <c r="H24" s="4"/>
      <c r="I24" s="84"/>
    </row>
    <row r="25" spans="1:9" x14ac:dyDescent="0.25">
      <c r="A25" s="296"/>
      <c r="B25" s="296"/>
      <c r="C25" s="297"/>
      <c r="D25" s="66"/>
      <c r="E25" s="298"/>
      <c r="F25" s="266"/>
      <c r="G25" s="295"/>
      <c r="H25" s="4"/>
      <c r="I25" s="84"/>
    </row>
    <row r="26" spans="1:9" x14ac:dyDescent="0.25">
      <c r="A26" s="296"/>
      <c r="B26" s="264"/>
      <c r="C26" s="297"/>
      <c r="D26" s="66"/>
      <c r="E26" s="299"/>
      <c r="F26" s="266"/>
      <c r="G26" s="83"/>
      <c r="H26" s="4"/>
      <c r="I26" s="84"/>
    </row>
    <row r="27" spans="1:9" x14ac:dyDescent="0.25">
      <c r="A27" s="300"/>
      <c r="B27" s="301"/>
      <c r="C27" s="302"/>
      <c r="D27" s="66"/>
      <c r="E27" s="303"/>
      <c r="F27" s="304"/>
      <c r="G27" s="83"/>
      <c r="H27" s="4"/>
      <c r="I27" s="84"/>
    </row>
    <row r="28" spans="1:9" x14ac:dyDescent="0.25">
      <c r="A28" s="305"/>
      <c r="B28" s="223"/>
      <c r="C28" s="224"/>
      <c r="D28" s="66"/>
      <c r="E28" s="280"/>
      <c r="F28" s="71"/>
      <c r="G28" s="306"/>
      <c r="H28" s="89"/>
      <c r="I28" s="84"/>
    </row>
    <row r="29" spans="1:9" x14ac:dyDescent="0.25">
      <c r="A29" s="90"/>
      <c r="B29" s="281"/>
      <c r="C29" s="64"/>
      <c r="D29" s="66"/>
      <c r="E29" s="280"/>
      <c r="F29" s="71"/>
      <c r="G29" s="280"/>
      <c r="H29" s="89"/>
      <c r="I29" s="84"/>
    </row>
    <row r="30" spans="1:9" ht="15.75" x14ac:dyDescent="0.25">
      <c r="A30" s="90"/>
      <c r="B30" s="281"/>
      <c r="C30" s="64"/>
      <c r="D30" s="66"/>
      <c r="E30" s="280"/>
      <c r="F30" s="71"/>
      <c r="G30" s="307"/>
      <c r="H30" s="71"/>
      <c r="I30" s="84"/>
    </row>
    <row r="31" spans="1:9" ht="15.75" x14ac:dyDescent="0.25">
      <c r="A31" s="90"/>
      <c r="B31" s="281"/>
      <c r="C31" s="64"/>
      <c r="D31" s="89"/>
      <c r="E31" s="89"/>
      <c r="F31" s="71"/>
      <c r="G31" s="308"/>
      <c r="H31" s="308"/>
      <c r="I31" s="84"/>
    </row>
    <row r="32" spans="1:9" ht="15.75" thickBot="1" x14ac:dyDescent="0.3">
      <c r="A32" s="92"/>
      <c r="B32" s="6"/>
      <c r="C32" s="7"/>
      <c r="D32" s="7"/>
      <c r="E32" s="8"/>
      <c r="F32" s="9"/>
      <c r="G32" s="7"/>
      <c r="H32" s="7"/>
      <c r="I32" s="10"/>
    </row>
    <row r="33" spans="1:9" ht="15.75" thickBot="1" x14ac:dyDescent="0.3">
      <c r="A33" s="93"/>
      <c r="B33" s="94"/>
      <c r="C33" s="95"/>
      <c r="D33" s="96" t="s">
        <v>16</v>
      </c>
      <c r="E33" s="97" t="s">
        <v>20</v>
      </c>
      <c r="F33" s="98"/>
      <c r="G33" s="95"/>
      <c r="H33" s="95"/>
      <c r="I33" s="99"/>
    </row>
    <row r="34" spans="1:9" x14ac:dyDescent="0.25">
      <c r="A34" s="658" t="s">
        <v>22</v>
      </c>
      <c r="B34" s="659"/>
      <c r="C34" s="660"/>
      <c r="D34" s="100">
        <v>23300</v>
      </c>
      <c r="E34" s="101" t="s">
        <v>19</v>
      </c>
      <c r="F34" s="661" t="s">
        <v>68</v>
      </c>
      <c r="G34" s="661"/>
      <c r="H34" s="662" t="s">
        <v>201</v>
      </c>
      <c r="I34" s="663"/>
    </row>
    <row r="35" spans="1:9" x14ac:dyDescent="0.25">
      <c r="A35" s="664" t="s">
        <v>23</v>
      </c>
      <c r="B35" s="665"/>
      <c r="C35" s="666"/>
      <c r="D35" s="309">
        <v>8</v>
      </c>
      <c r="E35" s="88" t="s">
        <v>69</v>
      </c>
      <c r="F35" s="667" t="s">
        <v>70</v>
      </c>
      <c r="G35" s="667"/>
      <c r="H35" s="668" t="s">
        <v>202</v>
      </c>
      <c r="I35" s="669"/>
    </row>
    <row r="36" spans="1:9" x14ac:dyDescent="0.25">
      <c r="A36" s="664" t="s">
        <v>25</v>
      </c>
      <c r="B36" s="665"/>
      <c r="C36" s="666"/>
      <c r="D36" s="88">
        <v>1</v>
      </c>
      <c r="E36" s="88" t="s">
        <v>166</v>
      </c>
      <c r="F36" s="667" t="s">
        <v>71</v>
      </c>
      <c r="G36" s="667"/>
      <c r="H36" s="668" t="s">
        <v>203</v>
      </c>
      <c r="I36" s="669"/>
    </row>
    <row r="37" spans="1:9" x14ac:dyDescent="0.25">
      <c r="A37" s="664" t="s">
        <v>26</v>
      </c>
      <c r="B37" s="665"/>
      <c r="C37" s="666"/>
      <c r="D37" s="91">
        <v>23300</v>
      </c>
      <c r="E37" s="88" t="s">
        <v>19</v>
      </c>
      <c r="F37" s="673" t="s">
        <v>72</v>
      </c>
      <c r="G37" s="674"/>
      <c r="H37" s="668"/>
      <c r="I37" s="669"/>
    </row>
    <row r="38" spans="1:9" ht="15.75" thickBot="1" x14ac:dyDescent="0.3">
      <c r="A38" s="675" t="s">
        <v>27</v>
      </c>
      <c r="B38" s="676"/>
      <c r="C38" s="677"/>
      <c r="D38" s="102">
        <v>224</v>
      </c>
      <c r="E38" s="103" t="s">
        <v>19</v>
      </c>
      <c r="F38" s="678"/>
      <c r="G38" s="678"/>
      <c r="H38" s="679"/>
      <c r="I38" s="680"/>
    </row>
    <row r="39" spans="1:9" ht="15.75" thickBot="1" x14ac:dyDescent="0.3">
      <c r="A39" s="681" t="s">
        <v>28</v>
      </c>
      <c r="B39" s="682"/>
      <c r="C39" s="682"/>
      <c r="D39" s="682"/>
      <c r="E39" s="682"/>
      <c r="F39" s="682"/>
      <c r="G39" s="682"/>
      <c r="H39" s="682"/>
      <c r="I39" s="683"/>
    </row>
    <row r="40" spans="1:9" ht="18.600000000000001" customHeight="1" x14ac:dyDescent="0.25">
      <c r="A40" s="629" t="s">
        <v>204</v>
      </c>
      <c r="B40" s="630"/>
      <c r="C40" s="630"/>
      <c r="D40" s="630"/>
      <c r="E40" s="630"/>
      <c r="F40" s="630"/>
      <c r="G40" s="630"/>
      <c r="H40" s="630"/>
      <c r="I40" s="631"/>
    </row>
    <row r="41" spans="1:9" ht="14.45" customHeight="1" x14ac:dyDescent="0.25">
      <c r="A41" s="629" t="s">
        <v>205</v>
      </c>
      <c r="B41" s="630"/>
      <c r="C41" s="630"/>
      <c r="D41" s="630"/>
      <c r="E41" s="630"/>
      <c r="F41" s="630"/>
      <c r="G41" s="630"/>
      <c r="H41" s="630"/>
      <c r="I41" s="631"/>
    </row>
    <row r="42" spans="1:9" ht="14.45" customHeight="1" x14ac:dyDescent="0.25">
      <c r="A42" s="706"/>
      <c r="B42" s="707"/>
      <c r="C42" s="707"/>
      <c r="D42" s="707"/>
      <c r="E42" s="707"/>
      <c r="F42" s="707"/>
      <c r="G42" s="707"/>
      <c r="H42" s="707"/>
      <c r="I42" s="708"/>
    </row>
    <row r="43" spans="1:9" x14ac:dyDescent="0.25">
      <c r="A43" s="709"/>
      <c r="B43" s="710"/>
      <c r="C43" s="711"/>
      <c r="D43" s="711"/>
      <c r="E43" s="711"/>
      <c r="F43" s="711"/>
      <c r="G43" s="711"/>
      <c r="H43" s="711"/>
      <c r="I43" s="712"/>
    </row>
    <row r="44" spans="1:9" ht="14.45" customHeight="1" x14ac:dyDescent="0.25">
      <c r="A44" s="709"/>
      <c r="B44" s="710"/>
      <c r="C44" s="711"/>
      <c r="D44" s="711"/>
      <c r="E44" s="711"/>
      <c r="F44" s="711"/>
      <c r="G44" s="711"/>
      <c r="H44" s="711"/>
      <c r="I44" s="712"/>
    </row>
    <row r="45" spans="1:9" ht="14.45" customHeight="1" x14ac:dyDescent="0.25">
      <c r="A45" s="713"/>
      <c r="B45" s="714"/>
      <c r="C45" s="714"/>
      <c r="D45" s="714"/>
      <c r="E45" s="714"/>
      <c r="F45" s="714"/>
      <c r="G45" s="714"/>
      <c r="H45" s="714"/>
      <c r="I45" s="715"/>
    </row>
    <row r="46" spans="1:9" ht="18" customHeight="1" x14ac:dyDescent="0.25">
      <c r="A46" s="703"/>
      <c r="B46" s="704"/>
      <c r="C46" s="704"/>
      <c r="D46" s="704"/>
      <c r="E46" s="704"/>
      <c r="F46" s="704"/>
      <c r="G46" s="704"/>
      <c r="H46" s="704"/>
      <c r="I46" s="705"/>
    </row>
    <row r="47" spans="1:9" x14ac:dyDescent="0.25">
      <c r="A47" s="703"/>
      <c r="B47" s="704"/>
      <c r="C47" s="704"/>
      <c r="D47" s="704"/>
      <c r="E47" s="704"/>
      <c r="F47" s="704"/>
      <c r="G47" s="704"/>
      <c r="H47" s="704"/>
      <c r="I47" s="705"/>
    </row>
    <row r="48" spans="1:9" ht="15.75" thickBot="1" x14ac:dyDescent="0.3">
      <c r="A48" s="703"/>
      <c r="B48" s="704"/>
      <c r="C48" s="704"/>
      <c r="D48" s="704"/>
      <c r="E48" s="704"/>
      <c r="F48" s="704"/>
      <c r="G48" s="704"/>
      <c r="H48" s="704"/>
      <c r="I48" s="705"/>
    </row>
    <row r="49" spans="1:9" x14ac:dyDescent="0.25">
      <c r="A49" s="690" t="s">
        <v>29</v>
      </c>
      <c r="B49" s="691"/>
      <c r="C49" s="691"/>
      <c r="D49" s="691"/>
      <c r="E49" s="691"/>
      <c r="F49" s="691"/>
      <c r="G49" s="691"/>
      <c r="H49" s="691"/>
      <c r="I49" s="691"/>
    </row>
    <row r="50" spans="1:9" x14ac:dyDescent="0.25">
      <c r="A50" s="692"/>
      <c r="B50" s="693"/>
      <c r="C50" s="693"/>
      <c r="D50" s="693"/>
      <c r="E50" s="693"/>
      <c r="F50" s="693"/>
      <c r="G50" s="693"/>
      <c r="H50" s="693"/>
      <c r="I50" s="693"/>
    </row>
    <row r="51" spans="1:9" x14ac:dyDescent="0.25">
      <c r="A51" s="692"/>
      <c r="B51" s="693"/>
      <c r="C51" s="693"/>
      <c r="D51" s="693"/>
      <c r="E51" s="693"/>
      <c r="F51" s="693"/>
      <c r="G51" s="693"/>
      <c r="H51" s="693"/>
      <c r="I51" s="693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B48F-0E87-4152-AFA9-B254274A774F}">
  <dimension ref="A1:I55"/>
  <sheetViews>
    <sheetView workbookViewId="0">
      <selection activeCell="D15" sqref="D15"/>
    </sheetView>
  </sheetViews>
  <sheetFormatPr baseColWidth="10" defaultRowHeight="15" x14ac:dyDescent="0.25"/>
  <cols>
    <col min="3" max="3" width="41.5703125" customWidth="1"/>
    <col min="4" max="4" width="18.85546875" customWidth="1"/>
  </cols>
  <sheetData>
    <row r="1" spans="1:9" ht="15.75" x14ac:dyDescent="0.25">
      <c r="A1" s="725"/>
      <c r="B1" s="726"/>
      <c r="C1" s="731" t="s">
        <v>0</v>
      </c>
      <c r="D1" s="731"/>
      <c r="E1" s="731"/>
      <c r="F1" s="731"/>
      <c r="G1" s="731"/>
      <c r="H1" s="313" t="s">
        <v>1</v>
      </c>
      <c r="I1" s="1" t="s">
        <v>206</v>
      </c>
    </row>
    <row r="2" spans="1:9" ht="16.5" thickBot="1" x14ac:dyDescent="0.3">
      <c r="A2" s="727"/>
      <c r="B2" s="728"/>
      <c r="C2" s="732" t="s">
        <v>3</v>
      </c>
      <c r="D2" s="733"/>
      <c r="E2" s="733"/>
      <c r="F2" s="733"/>
      <c r="G2" s="734"/>
      <c r="H2" s="314" t="s">
        <v>4</v>
      </c>
      <c r="I2" s="2" t="s">
        <v>5</v>
      </c>
    </row>
    <row r="3" spans="1:9" ht="18.75" thickBot="1" x14ac:dyDescent="0.3">
      <c r="A3" s="727"/>
      <c r="B3" s="728"/>
      <c r="C3" s="735" t="s">
        <v>207</v>
      </c>
      <c r="D3" s="736"/>
      <c r="E3" s="736"/>
      <c r="F3" s="736"/>
      <c r="G3" s="737"/>
      <c r="H3" s="738" t="s">
        <v>6</v>
      </c>
      <c r="I3" s="716">
        <v>45616</v>
      </c>
    </row>
    <row r="4" spans="1:9" x14ac:dyDescent="0.25">
      <c r="A4" s="727"/>
      <c r="B4" s="728"/>
      <c r="C4" s="315" t="s">
        <v>7</v>
      </c>
      <c r="D4" s="719" t="s">
        <v>141</v>
      </c>
      <c r="E4" s="720"/>
      <c r="F4" s="720"/>
      <c r="G4" s="721"/>
      <c r="H4" s="739"/>
      <c r="I4" s="717"/>
    </row>
    <row r="5" spans="1:9" ht="15.75" thickBot="1" x14ac:dyDescent="0.3">
      <c r="A5" s="729"/>
      <c r="B5" s="730"/>
      <c r="C5" s="316" t="s">
        <v>8</v>
      </c>
      <c r="D5" s="722" t="s">
        <v>61</v>
      </c>
      <c r="E5" s="723"/>
      <c r="F5" s="723"/>
      <c r="G5" s="724"/>
      <c r="H5" s="740"/>
      <c r="I5" s="718"/>
    </row>
    <row r="6" spans="1:9" ht="26.25" thickBot="1" x14ac:dyDescent="0.3">
      <c r="A6" s="559" t="s">
        <v>9</v>
      </c>
      <c r="B6" s="559"/>
      <c r="C6" s="559"/>
      <c r="D6" s="488" t="s">
        <v>208</v>
      </c>
      <c r="E6" s="488"/>
      <c r="F6" s="488"/>
      <c r="G6" s="561" t="s">
        <v>10</v>
      </c>
      <c r="H6" s="561"/>
      <c r="I6" s="3" t="s">
        <v>208</v>
      </c>
    </row>
    <row r="7" spans="1:9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9" ht="27" thickBot="1" x14ac:dyDescent="0.3">
      <c r="A8" s="656"/>
      <c r="B8" s="657"/>
      <c r="C8" s="494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9" x14ac:dyDescent="0.25">
      <c r="A9" s="260"/>
      <c r="B9" s="261"/>
      <c r="C9" s="262" t="s">
        <v>182</v>
      </c>
      <c r="D9" s="82"/>
      <c r="E9" s="83"/>
      <c r="F9" s="4"/>
      <c r="G9" s="83"/>
      <c r="H9" s="4"/>
      <c r="I9" s="84"/>
    </row>
    <row r="10" spans="1:9" x14ac:dyDescent="0.25">
      <c r="A10" s="317"/>
      <c r="B10" s="317" t="s">
        <v>209</v>
      </c>
      <c r="C10" s="318" t="s">
        <v>210</v>
      </c>
      <c r="D10" s="319" t="s">
        <v>211</v>
      </c>
      <c r="E10" s="320">
        <v>9000</v>
      </c>
      <c r="F10" s="321" t="s">
        <v>19</v>
      </c>
      <c r="G10" s="322"/>
      <c r="H10" s="323"/>
      <c r="I10" s="84"/>
    </row>
    <row r="11" spans="1:9" x14ac:dyDescent="0.25">
      <c r="A11" s="317"/>
      <c r="B11" s="317" t="s">
        <v>212</v>
      </c>
      <c r="C11" s="318" t="s">
        <v>213</v>
      </c>
      <c r="D11" s="89" t="s">
        <v>214</v>
      </c>
      <c r="E11" s="280">
        <v>1</v>
      </c>
      <c r="F11" s="71" t="s">
        <v>215</v>
      </c>
      <c r="G11" s="322"/>
      <c r="H11" s="323"/>
      <c r="I11" s="84"/>
    </row>
    <row r="12" spans="1:9" ht="15.75" x14ac:dyDescent="0.25">
      <c r="A12" s="317"/>
      <c r="B12" s="317" t="s">
        <v>216</v>
      </c>
      <c r="C12" s="318" t="s">
        <v>217</v>
      </c>
      <c r="D12" s="308" t="s">
        <v>218</v>
      </c>
      <c r="E12" s="308">
        <v>12000</v>
      </c>
      <c r="F12" s="308" t="s">
        <v>19</v>
      </c>
      <c r="G12" s="324"/>
      <c r="H12" s="323"/>
      <c r="I12" s="84"/>
    </row>
    <row r="13" spans="1:9" ht="15.75" x14ac:dyDescent="0.25">
      <c r="A13" s="279"/>
      <c r="B13" s="279" t="s">
        <v>162</v>
      </c>
      <c r="C13" s="325" t="s">
        <v>163</v>
      </c>
      <c r="D13" s="308" t="s">
        <v>219</v>
      </c>
      <c r="E13" s="308">
        <v>24</v>
      </c>
      <c r="F13" s="308" t="s">
        <v>19</v>
      </c>
      <c r="G13" s="324"/>
      <c r="H13" s="323"/>
      <c r="I13" s="84"/>
    </row>
    <row r="14" spans="1:9" ht="15.75" x14ac:dyDescent="0.25">
      <c r="A14" s="317"/>
      <c r="B14" s="317"/>
      <c r="C14" s="326"/>
      <c r="D14" s="308"/>
      <c r="E14" s="308"/>
      <c r="F14" s="308"/>
      <c r="G14" s="324"/>
      <c r="H14" s="323"/>
      <c r="I14" s="84"/>
    </row>
    <row r="15" spans="1:9" ht="15.75" x14ac:dyDescent="0.25">
      <c r="A15" s="279"/>
      <c r="B15" s="279"/>
      <c r="C15" s="327"/>
      <c r="D15" s="308"/>
      <c r="E15" s="308"/>
      <c r="F15" s="308"/>
      <c r="G15" s="324"/>
      <c r="H15" s="323"/>
      <c r="I15" s="84"/>
    </row>
    <row r="16" spans="1:9" ht="15.75" x14ac:dyDescent="0.25">
      <c r="A16" s="279"/>
      <c r="B16" s="279"/>
      <c r="C16" s="327"/>
      <c r="D16" s="308"/>
      <c r="E16" s="308"/>
      <c r="F16" s="308"/>
      <c r="G16" s="324"/>
      <c r="H16" s="323"/>
      <c r="I16" s="84"/>
    </row>
    <row r="17" spans="1:9" ht="15.75" x14ac:dyDescent="0.25">
      <c r="A17" s="279"/>
      <c r="B17" s="279"/>
      <c r="C17" s="327"/>
      <c r="D17" s="308"/>
      <c r="E17" s="308"/>
      <c r="F17" s="308"/>
      <c r="G17" s="324"/>
      <c r="H17" s="323"/>
      <c r="I17" s="84"/>
    </row>
    <row r="18" spans="1:9" ht="15.75" x14ac:dyDescent="0.25">
      <c r="A18" s="90"/>
      <c r="B18" s="281"/>
      <c r="C18" s="282" t="s">
        <v>189</v>
      </c>
      <c r="D18" s="328"/>
      <c r="E18" s="328"/>
      <c r="F18" s="328"/>
      <c r="G18" s="83"/>
      <c r="H18" s="323"/>
      <c r="I18" s="84"/>
    </row>
    <row r="19" spans="1:9" ht="15.75" x14ac:dyDescent="0.25">
      <c r="A19" s="90"/>
      <c r="B19" s="281"/>
      <c r="C19" s="282"/>
      <c r="D19" s="89"/>
      <c r="E19" s="283"/>
      <c r="F19" s="71"/>
      <c r="G19" s="83"/>
      <c r="H19" s="323"/>
      <c r="I19" s="84"/>
    </row>
    <row r="20" spans="1:9" x14ac:dyDescent="0.25">
      <c r="A20" s="329"/>
      <c r="B20" s="330"/>
      <c r="C20" s="331"/>
      <c r="D20" s="332"/>
      <c r="E20" s="333"/>
      <c r="F20" s="334"/>
      <c r="G20" s="83"/>
      <c r="H20" s="323"/>
      <c r="I20" s="84"/>
    </row>
    <row r="21" spans="1:9" x14ac:dyDescent="0.25">
      <c r="A21" s="329"/>
      <c r="B21" s="330"/>
      <c r="C21" s="331"/>
      <c r="D21" s="332"/>
      <c r="E21" s="335"/>
      <c r="F21" s="334"/>
      <c r="G21" s="83"/>
      <c r="H21" s="4"/>
      <c r="I21" s="84"/>
    </row>
    <row r="22" spans="1:9" x14ac:dyDescent="0.25">
      <c r="A22" s="329"/>
      <c r="B22" s="330"/>
      <c r="C22" s="331"/>
      <c r="D22" s="332"/>
      <c r="E22" s="333"/>
      <c r="F22" s="334"/>
      <c r="G22" s="83"/>
      <c r="H22" s="4"/>
      <c r="I22" s="84"/>
    </row>
    <row r="23" spans="1:9" x14ac:dyDescent="0.25">
      <c r="A23" s="329"/>
      <c r="B23" s="330"/>
      <c r="C23" s="331"/>
      <c r="D23" s="332"/>
      <c r="E23" s="336"/>
      <c r="F23" s="337"/>
      <c r="G23" s="83"/>
      <c r="H23" s="4"/>
      <c r="I23" s="84"/>
    </row>
    <row r="24" spans="1:9" x14ac:dyDescent="0.25">
      <c r="A24" s="279"/>
      <c r="B24" s="279"/>
      <c r="C24" s="327"/>
      <c r="D24" s="52"/>
      <c r="E24" s="338"/>
      <c r="F24" s="339"/>
      <c r="G24" s="83"/>
      <c r="H24" s="4"/>
      <c r="I24" s="84"/>
    </row>
    <row r="25" spans="1:9" ht="15.75" x14ac:dyDescent="0.25">
      <c r="A25" s="290"/>
      <c r="B25" s="291"/>
      <c r="C25" s="292" t="s">
        <v>190</v>
      </c>
      <c r="D25" s="293"/>
      <c r="E25" s="294"/>
      <c r="F25" s="4"/>
      <c r="G25" s="83"/>
      <c r="H25" s="11"/>
      <c r="I25" s="84"/>
    </row>
    <row r="26" spans="1:9" x14ac:dyDescent="0.25">
      <c r="A26" s="90"/>
      <c r="B26" s="281" t="s">
        <v>56</v>
      </c>
      <c r="C26" s="340" t="s">
        <v>57</v>
      </c>
      <c r="D26" s="89" t="s">
        <v>220</v>
      </c>
      <c r="E26" s="280">
        <v>2</v>
      </c>
      <c r="F26" s="71" t="s">
        <v>38</v>
      </c>
      <c r="G26" s="341"/>
      <c r="H26" s="4"/>
      <c r="I26" s="84"/>
    </row>
    <row r="27" spans="1:9" x14ac:dyDescent="0.25">
      <c r="A27" s="90"/>
      <c r="B27" s="281" t="s">
        <v>221</v>
      </c>
      <c r="C27" s="340" t="s">
        <v>222</v>
      </c>
      <c r="D27" s="89" t="s">
        <v>223</v>
      </c>
      <c r="E27" s="280">
        <v>2</v>
      </c>
      <c r="F27" s="71" t="s">
        <v>38</v>
      </c>
      <c r="G27" s="341"/>
      <c r="H27" s="4"/>
      <c r="I27" s="84"/>
    </row>
    <row r="28" spans="1:9" x14ac:dyDescent="0.25">
      <c r="A28" s="342"/>
      <c r="B28" s="343" t="s">
        <v>224</v>
      </c>
      <c r="C28" s="344" t="s">
        <v>225</v>
      </c>
      <c r="D28" s="89" t="s">
        <v>220</v>
      </c>
      <c r="E28" s="280">
        <v>1</v>
      </c>
      <c r="F28" s="71" t="s">
        <v>38</v>
      </c>
      <c r="G28" s="341"/>
      <c r="H28" s="4"/>
      <c r="I28" s="84"/>
    </row>
    <row r="29" spans="1:9" x14ac:dyDescent="0.25">
      <c r="A29" s="345"/>
      <c r="B29" s="345" t="s">
        <v>226</v>
      </c>
      <c r="C29" s="346" t="s">
        <v>227</v>
      </c>
      <c r="D29" s="89" t="s">
        <v>228</v>
      </c>
      <c r="E29" s="280">
        <v>2</v>
      </c>
      <c r="F29" s="71" t="s">
        <v>38</v>
      </c>
      <c r="G29" s="83"/>
      <c r="H29" s="4"/>
      <c r="I29" s="84"/>
    </row>
    <row r="30" spans="1:9" x14ac:dyDescent="0.25">
      <c r="A30" s="345"/>
      <c r="B30" s="345"/>
      <c r="C30" s="346"/>
      <c r="D30" s="89"/>
      <c r="E30" s="280"/>
      <c r="F30" s="71"/>
      <c r="G30" s="83"/>
      <c r="H30" s="4"/>
      <c r="I30" s="84"/>
    </row>
    <row r="31" spans="1:9" x14ac:dyDescent="0.25">
      <c r="A31" s="345"/>
      <c r="B31" s="345"/>
      <c r="C31" s="346"/>
      <c r="D31" s="89"/>
      <c r="E31" s="280"/>
      <c r="F31" s="71"/>
      <c r="G31" s="306"/>
      <c r="H31" s="4"/>
      <c r="I31" s="84"/>
    </row>
    <row r="32" spans="1:9" ht="15.75" x14ac:dyDescent="0.25">
      <c r="A32" s="345"/>
      <c r="B32" s="345"/>
      <c r="C32" s="346"/>
      <c r="D32" s="308"/>
      <c r="E32" s="280"/>
      <c r="F32" s="71"/>
      <c r="G32" s="280"/>
      <c r="H32" s="4"/>
      <c r="I32" s="84"/>
    </row>
    <row r="33" spans="1:9" x14ac:dyDescent="0.25">
      <c r="A33" s="347"/>
      <c r="B33" s="347"/>
      <c r="C33" s="348"/>
      <c r="D33" s="89"/>
      <c r="E33" s="339"/>
      <c r="F33" s="339"/>
      <c r="G33" s="280"/>
      <c r="H33" s="4"/>
      <c r="I33" s="84"/>
    </row>
    <row r="34" spans="1:9" x14ac:dyDescent="0.25">
      <c r="A34" s="349"/>
      <c r="B34" s="279"/>
      <c r="C34" s="64"/>
      <c r="D34" s="350"/>
      <c r="E34" s="338"/>
      <c r="F34" s="324"/>
      <c r="G34" s="280"/>
      <c r="H34" s="4"/>
      <c r="I34" s="84"/>
    </row>
    <row r="35" spans="1:9" ht="15.75" x14ac:dyDescent="0.25">
      <c r="A35" s="345"/>
      <c r="B35" s="345"/>
      <c r="C35" s="346"/>
      <c r="D35" s="89"/>
      <c r="E35" s="338"/>
      <c r="F35" s="324"/>
      <c r="G35" s="307"/>
      <c r="H35" s="4"/>
      <c r="I35" s="84"/>
    </row>
    <row r="36" spans="1:9" ht="15.75" x14ac:dyDescent="0.25">
      <c r="A36" s="90"/>
      <c r="B36" s="281"/>
      <c r="C36" s="64"/>
      <c r="D36" s="89"/>
      <c r="E36" s="89"/>
      <c r="F36" s="71"/>
      <c r="G36" s="308"/>
      <c r="H36" s="308"/>
      <c r="I36" s="84"/>
    </row>
    <row r="37" spans="1:9" ht="15.75" thickBot="1" x14ac:dyDescent="0.3">
      <c r="A37" s="92"/>
      <c r="B37" s="6"/>
      <c r="C37" s="7"/>
      <c r="D37" s="7"/>
      <c r="E37" s="8"/>
      <c r="F37" s="9"/>
      <c r="G37" s="7"/>
      <c r="H37" s="7"/>
      <c r="I37" s="10"/>
    </row>
    <row r="38" spans="1:9" ht="15.75" thickBot="1" x14ac:dyDescent="0.3">
      <c r="A38" s="93"/>
      <c r="B38" s="94"/>
      <c r="C38" s="95"/>
      <c r="D38" s="96" t="s">
        <v>16</v>
      </c>
      <c r="E38" s="97" t="s">
        <v>20</v>
      </c>
      <c r="F38" s="98"/>
      <c r="G38" s="95"/>
      <c r="H38" s="95"/>
      <c r="I38" s="99"/>
    </row>
    <row r="39" spans="1:9" x14ac:dyDescent="0.25">
      <c r="A39" s="658" t="s">
        <v>22</v>
      </c>
      <c r="B39" s="659"/>
      <c r="C39" s="660"/>
      <c r="D39" s="351">
        <v>23524</v>
      </c>
      <c r="E39" s="352" t="s">
        <v>19</v>
      </c>
      <c r="F39" s="661" t="s">
        <v>68</v>
      </c>
      <c r="G39" s="661"/>
      <c r="H39" s="662"/>
      <c r="I39" s="663"/>
    </row>
    <row r="40" spans="1:9" x14ac:dyDescent="0.25">
      <c r="A40" s="664" t="s">
        <v>23</v>
      </c>
      <c r="B40" s="665"/>
      <c r="C40" s="666"/>
      <c r="D40" s="353">
        <v>0.14583333333333334</v>
      </c>
      <c r="E40" s="324" t="s">
        <v>24</v>
      </c>
      <c r="F40" s="667" t="s">
        <v>70</v>
      </c>
      <c r="G40" s="667"/>
      <c r="H40" s="668"/>
      <c r="I40" s="669"/>
    </row>
    <row r="41" spans="1:9" x14ac:dyDescent="0.25">
      <c r="A41" s="664" t="s">
        <v>25</v>
      </c>
      <c r="B41" s="665"/>
      <c r="C41" s="666"/>
      <c r="D41" s="338">
        <v>1</v>
      </c>
      <c r="E41" s="324" t="s">
        <v>166</v>
      </c>
      <c r="F41" s="667" t="s">
        <v>71</v>
      </c>
      <c r="G41" s="667"/>
      <c r="H41" s="668"/>
      <c r="I41" s="669"/>
    </row>
    <row r="42" spans="1:9" x14ac:dyDescent="0.25">
      <c r="A42" s="664" t="s">
        <v>26</v>
      </c>
      <c r="B42" s="665"/>
      <c r="C42" s="666"/>
      <c r="D42" s="338">
        <v>23524</v>
      </c>
      <c r="E42" s="324" t="s">
        <v>19</v>
      </c>
      <c r="F42" s="673" t="s">
        <v>72</v>
      </c>
      <c r="G42" s="674"/>
      <c r="H42" s="745"/>
      <c r="I42" s="746"/>
    </row>
    <row r="43" spans="1:9" ht="15.75" thickBot="1" x14ac:dyDescent="0.3">
      <c r="A43" s="675" t="s">
        <v>27</v>
      </c>
      <c r="B43" s="676"/>
      <c r="C43" s="677"/>
      <c r="D43" s="354">
        <v>0</v>
      </c>
      <c r="E43" s="355" t="s">
        <v>19</v>
      </c>
      <c r="F43" s="678"/>
      <c r="G43" s="678"/>
      <c r="H43" s="668"/>
      <c r="I43" s="669"/>
    </row>
    <row r="44" spans="1:9" ht="15.75" thickBot="1" x14ac:dyDescent="0.3">
      <c r="A44" s="681" t="s">
        <v>28</v>
      </c>
      <c r="B44" s="682"/>
      <c r="C44" s="682"/>
      <c r="D44" s="682"/>
      <c r="E44" s="682"/>
      <c r="F44" s="682"/>
      <c r="G44" s="682"/>
      <c r="H44" s="682"/>
      <c r="I44" s="683"/>
    </row>
    <row r="45" spans="1:9" ht="15.75" x14ac:dyDescent="0.25">
      <c r="A45" s="747" t="s">
        <v>229</v>
      </c>
      <c r="B45" s="748"/>
      <c r="C45" s="748"/>
      <c r="D45" s="748"/>
      <c r="E45" s="748"/>
      <c r="F45" s="748"/>
      <c r="G45" s="748"/>
      <c r="H45" s="748"/>
      <c r="I45" s="749"/>
    </row>
    <row r="46" spans="1:9" ht="15.75" x14ac:dyDescent="0.25">
      <c r="A46" s="741" t="s">
        <v>230</v>
      </c>
      <c r="B46" s="742"/>
      <c r="C46" s="743"/>
      <c r="D46" s="743"/>
      <c r="E46" s="743"/>
      <c r="F46" s="743"/>
      <c r="G46" s="743"/>
      <c r="H46" s="743"/>
      <c r="I46" s="744"/>
    </row>
    <row r="47" spans="1:9" ht="16.5" thickBot="1" x14ac:dyDescent="0.3">
      <c r="A47" s="754" t="s">
        <v>231</v>
      </c>
      <c r="B47" s="755"/>
      <c r="C47" s="755"/>
      <c r="D47" s="755"/>
      <c r="E47" s="755"/>
      <c r="F47" s="755"/>
      <c r="G47" s="755"/>
      <c r="H47" s="755"/>
      <c r="I47" s="756"/>
    </row>
    <row r="48" spans="1:9" ht="15.75" x14ac:dyDescent="0.25">
      <c r="A48" s="741"/>
      <c r="B48" s="742"/>
      <c r="C48" s="743"/>
      <c r="D48" s="743"/>
      <c r="E48" s="743"/>
      <c r="F48" s="743"/>
      <c r="G48" s="743"/>
      <c r="H48" s="743"/>
      <c r="I48" s="744"/>
    </row>
    <row r="49" spans="1:9" ht="15.75" x14ac:dyDescent="0.25">
      <c r="A49" s="741"/>
      <c r="B49" s="742"/>
      <c r="C49" s="743"/>
      <c r="D49" s="743"/>
      <c r="E49" s="743"/>
      <c r="F49" s="743"/>
      <c r="G49" s="743"/>
      <c r="H49" s="743"/>
      <c r="I49" s="744"/>
    </row>
    <row r="50" spans="1:9" ht="15.75" thickBot="1" x14ac:dyDescent="0.3">
      <c r="A50" s="757"/>
      <c r="B50" s="508"/>
      <c r="C50" s="509"/>
      <c r="D50" s="509"/>
      <c r="E50" s="509"/>
      <c r="F50" s="509"/>
      <c r="G50" s="509"/>
      <c r="H50" s="509"/>
      <c r="I50" s="510"/>
    </row>
    <row r="51" spans="1:9" ht="15.75" x14ac:dyDescent="0.25">
      <c r="A51" s="758"/>
      <c r="B51" s="759"/>
      <c r="C51" s="759"/>
      <c r="D51" s="759"/>
      <c r="E51" s="759"/>
      <c r="F51" s="759"/>
      <c r="G51" s="759"/>
      <c r="H51" s="759"/>
      <c r="I51" s="760"/>
    </row>
    <row r="52" spans="1:9" ht="15.75" thickBot="1" x14ac:dyDescent="0.3">
      <c r="A52" s="646"/>
      <c r="B52" s="647"/>
      <c r="C52" s="647"/>
      <c r="D52" s="647"/>
      <c r="E52" s="647"/>
      <c r="F52" s="647"/>
      <c r="G52" s="647"/>
      <c r="H52" s="647"/>
      <c r="I52" s="648"/>
    </row>
    <row r="53" spans="1:9" x14ac:dyDescent="0.25">
      <c r="A53" s="750" t="s">
        <v>29</v>
      </c>
      <c r="B53" s="751"/>
      <c r="C53" s="751"/>
      <c r="D53" s="751"/>
      <c r="E53" s="751"/>
      <c r="F53" s="751"/>
      <c r="G53" s="751"/>
      <c r="H53" s="751"/>
      <c r="I53" s="751"/>
    </row>
    <row r="54" spans="1:9" x14ac:dyDescent="0.25">
      <c r="A54" s="752"/>
      <c r="B54" s="753"/>
      <c r="C54" s="753"/>
      <c r="D54" s="753"/>
      <c r="E54" s="753"/>
      <c r="F54" s="753"/>
      <c r="G54" s="753"/>
      <c r="H54" s="753"/>
      <c r="I54" s="753"/>
    </row>
    <row r="55" spans="1:9" x14ac:dyDescent="0.25">
      <c r="A55" s="752"/>
      <c r="B55" s="753"/>
      <c r="C55" s="753"/>
      <c r="D55" s="753"/>
      <c r="E55" s="753"/>
      <c r="F55" s="753"/>
      <c r="G55" s="753"/>
      <c r="H55" s="753"/>
      <c r="I55" s="753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59A0-1CF0-4C25-B183-D767E25FE345}">
  <dimension ref="A1:I35"/>
  <sheetViews>
    <sheetView workbookViewId="0">
      <selection activeCell="C12" sqref="C12"/>
    </sheetView>
  </sheetViews>
  <sheetFormatPr baseColWidth="10" defaultRowHeight="15" x14ac:dyDescent="0.25"/>
  <cols>
    <col min="3" max="3" width="37.7109375" customWidth="1"/>
  </cols>
  <sheetData>
    <row r="1" spans="1:9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60</v>
      </c>
    </row>
    <row r="2" spans="1:9" ht="16.5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5</v>
      </c>
    </row>
    <row r="3" spans="1:9" ht="18.75" thickBot="1" x14ac:dyDescent="0.3">
      <c r="A3" s="580"/>
      <c r="B3" s="581"/>
      <c r="C3" s="652" t="s">
        <v>232</v>
      </c>
      <c r="D3" s="653"/>
      <c r="E3" s="653"/>
      <c r="F3" s="653"/>
      <c r="G3" s="654"/>
      <c r="H3" s="591" t="s">
        <v>6</v>
      </c>
      <c r="I3" s="569">
        <v>45615</v>
      </c>
    </row>
    <row r="4" spans="1:9" x14ac:dyDescent="0.25">
      <c r="A4" s="580"/>
      <c r="B4" s="581"/>
      <c r="C4" s="76" t="s">
        <v>7</v>
      </c>
      <c r="D4" s="572" t="s">
        <v>73</v>
      </c>
      <c r="E4" s="573"/>
      <c r="F4" s="573"/>
      <c r="G4" s="574"/>
      <c r="H4" s="592"/>
      <c r="I4" s="570"/>
    </row>
    <row r="5" spans="1:9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9" ht="18.75" thickBot="1" x14ac:dyDescent="0.3">
      <c r="A6" s="559" t="s">
        <v>9</v>
      </c>
      <c r="B6" s="559"/>
      <c r="C6" s="559"/>
      <c r="D6" s="488" t="s">
        <v>33</v>
      </c>
      <c r="E6" s="488"/>
      <c r="F6" s="488"/>
      <c r="G6" s="561" t="s">
        <v>10</v>
      </c>
      <c r="H6" s="561"/>
      <c r="I6" s="3" t="s">
        <v>33</v>
      </c>
    </row>
    <row r="7" spans="1:9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9" ht="27" thickBot="1" x14ac:dyDescent="0.3">
      <c r="A8" s="761"/>
      <c r="B8" s="491"/>
      <c r="C8" s="493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9" x14ac:dyDescent="0.25">
      <c r="A9" s="82"/>
      <c r="B9" s="60" t="s">
        <v>74</v>
      </c>
      <c r="C9" s="60" t="s">
        <v>75</v>
      </c>
      <c r="D9" s="65" t="s">
        <v>18</v>
      </c>
      <c r="E9" s="67">
        <v>9042</v>
      </c>
      <c r="F9" s="67" t="s">
        <v>19</v>
      </c>
      <c r="G9" s="83"/>
      <c r="H9" s="4"/>
      <c r="I9" s="84"/>
    </row>
    <row r="10" spans="1:9" x14ac:dyDescent="0.25">
      <c r="A10" s="82"/>
      <c r="B10" s="60" t="s">
        <v>233</v>
      </c>
      <c r="C10" s="60" t="s">
        <v>234</v>
      </c>
      <c r="D10" s="66" t="s">
        <v>235</v>
      </c>
      <c r="E10" s="67">
        <v>986.40000000000009</v>
      </c>
      <c r="F10" s="67" t="s">
        <v>19</v>
      </c>
      <c r="G10" s="356"/>
      <c r="H10" s="357"/>
      <c r="I10" s="84"/>
    </row>
    <row r="11" spans="1:9" x14ac:dyDescent="0.25">
      <c r="A11" s="82"/>
      <c r="B11" s="60" t="s">
        <v>236</v>
      </c>
      <c r="C11" s="60" t="s">
        <v>237</v>
      </c>
      <c r="D11" s="358" t="s">
        <v>238</v>
      </c>
      <c r="E11" s="67">
        <v>90.42</v>
      </c>
      <c r="F11" s="67" t="s">
        <v>19</v>
      </c>
      <c r="G11" s="356"/>
      <c r="H11" s="357"/>
      <c r="I11" s="84"/>
    </row>
    <row r="12" spans="1:9" x14ac:dyDescent="0.25">
      <c r="A12" s="82"/>
      <c r="B12" s="60" t="s">
        <v>239</v>
      </c>
      <c r="C12" s="60" t="s">
        <v>240</v>
      </c>
      <c r="D12" s="359" t="s">
        <v>241</v>
      </c>
      <c r="E12" s="67">
        <v>115.08000000000001</v>
      </c>
      <c r="F12" s="67" t="s">
        <v>19</v>
      </c>
      <c r="G12" s="356"/>
      <c r="H12" s="357"/>
      <c r="I12" s="84"/>
    </row>
    <row r="13" spans="1:9" ht="29.25" x14ac:dyDescent="0.25">
      <c r="A13" s="82"/>
      <c r="B13" s="60"/>
      <c r="C13" s="60" t="s">
        <v>242</v>
      </c>
      <c r="D13" s="65" t="s">
        <v>18</v>
      </c>
      <c r="E13" s="67">
        <v>345.24</v>
      </c>
      <c r="F13" s="67" t="s">
        <v>19</v>
      </c>
      <c r="G13" s="356"/>
      <c r="H13" s="357" t="s">
        <v>243</v>
      </c>
      <c r="I13" s="84"/>
    </row>
    <row r="14" spans="1:9" x14ac:dyDescent="0.25">
      <c r="A14" s="82"/>
      <c r="B14" s="60" t="s">
        <v>162</v>
      </c>
      <c r="C14" s="60" t="s">
        <v>244</v>
      </c>
      <c r="D14" s="65"/>
      <c r="E14" s="312">
        <v>18.22</v>
      </c>
      <c r="F14" s="67" t="s">
        <v>19</v>
      </c>
      <c r="G14" s="356"/>
      <c r="H14" s="357"/>
      <c r="I14" s="84"/>
    </row>
    <row r="15" spans="1:9" ht="15.75" x14ac:dyDescent="0.25">
      <c r="A15" s="82"/>
      <c r="B15" s="60" t="s">
        <v>245</v>
      </c>
      <c r="C15" s="60" t="s">
        <v>246</v>
      </c>
      <c r="D15" s="69"/>
      <c r="E15" s="360">
        <v>18.22</v>
      </c>
      <c r="F15" s="69" t="s">
        <v>19</v>
      </c>
      <c r="G15" s="356"/>
      <c r="H15" s="357"/>
      <c r="I15" s="84"/>
    </row>
    <row r="16" spans="1:9" ht="15.75" x14ac:dyDescent="0.25">
      <c r="A16" s="82"/>
      <c r="B16" s="61"/>
      <c r="C16" s="60"/>
      <c r="D16" s="52"/>
      <c r="E16" s="69"/>
      <c r="F16" s="69"/>
      <c r="G16" s="356"/>
      <c r="H16" s="357"/>
      <c r="I16" s="84"/>
    </row>
    <row r="17" spans="1:9" ht="15.75" x14ac:dyDescent="0.25">
      <c r="A17" s="90"/>
      <c r="B17" s="281"/>
      <c r="C17" s="64"/>
      <c r="D17" s="89"/>
      <c r="E17" s="89"/>
      <c r="F17" s="71"/>
      <c r="G17" s="308"/>
      <c r="H17" s="308"/>
      <c r="I17" s="84"/>
    </row>
    <row r="18" spans="1:9" ht="15.75" thickBot="1" x14ac:dyDescent="0.3">
      <c r="A18" s="92"/>
      <c r="B18" s="6"/>
      <c r="C18" s="7"/>
      <c r="D18" s="7"/>
      <c r="E18" s="8"/>
      <c r="F18" s="9"/>
      <c r="G18" s="7"/>
      <c r="H18" s="7"/>
      <c r="I18" s="10"/>
    </row>
    <row r="19" spans="1:9" ht="15.75" thickBot="1" x14ac:dyDescent="0.3">
      <c r="A19" s="93"/>
      <c r="B19" s="94"/>
      <c r="C19" s="95"/>
      <c r="D19" s="96" t="s">
        <v>16</v>
      </c>
      <c r="E19" s="97" t="s">
        <v>20</v>
      </c>
      <c r="F19" s="98"/>
      <c r="G19" s="95"/>
      <c r="H19" s="95"/>
      <c r="I19" s="99"/>
    </row>
    <row r="20" spans="1:9" x14ac:dyDescent="0.25">
      <c r="A20" s="658" t="s">
        <v>22</v>
      </c>
      <c r="B20" s="659"/>
      <c r="C20" s="660"/>
      <c r="D20" s="33">
        <v>10000</v>
      </c>
      <c r="E20" s="101" t="s">
        <v>19</v>
      </c>
      <c r="F20" s="661" t="s">
        <v>68</v>
      </c>
      <c r="G20" s="661"/>
      <c r="H20" s="662"/>
      <c r="I20" s="663"/>
    </row>
    <row r="21" spans="1:9" x14ac:dyDescent="0.25">
      <c r="A21" s="664" t="s">
        <v>23</v>
      </c>
      <c r="B21" s="665"/>
      <c r="C21" s="666"/>
      <c r="D21" s="33">
        <v>10</v>
      </c>
      <c r="E21" s="88" t="s">
        <v>69</v>
      </c>
      <c r="F21" s="667" t="s">
        <v>70</v>
      </c>
      <c r="G21" s="667"/>
      <c r="H21" s="668"/>
      <c r="I21" s="669"/>
    </row>
    <row r="22" spans="1:9" x14ac:dyDescent="0.25">
      <c r="A22" s="664" t="s">
        <v>25</v>
      </c>
      <c r="B22" s="665"/>
      <c r="C22" s="666"/>
      <c r="D22" s="33">
        <v>1</v>
      </c>
      <c r="E22" s="88" t="s">
        <v>247</v>
      </c>
      <c r="F22" s="667" t="s">
        <v>71</v>
      </c>
      <c r="G22" s="667"/>
      <c r="H22" s="668"/>
      <c r="I22" s="669"/>
    </row>
    <row r="23" spans="1:9" x14ac:dyDescent="0.25">
      <c r="A23" s="664" t="s">
        <v>26</v>
      </c>
      <c r="B23" s="665"/>
      <c r="C23" s="666"/>
      <c r="D23" s="33">
        <v>10000</v>
      </c>
      <c r="E23" s="88" t="s">
        <v>19</v>
      </c>
      <c r="F23" s="673" t="s">
        <v>72</v>
      </c>
      <c r="G23" s="674"/>
      <c r="H23" s="762"/>
      <c r="I23" s="763"/>
    </row>
    <row r="24" spans="1:9" ht="15.75" thickBot="1" x14ac:dyDescent="0.3">
      <c r="A24" s="675" t="s">
        <v>27</v>
      </c>
      <c r="B24" s="676"/>
      <c r="C24" s="677"/>
      <c r="D24" s="50">
        <v>579.13999999999942</v>
      </c>
      <c r="E24" s="103" t="s">
        <v>19</v>
      </c>
      <c r="F24" s="678"/>
      <c r="G24" s="678"/>
      <c r="H24" s="668"/>
      <c r="I24" s="669"/>
    </row>
    <row r="25" spans="1:9" ht="15.75" thickBot="1" x14ac:dyDescent="0.3">
      <c r="A25" s="681" t="s">
        <v>28</v>
      </c>
      <c r="B25" s="682"/>
      <c r="C25" s="682"/>
      <c r="D25" s="682"/>
      <c r="E25" s="682"/>
      <c r="F25" s="682"/>
      <c r="G25" s="682"/>
      <c r="H25" s="682"/>
      <c r="I25" s="683"/>
    </row>
    <row r="26" spans="1:9" ht="15.75" thickBot="1" x14ac:dyDescent="0.3">
      <c r="A26" s="462" t="s">
        <v>248</v>
      </c>
      <c r="B26" s="463"/>
      <c r="C26" s="463"/>
      <c r="D26" s="463"/>
      <c r="E26" s="463"/>
      <c r="F26" s="463"/>
      <c r="G26" s="463"/>
      <c r="H26" s="463"/>
      <c r="I26" s="464"/>
    </row>
    <row r="27" spans="1:9" ht="15.75" thickBot="1" x14ac:dyDescent="0.3">
      <c r="A27" s="462" t="s">
        <v>249</v>
      </c>
      <c r="B27" s="463"/>
      <c r="C27" s="463"/>
      <c r="D27" s="463"/>
      <c r="E27" s="463"/>
      <c r="F27" s="463"/>
      <c r="G27" s="463"/>
      <c r="H27" s="463"/>
      <c r="I27" s="464"/>
    </row>
    <row r="28" spans="1:9" x14ac:dyDescent="0.25">
      <c r="A28" s="462" t="s">
        <v>250</v>
      </c>
      <c r="B28" s="463"/>
      <c r="C28" s="463"/>
      <c r="D28" s="463"/>
      <c r="E28" s="463"/>
      <c r="F28" s="463"/>
      <c r="G28" s="463"/>
      <c r="H28" s="463"/>
      <c r="I28" s="464"/>
    </row>
    <row r="29" spans="1:9" ht="17.25" thickBot="1" x14ac:dyDescent="0.35">
      <c r="A29" s="764"/>
      <c r="B29" s="764"/>
      <c r="C29" s="764"/>
      <c r="D29" s="764"/>
      <c r="E29" s="764"/>
      <c r="F29" s="764"/>
      <c r="G29" s="764"/>
      <c r="H29" s="764"/>
      <c r="I29" s="764"/>
    </row>
    <row r="30" spans="1:9" ht="15.75" x14ac:dyDescent="0.25">
      <c r="A30" s="765"/>
      <c r="B30" s="766"/>
      <c r="C30" s="767"/>
      <c r="D30" s="767"/>
      <c r="E30" s="767"/>
      <c r="F30" s="767"/>
      <c r="G30" s="767"/>
      <c r="H30" s="767"/>
      <c r="I30" s="768"/>
    </row>
    <row r="31" spans="1:9" x14ac:dyDescent="0.25">
      <c r="A31" s="769"/>
      <c r="B31" s="770"/>
      <c r="C31" s="771"/>
      <c r="D31" s="771"/>
      <c r="E31" s="771"/>
      <c r="F31" s="771"/>
      <c r="G31" s="771"/>
      <c r="H31" s="771"/>
      <c r="I31" s="772"/>
    </row>
    <row r="32" spans="1:9" ht="15.75" thickBot="1" x14ac:dyDescent="0.3">
      <c r="A32" s="703"/>
      <c r="B32" s="704"/>
      <c r="C32" s="704"/>
      <c r="D32" s="704"/>
      <c r="E32" s="704"/>
      <c r="F32" s="704"/>
      <c r="G32" s="704"/>
      <c r="H32" s="704"/>
      <c r="I32" s="705"/>
    </row>
    <row r="33" spans="1:9" x14ac:dyDescent="0.25">
      <c r="A33" s="690" t="s">
        <v>29</v>
      </c>
      <c r="B33" s="691"/>
      <c r="C33" s="691"/>
      <c r="D33" s="691"/>
      <c r="E33" s="691"/>
      <c r="F33" s="691"/>
      <c r="G33" s="691"/>
      <c r="H33" s="691"/>
      <c r="I33" s="691"/>
    </row>
    <row r="34" spans="1:9" x14ac:dyDescent="0.25">
      <c r="A34" s="692"/>
      <c r="B34" s="693"/>
      <c r="C34" s="693"/>
      <c r="D34" s="693"/>
      <c r="E34" s="693"/>
      <c r="F34" s="693"/>
      <c r="G34" s="693"/>
      <c r="H34" s="693"/>
      <c r="I34" s="693"/>
    </row>
    <row r="35" spans="1:9" x14ac:dyDescent="0.25">
      <c r="A35" s="692"/>
      <c r="B35" s="693"/>
      <c r="C35" s="693"/>
      <c r="D35" s="693"/>
      <c r="E35" s="693"/>
      <c r="F35" s="693"/>
      <c r="G35" s="693"/>
      <c r="H35" s="693"/>
      <c r="I35" s="693"/>
    </row>
  </sheetData>
  <mergeCells count="43">
    <mergeCell ref="A34:I34"/>
    <mergeCell ref="A35:I35"/>
    <mergeCell ref="A28:I28"/>
    <mergeCell ref="A29:I29"/>
    <mergeCell ref="A30:I30"/>
    <mergeCell ref="A31:I31"/>
    <mergeCell ref="A32:I32"/>
    <mergeCell ref="A33:I33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276F-5337-41EB-8E16-797B1D0DBB67}">
  <dimension ref="A1:I58"/>
  <sheetViews>
    <sheetView workbookViewId="0">
      <selection activeCell="H20" sqref="H2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5703125" bestFit="1" customWidth="1"/>
    <col min="9" max="9" width="17.42578125" bestFit="1" customWidth="1"/>
  </cols>
  <sheetData>
    <row r="1" spans="1:9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251</v>
      </c>
    </row>
    <row r="2" spans="1:9" ht="18" customHeight="1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5</v>
      </c>
    </row>
    <row r="3" spans="1:9" ht="31.5" customHeight="1" thickBot="1" x14ac:dyDescent="0.3">
      <c r="A3" s="580"/>
      <c r="B3" s="581"/>
      <c r="C3" s="652" t="s">
        <v>252</v>
      </c>
      <c r="D3" s="653"/>
      <c r="E3" s="653"/>
      <c r="F3" s="653"/>
      <c r="G3" s="654"/>
      <c r="H3" s="591" t="s">
        <v>6</v>
      </c>
      <c r="I3" s="569">
        <v>45613</v>
      </c>
    </row>
    <row r="4" spans="1:9" ht="18" customHeight="1" x14ac:dyDescent="0.25">
      <c r="A4" s="580"/>
      <c r="B4" s="581"/>
      <c r="C4" s="76" t="s">
        <v>7</v>
      </c>
      <c r="D4" s="572" t="s">
        <v>141</v>
      </c>
      <c r="E4" s="573"/>
      <c r="F4" s="573"/>
      <c r="G4" s="574"/>
      <c r="H4" s="592"/>
      <c r="I4" s="570"/>
    </row>
    <row r="5" spans="1:9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9" ht="18.75" thickBot="1" x14ac:dyDescent="0.3">
      <c r="A6" s="559" t="s">
        <v>9</v>
      </c>
      <c r="B6" s="559"/>
      <c r="C6" s="559"/>
      <c r="D6" s="488" t="s">
        <v>189</v>
      </c>
      <c r="E6" s="488"/>
      <c r="F6" s="488"/>
      <c r="G6" s="561" t="s">
        <v>10</v>
      </c>
      <c r="H6" s="561"/>
      <c r="I6" s="3" t="s">
        <v>253</v>
      </c>
    </row>
    <row r="7" spans="1:9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9" ht="27" thickBot="1" x14ac:dyDescent="0.3">
      <c r="A8" s="656"/>
      <c r="B8" s="657"/>
      <c r="C8" s="494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9" x14ac:dyDescent="0.25">
      <c r="A9" s="260"/>
      <c r="B9" s="261"/>
      <c r="C9" s="262" t="s">
        <v>182</v>
      </c>
      <c r="D9" s="82"/>
      <c r="E9" s="83"/>
      <c r="F9" s="4"/>
      <c r="G9" s="83"/>
      <c r="H9" s="4"/>
      <c r="I9" s="84"/>
    </row>
    <row r="10" spans="1:9" ht="18" customHeight="1" x14ac:dyDescent="0.25">
      <c r="A10" s="361">
        <v>310148</v>
      </c>
      <c r="B10" s="362" t="s">
        <v>254</v>
      </c>
      <c r="C10" s="363" t="s">
        <v>255</v>
      </c>
      <c r="D10" s="364" t="s">
        <v>256</v>
      </c>
      <c r="E10" s="303">
        <v>12800</v>
      </c>
      <c r="F10" s="304" t="s">
        <v>19</v>
      </c>
      <c r="G10" s="86"/>
      <c r="H10" s="87"/>
      <c r="I10" s="84"/>
    </row>
    <row r="11" spans="1:9" x14ac:dyDescent="0.25">
      <c r="A11" s="361">
        <v>11400031</v>
      </c>
      <c r="B11" s="365" t="s">
        <v>257</v>
      </c>
      <c r="C11" s="366" t="s">
        <v>258</v>
      </c>
      <c r="D11" s="364" t="s">
        <v>256</v>
      </c>
      <c r="E11" s="367">
        <v>3200</v>
      </c>
      <c r="F11" s="368" t="s">
        <v>19</v>
      </c>
      <c r="G11" s="86"/>
      <c r="H11" s="87"/>
      <c r="I11" s="84"/>
    </row>
    <row r="12" spans="1:9" x14ac:dyDescent="0.25">
      <c r="A12" s="361" t="s">
        <v>259</v>
      </c>
      <c r="B12" s="365"/>
      <c r="C12" s="366" t="s">
        <v>260</v>
      </c>
      <c r="D12" s="364" t="s">
        <v>261</v>
      </c>
      <c r="E12" s="367">
        <v>800</v>
      </c>
      <c r="F12" s="368" t="s">
        <v>19</v>
      </c>
      <c r="G12" s="88"/>
      <c r="H12" s="87"/>
      <c r="I12" s="84"/>
    </row>
    <row r="13" spans="1:9" x14ac:dyDescent="0.25">
      <c r="A13" s="361">
        <v>1212410</v>
      </c>
      <c r="B13" s="365" t="s">
        <v>162</v>
      </c>
      <c r="C13" s="366" t="s">
        <v>163</v>
      </c>
      <c r="D13" s="364" t="s">
        <v>219</v>
      </c>
      <c r="E13" s="367">
        <v>12</v>
      </c>
      <c r="F13" s="368" t="s">
        <v>19</v>
      </c>
      <c r="G13" s="88"/>
      <c r="H13" s="87"/>
      <c r="I13" s="84"/>
    </row>
    <row r="14" spans="1:9" x14ac:dyDescent="0.25">
      <c r="A14" s="369"/>
      <c r="B14" s="370"/>
      <c r="C14" s="371"/>
      <c r="D14" s="88"/>
      <c r="E14" s="88"/>
      <c r="F14" s="372"/>
      <c r="G14" s="88"/>
      <c r="H14" s="87"/>
      <c r="I14" s="84"/>
    </row>
    <row r="15" spans="1:9" x14ac:dyDescent="0.25">
      <c r="A15" s="373"/>
      <c r="B15" s="370"/>
      <c r="C15" s="374"/>
      <c r="D15" s="88"/>
      <c r="E15" s="88"/>
      <c r="F15" s="372"/>
      <c r="G15" s="88"/>
      <c r="H15" s="87"/>
      <c r="I15" s="84"/>
    </row>
    <row r="16" spans="1:9" x14ac:dyDescent="0.25">
      <c r="A16" s="88"/>
      <c r="B16" s="88"/>
      <c r="C16" s="375"/>
      <c r="D16" s="266"/>
      <c r="E16" s="266"/>
      <c r="F16" s="86"/>
      <c r="G16" s="88"/>
      <c r="H16" s="87"/>
      <c r="I16" s="84"/>
    </row>
    <row r="17" spans="1:9" x14ac:dyDescent="0.25">
      <c r="A17" s="370"/>
      <c r="B17" s="370"/>
      <c r="C17" s="376"/>
      <c r="D17" s="88"/>
      <c r="E17" s="88"/>
      <c r="F17" s="372"/>
      <c r="G17" s="88"/>
      <c r="H17" s="87"/>
      <c r="I17" s="84"/>
    </row>
    <row r="18" spans="1:9" x14ac:dyDescent="0.25">
      <c r="A18" s="369"/>
      <c r="B18" s="370"/>
      <c r="C18" s="371"/>
      <c r="D18" s="88"/>
      <c r="E18" s="88"/>
      <c r="F18" s="372"/>
      <c r="G18" s="88"/>
      <c r="H18" s="87"/>
      <c r="I18" s="84"/>
    </row>
    <row r="19" spans="1:9" ht="15.75" x14ac:dyDescent="0.25">
      <c r="A19" s="61"/>
      <c r="B19" s="61"/>
      <c r="C19" s="60"/>
      <c r="D19" s="377"/>
      <c r="E19" s="360"/>
      <c r="F19" s="378"/>
      <c r="G19" s="83"/>
      <c r="H19" s="87"/>
      <c r="I19" s="84"/>
    </row>
    <row r="20" spans="1:9" ht="15.75" x14ac:dyDescent="0.25">
      <c r="A20" s="90"/>
      <c r="B20" s="281"/>
      <c r="C20" s="282" t="s">
        <v>189</v>
      </c>
      <c r="D20" s="89"/>
      <c r="E20" s="283"/>
      <c r="F20" s="71"/>
      <c r="G20" s="83"/>
      <c r="H20" s="4"/>
      <c r="I20" s="84"/>
    </row>
    <row r="21" spans="1:9" x14ac:dyDescent="0.25">
      <c r="A21" s="361"/>
      <c r="B21" s="379"/>
      <c r="C21" s="363"/>
      <c r="D21" s="364"/>
      <c r="E21" s="367"/>
      <c r="F21" s="368"/>
      <c r="G21" s="83"/>
      <c r="H21" s="4"/>
      <c r="I21" s="84"/>
    </row>
    <row r="22" spans="1:9" x14ac:dyDescent="0.25">
      <c r="A22" s="361"/>
      <c r="B22" s="379"/>
      <c r="C22" s="363"/>
      <c r="D22" s="364"/>
      <c r="E22" s="91"/>
      <c r="F22" s="368"/>
      <c r="G22" s="83"/>
      <c r="H22" s="4"/>
      <c r="I22" s="84"/>
    </row>
    <row r="23" spans="1:9" x14ac:dyDescent="0.25">
      <c r="A23" s="361"/>
      <c r="B23" s="379"/>
      <c r="C23" s="363"/>
      <c r="D23" s="364"/>
      <c r="E23" s="367"/>
      <c r="F23" s="368"/>
      <c r="G23" s="83"/>
      <c r="H23" s="4"/>
      <c r="I23" s="84"/>
    </row>
    <row r="24" spans="1:9" x14ac:dyDescent="0.25">
      <c r="A24" s="361"/>
      <c r="B24" s="379"/>
      <c r="C24" s="363"/>
      <c r="D24" s="364"/>
      <c r="E24" s="336"/>
      <c r="F24" s="337"/>
      <c r="G24" s="83"/>
      <c r="H24" s="4"/>
      <c r="I24" s="84"/>
    </row>
    <row r="25" spans="1:9" x14ac:dyDescent="0.25">
      <c r="A25" s="361"/>
      <c r="B25" s="379"/>
      <c r="C25" s="363"/>
      <c r="D25" s="364"/>
      <c r="E25" s="303"/>
      <c r="F25" s="337"/>
      <c r="G25" s="83"/>
      <c r="H25" s="4"/>
      <c r="I25" s="84"/>
    </row>
    <row r="26" spans="1:9" x14ac:dyDescent="0.25">
      <c r="A26" s="264"/>
      <c r="B26" s="264"/>
      <c r="D26" s="380"/>
      <c r="E26" s="381"/>
      <c r="F26" s="382"/>
      <c r="G26" s="83"/>
      <c r="H26" s="4"/>
      <c r="I26" s="84"/>
    </row>
    <row r="27" spans="1:9" x14ac:dyDescent="0.25">
      <c r="A27" s="61"/>
      <c r="B27" s="61"/>
      <c r="C27" s="60"/>
      <c r="D27" s="383"/>
      <c r="E27" s="100"/>
      <c r="F27" s="382"/>
      <c r="G27" s="83"/>
      <c r="H27" s="4"/>
      <c r="I27" s="84"/>
    </row>
    <row r="28" spans="1:9" x14ac:dyDescent="0.25">
      <c r="A28" s="61"/>
      <c r="B28" s="61"/>
      <c r="C28" s="60"/>
      <c r="D28" s="383"/>
      <c r="E28" s="91"/>
      <c r="F28" s="298"/>
      <c r="G28" s="83"/>
      <c r="H28" s="4"/>
      <c r="I28" s="84"/>
    </row>
    <row r="29" spans="1:9" ht="15.75" x14ac:dyDescent="0.25">
      <c r="A29" s="290"/>
      <c r="B29" s="291"/>
      <c r="C29" s="292" t="s">
        <v>190</v>
      </c>
      <c r="D29" s="293"/>
      <c r="E29" s="294"/>
      <c r="F29" s="4"/>
      <c r="G29" s="83"/>
      <c r="I29" s="84"/>
    </row>
    <row r="30" spans="1:9" x14ac:dyDescent="0.25">
      <c r="A30" s="349">
        <v>702123</v>
      </c>
      <c r="B30" s="349" t="s">
        <v>56</v>
      </c>
      <c r="C30" s="64" t="s">
        <v>57</v>
      </c>
      <c r="D30" s="350" t="s">
        <v>262</v>
      </c>
      <c r="E30" s="351">
        <v>1</v>
      </c>
      <c r="F30" s="384" t="s">
        <v>38</v>
      </c>
      <c r="G30" s="295"/>
      <c r="H30" s="4"/>
      <c r="I30" s="84"/>
    </row>
    <row r="31" spans="1:9" x14ac:dyDescent="0.25">
      <c r="A31" s="349"/>
      <c r="B31" s="349"/>
      <c r="C31" s="64"/>
      <c r="D31" s="350"/>
      <c r="E31" s="351"/>
      <c r="F31" s="384"/>
      <c r="G31" s="295"/>
      <c r="H31" s="4"/>
      <c r="I31" s="84"/>
    </row>
    <row r="32" spans="1:9" x14ac:dyDescent="0.25">
      <c r="A32" s="349"/>
      <c r="B32" s="349"/>
      <c r="C32" s="64"/>
      <c r="D32" s="350"/>
      <c r="E32" s="351"/>
      <c r="F32" s="384"/>
      <c r="G32" s="295"/>
      <c r="H32" s="4"/>
      <c r="I32" s="84"/>
    </row>
    <row r="33" spans="1:9" x14ac:dyDescent="0.25">
      <c r="A33" s="385"/>
      <c r="B33" s="385"/>
      <c r="C33" s="386"/>
      <c r="D33" s="66"/>
      <c r="E33" s="387"/>
      <c r="F33" s="269"/>
      <c r="G33" s="83"/>
      <c r="H33" s="4"/>
      <c r="I33" s="84"/>
    </row>
    <row r="34" spans="1:9" x14ac:dyDescent="0.25">
      <c r="A34" s="385"/>
      <c r="B34" s="385"/>
      <c r="C34" s="388"/>
      <c r="D34" s="66"/>
      <c r="E34" s="66"/>
      <c r="F34" s="269"/>
      <c r="G34" s="83"/>
      <c r="H34" s="4"/>
      <c r="I34" s="84"/>
    </row>
    <row r="35" spans="1:9" x14ac:dyDescent="0.25">
      <c r="A35" s="385"/>
      <c r="B35" s="385"/>
      <c r="C35" s="388"/>
      <c r="D35" s="66"/>
      <c r="E35" s="66"/>
      <c r="F35" s="269"/>
      <c r="G35" s="306"/>
      <c r="H35" s="4"/>
      <c r="I35" s="84"/>
    </row>
    <row r="36" spans="1:9" ht="15.75" x14ac:dyDescent="0.25">
      <c r="A36" s="389"/>
      <c r="B36" s="390"/>
      <c r="C36" s="391"/>
      <c r="D36" s="105"/>
      <c r="E36" s="105"/>
      <c r="F36" s="392"/>
      <c r="G36" s="280"/>
      <c r="H36" s="4"/>
      <c r="I36" s="84"/>
    </row>
    <row r="37" spans="1:9" ht="15.75" x14ac:dyDescent="0.25">
      <c r="A37" s="90"/>
      <c r="B37" s="281"/>
      <c r="C37" s="64"/>
      <c r="D37" s="66"/>
      <c r="E37" s="280"/>
      <c r="F37" s="71"/>
      <c r="G37" s="307"/>
      <c r="H37" s="4"/>
      <c r="I37" s="84"/>
    </row>
    <row r="38" spans="1:9" ht="15.75" x14ac:dyDescent="0.25">
      <c r="A38" s="90"/>
      <c r="B38" s="281"/>
      <c r="C38" s="64"/>
      <c r="D38" s="89"/>
      <c r="E38" s="89"/>
      <c r="F38" s="71"/>
      <c r="G38" s="308"/>
      <c r="H38" s="308"/>
      <c r="I38" s="84"/>
    </row>
    <row r="39" spans="1:9" ht="15.75" thickBot="1" x14ac:dyDescent="0.3">
      <c r="A39" s="92"/>
      <c r="B39" s="6"/>
      <c r="C39" s="7"/>
      <c r="D39" s="7"/>
      <c r="E39" s="8"/>
      <c r="F39" s="9"/>
      <c r="G39" s="7"/>
      <c r="H39" s="7"/>
      <c r="I39" s="10"/>
    </row>
    <row r="40" spans="1:9" ht="15.75" thickBot="1" x14ac:dyDescent="0.3">
      <c r="A40" s="93"/>
      <c r="B40" s="94"/>
      <c r="C40" s="95"/>
      <c r="D40" s="96" t="s">
        <v>16</v>
      </c>
      <c r="E40" s="97" t="s">
        <v>20</v>
      </c>
      <c r="F40" s="98"/>
      <c r="G40" s="95"/>
      <c r="H40" s="95"/>
      <c r="I40" s="99"/>
    </row>
    <row r="41" spans="1:9" x14ac:dyDescent="0.25">
      <c r="A41" s="658" t="s">
        <v>22</v>
      </c>
      <c r="B41" s="659"/>
      <c r="C41" s="660"/>
      <c r="D41" s="100">
        <v>16597</v>
      </c>
      <c r="E41" s="101" t="s">
        <v>19</v>
      </c>
      <c r="F41" s="661" t="s">
        <v>68</v>
      </c>
      <c r="G41" s="661"/>
      <c r="H41" s="662"/>
      <c r="I41" s="663"/>
    </row>
    <row r="42" spans="1:9" x14ac:dyDescent="0.25">
      <c r="A42" s="664" t="s">
        <v>23</v>
      </c>
      <c r="B42" s="665"/>
      <c r="C42" s="666"/>
      <c r="D42" s="88">
        <v>10</v>
      </c>
      <c r="E42" s="88" t="s">
        <v>69</v>
      </c>
      <c r="F42" s="667" t="s">
        <v>70</v>
      </c>
      <c r="G42" s="667"/>
      <c r="H42" s="668"/>
      <c r="I42" s="669"/>
    </row>
    <row r="43" spans="1:9" x14ac:dyDescent="0.25">
      <c r="A43" s="664" t="s">
        <v>25</v>
      </c>
      <c r="B43" s="665"/>
      <c r="C43" s="666"/>
      <c r="D43" s="88">
        <v>1</v>
      </c>
      <c r="E43" s="88" t="s">
        <v>166</v>
      </c>
      <c r="F43" s="667" t="s">
        <v>71</v>
      </c>
      <c r="G43" s="667"/>
      <c r="H43" s="668"/>
      <c r="I43" s="669"/>
    </row>
    <row r="44" spans="1:9" x14ac:dyDescent="0.25">
      <c r="A44" s="664" t="s">
        <v>26</v>
      </c>
      <c r="B44" s="665"/>
      <c r="C44" s="666"/>
      <c r="D44" s="91">
        <v>16597</v>
      </c>
      <c r="E44" s="88" t="s">
        <v>19</v>
      </c>
      <c r="F44" s="673" t="s">
        <v>72</v>
      </c>
      <c r="G44" s="674"/>
      <c r="H44" s="762"/>
      <c r="I44" s="763"/>
    </row>
    <row r="45" spans="1:9" ht="15.75" thickBot="1" x14ac:dyDescent="0.3">
      <c r="A45" s="675" t="s">
        <v>27</v>
      </c>
      <c r="B45" s="676"/>
      <c r="C45" s="677"/>
      <c r="D45" s="102">
        <v>215</v>
      </c>
      <c r="E45" s="103" t="s">
        <v>19</v>
      </c>
      <c r="F45" s="678"/>
      <c r="G45" s="678"/>
      <c r="H45" s="668"/>
      <c r="I45" s="669"/>
    </row>
    <row r="46" spans="1:9" ht="15.75" thickBot="1" x14ac:dyDescent="0.3">
      <c r="A46" s="681" t="s">
        <v>28</v>
      </c>
      <c r="B46" s="682"/>
      <c r="C46" s="682"/>
      <c r="D46" s="682"/>
      <c r="E46" s="682"/>
      <c r="F46" s="682"/>
      <c r="G46" s="682"/>
      <c r="H46" s="682"/>
      <c r="I46" s="683"/>
    </row>
    <row r="47" spans="1:9" ht="18.600000000000001" customHeight="1" x14ac:dyDescent="0.25">
      <c r="A47" s="773" t="s">
        <v>263</v>
      </c>
      <c r="B47" s="774"/>
      <c r="C47" s="774"/>
      <c r="D47" s="774"/>
      <c r="E47" s="774"/>
      <c r="F47" s="774"/>
      <c r="G47" s="774"/>
      <c r="H47" s="774"/>
      <c r="I47" s="775"/>
    </row>
    <row r="48" spans="1:9" ht="14.45" customHeight="1" x14ac:dyDescent="0.25">
      <c r="A48" s="773" t="s">
        <v>264</v>
      </c>
      <c r="B48" s="774"/>
      <c r="C48" s="774"/>
      <c r="D48" s="774"/>
      <c r="E48" s="774"/>
      <c r="F48" s="774"/>
      <c r="G48" s="774"/>
      <c r="H48" s="774"/>
      <c r="I48" s="775"/>
    </row>
    <row r="49" spans="1:9" ht="14.45" customHeight="1" x14ac:dyDescent="0.25">
      <c r="A49" s="773" t="s">
        <v>265</v>
      </c>
      <c r="B49" s="774"/>
      <c r="C49" s="774"/>
      <c r="D49" s="774"/>
      <c r="E49" s="774"/>
      <c r="F49" s="774"/>
      <c r="G49" s="774"/>
      <c r="H49" s="774"/>
      <c r="I49" s="775"/>
    </row>
    <row r="50" spans="1:9" ht="14.45" customHeight="1" x14ac:dyDescent="0.25">
      <c r="A50" s="773" t="s">
        <v>266</v>
      </c>
      <c r="B50" s="774"/>
      <c r="C50" s="774"/>
      <c r="D50" s="774"/>
      <c r="E50" s="774"/>
      <c r="F50" s="774"/>
      <c r="G50" s="774"/>
      <c r="H50" s="774"/>
      <c r="I50" s="775"/>
    </row>
    <row r="51" spans="1:9" ht="14.45" customHeight="1" x14ac:dyDescent="0.25">
      <c r="A51" s="773" t="s">
        <v>267</v>
      </c>
      <c r="B51" s="774"/>
      <c r="C51" s="774"/>
      <c r="D51" s="774"/>
      <c r="E51" s="774"/>
      <c r="F51" s="774"/>
      <c r="G51" s="774"/>
      <c r="H51" s="774"/>
      <c r="I51" s="775"/>
    </row>
    <row r="52" spans="1:9" ht="14.45" customHeight="1" x14ac:dyDescent="0.25">
      <c r="A52" s="776"/>
      <c r="B52" s="777"/>
      <c r="C52" s="778"/>
      <c r="D52" s="778"/>
      <c r="E52" s="778"/>
      <c r="F52" s="778"/>
      <c r="G52" s="778"/>
      <c r="H52" s="778"/>
      <c r="I52" s="779"/>
    </row>
    <row r="53" spans="1:9" ht="18" customHeight="1" x14ac:dyDescent="0.25">
      <c r="A53" s="780"/>
      <c r="B53" s="781"/>
      <c r="C53" s="781"/>
      <c r="D53" s="781"/>
      <c r="E53" s="781"/>
      <c r="F53" s="781"/>
      <c r="G53" s="781"/>
      <c r="H53" s="781"/>
      <c r="I53" s="782"/>
    </row>
    <row r="54" spans="1:9" ht="15.75" thickBot="1" x14ac:dyDescent="0.3">
      <c r="A54" s="783"/>
      <c r="B54" s="784"/>
      <c r="C54" s="784"/>
      <c r="D54" s="784"/>
      <c r="E54" s="784"/>
      <c r="F54" s="784"/>
      <c r="G54" s="784"/>
      <c r="H54" s="784"/>
      <c r="I54" s="785"/>
    </row>
    <row r="55" spans="1:9" ht="15.75" thickBot="1" x14ac:dyDescent="0.3">
      <c r="A55" s="703"/>
      <c r="B55" s="704"/>
      <c r="C55" s="704"/>
      <c r="D55" s="704"/>
      <c r="E55" s="704"/>
      <c r="F55" s="704"/>
      <c r="G55" s="704"/>
      <c r="H55" s="704"/>
      <c r="I55" s="705"/>
    </row>
    <row r="56" spans="1:9" x14ac:dyDescent="0.25">
      <c r="A56" s="690" t="s">
        <v>29</v>
      </c>
      <c r="B56" s="691"/>
      <c r="C56" s="691"/>
      <c r="D56" s="691"/>
      <c r="E56" s="691"/>
      <c r="F56" s="691"/>
      <c r="G56" s="691"/>
      <c r="H56" s="691"/>
      <c r="I56" s="691"/>
    </row>
    <row r="57" spans="1:9" x14ac:dyDescent="0.25">
      <c r="A57" s="692"/>
      <c r="B57" s="693"/>
      <c r="C57" s="693"/>
      <c r="D57" s="693"/>
      <c r="E57" s="693"/>
      <c r="F57" s="693"/>
      <c r="G57" s="693"/>
      <c r="H57" s="693"/>
      <c r="I57" s="693"/>
    </row>
    <row r="58" spans="1:9" x14ac:dyDescent="0.25">
      <c r="A58" s="692"/>
      <c r="B58" s="693"/>
      <c r="C58" s="693"/>
      <c r="D58" s="693"/>
      <c r="E58" s="693"/>
      <c r="F58" s="693"/>
      <c r="G58" s="693"/>
      <c r="H58" s="693"/>
      <c r="I58" s="693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1C2E-5731-4835-8FF4-6F6180341FF9}">
  <dimension ref="A1:K37"/>
  <sheetViews>
    <sheetView topLeftCell="A6" workbookViewId="0">
      <selection activeCell="K11" sqref="K11"/>
    </sheetView>
  </sheetViews>
  <sheetFormatPr baseColWidth="10" defaultRowHeight="15" x14ac:dyDescent="0.25"/>
  <cols>
    <col min="3" max="3" width="44.28515625" customWidth="1"/>
    <col min="4" max="4" width="22.140625" customWidth="1"/>
    <col min="7" max="7" width="11.85546875" customWidth="1"/>
    <col min="8" max="8" width="26.42578125" customWidth="1"/>
    <col min="9" max="9" width="17.42578125" bestFit="1" customWidth="1"/>
  </cols>
  <sheetData>
    <row r="1" spans="1:11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60</v>
      </c>
    </row>
    <row r="2" spans="1:11" ht="16.5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5</v>
      </c>
    </row>
    <row r="3" spans="1:11" ht="18.75" thickBot="1" x14ac:dyDescent="0.3">
      <c r="A3" s="580"/>
      <c r="B3" s="581"/>
      <c r="C3" s="652" t="s">
        <v>268</v>
      </c>
      <c r="D3" s="653"/>
      <c r="E3" s="653"/>
      <c r="F3" s="653"/>
      <c r="G3" s="654"/>
      <c r="H3" s="591" t="s">
        <v>6</v>
      </c>
      <c r="I3" s="569">
        <v>45615</v>
      </c>
    </row>
    <row r="4" spans="1:11" ht="18" customHeight="1" x14ac:dyDescent="0.25">
      <c r="A4" s="580"/>
      <c r="B4" s="581"/>
      <c r="C4" s="76" t="s">
        <v>7</v>
      </c>
      <c r="D4" s="572" t="s">
        <v>73</v>
      </c>
      <c r="E4" s="573"/>
      <c r="F4" s="573"/>
      <c r="G4" s="574"/>
      <c r="H4" s="592"/>
      <c r="I4" s="570"/>
    </row>
    <row r="5" spans="1:11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11" ht="18.75" thickBot="1" x14ac:dyDescent="0.3">
      <c r="A6" s="559" t="s">
        <v>9</v>
      </c>
      <c r="B6" s="559"/>
      <c r="C6" s="559"/>
      <c r="D6" s="488" t="s">
        <v>33</v>
      </c>
      <c r="E6" s="488"/>
      <c r="F6" s="488"/>
      <c r="G6" s="561" t="s">
        <v>10</v>
      </c>
      <c r="H6" s="561"/>
      <c r="I6" s="3" t="s">
        <v>33</v>
      </c>
    </row>
    <row r="7" spans="1:11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11" ht="27" thickBot="1" x14ac:dyDescent="0.3">
      <c r="A8" s="761"/>
      <c r="B8" s="491"/>
      <c r="C8" s="493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11" x14ac:dyDescent="0.25">
      <c r="A9" s="82"/>
      <c r="B9" s="60" t="s">
        <v>269</v>
      </c>
      <c r="C9" s="60" t="s">
        <v>270</v>
      </c>
      <c r="D9" s="65" t="s">
        <v>271</v>
      </c>
      <c r="E9" s="67">
        <f>565*7.69</f>
        <v>4344.8500000000004</v>
      </c>
      <c r="F9" s="4" t="s">
        <v>19</v>
      </c>
      <c r="G9" s="83"/>
      <c r="H9" s="4"/>
      <c r="I9" s="84"/>
      <c r="K9">
        <f>10000/D22</f>
        <v>1</v>
      </c>
    </row>
    <row r="10" spans="1:11" x14ac:dyDescent="0.25">
      <c r="A10" s="82"/>
      <c r="B10" s="60" t="s">
        <v>272</v>
      </c>
      <c r="C10" s="60" t="s">
        <v>273</v>
      </c>
      <c r="D10" s="66" t="s">
        <v>219</v>
      </c>
      <c r="E10" s="67">
        <f>90*7.69</f>
        <v>692.1</v>
      </c>
      <c r="F10" s="71" t="s">
        <v>19</v>
      </c>
      <c r="G10" s="356"/>
      <c r="H10" s="357"/>
      <c r="I10" s="84"/>
    </row>
    <row r="11" spans="1:11" x14ac:dyDescent="0.25">
      <c r="A11" s="82"/>
      <c r="B11" s="393"/>
      <c r="C11" s="394" t="s">
        <v>242</v>
      </c>
      <c r="D11" s="395" t="s">
        <v>18</v>
      </c>
      <c r="E11" s="67">
        <f>627*7.69</f>
        <v>4821.63</v>
      </c>
      <c r="F11" s="71" t="s">
        <v>19</v>
      </c>
      <c r="G11" s="356"/>
      <c r="H11" s="357"/>
      <c r="I11" s="84"/>
    </row>
    <row r="12" spans="1:11" x14ac:dyDescent="0.25">
      <c r="A12" s="82"/>
      <c r="B12" s="396"/>
      <c r="C12" s="397" t="s">
        <v>242</v>
      </c>
      <c r="D12" s="398" t="s">
        <v>18</v>
      </c>
      <c r="E12" s="67">
        <f>160*7.69</f>
        <v>1230.4000000000001</v>
      </c>
      <c r="F12" s="71" t="s">
        <v>19</v>
      </c>
      <c r="G12" s="356"/>
      <c r="H12" s="357" t="s">
        <v>274</v>
      </c>
      <c r="I12" s="84"/>
    </row>
    <row r="13" spans="1:11" x14ac:dyDescent="0.25">
      <c r="A13" s="82"/>
      <c r="B13" s="60" t="s">
        <v>275</v>
      </c>
      <c r="C13" s="60" t="s">
        <v>276</v>
      </c>
      <c r="D13" s="65" t="s">
        <v>277</v>
      </c>
      <c r="E13" s="67">
        <f>1*7.69</f>
        <v>7.69</v>
      </c>
      <c r="F13" s="71" t="s">
        <v>38</v>
      </c>
      <c r="G13" s="356"/>
      <c r="H13" s="357" t="s">
        <v>278</v>
      </c>
      <c r="I13" s="84"/>
    </row>
    <row r="14" spans="1:11" x14ac:dyDescent="0.25">
      <c r="A14" s="82"/>
      <c r="B14" t="s">
        <v>279</v>
      </c>
      <c r="C14" t="s">
        <v>280</v>
      </c>
      <c r="D14" s="350" t="s">
        <v>281</v>
      </c>
      <c r="E14" s="71">
        <f>1*7.69</f>
        <v>7.69</v>
      </c>
      <c r="F14" s="71" t="s">
        <v>19</v>
      </c>
      <c r="G14" s="356"/>
      <c r="H14" s="357"/>
      <c r="I14" s="84"/>
    </row>
    <row r="15" spans="1:11" ht="15.75" x14ac:dyDescent="0.25">
      <c r="A15" s="82"/>
      <c r="B15" s="60" t="s">
        <v>236</v>
      </c>
      <c r="C15" s="60" t="s">
        <v>237</v>
      </c>
      <c r="D15" s="69"/>
      <c r="E15" s="360">
        <v>8</v>
      </c>
      <c r="F15" s="69" t="s">
        <v>19</v>
      </c>
      <c r="G15" s="356"/>
      <c r="H15" s="357"/>
      <c r="I15" s="84"/>
    </row>
    <row r="16" spans="1:11" ht="15.75" x14ac:dyDescent="0.25">
      <c r="A16" s="82"/>
      <c r="B16" s="60" t="s">
        <v>245</v>
      </c>
      <c r="C16" s="60" t="s">
        <v>246</v>
      </c>
      <c r="D16" s="69"/>
      <c r="E16" s="360">
        <f>1*7.69</f>
        <v>7.69</v>
      </c>
      <c r="F16" s="69" t="s">
        <v>19</v>
      </c>
      <c r="G16" s="356"/>
      <c r="H16" s="357"/>
      <c r="I16" s="84"/>
    </row>
    <row r="17" spans="1:9" x14ac:dyDescent="0.25">
      <c r="A17" s="82"/>
      <c r="B17" s="61"/>
      <c r="C17" s="399"/>
      <c r="D17" s="65"/>
      <c r="E17" s="67"/>
      <c r="F17" s="71"/>
      <c r="G17" s="356"/>
      <c r="H17" s="357"/>
      <c r="I17" s="84"/>
    </row>
    <row r="18" spans="1:9" ht="15.75" x14ac:dyDescent="0.25">
      <c r="A18" s="82"/>
      <c r="B18" s="61"/>
      <c r="C18" s="60"/>
      <c r="D18" s="52"/>
      <c r="E18" s="69"/>
      <c r="F18" s="69"/>
      <c r="G18" s="356"/>
      <c r="H18" s="357"/>
      <c r="I18" s="84"/>
    </row>
    <row r="19" spans="1:9" ht="15.75" x14ac:dyDescent="0.25">
      <c r="A19" s="90"/>
      <c r="B19" s="281"/>
      <c r="C19" s="64"/>
      <c r="D19" s="89"/>
      <c r="E19" s="89"/>
      <c r="F19" s="71"/>
      <c r="G19" s="308"/>
      <c r="H19" s="308"/>
      <c r="I19" s="84"/>
    </row>
    <row r="20" spans="1:9" ht="15.75" thickBot="1" x14ac:dyDescent="0.3">
      <c r="A20" s="92"/>
      <c r="B20" s="6"/>
      <c r="C20" s="7"/>
      <c r="D20" s="7"/>
      <c r="E20" s="8"/>
      <c r="F20" s="9"/>
      <c r="G20" s="7"/>
      <c r="H20" s="7"/>
      <c r="I20" s="10"/>
    </row>
    <row r="21" spans="1:9" ht="15.75" thickBot="1" x14ac:dyDescent="0.3">
      <c r="A21" s="93"/>
      <c r="B21" s="94"/>
      <c r="C21" s="95"/>
      <c r="D21" s="96" t="s">
        <v>16</v>
      </c>
      <c r="E21" s="97" t="s">
        <v>20</v>
      </c>
      <c r="F21" s="98"/>
      <c r="G21" s="95"/>
      <c r="H21" s="95"/>
      <c r="I21" s="99"/>
    </row>
    <row r="22" spans="1:9" x14ac:dyDescent="0.25">
      <c r="A22" s="658" t="s">
        <v>22</v>
      </c>
      <c r="B22" s="659"/>
      <c r="C22" s="660"/>
      <c r="D22" s="33">
        <v>10000</v>
      </c>
      <c r="E22" s="101" t="s">
        <v>19</v>
      </c>
      <c r="F22" s="661" t="s">
        <v>68</v>
      </c>
      <c r="G22" s="661"/>
      <c r="H22" s="662"/>
      <c r="I22" s="663"/>
    </row>
    <row r="23" spans="1:9" x14ac:dyDescent="0.25">
      <c r="A23" s="664" t="s">
        <v>23</v>
      </c>
      <c r="B23" s="665"/>
      <c r="C23" s="666"/>
      <c r="D23" s="33">
        <v>15</v>
      </c>
      <c r="E23" s="88" t="s">
        <v>69</v>
      </c>
      <c r="F23" s="667" t="s">
        <v>70</v>
      </c>
      <c r="G23" s="667"/>
      <c r="H23" s="668"/>
      <c r="I23" s="669"/>
    </row>
    <row r="24" spans="1:9" x14ac:dyDescent="0.25">
      <c r="A24" s="664" t="s">
        <v>25</v>
      </c>
      <c r="B24" s="665"/>
      <c r="C24" s="666"/>
      <c r="D24" s="33">
        <v>1</v>
      </c>
      <c r="E24" s="88" t="s">
        <v>247</v>
      </c>
      <c r="F24" s="667" t="s">
        <v>71</v>
      </c>
      <c r="G24" s="667"/>
      <c r="H24" s="668"/>
      <c r="I24" s="669"/>
    </row>
    <row r="25" spans="1:9" x14ac:dyDescent="0.25">
      <c r="A25" s="664" t="s">
        <v>26</v>
      </c>
      <c r="B25" s="665"/>
      <c r="C25" s="666"/>
      <c r="D25" s="33">
        <v>10000</v>
      </c>
      <c r="E25" s="88" t="s">
        <v>19</v>
      </c>
      <c r="F25" s="673" t="s">
        <v>72</v>
      </c>
      <c r="G25" s="674"/>
      <c r="H25" s="762"/>
      <c r="I25" s="763"/>
    </row>
    <row r="26" spans="1:9" ht="15.75" thickBot="1" x14ac:dyDescent="0.3">
      <c r="A26" s="675" t="s">
        <v>27</v>
      </c>
      <c r="B26" s="676"/>
      <c r="C26" s="677"/>
      <c r="D26" s="50">
        <f>SUM(E9:E16)-D22</f>
        <v>1120.0500000000029</v>
      </c>
      <c r="E26" s="103" t="s">
        <v>19</v>
      </c>
      <c r="F26" s="678"/>
      <c r="G26" s="678"/>
      <c r="H26" s="668"/>
      <c r="I26" s="669"/>
    </row>
    <row r="27" spans="1:9" ht="15.75" thickBot="1" x14ac:dyDescent="0.3">
      <c r="A27" s="681" t="s">
        <v>28</v>
      </c>
      <c r="B27" s="682"/>
      <c r="C27" s="682"/>
      <c r="D27" s="682"/>
      <c r="E27" s="682"/>
      <c r="F27" s="682"/>
      <c r="G27" s="682"/>
      <c r="H27" s="682"/>
      <c r="I27" s="683"/>
    </row>
    <row r="28" spans="1:9" ht="17.25" thickBot="1" x14ac:dyDescent="0.3">
      <c r="A28" s="786" t="s">
        <v>282</v>
      </c>
      <c r="B28" s="787"/>
      <c r="C28" s="787"/>
      <c r="D28" s="787"/>
      <c r="E28" s="787"/>
      <c r="F28" s="787"/>
      <c r="G28" s="787"/>
      <c r="H28" s="787"/>
      <c r="I28" s="788"/>
    </row>
    <row r="29" spans="1:9" ht="17.25" thickBot="1" x14ac:dyDescent="0.3">
      <c r="A29" s="786" t="s">
        <v>283</v>
      </c>
      <c r="B29" s="787"/>
      <c r="C29" s="787"/>
      <c r="D29" s="787"/>
      <c r="E29" s="787"/>
      <c r="F29" s="787"/>
      <c r="G29" s="787"/>
      <c r="H29" s="787"/>
      <c r="I29" s="788"/>
    </row>
    <row r="30" spans="1:9" ht="16.5" x14ac:dyDescent="0.25">
      <c r="A30" s="786" t="s">
        <v>284</v>
      </c>
      <c r="B30" s="787"/>
      <c r="C30" s="787"/>
      <c r="D30" s="787"/>
      <c r="E30" s="787"/>
      <c r="F30" s="787"/>
      <c r="G30" s="787"/>
      <c r="H30" s="787"/>
      <c r="I30" s="788"/>
    </row>
    <row r="31" spans="1:9" ht="17.25" thickBot="1" x14ac:dyDescent="0.35">
      <c r="A31" s="764" t="s">
        <v>285</v>
      </c>
      <c r="B31" s="764"/>
      <c r="C31" s="764"/>
      <c r="D31" s="764"/>
      <c r="E31" s="764"/>
      <c r="F31" s="764"/>
      <c r="G31" s="764"/>
      <c r="H31" s="764"/>
      <c r="I31" s="764"/>
    </row>
    <row r="32" spans="1:9" ht="15.75" x14ac:dyDescent="0.25">
      <c r="A32" s="765"/>
      <c r="B32" s="766"/>
      <c r="C32" s="767"/>
      <c r="D32" s="767"/>
      <c r="E32" s="767"/>
      <c r="F32" s="767"/>
      <c r="G32" s="767"/>
      <c r="H32" s="767"/>
      <c r="I32" s="768"/>
    </row>
    <row r="33" spans="1:9" x14ac:dyDescent="0.25">
      <c r="A33" s="769"/>
      <c r="B33" s="770"/>
      <c r="C33" s="771"/>
      <c r="D33" s="771"/>
      <c r="E33" s="771"/>
      <c r="F33" s="771"/>
      <c r="G33" s="771"/>
      <c r="H33" s="771"/>
      <c r="I33" s="772"/>
    </row>
    <row r="34" spans="1:9" ht="15.75" thickBot="1" x14ac:dyDescent="0.3">
      <c r="A34" s="703"/>
      <c r="B34" s="704"/>
      <c r="C34" s="704"/>
      <c r="D34" s="704"/>
      <c r="E34" s="704"/>
      <c r="F34" s="704"/>
      <c r="G34" s="704"/>
      <c r="H34" s="704"/>
      <c r="I34" s="705"/>
    </row>
    <row r="35" spans="1:9" x14ac:dyDescent="0.25">
      <c r="A35" s="690" t="s">
        <v>29</v>
      </c>
      <c r="B35" s="691"/>
      <c r="C35" s="691"/>
      <c r="D35" s="691"/>
      <c r="E35" s="691"/>
      <c r="F35" s="691"/>
      <c r="G35" s="691"/>
      <c r="H35" s="691"/>
      <c r="I35" s="691"/>
    </row>
    <row r="36" spans="1:9" x14ac:dyDescent="0.25">
      <c r="A36" s="692"/>
      <c r="B36" s="693"/>
      <c r="C36" s="693"/>
      <c r="D36" s="693"/>
      <c r="E36" s="693"/>
      <c r="F36" s="693"/>
      <c r="G36" s="693"/>
      <c r="H36" s="693"/>
      <c r="I36" s="693"/>
    </row>
    <row r="37" spans="1:9" x14ac:dyDescent="0.25">
      <c r="A37" s="692"/>
      <c r="B37" s="693"/>
      <c r="C37" s="693"/>
      <c r="D37" s="693"/>
      <c r="E37" s="693"/>
      <c r="F37" s="693"/>
      <c r="G37" s="693"/>
      <c r="H37" s="693"/>
      <c r="I37" s="693"/>
    </row>
  </sheetData>
  <mergeCells count="43">
    <mergeCell ref="A36:I36"/>
    <mergeCell ref="A37:I37"/>
    <mergeCell ref="A30:I30"/>
    <mergeCell ref="A31:I31"/>
    <mergeCell ref="A32:I32"/>
    <mergeCell ref="A33:I33"/>
    <mergeCell ref="A34:I34"/>
    <mergeCell ref="A35:I35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86C7-F40D-4923-962D-4A9553CDBC77}">
  <dimension ref="A1:I35"/>
  <sheetViews>
    <sheetView workbookViewId="0">
      <selection activeCell="D12" sqref="D12"/>
    </sheetView>
  </sheetViews>
  <sheetFormatPr baseColWidth="10" defaultRowHeight="15" x14ac:dyDescent="0.25"/>
  <cols>
    <col min="3" max="3" width="44.28515625" customWidth="1"/>
    <col min="4" max="4" width="22.140625" customWidth="1"/>
    <col min="7" max="7" width="11.85546875" customWidth="1"/>
    <col min="8" max="8" width="26.42578125" customWidth="1"/>
    <col min="9" max="9" width="17.42578125" bestFit="1" customWidth="1"/>
  </cols>
  <sheetData>
    <row r="1" spans="1:9" ht="15.75" x14ac:dyDescent="0.25">
      <c r="A1" s="578"/>
      <c r="B1" s="579"/>
      <c r="C1" s="584" t="s">
        <v>0</v>
      </c>
      <c r="D1" s="584"/>
      <c r="E1" s="584"/>
      <c r="F1" s="584"/>
      <c r="G1" s="584"/>
      <c r="H1" s="72" t="s">
        <v>1</v>
      </c>
      <c r="I1" s="73" t="s">
        <v>60</v>
      </c>
    </row>
    <row r="2" spans="1:9" ht="16.5" thickBot="1" x14ac:dyDescent="0.3">
      <c r="A2" s="580"/>
      <c r="B2" s="581"/>
      <c r="C2" s="585" t="s">
        <v>3</v>
      </c>
      <c r="D2" s="586"/>
      <c r="E2" s="586"/>
      <c r="F2" s="586"/>
      <c r="G2" s="587"/>
      <c r="H2" s="74" t="s">
        <v>4</v>
      </c>
      <c r="I2" s="75" t="s">
        <v>5</v>
      </c>
    </row>
    <row r="3" spans="1:9" ht="18.75" thickBot="1" x14ac:dyDescent="0.3">
      <c r="A3" s="580"/>
      <c r="B3" s="581"/>
      <c r="C3" s="652" t="s">
        <v>286</v>
      </c>
      <c r="D3" s="653"/>
      <c r="E3" s="653"/>
      <c r="F3" s="653"/>
      <c r="G3" s="654"/>
      <c r="H3" s="591" t="s">
        <v>6</v>
      </c>
      <c r="I3" s="569">
        <v>45615</v>
      </c>
    </row>
    <row r="4" spans="1:9" ht="18" customHeight="1" x14ac:dyDescent="0.25">
      <c r="A4" s="580"/>
      <c r="B4" s="581"/>
      <c r="C4" s="76" t="s">
        <v>7</v>
      </c>
      <c r="D4" s="572" t="s">
        <v>73</v>
      </c>
      <c r="E4" s="573"/>
      <c r="F4" s="573"/>
      <c r="G4" s="574"/>
      <c r="H4" s="592"/>
      <c r="I4" s="570"/>
    </row>
    <row r="5" spans="1:9" ht="15.75" thickBot="1" x14ac:dyDescent="0.3">
      <c r="A5" s="582"/>
      <c r="B5" s="583"/>
      <c r="C5" s="77" t="s">
        <v>8</v>
      </c>
      <c r="D5" s="575" t="s">
        <v>61</v>
      </c>
      <c r="E5" s="576"/>
      <c r="F5" s="576"/>
      <c r="G5" s="577"/>
      <c r="H5" s="593"/>
      <c r="I5" s="571"/>
    </row>
    <row r="6" spans="1:9" ht="18.75" thickBot="1" x14ac:dyDescent="0.3">
      <c r="A6" s="559" t="s">
        <v>9</v>
      </c>
      <c r="B6" s="559"/>
      <c r="C6" s="559"/>
      <c r="D6" s="488" t="s">
        <v>33</v>
      </c>
      <c r="E6" s="488"/>
      <c r="F6" s="488"/>
      <c r="G6" s="561" t="s">
        <v>10</v>
      </c>
      <c r="H6" s="561"/>
      <c r="I6" s="3" t="s">
        <v>33</v>
      </c>
    </row>
    <row r="7" spans="1:9" ht="25.5" x14ac:dyDescent="0.25">
      <c r="A7" s="655" t="s">
        <v>63</v>
      </c>
      <c r="B7" s="490" t="s">
        <v>11</v>
      </c>
      <c r="C7" s="492" t="s">
        <v>12</v>
      </c>
      <c r="D7" s="492" t="s">
        <v>13</v>
      </c>
      <c r="E7" s="492" t="s">
        <v>64</v>
      </c>
      <c r="F7" s="492"/>
      <c r="G7" s="492" t="s">
        <v>65</v>
      </c>
      <c r="H7" s="492"/>
      <c r="I7" s="78" t="s">
        <v>66</v>
      </c>
    </row>
    <row r="8" spans="1:9" ht="27" thickBot="1" x14ac:dyDescent="0.3">
      <c r="A8" s="761"/>
      <c r="B8" s="491"/>
      <c r="C8" s="493"/>
      <c r="D8" s="494"/>
      <c r="E8" s="79" t="s">
        <v>16</v>
      </c>
      <c r="F8" s="80" t="s">
        <v>17</v>
      </c>
      <c r="G8" s="79" t="s">
        <v>16</v>
      </c>
      <c r="H8" s="80" t="s">
        <v>17</v>
      </c>
      <c r="I8" s="81" t="s">
        <v>67</v>
      </c>
    </row>
    <row r="9" spans="1:9" x14ac:dyDescent="0.25">
      <c r="A9" s="82"/>
      <c r="B9" s="400" t="s">
        <v>287</v>
      </c>
      <c r="C9" s="297" t="s">
        <v>288</v>
      </c>
      <c r="D9" s="65" t="s">
        <v>18</v>
      </c>
      <c r="E9" s="312">
        <v>5000</v>
      </c>
      <c r="F9" s="67" t="s">
        <v>19</v>
      </c>
      <c r="G9" s="83"/>
      <c r="H9" s="4"/>
      <c r="I9" s="84"/>
    </row>
    <row r="10" spans="1:9" x14ac:dyDescent="0.25">
      <c r="A10" s="82"/>
      <c r="B10" s="401"/>
      <c r="C10" s="297"/>
      <c r="D10" s="65"/>
      <c r="E10" s="312"/>
      <c r="F10" s="67"/>
      <c r="G10" s="356"/>
      <c r="H10" s="357"/>
      <c r="I10" s="84"/>
    </row>
    <row r="11" spans="1:9" x14ac:dyDescent="0.25">
      <c r="A11" s="82"/>
      <c r="B11" s="400"/>
      <c r="C11" s="402"/>
      <c r="D11" s="65"/>
      <c r="E11" s="312"/>
      <c r="F11" s="67"/>
      <c r="G11" s="356"/>
      <c r="H11" s="357"/>
      <c r="I11" s="84"/>
    </row>
    <row r="12" spans="1:9" x14ac:dyDescent="0.25">
      <c r="A12" s="82"/>
      <c r="B12" s="60" t="s">
        <v>289</v>
      </c>
      <c r="C12" s="399" t="s">
        <v>290</v>
      </c>
      <c r="D12" s="65"/>
      <c r="E12" s="312">
        <v>1</v>
      </c>
      <c r="F12" s="67" t="s">
        <v>38</v>
      </c>
      <c r="G12" s="356"/>
      <c r="H12" s="357"/>
      <c r="I12" s="84"/>
    </row>
    <row r="13" spans="1:9" x14ac:dyDescent="0.25">
      <c r="A13" s="82"/>
      <c r="B13" s="60" t="s">
        <v>39</v>
      </c>
      <c r="C13" s="104" t="s">
        <v>291</v>
      </c>
      <c r="D13" s="65" t="s">
        <v>42</v>
      </c>
      <c r="E13" s="312">
        <v>1</v>
      </c>
      <c r="F13" s="67" t="s">
        <v>38</v>
      </c>
      <c r="G13" s="356"/>
      <c r="H13" s="357"/>
      <c r="I13" s="84"/>
    </row>
    <row r="14" spans="1:9" x14ac:dyDescent="0.25">
      <c r="A14" s="82"/>
      <c r="B14" s="60" t="s">
        <v>292</v>
      </c>
      <c r="C14" s="104" t="s">
        <v>293</v>
      </c>
      <c r="D14" s="65" t="s">
        <v>40</v>
      </c>
      <c r="E14" s="312">
        <v>1</v>
      </c>
      <c r="F14" s="67" t="s">
        <v>38</v>
      </c>
      <c r="G14" s="356"/>
      <c r="H14" s="357"/>
      <c r="I14" s="84"/>
    </row>
    <row r="15" spans="1:9" ht="15.75" x14ac:dyDescent="0.25">
      <c r="A15" s="82"/>
      <c r="B15" s="60"/>
      <c r="C15" s="60"/>
      <c r="D15" s="69"/>
      <c r="E15" s="360"/>
      <c r="F15" s="69"/>
      <c r="G15" s="356"/>
      <c r="H15" s="357"/>
      <c r="I15" s="84"/>
    </row>
    <row r="16" spans="1:9" ht="15.75" x14ac:dyDescent="0.25">
      <c r="A16" s="82"/>
      <c r="B16" s="61"/>
      <c r="C16" s="60"/>
      <c r="D16" s="52"/>
      <c r="E16" s="69"/>
      <c r="F16" s="69"/>
      <c r="G16" s="356"/>
      <c r="H16" s="357"/>
      <c r="I16" s="84"/>
    </row>
    <row r="17" spans="1:9" ht="15.75" x14ac:dyDescent="0.25">
      <c r="A17" s="90"/>
      <c r="B17" s="281"/>
      <c r="C17" s="64"/>
      <c r="D17" s="89"/>
      <c r="E17" s="89"/>
      <c r="F17" s="71"/>
      <c r="G17" s="308"/>
      <c r="H17" s="308"/>
      <c r="I17" s="84"/>
    </row>
    <row r="18" spans="1:9" ht="15.75" thickBot="1" x14ac:dyDescent="0.3">
      <c r="A18" s="92"/>
      <c r="B18" s="6"/>
      <c r="C18" s="7"/>
      <c r="D18" s="7"/>
      <c r="E18" s="8"/>
      <c r="F18" s="9"/>
      <c r="G18" s="7"/>
      <c r="H18" s="7"/>
      <c r="I18" s="10"/>
    </row>
    <row r="19" spans="1:9" ht="15.75" thickBot="1" x14ac:dyDescent="0.3">
      <c r="A19" s="93"/>
      <c r="B19" s="94"/>
      <c r="C19" s="95"/>
      <c r="D19" s="96" t="s">
        <v>16</v>
      </c>
      <c r="E19" s="97" t="s">
        <v>20</v>
      </c>
      <c r="F19" s="98"/>
      <c r="G19" s="95"/>
      <c r="H19" s="95"/>
      <c r="I19" s="99"/>
    </row>
    <row r="20" spans="1:9" x14ac:dyDescent="0.25">
      <c r="A20" s="658" t="s">
        <v>22</v>
      </c>
      <c r="B20" s="659"/>
      <c r="C20" s="660"/>
      <c r="D20" s="100">
        <v>5000</v>
      </c>
      <c r="E20" s="101" t="s">
        <v>19</v>
      </c>
      <c r="F20" s="661" t="s">
        <v>68</v>
      </c>
      <c r="G20" s="661"/>
      <c r="H20" s="662"/>
      <c r="I20" s="663"/>
    </row>
    <row r="21" spans="1:9" x14ac:dyDescent="0.25">
      <c r="A21" s="664" t="s">
        <v>23</v>
      </c>
      <c r="B21" s="665"/>
      <c r="C21" s="666"/>
      <c r="D21" s="88">
        <v>2</v>
      </c>
      <c r="E21" s="88" t="s">
        <v>69</v>
      </c>
      <c r="F21" s="667" t="s">
        <v>70</v>
      </c>
      <c r="G21" s="667"/>
      <c r="H21" s="668"/>
      <c r="I21" s="669"/>
    </row>
    <row r="22" spans="1:9" x14ac:dyDescent="0.25">
      <c r="A22" s="664" t="s">
        <v>25</v>
      </c>
      <c r="B22" s="665"/>
      <c r="C22" s="666"/>
      <c r="D22" s="88">
        <f>+D20/D23</f>
        <v>1</v>
      </c>
      <c r="E22" s="88" t="s">
        <v>247</v>
      </c>
      <c r="F22" s="667" t="s">
        <v>71</v>
      </c>
      <c r="G22" s="667"/>
      <c r="H22" s="668"/>
      <c r="I22" s="669"/>
    </row>
    <row r="23" spans="1:9" x14ac:dyDescent="0.25">
      <c r="A23" s="664" t="s">
        <v>26</v>
      </c>
      <c r="B23" s="665"/>
      <c r="C23" s="666"/>
      <c r="D23" s="88">
        <v>5000</v>
      </c>
      <c r="E23" s="88" t="s">
        <v>19</v>
      </c>
      <c r="F23" s="673" t="s">
        <v>72</v>
      </c>
      <c r="G23" s="674"/>
      <c r="H23" s="762"/>
      <c r="I23" s="763"/>
    </row>
    <row r="24" spans="1:9" ht="15.75" thickBot="1" x14ac:dyDescent="0.3">
      <c r="A24" s="675" t="s">
        <v>27</v>
      </c>
      <c r="B24" s="676"/>
      <c r="C24" s="677"/>
      <c r="D24" s="102">
        <v>0</v>
      </c>
      <c r="E24" s="103" t="s">
        <v>19</v>
      </c>
      <c r="F24" s="678"/>
      <c r="G24" s="678"/>
      <c r="H24" s="668"/>
      <c r="I24" s="669"/>
    </row>
    <row r="25" spans="1:9" ht="15.75" thickBot="1" x14ac:dyDescent="0.3">
      <c r="A25" s="681" t="s">
        <v>28</v>
      </c>
      <c r="B25" s="682"/>
      <c r="C25" s="682"/>
      <c r="D25" s="682"/>
      <c r="E25" s="682"/>
      <c r="F25" s="682"/>
      <c r="G25" s="682"/>
      <c r="H25" s="682"/>
      <c r="I25" s="683"/>
    </row>
    <row r="26" spans="1:9" ht="15.4" customHeight="1" x14ac:dyDescent="0.25">
      <c r="A26" s="792" t="s">
        <v>294</v>
      </c>
      <c r="B26" s="793"/>
      <c r="C26" s="793"/>
      <c r="D26" s="793"/>
      <c r="E26" s="793"/>
      <c r="F26" s="793"/>
      <c r="G26" s="793"/>
      <c r="H26" s="793"/>
      <c r="I26" s="794"/>
    </row>
    <row r="27" spans="1:9" ht="15.75" thickBot="1" x14ac:dyDescent="0.3">
      <c r="A27" s="789" t="s">
        <v>295</v>
      </c>
      <c r="B27" s="790"/>
      <c r="C27" s="790"/>
      <c r="D27" s="790"/>
      <c r="E27" s="790"/>
      <c r="F27" s="790"/>
      <c r="G27" s="790"/>
      <c r="H27" s="790"/>
      <c r="I27" s="791"/>
    </row>
    <row r="28" spans="1:9" ht="16.5" x14ac:dyDescent="0.25">
      <c r="A28" s="786"/>
      <c r="B28" s="787"/>
      <c r="C28" s="787"/>
      <c r="D28" s="787"/>
      <c r="E28" s="787"/>
      <c r="F28" s="787"/>
      <c r="G28" s="787"/>
      <c r="H28" s="787"/>
      <c r="I28" s="788"/>
    </row>
    <row r="29" spans="1:9" ht="17.25" thickBot="1" x14ac:dyDescent="0.35">
      <c r="A29" s="764"/>
      <c r="B29" s="764"/>
      <c r="C29" s="764"/>
      <c r="D29" s="764"/>
      <c r="E29" s="764"/>
      <c r="F29" s="764"/>
      <c r="G29" s="764"/>
      <c r="H29" s="764"/>
      <c r="I29" s="764"/>
    </row>
    <row r="30" spans="1:9" ht="15.75" x14ac:dyDescent="0.25">
      <c r="A30" s="765"/>
      <c r="B30" s="766"/>
      <c r="C30" s="767"/>
      <c r="D30" s="767"/>
      <c r="E30" s="767"/>
      <c r="F30" s="767"/>
      <c r="G30" s="767"/>
      <c r="H30" s="767"/>
      <c r="I30" s="768"/>
    </row>
    <row r="31" spans="1:9" x14ac:dyDescent="0.25">
      <c r="A31" s="769"/>
      <c r="B31" s="770"/>
      <c r="C31" s="771"/>
      <c r="D31" s="771"/>
      <c r="E31" s="771"/>
      <c r="F31" s="771"/>
      <c r="G31" s="771"/>
      <c r="H31" s="771"/>
      <c r="I31" s="772"/>
    </row>
    <row r="32" spans="1:9" ht="15.75" thickBot="1" x14ac:dyDescent="0.3">
      <c r="A32" s="703"/>
      <c r="B32" s="704"/>
      <c r="C32" s="704"/>
      <c r="D32" s="704"/>
      <c r="E32" s="704"/>
      <c r="F32" s="704"/>
      <c r="G32" s="704"/>
      <c r="H32" s="704"/>
      <c r="I32" s="705"/>
    </row>
    <row r="33" spans="1:9" x14ac:dyDescent="0.25">
      <c r="A33" s="690" t="s">
        <v>29</v>
      </c>
      <c r="B33" s="691"/>
      <c r="C33" s="691"/>
      <c r="D33" s="691"/>
      <c r="E33" s="691"/>
      <c r="F33" s="691"/>
      <c r="G33" s="691"/>
      <c r="H33" s="691"/>
      <c r="I33" s="691"/>
    </row>
    <row r="34" spans="1:9" x14ac:dyDescent="0.25">
      <c r="A34" s="692"/>
      <c r="B34" s="693"/>
      <c r="C34" s="693"/>
      <c r="D34" s="693"/>
      <c r="E34" s="693"/>
      <c r="F34" s="693"/>
      <c r="G34" s="693"/>
      <c r="H34" s="693"/>
      <c r="I34" s="693"/>
    </row>
    <row r="35" spans="1:9" x14ac:dyDescent="0.25">
      <c r="A35" s="692"/>
      <c r="B35" s="693"/>
      <c r="C35" s="693"/>
      <c r="D35" s="693"/>
      <c r="E35" s="693"/>
      <c r="F35" s="693"/>
      <c r="G35" s="693"/>
      <c r="H35" s="693"/>
      <c r="I35" s="693"/>
    </row>
  </sheetData>
  <mergeCells count="43">
    <mergeCell ref="A34:I34"/>
    <mergeCell ref="A35:I35"/>
    <mergeCell ref="A28:I28"/>
    <mergeCell ref="A29:I29"/>
    <mergeCell ref="A30:I30"/>
    <mergeCell ref="A31:I31"/>
    <mergeCell ref="A32:I32"/>
    <mergeCell ref="A33:I33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B74B-EE92-4473-8652-FA0BB745DA5A}">
  <dimension ref="A1:Q91"/>
  <sheetViews>
    <sheetView workbookViewId="0">
      <selection activeCell="L26" sqref="L26"/>
    </sheetView>
  </sheetViews>
  <sheetFormatPr baseColWidth="10" defaultColWidth="8.42578125" defaultRowHeight="12.75" x14ac:dyDescent="0.25"/>
  <cols>
    <col min="1" max="1" width="10" style="111" bestFit="1" customWidth="1"/>
    <col min="2" max="2" width="44.28515625" style="111" bestFit="1" customWidth="1"/>
    <col min="3" max="3" width="10.42578125" style="111" bestFit="1" customWidth="1"/>
    <col min="4" max="4" width="10.42578125" style="111" customWidth="1"/>
    <col min="5" max="5" width="9.7109375" style="111" bestFit="1" customWidth="1"/>
    <col min="6" max="6" width="9.5703125" style="111" bestFit="1" customWidth="1"/>
    <col min="7" max="7" width="9.5703125" style="193" bestFit="1" customWidth="1"/>
    <col min="8" max="8" width="10.42578125" style="184" bestFit="1" customWidth="1"/>
    <col min="9" max="9" width="4.5703125" style="184" customWidth="1"/>
    <col min="10" max="10" width="1.85546875" style="110" customWidth="1"/>
    <col min="11" max="11" width="7" style="111" bestFit="1" customWidth="1"/>
    <col min="12" max="12" width="6.28515625" style="111" customWidth="1"/>
    <col min="13" max="13" width="20.42578125" style="111" customWidth="1"/>
    <col min="14" max="14" width="6.42578125" style="111" bestFit="1" customWidth="1"/>
    <col min="15" max="16" width="8.42578125" style="111"/>
    <col min="17" max="17" width="3.28515625" style="111" customWidth="1"/>
    <col min="18" max="256" width="8.42578125" style="111"/>
    <col min="257" max="257" width="10" style="111" bestFit="1" customWidth="1"/>
    <col min="258" max="258" width="44.28515625" style="111" bestFit="1" customWidth="1"/>
    <col min="259" max="259" width="10.42578125" style="111" bestFit="1" customWidth="1"/>
    <col min="260" max="260" width="10.42578125" style="111" customWidth="1"/>
    <col min="261" max="261" width="9.7109375" style="111" bestFit="1" customWidth="1"/>
    <col min="262" max="263" width="9.5703125" style="111" bestFit="1" customWidth="1"/>
    <col min="264" max="264" width="10.42578125" style="111" bestFit="1" customWidth="1"/>
    <col min="265" max="265" width="4.5703125" style="111" customWidth="1"/>
    <col min="266" max="266" width="1.85546875" style="111" customWidth="1"/>
    <col min="267" max="267" width="7" style="111" bestFit="1" customWidth="1"/>
    <col min="268" max="268" width="6.28515625" style="111" customWidth="1"/>
    <col min="269" max="269" width="20.42578125" style="111" customWidth="1"/>
    <col min="270" max="270" width="6.42578125" style="111" bestFit="1" customWidth="1"/>
    <col min="271" max="272" width="8.42578125" style="111"/>
    <col min="273" max="273" width="3.28515625" style="111" customWidth="1"/>
    <col min="274" max="512" width="8.42578125" style="111"/>
    <col min="513" max="513" width="10" style="111" bestFit="1" customWidth="1"/>
    <col min="514" max="514" width="44.28515625" style="111" bestFit="1" customWidth="1"/>
    <col min="515" max="515" width="10.42578125" style="111" bestFit="1" customWidth="1"/>
    <col min="516" max="516" width="10.42578125" style="111" customWidth="1"/>
    <col min="517" max="517" width="9.7109375" style="111" bestFit="1" customWidth="1"/>
    <col min="518" max="519" width="9.5703125" style="111" bestFit="1" customWidth="1"/>
    <col min="520" max="520" width="10.42578125" style="111" bestFit="1" customWidth="1"/>
    <col min="521" max="521" width="4.5703125" style="111" customWidth="1"/>
    <col min="522" max="522" width="1.85546875" style="111" customWidth="1"/>
    <col min="523" max="523" width="7" style="111" bestFit="1" customWidth="1"/>
    <col min="524" max="524" width="6.28515625" style="111" customWidth="1"/>
    <col min="525" max="525" width="20.42578125" style="111" customWidth="1"/>
    <col min="526" max="526" width="6.42578125" style="111" bestFit="1" customWidth="1"/>
    <col min="527" max="528" width="8.42578125" style="111"/>
    <col min="529" max="529" width="3.28515625" style="111" customWidth="1"/>
    <col min="530" max="768" width="8.42578125" style="111"/>
    <col min="769" max="769" width="10" style="111" bestFit="1" customWidth="1"/>
    <col min="770" max="770" width="44.28515625" style="111" bestFit="1" customWidth="1"/>
    <col min="771" max="771" width="10.42578125" style="111" bestFit="1" customWidth="1"/>
    <col min="772" max="772" width="10.42578125" style="111" customWidth="1"/>
    <col min="773" max="773" width="9.7109375" style="111" bestFit="1" customWidth="1"/>
    <col min="774" max="775" width="9.5703125" style="111" bestFit="1" customWidth="1"/>
    <col min="776" max="776" width="10.42578125" style="111" bestFit="1" customWidth="1"/>
    <col min="777" max="777" width="4.5703125" style="111" customWidth="1"/>
    <col min="778" max="778" width="1.85546875" style="111" customWidth="1"/>
    <col min="779" max="779" width="7" style="111" bestFit="1" customWidth="1"/>
    <col min="780" max="780" width="6.28515625" style="111" customWidth="1"/>
    <col min="781" max="781" width="20.42578125" style="111" customWidth="1"/>
    <col min="782" max="782" width="6.42578125" style="111" bestFit="1" customWidth="1"/>
    <col min="783" max="784" width="8.42578125" style="111"/>
    <col min="785" max="785" width="3.28515625" style="111" customWidth="1"/>
    <col min="786" max="1024" width="8.42578125" style="111"/>
    <col min="1025" max="1025" width="10" style="111" bestFit="1" customWidth="1"/>
    <col min="1026" max="1026" width="44.28515625" style="111" bestFit="1" customWidth="1"/>
    <col min="1027" max="1027" width="10.42578125" style="111" bestFit="1" customWidth="1"/>
    <col min="1028" max="1028" width="10.42578125" style="111" customWidth="1"/>
    <col min="1029" max="1029" width="9.7109375" style="111" bestFit="1" customWidth="1"/>
    <col min="1030" max="1031" width="9.5703125" style="111" bestFit="1" customWidth="1"/>
    <col min="1032" max="1032" width="10.42578125" style="111" bestFit="1" customWidth="1"/>
    <col min="1033" max="1033" width="4.5703125" style="111" customWidth="1"/>
    <col min="1034" max="1034" width="1.85546875" style="111" customWidth="1"/>
    <col min="1035" max="1035" width="7" style="111" bestFit="1" customWidth="1"/>
    <col min="1036" max="1036" width="6.28515625" style="111" customWidth="1"/>
    <col min="1037" max="1037" width="20.42578125" style="111" customWidth="1"/>
    <col min="1038" max="1038" width="6.42578125" style="111" bestFit="1" customWidth="1"/>
    <col min="1039" max="1040" width="8.42578125" style="111"/>
    <col min="1041" max="1041" width="3.28515625" style="111" customWidth="1"/>
    <col min="1042" max="1280" width="8.42578125" style="111"/>
    <col min="1281" max="1281" width="10" style="111" bestFit="1" customWidth="1"/>
    <col min="1282" max="1282" width="44.28515625" style="111" bestFit="1" customWidth="1"/>
    <col min="1283" max="1283" width="10.42578125" style="111" bestFit="1" customWidth="1"/>
    <col min="1284" max="1284" width="10.42578125" style="111" customWidth="1"/>
    <col min="1285" max="1285" width="9.7109375" style="111" bestFit="1" customWidth="1"/>
    <col min="1286" max="1287" width="9.5703125" style="111" bestFit="1" customWidth="1"/>
    <col min="1288" max="1288" width="10.42578125" style="111" bestFit="1" customWidth="1"/>
    <col min="1289" max="1289" width="4.5703125" style="111" customWidth="1"/>
    <col min="1290" max="1290" width="1.85546875" style="111" customWidth="1"/>
    <col min="1291" max="1291" width="7" style="111" bestFit="1" customWidth="1"/>
    <col min="1292" max="1292" width="6.28515625" style="111" customWidth="1"/>
    <col min="1293" max="1293" width="20.42578125" style="111" customWidth="1"/>
    <col min="1294" max="1294" width="6.42578125" style="111" bestFit="1" customWidth="1"/>
    <col min="1295" max="1296" width="8.42578125" style="111"/>
    <col min="1297" max="1297" width="3.28515625" style="111" customWidth="1"/>
    <col min="1298" max="1536" width="8.42578125" style="111"/>
    <col min="1537" max="1537" width="10" style="111" bestFit="1" customWidth="1"/>
    <col min="1538" max="1538" width="44.28515625" style="111" bestFit="1" customWidth="1"/>
    <col min="1539" max="1539" width="10.42578125" style="111" bestFit="1" customWidth="1"/>
    <col min="1540" max="1540" width="10.42578125" style="111" customWidth="1"/>
    <col min="1541" max="1541" width="9.7109375" style="111" bestFit="1" customWidth="1"/>
    <col min="1542" max="1543" width="9.5703125" style="111" bestFit="1" customWidth="1"/>
    <col min="1544" max="1544" width="10.42578125" style="111" bestFit="1" customWidth="1"/>
    <col min="1545" max="1545" width="4.5703125" style="111" customWidth="1"/>
    <col min="1546" max="1546" width="1.85546875" style="111" customWidth="1"/>
    <col min="1547" max="1547" width="7" style="111" bestFit="1" customWidth="1"/>
    <col min="1548" max="1548" width="6.28515625" style="111" customWidth="1"/>
    <col min="1549" max="1549" width="20.42578125" style="111" customWidth="1"/>
    <col min="1550" max="1550" width="6.42578125" style="111" bestFit="1" customWidth="1"/>
    <col min="1551" max="1552" width="8.42578125" style="111"/>
    <col min="1553" max="1553" width="3.28515625" style="111" customWidth="1"/>
    <col min="1554" max="1792" width="8.42578125" style="111"/>
    <col min="1793" max="1793" width="10" style="111" bestFit="1" customWidth="1"/>
    <col min="1794" max="1794" width="44.28515625" style="111" bestFit="1" customWidth="1"/>
    <col min="1795" max="1795" width="10.42578125" style="111" bestFit="1" customWidth="1"/>
    <col min="1796" max="1796" width="10.42578125" style="111" customWidth="1"/>
    <col min="1797" max="1797" width="9.7109375" style="111" bestFit="1" customWidth="1"/>
    <col min="1798" max="1799" width="9.5703125" style="111" bestFit="1" customWidth="1"/>
    <col min="1800" max="1800" width="10.42578125" style="111" bestFit="1" customWidth="1"/>
    <col min="1801" max="1801" width="4.5703125" style="111" customWidth="1"/>
    <col min="1802" max="1802" width="1.85546875" style="111" customWidth="1"/>
    <col min="1803" max="1803" width="7" style="111" bestFit="1" customWidth="1"/>
    <col min="1804" max="1804" width="6.28515625" style="111" customWidth="1"/>
    <col min="1805" max="1805" width="20.42578125" style="111" customWidth="1"/>
    <col min="1806" max="1806" width="6.42578125" style="111" bestFit="1" customWidth="1"/>
    <col min="1807" max="1808" width="8.42578125" style="111"/>
    <col min="1809" max="1809" width="3.28515625" style="111" customWidth="1"/>
    <col min="1810" max="2048" width="8.42578125" style="111"/>
    <col min="2049" max="2049" width="10" style="111" bestFit="1" customWidth="1"/>
    <col min="2050" max="2050" width="44.28515625" style="111" bestFit="1" customWidth="1"/>
    <col min="2051" max="2051" width="10.42578125" style="111" bestFit="1" customWidth="1"/>
    <col min="2052" max="2052" width="10.42578125" style="111" customWidth="1"/>
    <col min="2053" max="2053" width="9.7109375" style="111" bestFit="1" customWidth="1"/>
    <col min="2054" max="2055" width="9.5703125" style="111" bestFit="1" customWidth="1"/>
    <col min="2056" max="2056" width="10.42578125" style="111" bestFit="1" customWidth="1"/>
    <col min="2057" max="2057" width="4.5703125" style="111" customWidth="1"/>
    <col min="2058" max="2058" width="1.85546875" style="111" customWidth="1"/>
    <col min="2059" max="2059" width="7" style="111" bestFit="1" customWidth="1"/>
    <col min="2060" max="2060" width="6.28515625" style="111" customWidth="1"/>
    <col min="2061" max="2061" width="20.42578125" style="111" customWidth="1"/>
    <col min="2062" max="2062" width="6.42578125" style="111" bestFit="1" customWidth="1"/>
    <col min="2063" max="2064" width="8.42578125" style="111"/>
    <col min="2065" max="2065" width="3.28515625" style="111" customWidth="1"/>
    <col min="2066" max="2304" width="8.42578125" style="111"/>
    <col min="2305" max="2305" width="10" style="111" bestFit="1" customWidth="1"/>
    <col min="2306" max="2306" width="44.28515625" style="111" bestFit="1" customWidth="1"/>
    <col min="2307" max="2307" width="10.42578125" style="111" bestFit="1" customWidth="1"/>
    <col min="2308" max="2308" width="10.42578125" style="111" customWidth="1"/>
    <col min="2309" max="2309" width="9.7109375" style="111" bestFit="1" customWidth="1"/>
    <col min="2310" max="2311" width="9.5703125" style="111" bestFit="1" customWidth="1"/>
    <col min="2312" max="2312" width="10.42578125" style="111" bestFit="1" customWidth="1"/>
    <col min="2313" max="2313" width="4.5703125" style="111" customWidth="1"/>
    <col min="2314" max="2314" width="1.85546875" style="111" customWidth="1"/>
    <col min="2315" max="2315" width="7" style="111" bestFit="1" customWidth="1"/>
    <col min="2316" max="2316" width="6.28515625" style="111" customWidth="1"/>
    <col min="2317" max="2317" width="20.42578125" style="111" customWidth="1"/>
    <col min="2318" max="2318" width="6.42578125" style="111" bestFit="1" customWidth="1"/>
    <col min="2319" max="2320" width="8.42578125" style="111"/>
    <col min="2321" max="2321" width="3.28515625" style="111" customWidth="1"/>
    <col min="2322" max="2560" width="8.42578125" style="111"/>
    <col min="2561" max="2561" width="10" style="111" bestFit="1" customWidth="1"/>
    <col min="2562" max="2562" width="44.28515625" style="111" bestFit="1" customWidth="1"/>
    <col min="2563" max="2563" width="10.42578125" style="111" bestFit="1" customWidth="1"/>
    <col min="2564" max="2564" width="10.42578125" style="111" customWidth="1"/>
    <col min="2565" max="2565" width="9.7109375" style="111" bestFit="1" customWidth="1"/>
    <col min="2566" max="2567" width="9.5703125" style="111" bestFit="1" customWidth="1"/>
    <col min="2568" max="2568" width="10.42578125" style="111" bestFit="1" customWidth="1"/>
    <col min="2569" max="2569" width="4.5703125" style="111" customWidth="1"/>
    <col min="2570" max="2570" width="1.85546875" style="111" customWidth="1"/>
    <col min="2571" max="2571" width="7" style="111" bestFit="1" customWidth="1"/>
    <col min="2572" max="2572" width="6.28515625" style="111" customWidth="1"/>
    <col min="2573" max="2573" width="20.42578125" style="111" customWidth="1"/>
    <col min="2574" max="2574" width="6.42578125" style="111" bestFit="1" customWidth="1"/>
    <col min="2575" max="2576" width="8.42578125" style="111"/>
    <col min="2577" max="2577" width="3.28515625" style="111" customWidth="1"/>
    <col min="2578" max="2816" width="8.42578125" style="111"/>
    <col min="2817" max="2817" width="10" style="111" bestFit="1" customWidth="1"/>
    <col min="2818" max="2818" width="44.28515625" style="111" bestFit="1" customWidth="1"/>
    <col min="2819" max="2819" width="10.42578125" style="111" bestFit="1" customWidth="1"/>
    <col min="2820" max="2820" width="10.42578125" style="111" customWidth="1"/>
    <col min="2821" max="2821" width="9.7109375" style="111" bestFit="1" customWidth="1"/>
    <col min="2822" max="2823" width="9.5703125" style="111" bestFit="1" customWidth="1"/>
    <col min="2824" max="2824" width="10.42578125" style="111" bestFit="1" customWidth="1"/>
    <col min="2825" max="2825" width="4.5703125" style="111" customWidth="1"/>
    <col min="2826" max="2826" width="1.85546875" style="111" customWidth="1"/>
    <col min="2827" max="2827" width="7" style="111" bestFit="1" customWidth="1"/>
    <col min="2828" max="2828" width="6.28515625" style="111" customWidth="1"/>
    <col min="2829" max="2829" width="20.42578125" style="111" customWidth="1"/>
    <col min="2830" max="2830" width="6.42578125" style="111" bestFit="1" customWidth="1"/>
    <col min="2831" max="2832" width="8.42578125" style="111"/>
    <col min="2833" max="2833" width="3.28515625" style="111" customWidth="1"/>
    <col min="2834" max="3072" width="8.42578125" style="111"/>
    <col min="3073" max="3073" width="10" style="111" bestFit="1" customWidth="1"/>
    <col min="3074" max="3074" width="44.28515625" style="111" bestFit="1" customWidth="1"/>
    <col min="3075" max="3075" width="10.42578125" style="111" bestFit="1" customWidth="1"/>
    <col min="3076" max="3076" width="10.42578125" style="111" customWidth="1"/>
    <col min="3077" max="3077" width="9.7109375" style="111" bestFit="1" customWidth="1"/>
    <col min="3078" max="3079" width="9.5703125" style="111" bestFit="1" customWidth="1"/>
    <col min="3080" max="3080" width="10.42578125" style="111" bestFit="1" customWidth="1"/>
    <col min="3081" max="3081" width="4.5703125" style="111" customWidth="1"/>
    <col min="3082" max="3082" width="1.85546875" style="111" customWidth="1"/>
    <col min="3083" max="3083" width="7" style="111" bestFit="1" customWidth="1"/>
    <col min="3084" max="3084" width="6.28515625" style="111" customWidth="1"/>
    <col min="3085" max="3085" width="20.42578125" style="111" customWidth="1"/>
    <col min="3086" max="3086" width="6.42578125" style="111" bestFit="1" customWidth="1"/>
    <col min="3087" max="3088" width="8.42578125" style="111"/>
    <col min="3089" max="3089" width="3.28515625" style="111" customWidth="1"/>
    <col min="3090" max="3328" width="8.42578125" style="111"/>
    <col min="3329" max="3329" width="10" style="111" bestFit="1" customWidth="1"/>
    <col min="3330" max="3330" width="44.28515625" style="111" bestFit="1" customWidth="1"/>
    <col min="3331" max="3331" width="10.42578125" style="111" bestFit="1" customWidth="1"/>
    <col min="3332" max="3332" width="10.42578125" style="111" customWidth="1"/>
    <col min="3333" max="3333" width="9.7109375" style="111" bestFit="1" customWidth="1"/>
    <col min="3334" max="3335" width="9.5703125" style="111" bestFit="1" customWidth="1"/>
    <col min="3336" max="3336" width="10.42578125" style="111" bestFit="1" customWidth="1"/>
    <col min="3337" max="3337" width="4.5703125" style="111" customWidth="1"/>
    <col min="3338" max="3338" width="1.85546875" style="111" customWidth="1"/>
    <col min="3339" max="3339" width="7" style="111" bestFit="1" customWidth="1"/>
    <col min="3340" max="3340" width="6.28515625" style="111" customWidth="1"/>
    <col min="3341" max="3341" width="20.42578125" style="111" customWidth="1"/>
    <col min="3342" max="3342" width="6.42578125" style="111" bestFit="1" customWidth="1"/>
    <col min="3343" max="3344" width="8.42578125" style="111"/>
    <col min="3345" max="3345" width="3.28515625" style="111" customWidth="1"/>
    <col min="3346" max="3584" width="8.42578125" style="111"/>
    <col min="3585" max="3585" width="10" style="111" bestFit="1" customWidth="1"/>
    <col min="3586" max="3586" width="44.28515625" style="111" bestFit="1" customWidth="1"/>
    <col min="3587" max="3587" width="10.42578125" style="111" bestFit="1" customWidth="1"/>
    <col min="3588" max="3588" width="10.42578125" style="111" customWidth="1"/>
    <col min="3589" max="3589" width="9.7109375" style="111" bestFit="1" customWidth="1"/>
    <col min="3590" max="3591" width="9.5703125" style="111" bestFit="1" customWidth="1"/>
    <col min="3592" max="3592" width="10.42578125" style="111" bestFit="1" customWidth="1"/>
    <col min="3593" max="3593" width="4.5703125" style="111" customWidth="1"/>
    <col min="3594" max="3594" width="1.85546875" style="111" customWidth="1"/>
    <col min="3595" max="3595" width="7" style="111" bestFit="1" customWidth="1"/>
    <col min="3596" max="3596" width="6.28515625" style="111" customWidth="1"/>
    <col min="3597" max="3597" width="20.42578125" style="111" customWidth="1"/>
    <col min="3598" max="3598" width="6.42578125" style="111" bestFit="1" customWidth="1"/>
    <col min="3599" max="3600" width="8.42578125" style="111"/>
    <col min="3601" max="3601" width="3.28515625" style="111" customWidth="1"/>
    <col min="3602" max="3840" width="8.42578125" style="111"/>
    <col min="3841" max="3841" width="10" style="111" bestFit="1" customWidth="1"/>
    <col min="3842" max="3842" width="44.28515625" style="111" bestFit="1" customWidth="1"/>
    <col min="3843" max="3843" width="10.42578125" style="111" bestFit="1" customWidth="1"/>
    <col min="3844" max="3844" width="10.42578125" style="111" customWidth="1"/>
    <col min="3845" max="3845" width="9.7109375" style="111" bestFit="1" customWidth="1"/>
    <col min="3846" max="3847" width="9.5703125" style="111" bestFit="1" customWidth="1"/>
    <col min="3848" max="3848" width="10.42578125" style="111" bestFit="1" customWidth="1"/>
    <col min="3849" max="3849" width="4.5703125" style="111" customWidth="1"/>
    <col min="3850" max="3850" width="1.85546875" style="111" customWidth="1"/>
    <col min="3851" max="3851" width="7" style="111" bestFit="1" customWidth="1"/>
    <col min="3852" max="3852" width="6.28515625" style="111" customWidth="1"/>
    <col min="3853" max="3853" width="20.42578125" style="111" customWidth="1"/>
    <col min="3854" max="3854" width="6.42578125" style="111" bestFit="1" customWidth="1"/>
    <col min="3855" max="3856" width="8.42578125" style="111"/>
    <col min="3857" max="3857" width="3.28515625" style="111" customWidth="1"/>
    <col min="3858" max="4096" width="8.42578125" style="111"/>
    <col min="4097" max="4097" width="10" style="111" bestFit="1" customWidth="1"/>
    <col min="4098" max="4098" width="44.28515625" style="111" bestFit="1" customWidth="1"/>
    <col min="4099" max="4099" width="10.42578125" style="111" bestFit="1" customWidth="1"/>
    <col min="4100" max="4100" width="10.42578125" style="111" customWidth="1"/>
    <col min="4101" max="4101" width="9.7109375" style="111" bestFit="1" customWidth="1"/>
    <col min="4102" max="4103" width="9.5703125" style="111" bestFit="1" customWidth="1"/>
    <col min="4104" max="4104" width="10.42578125" style="111" bestFit="1" customWidth="1"/>
    <col min="4105" max="4105" width="4.5703125" style="111" customWidth="1"/>
    <col min="4106" max="4106" width="1.85546875" style="111" customWidth="1"/>
    <col min="4107" max="4107" width="7" style="111" bestFit="1" customWidth="1"/>
    <col min="4108" max="4108" width="6.28515625" style="111" customWidth="1"/>
    <col min="4109" max="4109" width="20.42578125" style="111" customWidth="1"/>
    <col min="4110" max="4110" width="6.42578125" style="111" bestFit="1" customWidth="1"/>
    <col min="4111" max="4112" width="8.42578125" style="111"/>
    <col min="4113" max="4113" width="3.28515625" style="111" customWidth="1"/>
    <col min="4114" max="4352" width="8.42578125" style="111"/>
    <col min="4353" max="4353" width="10" style="111" bestFit="1" customWidth="1"/>
    <col min="4354" max="4354" width="44.28515625" style="111" bestFit="1" customWidth="1"/>
    <col min="4355" max="4355" width="10.42578125" style="111" bestFit="1" customWidth="1"/>
    <col min="4356" max="4356" width="10.42578125" style="111" customWidth="1"/>
    <col min="4357" max="4357" width="9.7109375" style="111" bestFit="1" customWidth="1"/>
    <col min="4358" max="4359" width="9.5703125" style="111" bestFit="1" customWidth="1"/>
    <col min="4360" max="4360" width="10.42578125" style="111" bestFit="1" customWidth="1"/>
    <col min="4361" max="4361" width="4.5703125" style="111" customWidth="1"/>
    <col min="4362" max="4362" width="1.85546875" style="111" customWidth="1"/>
    <col min="4363" max="4363" width="7" style="111" bestFit="1" customWidth="1"/>
    <col min="4364" max="4364" width="6.28515625" style="111" customWidth="1"/>
    <col min="4365" max="4365" width="20.42578125" style="111" customWidth="1"/>
    <col min="4366" max="4366" width="6.42578125" style="111" bestFit="1" customWidth="1"/>
    <col min="4367" max="4368" width="8.42578125" style="111"/>
    <col min="4369" max="4369" width="3.28515625" style="111" customWidth="1"/>
    <col min="4370" max="4608" width="8.42578125" style="111"/>
    <col min="4609" max="4609" width="10" style="111" bestFit="1" customWidth="1"/>
    <col min="4610" max="4610" width="44.28515625" style="111" bestFit="1" customWidth="1"/>
    <col min="4611" max="4611" width="10.42578125" style="111" bestFit="1" customWidth="1"/>
    <col min="4612" max="4612" width="10.42578125" style="111" customWidth="1"/>
    <col min="4613" max="4613" width="9.7109375" style="111" bestFit="1" customWidth="1"/>
    <col min="4614" max="4615" width="9.5703125" style="111" bestFit="1" customWidth="1"/>
    <col min="4616" max="4616" width="10.42578125" style="111" bestFit="1" customWidth="1"/>
    <col min="4617" max="4617" width="4.5703125" style="111" customWidth="1"/>
    <col min="4618" max="4618" width="1.85546875" style="111" customWidth="1"/>
    <col min="4619" max="4619" width="7" style="111" bestFit="1" customWidth="1"/>
    <col min="4620" max="4620" width="6.28515625" style="111" customWidth="1"/>
    <col min="4621" max="4621" width="20.42578125" style="111" customWidth="1"/>
    <col min="4622" max="4622" width="6.42578125" style="111" bestFit="1" customWidth="1"/>
    <col min="4623" max="4624" width="8.42578125" style="111"/>
    <col min="4625" max="4625" width="3.28515625" style="111" customWidth="1"/>
    <col min="4626" max="4864" width="8.42578125" style="111"/>
    <col min="4865" max="4865" width="10" style="111" bestFit="1" customWidth="1"/>
    <col min="4866" max="4866" width="44.28515625" style="111" bestFit="1" customWidth="1"/>
    <col min="4867" max="4867" width="10.42578125" style="111" bestFit="1" customWidth="1"/>
    <col min="4868" max="4868" width="10.42578125" style="111" customWidth="1"/>
    <col min="4869" max="4869" width="9.7109375" style="111" bestFit="1" customWidth="1"/>
    <col min="4870" max="4871" width="9.5703125" style="111" bestFit="1" customWidth="1"/>
    <col min="4872" max="4872" width="10.42578125" style="111" bestFit="1" customWidth="1"/>
    <col min="4873" max="4873" width="4.5703125" style="111" customWidth="1"/>
    <col min="4874" max="4874" width="1.85546875" style="111" customWidth="1"/>
    <col min="4875" max="4875" width="7" style="111" bestFit="1" customWidth="1"/>
    <col min="4876" max="4876" width="6.28515625" style="111" customWidth="1"/>
    <col min="4877" max="4877" width="20.42578125" style="111" customWidth="1"/>
    <col min="4878" max="4878" width="6.42578125" style="111" bestFit="1" customWidth="1"/>
    <col min="4879" max="4880" width="8.42578125" style="111"/>
    <col min="4881" max="4881" width="3.28515625" style="111" customWidth="1"/>
    <col min="4882" max="5120" width="8.42578125" style="111"/>
    <col min="5121" max="5121" width="10" style="111" bestFit="1" customWidth="1"/>
    <col min="5122" max="5122" width="44.28515625" style="111" bestFit="1" customWidth="1"/>
    <col min="5123" max="5123" width="10.42578125" style="111" bestFit="1" customWidth="1"/>
    <col min="5124" max="5124" width="10.42578125" style="111" customWidth="1"/>
    <col min="5125" max="5125" width="9.7109375" style="111" bestFit="1" customWidth="1"/>
    <col min="5126" max="5127" width="9.5703125" style="111" bestFit="1" customWidth="1"/>
    <col min="5128" max="5128" width="10.42578125" style="111" bestFit="1" customWidth="1"/>
    <col min="5129" max="5129" width="4.5703125" style="111" customWidth="1"/>
    <col min="5130" max="5130" width="1.85546875" style="111" customWidth="1"/>
    <col min="5131" max="5131" width="7" style="111" bestFit="1" customWidth="1"/>
    <col min="5132" max="5132" width="6.28515625" style="111" customWidth="1"/>
    <col min="5133" max="5133" width="20.42578125" style="111" customWidth="1"/>
    <col min="5134" max="5134" width="6.42578125" style="111" bestFit="1" customWidth="1"/>
    <col min="5135" max="5136" width="8.42578125" style="111"/>
    <col min="5137" max="5137" width="3.28515625" style="111" customWidth="1"/>
    <col min="5138" max="5376" width="8.42578125" style="111"/>
    <col min="5377" max="5377" width="10" style="111" bestFit="1" customWidth="1"/>
    <col min="5378" max="5378" width="44.28515625" style="111" bestFit="1" customWidth="1"/>
    <col min="5379" max="5379" width="10.42578125" style="111" bestFit="1" customWidth="1"/>
    <col min="5380" max="5380" width="10.42578125" style="111" customWidth="1"/>
    <col min="5381" max="5381" width="9.7109375" style="111" bestFit="1" customWidth="1"/>
    <col min="5382" max="5383" width="9.5703125" style="111" bestFit="1" customWidth="1"/>
    <col min="5384" max="5384" width="10.42578125" style="111" bestFit="1" customWidth="1"/>
    <col min="5385" max="5385" width="4.5703125" style="111" customWidth="1"/>
    <col min="5386" max="5386" width="1.85546875" style="111" customWidth="1"/>
    <col min="5387" max="5387" width="7" style="111" bestFit="1" customWidth="1"/>
    <col min="5388" max="5388" width="6.28515625" style="111" customWidth="1"/>
    <col min="5389" max="5389" width="20.42578125" style="111" customWidth="1"/>
    <col min="5390" max="5390" width="6.42578125" style="111" bestFit="1" customWidth="1"/>
    <col min="5391" max="5392" width="8.42578125" style="111"/>
    <col min="5393" max="5393" width="3.28515625" style="111" customWidth="1"/>
    <col min="5394" max="5632" width="8.42578125" style="111"/>
    <col min="5633" max="5633" width="10" style="111" bestFit="1" customWidth="1"/>
    <col min="5634" max="5634" width="44.28515625" style="111" bestFit="1" customWidth="1"/>
    <col min="5635" max="5635" width="10.42578125" style="111" bestFit="1" customWidth="1"/>
    <col min="5636" max="5636" width="10.42578125" style="111" customWidth="1"/>
    <col min="5637" max="5637" width="9.7109375" style="111" bestFit="1" customWidth="1"/>
    <col min="5638" max="5639" width="9.5703125" style="111" bestFit="1" customWidth="1"/>
    <col min="5640" max="5640" width="10.42578125" style="111" bestFit="1" customWidth="1"/>
    <col min="5641" max="5641" width="4.5703125" style="111" customWidth="1"/>
    <col min="5642" max="5642" width="1.85546875" style="111" customWidth="1"/>
    <col min="5643" max="5643" width="7" style="111" bestFit="1" customWidth="1"/>
    <col min="5644" max="5644" width="6.28515625" style="111" customWidth="1"/>
    <col min="5645" max="5645" width="20.42578125" style="111" customWidth="1"/>
    <col min="5646" max="5646" width="6.42578125" style="111" bestFit="1" customWidth="1"/>
    <col min="5647" max="5648" width="8.42578125" style="111"/>
    <col min="5649" max="5649" width="3.28515625" style="111" customWidth="1"/>
    <col min="5650" max="5888" width="8.42578125" style="111"/>
    <col min="5889" max="5889" width="10" style="111" bestFit="1" customWidth="1"/>
    <col min="5890" max="5890" width="44.28515625" style="111" bestFit="1" customWidth="1"/>
    <col min="5891" max="5891" width="10.42578125" style="111" bestFit="1" customWidth="1"/>
    <col min="5892" max="5892" width="10.42578125" style="111" customWidth="1"/>
    <col min="5893" max="5893" width="9.7109375" style="111" bestFit="1" customWidth="1"/>
    <col min="5894" max="5895" width="9.5703125" style="111" bestFit="1" customWidth="1"/>
    <col min="5896" max="5896" width="10.42578125" style="111" bestFit="1" customWidth="1"/>
    <col min="5897" max="5897" width="4.5703125" style="111" customWidth="1"/>
    <col min="5898" max="5898" width="1.85546875" style="111" customWidth="1"/>
    <col min="5899" max="5899" width="7" style="111" bestFit="1" customWidth="1"/>
    <col min="5900" max="5900" width="6.28515625" style="111" customWidth="1"/>
    <col min="5901" max="5901" width="20.42578125" style="111" customWidth="1"/>
    <col min="5902" max="5902" width="6.42578125" style="111" bestFit="1" customWidth="1"/>
    <col min="5903" max="5904" width="8.42578125" style="111"/>
    <col min="5905" max="5905" width="3.28515625" style="111" customWidth="1"/>
    <col min="5906" max="6144" width="8.42578125" style="111"/>
    <col min="6145" max="6145" width="10" style="111" bestFit="1" customWidth="1"/>
    <col min="6146" max="6146" width="44.28515625" style="111" bestFit="1" customWidth="1"/>
    <col min="6147" max="6147" width="10.42578125" style="111" bestFit="1" customWidth="1"/>
    <col min="6148" max="6148" width="10.42578125" style="111" customWidth="1"/>
    <col min="6149" max="6149" width="9.7109375" style="111" bestFit="1" customWidth="1"/>
    <col min="6150" max="6151" width="9.5703125" style="111" bestFit="1" customWidth="1"/>
    <col min="6152" max="6152" width="10.42578125" style="111" bestFit="1" customWidth="1"/>
    <col min="6153" max="6153" width="4.5703125" style="111" customWidth="1"/>
    <col min="6154" max="6154" width="1.85546875" style="111" customWidth="1"/>
    <col min="6155" max="6155" width="7" style="111" bestFit="1" customWidth="1"/>
    <col min="6156" max="6156" width="6.28515625" style="111" customWidth="1"/>
    <col min="6157" max="6157" width="20.42578125" style="111" customWidth="1"/>
    <col min="6158" max="6158" width="6.42578125" style="111" bestFit="1" customWidth="1"/>
    <col min="6159" max="6160" width="8.42578125" style="111"/>
    <col min="6161" max="6161" width="3.28515625" style="111" customWidth="1"/>
    <col min="6162" max="6400" width="8.42578125" style="111"/>
    <col min="6401" max="6401" width="10" style="111" bestFit="1" customWidth="1"/>
    <col min="6402" max="6402" width="44.28515625" style="111" bestFit="1" customWidth="1"/>
    <col min="6403" max="6403" width="10.42578125" style="111" bestFit="1" customWidth="1"/>
    <col min="6404" max="6404" width="10.42578125" style="111" customWidth="1"/>
    <col min="6405" max="6405" width="9.7109375" style="111" bestFit="1" customWidth="1"/>
    <col min="6406" max="6407" width="9.5703125" style="111" bestFit="1" customWidth="1"/>
    <col min="6408" max="6408" width="10.42578125" style="111" bestFit="1" customWidth="1"/>
    <col min="6409" max="6409" width="4.5703125" style="111" customWidth="1"/>
    <col min="6410" max="6410" width="1.85546875" style="111" customWidth="1"/>
    <col min="6411" max="6411" width="7" style="111" bestFit="1" customWidth="1"/>
    <col min="6412" max="6412" width="6.28515625" style="111" customWidth="1"/>
    <col min="6413" max="6413" width="20.42578125" style="111" customWidth="1"/>
    <col min="6414" max="6414" width="6.42578125" style="111" bestFit="1" customWidth="1"/>
    <col min="6415" max="6416" width="8.42578125" style="111"/>
    <col min="6417" max="6417" width="3.28515625" style="111" customWidth="1"/>
    <col min="6418" max="6656" width="8.42578125" style="111"/>
    <col min="6657" max="6657" width="10" style="111" bestFit="1" customWidth="1"/>
    <col min="6658" max="6658" width="44.28515625" style="111" bestFit="1" customWidth="1"/>
    <col min="6659" max="6659" width="10.42578125" style="111" bestFit="1" customWidth="1"/>
    <col min="6660" max="6660" width="10.42578125" style="111" customWidth="1"/>
    <col min="6661" max="6661" width="9.7109375" style="111" bestFit="1" customWidth="1"/>
    <col min="6662" max="6663" width="9.5703125" style="111" bestFit="1" customWidth="1"/>
    <col min="6664" max="6664" width="10.42578125" style="111" bestFit="1" customWidth="1"/>
    <col min="6665" max="6665" width="4.5703125" style="111" customWidth="1"/>
    <col min="6666" max="6666" width="1.85546875" style="111" customWidth="1"/>
    <col min="6667" max="6667" width="7" style="111" bestFit="1" customWidth="1"/>
    <col min="6668" max="6668" width="6.28515625" style="111" customWidth="1"/>
    <col min="6669" max="6669" width="20.42578125" style="111" customWidth="1"/>
    <col min="6670" max="6670" width="6.42578125" style="111" bestFit="1" customWidth="1"/>
    <col min="6671" max="6672" width="8.42578125" style="111"/>
    <col min="6673" max="6673" width="3.28515625" style="111" customWidth="1"/>
    <col min="6674" max="6912" width="8.42578125" style="111"/>
    <col min="6913" max="6913" width="10" style="111" bestFit="1" customWidth="1"/>
    <col min="6914" max="6914" width="44.28515625" style="111" bestFit="1" customWidth="1"/>
    <col min="6915" max="6915" width="10.42578125" style="111" bestFit="1" customWidth="1"/>
    <col min="6916" max="6916" width="10.42578125" style="111" customWidth="1"/>
    <col min="6917" max="6917" width="9.7109375" style="111" bestFit="1" customWidth="1"/>
    <col min="6918" max="6919" width="9.5703125" style="111" bestFit="1" customWidth="1"/>
    <col min="6920" max="6920" width="10.42578125" style="111" bestFit="1" customWidth="1"/>
    <col min="6921" max="6921" width="4.5703125" style="111" customWidth="1"/>
    <col min="6922" max="6922" width="1.85546875" style="111" customWidth="1"/>
    <col min="6923" max="6923" width="7" style="111" bestFit="1" customWidth="1"/>
    <col min="6924" max="6924" width="6.28515625" style="111" customWidth="1"/>
    <col min="6925" max="6925" width="20.42578125" style="111" customWidth="1"/>
    <col min="6926" max="6926" width="6.42578125" style="111" bestFit="1" customWidth="1"/>
    <col min="6927" max="6928" width="8.42578125" style="111"/>
    <col min="6929" max="6929" width="3.28515625" style="111" customWidth="1"/>
    <col min="6930" max="7168" width="8.42578125" style="111"/>
    <col min="7169" max="7169" width="10" style="111" bestFit="1" customWidth="1"/>
    <col min="7170" max="7170" width="44.28515625" style="111" bestFit="1" customWidth="1"/>
    <col min="7171" max="7171" width="10.42578125" style="111" bestFit="1" customWidth="1"/>
    <col min="7172" max="7172" width="10.42578125" style="111" customWidth="1"/>
    <col min="7173" max="7173" width="9.7109375" style="111" bestFit="1" customWidth="1"/>
    <col min="7174" max="7175" width="9.5703125" style="111" bestFit="1" customWidth="1"/>
    <col min="7176" max="7176" width="10.42578125" style="111" bestFit="1" customWidth="1"/>
    <col min="7177" max="7177" width="4.5703125" style="111" customWidth="1"/>
    <col min="7178" max="7178" width="1.85546875" style="111" customWidth="1"/>
    <col min="7179" max="7179" width="7" style="111" bestFit="1" customWidth="1"/>
    <col min="7180" max="7180" width="6.28515625" style="111" customWidth="1"/>
    <col min="7181" max="7181" width="20.42578125" style="111" customWidth="1"/>
    <col min="7182" max="7182" width="6.42578125" style="111" bestFit="1" customWidth="1"/>
    <col min="7183" max="7184" width="8.42578125" style="111"/>
    <col min="7185" max="7185" width="3.28515625" style="111" customWidth="1"/>
    <col min="7186" max="7424" width="8.42578125" style="111"/>
    <col min="7425" max="7425" width="10" style="111" bestFit="1" customWidth="1"/>
    <col min="7426" max="7426" width="44.28515625" style="111" bestFit="1" customWidth="1"/>
    <col min="7427" max="7427" width="10.42578125" style="111" bestFit="1" customWidth="1"/>
    <col min="7428" max="7428" width="10.42578125" style="111" customWidth="1"/>
    <col min="7429" max="7429" width="9.7109375" style="111" bestFit="1" customWidth="1"/>
    <col min="7430" max="7431" width="9.5703125" style="111" bestFit="1" customWidth="1"/>
    <col min="7432" max="7432" width="10.42578125" style="111" bestFit="1" customWidth="1"/>
    <col min="7433" max="7433" width="4.5703125" style="111" customWidth="1"/>
    <col min="7434" max="7434" width="1.85546875" style="111" customWidth="1"/>
    <col min="7435" max="7435" width="7" style="111" bestFit="1" customWidth="1"/>
    <col min="7436" max="7436" width="6.28515625" style="111" customWidth="1"/>
    <col min="7437" max="7437" width="20.42578125" style="111" customWidth="1"/>
    <col min="7438" max="7438" width="6.42578125" style="111" bestFit="1" customWidth="1"/>
    <col min="7439" max="7440" width="8.42578125" style="111"/>
    <col min="7441" max="7441" width="3.28515625" style="111" customWidth="1"/>
    <col min="7442" max="7680" width="8.42578125" style="111"/>
    <col min="7681" max="7681" width="10" style="111" bestFit="1" customWidth="1"/>
    <col min="7682" max="7682" width="44.28515625" style="111" bestFit="1" customWidth="1"/>
    <col min="7683" max="7683" width="10.42578125" style="111" bestFit="1" customWidth="1"/>
    <col min="7684" max="7684" width="10.42578125" style="111" customWidth="1"/>
    <col min="7685" max="7685" width="9.7109375" style="111" bestFit="1" customWidth="1"/>
    <col min="7686" max="7687" width="9.5703125" style="111" bestFit="1" customWidth="1"/>
    <col min="7688" max="7688" width="10.42578125" style="111" bestFit="1" customWidth="1"/>
    <col min="7689" max="7689" width="4.5703125" style="111" customWidth="1"/>
    <col min="7690" max="7690" width="1.85546875" style="111" customWidth="1"/>
    <col min="7691" max="7691" width="7" style="111" bestFit="1" customWidth="1"/>
    <col min="7692" max="7692" width="6.28515625" style="111" customWidth="1"/>
    <col min="7693" max="7693" width="20.42578125" style="111" customWidth="1"/>
    <col min="7694" max="7694" width="6.42578125" style="111" bestFit="1" customWidth="1"/>
    <col min="7695" max="7696" width="8.42578125" style="111"/>
    <col min="7697" max="7697" width="3.28515625" style="111" customWidth="1"/>
    <col min="7698" max="7936" width="8.42578125" style="111"/>
    <col min="7937" max="7937" width="10" style="111" bestFit="1" customWidth="1"/>
    <col min="7938" max="7938" width="44.28515625" style="111" bestFit="1" customWidth="1"/>
    <col min="7939" max="7939" width="10.42578125" style="111" bestFit="1" customWidth="1"/>
    <col min="7940" max="7940" width="10.42578125" style="111" customWidth="1"/>
    <col min="7941" max="7941" width="9.7109375" style="111" bestFit="1" customWidth="1"/>
    <col min="7942" max="7943" width="9.5703125" style="111" bestFit="1" customWidth="1"/>
    <col min="7944" max="7944" width="10.42578125" style="111" bestFit="1" customWidth="1"/>
    <col min="7945" max="7945" width="4.5703125" style="111" customWidth="1"/>
    <col min="7946" max="7946" width="1.85546875" style="111" customWidth="1"/>
    <col min="7947" max="7947" width="7" style="111" bestFit="1" customWidth="1"/>
    <col min="7948" max="7948" width="6.28515625" style="111" customWidth="1"/>
    <col min="7949" max="7949" width="20.42578125" style="111" customWidth="1"/>
    <col min="7950" max="7950" width="6.42578125" style="111" bestFit="1" customWidth="1"/>
    <col min="7951" max="7952" width="8.42578125" style="111"/>
    <col min="7953" max="7953" width="3.28515625" style="111" customWidth="1"/>
    <col min="7954" max="8192" width="8.42578125" style="111"/>
    <col min="8193" max="8193" width="10" style="111" bestFit="1" customWidth="1"/>
    <col min="8194" max="8194" width="44.28515625" style="111" bestFit="1" customWidth="1"/>
    <col min="8195" max="8195" width="10.42578125" style="111" bestFit="1" customWidth="1"/>
    <col min="8196" max="8196" width="10.42578125" style="111" customWidth="1"/>
    <col min="8197" max="8197" width="9.7109375" style="111" bestFit="1" customWidth="1"/>
    <col min="8198" max="8199" width="9.5703125" style="111" bestFit="1" customWidth="1"/>
    <col min="8200" max="8200" width="10.42578125" style="111" bestFit="1" customWidth="1"/>
    <col min="8201" max="8201" width="4.5703125" style="111" customWidth="1"/>
    <col min="8202" max="8202" width="1.85546875" style="111" customWidth="1"/>
    <col min="8203" max="8203" width="7" style="111" bestFit="1" customWidth="1"/>
    <col min="8204" max="8204" width="6.28515625" style="111" customWidth="1"/>
    <col min="8205" max="8205" width="20.42578125" style="111" customWidth="1"/>
    <col min="8206" max="8206" width="6.42578125" style="111" bestFit="1" customWidth="1"/>
    <col min="8207" max="8208" width="8.42578125" style="111"/>
    <col min="8209" max="8209" width="3.28515625" style="111" customWidth="1"/>
    <col min="8210" max="8448" width="8.42578125" style="111"/>
    <col min="8449" max="8449" width="10" style="111" bestFit="1" customWidth="1"/>
    <col min="8450" max="8450" width="44.28515625" style="111" bestFit="1" customWidth="1"/>
    <col min="8451" max="8451" width="10.42578125" style="111" bestFit="1" customWidth="1"/>
    <col min="8452" max="8452" width="10.42578125" style="111" customWidth="1"/>
    <col min="8453" max="8453" width="9.7109375" style="111" bestFit="1" customWidth="1"/>
    <col min="8454" max="8455" width="9.5703125" style="111" bestFit="1" customWidth="1"/>
    <col min="8456" max="8456" width="10.42578125" style="111" bestFit="1" customWidth="1"/>
    <col min="8457" max="8457" width="4.5703125" style="111" customWidth="1"/>
    <col min="8458" max="8458" width="1.85546875" style="111" customWidth="1"/>
    <col min="8459" max="8459" width="7" style="111" bestFit="1" customWidth="1"/>
    <col min="8460" max="8460" width="6.28515625" style="111" customWidth="1"/>
    <col min="8461" max="8461" width="20.42578125" style="111" customWidth="1"/>
    <col min="8462" max="8462" width="6.42578125" style="111" bestFit="1" customWidth="1"/>
    <col min="8463" max="8464" width="8.42578125" style="111"/>
    <col min="8465" max="8465" width="3.28515625" style="111" customWidth="1"/>
    <col min="8466" max="8704" width="8.42578125" style="111"/>
    <col min="8705" max="8705" width="10" style="111" bestFit="1" customWidth="1"/>
    <col min="8706" max="8706" width="44.28515625" style="111" bestFit="1" customWidth="1"/>
    <col min="8707" max="8707" width="10.42578125" style="111" bestFit="1" customWidth="1"/>
    <col min="8708" max="8708" width="10.42578125" style="111" customWidth="1"/>
    <col min="8709" max="8709" width="9.7109375" style="111" bestFit="1" customWidth="1"/>
    <col min="8710" max="8711" width="9.5703125" style="111" bestFit="1" customWidth="1"/>
    <col min="8712" max="8712" width="10.42578125" style="111" bestFit="1" customWidth="1"/>
    <col min="8713" max="8713" width="4.5703125" style="111" customWidth="1"/>
    <col min="8714" max="8714" width="1.85546875" style="111" customWidth="1"/>
    <col min="8715" max="8715" width="7" style="111" bestFit="1" customWidth="1"/>
    <col min="8716" max="8716" width="6.28515625" style="111" customWidth="1"/>
    <col min="8717" max="8717" width="20.42578125" style="111" customWidth="1"/>
    <col min="8718" max="8718" width="6.42578125" style="111" bestFit="1" customWidth="1"/>
    <col min="8719" max="8720" width="8.42578125" style="111"/>
    <col min="8721" max="8721" width="3.28515625" style="111" customWidth="1"/>
    <col min="8722" max="8960" width="8.42578125" style="111"/>
    <col min="8961" max="8961" width="10" style="111" bestFit="1" customWidth="1"/>
    <col min="8962" max="8962" width="44.28515625" style="111" bestFit="1" customWidth="1"/>
    <col min="8963" max="8963" width="10.42578125" style="111" bestFit="1" customWidth="1"/>
    <col min="8964" max="8964" width="10.42578125" style="111" customWidth="1"/>
    <col min="8965" max="8965" width="9.7109375" style="111" bestFit="1" customWidth="1"/>
    <col min="8966" max="8967" width="9.5703125" style="111" bestFit="1" customWidth="1"/>
    <col min="8968" max="8968" width="10.42578125" style="111" bestFit="1" customWidth="1"/>
    <col min="8969" max="8969" width="4.5703125" style="111" customWidth="1"/>
    <col min="8970" max="8970" width="1.85546875" style="111" customWidth="1"/>
    <col min="8971" max="8971" width="7" style="111" bestFit="1" customWidth="1"/>
    <col min="8972" max="8972" width="6.28515625" style="111" customWidth="1"/>
    <col min="8973" max="8973" width="20.42578125" style="111" customWidth="1"/>
    <col min="8974" max="8974" width="6.42578125" style="111" bestFit="1" customWidth="1"/>
    <col min="8975" max="8976" width="8.42578125" style="111"/>
    <col min="8977" max="8977" width="3.28515625" style="111" customWidth="1"/>
    <col min="8978" max="9216" width="8.42578125" style="111"/>
    <col min="9217" max="9217" width="10" style="111" bestFit="1" customWidth="1"/>
    <col min="9218" max="9218" width="44.28515625" style="111" bestFit="1" customWidth="1"/>
    <col min="9219" max="9219" width="10.42578125" style="111" bestFit="1" customWidth="1"/>
    <col min="9220" max="9220" width="10.42578125" style="111" customWidth="1"/>
    <col min="9221" max="9221" width="9.7109375" style="111" bestFit="1" customWidth="1"/>
    <col min="9222" max="9223" width="9.5703125" style="111" bestFit="1" customWidth="1"/>
    <col min="9224" max="9224" width="10.42578125" style="111" bestFit="1" customWidth="1"/>
    <col min="9225" max="9225" width="4.5703125" style="111" customWidth="1"/>
    <col min="9226" max="9226" width="1.85546875" style="111" customWidth="1"/>
    <col min="9227" max="9227" width="7" style="111" bestFit="1" customWidth="1"/>
    <col min="9228" max="9228" width="6.28515625" style="111" customWidth="1"/>
    <col min="9229" max="9229" width="20.42578125" style="111" customWidth="1"/>
    <col min="9230" max="9230" width="6.42578125" style="111" bestFit="1" customWidth="1"/>
    <col min="9231" max="9232" width="8.42578125" style="111"/>
    <col min="9233" max="9233" width="3.28515625" style="111" customWidth="1"/>
    <col min="9234" max="9472" width="8.42578125" style="111"/>
    <col min="9473" max="9473" width="10" style="111" bestFit="1" customWidth="1"/>
    <col min="9474" max="9474" width="44.28515625" style="111" bestFit="1" customWidth="1"/>
    <col min="9475" max="9475" width="10.42578125" style="111" bestFit="1" customWidth="1"/>
    <col min="9476" max="9476" width="10.42578125" style="111" customWidth="1"/>
    <col min="9477" max="9477" width="9.7109375" style="111" bestFit="1" customWidth="1"/>
    <col min="9478" max="9479" width="9.5703125" style="111" bestFit="1" customWidth="1"/>
    <col min="9480" max="9480" width="10.42578125" style="111" bestFit="1" customWidth="1"/>
    <col min="9481" max="9481" width="4.5703125" style="111" customWidth="1"/>
    <col min="9482" max="9482" width="1.85546875" style="111" customWidth="1"/>
    <col min="9483" max="9483" width="7" style="111" bestFit="1" customWidth="1"/>
    <col min="9484" max="9484" width="6.28515625" style="111" customWidth="1"/>
    <col min="9485" max="9485" width="20.42578125" style="111" customWidth="1"/>
    <col min="9486" max="9486" width="6.42578125" style="111" bestFit="1" customWidth="1"/>
    <col min="9487" max="9488" width="8.42578125" style="111"/>
    <col min="9489" max="9489" width="3.28515625" style="111" customWidth="1"/>
    <col min="9490" max="9728" width="8.42578125" style="111"/>
    <col min="9729" max="9729" width="10" style="111" bestFit="1" customWidth="1"/>
    <col min="9730" max="9730" width="44.28515625" style="111" bestFit="1" customWidth="1"/>
    <col min="9731" max="9731" width="10.42578125" style="111" bestFit="1" customWidth="1"/>
    <col min="9732" max="9732" width="10.42578125" style="111" customWidth="1"/>
    <col min="9733" max="9733" width="9.7109375" style="111" bestFit="1" customWidth="1"/>
    <col min="9734" max="9735" width="9.5703125" style="111" bestFit="1" customWidth="1"/>
    <col min="9736" max="9736" width="10.42578125" style="111" bestFit="1" customWidth="1"/>
    <col min="9737" max="9737" width="4.5703125" style="111" customWidth="1"/>
    <col min="9738" max="9738" width="1.85546875" style="111" customWidth="1"/>
    <col min="9739" max="9739" width="7" style="111" bestFit="1" customWidth="1"/>
    <col min="9740" max="9740" width="6.28515625" style="111" customWidth="1"/>
    <col min="9741" max="9741" width="20.42578125" style="111" customWidth="1"/>
    <col min="9742" max="9742" width="6.42578125" style="111" bestFit="1" customWidth="1"/>
    <col min="9743" max="9744" width="8.42578125" style="111"/>
    <col min="9745" max="9745" width="3.28515625" style="111" customWidth="1"/>
    <col min="9746" max="9984" width="8.42578125" style="111"/>
    <col min="9985" max="9985" width="10" style="111" bestFit="1" customWidth="1"/>
    <col min="9986" max="9986" width="44.28515625" style="111" bestFit="1" customWidth="1"/>
    <col min="9987" max="9987" width="10.42578125" style="111" bestFit="1" customWidth="1"/>
    <col min="9988" max="9988" width="10.42578125" style="111" customWidth="1"/>
    <col min="9989" max="9989" width="9.7109375" style="111" bestFit="1" customWidth="1"/>
    <col min="9990" max="9991" width="9.5703125" style="111" bestFit="1" customWidth="1"/>
    <col min="9992" max="9992" width="10.42578125" style="111" bestFit="1" customWidth="1"/>
    <col min="9993" max="9993" width="4.5703125" style="111" customWidth="1"/>
    <col min="9994" max="9994" width="1.85546875" style="111" customWidth="1"/>
    <col min="9995" max="9995" width="7" style="111" bestFit="1" customWidth="1"/>
    <col min="9996" max="9996" width="6.28515625" style="111" customWidth="1"/>
    <col min="9997" max="9997" width="20.42578125" style="111" customWidth="1"/>
    <col min="9998" max="9998" width="6.42578125" style="111" bestFit="1" customWidth="1"/>
    <col min="9999" max="10000" width="8.42578125" style="111"/>
    <col min="10001" max="10001" width="3.28515625" style="111" customWidth="1"/>
    <col min="10002" max="10240" width="8.42578125" style="111"/>
    <col min="10241" max="10241" width="10" style="111" bestFit="1" customWidth="1"/>
    <col min="10242" max="10242" width="44.28515625" style="111" bestFit="1" customWidth="1"/>
    <col min="10243" max="10243" width="10.42578125" style="111" bestFit="1" customWidth="1"/>
    <col min="10244" max="10244" width="10.42578125" style="111" customWidth="1"/>
    <col min="10245" max="10245" width="9.7109375" style="111" bestFit="1" customWidth="1"/>
    <col min="10246" max="10247" width="9.5703125" style="111" bestFit="1" customWidth="1"/>
    <col min="10248" max="10248" width="10.42578125" style="111" bestFit="1" customWidth="1"/>
    <col min="10249" max="10249" width="4.5703125" style="111" customWidth="1"/>
    <col min="10250" max="10250" width="1.85546875" style="111" customWidth="1"/>
    <col min="10251" max="10251" width="7" style="111" bestFit="1" customWidth="1"/>
    <col min="10252" max="10252" width="6.28515625" style="111" customWidth="1"/>
    <col min="10253" max="10253" width="20.42578125" style="111" customWidth="1"/>
    <col min="10254" max="10254" width="6.42578125" style="111" bestFit="1" customWidth="1"/>
    <col min="10255" max="10256" width="8.42578125" style="111"/>
    <col min="10257" max="10257" width="3.28515625" style="111" customWidth="1"/>
    <col min="10258" max="10496" width="8.42578125" style="111"/>
    <col min="10497" max="10497" width="10" style="111" bestFit="1" customWidth="1"/>
    <col min="10498" max="10498" width="44.28515625" style="111" bestFit="1" customWidth="1"/>
    <col min="10499" max="10499" width="10.42578125" style="111" bestFit="1" customWidth="1"/>
    <col min="10500" max="10500" width="10.42578125" style="111" customWidth="1"/>
    <col min="10501" max="10501" width="9.7109375" style="111" bestFit="1" customWidth="1"/>
    <col min="10502" max="10503" width="9.5703125" style="111" bestFit="1" customWidth="1"/>
    <col min="10504" max="10504" width="10.42578125" style="111" bestFit="1" customWidth="1"/>
    <col min="10505" max="10505" width="4.5703125" style="111" customWidth="1"/>
    <col min="10506" max="10506" width="1.85546875" style="111" customWidth="1"/>
    <col min="10507" max="10507" width="7" style="111" bestFit="1" customWidth="1"/>
    <col min="10508" max="10508" width="6.28515625" style="111" customWidth="1"/>
    <col min="10509" max="10509" width="20.42578125" style="111" customWidth="1"/>
    <col min="10510" max="10510" width="6.42578125" style="111" bestFit="1" customWidth="1"/>
    <col min="10511" max="10512" width="8.42578125" style="111"/>
    <col min="10513" max="10513" width="3.28515625" style="111" customWidth="1"/>
    <col min="10514" max="10752" width="8.42578125" style="111"/>
    <col min="10753" max="10753" width="10" style="111" bestFit="1" customWidth="1"/>
    <col min="10754" max="10754" width="44.28515625" style="111" bestFit="1" customWidth="1"/>
    <col min="10755" max="10755" width="10.42578125" style="111" bestFit="1" customWidth="1"/>
    <col min="10756" max="10756" width="10.42578125" style="111" customWidth="1"/>
    <col min="10757" max="10757" width="9.7109375" style="111" bestFit="1" customWidth="1"/>
    <col min="10758" max="10759" width="9.5703125" style="111" bestFit="1" customWidth="1"/>
    <col min="10760" max="10760" width="10.42578125" style="111" bestFit="1" customWidth="1"/>
    <col min="10761" max="10761" width="4.5703125" style="111" customWidth="1"/>
    <col min="10762" max="10762" width="1.85546875" style="111" customWidth="1"/>
    <col min="10763" max="10763" width="7" style="111" bestFit="1" customWidth="1"/>
    <col min="10764" max="10764" width="6.28515625" style="111" customWidth="1"/>
    <col min="10765" max="10765" width="20.42578125" style="111" customWidth="1"/>
    <col min="10766" max="10766" width="6.42578125" style="111" bestFit="1" customWidth="1"/>
    <col min="10767" max="10768" width="8.42578125" style="111"/>
    <col min="10769" max="10769" width="3.28515625" style="111" customWidth="1"/>
    <col min="10770" max="11008" width="8.42578125" style="111"/>
    <col min="11009" max="11009" width="10" style="111" bestFit="1" customWidth="1"/>
    <col min="11010" max="11010" width="44.28515625" style="111" bestFit="1" customWidth="1"/>
    <col min="11011" max="11011" width="10.42578125" style="111" bestFit="1" customWidth="1"/>
    <col min="11012" max="11012" width="10.42578125" style="111" customWidth="1"/>
    <col min="11013" max="11013" width="9.7109375" style="111" bestFit="1" customWidth="1"/>
    <col min="11014" max="11015" width="9.5703125" style="111" bestFit="1" customWidth="1"/>
    <col min="11016" max="11016" width="10.42578125" style="111" bestFit="1" customWidth="1"/>
    <col min="11017" max="11017" width="4.5703125" style="111" customWidth="1"/>
    <col min="11018" max="11018" width="1.85546875" style="111" customWidth="1"/>
    <col min="11019" max="11019" width="7" style="111" bestFit="1" customWidth="1"/>
    <col min="11020" max="11020" width="6.28515625" style="111" customWidth="1"/>
    <col min="11021" max="11021" width="20.42578125" style="111" customWidth="1"/>
    <col min="11022" max="11022" width="6.42578125" style="111" bestFit="1" customWidth="1"/>
    <col min="11023" max="11024" width="8.42578125" style="111"/>
    <col min="11025" max="11025" width="3.28515625" style="111" customWidth="1"/>
    <col min="11026" max="11264" width="8.42578125" style="111"/>
    <col min="11265" max="11265" width="10" style="111" bestFit="1" customWidth="1"/>
    <col min="11266" max="11266" width="44.28515625" style="111" bestFit="1" customWidth="1"/>
    <col min="11267" max="11267" width="10.42578125" style="111" bestFit="1" customWidth="1"/>
    <col min="11268" max="11268" width="10.42578125" style="111" customWidth="1"/>
    <col min="11269" max="11269" width="9.7109375" style="111" bestFit="1" customWidth="1"/>
    <col min="11270" max="11271" width="9.5703125" style="111" bestFit="1" customWidth="1"/>
    <col min="11272" max="11272" width="10.42578125" style="111" bestFit="1" customWidth="1"/>
    <col min="11273" max="11273" width="4.5703125" style="111" customWidth="1"/>
    <col min="11274" max="11274" width="1.85546875" style="111" customWidth="1"/>
    <col min="11275" max="11275" width="7" style="111" bestFit="1" customWidth="1"/>
    <col min="11276" max="11276" width="6.28515625" style="111" customWidth="1"/>
    <col min="11277" max="11277" width="20.42578125" style="111" customWidth="1"/>
    <col min="11278" max="11278" width="6.42578125" style="111" bestFit="1" customWidth="1"/>
    <col min="11279" max="11280" width="8.42578125" style="111"/>
    <col min="11281" max="11281" width="3.28515625" style="111" customWidth="1"/>
    <col min="11282" max="11520" width="8.42578125" style="111"/>
    <col min="11521" max="11521" width="10" style="111" bestFit="1" customWidth="1"/>
    <col min="11522" max="11522" width="44.28515625" style="111" bestFit="1" customWidth="1"/>
    <col min="11523" max="11523" width="10.42578125" style="111" bestFit="1" customWidth="1"/>
    <col min="11524" max="11524" width="10.42578125" style="111" customWidth="1"/>
    <col min="11525" max="11525" width="9.7109375" style="111" bestFit="1" customWidth="1"/>
    <col min="11526" max="11527" width="9.5703125" style="111" bestFit="1" customWidth="1"/>
    <col min="11528" max="11528" width="10.42578125" style="111" bestFit="1" customWidth="1"/>
    <col min="11529" max="11529" width="4.5703125" style="111" customWidth="1"/>
    <col min="11530" max="11530" width="1.85546875" style="111" customWidth="1"/>
    <col min="11531" max="11531" width="7" style="111" bestFit="1" customWidth="1"/>
    <col min="11532" max="11532" width="6.28515625" style="111" customWidth="1"/>
    <col min="11533" max="11533" width="20.42578125" style="111" customWidth="1"/>
    <col min="11534" max="11534" width="6.42578125" style="111" bestFit="1" customWidth="1"/>
    <col min="11535" max="11536" width="8.42578125" style="111"/>
    <col min="11537" max="11537" width="3.28515625" style="111" customWidth="1"/>
    <col min="11538" max="11776" width="8.42578125" style="111"/>
    <col min="11777" max="11777" width="10" style="111" bestFit="1" customWidth="1"/>
    <col min="11778" max="11778" width="44.28515625" style="111" bestFit="1" customWidth="1"/>
    <col min="11779" max="11779" width="10.42578125" style="111" bestFit="1" customWidth="1"/>
    <col min="11780" max="11780" width="10.42578125" style="111" customWidth="1"/>
    <col min="11781" max="11781" width="9.7109375" style="111" bestFit="1" customWidth="1"/>
    <col min="11782" max="11783" width="9.5703125" style="111" bestFit="1" customWidth="1"/>
    <col min="11784" max="11784" width="10.42578125" style="111" bestFit="1" customWidth="1"/>
    <col min="11785" max="11785" width="4.5703125" style="111" customWidth="1"/>
    <col min="11786" max="11786" width="1.85546875" style="111" customWidth="1"/>
    <col min="11787" max="11787" width="7" style="111" bestFit="1" customWidth="1"/>
    <col min="11788" max="11788" width="6.28515625" style="111" customWidth="1"/>
    <col min="11789" max="11789" width="20.42578125" style="111" customWidth="1"/>
    <col min="11790" max="11790" width="6.42578125" style="111" bestFit="1" customWidth="1"/>
    <col min="11791" max="11792" width="8.42578125" style="111"/>
    <col min="11793" max="11793" width="3.28515625" style="111" customWidth="1"/>
    <col min="11794" max="12032" width="8.42578125" style="111"/>
    <col min="12033" max="12033" width="10" style="111" bestFit="1" customWidth="1"/>
    <col min="12034" max="12034" width="44.28515625" style="111" bestFit="1" customWidth="1"/>
    <col min="12035" max="12035" width="10.42578125" style="111" bestFit="1" customWidth="1"/>
    <col min="12036" max="12036" width="10.42578125" style="111" customWidth="1"/>
    <col min="12037" max="12037" width="9.7109375" style="111" bestFit="1" customWidth="1"/>
    <col min="12038" max="12039" width="9.5703125" style="111" bestFit="1" customWidth="1"/>
    <col min="12040" max="12040" width="10.42578125" style="111" bestFit="1" customWidth="1"/>
    <col min="12041" max="12041" width="4.5703125" style="111" customWidth="1"/>
    <col min="12042" max="12042" width="1.85546875" style="111" customWidth="1"/>
    <col min="12043" max="12043" width="7" style="111" bestFit="1" customWidth="1"/>
    <col min="12044" max="12044" width="6.28515625" style="111" customWidth="1"/>
    <col min="12045" max="12045" width="20.42578125" style="111" customWidth="1"/>
    <col min="12046" max="12046" width="6.42578125" style="111" bestFit="1" customWidth="1"/>
    <col min="12047" max="12048" width="8.42578125" style="111"/>
    <col min="12049" max="12049" width="3.28515625" style="111" customWidth="1"/>
    <col min="12050" max="12288" width="8.42578125" style="111"/>
    <col min="12289" max="12289" width="10" style="111" bestFit="1" customWidth="1"/>
    <col min="12290" max="12290" width="44.28515625" style="111" bestFit="1" customWidth="1"/>
    <col min="12291" max="12291" width="10.42578125" style="111" bestFit="1" customWidth="1"/>
    <col min="12292" max="12292" width="10.42578125" style="111" customWidth="1"/>
    <col min="12293" max="12293" width="9.7109375" style="111" bestFit="1" customWidth="1"/>
    <col min="12294" max="12295" width="9.5703125" style="111" bestFit="1" customWidth="1"/>
    <col min="12296" max="12296" width="10.42578125" style="111" bestFit="1" customWidth="1"/>
    <col min="12297" max="12297" width="4.5703125" style="111" customWidth="1"/>
    <col min="12298" max="12298" width="1.85546875" style="111" customWidth="1"/>
    <col min="12299" max="12299" width="7" style="111" bestFit="1" customWidth="1"/>
    <col min="12300" max="12300" width="6.28515625" style="111" customWidth="1"/>
    <col min="12301" max="12301" width="20.42578125" style="111" customWidth="1"/>
    <col min="12302" max="12302" width="6.42578125" style="111" bestFit="1" customWidth="1"/>
    <col min="12303" max="12304" width="8.42578125" style="111"/>
    <col min="12305" max="12305" width="3.28515625" style="111" customWidth="1"/>
    <col min="12306" max="12544" width="8.42578125" style="111"/>
    <col min="12545" max="12545" width="10" style="111" bestFit="1" customWidth="1"/>
    <col min="12546" max="12546" width="44.28515625" style="111" bestFit="1" customWidth="1"/>
    <col min="12547" max="12547" width="10.42578125" style="111" bestFit="1" customWidth="1"/>
    <col min="12548" max="12548" width="10.42578125" style="111" customWidth="1"/>
    <col min="12549" max="12549" width="9.7109375" style="111" bestFit="1" customWidth="1"/>
    <col min="12550" max="12551" width="9.5703125" style="111" bestFit="1" customWidth="1"/>
    <col min="12552" max="12552" width="10.42578125" style="111" bestFit="1" customWidth="1"/>
    <col min="12553" max="12553" width="4.5703125" style="111" customWidth="1"/>
    <col min="12554" max="12554" width="1.85546875" style="111" customWidth="1"/>
    <col min="12555" max="12555" width="7" style="111" bestFit="1" customWidth="1"/>
    <col min="12556" max="12556" width="6.28515625" style="111" customWidth="1"/>
    <col min="12557" max="12557" width="20.42578125" style="111" customWidth="1"/>
    <col min="12558" max="12558" width="6.42578125" style="111" bestFit="1" customWidth="1"/>
    <col min="12559" max="12560" width="8.42578125" style="111"/>
    <col min="12561" max="12561" width="3.28515625" style="111" customWidth="1"/>
    <col min="12562" max="12800" width="8.42578125" style="111"/>
    <col min="12801" max="12801" width="10" style="111" bestFit="1" customWidth="1"/>
    <col min="12802" max="12802" width="44.28515625" style="111" bestFit="1" customWidth="1"/>
    <col min="12803" max="12803" width="10.42578125" style="111" bestFit="1" customWidth="1"/>
    <col min="12804" max="12804" width="10.42578125" style="111" customWidth="1"/>
    <col min="12805" max="12805" width="9.7109375" style="111" bestFit="1" customWidth="1"/>
    <col min="12806" max="12807" width="9.5703125" style="111" bestFit="1" customWidth="1"/>
    <col min="12808" max="12808" width="10.42578125" style="111" bestFit="1" customWidth="1"/>
    <col min="12809" max="12809" width="4.5703125" style="111" customWidth="1"/>
    <col min="12810" max="12810" width="1.85546875" style="111" customWidth="1"/>
    <col min="12811" max="12811" width="7" style="111" bestFit="1" customWidth="1"/>
    <col min="12812" max="12812" width="6.28515625" style="111" customWidth="1"/>
    <col min="12813" max="12813" width="20.42578125" style="111" customWidth="1"/>
    <col min="12814" max="12814" width="6.42578125" style="111" bestFit="1" customWidth="1"/>
    <col min="12815" max="12816" width="8.42578125" style="111"/>
    <col min="12817" max="12817" width="3.28515625" style="111" customWidth="1"/>
    <col min="12818" max="13056" width="8.42578125" style="111"/>
    <col min="13057" max="13057" width="10" style="111" bestFit="1" customWidth="1"/>
    <col min="13058" max="13058" width="44.28515625" style="111" bestFit="1" customWidth="1"/>
    <col min="13059" max="13059" width="10.42578125" style="111" bestFit="1" customWidth="1"/>
    <col min="13060" max="13060" width="10.42578125" style="111" customWidth="1"/>
    <col min="13061" max="13061" width="9.7109375" style="111" bestFit="1" customWidth="1"/>
    <col min="13062" max="13063" width="9.5703125" style="111" bestFit="1" customWidth="1"/>
    <col min="13064" max="13064" width="10.42578125" style="111" bestFit="1" customWidth="1"/>
    <col min="13065" max="13065" width="4.5703125" style="111" customWidth="1"/>
    <col min="13066" max="13066" width="1.85546875" style="111" customWidth="1"/>
    <col min="13067" max="13067" width="7" style="111" bestFit="1" customWidth="1"/>
    <col min="13068" max="13068" width="6.28515625" style="111" customWidth="1"/>
    <col min="13069" max="13069" width="20.42578125" style="111" customWidth="1"/>
    <col min="13070" max="13070" width="6.42578125" style="111" bestFit="1" customWidth="1"/>
    <col min="13071" max="13072" width="8.42578125" style="111"/>
    <col min="13073" max="13073" width="3.28515625" style="111" customWidth="1"/>
    <col min="13074" max="13312" width="8.42578125" style="111"/>
    <col min="13313" max="13313" width="10" style="111" bestFit="1" customWidth="1"/>
    <col min="13314" max="13314" width="44.28515625" style="111" bestFit="1" customWidth="1"/>
    <col min="13315" max="13315" width="10.42578125" style="111" bestFit="1" customWidth="1"/>
    <col min="13316" max="13316" width="10.42578125" style="111" customWidth="1"/>
    <col min="13317" max="13317" width="9.7109375" style="111" bestFit="1" customWidth="1"/>
    <col min="13318" max="13319" width="9.5703125" style="111" bestFit="1" customWidth="1"/>
    <col min="13320" max="13320" width="10.42578125" style="111" bestFit="1" customWidth="1"/>
    <col min="13321" max="13321" width="4.5703125" style="111" customWidth="1"/>
    <col min="13322" max="13322" width="1.85546875" style="111" customWidth="1"/>
    <col min="13323" max="13323" width="7" style="111" bestFit="1" customWidth="1"/>
    <col min="13324" max="13324" width="6.28515625" style="111" customWidth="1"/>
    <col min="13325" max="13325" width="20.42578125" style="111" customWidth="1"/>
    <col min="13326" max="13326" width="6.42578125" style="111" bestFit="1" customWidth="1"/>
    <col min="13327" max="13328" width="8.42578125" style="111"/>
    <col min="13329" max="13329" width="3.28515625" style="111" customWidth="1"/>
    <col min="13330" max="13568" width="8.42578125" style="111"/>
    <col min="13569" max="13569" width="10" style="111" bestFit="1" customWidth="1"/>
    <col min="13570" max="13570" width="44.28515625" style="111" bestFit="1" customWidth="1"/>
    <col min="13571" max="13571" width="10.42578125" style="111" bestFit="1" customWidth="1"/>
    <col min="13572" max="13572" width="10.42578125" style="111" customWidth="1"/>
    <col min="13573" max="13573" width="9.7109375" style="111" bestFit="1" customWidth="1"/>
    <col min="13574" max="13575" width="9.5703125" style="111" bestFit="1" customWidth="1"/>
    <col min="13576" max="13576" width="10.42578125" style="111" bestFit="1" customWidth="1"/>
    <col min="13577" max="13577" width="4.5703125" style="111" customWidth="1"/>
    <col min="13578" max="13578" width="1.85546875" style="111" customWidth="1"/>
    <col min="13579" max="13579" width="7" style="111" bestFit="1" customWidth="1"/>
    <col min="13580" max="13580" width="6.28515625" style="111" customWidth="1"/>
    <col min="13581" max="13581" width="20.42578125" style="111" customWidth="1"/>
    <col min="13582" max="13582" width="6.42578125" style="111" bestFit="1" customWidth="1"/>
    <col min="13583" max="13584" width="8.42578125" style="111"/>
    <col min="13585" max="13585" width="3.28515625" style="111" customWidth="1"/>
    <col min="13586" max="13824" width="8.42578125" style="111"/>
    <col min="13825" max="13825" width="10" style="111" bestFit="1" customWidth="1"/>
    <col min="13826" max="13826" width="44.28515625" style="111" bestFit="1" customWidth="1"/>
    <col min="13827" max="13827" width="10.42578125" style="111" bestFit="1" customWidth="1"/>
    <col min="13828" max="13828" width="10.42578125" style="111" customWidth="1"/>
    <col min="13829" max="13829" width="9.7109375" style="111" bestFit="1" customWidth="1"/>
    <col min="13830" max="13831" width="9.5703125" style="111" bestFit="1" customWidth="1"/>
    <col min="13832" max="13832" width="10.42578125" style="111" bestFit="1" customWidth="1"/>
    <col min="13833" max="13833" width="4.5703125" style="111" customWidth="1"/>
    <col min="13834" max="13834" width="1.85546875" style="111" customWidth="1"/>
    <col min="13835" max="13835" width="7" style="111" bestFit="1" customWidth="1"/>
    <col min="13836" max="13836" width="6.28515625" style="111" customWidth="1"/>
    <col min="13837" max="13837" width="20.42578125" style="111" customWidth="1"/>
    <col min="13838" max="13838" width="6.42578125" style="111" bestFit="1" customWidth="1"/>
    <col min="13839" max="13840" width="8.42578125" style="111"/>
    <col min="13841" max="13841" width="3.28515625" style="111" customWidth="1"/>
    <col min="13842" max="14080" width="8.42578125" style="111"/>
    <col min="14081" max="14081" width="10" style="111" bestFit="1" customWidth="1"/>
    <col min="14082" max="14082" width="44.28515625" style="111" bestFit="1" customWidth="1"/>
    <col min="14083" max="14083" width="10.42578125" style="111" bestFit="1" customWidth="1"/>
    <col min="14084" max="14084" width="10.42578125" style="111" customWidth="1"/>
    <col min="14085" max="14085" width="9.7109375" style="111" bestFit="1" customWidth="1"/>
    <col min="14086" max="14087" width="9.5703125" style="111" bestFit="1" customWidth="1"/>
    <col min="14088" max="14088" width="10.42578125" style="111" bestFit="1" customWidth="1"/>
    <col min="14089" max="14089" width="4.5703125" style="111" customWidth="1"/>
    <col min="14090" max="14090" width="1.85546875" style="111" customWidth="1"/>
    <col min="14091" max="14091" width="7" style="111" bestFit="1" customWidth="1"/>
    <col min="14092" max="14092" width="6.28515625" style="111" customWidth="1"/>
    <col min="14093" max="14093" width="20.42578125" style="111" customWidth="1"/>
    <col min="14094" max="14094" width="6.42578125" style="111" bestFit="1" customWidth="1"/>
    <col min="14095" max="14096" width="8.42578125" style="111"/>
    <col min="14097" max="14097" width="3.28515625" style="111" customWidth="1"/>
    <col min="14098" max="14336" width="8.42578125" style="111"/>
    <col min="14337" max="14337" width="10" style="111" bestFit="1" customWidth="1"/>
    <col min="14338" max="14338" width="44.28515625" style="111" bestFit="1" customWidth="1"/>
    <col min="14339" max="14339" width="10.42578125" style="111" bestFit="1" customWidth="1"/>
    <col min="14340" max="14340" width="10.42578125" style="111" customWidth="1"/>
    <col min="14341" max="14341" width="9.7109375" style="111" bestFit="1" customWidth="1"/>
    <col min="14342" max="14343" width="9.5703125" style="111" bestFit="1" customWidth="1"/>
    <col min="14344" max="14344" width="10.42578125" style="111" bestFit="1" customWidth="1"/>
    <col min="14345" max="14345" width="4.5703125" style="111" customWidth="1"/>
    <col min="14346" max="14346" width="1.85546875" style="111" customWidth="1"/>
    <col min="14347" max="14347" width="7" style="111" bestFit="1" customWidth="1"/>
    <col min="14348" max="14348" width="6.28515625" style="111" customWidth="1"/>
    <col min="14349" max="14349" width="20.42578125" style="111" customWidth="1"/>
    <col min="14350" max="14350" width="6.42578125" style="111" bestFit="1" customWidth="1"/>
    <col min="14351" max="14352" width="8.42578125" style="111"/>
    <col min="14353" max="14353" width="3.28515625" style="111" customWidth="1"/>
    <col min="14354" max="14592" width="8.42578125" style="111"/>
    <col min="14593" max="14593" width="10" style="111" bestFit="1" customWidth="1"/>
    <col min="14594" max="14594" width="44.28515625" style="111" bestFit="1" customWidth="1"/>
    <col min="14595" max="14595" width="10.42578125" style="111" bestFit="1" customWidth="1"/>
    <col min="14596" max="14596" width="10.42578125" style="111" customWidth="1"/>
    <col min="14597" max="14597" width="9.7109375" style="111" bestFit="1" customWidth="1"/>
    <col min="14598" max="14599" width="9.5703125" style="111" bestFit="1" customWidth="1"/>
    <col min="14600" max="14600" width="10.42578125" style="111" bestFit="1" customWidth="1"/>
    <col min="14601" max="14601" width="4.5703125" style="111" customWidth="1"/>
    <col min="14602" max="14602" width="1.85546875" style="111" customWidth="1"/>
    <col min="14603" max="14603" width="7" style="111" bestFit="1" customWidth="1"/>
    <col min="14604" max="14604" width="6.28515625" style="111" customWidth="1"/>
    <col min="14605" max="14605" width="20.42578125" style="111" customWidth="1"/>
    <col min="14606" max="14606" width="6.42578125" style="111" bestFit="1" customWidth="1"/>
    <col min="14607" max="14608" width="8.42578125" style="111"/>
    <col min="14609" max="14609" width="3.28515625" style="111" customWidth="1"/>
    <col min="14610" max="14848" width="8.42578125" style="111"/>
    <col min="14849" max="14849" width="10" style="111" bestFit="1" customWidth="1"/>
    <col min="14850" max="14850" width="44.28515625" style="111" bestFit="1" customWidth="1"/>
    <col min="14851" max="14851" width="10.42578125" style="111" bestFit="1" customWidth="1"/>
    <col min="14852" max="14852" width="10.42578125" style="111" customWidth="1"/>
    <col min="14853" max="14853" width="9.7109375" style="111" bestFit="1" customWidth="1"/>
    <col min="14854" max="14855" width="9.5703125" style="111" bestFit="1" customWidth="1"/>
    <col min="14856" max="14856" width="10.42578125" style="111" bestFit="1" customWidth="1"/>
    <col min="14857" max="14857" width="4.5703125" style="111" customWidth="1"/>
    <col min="14858" max="14858" width="1.85546875" style="111" customWidth="1"/>
    <col min="14859" max="14859" width="7" style="111" bestFit="1" customWidth="1"/>
    <col min="14860" max="14860" width="6.28515625" style="111" customWidth="1"/>
    <col min="14861" max="14861" width="20.42578125" style="111" customWidth="1"/>
    <col min="14862" max="14862" width="6.42578125" style="111" bestFit="1" customWidth="1"/>
    <col min="14863" max="14864" width="8.42578125" style="111"/>
    <col min="14865" max="14865" width="3.28515625" style="111" customWidth="1"/>
    <col min="14866" max="15104" width="8.42578125" style="111"/>
    <col min="15105" max="15105" width="10" style="111" bestFit="1" customWidth="1"/>
    <col min="15106" max="15106" width="44.28515625" style="111" bestFit="1" customWidth="1"/>
    <col min="15107" max="15107" width="10.42578125" style="111" bestFit="1" customWidth="1"/>
    <col min="15108" max="15108" width="10.42578125" style="111" customWidth="1"/>
    <col min="15109" max="15109" width="9.7109375" style="111" bestFit="1" customWidth="1"/>
    <col min="15110" max="15111" width="9.5703125" style="111" bestFit="1" customWidth="1"/>
    <col min="15112" max="15112" width="10.42578125" style="111" bestFit="1" customWidth="1"/>
    <col min="15113" max="15113" width="4.5703125" style="111" customWidth="1"/>
    <col min="15114" max="15114" width="1.85546875" style="111" customWidth="1"/>
    <col min="15115" max="15115" width="7" style="111" bestFit="1" customWidth="1"/>
    <col min="15116" max="15116" width="6.28515625" style="111" customWidth="1"/>
    <col min="15117" max="15117" width="20.42578125" style="111" customWidth="1"/>
    <col min="15118" max="15118" width="6.42578125" style="111" bestFit="1" customWidth="1"/>
    <col min="15119" max="15120" width="8.42578125" style="111"/>
    <col min="15121" max="15121" width="3.28515625" style="111" customWidth="1"/>
    <col min="15122" max="15360" width="8.42578125" style="111"/>
    <col min="15361" max="15361" width="10" style="111" bestFit="1" customWidth="1"/>
    <col min="15362" max="15362" width="44.28515625" style="111" bestFit="1" customWidth="1"/>
    <col min="15363" max="15363" width="10.42578125" style="111" bestFit="1" customWidth="1"/>
    <col min="15364" max="15364" width="10.42578125" style="111" customWidth="1"/>
    <col min="15365" max="15365" width="9.7109375" style="111" bestFit="1" customWidth="1"/>
    <col min="15366" max="15367" width="9.5703125" style="111" bestFit="1" customWidth="1"/>
    <col min="15368" max="15368" width="10.42578125" style="111" bestFit="1" customWidth="1"/>
    <col min="15369" max="15369" width="4.5703125" style="111" customWidth="1"/>
    <col min="15370" max="15370" width="1.85546875" style="111" customWidth="1"/>
    <col min="15371" max="15371" width="7" style="111" bestFit="1" customWidth="1"/>
    <col min="15372" max="15372" width="6.28515625" style="111" customWidth="1"/>
    <col min="15373" max="15373" width="20.42578125" style="111" customWidth="1"/>
    <col min="15374" max="15374" width="6.42578125" style="111" bestFit="1" customWidth="1"/>
    <col min="15375" max="15376" width="8.42578125" style="111"/>
    <col min="15377" max="15377" width="3.28515625" style="111" customWidth="1"/>
    <col min="15378" max="15616" width="8.42578125" style="111"/>
    <col min="15617" max="15617" width="10" style="111" bestFit="1" customWidth="1"/>
    <col min="15618" max="15618" width="44.28515625" style="111" bestFit="1" customWidth="1"/>
    <col min="15619" max="15619" width="10.42578125" style="111" bestFit="1" customWidth="1"/>
    <col min="15620" max="15620" width="10.42578125" style="111" customWidth="1"/>
    <col min="15621" max="15621" width="9.7109375" style="111" bestFit="1" customWidth="1"/>
    <col min="15622" max="15623" width="9.5703125" style="111" bestFit="1" customWidth="1"/>
    <col min="15624" max="15624" width="10.42578125" style="111" bestFit="1" customWidth="1"/>
    <col min="15625" max="15625" width="4.5703125" style="111" customWidth="1"/>
    <col min="15626" max="15626" width="1.85546875" style="111" customWidth="1"/>
    <col min="15627" max="15627" width="7" style="111" bestFit="1" customWidth="1"/>
    <col min="15628" max="15628" width="6.28515625" style="111" customWidth="1"/>
    <col min="15629" max="15629" width="20.42578125" style="111" customWidth="1"/>
    <col min="15630" max="15630" width="6.42578125" style="111" bestFit="1" customWidth="1"/>
    <col min="15631" max="15632" width="8.42578125" style="111"/>
    <col min="15633" max="15633" width="3.28515625" style="111" customWidth="1"/>
    <col min="15634" max="15872" width="8.42578125" style="111"/>
    <col min="15873" max="15873" width="10" style="111" bestFit="1" customWidth="1"/>
    <col min="15874" max="15874" width="44.28515625" style="111" bestFit="1" customWidth="1"/>
    <col min="15875" max="15875" width="10.42578125" style="111" bestFit="1" customWidth="1"/>
    <col min="15876" max="15876" width="10.42578125" style="111" customWidth="1"/>
    <col min="15877" max="15877" width="9.7109375" style="111" bestFit="1" customWidth="1"/>
    <col min="15878" max="15879" width="9.5703125" style="111" bestFit="1" customWidth="1"/>
    <col min="15880" max="15880" width="10.42578125" style="111" bestFit="1" customWidth="1"/>
    <col min="15881" max="15881" width="4.5703125" style="111" customWidth="1"/>
    <col min="15882" max="15882" width="1.85546875" style="111" customWidth="1"/>
    <col min="15883" max="15883" width="7" style="111" bestFit="1" customWidth="1"/>
    <col min="15884" max="15884" width="6.28515625" style="111" customWidth="1"/>
    <col min="15885" max="15885" width="20.42578125" style="111" customWidth="1"/>
    <col min="15886" max="15886" width="6.42578125" style="111" bestFit="1" customWidth="1"/>
    <col min="15887" max="15888" width="8.42578125" style="111"/>
    <col min="15889" max="15889" width="3.28515625" style="111" customWidth="1"/>
    <col min="15890" max="16128" width="8.42578125" style="111"/>
    <col min="16129" max="16129" width="10" style="111" bestFit="1" customWidth="1"/>
    <col min="16130" max="16130" width="44.28515625" style="111" bestFit="1" customWidth="1"/>
    <col min="16131" max="16131" width="10.42578125" style="111" bestFit="1" customWidth="1"/>
    <col min="16132" max="16132" width="10.42578125" style="111" customWidth="1"/>
    <col min="16133" max="16133" width="9.7109375" style="111" bestFit="1" customWidth="1"/>
    <col min="16134" max="16135" width="9.5703125" style="111" bestFit="1" customWidth="1"/>
    <col min="16136" max="16136" width="10.42578125" style="111" bestFit="1" customWidth="1"/>
    <col min="16137" max="16137" width="4.5703125" style="111" customWidth="1"/>
    <col min="16138" max="16138" width="1.85546875" style="111" customWidth="1"/>
    <col min="16139" max="16139" width="7" style="111" bestFit="1" customWidth="1"/>
    <col min="16140" max="16140" width="6.28515625" style="111" customWidth="1"/>
    <col min="16141" max="16141" width="20.42578125" style="111" customWidth="1"/>
    <col min="16142" max="16142" width="6.42578125" style="111" bestFit="1" customWidth="1"/>
    <col min="16143" max="16144" width="8.42578125" style="111"/>
    <col min="16145" max="16145" width="3.28515625" style="111" customWidth="1"/>
    <col min="16146" max="16384" width="8.42578125" style="111"/>
  </cols>
  <sheetData>
    <row r="1" spans="1:10" ht="27.75" customHeight="1" x14ac:dyDescent="0.25">
      <c r="A1" s="106"/>
      <c r="B1" s="106"/>
      <c r="C1" s="106"/>
      <c r="D1" s="106"/>
      <c r="E1" s="107" t="s">
        <v>85</v>
      </c>
      <c r="F1" s="108" t="s">
        <v>86</v>
      </c>
      <c r="G1" s="108" t="s">
        <v>87</v>
      </c>
      <c r="H1" s="108" t="s">
        <v>88</v>
      </c>
      <c r="I1" s="109"/>
    </row>
    <row r="2" spans="1:10" ht="30.75" customHeight="1" x14ac:dyDescent="0.25">
      <c r="A2" s="106"/>
      <c r="B2" s="106"/>
      <c r="C2" s="106"/>
      <c r="D2" s="106"/>
      <c r="E2" s="112">
        <f>IFERROR(O62,"")</f>
        <v>2983.9005194805191</v>
      </c>
      <c r="F2" s="112">
        <f>IFERROR(H53,"")</f>
        <v>1365.9</v>
      </c>
      <c r="G2" s="112">
        <f>IFERROR(H54,"")</f>
        <v>487.61999999999995</v>
      </c>
      <c r="H2" s="112">
        <f>IFERROR(H56,"")</f>
        <v>617.29999999999995</v>
      </c>
      <c r="I2" s="113"/>
    </row>
    <row r="3" spans="1:10" ht="15" customHeight="1" x14ac:dyDescent="0.25">
      <c r="A3" s="106"/>
      <c r="B3" s="106"/>
      <c r="C3" s="106"/>
      <c r="D3" s="106"/>
      <c r="E3" s="106"/>
      <c r="F3" s="114"/>
      <c r="G3" s="114"/>
      <c r="H3" s="114"/>
      <c r="I3" s="114"/>
    </row>
    <row r="4" spans="1:10" ht="24.75" customHeight="1" thickBot="1" x14ac:dyDescent="0.3">
      <c r="A4" s="821"/>
      <c r="B4" s="821"/>
      <c r="C4" s="821"/>
      <c r="D4" s="821"/>
      <c r="E4" s="821"/>
      <c r="F4" s="821"/>
      <c r="G4" s="821"/>
      <c r="H4" s="821"/>
      <c r="I4" s="115"/>
    </row>
    <row r="5" spans="1:10" ht="19.5" customHeight="1" thickBot="1" x14ac:dyDescent="0.3">
      <c r="A5" s="822" t="s">
        <v>89</v>
      </c>
      <c r="B5" s="823"/>
      <c r="C5" s="823"/>
      <c r="D5" s="823"/>
      <c r="E5" s="823"/>
      <c r="F5" s="823"/>
      <c r="G5" s="823"/>
      <c r="H5" s="824"/>
      <c r="I5" s="116"/>
    </row>
    <row r="6" spans="1:10" ht="19.5" thickBot="1" x14ac:dyDescent="0.3">
      <c r="A6" s="116"/>
      <c r="B6" s="116"/>
      <c r="C6" s="116"/>
      <c r="D6" s="116"/>
      <c r="E6" s="116"/>
      <c r="F6" s="825" t="s">
        <v>90</v>
      </c>
      <c r="G6" s="825"/>
      <c r="H6" s="117">
        <f ca="1">TODAY()</f>
        <v>45968</v>
      </c>
      <c r="I6" s="117"/>
    </row>
    <row r="7" spans="1:10" ht="26.25" hidden="1" thickBot="1" x14ac:dyDescent="0.3">
      <c r="A7" s="118" t="s">
        <v>91</v>
      </c>
      <c r="B7" s="119" t="s">
        <v>92</v>
      </c>
      <c r="C7" s="119" t="s">
        <v>91</v>
      </c>
      <c r="D7" s="120" t="s">
        <v>93</v>
      </c>
      <c r="E7" s="120" t="s">
        <v>94</v>
      </c>
      <c r="F7" s="120" t="s">
        <v>95</v>
      </c>
      <c r="G7" s="120" t="s">
        <v>96</v>
      </c>
      <c r="H7" s="121" t="s">
        <v>97</v>
      </c>
      <c r="I7" s="122"/>
    </row>
    <row r="8" spans="1:10" ht="13.5" hidden="1" x14ac:dyDescent="0.25">
      <c r="A8" s="123"/>
      <c r="B8" s="111" t="str">
        <f>IFERROR(VLOOKUP(H8,'[1]Consolidado MP Planta'!$A$2:$M$823,3,0),"")</f>
        <v/>
      </c>
      <c r="C8" s="124">
        <f>+A8</f>
        <v>0</v>
      </c>
      <c r="D8" s="125" t="str">
        <f>IFERROR(VLOOKUP(H8,'[1]Consolidado MP Planta'!$A$2:$M$823,13,0),"")</f>
        <v/>
      </c>
      <c r="E8" s="125" t="str">
        <f>IFERROR(VLOOKUP(H8,'[1]Consolidado MP Planta'!$A$2:$M$823,12,0),"")</f>
        <v/>
      </c>
      <c r="F8" s="125" t="str">
        <f>IFERROR(C8*E8,"")</f>
        <v/>
      </c>
      <c r="G8" s="126" t="str">
        <f t="shared" ref="G8:G14" si="0">IFERROR(F8/$F$66,"")</f>
        <v/>
      </c>
      <c r="H8" s="127"/>
      <c r="I8" s="127"/>
      <c r="J8" s="128"/>
    </row>
    <row r="9" spans="1:10" ht="13.5" hidden="1" x14ac:dyDescent="0.25">
      <c r="A9" s="123"/>
      <c r="B9" s="111" t="str">
        <f>IFERROR(VLOOKUP(H9,'[1]Consolidado MP Planta'!$A$2:$M$823,3,0),"")</f>
        <v/>
      </c>
      <c r="C9" s="124">
        <f t="shared" ref="C9:C14" si="1">+A9</f>
        <v>0</v>
      </c>
      <c r="D9" s="125" t="str">
        <f>IFERROR(VLOOKUP(H9,'[1]Consolidado MP Planta'!$A$2:$M$823,13,0),"")</f>
        <v/>
      </c>
      <c r="E9" s="125" t="str">
        <f>IFERROR(VLOOKUP(H9,'[1]Consolidado MP Planta'!$A$2:$M$823,12,0),"")</f>
        <v/>
      </c>
      <c r="F9" s="125" t="str">
        <f t="shared" ref="F9:F14" si="2">IFERROR(C9*E9,"")</f>
        <v/>
      </c>
      <c r="G9" s="126" t="str">
        <f t="shared" si="0"/>
        <v/>
      </c>
      <c r="H9" s="127"/>
      <c r="I9" s="127"/>
      <c r="J9" s="128"/>
    </row>
    <row r="10" spans="1:10" ht="13.5" hidden="1" x14ac:dyDescent="0.25">
      <c r="A10" s="123"/>
      <c r="B10" s="111" t="str">
        <f>IFERROR(VLOOKUP(H10,'[1]Consolidado MP Planta'!$A$2:$M$823,3,0),"")</f>
        <v/>
      </c>
      <c r="C10" s="124">
        <f t="shared" si="1"/>
        <v>0</v>
      </c>
      <c r="D10" s="125" t="str">
        <f>IFERROR(VLOOKUP(H10,'[1]Consolidado MP Planta'!$A$2:$M$823,13,0),"")</f>
        <v/>
      </c>
      <c r="E10" s="125" t="str">
        <f>IFERROR(VLOOKUP(H10,'[1]Consolidado MP Planta'!$A$2:$M$823,12,0),"")</f>
        <v/>
      </c>
      <c r="F10" s="125" t="str">
        <f t="shared" si="2"/>
        <v/>
      </c>
      <c r="G10" s="126" t="str">
        <f t="shared" si="0"/>
        <v/>
      </c>
      <c r="H10" s="127"/>
      <c r="I10" s="127"/>
      <c r="J10" s="128"/>
    </row>
    <row r="11" spans="1:10" ht="13.5" hidden="1" x14ac:dyDescent="0.25">
      <c r="A11" s="123"/>
      <c r="B11" s="111" t="str">
        <f>IFERROR(VLOOKUP(H11,'[1]Consolidado MP Planta'!$A$2:$M$823,3,0),"")</f>
        <v/>
      </c>
      <c r="C11" s="124">
        <f t="shared" si="1"/>
        <v>0</v>
      </c>
      <c r="D11" s="125" t="str">
        <f>IFERROR(VLOOKUP(H11,'[1]Consolidado MP Planta'!$A$2:$M$823,13,0),"")</f>
        <v/>
      </c>
      <c r="E11" s="125" t="str">
        <f>IFERROR(VLOOKUP(H11,'[1]Consolidado MP Planta'!$A$2:$M$823,12,0),"")</f>
        <v/>
      </c>
      <c r="F11" s="125" t="str">
        <f t="shared" si="2"/>
        <v/>
      </c>
      <c r="G11" s="126" t="str">
        <f t="shared" si="0"/>
        <v/>
      </c>
      <c r="H11" s="127"/>
      <c r="I11" s="127"/>
      <c r="J11" s="128"/>
    </row>
    <row r="12" spans="1:10" ht="13.5" hidden="1" x14ac:dyDescent="0.25">
      <c r="A12" s="123"/>
      <c r="B12" s="111" t="str">
        <f>IFERROR(VLOOKUP(H12,'[1]Consolidado MP Planta'!$A$2:$M$823,3,0),"")</f>
        <v/>
      </c>
      <c r="C12" s="124">
        <f t="shared" si="1"/>
        <v>0</v>
      </c>
      <c r="D12" s="125" t="str">
        <f>IFERROR(VLOOKUP(H12,'[1]Consolidado MP Planta'!$A$2:$M$823,13,0),"")</f>
        <v/>
      </c>
      <c r="E12" s="125" t="str">
        <f>IFERROR(VLOOKUP(H12,'[1]Consolidado MP Planta'!$A$2:$M$823,12,0),"")</f>
        <v/>
      </c>
      <c r="F12" s="125" t="str">
        <f t="shared" si="2"/>
        <v/>
      </c>
      <c r="G12" s="126" t="str">
        <f t="shared" si="0"/>
        <v/>
      </c>
      <c r="H12" s="127"/>
      <c r="I12" s="127"/>
      <c r="J12" s="128"/>
    </row>
    <row r="13" spans="1:10" ht="13.5" hidden="1" x14ac:dyDescent="0.25">
      <c r="A13" s="123"/>
      <c r="B13" s="111" t="str">
        <f>IFERROR(VLOOKUP(H13,'[1]Consolidado MP Planta'!$A$2:$M$823,3,0),"")</f>
        <v/>
      </c>
      <c r="C13" s="124">
        <f t="shared" si="1"/>
        <v>0</v>
      </c>
      <c r="D13" s="125" t="str">
        <f>IFERROR(VLOOKUP(H13,'[1]Consolidado MP Planta'!$A$2:$M$823,13,0),"")</f>
        <v/>
      </c>
      <c r="E13" s="125" t="str">
        <f>IFERROR(VLOOKUP(H13,'[1]Consolidado MP Planta'!$A$2:$M$823,12,0),"")</f>
        <v/>
      </c>
      <c r="F13" s="125" t="str">
        <f t="shared" si="2"/>
        <v/>
      </c>
      <c r="G13" s="126" t="str">
        <f t="shared" si="0"/>
        <v/>
      </c>
      <c r="H13" s="127"/>
      <c r="I13" s="127"/>
      <c r="J13" s="128"/>
    </row>
    <row r="14" spans="1:10" ht="13.5" hidden="1" x14ac:dyDescent="0.25">
      <c r="A14" s="123"/>
      <c r="B14" s="111" t="str">
        <f>IFERROR(VLOOKUP(H14,'[1]Consolidado MP Planta'!$A$2:$M$823,3,0),"")</f>
        <v/>
      </c>
      <c r="C14" s="124">
        <f t="shared" si="1"/>
        <v>0</v>
      </c>
      <c r="D14" s="125" t="str">
        <f>IFERROR(VLOOKUP(H14,'[1]Consolidado MP Planta'!$A$2:$M$823,13,0),"")</f>
        <v/>
      </c>
      <c r="E14" s="125" t="str">
        <f>IFERROR(VLOOKUP(H14,'[1]Consolidado MP Planta'!$A$2:$M$823,12,0),"")</f>
        <v/>
      </c>
      <c r="F14" s="125" t="str">
        <f t="shared" si="2"/>
        <v/>
      </c>
      <c r="G14" s="126" t="str">
        <f t="shared" si="0"/>
        <v/>
      </c>
      <c r="H14" s="127"/>
      <c r="I14" s="127"/>
      <c r="J14" s="128"/>
    </row>
    <row r="15" spans="1:10" ht="14.25" hidden="1" thickBot="1" x14ac:dyDescent="0.3">
      <c r="A15" s="123"/>
      <c r="B15" s="111" t="str">
        <f>IFERROR(VLOOKUP(H15,'[2]ARTICULOS MP PLANTA'!$A$2:$G$589,2,0),"")</f>
        <v/>
      </c>
      <c r="C15" s="124"/>
      <c r="D15" s="125"/>
      <c r="E15" s="125"/>
      <c r="F15" s="125"/>
      <c r="G15" s="126"/>
      <c r="H15" s="127"/>
      <c r="I15" s="127"/>
      <c r="J15" s="128"/>
    </row>
    <row r="16" spans="1:10" ht="26.25" thickBot="1" x14ac:dyDescent="0.3">
      <c r="A16" s="118" t="s">
        <v>91</v>
      </c>
      <c r="B16" s="119" t="s">
        <v>98</v>
      </c>
      <c r="C16" s="119" t="s">
        <v>91</v>
      </c>
      <c r="D16" s="120" t="s">
        <v>93</v>
      </c>
      <c r="E16" s="120" t="s">
        <v>94</v>
      </c>
      <c r="F16" s="120" t="s">
        <v>95</v>
      </c>
      <c r="G16" s="120" t="s">
        <v>96</v>
      </c>
      <c r="H16" s="121" t="s">
        <v>97</v>
      </c>
      <c r="I16" s="122"/>
      <c r="J16" s="128"/>
    </row>
    <row r="17" spans="1:12" ht="13.5" x14ac:dyDescent="0.25">
      <c r="A17" s="123">
        <v>150</v>
      </c>
      <c r="B17" s="111" t="s">
        <v>47</v>
      </c>
      <c r="C17" s="124">
        <f>+A17</f>
        <v>150</v>
      </c>
      <c r="D17" s="124" t="s">
        <v>136</v>
      </c>
      <c r="E17" s="125">
        <v>2.5</v>
      </c>
      <c r="F17" s="125">
        <f>IFERROR(E17*C17,"")</f>
        <v>375</v>
      </c>
      <c r="G17" s="126">
        <f t="shared" ref="G17:G24" si="3">IFERROR(F17/$F$66,"")</f>
        <v>0.15496905164725905</v>
      </c>
      <c r="H17" s="127" t="s">
        <v>43</v>
      </c>
      <c r="I17" s="127"/>
      <c r="J17" s="128"/>
    </row>
    <row r="18" spans="1:12" ht="13.5" x14ac:dyDescent="0.25">
      <c r="A18" s="123">
        <v>360</v>
      </c>
      <c r="B18" s="111" t="s">
        <v>78</v>
      </c>
      <c r="C18" s="124">
        <f t="shared" ref="C18:C24" si="4">+A18</f>
        <v>360</v>
      </c>
      <c r="D18" s="124" t="s">
        <v>136</v>
      </c>
      <c r="E18" s="125">
        <v>2.44</v>
      </c>
      <c r="F18" s="125">
        <f t="shared" ref="F18:F24" si="5">IFERROR(E18*C18,"")</f>
        <v>878.4</v>
      </c>
      <c r="G18" s="126">
        <f t="shared" si="3"/>
        <v>0.36299950657853958</v>
      </c>
      <c r="H18" s="127"/>
      <c r="I18" s="127"/>
      <c r="J18" s="128"/>
    </row>
    <row r="19" spans="1:12" ht="13.5" x14ac:dyDescent="0.25">
      <c r="A19" s="123">
        <v>30</v>
      </c>
      <c r="B19" s="111" t="s">
        <v>75</v>
      </c>
      <c r="C19" s="124">
        <f>+A19</f>
        <v>30</v>
      </c>
      <c r="D19" s="124" t="s">
        <v>136</v>
      </c>
      <c r="E19" s="125">
        <v>2.2200000000000002</v>
      </c>
      <c r="F19" s="125">
        <f>IFERROR(E19*C19,"")</f>
        <v>66.600000000000009</v>
      </c>
      <c r="G19" s="126">
        <f t="shared" si="3"/>
        <v>2.752250357255321E-2</v>
      </c>
      <c r="H19" s="127"/>
      <c r="I19" s="127"/>
      <c r="J19" s="128"/>
    </row>
    <row r="20" spans="1:12" ht="13.5" x14ac:dyDescent="0.25">
      <c r="A20" s="123">
        <v>90</v>
      </c>
      <c r="B20" s="111" t="s">
        <v>48</v>
      </c>
      <c r="C20" s="124">
        <f>+A20</f>
        <v>90</v>
      </c>
      <c r="D20" s="124" t="s">
        <v>136</v>
      </c>
      <c r="E20" s="125">
        <v>0.51</v>
      </c>
      <c r="F20" s="125">
        <f>IFERROR(E20*C20,"")</f>
        <v>45.9</v>
      </c>
      <c r="G20" s="126">
        <f t="shared" si="3"/>
        <v>1.8968211921624508E-2</v>
      </c>
      <c r="H20" s="127"/>
      <c r="I20" s="127"/>
      <c r="J20" s="128"/>
    </row>
    <row r="21" spans="1:12" ht="13.5" hidden="1" x14ac:dyDescent="0.25">
      <c r="A21" s="123"/>
      <c r="B21" s="111" t="str">
        <f>IFERROR(VLOOKUP(H21,[1]SEMIELABORADOS!$A$2:$M$6000,2,0),"")</f>
        <v/>
      </c>
      <c r="C21" s="124">
        <f>+A21</f>
        <v>0</v>
      </c>
      <c r="D21" s="124" t="str">
        <f>IFERROR(VLOOKUP(H21,[1]SEMIELABORADOS!$A$2:$M$6000,6,0),"")</f>
        <v/>
      </c>
      <c r="E21" s="125" t="str">
        <f>IFERROR(VLOOKUP(H21,[1]SEMIELABORADOS!$A$2:$H$65536,8,0),"")</f>
        <v/>
      </c>
      <c r="F21" s="125" t="str">
        <f>IFERROR(E21*C21,"")</f>
        <v/>
      </c>
      <c r="G21" s="126" t="str">
        <f t="shared" si="3"/>
        <v/>
      </c>
      <c r="H21" s="127"/>
      <c r="I21" s="127"/>
      <c r="J21" s="128"/>
    </row>
    <row r="22" spans="1:12" ht="13.5" hidden="1" x14ac:dyDescent="0.25">
      <c r="A22" s="123"/>
      <c r="B22" s="111" t="str">
        <f>IFERROR(VLOOKUP(H22,[1]SEMIELABORADOS!$A$2:$M$6000,2,0),"")</f>
        <v/>
      </c>
      <c r="C22" s="124">
        <f t="shared" si="4"/>
        <v>0</v>
      </c>
      <c r="D22" s="124" t="str">
        <f>IFERROR(VLOOKUP(H22,[1]SEMIELABORADOS!$A$2:$M$6000,6,0),"")</f>
        <v/>
      </c>
      <c r="E22" s="125" t="str">
        <f>IFERROR(VLOOKUP(H22,[1]SEMIELABORADOS!$A$2:$H$65536,8,0),"")</f>
        <v/>
      </c>
      <c r="F22" s="125" t="str">
        <f t="shared" si="5"/>
        <v/>
      </c>
      <c r="G22" s="126" t="str">
        <f t="shared" si="3"/>
        <v/>
      </c>
      <c r="H22" s="127"/>
      <c r="I22" s="127"/>
      <c r="J22" s="128"/>
    </row>
    <row r="23" spans="1:12" ht="13.5" hidden="1" x14ac:dyDescent="0.25">
      <c r="A23" s="123"/>
      <c r="B23" s="111" t="str">
        <f>IFERROR(VLOOKUP(H23,[1]SEMIELABORADOS!$A$2:$M$6000,2,0),"")</f>
        <v/>
      </c>
      <c r="C23" s="124">
        <f t="shared" si="4"/>
        <v>0</v>
      </c>
      <c r="D23" s="124" t="str">
        <f>IFERROR(VLOOKUP(H23,[1]SEMIELABORADOS!$A$2:$M$6000,6,0),"")</f>
        <v/>
      </c>
      <c r="E23" s="125" t="str">
        <f>IFERROR(VLOOKUP(H23,[1]SEMIELABORADOS!$A$2:$H$65536,8,0),"")</f>
        <v/>
      </c>
      <c r="F23" s="125" t="str">
        <f t="shared" si="5"/>
        <v/>
      </c>
      <c r="G23" s="126" t="str">
        <f t="shared" si="3"/>
        <v/>
      </c>
      <c r="H23" s="127"/>
      <c r="I23" s="127"/>
      <c r="J23" s="128"/>
    </row>
    <row r="24" spans="1:12" ht="13.5" hidden="1" x14ac:dyDescent="0.25">
      <c r="A24" s="123"/>
      <c r="B24" s="111" t="str">
        <f>IFERROR(VLOOKUP(H24,[1]SEMIELABORADOS!$A$2:$M$6000,2,0),"")</f>
        <v/>
      </c>
      <c r="C24" s="124">
        <f t="shared" si="4"/>
        <v>0</v>
      </c>
      <c r="D24" s="124" t="str">
        <f>IFERROR(VLOOKUP(H24,[1]SEMIELABORADOS!$A$2:$M$6000,6,0),"")</f>
        <v/>
      </c>
      <c r="E24" s="125" t="str">
        <f>IFERROR(VLOOKUP(H24,[1]SEMIELABORADOS!$A$2:$H$65536,8,0),"")</f>
        <v/>
      </c>
      <c r="F24" s="125" t="str">
        <f t="shared" si="5"/>
        <v/>
      </c>
      <c r="G24" s="126" t="str">
        <f t="shared" si="3"/>
        <v/>
      </c>
      <c r="H24" s="127"/>
      <c r="I24" s="127"/>
      <c r="J24" s="128"/>
    </row>
    <row r="25" spans="1:12" ht="14.25" thickBot="1" x14ac:dyDescent="0.3">
      <c r="A25" s="123"/>
      <c r="C25" s="124"/>
      <c r="D25" s="124"/>
      <c r="E25" s="125"/>
      <c r="F25" s="125"/>
      <c r="G25" s="126"/>
      <c r="H25" s="127"/>
      <c r="I25" s="127"/>
      <c r="J25" s="128"/>
    </row>
    <row r="26" spans="1:12" ht="26.25" thickBot="1" x14ac:dyDescent="0.3">
      <c r="A26" s="118" t="s">
        <v>91</v>
      </c>
      <c r="B26" s="119" t="s">
        <v>49</v>
      </c>
      <c r="C26" s="119" t="s">
        <v>91</v>
      </c>
      <c r="D26" s="120" t="s">
        <v>93</v>
      </c>
      <c r="E26" s="120" t="s">
        <v>94</v>
      </c>
      <c r="F26" s="120" t="s">
        <v>95</v>
      </c>
      <c r="G26" s="120" t="s">
        <v>96</v>
      </c>
      <c r="H26" s="121" t="s">
        <v>97</v>
      </c>
      <c r="I26" s="122"/>
    </row>
    <row r="27" spans="1:12" ht="13.5" x14ac:dyDescent="0.25">
      <c r="A27" s="123">
        <v>6</v>
      </c>
      <c r="B27" s="129" t="s">
        <v>51</v>
      </c>
      <c r="C27" s="124">
        <f t="shared" ref="C27:C32" si="6">+A27</f>
        <v>6</v>
      </c>
      <c r="D27" s="125" t="s">
        <v>137</v>
      </c>
      <c r="E27" s="125">
        <v>45.65</v>
      </c>
      <c r="F27" s="125">
        <f t="shared" ref="F27:F32" si="7">IFERROR(C27*E27,"")</f>
        <v>273.89999999999998</v>
      </c>
      <c r="G27" s="126">
        <f t="shared" ref="G27:G32" si="8">IFERROR(F27/$F$66,"")</f>
        <v>0.113189395323158</v>
      </c>
      <c r="H27" s="130" t="s">
        <v>50</v>
      </c>
      <c r="I27" s="130"/>
      <c r="J27" s="128"/>
      <c r="K27" s="815"/>
      <c r="L27" s="815"/>
    </row>
    <row r="28" spans="1:12" ht="13.5" x14ac:dyDescent="0.25">
      <c r="A28" s="123">
        <v>6</v>
      </c>
      <c r="B28" s="129" t="s">
        <v>54</v>
      </c>
      <c r="C28" s="124">
        <f t="shared" si="6"/>
        <v>6</v>
      </c>
      <c r="D28" s="125" t="s">
        <v>137</v>
      </c>
      <c r="E28" s="125">
        <v>21.72</v>
      </c>
      <c r="F28" s="125">
        <f t="shared" si="7"/>
        <v>130.32</v>
      </c>
      <c r="G28" s="126">
        <f t="shared" si="8"/>
        <v>5.3854844828455463E-2</v>
      </c>
      <c r="H28" s="130" t="s">
        <v>53</v>
      </c>
      <c r="I28" s="130"/>
      <c r="J28" s="128"/>
      <c r="K28" s="815"/>
      <c r="L28" s="815"/>
    </row>
    <row r="29" spans="1:12" ht="13.5" x14ac:dyDescent="0.25">
      <c r="A29" s="123">
        <v>6</v>
      </c>
      <c r="B29" s="129" t="s">
        <v>55</v>
      </c>
      <c r="C29" s="124">
        <f t="shared" si="6"/>
        <v>6</v>
      </c>
      <c r="D29" s="125" t="s">
        <v>137</v>
      </c>
      <c r="E29" s="125">
        <v>0.57999999999999996</v>
      </c>
      <c r="F29" s="125">
        <f t="shared" si="7"/>
        <v>3.4799999999999995</v>
      </c>
      <c r="G29" s="126">
        <f t="shared" si="8"/>
        <v>1.4381127992865639E-3</v>
      </c>
      <c r="H29" s="130" t="s">
        <v>39</v>
      </c>
      <c r="I29" s="130"/>
      <c r="J29" s="128"/>
      <c r="K29" s="815"/>
      <c r="L29" s="815"/>
    </row>
    <row r="30" spans="1:12" ht="13.5" x14ac:dyDescent="0.25">
      <c r="A30" s="123">
        <v>6</v>
      </c>
      <c r="B30" s="129" t="s">
        <v>57</v>
      </c>
      <c r="C30" s="124">
        <f t="shared" si="6"/>
        <v>6</v>
      </c>
      <c r="D30" s="125" t="s">
        <v>137</v>
      </c>
      <c r="E30" s="125">
        <v>2.13</v>
      </c>
      <c r="F30" s="125">
        <f t="shared" si="7"/>
        <v>12.78</v>
      </c>
      <c r="G30" s="126">
        <f t="shared" si="8"/>
        <v>5.2813452801385883E-3</v>
      </c>
      <c r="H30" s="130" t="s">
        <v>56</v>
      </c>
      <c r="I30" s="130"/>
      <c r="J30" s="128"/>
      <c r="K30" s="815"/>
      <c r="L30" s="815"/>
    </row>
    <row r="31" spans="1:12" ht="13.5" x14ac:dyDescent="0.25">
      <c r="A31" s="123">
        <v>6</v>
      </c>
      <c r="B31" s="129" t="s">
        <v>59</v>
      </c>
      <c r="C31" s="124">
        <f t="shared" si="6"/>
        <v>6</v>
      </c>
      <c r="D31" s="125" t="s">
        <v>137</v>
      </c>
      <c r="E31" s="125">
        <v>0.39</v>
      </c>
      <c r="F31" s="125">
        <f t="shared" si="7"/>
        <v>2.34</v>
      </c>
      <c r="G31" s="126">
        <f t="shared" si="8"/>
        <v>9.6700688227889639E-4</v>
      </c>
      <c r="H31" s="130" t="s">
        <v>58</v>
      </c>
      <c r="I31" s="130"/>
      <c r="J31" s="128"/>
      <c r="K31" s="131"/>
      <c r="L31" s="132"/>
    </row>
    <row r="32" spans="1:12" ht="13.5" x14ac:dyDescent="0.25">
      <c r="A32" s="123">
        <v>6</v>
      </c>
      <c r="B32" s="129" t="s">
        <v>84</v>
      </c>
      <c r="C32" s="124">
        <f t="shared" si="6"/>
        <v>6</v>
      </c>
      <c r="D32" s="125" t="s">
        <v>137</v>
      </c>
      <c r="E32" s="125">
        <v>10</v>
      </c>
      <c r="F32" s="125">
        <f t="shared" si="7"/>
        <v>60</v>
      </c>
      <c r="G32" s="126">
        <f t="shared" si="8"/>
        <v>2.4795048263561447E-2</v>
      </c>
      <c r="H32" s="130" t="s">
        <v>83</v>
      </c>
      <c r="I32" s="130"/>
      <c r="J32" s="128"/>
    </row>
    <row r="33" spans="1:13" ht="14.25" thickBot="1" x14ac:dyDescent="0.3">
      <c r="A33" s="123"/>
      <c r="B33" s="129"/>
      <c r="C33" s="124"/>
      <c r="D33" s="125"/>
      <c r="E33" s="125"/>
      <c r="F33" s="125"/>
      <c r="G33" s="126"/>
      <c r="H33" s="130"/>
      <c r="I33" s="130"/>
      <c r="J33" s="128"/>
    </row>
    <row r="34" spans="1:13" ht="26.25" thickBot="1" x14ac:dyDescent="0.25">
      <c r="A34" s="118" t="s">
        <v>91</v>
      </c>
      <c r="B34" s="119" t="s">
        <v>99</v>
      </c>
      <c r="C34" s="119" t="s">
        <v>91</v>
      </c>
      <c r="D34" s="120" t="s">
        <v>93</v>
      </c>
      <c r="E34" s="120" t="s">
        <v>94</v>
      </c>
      <c r="F34" s="120" t="s">
        <v>95</v>
      </c>
      <c r="G34" s="120" t="s">
        <v>96</v>
      </c>
      <c r="H34" s="121" t="s">
        <v>97</v>
      </c>
      <c r="I34" s="130"/>
      <c r="J34" s="128"/>
    </row>
    <row r="35" spans="1:13" ht="13.5" x14ac:dyDescent="0.25">
      <c r="A35" s="123">
        <f>+A17</f>
        <v>150</v>
      </c>
      <c r="B35" s="129" t="s">
        <v>47</v>
      </c>
      <c r="C35" s="124">
        <f>+A35</f>
        <v>150</v>
      </c>
      <c r="D35" s="125" t="s">
        <v>136</v>
      </c>
      <c r="E35" s="125">
        <v>0</v>
      </c>
      <c r="F35" s="125">
        <f>IFERROR(E35*C35,"")</f>
        <v>0</v>
      </c>
      <c r="G35" s="126">
        <f t="shared" ref="G35:G41" si="9">IFERROR(F35/$F$66,"")</f>
        <v>0</v>
      </c>
      <c r="H35" s="130" t="s">
        <v>43</v>
      </c>
      <c r="I35" s="130"/>
      <c r="J35" s="128"/>
    </row>
    <row r="36" spans="1:13" ht="13.5" x14ac:dyDescent="0.25">
      <c r="A36" s="123">
        <f t="shared" ref="A36:A41" si="10">+A18</f>
        <v>360</v>
      </c>
      <c r="B36" s="129" t="s">
        <v>78</v>
      </c>
      <c r="C36" s="124">
        <f t="shared" ref="C36:C41" si="11">+A36</f>
        <v>360</v>
      </c>
      <c r="D36" s="125" t="s">
        <v>136</v>
      </c>
      <c r="E36" s="125">
        <v>0.01</v>
      </c>
      <c r="F36" s="125">
        <f t="shared" ref="F36:F41" si="12">IFERROR(E36*C36,"")</f>
        <v>3.6</v>
      </c>
      <c r="G36" s="126">
        <f t="shared" si="9"/>
        <v>1.4877028958136869E-3</v>
      </c>
      <c r="H36" s="130"/>
      <c r="I36" s="130"/>
      <c r="J36" s="128"/>
    </row>
    <row r="37" spans="1:13" ht="13.5" x14ac:dyDescent="0.25">
      <c r="A37" s="123">
        <f t="shared" si="10"/>
        <v>30</v>
      </c>
      <c r="B37" s="129" t="s">
        <v>75</v>
      </c>
      <c r="C37" s="124">
        <f t="shared" si="11"/>
        <v>30</v>
      </c>
      <c r="D37" s="125" t="s">
        <v>136</v>
      </c>
      <c r="E37" s="125">
        <v>0.01</v>
      </c>
      <c r="F37" s="125">
        <f t="shared" si="12"/>
        <v>0.3</v>
      </c>
      <c r="G37" s="126">
        <f t="shared" si="9"/>
        <v>1.2397524131780723E-4</v>
      </c>
      <c r="H37" s="130"/>
      <c r="I37" s="130"/>
      <c r="J37" s="128"/>
    </row>
    <row r="38" spans="1:13" ht="13.5" x14ac:dyDescent="0.25">
      <c r="A38" s="123">
        <f t="shared" si="10"/>
        <v>90</v>
      </c>
      <c r="B38" s="129" t="s">
        <v>48</v>
      </c>
      <c r="C38" s="124">
        <f>+A38</f>
        <v>90</v>
      </c>
      <c r="D38" s="125" t="s">
        <v>136</v>
      </c>
      <c r="E38" s="125">
        <v>0.01</v>
      </c>
      <c r="F38" s="125">
        <f>IFERROR(E38*C38,"")</f>
        <v>0.9</v>
      </c>
      <c r="G38" s="126">
        <f t="shared" si="9"/>
        <v>3.7192572395342173E-4</v>
      </c>
      <c r="H38" s="130"/>
      <c r="I38" s="130"/>
      <c r="J38" s="128"/>
    </row>
    <row r="39" spans="1:13" ht="13.5" hidden="1" x14ac:dyDescent="0.25">
      <c r="A39" s="123">
        <f t="shared" si="10"/>
        <v>0</v>
      </c>
      <c r="B39" s="129" t="str">
        <f>IFERROR(VLOOKUP(H39,[1]SEMIELABORADOS!$A$2:$M$6000,2,0),"")</f>
        <v/>
      </c>
      <c r="C39" s="124">
        <f>+A39</f>
        <v>0</v>
      </c>
      <c r="D39" s="125" t="str">
        <f>IFERROR(VLOOKUP(H39,[1]SEMIELABORADOS!$A$2:$M$6000,6,0),"")</f>
        <v/>
      </c>
      <c r="E39" s="125" t="str">
        <f>IFERROR(VLOOKUP(H39,[1]SEMIELABORADOS!$A$2:$M$65536,10,0),"")</f>
        <v/>
      </c>
      <c r="F39" s="125" t="str">
        <f>IFERROR(E39*C39,"")</f>
        <v/>
      </c>
      <c r="G39" s="126" t="str">
        <f t="shared" si="9"/>
        <v/>
      </c>
      <c r="H39" s="130"/>
      <c r="I39" s="130"/>
      <c r="J39" s="128"/>
    </row>
    <row r="40" spans="1:13" ht="13.5" hidden="1" x14ac:dyDescent="0.25">
      <c r="A40" s="123">
        <f t="shared" si="10"/>
        <v>0</v>
      </c>
      <c r="B40" s="129" t="str">
        <f>IFERROR(VLOOKUP(H40,[1]SEMIELABORADOS!$A$2:$M$6000,2,0),"")</f>
        <v/>
      </c>
      <c r="C40" s="124">
        <f t="shared" si="11"/>
        <v>0</v>
      </c>
      <c r="D40" s="125" t="str">
        <f>IFERROR(VLOOKUP(H40,[1]SEMIELABORADOS!$A$2:$M$6000,6,0),"")</f>
        <v/>
      </c>
      <c r="E40" s="125" t="str">
        <f>IFERROR(VLOOKUP(H40,[1]SEMIELABORADOS!$A$2:$M$65536,10,0),"")</f>
        <v/>
      </c>
      <c r="F40" s="125" t="str">
        <f t="shared" si="12"/>
        <v/>
      </c>
      <c r="G40" s="126" t="str">
        <f t="shared" si="9"/>
        <v/>
      </c>
      <c r="H40" s="130"/>
      <c r="I40" s="130"/>
      <c r="J40" s="128"/>
    </row>
    <row r="41" spans="1:13" ht="13.5" hidden="1" x14ac:dyDescent="0.25">
      <c r="A41" s="123">
        <f t="shared" si="10"/>
        <v>0</v>
      </c>
      <c r="B41" s="129" t="str">
        <f>IFERROR(VLOOKUP(H41,[1]SEMIELABORADOS!$A$2:$M$6000,2,0),"")</f>
        <v/>
      </c>
      <c r="C41" s="124">
        <f t="shared" si="11"/>
        <v>0</v>
      </c>
      <c r="D41" s="125" t="str">
        <f>IFERROR(VLOOKUP(H41,[1]SEMIELABORADOS!$A$2:$M$6000,6,0),"")</f>
        <v/>
      </c>
      <c r="E41" s="125" t="str">
        <f>IFERROR(VLOOKUP(H41,[1]SEMIELABORADOS!$A$2:$M$65536,10,0),"")</f>
        <v/>
      </c>
      <c r="F41" s="125" t="str">
        <f t="shared" si="12"/>
        <v/>
      </c>
      <c r="G41" s="126" t="str">
        <f t="shared" si="9"/>
        <v/>
      </c>
      <c r="H41" s="130"/>
      <c r="I41" s="130"/>
      <c r="J41" s="128"/>
    </row>
    <row r="42" spans="1:13" ht="14.25" thickBot="1" x14ac:dyDescent="0.3">
      <c r="A42" s="123"/>
      <c r="B42" s="129"/>
      <c r="C42" s="124"/>
      <c r="D42" s="125"/>
      <c r="E42" s="125"/>
      <c r="F42" s="125"/>
      <c r="G42" s="126"/>
      <c r="H42" s="130"/>
      <c r="I42" s="130"/>
      <c r="J42" s="128"/>
    </row>
    <row r="43" spans="1:13" ht="26.25" thickBot="1" x14ac:dyDescent="0.3">
      <c r="A43" s="118" t="s">
        <v>91</v>
      </c>
      <c r="B43" s="119" t="s">
        <v>100</v>
      </c>
      <c r="C43" s="119" t="s">
        <v>91</v>
      </c>
      <c r="D43" s="120" t="s">
        <v>93</v>
      </c>
      <c r="E43" s="120" t="s">
        <v>94</v>
      </c>
      <c r="F43" s="120" t="s">
        <v>95</v>
      </c>
      <c r="G43" s="120" t="s">
        <v>96</v>
      </c>
      <c r="H43" s="121" t="s">
        <v>97</v>
      </c>
      <c r="I43" s="122"/>
      <c r="J43" s="128"/>
    </row>
    <row r="44" spans="1:13" ht="13.5" x14ac:dyDescent="0.25">
      <c r="A44" s="123">
        <f>+A35</f>
        <v>150</v>
      </c>
      <c r="B44" s="129" t="s">
        <v>47</v>
      </c>
      <c r="C44" s="124">
        <f>+A44</f>
        <v>150</v>
      </c>
      <c r="D44" s="125" t="s">
        <v>136</v>
      </c>
      <c r="E44" s="125">
        <v>0.16</v>
      </c>
      <c r="F44" s="125">
        <f>IFERROR(E44*C44,"")</f>
        <v>24</v>
      </c>
      <c r="G44" s="126">
        <f>IFERROR(F44/$F$66,"")</f>
        <v>9.9180193054245799E-3</v>
      </c>
      <c r="H44" s="130" t="s">
        <v>43</v>
      </c>
      <c r="I44" s="122"/>
      <c r="J44" s="128"/>
    </row>
    <row r="45" spans="1:13" ht="13.5" x14ac:dyDescent="0.25">
      <c r="A45" s="123">
        <f t="shared" ref="A45:A50" si="13">+A36</f>
        <v>360</v>
      </c>
      <c r="B45" s="129" t="s">
        <v>78</v>
      </c>
      <c r="C45" s="124">
        <f t="shared" ref="C45:C50" si="14">+A45</f>
        <v>360</v>
      </c>
      <c r="D45" s="125" t="s">
        <v>136</v>
      </c>
      <c r="E45" s="125">
        <v>0.11</v>
      </c>
      <c r="F45" s="125">
        <f t="shared" ref="F45:F50" si="15">IFERROR(E45*C45,"")</f>
        <v>39.6</v>
      </c>
      <c r="G45" s="126">
        <f t="shared" ref="G45:G50" si="16">IFERROR(F45/$F$66,"")</f>
        <v>1.6364731853950557E-2</v>
      </c>
      <c r="H45" s="130"/>
      <c r="I45" s="122"/>
      <c r="J45" s="128"/>
      <c r="M45" s="133"/>
    </row>
    <row r="46" spans="1:13" ht="13.5" x14ac:dyDescent="0.25">
      <c r="A46" s="123">
        <f t="shared" si="13"/>
        <v>30</v>
      </c>
      <c r="B46" s="129" t="s">
        <v>75</v>
      </c>
      <c r="C46" s="124">
        <f t="shared" si="14"/>
        <v>30</v>
      </c>
      <c r="D46" s="125" t="s">
        <v>136</v>
      </c>
      <c r="E46" s="125">
        <v>0.04</v>
      </c>
      <c r="F46" s="125">
        <f t="shared" si="15"/>
        <v>1.2</v>
      </c>
      <c r="G46" s="126">
        <f t="shared" si="16"/>
        <v>4.9590096527122891E-4</v>
      </c>
      <c r="H46" s="130"/>
      <c r="I46" s="122"/>
      <c r="J46" s="128"/>
    </row>
    <row r="47" spans="1:13" ht="13.5" x14ac:dyDescent="0.25">
      <c r="A47" s="123">
        <f t="shared" si="13"/>
        <v>90</v>
      </c>
      <c r="B47" s="129" t="s">
        <v>48</v>
      </c>
      <c r="C47" s="124">
        <f t="shared" si="14"/>
        <v>90</v>
      </c>
      <c r="D47" s="125" t="s">
        <v>136</v>
      </c>
      <c r="E47" s="125">
        <v>0.15</v>
      </c>
      <c r="F47" s="125">
        <f t="shared" si="15"/>
        <v>13.5</v>
      </c>
      <c r="G47" s="126">
        <f t="shared" si="16"/>
        <v>5.5788858593013258E-3</v>
      </c>
      <c r="H47" s="130"/>
      <c r="I47" s="122"/>
      <c r="J47" s="128"/>
    </row>
    <row r="48" spans="1:13" ht="13.5" hidden="1" x14ac:dyDescent="0.25">
      <c r="A48" s="123">
        <f t="shared" si="13"/>
        <v>0</v>
      </c>
      <c r="B48" s="129" t="str">
        <f>IFERROR(VLOOKUP(H48,[1]SEMIELABORADOS!$A$2:$M$6000,2,0),"")</f>
        <v/>
      </c>
      <c r="C48" s="124">
        <f t="shared" si="14"/>
        <v>0</v>
      </c>
      <c r="D48" s="125" t="str">
        <f>IFERROR(VLOOKUP(H48,[1]SEMIELABORADOS!$A$2:$M$6000,6,0),"")</f>
        <v/>
      </c>
      <c r="E48" s="125" t="str">
        <f>IFERROR(VLOOKUP(H48,[1]SEMIELABORADOS!$A$2:$M$65536,12,0),"")</f>
        <v/>
      </c>
      <c r="F48" s="125" t="str">
        <f t="shared" si="15"/>
        <v/>
      </c>
      <c r="G48" s="126" t="str">
        <f t="shared" si="16"/>
        <v/>
      </c>
      <c r="H48" s="130"/>
      <c r="I48" s="122"/>
      <c r="J48" s="128"/>
    </row>
    <row r="49" spans="1:17" ht="13.5" hidden="1" x14ac:dyDescent="0.25">
      <c r="A49" s="123">
        <f t="shared" si="13"/>
        <v>0</v>
      </c>
      <c r="B49" s="129" t="str">
        <f>IFERROR(VLOOKUP(H49,[1]SEMIELABORADOS!$A$2:$M$6000,2,0),"")</f>
        <v/>
      </c>
      <c r="C49" s="124">
        <f t="shared" si="14"/>
        <v>0</v>
      </c>
      <c r="D49" s="125" t="str">
        <f>IFERROR(VLOOKUP(H49,[1]SEMIELABORADOS!$A$2:$M$6000,6,0),"")</f>
        <v/>
      </c>
      <c r="E49" s="125" t="str">
        <f>IFERROR(VLOOKUP(H49,[1]SEMIELABORADOS!$A$2:$M$65536,12,0),"")</f>
        <v/>
      </c>
      <c r="F49" s="125" t="str">
        <f t="shared" si="15"/>
        <v/>
      </c>
      <c r="G49" s="126" t="str">
        <f t="shared" si="16"/>
        <v/>
      </c>
      <c r="H49" s="130"/>
      <c r="I49" s="122"/>
      <c r="J49" s="128"/>
    </row>
    <row r="50" spans="1:17" ht="13.5" hidden="1" x14ac:dyDescent="0.25">
      <c r="A50" s="123">
        <f t="shared" si="13"/>
        <v>0</v>
      </c>
      <c r="B50" s="129" t="str">
        <f>IFERROR(VLOOKUP(H50,[1]SEMIELABORADOS!$A$2:$M$6000,2,0),"")</f>
        <v/>
      </c>
      <c r="C50" s="124">
        <f t="shared" si="14"/>
        <v>0</v>
      </c>
      <c r="D50" s="125" t="str">
        <f>IFERROR(VLOOKUP(H50,[1]SEMIELABORADOS!$A$2:$M$6000,6,0),"")</f>
        <v/>
      </c>
      <c r="E50" s="125" t="str">
        <f>IFERROR(VLOOKUP(H50,[1]SEMIELABORADOS!$A$2:$M$65536,12,0),"")</f>
        <v/>
      </c>
      <c r="F50" s="125" t="str">
        <f t="shared" si="15"/>
        <v/>
      </c>
      <c r="G50" s="126" t="str">
        <f t="shared" si="16"/>
        <v/>
      </c>
      <c r="H50" s="129"/>
      <c r="I50" s="122"/>
      <c r="J50" s="128"/>
    </row>
    <row r="51" spans="1:17" ht="13.5" x14ac:dyDescent="0.25">
      <c r="A51" s="123">
        <v>1</v>
      </c>
      <c r="B51" s="129" t="s">
        <v>101</v>
      </c>
      <c r="C51" s="124">
        <f>+A51</f>
        <v>1</v>
      </c>
      <c r="D51" s="124" t="s">
        <v>102</v>
      </c>
      <c r="E51" s="125">
        <f>+F65</f>
        <v>539</v>
      </c>
      <c r="F51" s="125">
        <f>IFERROR(C51*E51,"")</f>
        <v>539</v>
      </c>
      <c r="G51" s="126">
        <f>IFERROR(F51/$F$66,"")</f>
        <v>0.22274218356766035</v>
      </c>
      <c r="H51" s="134"/>
      <c r="I51" s="134"/>
      <c r="J51" s="128"/>
    </row>
    <row r="52" spans="1:17" ht="14.25" thickBot="1" x14ac:dyDescent="0.3">
      <c r="A52" s="123"/>
      <c r="B52" s="129"/>
      <c r="C52" s="124"/>
      <c r="D52" s="124"/>
      <c r="E52" s="125"/>
      <c r="F52" s="125"/>
      <c r="G52" s="126"/>
      <c r="H52" s="134"/>
      <c r="I52" s="134"/>
      <c r="J52" s="128"/>
    </row>
    <row r="53" spans="1:17" ht="13.5" thickBot="1" x14ac:dyDescent="0.3">
      <c r="A53" s="135"/>
      <c r="B53" s="816" t="s">
        <v>103</v>
      </c>
      <c r="C53" s="816"/>
      <c r="D53" s="816"/>
      <c r="E53" s="816"/>
      <c r="F53" s="137">
        <f>SUM(F8:F14,F17:F24)</f>
        <v>1365.9</v>
      </c>
      <c r="G53" s="126">
        <f>+F53/$F$66</f>
        <v>0.5644592737199764</v>
      </c>
      <c r="H53" s="138">
        <f>+F53/$D$60</f>
        <v>1365.9</v>
      </c>
      <c r="I53" s="138"/>
      <c r="J53" s="139"/>
      <c r="K53" s="140"/>
      <c r="L53" s="140"/>
      <c r="M53" s="140"/>
      <c r="N53" s="140"/>
      <c r="O53" s="140"/>
      <c r="P53" s="140"/>
      <c r="Q53" s="141"/>
    </row>
    <row r="54" spans="1:17" x14ac:dyDescent="0.2">
      <c r="A54" s="135"/>
      <c r="B54" s="816" t="s">
        <v>104</v>
      </c>
      <c r="C54" s="816"/>
      <c r="D54" s="816"/>
      <c r="E54" s="816"/>
      <c r="F54" s="137">
        <f>SUM(F27:F32,F35:F41)</f>
        <v>487.61999999999995</v>
      </c>
      <c r="G54" s="126">
        <f>+F54/$F$66</f>
        <v>0.20150935723796387</v>
      </c>
      <c r="H54" s="138">
        <f>+F54/$D$60</f>
        <v>487.61999999999995</v>
      </c>
      <c r="I54" s="138"/>
      <c r="J54" s="142"/>
      <c r="K54" s="817" t="s">
        <v>105</v>
      </c>
      <c r="L54" s="818"/>
      <c r="M54" s="818"/>
      <c r="N54" s="818"/>
      <c r="O54" s="143">
        <f>+F55</f>
        <v>1853.52</v>
      </c>
      <c r="P54" s="143"/>
      <c r="Q54" s="144"/>
    </row>
    <row r="55" spans="1:17" x14ac:dyDescent="0.2">
      <c r="A55" s="135"/>
      <c r="B55" s="816" t="s">
        <v>106</v>
      </c>
      <c r="C55" s="816"/>
      <c r="D55" s="816"/>
      <c r="E55" s="816"/>
      <c r="F55" s="137">
        <f>+F53+F54</f>
        <v>1853.52</v>
      </c>
      <c r="G55" s="126">
        <f>+F55/$F$66</f>
        <v>0.76596863095794021</v>
      </c>
      <c r="H55" s="138">
        <f>+F55/$D$60</f>
        <v>1853.52</v>
      </c>
      <c r="I55" s="138"/>
      <c r="J55" s="145"/>
      <c r="K55" s="146"/>
      <c r="M55" s="147" t="s">
        <v>107</v>
      </c>
      <c r="N55" s="148"/>
      <c r="O55" s="143">
        <f>+H56</f>
        <v>617.29999999999995</v>
      </c>
      <c r="P55" s="143"/>
      <c r="Q55" s="144"/>
    </row>
    <row r="56" spans="1:17" ht="13.5" thickBot="1" x14ac:dyDescent="0.25">
      <c r="A56" s="135"/>
      <c r="B56" s="136"/>
      <c r="C56" s="816" t="s">
        <v>108</v>
      </c>
      <c r="D56" s="816"/>
      <c r="E56" s="816"/>
      <c r="F56" s="137">
        <f>SUM(F44:F51)</f>
        <v>617.29999999999995</v>
      </c>
      <c r="G56" s="126">
        <f>+F56/$F$66</f>
        <v>0.25509972155160798</v>
      </c>
      <c r="H56" s="138">
        <f>+F56/$D$60</f>
        <v>617.29999999999995</v>
      </c>
      <c r="I56" s="138"/>
      <c r="J56" s="145"/>
      <c r="K56" s="146"/>
      <c r="L56" s="146"/>
      <c r="M56" s="146" t="s">
        <v>109</v>
      </c>
      <c r="N56" s="149"/>
      <c r="O56" s="143">
        <f>O54*N56</f>
        <v>0</v>
      </c>
      <c r="P56" s="143"/>
      <c r="Q56" s="144"/>
    </row>
    <row r="57" spans="1:17" ht="13.5" thickBot="1" x14ac:dyDescent="0.25">
      <c r="A57" s="135"/>
      <c r="B57" s="150"/>
      <c r="C57" s="150"/>
      <c r="D57" s="150"/>
      <c r="E57" s="150"/>
      <c r="F57" s="151"/>
      <c r="G57" s="126"/>
      <c r="H57" s="152"/>
      <c r="I57" s="138"/>
      <c r="J57" s="145"/>
      <c r="K57" s="153"/>
      <c r="M57" s="154" t="s">
        <v>110</v>
      </c>
      <c r="N57" s="155"/>
      <c r="O57" s="156">
        <f>SUM(O54:O56)</f>
        <v>2470.8199999999997</v>
      </c>
      <c r="P57" s="157"/>
      <c r="Q57" s="144"/>
    </row>
    <row r="58" spans="1:17" x14ac:dyDescent="0.2">
      <c r="B58" s="819" t="s">
        <v>111</v>
      </c>
      <c r="C58" s="819"/>
      <c r="D58" s="158">
        <v>630</v>
      </c>
      <c r="E58" s="159"/>
      <c r="G58" s="126"/>
      <c r="H58" s="152">
        <f>+H56/77</f>
        <v>8.0168831168831165</v>
      </c>
      <c r="I58" s="160"/>
      <c r="J58" s="145"/>
      <c r="K58" s="153"/>
      <c r="L58" s="146"/>
      <c r="M58" s="146" t="s">
        <v>112</v>
      </c>
      <c r="N58" s="161"/>
      <c r="O58" s="143">
        <f>+H59</f>
        <v>513.08051948051946</v>
      </c>
      <c r="P58" s="143"/>
      <c r="Q58" s="144"/>
    </row>
    <row r="59" spans="1:17" x14ac:dyDescent="0.2">
      <c r="B59" s="819" t="s">
        <v>113</v>
      </c>
      <c r="C59" s="819"/>
      <c r="D59" s="162">
        <v>630</v>
      </c>
      <c r="E59" s="159"/>
      <c r="G59" s="126"/>
      <c r="H59" s="152">
        <f>+H58*64</f>
        <v>513.08051948051946</v>
      </c>
      <c r="I59" s="160"/>
      <c r="J59" s="145"/>
      <c r="K59" s="153"/>
      <c r="L59" s="146"/>
      <c r="M59" s="820" t="s">
        <v>110</v>
      </c>
      <c r="N59" s="820"/>
      <c r="O59" s="143">
        <f>SUM(O57:O58)</f>
        <v>2983.9005194805191</v>
      </c>
      <c r="P59" s="143"/>
      <c r="Q59" s="144"/>
    </row>
    <row r="60" spans="1:17" ht="13.5" thickBot="1" x14ac:dyDescent="0.25">
      <c r="B60" s="811" t="s">
        <v>114</v>
      </c>
      <c r="C60" s="811"/>
      <c r="D60" s="158">
        <f>+D58/D59</f>
        <v>1</v>
      </c>
      <c r="E60" s="159"/>
      <c r="F60" s="163"/>
      <c r="G60" s="126"/>
      <c r="H60" s="152"/>
      <c r="I60" s="160"/>
      <c r="J60" s="145"/>
      <c r="K60" s="153"/>
      <c r="L60" s="820"/>
      <c r="M60" s="820"/>
      <c r="N60" s="161"/>
      <c r="O60" s="143">
        <f>+O59*N60</f>
        <v>0</v>
      </c>
      <c r="P60" s="143"/>
      <c r="Q60" s="144"/>
    </row>
    <row r="61" spans="1:17" ht="13.5" thickBot="1" x14ac:dyDescent="0.25">
      <c r="B61" s="811" t="s">
        <v>115</v>
      </c>
      <c r="C61" s="811"/>
      <c r="D61" s="164"/>
      <c r="E61" s="159"/>
      <c r="F61" s="163"/>
      <c r="G61" s="126"/>
      <c r="H61" s="152"/>
      <c r="I61" s="160"/>
      <c r="J61" s="145"/>
      <c r="K61" s="812" t="s">
        <v>116</v>
      </c>
      <c r="L61" s="813"/>
      <c r="M61" s="813"/>
      <c r="N61" s="814"/>
      <c r="O61" s="156">
        <f>SUM(O59:O60)</f>
        <v>2983.9005194805191</v>
      </c>
      <c r="P61" s="165" t="s">
        <v>117</v>
      </c>
      <c r="Q61" s="144"/>
    </row>
    <row r="62" spans="1:17" ht="13.5" thickBot="1" x14ac:dyDescent="0.25">
      <c r="C62" s="135" t="s">
        <v>118</v>
      </c>
      <c r="D62" s="166"/>
      <c r="E62" s="109" t="s">
        <v>119</v>
      </c>
      <c r="F62" s="167" t="s">
        <v>120</v>
      </c>
      <c r="G62" s="126"/>
      <c r="H62" s="152"/>
      <c r="I62" s="160"/>
      <c r="J62" s="168"/>
      <c r="K62" s="169"/>
      <c r="L62" s="800" t="s">
        <v>121</v>
      </c>
      <c r="M62" s="800"/>
      <c r="N62" s="800"/>
      <c r="O62" s="170">
        <f>+O61/D60</f>
        <v>2983.9005194805191</v>
      </c>
      <c r="P62" s="171">
        <f>+O62/D59</f>
        <v>4.736350030921459</v>
      </c>
      <c r="Q62" s="172"/>
    </row>
    <row r="63" spans="1:17" ht="13.5" thickBot="1" x14ac:dyDescent="0.25">
      <c r="B63" s="801" t="s">
        <v>106</v>
      </c>
      <c r="C63" s="801"/>
      <c r="D63" s="801"/>
      <c r="E63" s="173">
        <f>+F63/F63</f>
        <v>1</v>
      </c>
      <c r="F63" s="174">
        <f>SUM(F55)</f>
        <v>1853.52</v>
      </c>
      <c r="G63" s="126">
        <f>+F63/$F$66</f>
        <v>0.76596863095794021</v>
      </c>
      <c r="H63" s="152"/>
      <c r="I63" s="160"/>
      <c r="K63" s="802"/>
      <c r="L63" s="803"/>
      <c r="M63" s="803"/>
      <c r="N63" s="803"/>
      <c r="O63" s="175"/>
      <c r="P63" s="176"/>
    </row>
    <row r="64" spans="1:17" ht="13.5" thickBot="1" x14ac:dyDescent="0.3">
      <c r="B64" s="804" t="s">
        <v>122</v>
      </c>
      <c r="C64" s="804"/>
      <c r="D64" s="804"/>
      <c r="E64" s="177">
        <v>0.02</v>
      </c>
      <c r="F64" s="174">
        <f>+F53*E64</f>
        <v>27.318000000000001</v>
      </c>
      <c r="G64" s="126">
        <f>+F64/$F$66</f>
        <v>1.1289185474399529E-2</v>
      </c>
      <c r="H64" s="138"/>
      <c r="I64" s="160"/>
      <c r="J64" s="178"/>
      <c r="O64" s="179">
        <f>+O62/6</f>
        <v>497.31675324675319</v>
      </c>
      <c r="P64" s="136"/>
    </row>
    <row r="65" spans="2:13" ht="13.5" thickBot="1" x14ac:dyDescent="0.3">
      <c r="B65" s="805" t="s">
        <v>123</v>
      </c>
      <c r="C65" s="806"/>
      <c r="D65" s="180">
        <v>7</v>
      </c>
      <c r="E65" s="181">
        <v>77</v>
      </c>
      <c r="F65" s="174">
        <f>+E65*D65</f>
        <v>539</v>
      </c>
      <c r="G65" s="126">
        <f>+F65/$F$66</f>
        <v>0.22274218356766035</v>
      </c>
      <c r="H65" s="138"/>
      <c r="I65" s="138"/>
      <c r="J65" s="128"/>
    </row>
    <row r="66" spans="2:13" ht="13.5" thickBot="1" x14ac:dyDescent="0.3">
      <c r="B66" s="807" t="s">
        <v>124</v>
      </c>
      <c r="C66" s="808"/>
      <c r="D66" s="808"/>
      <c r="E66" s="809"/>
      <c r="F66" s="151">
        <f>SUM(F63:F65)</f>
        <v>2419.8379999999997</v>
      </c>
      <c r="G66" s="126">
        <f>+F66/$F$66</f>
        <v>1</v>
      </c>
      <c r="H66" s="810"/>
      <c r="I66" s="138"/>
      <c r="J66" s="128"/>
      <c r="M66" s="111" t="s">
        <v>125</v>
      </c>
    </row>
    <row r="67" spans="2:13" x14ac:dyDescent="0.25">
      <c r="C67" s="133"/>
      <c r="D67" s="133"/>
      <c r="E67" s="183"/>
      <c r="F67" s="174"/>
      <c r="G67" s="126"/>
      <c r="H67" s="810"/>
      <c r="I67" s="182"/>
      <c r="J67" s="111"/>
      <c r="M67" s="111" t="s">
        <v>126</v>
      </c>
    </row>
    <row r="68" spans="2:13" ht="13.5" thickBot="1" x14ac:dyDescent="0.3">
      <c r="B68" s="795" t="s">
        <v>127</v>
      </c>
      <c r="C68" s="795"/>
      <c r="D68" s="795"/>
      <c r="E68" s="795"/>
      <c r="F68" s="795"/>
      <c r="G68" s="126"/>
      <c r="H68" s="185"/>
      <c r="I68" s="182"/>
      <c r="J68" s="111"/>
      <c r="M68" s="111" t="s">
        <v>128</v>
      </c>
    </row>
    <row r="69" spans="2:13" ht="13.5" thickBot="1" x14ac:dyDescent="0.3">
      <c r="B69" s="186" t="s">
        <v>129</v>
      </c>
      <c r="C69" s="187">
        <f>+F53</f>
        <v>1365.9</v>
      </c>
      <c r="D69" s="187">
        <f>+D58</f>
        <v>630</v>
      </c>
      <c r="E69" s="188">
        <f>+C69/D69</f>
        <v>2.1680952380952383</v>
      </c>
      <c r="F69" s="126"/>
      <c r="G69" s="185"/>
      <c r="H69" s="128"/>
      <c r="I69" s="185"/>
      <c r="J69" s="111"/>
    </row>
    <row r="70" spans="2:13" x14ac:dyDescent="0.25">
      <c r="B70" s="189"/>
      <c r="C70" s="190"/>
      <c r="D70" s="191"/>
      <c r="E70" s="174"/>
      <c r="F70" s="126"/>
      <c r="G70" s="185"/>
      <c r="H70" s="128"/>
      <c r="I70" s="128"/>
      <c r="J70" s="111"/>
    </row>
    <row r="71" spans="2:13" x14ac:dyDescent="0.25">
      <c r="B71" s="186" t="s">
        <v>130</v>
      </c>
      <c r="C71" s="187">
        <f>SUM(F63:F64)</f>
        <v>1880.838</v>
      </c>
      <c r="D71" s="187">
        <f>+D58</f>
        <v>630</v>
      </c>
      <c r="E71" s="192">
        <f>+C71/D71</f>
        <v>2.9854571428571428</v>
      </c>
      <c r="F71" s="126"/>
      <c r="G71" s="185"/>
      <c r="H71" s="128"/>
      <c r="I71" s="128"/>
      <c r="J71" s="111"/>
    </row>
    <row r="72" spans="2:13" x14ac:dyDescent="0.25">
      <c r="B72" s="186"/>
      <c r="C72" s="187"/>
      <c r="D72" s="187"/>
      <c r="E72" s="192"/>
      <c r="F72" s="126"/>
      <c r="G72" s="185"/>
      <c r="H72" s="128"/>
      <c r="I72" s="128"/>
      <c r="J72" s="111"/>
    </row>
    <row r="73" spans="2:13" ht="13.5" thickBot="1" x14ac:dyDescent="0.3">
      <c r="B73" s="186" t="s">
        <v>131</v>
      </c>
      <c r="C73" s="187">
        <f>+F65</f>
        <v>539</v>
      </c>
      <c r="D73" s="187">
        <f>+D58</f>
        <v>630</v>
      </c>
      <c r="E73" s="192">
        <f>+C73/D73</f>
        <v>0.85555555555555551</v>
      </c>
      <c r="F73" s="126"/>
      <c r="G73" s="185"/>
      <c r="H73" s="128"/>
      <c r="I73" s="128"/>
      <c r="J73" s="111"/>
    </row>
    <row r="74" spans="2:13" ht="13.5" thickBot="1" x14ac:dyDescent="0.3">
      <c r="B74" s="186" t="s">
        <v>132</v>
      </c>
      <c r="C74" s="187">
        <f>+F56</f>
        <v>617.29999999999995</v>
      </c>
      <c r="D74" s="187">
        <f>+D73</f>
        <v>630</v>
      </c>
      <c r="E74" s="188">
        <f>+C74/D74</f>
        <v>0.97984126984126974</v>
      </c>
      <c r="F74" s="126"/>
      <c r="G74" s="185"/>
      <c r="H74" s="128"/>
      <c r="I74" s="128"/>
      <c r="J74" s="111"/>
    </row>
    <row r="75" spans="2:13" ht="13.5" thickBot="1" x14ac:dyDescent="0.3">
      <c r="B75" s="150"/>
      <c r="C75" s="151"/>
      <c r="D75" s="151"/>
      <c r="E75" s="192"/>
      <c r="F75" s="126"/>
      <c r="G75" s="185"/>
      <c r="H75" s="128"/>
      <c r="I75" s="128"/>
      <c r="J75" s="111"/>
    </row>
    <row r="76" spans="2:13" ht="13.5" thickBot="1" x14ac:dyDescent="0.3">
      <c r="B76" s="186" t="s">
        <v>133</v>
      </c>
      <c r="C76" s="187">
        <f>+F54</f>
        <v>487.61999999999995</v>
      </c>
      <c r="D76" s="187">
        <f>+D74</f>
        <v>630</v>
      </c>
      <c r="E76" s="188">
        <f>+C76/D76</f>
        <v>0.77399999999999991</v>
      </c>
      <c r="F76" s="126"/>
      <c r="G76" s="185"/>
      <c r="H76" s="128"/>
      <c r="I76" s="128"/>
      <c r="J76" s="128"/>
    </row>
    <row r="77" spans="2:13" ht="13.5" thickBot="1" x14ac:dyDescent="0.3">
      <c r="B77" s="150"/>
      <c r="C77" s="151"/>
      <c r="D77" s="151"/>
      <c r="E77" s="192"/>
      <c r="F77" s="126"/>
      <c r="G77" s="185"/>
      <c r="H77" s="128"/>
      <c r="I77" s="128"/>
    </row>
    <row r="78" spans="2:13" ht="13.5" thickBot="1" x14ac:dyDescent="0.3">
      <c r="B78" s="796" t="s">
        <v>134</v>
      </c>
      <c r="C78" s="797"/>
      <c r="D78" s="798"/>
      <c r="E78" s="188">
        <f>+E69+E74</f>
        <v>3.147936507936508</v>
      </c>
      <c r="G78" s="126"/>
      <c r="H78" s="185"/>
      <c r="I78" s="128"/>
      <c r="J78" s="192"/>
    </row>
    <row r="79" spans="2:13" x14ac:dyDescent="0.25">
      <c r="I79" s="185"/>
      <c r="J79" s="111"/>
    </row>
    <row r="80" spans="2:13" ht="13.5" thickBot="1" x14ac:dyDescent="0.3">
      <c r="B80" s="795" t="s">
        <v>135</v>
      </c>
      <c r="C80" s="795"/>
      <c r="D80" s="795"/>
      <c r="E80" s="795"/>
      <c r="F80" s="795"/>
      <c r="G80" s="126"/>
      <c r="H80" s="185"/>
      <c r="J80" s="111"/>
    </row>
    <row r="81" spans="1:10" ht="13.5" thickBot="1" x14ac:dyDescent="0.3">
      <c r="B81" s="186" t="s">
        <v>129</v>
      </c>
      <c r="C81" s="187">
        <f>+C69</f>
        <v>1365.9</v>
      </c>
      <c r="D81" s="187">
        <f>+D60</f>
        <v>1</v>
      </c>
      <c r="E81" s="188">
        <f>+C81/D81</f>
        <v>1365.9</v>
      </c>
      <c r="F81" s="126"/>
      <c r="G81" s="185"/>
      <c r="H81" s="128"/>
      <c r="I81" s="185"/>
      <c r="J81" s="111"/>
    </row>
    <row r="82" spans="1:10" x14ac:dyDescent="0.25">
      <c r="B82" s="189"/>
      <c r="C82" s="190"/>
      <c r="D82" s="191"/>
      <c r="E82" s="174"/>
      <c r="F82" s="126"/>
      <c r="G82" s="185"/>
      <c r="H82" s="128"/>
      <c r="I82" s="128"/>
      <c r="J82" s="111"/>
    </row>
    <row r="83" spans="1:10" x14ac:dyDescent="0.25">
      <c r="B83" s="186" t="s">
        <v>130</v>
      </c>
      <c r="C83" s="187">
        <f>+C71</f>
        <v>1880.838</v>
      </c>
      <c r="D83" s="187">
        <f>+D60</f>
        <v>1</v>
      </c>
      <c r="E83" s="192">
        <f>+C83/D83</f>
        <v>1880.838</v>
      </c>
      <c r="F83" s="126"/>
      <c r="G83" s="185"/>
      <c r="H83" s="128"/>
      <c r="I83" s="128"/>
      <c r="J83" s="111"/>
    </row>
    <row r="84" spans="1:10" x14ac:dyDescent="0.25">
      <c r="B84" s="186"/>
      <c r="C84" s="187"/>
      <c r="D84" s="187"/>
      <c r="E84" s="192"/>
      <c r="F84" s="126"/>
      <c r="G84" s="185"/>
      <c r="H84" s="128"/>
      <c r="I84" s="128"/>
      <c r="J84" s="111"/>
    </row>
    <row r="85" spans="1:10" ht="13.5" thickBot="1" x14ac:dyDescent="0.3">
      <c r="B85" s="186" t="s">
        <v>132</v>
      </c>
      <c r="C85" s="187">
        <f>+C73</f>
        <v>539</v>
      </c>
      <c r="D85" s="187">
        <f>+D60</f>
        <v>1</v>
      </c>
      <c r="E85" s="192">
        <f>+C85/D85</f>
        <v>539</v>
      </c>
      <c r="F85" s="194"/>
      <c r="G85" s="184"/>
      <c r="H85" s="110"/>
      <c r="I85" s="128"/>
    </row>
    <row r="86" spans="1:10" ht="13.5" thickBot="1" x14ac:dyDescent="0.3">
      <c r="B86" s="186" t="s">
        <v>132</v>
      </c>
      <c r="C86" s="187">
        <f>+C74</f>
        <v>617.29999999999995</v>
      </c>
      <c r="D86" s="187">
        <f>+D85</f>
        <v>1</v>
      </c>
      <c r="E86" s="188">
        <f>+C86/D86</f>
        <v>617.29999999999995</v>
      </c>
      <c r="F86" s="193"/>
      <c r="G86" s="184"/>
      <c r="H86" s="110"/>
      <c r="I86" s="110"/>
    </row>
    <row r="87" spans="1:10" x14ac:dyDescent="0.25">
      <c r="I87" s="110"/>
    </row>
    <row r="88" spans="1:10" x14ac:dyDescent="0.2">
      <c r="A88" s="799"/>
      <c r="B88" s="799"/>
      <c r="C88" s="195"/>
      <c r="D88" s="195"/>
      <c r="E88" s="196"/>
      <c r="G88" s="197"/>
    </row>
    <row r="89" spans="1:10" x14ac:dyDescent="0.2">
      <c r="A89" s="129"/>
      <c r="B89" s="198"/>
      <c r="C89" s="199"/>
      <c r="D89" s="199"/>
      <c r="E89" s="200"/>
      <c r="G89" s="197"/>
    </row>
    <row r="90" spans="1:10" x14ac:dyDescent="0.2">
      <c r="A90" s="129"/>
      <c r="B90" s="198"/>
      <c r="C90" s="201"/>
      <c r="D90" s="201"/>
      <c r="E90" s="129"/>
      <c r="G90" s="197"/>
    </row>
    <row r="91" spans="1:10" x14ac:dyDescent="0.2">
      <c r="A91" s="129"/>
      <c r="B91" s="198"/>
      <c r="C91" s="202"/>
      <c r="D91" s="202"/>
      <c r="E91" s="129"/>
      <c r="G91" s="19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D11ADAE-81DC-42A9-BF5D-24238ABFF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Porción de Tiramisu</vt:lpstr>
      <vt:lpstr>Porción Lemon Court</vt:lpstr>
      <vt:lpstr>Base Galleta para CK </vt:lpstr>
      <vt:lpstr>Corte Galleta Chilena </vt:lpstr>
      <vt:lpstr>Pasta Chilena </vt:lpstr>
      <vt:lpstr>Premezcla Pasta Chilena </vt:lpstr>
      <vt:lpstr>Relleno Blanco de Limon </vt:lpstr>
      <vt:lpstr>Crema Blanca Chantilly </vt:lpstr>
      <vt:lpstr>Topping Lemon Court </vt:lpstr>
      <vt:lpstr>Empaque Topping Lemon Court </vt:lpstr>
      <vt:lpstr>Costo Porcion Lemon court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cp:lastPrinted>2025-11-07T16:54:45Z</cp:lastPrinted>
  <dcterms:created xsi:type="dcterms:W3CDTF">2023-12-19T21:30:11Z</dcterms:created>
  <dcterms:modified xsi:type="dcterms:W3CDTF">2025-11-07T16:54:48Z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
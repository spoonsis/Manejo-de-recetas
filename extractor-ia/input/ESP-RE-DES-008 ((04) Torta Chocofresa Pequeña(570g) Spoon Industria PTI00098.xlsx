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0" documentId="8_{A54C455A-FF54-4F52-936E-08E339C7EC5F}" xr6:coauthVersionLast="47" xr6:coauthVersionMax="47" xr10:uidLastSave="{00000000-0000-0000-0000-000000000000}"/>
  <bookViews>
    <workbookView xWindow="-108" yWindow="-108" windowWidth="23256" windowHeight="12456" xr2:uid="{43840019-1D8F-493D-9061-843E993DEC4A}"/>
  </bookViews>
  <sheets>
    <sheet name="Hoja2" sheetId="2" r:id="rId1"/>
  </sheets>
  <definedNames>
    <definedName name="_xlnm.Print_Area" localSheetId="0">Hoja2!$A$1:$I$60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2" l="1"/>
  <c r="J24" i="2"/>
  <c r="J14" i="2"/>
  <c r="J13" i="2"/>
  <c r="J12" i="2"/>
  <c r="D46" i="2"/>
  <c r="H38" i="2"/>
</calcChain>
</file>

<file path=xl/sharedStrings.xml><?xml version="1.0" encoding="utf-8"?>
<sst xmlns="http://schemas.openxmlformats.org/spreadsheetml/2006/main" count="135" uniqueCount="99">
  <si>
    <t>SERVICIOS DE PASTELERIA S.A.</t>
  </si>
  <si>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</si>
  <si>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</si>
  <si>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</si>
  <si>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</si>
  <si>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</si>
  <si>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</si>
  <si>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</si>
  <si>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>Esteban Cartin, Gte Manufactura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</si>
  <si>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</si>
  <si>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</si>
  <si>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</si>
  <si>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</si>
  <si>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</si>
  <si>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</si>
  <si>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</si>
  <si>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</si>
  <si>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</si>
  <si>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ROSQUETE CHOCOLATE DAWN 220g</t>
  </si>
  <si>
    <t>FAS</t>
  </si>
  <si>
    <t>g</t>
  </si>
  <si>
    <t>EMPAQUE RELLENO DE FUDGE CHOCOLATE SPOON</t>
  </si>
  <si>
    <t>BATIDO RELL P/TORTA CHOCOFRESA KILO</t>
  </si>
  <si>
    <t>EMPAQ RELLENO DE FRESA NATURAL</t>
  </si>
  <si>
    <t>SUSPIRO QUEBRADO 7650 g</t>
  </si>
  <si>
    <t>CREMA CHANTILLY CHOCO (SPOON-IND)(24875g</t>
  </si>
  <si>
    <t>PROCESADO BORONA CHOCOLATE</t>
  </si>
  <si>
    <t>RAPIBOX</t>
  </si>
  <si>
    <t>ud</t>
  </si>
  <si>
    <t>CINTA ADHESIVA TRANSPARENTE 2*100</t>
  </si>
  <si>
    <t>MAYCA</t>
  </si>
  <si>
    <t>ETIQUETA BLANCA 2 5/8X1 15/16</t>
  </si>
  <si>
    <t>ETIQUETA BLANCA R-153 (UND)</t>
  </si>
  <si>
    <t>ETIQUETA IMP. SPOON MEDIANA V-273 (UND)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</si>
  <si>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</si>
  <si>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</si>
  <si>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</si>
  <si>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</si>
  <si>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</si>
  <si>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</si>
  <si>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</si>
  <si>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</si>
  <si>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</si>
  <si>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</si>
  <si>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</si>
  <si>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</si>
  <si>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1.- Partir el rosquete por la mitad, usaremos uno y medio, rellenar dos con relleno de fudge. Esparcir bien con ayuda de una espatula.</t>
  </si>
  <si>
    <t>2.- Colocar encima del fudge el relleno de chocofresa y esparcir bien con espatula, colocar el relleno de fresa y solamente en uno de los rellenos agregar encima el suspiro triturado. Tapar con la otra tapa del rosquete.</t>
  </si>
  <si>
    <t>3.- Encremar la torta con la crema chantilly de chocolate,y marmolear con crema liquida los bordes.</t>
  </si>
  <si>
    <t>CONTROL DE CAMBIOS</t>
  </si>
  <si>
    <t>SE00463</t>
  </si>
  <si>
    <t>SE00337</t>
  </si>
  <si>
    <t>SE00018</t>
  </si>
  <si>
    <t>SE00504</t>
  </si>
  <si>
    <t>SE00019</t>
  </si>
  <si>
    <t>SE00024</t>
  </si>
  <si>
    <t>SE00506</t>
  </si>
  <si>
    <t>EM10025</t>
  </si>
  <si>
    <t>EM10248</t>
  </si>
  <si>
    <t>EM10011</t>
  </si>
  <si>
    <t>EM10124</t>
  </si>
  <si>
    <t>EM10002</t>
  </si>
  <si>
    <t>ETIQ.BLANCA 1 1/4 X 3/4</t>
  </si>
  <si>
    <t>EM10021</t>
  </si>
  <si>
    <t>EM10024</t>
  </si>
  <si>
    <t>MP10006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</si>
  <si>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</si>
  <si>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</si>
  <si>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</si>
  <si>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</si>
  <si>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</si>
  <si>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</si>
  <si>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1,5 UND</t>
  </si>
  <si>
    <t>1/4 TAZA (75G) X 2 RELLENOS</t>
  </si>
  <si>
    <t>1/3 TAZA (90G) X 2 RELLENOS</t>
  </si>
  <si>
    <t>1/4 TAZA (2DO RELLENO SOLAMENTE)</t>
  </si>
  <si>
    <t>ENCREMAR</t>
  </si>
  <si>
    <t>BOQUILLA 127</t>
  </si>
  <si>
    <t>1/4 TAZA</t>
  </si>
  <si>
    <t>CREMA BETTERCREAM DOBLE CHOCOLATE</t>
  </si>
  <si>
    <t>RICH</t>
  </si>
  <si>
    <t>Empaque</t>
  </si>
  <si>
    <t>ORLA CARTON  8" DORADA</t>
  </si>
  <si>
    <t>QUEQUERA RED C/BASE ALTA 9"</t>
  </si>
  <si>
    <t>GRACOPACK</t>
  </si>
  <si>
    <t>ETIPLAST</t>
  </si>
  <si>
    <t>ESP-RE-DES-008</t>
  </si>
  <si>
    <t>1/4 TAZA (45G) X 2 RELLENOS</t>
  </si>
  <si>
    <t>5.- Decorar con virtuta de chocolate. Acrode a la fotografia.</t>
  </si>
  <si>
    <t>6.- Colocar en el domo. Tapar y Etiquetar con nombre, ingredientes, lote y fecha</t>
  </si>
  <si>
    <t xml:space="preserve">2, Se actualizan datos de receta y procedimiento </t>
  </si>
  <si>
    <t>TOPPIN DE SALSA DE FRESA</t>
  </si>
  <si>
    <t>4. Decorar con la boquilla #127 colocho de crema chantilly  todo el borde, Colocar en el centro el toppin de salsa de fresa</t>
  </si>
  <si>
    <t>SE00703</t>
  </si>
  <si>
    <t>3, Se cambio dato de receta a Toppin de salsa de Fresa</t>
  </si>
  <si>
    <t xml:space="preserve"> Torta Chocofresa Pequeña(570g) Spoon Industria PTI00098</t>
  </si>
  <si>
    <t xml:space="preserve">1 Cucharradita </t>
  </si>
  <si>
    <t xml:space="preserve">4, Se actualiza medida de bororna 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</si>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</sst>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(* #,##0.000_);_(* \(#,##0.000\);_(* &quot;-&quot;??_);_(@_)"/>
    <numFmt numFmtId="166" formatCode="0.000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4"/>
      <name val="Arial"/>
      <family val="2"/>
    </font>
    <font>
      <sz val="14"/>
      <name val="Century Gothic"/>
      <family val="2"/>
    </font>
    <font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entury Gothic"/>
      <family val="2"/>
    </font>
    <font>
      <sz val="14"/>
      <color rgb="FF000000"/>
      <name val="Century Gothic"/>
      <family val="2"/>
    </font>
    <font>
      <b/>
      <sz val="14"/>
      <color indexed="8"/>
      <name val="Century Gothic"/>
      <family val="2"/>
    </font>
    <font>
      <sz val="14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indexed="8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80808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4" fillId="0" borderId="0"/>
    <xf numFmtId="0" fontId="1" fillId="0" borderId="0"/>
  </cellStyleXfs>
  <cellXfs count="196">
    <xf numFmtId="0" fontId="0" fillId="0" borderId="0" xfId="0"/>
    <xf numFmtId="0" fontId="2" fillId="4" borderId="1" xfId="2" applyFont="1" applyFill="1" applyBorder="1" applyAlignment="1">
      <alignment horizontal="right"/>
    </xf>
    <xf numFmtId="0" fontId="7" fillId="2" borderId="5" xfId="0" applyFont="1" applyFill="1" applyBorder="1" applyAlignment="1">
      <alignment horizontal="left"/>
    </xf>
    <xf numFmtId="0" fontId="2" fillId="4" borderId="7" xfId="2" applyFont="1" applyFill="1" applyBorder="1" applyAlignment="1">
      <alignment horizontal="right"/>
    </xf>
    <xf numFmtId="49" fontId="6" fillId="4" borderId="8" xfId="2" applyNumberFormat="1" applyFont="1" applyFill="1" applyBorder="1" applyAlignment="1">
      <alignment horizontal="center"/>
    </xf>
    <xf numFmtId="0" fontId="6" fillId="4" borderId="15" xfId="2" applyFont="1" applyFill="1" applyBorder="1" applyAlignment="1">
      <alignment horizontal="right"/>
    </xf>
    <xf numFmtId="0" fontId="6" fillId="4" borderId="7" xfId="2" applyFont="1" applyFill="1" applyBorder="1" applyAlignment="1">
      <alignment horizontal="right"/>
    </xf>
    <xf numFmtId="14" fontId="8" fillId="4" borderId="0" xfId="3" applyNumberFormat="1" applyFont="1" applyFill="1" applyAlignment="1">
      <alignment horizontal="center" vertical="center" wrapText="1"/>
    </xf>
    <xf numFmtId="0" fontId="2" fillId="5" borderId="5" xfId="4" applyFont="1" applyFill="1" applyBorder="1" applyAlignment="1">
      <alignment horizontal="center" vertical="center" wrapText="1"/>
    </xf>
    <xf numFmtId="1" fontId="2" fillId="5" borderId="18" xfId="4" applyNumberFormat="1" applyFont="1" applyFill="1" applyBorder="1" applyAlignment="1">
      <alignment horizontal="center"/>
    </xf>
    <xf numFmtId="1" fontId="2" fillId="5" borderId="18" xfId="4" applyNumberFormat="1" applyFont="1" applyFill="1" applyBorder="1" applyAlignment="1">
      <alignment horizontal="center" wrapText="1"/>
    </xf>
    <xf numFmtId="0" fontId="2" fillId="5" borderId="19" xfId="4" applyFont="1" applyFill="1" applyBorder="1" applyAlignment="1">
      <alignment horizontal="center"/>
    </xf>
    <xf numFmtId="0" fontId="9" fillId="0" borderId="20" xfId="4" applyFont="1" applyBorder="1" applyAlignment="1">
      <alignment horizontal="center" vertical="center"/>
    </xf>
    <xf numFmtId="0" fontId="9" fillId="0" borderId="21" xfId="4" applyFont="1" applyBorder="1" applyAlignment="1">
      <alignment horizontal="center" vertical="center"/>
    </xf>
    <xf numFmtId="0" fontId="10" fillId="0" borderId="7" xfId="4" applyFont="1" applyBorder="1" applyAlignment="1">
      <alignment vertical="center"/>
    </xf>
    <xf numFmtId="0" fontId="9" fillId="0" borderId="7" xfId="4" applyFont="1" applyBorder="1" applyAlignment="1">
      <alignment horizontal="center" vertical="center"/>
    </xf>
    <xf numFmtId="1" fontId="9" fillId="0" borderId="7" xfId="4" applyNumberFormat="1" applyFont="1" applyBorder="1" applyAlignment="1">
      <alignment horizontal="center"/>
    </xf>
    <xf numFmtId="1" fontId="9" fillId="0" borderId="7" xfId="4" applyNumberFormat="1" applyFont="1" applyBorder="1" applyAlignment="1">
      <alignment horizontal="center" wrapText="1"/>
    </xf>
    <xf numFmtId="0" fontId="11" fillId="0" borderId="8" xfId="4" applyFont="1" applyBorder="1" applyAlignment="1">
      <alignment horizontal="center"/>
    </xf>
    <xf numFmtId="0" fontId="12" fillId="6" borderId="20" xfId="0" applyFont="1" applyFill="1" applyBorder="1" applyAlignment="1">
      <alignment horizontal="center"/>
    </xf>
    <xf numFmtId="0" fontId="12" fillId="6" borderId="7" xfId="0" applyFont="1" applyFill="1" applyBorder="1" applyAlignment="1">
      <alignment horizontal="center"/>
    </xf>
    <xf numFmtId="0" fontId="12" fillId="0" borderId="15" xfId="0" applyFont="1" applyBorder="1"/>
    <xf numFmtId="0" fontId="6" fillId="6" borderId="21" xfId="0" applyFont="1" applyFill="1" applyBorder="1" applyAlignment="1">
      <alignment horizontal="center"/>
    </xf>
    <xf numFmtId="1" fontId="6" fillId="6" borderId="7" xfId="0" applyNumberFormat="1" applyFont="1" applyFill="1" applyBorder="1" applyAlignment="1">
      <alignment horizontal="center"/>
    </xf>
    <xf numFmtId="1" fontId="6" fillId="6" borderId="7" xfId="0" applyNumberFormat="1" applyFont="1" applyFill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12" fontId="6" fillId="0" borderId="15" xfId="0" applyNumberFormat="1" applyFont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0" borderId="7" xfId="0" applyFont="1" applyBorder="1"/>
    <xf numFmtId="1" fontId="6" fillId="6" borderId="15" xfId="0" applyNumberFormat="1" applyFont="1" applyFill="1" applyBorder="1" applyAlignment="1">
      <alignment horizontal="center"/>
    </xf>
    <xf numFmtId="1" fontId="6" fillId="6" borderId="15" xfId="0" applyNumberFormat="1" applyFont="1" applyFill="1" applyBorder="1" applyAlignment="1">
      <alignment horizontal="center" wrapText="1"/>
    </xf>
    <xf numFmtId="0" fontId="6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3" fillId="0" borderId="7" xfId="0" applyFont="1" applyBorder="1"/>
    <xf numFmtId="0" fontId="6" fillId="0" borderId="7" xfId="0" applyFont="1" applyBorder="1" applyAlignment="1">
      <alignment horizontal="center" wrapText="1"/>
    </xf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2" fillId="2" borderId="7" xfId="0" applyFont="1" applyFill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13" fillId="2" borderId="7" xfId="0" applyFont="1" applyFill="1" applyBorder="1" applyAlignment="1">
      <alignment horizontal="left" vertical="center"/>
    </xf>
    <xf numFmtId="0" fontId="13" fillId="2" borderId="7" xfId="0" applyFont="1" applyFill="1" applyBorder="1"/>
    <xf numFmtId="0" fontId="14" fillId="6" borderId="7" xfId="0" applyFont="1" applyFill="1" applyBorder="1" applyAlignment="1">
      <alignment vertical="center"/>
    </xf>
    <xf numFmtId="0" fontId="6" fillId="6" borderId="7" xfId="0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2" fontId="9" fillId="0" borderId="7" xfId="4" applyNumberFormat="1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7" xfId="0" applyFont="1" applyBorder="1"/>
    <xf numFmtId="16" fontId="11" fillId="0" borderId="21" xfId="0" applyNumberFormat="1" applyFont="1" applyBorder="1" applyAlignment="1">
      <alignment horizontal="center"/>
    </xf>
    <xf numFmtId="1" fontId="11" fillId="0" borderId="7" xfId="0" applyNumberFormat="1" applyFont="1" applyBorder="1" applyAlignment="1">
      <alignment horizontal="center"/>
    </xf>
    <xf numFmtId="1" fontId="11" fillId="0" borderId="7" xfId="0" applyNumberFormat="1" applyFont="1" applyBorder="1" applyAlignment="1">
      <alignment horizontal="center" wrapText="1"/>
    </xf>
    <xf numFmtId="49" fontId="11" fillId="0" borderId="20" xfId="4" applyNumberFormat="1" applyFont="1" applyBorder="1" applyAlignment="1">
      <alignment horizontal="center"/>
    </xf>
    <xf numFmtId="49" fontId="11" fillId="0" borderId="21" xfId="4" applyNumberFormat="1" applyFont="1" applyBorder="1" applyAlignment="1">
      <alignment horizontal="center"/>
    </xf>
    <xf numFmtId="0" fontId="9" fillId="6" borderId="7" xfId="4" applyFont="1" applyFill="1" applyBorder="1" applyAlignment="1">
      <alignment horizontal="left"/>
    </xf>
    <xf numFmtId="0" fontId="11" fillId="0" borderId="7" xfId="4" applyFont="1" applyBorder="1" applyAlignment="1">
      <alignment horizontal="center"/>
    </xf>
    <xf numFmtId="164" fontId="11" fillId="0" borderId="7" xfId="4" applyNumberFormat="1" applyFont="1" applyBorder="1" applyAlignment="1">
      <alignment horizontal="center"/>
    </xf>
    <xf numFmtId="1" fontId="11" fillId="0" borderId="7" xfId="4" applyNumberFormat="1" applyFont="1" applyBorder="1" applyAlignment="1">
      <alignment horizontal="center" wrapText="1"/>
    </xf>
    <xf numFmtId="0" fontId="12" fillId="6" borderId="43" xfId="0" applyFont="1" applyFill="1" applyBorder="1" applyAlignment="1">
      <alignment horizontal="center"/>
    </xf>
    <xf numFmtId="1" fontId="6" fillId="0" borderId="7" xfId="0" applyNumberFormat="1" applyFont="1" applyBorder="1" applyAlignment="1">
      <alignment horizontal="center"/>
    </xf>
    <xf numFmtId="1" fontId="6" fillId="6" borderId="7" xfId="4" applyNumberFormat="1" applyFont="1" applyFill="1" applyBorder="1" applyAlignment="1">
      <alignment horizontal="center"/>
    </xf>
    <xf numFmtId="1" fontId="6" fillId="6" borderId="7" xfId="4" applyNumberFormat="1" applyFont="1" applyFill="1" applyBorder="1" applyAlignment="1">
      <alignment horizontal="center" wrapText="1"/>
    </xf>
    <xf numFmtId="0" fontId="12" fillId="8" borderId="43" xfId="0" applyFont="1" applyFill="1" applyBorder="1" applyAlignment="1">
      <alignment horizontal="center"/>
    </xf>
    <xf numFmtId="0" fontId="12" fillId="8" borderId="15" xfId="0" applyFont="1" applyFill="1" applyBorder="1"/>
    <xf numFmtId="0" fontId="15" fillId="0" borderId="0" xfId="0" applyFont="1" applyAlignment="1">
      <alignment horizontal="center"/>
    </xf>
    <xf numFmtId="0" fontId="15" fillId="0" borderId="0" xfId="0" applyFont="1"/>
    <xf numFmtId="16" fontId="6" fillId="6" borderId="7" xfId="0" applyNumberFormat="1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1" fontId="6" fillId="0" borderId="15" xfId="0" applyNumberFormat="1" applyFont="1" applyBorder="1" applyAlignment="1">
      <alignment horizontal="center" wrapText="1"/>
    </xf>
    <xf numFmtId="16" fontId="6" fillId="0" borderId="7" xfId="0" applyNumberFormat="1" applyFont="1" applyBorder="1" applyAlignment="1">
      <alignment horizontal="center"/>
    </xf>
    <xf numFmtId="1" fontId="6" fillId="0" borderId="15" xfId="0" applyNumberFormat="1" applyFont="1" applyBorder="1" applyAlignment="1">
      <alignment horizontal="center"/>
    </xf>
    <xf numFmtId="49" fontId="9" fillId="0" borderId="27" xfId="4" applyNumberFormat="1" applyFont="1" applyBorder="1" applyAlignment="1">
      <alignment horizontal="center"/>
    </xf>
    <xf numFmtId="49" fontId="9" fillId="0" borderId="17" xfId="4" applyNumberFormat="1" applyFont="1" applyBorder="1" applyAlignment="1">
      <alignment horizontal="center"/>
    </xf>
    <xf numFmtId="0" fontId="10" fillId="6" borderId="7" xfId="4" applyFont="1" applyFill="1" applyBorder="1" applyAlignment="1">
      <alignment vertical="center"/>
    </xf>
    <xf numFmtId="0" fontId="9" fillId="0" borderId="21" xfId="4" applyFont="1" applyBorder="1" applyAlignment="1">
      <alignment horizontal="center"/>
    </xf>
    <xf numFmtId="164" fontId="9" fillId="0" borderId="7" xfId="4" applyNumberFormat="1" applyFont="1" applyBorder="1" applyAlignment="1">
      <alignment horizontal="center"/>
    </xf>
    <xf numFmtId="165" fontId="2" fillId="6" borderId="7" xfId="1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11" fillId="0" borderId="21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7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0" xfId="0" applyFont="1"/>
    <xf numFmtId="0" fontId="11" fillId="0" borderId="42" xfId="0" applyFont="1" applyBorder="1" applyAlignment="1">
      <alignment horizontal="center"/>
    </xf>
    <xf numFmtId="12" fontId="11" fillId="0" borderId="7" xfId="4" applyNumberFormat="1" applyFont="1" applyBorder="1" applyAlignment="1">
      <alignment horizontal="center"/>
    </xf>
    <xf numFmtId="0" fontId="11" fillId="6" borderId="20" xfId="0" applyFont="1" applyFill="1" applyBorder="1" applyAlignment="1">
      <alignment horizontal="center"/>
    </xf>
    <xf numFmtId="0" fontId="16" fillId="6" borderId="0" xfId="0" applyFont="1" applyFill="1" applyAlignment="1">
      <alignment horizontal="center"/>
    </xf>
    <xf numFmtId="0" fontId="11" fillId="6" borderId="7" xfId="0" applyFont="1" applyFill="1" applyBorder="1"/>
    <xf numFmtId="0" fontId="11" fillId="6" borderId="7" xfId="0" applyFont="1" applyFill="1" applyBorder="1" applyAlignment="1">
      <alignment horizontal="center"/>
    </xf>
    <xf numFmtId="0" fontId="11" fillId="6" borderId="7" xfId="0" applyFont="1" applyFill="1" applyBorder="1" applyAlignment="1">
      <alignment horizontal="center" wrapText="1"/>
    </xf>
    <xf numFmtId="1" fontId="11" fillId="0" borderId="7" xfId="4" applyNumberFormat="1" applyFont="1" applyBorder="1" applyAlignment="1">
      <alignment horizontal="center"/>
    </xf>
    <xf numFmtId="49" fontId="11" fillId="0" borderId="7" xfId="4" applyNumberFormat="1" applyFont="1" applyBorder="1"/>
    <xf numFmtId="49" fontId="17" fillId="4" borderId="23" xfId="4" applyNumberFormat="1" applyFont="1" applyFill="1" applyBorder="1" applyAlignment="1">
      <alignment horizontal="center" vertical="center"/>
    </xf>
    <xf numFmtId="49" fontId="17" fillId="4" borderId="0" xfId="4" applyNumberFormat="1" applyFont="1" applyFill="1" applyAlignment="1">
      <alignment horizontal="center" vertical="center"/>
    </xf>
    <xf numFmtId="0" fontId="6" fillId="4" borderId="0" xfId="4" applyFont="1" applyFill="1"/>
    <xf numFmtId="1" fontId="6" fillId="4" borderId="0" xfId="4" applyNumberFormat="1" applyFont="1" applyFill="1" applyAlignment="1">
      <alignment horizontal="center"/>
    </xf>
    <xf numFmtId="166" fontId="6" fillId="4" borderId="0" xfId="4" applyNumberFormat="1" applyFont="1" applyFill="1" applyAlignment="1">
      <alignment horizontal="center" wrapText="1"/>
    </xf>
    <xf numFmtId="0" fontId="6" fillId="4" borderId="24" xfId="4" applyFont="1" applyFill="1" applyBorder="1" applyAlignment="1">
      <alignment horizontal="center"/>
    </xf>
    <xf numFmtId="0" fontId="6" fillId="5" borderId="9" xfId="4" applyFont="1" applyFill="1" applyBorder="1" applyAlignment="1">
      <alignment horizontal="center"/>
    </xf>
    <xf numFmtId="0" fontId="6" fillId="5" borderId="10" xfId="4" applyFont="1" applyFill="1" applyBorder="1" applyAlignment="1">
      <alignment horizontal="center"/>
    </xf>
    <xf numFmtId="0" fontId="6" fillId="5" borderId="10" xfId="4" applyFont="1" applyFill="1" applyBorder="1"/>
    <xf numFmtId="0" fontId="2" fillId="5" borderId="10" xfId="4" applyFont="1" applyFill="1" applyBorder="1" applyAlignment="1">
      <alignment horizontal="center"/>
    </xf>
    <xf numFmtId="1" fontId="2" fillId="5" borderId="10" xfId="4" applyNumberFormat="1" applyFont="1" applyFill="1" applyBorder="1" applyAlignment="1">
      <alignment horizontal="center"/>
    </xf>
    <xf numFmtId="166" fontId="6" fillId="5" borderId="10" xfId="4" applyNumberFormat="1" applyFont="1" applyFill="1" applyBorder="1" applyAlignment="1">
      <alignment horizontal="center" wrapText="1"/>
    </xf>
    <xf numFmtId="0" fontId="6" fillId="5" borderId="25" xfId="4" applyFont="1" applyFill="1" applyBorder="1" applyAlignment="1">
      <alignment horizontal="center"/>
    </xf>
    <xf numFmtId="0" fontId="6" fillId="0" borderId="2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1" fontId="6" fillId="0" borderId="18" xfId="0" applyNumberFormat="1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14" fontId="6" fillId="4" borderId="13" xfId="2" applyNumberFormat="1" applyFont="1" applyFill="1" applyBorder="1" applyAlignment="1">
      <alignment horizontal="center" vertical="center" wrapText="1"/>
    </xf>
    <xf numFmtId="14" fontId="6" fillId="4" borderId="14" xfId="2" applyNumberFormat="1" applyFont="1" applyFill="1" applyBorder="1" applyAlignment="1">
      <alignment horizontal="center" vertical="center" wrapText="1"/>
    </xf>
    <xf numFmtId="14" fontId="6" fillId="4" borderId="38" xfId="2" applyNumberFormat="1" applyFont="1" applyFill="1" applyBorder="1" applyAlignment="1">
      <alignment horizontal="center" vertical="center" wrapText="1"/>
    </xf>
    <xf numFmtId="0" fontId="6" fillId="4" borderId="2" xfId="2" applyFont="1" applyFill="1" applyBorder="1" applyAlignment="1">
      <alignment horizontal="left"/>
    </xf>
    <xf numFmtId="0" fontId="6" fillId="4" borderId="3" xfId="2" applyFont="1" applyFill="1" applyBorder="1" applyAlignment="1">
      <alignment horizontal="left"/>
    </xf>
    <xf numFmtId="0" fontId="6" fillId="4" borderId="4" xfId="2" applyFont="1" applyFill="1" applyBorder="1" applyAlignment="1">
      <alignment horizontal="left"/>
    </xf>
    <xf numFmtId="0" fontId="6" fillId="4" borderId="16" xfId="2" applyFont="1" applyFill="1" applyBorder="1" applyAlignment="1">
      <alignment horizontal="left"/>
    </xf>
    <xf numFmtId="0" fontId="6" fillId="4" borderId="17" xfId="2" applyFont="1" applyFill="1" applyBorder="1" applyAlignment="1">
      <alignment horizontal="left"/>
    </xf>
    <xf numFmtId="0" fontId="6" fillId="4" borderId="21" xfId="2" applyFont="1" applyFill="1" applyBorder="1" applyAlignment="1">
      <alignment horizontal="left"/>
    </xf>
    <xf numFmtId="0" fontId="6" fillId="4" borderId="32" xfId="2" applyFont="1" applyFill="1" applyBorder="1" applyAlignment="1">
      <alignment horizontal="center"/>
    </xf>
    <xf numFmtId="0" fontId="6" fillId="4" borderId="34" xfId="2" applyFont="1" applyFill="1" applyBorder="1" applyAlignment="1">
      <alignment horizontal="center"/>
    </xf>
    <xf numFmtId="0" fontId="6" fillId="4" borderId="23" xfId="2" applyFont="1" applyFill="1" applyBorder="1" applyAlignment="1">
      <alignment horizontal="center"/>
    </xf>
    <xf numFmtId="0" fontId="6" fillId="4" borderId="0" xfId="2" applyFont="1" applyFill="1" applyAlignment="1">
      <alignment horizontal="center"/>
    </xf>
    <xf numFmtId="0" fontId="6" fillId="4" borderId="36" xfId="2" applyFont="1" applyFill="1" applyBorder="1" applyAlignment="1">
      <alignment horizontal="center"/>
    </xf>
    <xf numFmtId="0" fontId="6" fillId="4" borderId="37" xfId="2" applyFont="1" applyFill="1" applyBorder="1" applyAlignment="1">
      <alignment horizontal="center"/>
    </xf>
    <xf numFmtId="0" fontId="2" fillId="4" borderId="1" xfId="2" applyFont="1" applyFill="1" applyBorder="1" applyAlignment="1">
      <alignment horizontal="center"/>
    </xf>
    <xf numFmtId="0" fontId="2" fillId="4" borderId="30" xfId="2" applyFont="1" applyFill="1" applyBorder="1" applyAlignment="1">
      <alignment horizontal="center"/>
    </xf>
    <xf numFmtId="0" fontId="2" fillId="4" borderId="31" xfId="2" applyFont="1" applyFill="1" applyBorder="1" applyAlignment="1">
      <alignment horizontal="center"/>
    </xf>
    <xf numFmtId="0" fontId="2" fillId="4" borderId="29" xfId="2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4" borderId="6" xfId="2" applyFont="1" applyFill="1" applyBorder="1" applyAlignment="1">
      <alignment horizontal="right" vertical="top" wrapText="1"/>
    </xf>
    <xf numFmtId="0" fontId="2" fillId="4" borderId="12" xfId="2" applyFont="1" applyFill="1" applyBorder="1" applyAlignment="1">
      <alignment horizontal="right" vertical="top" wrapText="1"/>
    </xf>
    <xf numFmtId="0" fontId="2" fillId="4" borderId="33" xfId="2" applyFont="1" applyFill="1" applyBorder="1" applyAlignment="1">
      <alignment horizontal="right" vertical="top" wrapText="1"/>
    </xf>
    <xf numFmtId="0" fontId="5" fillId="4" borderId="0" xfId="3" applyFont="1" applyFill="1" applyAlignment="1">
      <alignment horizontal="right"/>
    </xf>
    <xf numFmtId="0" fontId="8" fillId="4" borderId="39" xfId="3" applyFont="1" applyFill="1" applyBorder="1" applyAlignment="1">
      <alignment horizontal="center"/>
    </xf>
    <xf numFmtId="0" fontId="5" fillId="4" borderId="0" xfId="3" applyFont="1" applyFill="1"/>
    <xf numFmtId="0" fontId="2" fillId="5" borderId="40" xfId="4" applyFont="1" applyFill="1" applyBorder="1" applyAlignment="1">
      <alignment horizontal="center" vertical="center"/>
    </xf>
    <xf numFmtId="0" fontId="2" fillId="5" borderId="41" xfId="4" applyFont="1" applyFill="1" applyBorder="1" applyAlignment="1">
      <alignment horizontal="center" vertical="center"/>
    </xf>
    <xf numFmtId="0" fontId="2" fillId="5" borderId="40" xfId="4" applyFont="1" applyFill="1" applyBorder="1" applyAlignment="1">
      <alignment horizontal="center" vertical="center" wrapText="1"/>
    </xf>
    <xf numFmtId="0" fontId="2" fillId="5" borderId="41" xfId="4" applyFont="1" applyFill="1" applyBorder="1" applyAlignment="1">
      <alignment horizontal="center" vertical="center" wrapText="1"/>
    </xf>
    <xf numFmtId="0" fontId="2" fillId="5" borderId="1" xfId="4" applyFont="1" applyFill="1" applyBorder="1" applyAlignment="1">
      <alignment horizontal="center" vertical="center"/>
    </xf>
    <xf numFmtId="0" fontId="2" fillId="5" borderId="18" xfId="4" applyFont="1" applyFill="1" applyBorder="1" applyAlignment="1">
      <alignment horizontal="center" vertical="center"/>
    </xf>
    <xf numFmtId="0" fontId="2" fillId="0" borderId="36" xfId="4" applyFont="1" applyBorder="1" applyAlignment="1">
      <alignment horizontal="right"/>
    </xf>
    <xf numFmtId="0" fontId="2" fillId="0" borderId="37" xfId="4" applyFont="1" applyBorder="1" applyAlignment="1">
      <alignment horizontal="right"/>
    </xf>
    <xf numFmtId="0" fontId="2" fillId="0" borderId="43" xfId="4" applyFont="1" applyBorder="1" applyAlignment="1">
      <alignment horizontal="right"/>
    </xf>
    <xf numFmtId="166" fontId="6" fillId="0" borderId="15" xfId="4" applyNumberFormat="1" applyFont="1" applyBorder="1" applyAlignment="1">
      <alignment horizontal="right"/>
    </xf>
    <xf numFmtId="0" fontId="6" fillId="4" borderId="26" xfId="4" applyFont="1" applyFill="1" applyBorder="1" applyAlignment="1">
      <alignment horizontal="center"/>
    </xf>
    <xf numFmtId="0" fontId="6" fillId="4" borderId="44" xfId="4" applyFont="1" applyFill="1" applyBorder="1" applyAlignment="1">
      <alignment horizontal="center"/>
    </xf>
    <xf numFmtId="0" fontId="2" fillId="0" borderId="27" xfId="4" applyFont="1" applyBorder="1" applyAlignment="1">
      <alignment horizontal="right"/>
    </xf>
    <xf numFmtId="0" fontId="2" fillId="0" borderId="17" xfId="4" applyFont="1" applyBorder="1" applyAlignment="1">
      <alignment horizontal="right"/>
    </xf>
    <xf numFmtId="0" fontId="2" fillId="0" borderId="21" xfId="4" applyFont="1" applyBorder="1" applyAlignment="1">
      <alignment horizontal="right"/>
    </xf>
    <xf numFmtId="0" fontId="6" fillId="0" borderId="7" xfId="4" applyFont="1" applyBorder="1" applyAlignment="1">
      <alignment horizontal="right"/>
    </xf>
    <xf numFmtId="166" fontId="6" fillId="0" borderId="16" xfId="4" applyNumberFormat="1" applyFont="1" applyBorder="1" applyAlignment="1">
      <alignment horizontal="center"/>
    </xf>
    <xf numFmtId="166" fontId="6" fillId="0" borderId="22" xfId="4" applyNumberFormat="1" applyFont="1" applyBorder="1" applyAlignment="1">
      <alignment horizontal="center"/>
    </xf>
    <xf numFmtId="0" fontId="6" fillId="0" borderId="47" xfId="0" applyFont="1" applyBorder="1" applyAlignment="1">
      <alignment horizontal="left" wrapText="1"/>
    </xf>
    <xf numFmtId="0" fontId="6" fillId="0" borderId="43" xfId="0" applyFont="1" applyBorder="1" applyAlignment="1">
      <alignment horizontal="left" wrapText="1"/>
    </xf>
    <xf numFmtId="0" fontId="6" fillId="0" borderId="15" xfId="0" applyFont="1" applyBorder="1" applyAlignment="1">
      <alignment horizontal="left" wrapText="1"/>
    </xf>
    <xf numFmtId="0" fontId="6" fillId="0" borderId="38" xfId="0" applyFont="1" applyBorder="1" applyAlignment="1">
      <alignment horizontal="left" wrapText="1"/>
    </xf>
    <xf numFmtId="166" fontId="6" fillId="0" borderId="16" xfId="4" applyNumberFormat="1" applyFont="1" applyBorder="1" applyAlignment="1">
      <alignment horizontal="right" wrapText="1"/>
    </xf>
    <xf numFmtId="166" fontId="6" fillId="0" borderId="21" xfId="4" applyNumberFormat="1" applyFont="1" applyBorder="1" applyAlignment="1">
      <alignment horizontal="right" wrapText="1"/>
    </xf>
    <xf numFmtId="166" fontId="6" fillId="0" borderId="16" xfId="0" applyNumberFormat="1" applyFont="1" applyBorder="1" applyAlignment="1">
      <alignment horizontal="center" wrapText="1"/>
    </xf>
    <xf numFmtId="166" fontId="6" fillId="0" borderId="22" xfId="0" applyNumberFormat="1" applyFont="1" applyBorder="1" applyAlignment="1">
      <alignment horizontal="center" wrapText="1"/>
    </xf>
    <xf numFmtId="0" fontId="2" fillId="0" borderId="41" xfId="4" applyFont="1" applyBorder="1" applyAlignment="1">
      <alignment horizontal="right"/>
    </xf>
    <xf numFmtId="0" fontId="2" fillId="0" borderId="29" xfId="4" applyFont="1" applyBorder="1" applyAlignment="1">
      <alignment horizontal="right"/>
    </xf>
    <xf numFmtId="0" fontId="2" fillId="0" borderId="18" xfId="4" applyFont="1" applyBorder="1" applyAlignment="1">
      <alignment horizontal="right"/>
    </xf>
    <xf numFmtId="0" fontId="6" fillId="0" borderId="18" xfId="4" applyFont="1" applyBorder="1" applyAlignment="1">
      <alignment horizontal="right"/>
    </xf>
    <xf numFmtId="0" fontId="2" fillId="5" borderId="9" xfId="4" applyFont="1" applyFill="1" applyBorder="1" applyAlignment="1">
      <alignment horizontal="left"/>
    </xf>
    <xf numFmtId="0" fontId="2" fillId="5" borderId="10" xfId="4" applyFont="1" applyFill="1" applyBorder="1" applyAlignment="1">
      <alignment horizontal="left"/>
    </xf>
    <xf numFmtId="0" fontId="2" fillId="5" borderId="25" xfId="4" applyFont="1" applyFill="1" applyBorder="1" applyAlignment="1">
      <alignment horizontal="left"/>
    </xf>
    <xf numFmtId="0" fontId="6" fillId="0" borderId="47" xfId="0" applyFont="1" applyBorder="1" applyAlignment="1">
      <alignment horizontal="left"/>
    </xf>
    <xf numFmtId="0" fontId="6" fillId="0" borderId="43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38" xfId="0" applyFont="1" applyBorder="1" applyAlignment="1">
      <alignment horizontal="left"/>
    </xf>
    <xf numFmtId="0" fontId="9" fillId="0" borderId="27" xfId="0" applyFont="1" applyBorder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22" xfId="0" applyFont="1" applyBorder="1" applyAlignment="1">
      <alignment horizontal="left"/>
    </xf>
    <xf numFmtId="0" fontId="2" fillId="7" borderId="35" xfId="2" applyFont="1" applyFill="1" applyBorder="1" applyAlignment="1">
      <alignment horizontal="center"/>
    </xf>
    <xf numFmtId="0" fontId="2" fillId="7" borderId="34" xfId="2" applyFont="1" applyFill="1" applyBorder="1" applyAlignment="1">
      <alignment horizontal="center"/>
    </xf>
    <xf numFmtId="0" fontId="6" fillId="4" borderId="46" xfId="2" applyFont="1" applyFill="1" applyBorder="1" applyAlignment="1">
      <alignment horizontal="left"/>
    </xf>
    <xf numFmtId="0" fontId="6" fillId="4" borderId="0" xfId="2" applyFont="1" applyFill="1" applyAlignment="1">
      <alignment horizontal="left"/>
    </xf>
    <xf numFmtId="0" fontId="6" fillId="0" borderId="47" xfId="0" applyFont="1" applyBorder="1" applyAlignment="1">
      <alignment horizontal="left" vertical="center"/>
    </xf>
    <xf numFmtId="0" fontId="6" fillId="0" borderId="43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3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27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6" fillId="0" borderId="21" xfId="0" applyFont="1" applyBorder="1" applyAlignment="1">
      <alignment horizontal="left" wrapText="1"/>
    </xf>
    <xf numFmtId="0" fontId="6" fillId="0" borderId="28" xfId="0" applyFont="1" applyBorder="1" applyAlignment="1">
      <alignment horizontal="left"/>
    </xf>
    <xf numFmtId="0" fontId="6" fillId="0" borderId="31" xfId="0" applyFont="1" applyBorder="1" applyAlignment="1">
      <alignment horizontal="left"/>
    </xf>
    <xf numFmtId="0" fontId="6" fillId="0" borderId="45" xfId="0" applyFont="1" applyBorder="1" applyAlignment="1">
      <alignment horizontal="left"/>
    </xf>
  </cellXfs>
  <cellStyles count="5">
    <cellStyle name="Millares" xfId="1" builtinId="3"/>
    <cellStyle name="Normal" xfId="0" builtinId="0"/>
    <cellStyle name="Normal 2" xfId="4" xr:uid="{7891D275-BACC-4302-A3C4-A20AE2D9B00B}"/>
    <cellStyle name="Normal_CRITERIOS DE EVALUACION PT DE GB" xfId="2" xr:uid="{E14C8222-0933-4085-A3A5-CE2CCCBDB3B9}"/>
    <cellStyle name="Normal_CRITERIOS DE EVALUACION PT DE GB 2" xfId="3" xr:uid="{033D52CC-6092-4BBE-B95F-C2D8EE8136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101600</xdr:rowOff>
    </xdr:from>
    <xdr:to>
      <xdr:col>1</xdr:col>
      <xdr:colOff>874037</xdr:colOff>
      <xdr:row>4</xdr:row>
      <xdr:rowOff>76200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16CE55CB-F162-4216-A459-52D59B727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1600"/>
          <a:ext cx="1928137" cy="104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7D024-C051-4BE4-9DDF-E9CFF3821010}">
  <dimension ref="A1:J60"/>
  <sheetViews>
    <sheetView tabSelected="1" view="pageBreakPreview" topLeftCell="A13" zoomScale="70" zoomScaleNormal="70" zoomScaleSheetLayoutView="70" workbookViewId="0">
      <selection activeCell="C37" sqref="C37"/>
    </sheetView>
  </sheetViews>
  <sheetFormatPr baseColWidth="10" defaultRowHeight="14.4" x14ac:dyDescent="0.3"/>
  <cols>
    <col min="1" max="1" width="15.44140625" bestFit="1" customWidth="1"/>
    <col min="2" max="2" width="13.5546875" bestFit="1" customWidth="1"/>
    <col min="3" max="3" width="49" customWidth="1"/>
    <col min="4" max="4" width="34.44140625" bestFit="1" customWidth="1"/>
    <col min="5" max="5" width="11.5546875" bestFit="1" customWidth="1"/>
    <col min="8" max="8" width="33.6640625" bestFit="1" customWidth="1"/>
    <col min="9" max="9" width="24" bestFit="1" customWidth="1"/>
  </cols>
  <sheetData>
    <row r="1" spans="1:10" ht="17.399999999999999" x14ac:dyDescent="0.3">
      <c r="A1" s="119"/>
      <c r="B1" s="120"/>
      <c r="C1" s="125" t="s">
        <v>0</v>
      </c>
      <c r="D1" s="125"/>
      <c r="E1" s="125"/>
      <c r="F1" s="125"/>
      <c r="G1" s="125"/>
      <c r="H1" s="1" t="s">
        <v>1</v>
      </c>
      <c r="I1" s="2" t="s">
        <v>86</v>
      </c>
    </row>
    <row r="2" spans="1:10" ht="18" customHeight="1" thickBot="1" x14ac:dyDescent="0.35">
      <c r="A2" s="121"/>
      <c r="B2" s="122"/>
      <c r="C2" s="126" t="s">
        <v>2</v>
      </c>
      <c r="D2" s="127"/>
      <c r="E2" s="127"/>
      <c r="F2" s="127"/>
      <c r="G2" s="128"/>
      <c r="H2" s="3" t="s">
        <v>3</v>
      </c>
      <c r="I2" s="4" t="s">
        <v>98</v>
      </c>
    </row>
    <row r="3" spans="1:10" ht="31.5" customHeight="1" thickBot="1" x14ac:dyDescent="0.35">
      <c r="A3" s="121"/>
      <c r="B3" s="122"/>
      <c r="C3" s="129" t="s">
        <v>95</v>
      </c>
      <c r="D3" s="130"/>
      <c r="E3" s="130"/>
      <c r="F3" s="130"/>
      <c r="G3" s="131"/>
      <c r="H3" s="132" t="s">
        <v>4</v>
      </c>
      <c r="I3" s="110">
        <v>45613</v>
      </c>
    </row>
    <row r="4" spans="1:10" ht="18" customHeight="1" x14ac:dyDescent="0.3">
      <c r="A4" s="121"/>
      <c r="B4" s="122"/>
      <c r="C4" s="5" t="s">
        <v>5</v>
      </c>
      <c r="D4" s="113" t="s">
        <v>6</v>
      </c>
      <c r="E4" s="114"/>
      <c r="F4" s="114"/>
      <c r="G4" s="115"/>
      <c r="H4" s="133"/>
      <c r="I4" s="111"/>
    </row>
    <row r="5" spans="1:10" ht="18" thickBot="1" x14ac:dyDescent="0.35">
      <c r="A5" s="123"/>
      <c r="B5" s="124"/>
      <c r="C5" s="6" t="s">
        <v>7</v>
      </c>
      <c r="D5" s="116" t="s">
        <v>8</v>
      </c>
      <c r="E5" s="117"/>
      <c r="F5" s="117"/>
      <c r="G5" s="118"/>
      <c r="H5" s="134"/>
      <c r="I5" s="112"/>
    </row>
    <row r="6" spans="1:10" ht="18" thickBot="1" x14ac:dyDescent="0.35">
      <c r="A6" s="135" t="s">
        <v>66</v>
      </c>
      <c r="B6" s="135"/>
      <c r="C6" s="135"/>
      <c r="D6" s="136" t="s">
        <v>67</v>
      </c>
      <c r="E6" s="136"/>
      <c r="F6" s="136"/>
      <c r="G6" s="137" t="s">
        <v>68</v>
      </c>
      <c r="H6" s="137"/>
      <c r="I6" s="7" t="s">
        <v>69</v>
      </c>
    </row>
    <row r="7" spans="1:10" ht="34.799999999999997" x14ac:dyDescent="0.3">
      <c r="A7" s="138" t="s">
        <v>9</v>
      </c>
      <c r="B7" s="140" t="s">
        <v>70</v>
      </c>
      <c r="C7" s="142" t="s">
        <v>10</v>
      </c>
      <c r="D7" s="142" t="s">
        <v>11</v>
      </c>
      <c r="E7" s="142" t="s">
        <v>12</v>
      </c>
      <c r="F7" s="142"/>
      <c r="G7" s="142" t="s">
        <v>13</v>
      </c>
      <c r="H7" s="142"/>
      <c r="I7" s="8" t="s">
        <v>14</v>
      </c>
    </row>
    <row r="8" spans="1:10" ht="35.4" thickBot="1" x14ac:dyDescent="0.35">
      <c r="A8" s="139"/>
      <c r="B8" s="141"/>
      <c r="C8" s="143"/>
      <c r="D8" s="143"/>
      <c r="E8" s="9" t="s">
        <v>15</v>
      </c>
      <c r="F8" s="10" t="s">
        <v>16</v>
      </c>
      <c r="G8" s="9" t="s">
        <v>15</v>
      </c>
      <c r="H8" s="10" t="s">
        <v>16</v>
      </c>
      <c r="I8" s="11" t="s">
        <v>17</v>
      </c>
    </row>
    <row r="9" spans="1:10" ht="18" x14ac:dyDescent="0.35">
      <c r="A9" s="12"/>
      <c r="B9" s="13"/>
      <c r="C9" s="14" t="s">
        <v>71</v>
      </c>
      <c r="D9" s="15"/>
      <c r="E9" s="16"/>
      <c r="F9" s="17"/>
      <c r="G9" s="16"/>
      <c r="H9" s="17"/>
      <c r="I9" s="18"/>
    </row>
    <row r="10" spans="1:10" ht="18" customHeight="1" x14ac:dyDescent="0.35">
      <c r="A10" s="19">
        <v>907000317</v>
      </c>
      <c r="B10" s="20" t="s">
        <v>50</v>
      </c>
      <c r="C10" s="21" t="s">
        <v>18</v>
      </c>
      <c r="D10" s="22" t="s">
        <v>19</v>
      </c>
      <c r="E10" s="23">
        <v>281</v>
      </c>
      <c r="F10" s="24" t="s">
        <v>20</v>
      </c>
      <c r="G10" s="25"/>
      <c r="H10" s="26" t="s">
        <v>72</v>
      </c>
      <c r="I10" s="18"/>
    </row>
    <row r="11" spans="1:10" ht="18" x14ac:dyDescent="0.35">
      <c r="A11" s="19">
        <v>20100163</v>
      </c>
      <c r="B11" s="27" t="s">
        <v>51</v>
      </c>
      <c r="C11" s="28" t="s">
        <v>21</v>
      </c>
      <c r="D11" s="22" t="s">
        <v>19</v>
      </c>
      <c r="E11" s="29">
        <v>150</v>
      </c>
      <c r="F11" s="30" t="s">
        <v>20</v>
      </c>
      <c r="G11" s="25"/>
      <c r="H11" s="26" t="s">
        <v>73</v>
      </c>
      <c r="I11" s="18"/>
    </row>
    <row r="12" spans="1:10" ht="18" x14ac:dyDescent="0.35">
      <c r="A12" s="19">
        <v>905000001</v>
      </c>
      <c r="B12" s="27" t="s">
        <v>52</v>
      </c>
      <c r="C12" s="28" t="s">
        <v>22</v>
      </c>
      <c r="D12" s="22" t="s">
        <v>19</v>
      </c>
      <c r="E12" s="29">
        <v>90</v>
      </c>
      <c r="F12" s="30" t="s">
        <v>20</v>
      </c>
      <c r="G12" s="31"/>
      <c r="H12" s="26" t="s">
        <v>87</v>
      </c>
      <c r="I12" s="18"/>
      <c r="J12">
        <f>+E12/1000</f>
        <v>0.09</v>
      </c>
    </row>
    <row r="13" spans="1:10" ht="18" x14ac:dyDescent="0.35">
      <c r="A13" s="19">
        <v>90100401</v>
      </c>
      <c r="B13" s="27" t="s">
        <v>53</v>
      </c>
      <c r="C13" s="28" t="s">
        <v>23</v>
      </c>
      <c r="D13" s="22" t="s">
        <v>19</v>
      </c>
      <c r="E13" s="29">
        <v>180</v>
      </c>
      <c r="F13" s="30" t="s">
        <v>20</v>
      </c>
      <c r="G13" s="31"/>
      <c r="H13" s="26" t="s">
        <v>74</v>
      </c>
      <c r="I13" s="18"/>
      <c r="J13">
        <f>180/1000</f>
        <v>0.18</v>
      </c>
    </row>
    <row r="14" spans="1:10" ht="18" x14ac:dyDescent="0.35">
      <c r="A14" s="32">
        <v>902000066</v>
      </c>
      <c r="B14" s="33" t="s">
        <v>54</v>
      </c>
      <c r="C14" s="34" t="s">
        <v>24</v>
      </c>
      <c r="D14" s="31" t="s">
        <v>19</v>
      </c>
      <c r="E14" s="31">
        <v>20</v>
      </c>
      <c r="F14" s="35" t="s">
        <v>20</v>
      </c>
      <c r="G14" s="31"/>
      <c r="H14" s="26" t="s">
        <v>75</v>
      </c>
      <c r="I14" s="18"/>
      <c r="J14">
        <f>20/1000</f>
        <v>0.02</v>
      </c>
    </row>
    <row r="15" spans="1:10" ht="18" x14ac:dyDescent="0.35">
      <c r="A15" s="36"/>
      <c r="B15" s="33"/>
      <c r="C15" s="37"/>
      <c r="D15" s="31"/>
      <c r="E15" s="31"/>
      <c r="F15" s="35"/>
      <c r="G15" s="31"/>
      <c r="H15" s="26"/>
      <c r="I15" s="18"/>
    </row>
    <row r="16" spans="1:10" ht="18" x14ac:dyDescent="0.35">
      <c r="A16" s="31"/>
      <c r="B16" s="31"/>
      <c r="C16" s="38"/>
      <c r="D16" s="39"/>
      <c r="E16" s="39"/>
      <c r="F16" s="25"/>
      <c r="G16" s="31"/>
      <c r="H16" s="26"/>
      <c r="I16" s="18"/>
    </row>
    <row r="17" spans="1:10" ht="18" x14ac:dyDescent="0.35">
      <c r="A17" s="33"/>
      <c r="B17" s="33"/>
      <c r="C17" s="40"/>
      <c r="D17" s="31"/>
      <c r="E17" s="31"/>
      <c r="F17" s="35"/>
      <c r="G17" s="31"/>
      <c r="H17" s="26"/>
      <c r="I17" s="18"/>
    </row>
    <row r="18" spans="1:10" ht="18" x14ac:dyDescent="0.35">
      <c r="A18" s="32"/>
      <c r="B18" s="33"/>
      <c r="C18" s="41"/>
      <c r="D18" s="31"/>
      <c r="E18" s="31"/>
      <c r="F18" s="35"/>
      <c r="G18" s="31"/>
      <c r="H18" s="26"/>
      <c r="I18" s="18"/>
    </row>
    <row r="19" spans="1:10" ht="18" x14ac:dyDescent="0.35">
      <c r="A19" s="36"/>
      <c r="B19" s="33"/>
      <c r="C19" s="37"/>
      <c r="D19" s="31"/>
      <c r="E19" s="31"/>
      <c r="F19" s="35"/>
      <c r="G19" s="31"/>
      <c r="H19" s="26"/>
      <c r="I19" s="18"/>
    </row>
    <row r="20" spans="1:10" ht="18" x14ac:dyDescent="0.35">
      <c r="A20" s="20"/>
      <c r="B20" s="20"/>
      <c r="C20" s="42"/>
      <c r="D20" s="43"/>
      <c r="E20" s="44"/>
      <c r="F20" s="24"/>
      <c r="G20" s="45"/>
      <c r="H20" s="26"/>
      <c r="I20" s="18"/>
    </row>
    <row r="21" spans="1:10" ht="18" x14ac:dyDescent="0.35">
      <c r="A21" s="46"/>
      <c r="B21" s="46"/>
      <c r="C21" s="47"/>
      <c r="D21" s="48"/>
      <c r="E21" s="49"/>
      <c r="F21" s="50"/>
      <c r="G21" s="45"/>
      <c r="H21" s="26"/>
      <c r="I21" s="18"/>
    </row>
    <row r="22" spans="1:10" ht="18" x14ac:dyDescent="0.35">
      <c r="A22" s="46"/>
      <c r="B22" s="46"/>
      <c r="C22" s="47"/>
      <c r="D22" s="48"/>
      <c r="E22" s="49"/>
      <c r="F22" s="50"/>
      <c r="G22" s="16"/>
      <c r="H22" s="26"/>
      <c r="I22" s="18"/>
    </row>
    <row r="23" spans="1:10" ht="18" x14ac:dyDescent="0.35">
      <c r="A23" s="51"/>
      <c r="B23" s="52"/>
      <c r="C23" s="53" t="s">
        <v>67</v>
      </c>
      <c r="D23" s="54"/>
      <c r="E23" s="55"/>
      <c r="F23" s="56"/>
      <c r="G23" s="16"/>
      <c r="H23" s="17"/>
      <c r="I23" s="18"/>
    </row>
    <row r="24" spans="1:10" ht="18" x14ac:dyDescent="0.35">
      <c r="A24" s="19">
        <v>95718</v>
      </c>
      <c r="B24" s="57" t="s">
        <v>55</v>
      </c>
      <c r="C24" s="21" t="s">
        <v>25</v>
      </c>
      <c r="D24" s="22" t="s">
        <v>19</v>
      </c>
      <c r="E24" s="29">
        <v>100</v>
      </c>
      <c r="F24" s="30" t="s">
        <v>20</v>
      </c>
      <c r="G24" s="16"/>
      <c r="H24" s="17" t="s">
        <v>76</v>
      </c>
      <c r="I24" s="18"/>
      <c r="J24">
        <f>140/1000</f>
        <v>0.14000000000000001</v>
      </c>
    </row>
    <row r="25" spans="1:10" ht="18" x14ac:dyDescent="0.35">
      <c r="A25" s="19">
        <v>95718</v>
      </c>
      <c r="B25" s="57" t="s">
        <v>55</v>
      </c>
      <c r="C25" s="21" t="s">
        <v>25</v>
      </c>
      <c r="D25" s="22" t="s">
        <v>19</v>
      </c>
      <c r="E25" s="58">
        <v>40</v>
      </c>
      <c r="F25" s="30" t="s">
        <v>20</v>
      </c>
      <c r="G25" s="16"/>
      <c r="H25" s="17" t="s">
        <v>77</v>
      </c>
      <c r="I25" s="18"/>
    </row>
    <row r="26" spans="1:10" ht="18" x14ac:dyDescent="0.35">
      <c r="A26" s="19">
        <v>907000335</v>
      </c>
      <c r="B26" s="57" t="s">
        <v>56</v>
      </c>
      <c r="C26" s="21" t="s">
        <v>26</v>
      </c>
      <c r="D26" s="22" t="s">
        <v>19</v>
      </c>
      <c r="E26" s="59">
        <v>5</v>
      </c>
      <c r="F26" s="60" t="s">
        <v>20</v>
      </c>
      <c r="G26" s="16"/>
      <c r="H26" s="17" t="s">
        <v>96</v>
      </c>
      <c r="I26" s="18"/>
    </row>
    <row r="27" spans="1:10" ht="18" x14ac:dyDescent="0.35">
      <c r="A27" s="19"/>
      <c r="B27" s="61" t="s">
        <v>93</v>
      </c>
      <c r="C27" s="62" t="s">
        <v>91</v>
      </c>
      <c r="D27" s="22" t="s">
        <v>19</v>
      </c>
      <c r="E27" s="23">
        <v>60</v>
      </c>
      <c r="F27" s="60" t="s">
        <v>20</v>
      </c>
      <c r="G27" s="16"/>
      <c r="H27" s="17" t="s">
        <v>78</v>
      </c>
      <c r="I27" s="18"/>
      <c r="J27">
        <f>60/1000</f>
        <v>0.06</v>
      </c>
    </row>
    <row r="28" spans="1:10" ht="18" x14ac:dyDescent="0.35">
      <c r="A28" s="63">
        <v>11400027</v>
      </c>
      <c r="B28" s="63" t="s">
        <v>65</v>
      </c>
      <c r="C28" s="64" t="s">
        <v>79</v>
      </c>
      <c r="D28" s="65" t="s">
        <v>80</v>
      </c>
      <c r="E28" s="66">
        <v>3</v>
      </c>
      <c r="F28" s="67" t="s">
        <v>20</v>
      </c>
      <c r="G28" s="16"/>
      <c r="H28" s="17"/>
      <c r="I28" s="18"/>
    </row>
    <row r="29" spans="1:10" ht="18" x14ac:dyDescent="0.35">
      <c r="A29" s="46"/>
      <c r="B29" s="46"/>
      <c r="C29" s="47"/>
      <c r="D29" s="68"/>
      <c r="E29" s="69"/>
      <c r="F29" s="67"/>
      <c r="G29" s="16"/>
      <c r="H29" s="17"/>
      <c r="I29" s="18"/>
    </row>
    <row r="30" spans="1:10" ht="18" x14ac:dyDescent="0.35">
      <c r="A30" s="70"/>
      <c r="B30" s="71"/>
      <c r="C30" s="72" t="s">
        <v>81</v>
      </c>
      <c r="D30" s="73"/>
      <c r="E30" s="74"/>
      <c r="F30" s="17"/>
      <c r="G30" s="16"/>
      <c r="H30" s="64"/>
      <c r="I30" s="18"/>
    </row>
    <row r="31" spans="1:10" ht="18" x14ac:dyDescent="0.35">
      <c r="A31" s="63">
        <v>1950808</v>
      </c>
      <c r="B31" s="63" t="s">
        <v>57</v>
      </c>
      <c r="C31" s="64" t="s">
        <v>82</v>
      </c>
      <c r="D31" s="22" t="s">
        <v>27</v>
      </c>
      <c r="E31" s="29">
        <v>1</v>
      </c>
      <c r="F31" s="30" t="s">
        <v>28</v>
      </c>
      <c r="G31" s="75"/>
      <c r="H31" s="17"/>
      <c r="I31" s="18"/>
    </row>
    <row r="32" spans="1:10" ht="18" x14ac:dyDescent="0.35">
      <c r="A32" s="76">
        <v>703020</v>
      </c>
      <c r="B32" s="76" t="s">
        <v>58</v>
      </c>
      <c r="C32" s="77" t="s">
        <v>29</v>
      </c>
      <c r="D32" s="78" t="s">
        <v>30</v>
      </c>
      <c r="E32" s="79">
        <v>1</v>
      </c>
      <c r="F32" s="80" t="s">
        <v>28</v>
      </c>
      <c r="G32" s="75"/>
      <c r="H32" s="17"/>
      <c r="I32" s="18"/>
    </row>
    <row r="33" spans="1:9" ht="18" x14ac:dyDescent="0.35">
      <c r="A33" s="81">
        <v>51400021</v>
      </c>
      <c r="B33" s="82" t="s">
        <v>63</v>
      </c>
      <c r="C33" s="83" t="s">
        <v>83</v>
      </c>
      <c r="D33" s="79" t="s">
        <v>84</v>
      </c>
      <c r="E33" s="79">
        <v>1</v>
      </c>
      <c r="F33" s="80" t="s">
        <v>28</v>
      </c>
      <c r="G33" s="75"/>
      <c r="H33" s="17"/>
      <c r="I33" s="18"/>
    </row>
    <row r="34" spans="1:9" ht="18" x14ac:dyDescent="0.35">
      <c r="A34" s="76">
        <v>702123</v>
      </c>
      <c r="B34" s="76" t="s">
        <v>59</v>
      </c>
      <c r="C34" s="77" t="s">
        <v>31</v>
      </c>
      <c r="D34" s="79" t="s">
        <v>85</v>
      </c>
      <c r="E34" s="84">
        <v>1</v>
      </c>
      <c r="F34" s="80" t="s">
        <v>28</v>
      </c>
      <c r="G34" s="16"/>
      <c r="H34" s="17"/>
      <c r="I34" s="18"/>
    </row>
    <row r="35" spans="1:9" ht="18" x14ac:dyDescent="0.35">
      <c r="A35" s="76">
        <v>702069</v>
      </c>
      <c r="B35" s="76" t="s">
        <v>61</v>
      </c>
      <c r="C35" s="77" t="s">
        <v>62</v>
      </c>
      <c r="D35" s="79" t="s">
        <v>85</v>
      </c>
      <c r="E35" s="79">
        <v>1</v>
      </c>
      <c r="F35" s="80" t="s">
        <v>28</v>
      </c>
      <c r="G35" s="16"/>
      <c r="H35" s="17"/>
      <c r="I35" s="18"/>
    </row>
    <row r="36" spans="1:9" ht="18" x14ac:dyDescent="0.35">
      <c r="A36" s="76">
        <v>701096</v>
      </c>
      <c r="B36" s="76" t="s">
        <v>60</v>
      </c>
      <c r="C36" s="77" t="s">
        <v>32</v>
      </c>
      <c r="D36" s="79" t="s">
        <v>85</v>
      </c>
      <c r="E36" s="79">
        <v>1</v>
      </c>
      <c r="F36" s="80" t="s">
        <v>28</v>
      </c>
      <c r="G36" s="85"/>
      <c r="H36" s="17"/>
      <c r="I36" s="18"/>
    </row>
    <row r="37" spans="1:9" ht="18" x14ac:dyDescent="0.35">
      <c r="A37" s="86">
        <v>702182</v>
      </c>
      <c r="B37" s="87" t="s">
        <v>64</v>
      </c>
      <c r="C37" s="88" t="s">
        <v>33</v>
      </c>
      <c r="D37" s="89" t="s">
        <v>85</v>
      </c>
      <c r="E37" s="89">
        <v>1</v>
      </c>
      <c r="F37" s="90" t="s">
        <v>28</v>
      </c>
      <c r="G37" s="91"/>
      <c r="H37" s="17"/>
      <c r="I37" s="18"/>
    </row>
    <row r="38" spans="1:9" ht="18" x14ac:dyDescent="0.35">
      <c r="A38" s="51"/>
      <c r="B38" s="52"/>
      <c r="C38" s="92"/>
      <c r="D38" s="79"/>
      <c r="E38" s="91"/>
      <c r="F38" s="56"/>
      <c r="G38" s="91"/>
      <c r="H38" s="17" t="str">
        <f t="shared" ref="H38" si="0">UPPER(D38)</f>
        <v/>
      </c>
      <c r="I38" s="18"/>
    </row>
    <row r="39" spans="1:9" ht="18" x14ac:dyDescent="0.35">
      <c r="A39" s="51"/>
      <c r="B39" s="52"/>
      <c r="C39" s="92"/>
      <c r="D39" s="54"/>
      <c r="E39" s="54"/>
      <c r="F39" s="56"/>
      <c r="G39" s="54"/>
      <c r="H39" s="54"/>
      <c r="I39" s="18"/>
    </row>
    <row r="40" spans="1:9" ht="18" thickBot="1" x14ac:dyDescent="0.35">
      <c r="A40" s="93"/>
      <c r="B40" s="94"/>
      <c r="C40" s="95"/>
      <c r="D40" s="95"/>
      <c r="E40" s="96"/>
      <c r="F40" s="97"/>
      <c r="G40" s="95"/>
      <c r="H40" s="95"/>
      <c r="I40" s="98"/>
    </row>
    <row r="41" spans="1:9" ht="18" thickBot="1" x14ac:dyDescent="0.35">
      <c r="A41" s="99"/>
      <c r="B41" s="100"/>
      <c r="C41" s="101"/>
      <c r="D41" s="102" t="s">
        <v>15</v>
      </c>
      <c r="E41" s="103" t="s">
        <v>34</v>
      </c>
      <c r="F41" s="104"/>
      <c r="G41" s="101"/>
      <c r="H41" s="101"/>
      <c r="I41" s="105"/>
    </row>
    <row r="42" spans="1:9" ht="17.399999999999999" x14ac:dyDescent="0.3">
      <c r="A42" s="144" t="s">
        <v>35</v>
      </c>
      <c r="B42" s="145"/>
      <c r="C42" s="146"/>
      <c r="D42" s="69">
        <v>911</v>
      </c>
      <c r="E42" s="106" t="s">
        <v>20</v>
      </c>
      <c r="F42" s="147" t="s">
        <v>36</v>
      </c>
      <c r="G42" s="147"/>
      <c r="H42" s="148"/>
      <c r="I42" s="149"/>
    </row>
    <row r="43" spans="1:9" ht="17.399999999999999" x14ac:dyDescent="0.3">
      <c r="A43" s="150" t="s">
        <v>37</v>
      </c>
      <c r="B43" s="151"/>
      <c r="C43" s="152"/>
      <c r="D43" s="107">
        <v>5</v>
      </c>
      <c r="E43" s="31" t="s">
        <v>38</v>
      </c>
      <c r="F43" s="153" t="s">
        <v>39</v>
      </c>
      <c r="G43" s="153"/>
      <c r="H43" s="154"/>
      <c r="I43" s="155"/>
    </row>
    <row r="44" spans="1:9" ht="17.399999999999999" x14ac:dyDescent="0.3">
      <c r="A44" s="150" t="s">
        <v>40</v>
      </c>
      <c r="B44" s="151"/>
      <c r="C44" s="152"/>
      <c r="D44" s="31">
        <v>1</v>
      </c>
      <c r="E44" s="31" t="s">
        <v>28</v>
      </c>
      <c r="F44" s="153" t="s">
        <v>41</v>
      </c>
      <c r="G44" s="153"/>
      <c r="H44" s="154"/>
      <c r="I44" s="155"/>
    </row>
    <row r="45" spans="1:9" ht="17.399999999999999" x14ac:dyDescent="0.3">
      <c r="A45" s="150" t="s">
        <v>42</v>
      </c>
      <c r="B45" s="151"/>
      <c r="C45" s="152"/>
      <c r="D45" s="58">
        <v>911</v>
      </c>
      <c r="E45" s="31" t="s">
        <v>20</v>
      </c>
      <c r="F45" s="160" t="s">
        <v>43</v>
      </c>
      <c r="G45" s="161"/>
      <c r="H45" s="162"/>
      <c r="I45" s="163"/>
    </row>
    <row r="46" spans="1:9" ht="18" thickBot="1" x14ac:dyDescent="0.35">
      <c r="A46" s="164" t="s">
        <v>44</v>
      </c>
      <c r="B46" s="165"/>
      <c r="C46" s="166"/>
      <c r="D46" s="108">
        <f>SUM(E10:E28)-D42</f>
        <v>18</v>
      </c>
      <c r="E46" s="109" t="s">
        <v>20</v>
      </c>
      <c r="F46" s="167"/>
      <c r="G46" s="167"/>
      <c r="H46" s="154"/>
      <c r="I46" s="155"/>
    </row>
    <row r="47" spans="1:9" ht="18" thickBot="1" x14ac:dyDescent="0.35">
      <c r="A47" s="168" t="s">
        <v>45</v>
      </c>
      <c r="B47" s="169"/>
      <c r="C47" s="169"/>
      <c r="D47" s="169"/>
      <c r="E47" s="169"/>
      <c r="F47" s="169"/>
      <c r="G47" s="169"/>
      <c r="H47" s="169"/>
      <c r="I47" s="170"/>
    </row>
    <row r="48" spans="1:9" ht="17.399999999999999" x14ac:dyDescent="0.3">
      <c r="A48" s="171" t="s">
        <v>46</v>
      </c>
      <c r="B48" s="172"/>
      <c r="C48" s="173"/>
      <c r="D48" s="173"/>
      <c r="E48" s="173"/>
      <c r="F48" s="173"/>
      <c r="G48" s="173"/>
      <c r="H48" s="173"/>
      <c r="I48" s="174"/>
    </row>
    <row r="49" spans="1:9" ht="17.399999999999999" x14ac:dyDescent="0.3">
      <c r="A49" s="156" t="s">
        <v>47</v>
      </c>
      <c r="B49" s="157"/>
      <c r="C49" s="158"/>
      <c r="D49" s="158"/>
      <c r="E49" s="158"/>
      <c r="F49" s="158"/>
      <c r="G49" s="158"/>
      <c r="H49" s="158"/>
      <c r="I49" s="159"/>
    </row>
    <row r="50" spans="1:9" ht="16.8" x14ac:dyDescent="0.3">
      <c r="A50" s="182" t="s">
        <v>48</v>
      </c>
      <c r="B50" s="183"/>
      <c r="C50" s="184"/>
      <c r="D50" s="184"/>
      <c r="E50" s="184"/>
      <c r="F50" s="184"/>
      <c r="G50" s="184"/>
      <c r="H50" s="184"/>
      <c r="I50" s="185"/>
    </row>
    <row r="51" spans="1:9" ht="16.8" x14ac:dyDescent="0.3">
      <c r="A51" s="186" t="s">
        <v>92</v>
      </c>
      <c r="B51" s="187"/>
      <c r="C51" s="188"/>
      <c r="D51" s="188"/>
      <c r="E51" s="188"/>
      <c r="F51" s="188"/>
      <c r="G51" s="188"/>
      <c r="H51" s="188"/>
      <c r="I51" s="189"/>
    </row>
    <row r="52" spans="1:9" ht="16.8" x14ac:dyDescent="0.3">
      <c r="A52" s="186" t="s">
        <v>88</v>
      </c>
      <c r="B52" s="187"/>
      <c r="C52" s="188"/>
      <c r="D52" s="188"/>
      <c r="E52" s="188"/>
      <c r="F52" s="188"/>
      <c r="G52" s="188"/>
      <c r="H52" s="188"/>
      <c r="I52" s="189"/>
    </row>
    <row r="53" spans="1:9" ht="16.8" x14ac:dyDescent="0.3">
      <c r="A53" s="182" t="s">
        <v>89</v>
      </c>
      <c r="B53" s="183"/>
      <c r="C53" s="184"/>
      <c r="D53" s="184"/>
      <c r="E53" s="184"/>
      <c r="F53" s="184"/>
      <c r="G53" s="184"/>
      <c r="H53" s="184"/>
      <c r="I53" s="185"/>
    </row>
    <row r="54" spans="1:9" ht="18" customHeight="1" x14ac:dyDescent="0.3">
      <c r="A54" s="190"/>
      <c r="B54" s="191"/>
      <c r="C54" s="191"/>
      <c r="D54" s="191"/>
      <c r="E54" s="191"/>
      <c r="F54" s="191"/>
      <c r="G54" s="191"/>
      <c r="H54" s="191"/>
      <c r="I54" s="192"/>
    </row>
    <row r="55" spans="1:9" ht="18" thickBot="1" x14ac:dyDescent="0.35">
      <c r="A55" s="193"/>
      <c r="B55" s="194"/>
      <c r="C55" s="194"/>
      <c r="D55" s="194"/>
      <c r="E55" s="194"/>
      <c r="F55" s="194"/>
      <c r="G55" s="194"/>
      <c r="H55" s="194"/>
      <c r="I55" s="195"/>
    </row>
    <row r="56" spans="1:9" ht="18" thickBot="1" x14ac:dyDescent="0.35">
      <c r="A56" s="175"/>
      <c r="B56" s="176"/>
      <c r="C56" s="176"/>
      <c r="D56" s="176"/>
      <c r="E56" s="176"/>
      <c r="F56" s="176"/>
      <c r="G56" s="176"/>
      <c r="H56" s="176"/>
      <c r="I56" s="177"/>
    </row>
    <row r="57" spans="1:9" ht="17.399999999999999" x14ac:dyDescent="0.3">
      <c r="A57" s="178" t="s">
        <v>49</v>
      </c>
      <c r="B57" s="179"/>
      <c r="C57" s="179"/>
      <c r="D57" s="179"/>
      <c r="E57" s="179"/>
      <c r="F57" s="179"/>
      <c r="G57" s="179"/>
      <c r="H57" s="179"/>
      <c r="I57" s="179"/>
    </row>
    <row r="58" spans="1:9" ht="17.399999999999999" x14ac:dyDescent="0.3">
      <c r="A58" s="116" t="s">
        <v>90</v>
      </c>
      <c r="B58" s="117"/>
      <c r="C58" s="117"/>
      <c r="D58" s="117"/>
      <c r="E58" s="117"/>
      <c r="F58" s="117"/>
      <c r="G58" s="117"/>
      <c r="H58" s="117"/>
      <c r="I58" s="118"/>
    </row>
    <row r="59" spans="1:9" ht="17.399999999999999" x14ac:dyDescent="0.3">
      <c r="A59" s="180" t="s">
        <v>94</v>
      </c>
      <c r="B59" s="181"/>
      <c r="C59" s="181"/>
      <c r="D59" s="181"/>
      <c r="E59" s="181"/>
      <c r="F59" s="181"/>
      <c r="G59" s="181"/>
      <c r="H59" s="181"/>
      <c r="I59" s="181"/>
    </row>
    <row r="60" spans="1:9" ht="18" x14ac:dyDescent="0.35">
      <c r="A60" s="64" t="s">
        <v>97</v>
      </c>
      <c r="B60" s="64"/>
      <c r="C60" s="64"/>
    </row>
  </sheetData>
  <mergeCells count="45"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I48"/>
    <mergeCell ref="A42:C42"/>
    <mergeCell ref="F42:G42"/>
    <mergeCell ref="H42:I42"/>
    <mergeCell ref="A43:C43"/>
    <mergeCell ref="F43:G43"/>
    <mergeCell ref="H43:I43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DB0D47-E301-4F1C-A4E2-1E4CE444C8B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E088D78F-FC51-4700-AF4C-6B3E66962A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7CF1354-FA82-464C-8D3E-FA21669796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Valery Cerdas</cp:lastModifiedBy>
  <cp:lastPrinted>2025-04-08T13:28:35Z</cp:lastPrinted>
  <dcterms:created xsi:type="dcterms:W3CDTF">2023-08-17T21:29:05Z</dcterms:created>
  <dcterms:modified xsi:type="dcterms:W3CDTF">2026-05-13T14:39:27Z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
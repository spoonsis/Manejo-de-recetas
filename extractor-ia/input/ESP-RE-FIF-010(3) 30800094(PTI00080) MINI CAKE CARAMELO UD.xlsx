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0B9A894C-D86E-482C-B120-19643E4FA2C7}" xr6:coauthVersionLast="47" xr6:coauthVersionMax="47" xr10:uidLastSave="{00000000-0000-0000-0000-000000000000}"/>
  <bookViews>
    <workbookView xWindow="20370" yWindow="-120" windowWidth="24240" windowHeight="13020" xr2:uid="{5C6DC4BB-1953-43B2-855B-F4133F7C0490}"/>
  </bookViews>
  <sheets>
    <sheet name="Hoja1" sheetId="20" r:id="rId1"/>
    <sheet name="COSTO " sheetId="19" state="hidden" r:id="rId2"/>
    <sheet name="COSTO ENSAMBLE " sheetId="17" state="hidden" r:id="rId3"/>
    <sheet name="PRECIO" sheetId="18" state="hidden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0" l="1"/>
  <c r="E33" i="19"/>
  <c r="F33" i="19" s="1"/>
  <c r="D33" i="19"/>
  <c r="C33" i="19"/>
  <c r="B33" i="19"/>
  <c r="F32" i="19"/>
  <c r="D32" i="19"/>
  <c r="C32" i="19"/>
  <c r="B32" i="19"/>
  <c r="E31" i="19"/>
  <c r="F31" i="19" s="1"/>
  <c r="D31" i="19"/>
  <c r="C31" i="19"/>
  <c r="B31" i="19"/>
  <c r="E30" i="19"/>
  <c r="F30" i="19" s="1"/>
  <c r="D30" i="19"/>
  <c r="C30" i="19"/>
  <c r="B30" i="19"/>
  <c r="F29" i="19"/>
  <c r="C29" i="19"/>
  <c r="F28" i="19"/>
  <c r="D28" i="19"/>
  <c r="C28" i="19"/>
  <c r="B28" i="19"/>
  <c r="F27" i="19"/>
  <c r="C27" i="19"/>
  <c r="F47" i="19"/>
  <c r="D76" i="19"/>
  <c r="D77" i="19"/>
  <c r="D79" i="19"/>
  <c r="D74" i="19"/>
  <c r="D72" i="19"/>
  <c r="F68" i="19"/>
  <c r="C76" i="19"/>
  <c r="D63" i="19"/>
  <c r="D86" i="19"/>
  <c r="C54" i="19"/>
  <c r="E52" i="19"/>
  <c r="F52" i="19" s="1"/>
  <c r="D52" i="19"/>
  <c r="B52" i="19"/>
  <c r="E48" i="19"/>
  <c r="F48" i="19" s="1"/>
  <c r="D48" i="19"/>
  <c r="B48" i="19"/>
  <c r="A44" i="19"/>
  <c r="A53" i="19"/>
  <c r="C53" i="19"/>
  <c r="E43" i="19"/>
  <c r="D43" i="19"/>
  <c r="B43" i="19"/>
  <c r="A43" i="19"/>
  <c r="C43" i="19"/>
  <c r="A42" i="19"/>
  <c r="C42" i="19"/>
  <c r="A41" i="19"/>
  <c r="A50" i="19"/>
  <c r="C50" i="19"/>
  <c r="A40" i="19"/>
  <c r="A49" i="19"/>
  <c r="C49" i="19"/>
  <c r="E39" i="19"/>
  <c r="F39" i="19" s="1"/>
  <c r="D39" i="19"/>
  <c r="B39" i="19"/>
  <c r="A39" i="19"/>
  <c r="C39" i="19"/>
  <c r="A38" i="19"/>
  <c r="C38" i="19"/>
  <c r="E35" i="19"/>
  <c r="D35" i="19"/>
  <c r="C35" i="19"/>
  <c r="B35" i="19"/>
  <c r="E34" i="19"/>
  <c r="F34" i="19" s="1"/>
  <c r="D34" i="19"/>
  <c r="C34" i="19"/>
  <c r="B34" i="19"/>
  <c r="E24" i="19"/>
  <c r="F24" i="19" s="1"/>
  <c r="D24" i="19"/>
  <c r="C24" i="19"/>
  <c r="B24" i="19"/>
  <c r="C23" i="19"/>
  <c r="D22" i="19"/>
  <c r="C22" i="19"/>
  <c r="B22" i="19"/>
  <c r="C21" i="19"/>
  <c r="C20" i="19"/>
  <c r="C19" i="19"/>
  <c r="D18" i="19"/>
  <c r="C18" i="19"/>
  <c r="B18" i="19"/>
  <c r="C17" i="19"/>
  <c r="B15" i="19"/>
  <c r="E14" i="19"/>
  <c r="F14" i="19" s="1"/>
  <c r="D14" i="19"/>
  <c r="C14" i="19"/>
  <c r="B14" i="19"/>
  <c r="E13" i="19"/>
  <c r="F13" i="19" s="1"/>
  <c r="D13" i="19"/>
  <c r="C13" i="19"/>
  <c r="B13" i="19"/>
  <c r="E12" i="19"/>
  <c r="D12" i="19"/>
  <c r="C12" i="19"/>
  <c r="B12" i="19"/>
  <c r="E11" i="19"/>
  <c r="F11" i="19"/>
  <c r="D11" i="19"/>
  <c r="C11" i="19"/>
  <c r="B11" i="19"/>
  <c r="E10" i="19"/>
  <c r="F10" i="19" s="1"/>
  <c r="D10" i="19"/>
  <c r="C10" i="19"/>
  <c r="B10" i="19"/>
  <c r="E9" i="19"/>
  <c r="F9" i="19"/>
  <c r="D9" i="19"/>
  <c r="C9" i="19"/>
  <c r="B9" i="19"/>
  <c r="C8" i="19"/>
  <c r="H6" i="19"/>
  <c r="D6" i="18"/>
  <c r="D9" i="18"/>
  <c r="H6" i="17"/>
  <c r="B8" i="17"/>
  <c r="C8" i="17"/>
  <c r="E8" i="17"/>
  <c r="F8" i="17" s="1"/>
  <c r="D8" i="17"/>
  <c r="B9" i="17"/>
  <c r="C9" i="17"/>
  <c r="E9" i="17"/>
  <c r="F9" i="17" s="1"/>
  <c r="D9" i="17"/>
  <c r="B10" i="17"/>
  <c r="C10" i="17"/>
  <c r="E10" i="17"/>
  <c r="F10" i="17" s="1"/>
  <c r="D10" i="17"/>
  <c r="B11" i="17"/>
  <c r="C11" i="17"/>
  <c r="E11" i="17"/>
  <c r="F11" i="17" s="1"/>
  <c r="D11" i="17"/>
  <c r="B12" i="17"/>
  <c r="C12" i="17"/>
  <c r="E12" i="17"/>
  <c r="F12" i="17"/>
  <c r="D12" i="17"/>
  <c r="B13" i="17"/>
  <c r="C13" i="17"/>
  <c r="E13" i="17"/>
  <c r="F13" i="17" s="1"/>
  <c r="D13" i="17"/>
  <c r="B14" i="17"/>
  <c r="C14" i="17"/>
  <c r="E14" i="17"/>
  <c r="F14" i="17" s="1"/>
  <c r="D14" i="17"/>
  <c r="B15" i="17"/>
  <c r="C17" i="17"/>
  <c r="E17" i="17"/>
  <c r="F17" i="17" s="1"/>
  <c r="B18" i="17"/>
  <c r="C18" i="17"/>
  <c r="D18" i="17"/>
  <c r="E18" i="17"/>
  <c r="F18" i="17" s="1"/>
  <c r="C19" i="17"/>
  <c r="D19" i="17"/>
  <c r="E19" i="17"/>
  <c r="F19" i="17" s="1"/>
  <c r="B20" i="17"/>
  <c r="C20" i="17"/>
  <c r="D20" i="17"/>
  <c r="E20" i="17"/>
  <c r="F20" i="17" s="1"/>
  <c r="B21" i="17"/>
  <c r="C21" i="17"/>
  <c r="D21" i="17"/>
  <c r="E21" i="17"/>
  <c r="F21" i="17" s="1"/>
  <c r="B22" i="17"/>
  <c r="C22" i="17"/>
  <c r="D22" i="17"/>
  <c r="E22" i="17"/>
  <c r="F22" i="17" s="1"/>
  <c r="B23" i="17"/>
  <c r="C23" i="17"/>
  <c r="D23" i="17"/>
  <c r="E23" i="17"/>
  <c r="F23" i="17" s="1"/>
  <c r="B24" i="17"/>
  <c r="C24" i="17"/>
  <c r="D24" i="17"/>
  <c r="E24" i="17"/>
  <c r="F24" i="17" s="1"/>
  <c r="B27" i="17"/>
  <c r="C27" i="17"/>
  <c r="E27" i="17"/>
  <c r="F27" i="17" s="1"/>
  <c r="B28" i="17"/>
  <c r="C28" i="17"/>
  <c r="D28" i="17"/>
  <c r="E28" i="17"/>
  <c r="F28" i="17" s="1"/>
  <c r="B29" i="17"/>
  <c r="C29" i="17"/>
  <c r="D29" i="17"/>
  <c r="E29" i="17"/>
  <c r="F29" i="17" s="1"/>
  <c r="C30" i="17"/>
  <c r="F30" i="17"/>
  <c r="B31" i="17"/>
  <c r="C31" i="17"/>
  <c r="E31" i="17"/>
  <c r="F31" i="17"/>
  <c r="D31" i="17"/>
  <c r="B32" i="17"/>
  <c r="C32" i="17"/>
  <c r="E32" i="17"/>
  <c r="F32" i="17" s="1"/>
  <c r="D32" i="17"/>
  <c r="B33" i="17"/>
  <c r="C33" i="17"/>
  <c r="E33" i="17"/>
  <c r="F33" i="17" s="1"/>
  <c r="D33" i="17"/>
  <c r="B34" i="17"/>
  <c r="C34" i="17"/>
  <c r="E34" i="17"/>
  <c r="F34" i="17" s="1"/>
  <c r="D34" i="17"/>
  <c r="B35" i="17"/>
  <c r="C35" i="17"/>
  <c r="E35" i="17"/>
  <c r="F35" i="17" s="1"/>
  <c r="D35" i="17"/>
  <c r="B36" i="17"/>
  <c r="C36" i="17"/>
  <c r="E36" i="17"/>
  <c r="F36" i="17"/>
  <c r="D36" i="17"/>
  <c r="B37" i="17"/>
  <c r="C37" i="17"/>
  <c r="E37" i="17"/>
  <c r="F37" i="17" s="1"/>
  <c r="D37" i="17"/>
  <c r="A40" i="17"/>
  <c r="A49" i="17"/>
  <c r="C49" i="17"/>
  <c r="C40" i="17"/>
  <c r="E40" i="17"/>
  <c r="F40" i="17" s="1"/>
  <c r="A41" i="17"/>
  <c r="B41" i="17"/>
  <c r="C41" i="17"/>
  <c r="D41" i="17"/>
  <c r="E41" i="17"/>
  <c r="F41" i="17" s="1"/>
  <c r="A42" i="17"/>
  <c r="A51" i="17"/>
  <c r="C51" i="17"/>
  <c r="C42" i="17"/>
  <c r="F42" i="17"/>
  <c r="D42" i="17"/>
  <c r="E42" i="17"/>
  <c r="A43" i="17"/>
  <c r="A52" i="17"/>
  <c r="C52" i="17"/>
  <c r="B43" i="17"/>
  <c r="C43" i="17"/>
  <c r="D43" i="17"/>
  <c r="E43" i="17"/>
  <c r="F43" i="17"/>
  <c r="A44" i="17"/>
  <c r="A53" i="17"/>
  <c r="C53" i="17"/>
  <c r="E53" i="17"/>
  <c r="F53" i="17" s="1"/>
  <c r="B44" i="17"/>
  <c r="D44" i="17"/>
  <c r="E44" i="17"/>
  <c r="A45" i="17"/>
  <c r="C45" i="17"/>
  <c r="B45" i="17"/>
  <c r="D45" i="17"/>
  <c r="E45" i="17"/>
  <c r="F45" i="17" s="1"/>
  <c r="A46" i="17"/>
  <c r="C46" i="17"/>
  <c r="B46" i="17"/>
  <c r="D46" i="17"/>
  <c r="E46" i="17"/>
  <c r="F46" i="17" s="1"/>
  <c r="E49" i="17"/>
  <c r="F49" i="17" s="1"/>
  <c r="A50" i="17"/>
  <c r="C50" i="17"/>
  <c r="E50" i="17"/>
  <c r="F50" i="17" s="1"/>
  <c r="B50" i="17"/>
  <c r="D50" i="17"/>
  <c r="D51" i="17"/>
  <c r="E51" i="17"/>
  <c r="F51" i="17" s="1"/>
  <c r="B52" i="17"/>
  <c r="D52" i="17"/>
  <c r="E52" i="17"/>
  <c r="F52" i="17" s="1"/>
  <c r="B53" i="17"/>
  <c r="D53" i="17"/>
  <c r="B54" i="17"/>
  <c r="D54" i="17"/>
  <c r="E54" i="17"/>
  <c r="F54" i="17" s="1"/>
  <c r="A55" i="17"/>
  <c r="C55" i="17"/>
  <c r="B55" i="17"/>
  <c r="D55" i="17"/>
  <c r="E55" i="17"/>
  <c r="F55" i="17" s="1"/>
  <c r="C56" i="17"/>
  <c r="F56" i="17"/>
  <c r="E56" i="17"/>
  <c r="D65" i="17"/>
  <c r="D86" i="17"/>
  <c r="F70" i="17"/>
  <c r="C78" i="17"/>
  <c r="D74" i="17"/>
  <c r="D76" i="17"/>
  <c r="D78" i="17"/>
  <c r="D79" i="17"/>
  <c r="D81" i="17"/>
  <c r="D90" i="17"/>
  <c r="D91" i="17"/>
  <c r="E78" i="17"/>
  <c r="C90" i="17"/>
  <c r="E90" i="17"/>
  <c r="F44" i="17"/>
  <c r="C44" i="17"/>
  <c r="A54" i="17"/>
  <c r="C54" i="17"/>
  <c r="D88" i="17"/>
  <c r="E54" i="19"/>
  <c r="F54" i="19"/>
  <c r="F35" i="19"/>
  <c r="D88" i="19"/>
  <c r="D89" i="19"/>
  <c r="F17" i="19"/>
  <c r="F12" i="19"/>
  <c r="D84" i="19"/>
  <c r="C44" i="19"/>
  <c r="F44" i="19"/>
  <c r="F53" i="19"/>
  <c r="F23" i="19"/>
  <c r="F22" i="19"/>
  <c r="F43" i="19"/>
  <c r="F42" i="19"/>
  <c r="F21" i="19"/>
  <c r="F50" i="19"/>
  <c r="F20" i="19"/>
  <c r="C41" i="19"/>
  <c r="F41" i="19"/>
  <c r="F49" i="19"/>
  <c r="C40" i="19"/>
  <c r="F40" i="19"/>
  <c r="F19" i="19"/>
  <c r="F18" i="19"/>
  <c r="F38" i="19"/>
  <c r="F8" i="19"/>
  <c r="C88" i="19"/>
  <c r="E88" i="19"/>
  <c r="E76" i="19"/>
  <c r="A48" i="19"/>
  <c r="C48" i="19"/>
  <c r="A52" i="19"/>
  <c r="C52" i="19"/>
  <c r="A47" i="19"/>
  <c r="C47" i="19"/>
  <c r="A51" i="19"/>
  <c r="C51" i="19"/>
  <c r="F51" i="19"/>
  <c r="F59" i="17" l="1"/>
  <c r="H59" i="17" s="1"/>
  <c r="F56" i="19"/>
  <c r="F67" i="19" s="1"/>
  <c r="H56" i="19"/>
  <c r="F2" i="19" s="1"/>
  <c r="F61" i="17"/>
  <c r="F59" i="19"/>
  <c r="F58" i="17"/>
  <c r="F57" i="19"/>
  <c r="F58" i="19" s="1"/>
  <c r="C72" i="19" l="1"/>
  <c r="C81" i="17"/>
  <c r="E81" i="17" s="1"/>
  <c r="H58" i="19"/>
  <c r="F66" i="19"/>
  <c r="O57" i="19"/>
  <c r="F60" i="17"/>
  <c r="H58" i="17"/>
  <c r="F69" i="17"/>
  <c r="C74" i="17"/>
  <c r="E72" i="19"/>
  <c r="C84" i="19"/>
  <c r="E84" i="19" s="1"/>
  <c r="C79" i="17"/>
  <c r="O60" i="17"/>
  <c r="H61" i="17"/>
  <c r="E9" i="18"/>
  <c r="F9" i="18" s="1"/>
  <c r="G2" i="17"/>
  <c r="H57" i="19"/>
  <c r="G2" i="19" s="1"/>
  <c r="C79" i="19"/>
  <c r="E79" i="19" s="1"/>
  <c r="H59" i="19"/>
  <c r="C77" i="19"/>
  <c r="E77" i="19" l="1"/>
  <c r="C89" i="19"/>
  <c r="E89" i="19" s="1"/>
  <c r="E6" i="18"/>
  <c r="F6" i="18" s="1"/>
  <c r="F2" i="17"/>
  <c r="H60" i="17"/>
  <c r="O59" i="17"/>
  <c r="F68" i="17"/>
  <c r="F12" i="18"/>
  <c r="C91" i="17"/>
  <c r="E91" i="17" s="1"/>
  <c r="E79" i="17"/>
  <c r="O59" i="19"/>
  <c r="F16" i="18"/>
  <c r="H2" i="17"/>
  <c r="E81" i="19"/>
  <c r="C74" i="19"/>
  <c r="E66" i="19"/>
  <c r="F69" i="19"/>
  <c r="H2" i="19"/>
  <c r="H61" i="19"/>
  <c r="H62" i="19" s="1"/>
  <c r="O61" i="19" s="1"/>
  <c r="O58" i="19"/>
  <c r="E74" i="17"/>
  <c r="E83" i="17" s="1"/>
  <c r="C86" i="17"/>
  <c r="E86" i="17" s="1"/>
  <c r="O60" i="19" l="1"/>
  <c r="O62" i="19" s="1"/>
  <c r="O63" i="19"/>
  <c r="O64" i="19" s="1"/>
  <c r="O65" i="19" s="1"/>
  <c r="O61" i="17"/>
  <c r="O62" i="17" s="1"/>
  <c r="G41" i="19"/>
  <c r="G21" i="19"/>
  <c r="G69" i="19"/>
  <c r="G49" i="19"/>
  <c r="G51" i="19"/>
  <c r="G54" i="19"/>
  <c r="G13" i="19"/>
  <c r="G42" i="19"/>
  <c r="G68" i="19"/>
  <c r="G40" i="19"/>
  <c r="G47" i="19"/>
  <c r="G28" i="19"/>
  <c r="G8" i="19"/>
  <c r="G9" i="19"/>
  <c r="G22" i="19"/>
  <c r="G32" i="19"/>
  <c r="G52" i="19"/>
  <c r="G53" i="19"/>
  <c r="G50" i="19"/>
  <c r="G44" i="19"/>
  <c r="G11" i="19"/>
  <c r="G30" i="19"/>
  <c r="G18" i="19"/>
  <c r="G27" i="19"/>
  <c r="G10" i="19"/>
  <c r="G19" i="19"/>
  <c r="G29" i="19"/>
  <c r="G34" i="19"/>
  <c r="G20" i="19"/>
  <c r="G17" i="19"/>
  <c r="G23" i="19"/>
  <c r="G38" i="19"/>
  <c r="G14" i="19"/>
  <c r="G35" i="19"/>
  <c r="G12" i="19"/>
  <c r="G43" i="19"/>
  <c r="G39" i="19"/>
  <c r="G48" i="19"/>
  <c r="G56" i="19"/>
  <c r="G31" i="19"/>
  <c r="G24" i="19"/>
  <c r="G33" i="19"/>
  <c r="G67" i="19"/>
  <c r="G58" i="19"/>
  <c r="G57" i="19"/>
  <c r="G59" i="19"/>
  <c r="E74" i="19"/>
  <c r="C86" i="19"/>
  <c r="E86" i="19" s="1"/>
  <c r="C76" i="17"/>
  <c r="F71" i="17"/>
  <c r="G68" i="17"/>
  <c r="E68" i="17"/>
  <c r="G66" i="19"/>
  <c r="F11" i="18"/>
  <c r="F18" i="18"/>
  <c r="O63" i="17" l="1"/>
  <c r="O64" i="17" s="1"/>
  <c r="P65" i="19"/>
  <c r="E2" i="19"/>
  <c r="G31" i="17"/>
  <c r="G52" i="17"/>
  <c r="G30" i="17"/>
  <c r="G12" i="17"/>
  <c r="G27" i="17"/>
  <c r="G9" i="17"/>
  <c r="G10" i="17"/>
  <c r="G43" i="17"/>
  <c r="G11" i="17"/>
  <c r="G29" i="17"/>
  <c r="G44" i="17"/>
  <c r="G71" i="17"/>
  <c r="G35" i="17"/>
  <c r="G28" i="17"/>
  <c r="G41" i="17"/>
  <c r="G19" i="17"/>
  <c r="G34" i="17"/>
  <c r="G70" i="17"/>
  <c r="G56" i="17"/>
  <c r="G32" i="17"/>
  <c r="G13" i="17"/>
  <c r="G46" i="17"/>
  <c r="G18" i="17"/>
  <c r="G53" i="17"/>
  <c r="G14" i="17"/>
  <c r="G54" i="17"/>
  <c r="G37" i="17"/>
  <c r="G55" i="17"/>
  <c r="G23" i="17"/>
  <c r="G51" i="17"/>
  <c r="G40" i="17"/>
  <c r="G33" i="17"/>
  <c r="G59" i="17"/>
  <c r="G45" i="17"/>
  <c r="G36" i="17"/>
  <c r="G42" i="17"/>
  <c r="G50" i="17"/>
  <c r="G49" i="17"/>
  <c r="G24" i="17"/>
  <c r="G8" i="17"/>
  <c r="G17" i="17"/>
  <c r="G21" i="17"/>
  <c r="G22" i="17"/>
  <c r="G20" i="17"/>
  <c r="G61" i="17"/>
  <c r="G58" i="17"/>
  <c r="G69" i="17"/>
  <c r="G60" i="17"/>
  <c r="E76" i="17"/>
  <c r="C88" i="17"/>
  <c r="E88" i="17" s="1"/>
  <c r="F13" i="18"/>
  <c r="F15" i="18" l="1"/>
  <c r="O65" i="17"/>
  <c r="O66" i="17"/>
  <c r="O67" i="17" s="1"/>
  <c r="P67" i="17" l="1"/>
  <c r="E2" i="17"/>
  <c r="F17" i="18"/>
  <c r="F19" i="18"/>
  <c r="F20" i="18" l="1"/>
  <c r="F21" i="18" s="1"/>
  <c r="G19" i="18" s="1"/>
  <c r="F22" i="18" l="1"/>
  <c r="F23" i="18" l="1"/>
  <c r="G23" i="18" l="1"/>
  <c r="F27" i="18"/>
  <c r="G9" i="18"/>
  <c r="G6" i="18"/>
  <c r="G16" i="18"/>
  <c r="G12" i="18"/>
  <c r="G11" i="18"/>
  <c r="G18" i="18"/>
  <c r="G13" i="18"/>
  <c r="G15" i="18"/>
  <c r="G17" i="18"/>
  <c r="G21" i="18"/>
  <c r="G20" i="18"/>
  <c r="G22" i="18"/>
  <c r="F28" i="18" l="1"/>
  <c r="F29" i="18" s="1"/>
  <c r="F30" i="18" l="1"/>
  <c r="F31" i="18" s="1"/>
  <c r="H29" i="18" l="1"/>
  <c r="G29" i="18"/>
  <c r="F32" i="18"/>
  <c r="F34" i="18"/>
  <c r="F35" i="18" s="1"/>
</calcChain>
</file>

<file path=xl/sharedStrings.xml><?xml version="1.0" encoding="utf-8"?>
<sst xmlns="http://schemas.openxmlformats.org/spreadsheetml/2006/main" count="454" uniqueCount="207">
  <si>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</si>
  <si>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</si>
  <si>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</si>
  <si>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</si>
  <si>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</si>
  <si>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</si>
  <si>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</si>
  <si>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</si>
  <si>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</si>
  <si>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</si>
  <si>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</si>
  <si>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</si>
  <si>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</si>
  <si>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</si>
  <si>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</si>
  <si>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</si>
  <si>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</si>
  <si>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</si>
  <si>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1112431</t>
  </si>
  <si>
    <t>NESTLÉ</t>
  </si>
  <si>
    <t>g</t>
  </si>
  <si>
    <t>ROSQUETE MINI CAKE SUPER ESPONJA CARAMELO 60G</t>
  </si>
  <si>
    <t>FAS</t>
  </si>
  <si>
    <t>907000001</t>
  </si>
  <si>
    <t>910000008</t>
  </si>
  <si>
    <t>CHOCOLATE BLANCO RALLADO (KILO)</t>
  </si>
  <si>
    <t>0510194</t>
  </si>
  <si>
    <t>96344</t>
  </si>
  <si>
    <t>95717</t>
  </si>
  <si>
    <t>EMPAQUE</t>
  </si>
  <si>
    <t>ud</t>
  </si>
  <si>
    <t>ETIQ. GENERICA PEQUEÑA V-274 (UND)</t>
  </si>
  <si>
    <t>ETIQ.FECHA VENCIMIENTO BLANCO (ROLLO)</t>
  </si>
  <si>
    <t>ETIQUETA BLANCA 2 5/8X1 15/16 (UND)</t>
  </si>
  <si>
    <t>1</t>
  </si>
  <si>
    <t xml:space="preserve">ETIQUETA SELLO DE SEGURIDAD (ROLLO:1000 U) </t>
  </si>
  <si>
    <t>2</t>
  </si>
  <si>
    <t>1950699</t>
  </si>
  <si>
    <t>BASE PARA ROSQUETE (UND)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</si>
  <si>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</si>
  <si>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</si>
  <si>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</si>
  <si>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</si>
  <si>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</si>
  <si>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</si>
  <si>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</si>
  <si>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</si>
  <si>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</si>
  <si>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</si>
  <si>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</si>
  <si>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</si>
  <si>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</si>
  <si>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</si>
  <si>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</si>
  <si>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</si>
  <si>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</si>
  <si>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</si>
  <si>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</si>
  <si>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</si>
  <si>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</si>
  <si>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</si>
  <si>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</si>
  <si>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</si>
  <si>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</si>
  <si>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</si>
  <si>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0410154</t>
  </si>
  <si>
    <t>MATERIA PRIMA SEMIELABORADOS</t>
  </si>
  <si>
    <t xml:space="preserve">UND </t>
  </si>
  <si>
    <t>UND</t>
  </si>
  <si>
    <t>1950942</t>
  </si>
  <si>
    <t>121208</t>
  </si>
  <si>
    <t>0702077</t>
  </si>
  <si>
    <t>0702007</t>
  </si>
  <si>
    <t>0702123</t>
  </si>
  <si>
    <t>702174</t>
  </si>
  <si>
    <t>701096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</si>
  <si>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</si>
  <si>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</si>
  <si>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</si>
  <si>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</si>
  <si>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</si>
  <si>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</si>
  <si>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</si>
  <si>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</si>
  <si>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</si>
  <si>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</si>
  <si>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</si>
  <si>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</si>
  <si>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</si>
  <si>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</si>
  <si>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</si>
  <si>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</si>
  <si>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</si>
  <si>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</si>
  <si>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</si>
  <si>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</si>
  <si>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</si>
  <si>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</si>
  <si>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</si>
  <si>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</si>
  <si>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</si>
  <si>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</si>
  <si>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</si>
  <si>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</si>
  <si>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</si>
  <si>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</si>
  <si>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</si>
  <si>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</si>
  <si>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</si>
  <si>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</si>
  <si>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</si>
  <si>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</si>
  <si>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</si>
  <si>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</si>
  <si>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</si>
  <si>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</si>
  <si>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</si>
  <si>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Mini cake Caramelo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</si>
  <si>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</si>
  <si>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</si>
  <si>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</si>
  <si>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</si>
  <si>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</si>
  <si>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</si>
  <si>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</si>
  <si>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</si>
  <si>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</si>
  <si>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</si>
  <si>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</si>
  <si>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</si>
  <si>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</si>
  <si>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</si>
  <si>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</si>
  <si>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</si>
  <si>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</si>
  <si>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</si>
  <si>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</si>
  <si>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11400066</t>
  </si>
  <si>
    <t>MANJAR LECHE CONDENSADA (PAQ: 6 K)</t>
  </si>
  <si>
    <t xml:space="preserve">20100162 </t>
  </si>
  <si>
    <t>51400047</t>
  </si>
  <si>
    <t>QUEQUERA MINI CAKE (CAJA:100UND)</t>
  </si>
  <si>
    <t>M Y L</t>
  </si>
  <si>
    <t>MP10007</t>
  </si>
  <si>
    <t>SE00032</t>
  </si>
  <si>
    <t>EM10288</t>
  </si>
  <si>
    <t>EM10119</t>
  </si>
  <si>
    <t>EM10004</t>
  </si>
  <si>
    <t>EM10011</t>
  </si>
  <si>
    <t>EM10135</t>
  </si>
  <si>
    <t>EM10035</t>
  </si>
  <si>
    <t>EM10124</t>
  </si>
  <si>
    <t>SE00340</t>
  </si>
  <si>
    <t>ROSQUETE NUCLEO VAINILLA DAWN REDONDO 70g</t>
  </si>
  <si>
    <t>EMPAQUE DE RELLENO CARAMELO SPOON</t>
  </si>
  <si>
    <t>SE00501</t>
  </si>
  <si>
    <t>BUTTERCREAM DE MANJAR</t>
  </si>
  <si>
    <t>902000179</t>
  </si>
  <si>
    <t>MACAMADIA CARAMELIZADA CON CHOCOLATE BLANCO</t>
  </si>
  <si>
    <t>910000003</t>
  </si>
  <si>
    <t>SE00254</t>
  </si>
  <si>
    <t>SE00502</t>
  </si>
  <si>
    <t>CARAMELO CON BRILLO</t>
  </si>
  <si>
    <t>MODI 61 COLONES X MIN</t>
  </si>
  <si>
    <t xml:space="preserve">Gf 58 colones min </t>
  </si>
  <si>
    <t>,</t>
  </si>
  <si>
    <t xml:space="preserve">Gramos </t>
  </si>
  <si>
    <t>NUEVO</t>
  </si>
  <si>
    <t>Gramo</t>
  </si>
  <si>
    <t>902000181</t>
  </si>
  <si>
    <t>902000180</t>
  </si>
  <si>
    <t>QUEQUERA MINI CAKE (CAJA:100 UND)</t>
  </si>
  <si>
    <t>Und</t>
  </si>
  <si>
    <t>907000337</t>
  </si>
  <si>
    <t>SE00393</t>
  </si>
  <si>
    <t>Javier Tong, Chef</t>
  </si>
  <si>
    <t>Esteban Cartin, Gte Manufactura</t>
  </si>
  <si>
    <t>Figuras</t>
  </si>
  <si>
    <t># Código Netsuite</t>
  </si>
  <si>
    <t>Ensamble</t>
  </si>
  <si>
    <t>LECHES PASTEURIZADA CON AGUA</t>
  </si>
  <si>
    <t>HUMEDECER</t>
  </si>
  <si>
    <t>1 CUCHARADA</t>
  </si>
  <si>
    <t>Decoración</t>
  </si>
  <si>
    <t/>
  </si>
  <si>
    <t>CREMA DULCE LECHE</t>
  </si>
  <si>
    <t>Empaque</t>
  </si>
  <si>
    <t>ETIPLAST</t>
  </si>
  <si>
    <t>CONTROL DE CAMBIOS</t>
  </si>
  <si>
    <t>ESP-RE-FIF-010</t>
  </si>
  <si>
    <t xml:space="preserve">Para pegar </t>
  </si>
  <si>
    <t>1/8 taza</t>
  </si>
  <si>
    <t xml:space="preserve">1 cucharada </t>
  </si>
  <si>
    <t>ROSQUETE NUCLEO VAINILLA DAWN REDONDO 80g</t>
  </si>
  <si>
    <t xml:space="preserve">2, Se actualizan datos de la receta, procedimiento y peso final </t>
  </si>
  <si>
    <t>SE00699</t>
  </si>
  <si>
    <t xml:space="preserve">3, Se actualiza boquilla </t>
  </si>
  <si>
    <t>BOQUILLA #2B</t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</si>
  <si>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panza para nivelar), humeder los rosquetes con mezcla de tres leches y rellenar con caramelo, chocolate blanco y macadamia. Hacer un circulo de manjar sobre la orla para inmobilizar el quequito. Pegar el mini cake en la orla.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</si>
  <si>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una manga y con la boquilla #48 cubrir todo  el costado, de manera que se cubran todas la paredes hasta llegar al borde y alisar la parte superior con una espatula. </t>
    </r>
  </si>
  <si>
    <r>
      <rPr>
        <b/>
        <sz val="16"/>
        <rFont val="Arial"/>
        <family val="2"/>
      </rPr>
      <t xml:space="preserve">3.- </t>
    </r>
    <r>
      <rPr>
        <sz val="16"/>
        <rFont val="Arial"/>
        <family val="2"/>
      </rPr>
      <t xml:space="preserve">Colocar el Caramelo con brillo y Colocar la macadamia caramilizada con chocolate </t>
    </r>
  </si>
  <si>
    <r>
      <rPr>
        <b/>
        <sz val="16"/>
        <rFont val="Arial"/>
        <family val="2"/>
      </rPr>
      <t xml:space="preserve">4.- </t>
    </r>
    <r>
      <rPr>
        <sz val="16"/>
        <rFont val="Arial"/>
        <family val="2"/>
      </rPr>
      <t>Tapar y etiquetar. Colocar los sellos de seguridad en lados opuestos sobre uno de los sello de seguridad pegamos la cinta generica.  La fecha de vencimiento,  y en el lado inferior etiqueta de ingredientes.</t>
    </r>
  </si>
  <si>
    <t xml:space="preserve">PROCESADO DE MACADAMIA CARAMELIZADA 
CON CHOCOLATE BLANCO </t>
  </si>
  <si>
    <t xml:space="preserve">PROCESADO DE MACADAMIA CARAMELIZADA
CON CHOCOLATE BLANCO </t>
  </si>
  <si>
    <t>NUECES
INDUST</t>
  </si>
  <si>
    <t>03</t>
  </si>
  <si>
    <t>30800094(PTI00080) MINI CAKE CARAMELO 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</si>
</sst>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000"/>
    <numFmt numFmtId="171" formatCode="0.0"/>
  </numFmts>
  <fonts count="5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47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0">
    <xf numFmtId="0" fontId="0" fillId="0" borderId="0" xfId="0"/>
    <xf numFmtId="0" fontId="8" fillId="2" borderId="2" xfId="55" applyFont="1" applyFill="1" applyBorder="1" applyAlignment="1">
      <alignment horizontal="right"/>
    </xf>
    <xf numFmtId="0" fontId="6" fillId="2" borderId="3" xfId="55" applyFont="1" applyFill="1" applyBorder="1" applyAlignment="1">
      <alignment horizontal="center"/>
    </xf>
    <xf numFmtId="0" fontId="8" fillId="2" borderId="4" xfId="55" applyFont="1" applyFill="1" applyBorder="1" applyAlignment="1">
      <alignment horizontal="right"/>
    </xf>
    <xf numFmtId="49" fontId="6" fillId="2" borderId="5" xfId="55" applyNumberFormat="1" applyFont="1" applyFill="1" applyBorder="1" applyAlignment="1">
      <alignment horizontal="center"/>
    </xf>
    <xf numFmtId="0" fontId="4" fillId="9" borderId="0" xfId="0" applyFont="1" applyFill="1" applyAlignment="1">
      <alignment vertical="center"/>
    </xf>
    <xf numFmtId="0" fontId="5" fillId="10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4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2" applyNumberFormat="1" applyFont="1" applyFill="1" applyAlignment="1">
      <alignment horizontal="center" vertical="center"/>
    </xf>
    <xf numFmtId="4" fontId="5" fillId="0" borderId="0" xfId="2" applyNumberFormat="1" applyFont="1" applyFill="1" applyAlignment="1">
      <alignment horizontal="center" vertical="center"/>
    </xf>
    <xf numFmtId="10" fontId="5" fillId="0" borderId="0" xfId="57" applyNumberFormat="1" applyFont="1" applyFill="1" applyAlignment="1">
      <alignment vertical="center"/>
    </xf>
    <xf numFmtId="49" fontId="5" fillId="0" borderId="0" xfId="0" applyNumberFormat="1" applyFont="1" applyAlignment="1">
      <alignment horizontal="center" vertical="center"/>
    </xf>
    <xf numFmtId="10" fontId="10" fillId="0" borderId="0" xfId="57" applyNumberFormat="1" applyFont="1" applyFill="1" applyAlignment="1">
      <alignment vertical="center"/>
    </xf>
    <xf numFmtId="0" fontId="4" fillId="0" borderId="0" xfId="0" applyFont="1"/>
    <xf numFmtId="49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" fontId="5" fillId="0" borderId="0" xfId="1" applyNumberFormat="1" applyFont="1" applyFill="1" applyAlignment="1">
      <alignment vertical="center"/>
    </xf>
    <xf numFmtId="43" fontId="17" fillId="0" borderId="0" xfId="1" applyFont="1" applyFill="1" applyAlignment="1">
      <alignment horizontal="center" vertical="center"/>
    </xf>
    <xf numFmtId="10" fontId="10" fillId="4" borderId="23" xfId="57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43" fontId="17" fillId="4" borderId="24" xfId="1" applyFont="1" applyFill="1" applyBorder="1" applyAlignment="1">
      <alignment horizontal="center" vertical="center"/>
    </xf>
    <xf numFmtId="43" fontId="19" fillId="0" borderId="0" xfId="1" applyFont="1" applyFill="1" applyBorder="1" applyAlignment="1">
      <alignment horizontal="right"/>
    </xf>
    <xf numFmtId="0" fontId="4" fillId="4" borderId="24" xfId="0" applyFont="1" applyFill="1" applyBorder="1" applyAlignment="1">
      <alignment vertical="center"/>
    </xf>
    <xf numFmtId="10" fontId="10" fillId="4" borderId="24" xfId="57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9" fontId="48" fillId="0" borderId="0" xfId="57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17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5" xfId="0" applyFont="1" applyBorder="1" applyAlignment="1">
      <alignment horizontal="right"/>
    </xf>
    <xf numFmtId="43" fontId="22" fillId="5" borderId="26" xfId="1" applyFont="1" applyFill="1" applyBorder="1" applyAlignment="1">
      <alignment horizontal="right"/>
    </xf>
    <xf numFmtId="43" fontId="22" fillId="0" borderId="0" xfId="1" applyFont="1" applyFill="1" applyBorder="1" applyAlignment="1">
      <alignment horizontal="right"/>
    </xf>
    <xf numFmtId="43" fontId="5" fillId="0" borderId="4" xfId="1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7" fillId="0" borderId="0" xfId="2" applyNumberFormat="1" applyFont="1" applyFill="1" applyAlignment="1">
      <alignment horizontal="center" vertical="center"/>
    </xf>
    <xf numFmtId="10" fontId="24" fillId="0" borderId="0" xfId="57" applyNumberFormat="1" applyFont="1" applyFill="1" applyAlignment="1">
      <alignment horizontal="right"/>
    </xf>
    <xf numFmtId="168" fontId="5" fillId="4" borderId="4" xfId="1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5" fillId="6" borderId="4" xfId="1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0" fillId="4" borderId="2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1" applyNumberFormat="1" applyFont="1" applyFill="1" applyBorder="1" applyAlignment="1">
      <alignment horizontal="center"/>
    </xf>
    <xf numFmtId="2" fontId="21" fillId="0" borderId="0" xfId="1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vertical="center"/>
    </xf>
    <xf numFmtId="10" fontId="4" fillId="0" borderId="0" xfId="57" applyNumberFormat="1" applyFont="1" applyFill="1" applyAlignment="1">
      <alignment vertical="center"/>
    </xf>
    <xf numFmtId="4" fontId="4" fillId="0" borderId="0" xfId="1" applyNumberFormat="1" applyFont="1" applyFill="1" applyAlignment="1">
      <alignment vertical="center"/>
    </xf>
    <xf numFmtId="43" fontId="22" fillId="4" borderId="8" xfId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 vertical="center"/>
    </xf>
    <xf numFmtId="10" fontId="28" fillId="0" borderId="0" xfId="1" applyNumberFormat="1" applyFont="1" applyFill="1" applyAlignment="1">
      <alignment vertical="center"/>
    </xf>
    <xf numFmtId="10" fontId="10" fillId="0" borderId="0" xfId="57" applyNumberFormat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43" fontId="30" fillId="0" borderId="0" xfId="1" applyFont="1" applyFill="1" applyAlignment="1">
      <alignment vertical="center"/>
    </xf>
    <xf numFmtId="4" fontId="31" fillId="0" borderId="0" xfId="2" applyNumberFormat="1" applyFont="1" applyFill="1" applyAlignment="1">
      <alignment horizontal="center" vertical="center" wrapText="1"/>
    </xf>
    <xf numFmtId="9" fontId="4" fillId="0" borderId="0" xfId="1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4" fontId="5" fillId="7" borderId="26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1" applyFont="1" applyFill="1" applyAlignment="1">
      <alignment vertical="center"/>
    </xf>
    <xf numFmtId="9" fontId="32" fillId="0" borderId="0" xfId="1" applyNumberFormat="1" applyFont="1" applyFill="1" applyAlignment="1">
      <alignment vertical="center"/>
    </xf>
    <xf numFmtId="4" fontId="5" fillId="0" borderId="0" xfId="1" applyNumberFormat="1" applyFont="1" applyFill="1" applyAlignment="1">
      <alignment horizontal="center" vertical="center"/>
    </xf>
    <xf numFmtId="10" fontId="25" fillId="0" borderId="0" xfId="57" applyNumberFormat="1" applyFont="1" applyFill="1" applyAlignment="1">
      <alignment vertical="center"/>
    </xf>
    <xf numFmtId="43" fontId="25" fillId="0" borderId="0" xfId="1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1" applyFont="1" applyFill="1" applyBorder="1"/>
    <xf numFmtId="10" fontId="25" fillId="0" borderId="0" xfId="57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4" fillId="0" borderId="0" xfId="1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23" fillId="0" borderId="0" xfId="0" applyFont="1"/>
    <xf numFmtId="0" fontId="37" fillId="0" borderId="28" xfId="0" applyFont="1" applyBorder="1" applyAlignment="1">
      <alignment horizontal="center" vertical="center" wrapText="1"/>
    </xf>
    <xf numFmtId="0" fontId="38" fillId="5" borderId="4" xfId="0" applyFont="1" applyFill="1" applyBorder="1" applyAlignment="1">
      <alignment horizontal="center"/>
    </xf>
    <xf numFmtId="0" fontId="38" fillId="5" borderId="4" xfId="0" applyFont="1" applyFill="1" applyBorder="1" applyAlignment="1">
      <alignment horizont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43" fontId="22" fillId="0" borderId="0" xfId="1" applyFont="1"/>
    <xf numFmtId="4" fontId="22" fillId="0" borderId="0" xfId="1" applyNumberFormat="1" applyFont="1" applyAlignment="1">
      <alignment horizontal="right"/>
    </xf>
    <xf numFmtId="9" fontId="22" fillId="0" borderId="0" xfId="57" applyFont="1" applyAlignment="1">
      <alignment horizontal="right"/>
    </xf>
    <xf numFmtId="49" fontId="22" fillId="0" borderId="0" xfId="2" applyNumberFormat="1" applyFont="1" applyAlignment="1">
      <alignment horizontal="center"/>
    </xf>
    <xf numFmtId="0" fontId="19" fillId="0" borderId="0" xfId="0" applyFont="1"/>
    <xf numFmtId="43" fontId="39" fillId="0" borderId="0" xfId="1" applyFont="1" applyFill="1" applyBorder="1" applyAlignment="1">
      <alignment horizontal="center"/>
    </xf>
    <xf numFmtId="0" fontId="39" fillId="0" borderId="0" xfId="0" applyFont="1"/>
    <xf numFmtId="4" fontId="39" fillId="0" borderId="0" xfId="2" applyNumberFormat="1" applyFont="1" applyFill="1" applyBorder="1"/>
    <xf numFmtId="4" fontId="39" fillId="0" borderId="0" xfId="2" applyNumberFormat="1" applyFont="1" applyFill="1" applyBorder="1" applyAlignment="1">
      <alignment horizontal="right"/>
    </xf>
    <xf numFmtId="9" fontId="20" fillId="0" borderId="0" xfId="57" applyFont="1" applyFill="1"/>
    <xf numFmtId="49" fontId="39" fillId="0" borderId="0" xfId="2" applyNumberFormat="1" applyFont="1" applyFill="1" applyBorder="1" applyAlignment="1">
      <alignment horizontal="center"/>
    </xf>
    <xf numFmtId="9" fontId="22" fillId="0" borderId="0" xfId="57" applyFont="1" applyFill="1" applyAlignment="1">
      <alignment vertical="center"/>
    </xf>
    <xf numFmtId="43" fontId="19" fillId="0" borderId="29" xfId="1" applyFont="1" applyFill="1" applyBorder="1" applyAlignment="1">
      <alignment horizontal="right"/>
    </xf>
    <xf numFmtId="9" fontId="20" fillId="0" borderId="0" xfId="1" applyNumberFormat="1" applyFont="1" applyFill="1" applyBorder="1"/>
    <xf numFmtId="4" fontId="20" fillId="0" borderId="0" xfId="1" applyNumberFormat="1" applyFont="1" applyFill="1" applyBorder="1" applyAlignment="1">
      <alignment horizontal="right"/>
    </xf>
    <xf numFmtId="10" fontId="19" fillId="0" borderId="0" xfId="57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10" fontId="22" fillId="0" borderId="0" xfId="57" applyNumberFormat="1" applyFont="1" applyFill="1" applyBorder="1" applyAlignment="1">
      <alignment horizontal="right"/>
    </xf>
    <xf numFmtId="169" fontId="24" fillId="0" borderId="0" xfId="1" applyNumberFormat="1" applyFont="1" applyFill="1"/>
    <xf numFmtId="0" fontId="22" fillId="0" borderId="0" xfId="57" applyNumberFormat="1" applyFont="1" applyFill="1" applyAlignment="1">
      <alignment vertical="center"/>
    </xf>
    <xf numFmtId="2" fontId="20" fillId="0" borderId="0" xfId="0" applyNumberFormat="1" applyFont="1" applyAlignment="1">
      <alignment horizontal="center"/>
    </xf>
    <xf numFmtId="0" fontId="40" fillId="0" borderId="0" xfId="0" applyFont="1" applyAlignment="1">
      <alignment horizontal="right"/>
    </xf>
    <xf numFmtId="10" fontId="22" fillId="0" borderId="0" xfId="57" applyNumberFormat="1" applyFont="1" applyFill="1"/>
    <xf numFmtId="0" fontId="19" fillId="4" borderId="8" xfId="0" applyFont="1" applyFill="1" applyBorder="1"/>
    <xf numFmtId="0" fontId="19" fillId="0" borderId="19" xfId="0" applyFont="1" applyBorder="1" applyAlignment="1">
      <alignment horizontal="right"/>
    </xf>
    <xf numFmtId="10" fontId="21" fillId="0" borderId="0" xfId="57" applyNumberFormat="1" applyFont="1" applyFill="1" applyBorder="1"/>
    <xf numFmtId="43" fontId="22" fillId="9" borderId="0" xfId="1" applyFont="1" applyFill="1" applyBorder="1" applyAlignment="1">
      <alignment horizontal="right"/>
    </xf>
    <xf numFmtId="10" fontId="22" fillId="0" borderId="0" xfId="57" applyNumberFormat="1" applyFont="1" applyFill="1" applyAlignment="1">
      <alignment vertical="center"/>
    </xf>
    <xf numFmtId="9" fontId="20" fillId="0" borderId="0" xfId="57" applyFont="1" applyFill="1" applyAlignment="1">
      <alignment horizontal="center"/>
    </xf>
    <xf numFmtId="2" fontId="42" fillId="0" borderId="0" xfId="0" applyNumberFormat="1" applyFont="1" applyAlignment="1">
      <alignment horizontal="center"/>
    </xf>
    <xf numFmtId="10" fontId="44" fillId="0" borderId="0" xfId="57" applyNumberFormat="1" applyFont="1" applyFill="1" applyAlignment="1">
      <alignment horizontal="right"/>
    </xf>
    <xf numFmtId="3" fontId="22" fillId="3" borderId="26" xfId="0" applyNumberFormat="1" applyFont="1" applyFill="1" applyBorder="1" applyAlignment="1">
      <alignment horizontal="center"/>
    </xf>
    <xf numFmtId="10" fontId="21" fillId="0" borderId="0" xfId="57" applyNumberFormat="1" applyFont="1" applyFill="1" applyAlignment="1">
      <alignment horizontal="right"/>
    </xf>
    <xf numFmtId="1" fontId="21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right"/>
    </xf>
    <xf numFmtId="10" fontId="21" fillId="0" borderId="0" xfId="57" applyNumberFormat="1" applyFont="1" applyFill="1"/>
    <xf numFmtId="0" fontId="19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0" fontId="45" fillId="0" borderId="0" xfId="57" applyNumberFormat="1" applyFont="1" applyFill="1"/>
    <xf numFmtId="0" fontId="46" fillId="0" borderId="0" xfId="0" applyFont="1" applyAlignment="1">
      <alignment horizontal="center"/>
    </xf>
    <xf numFmtId="10" fontId="43" fillId="11" borderId="0" xfId="57" applyNumberFormat="1" applyFont="1" applyFill="1" applyAlignment="1">
      <alignment horizontal="right"/>
    </xf>
    <xf numFmtId="43" fontId="19" fillId="11" borderId="0" xfId="1" applyFont="1" applyFill="1" applyBorder="1" applyAlignment="1">
      <alignment horizontal="right"/>
    </xf>
    <xf numFmtId="0" fontId="18" fillId="0" borderId="0" xfId="0" applyFont="1"/>
    <xf numFmtId="9" fontId="18" fillId="0" borderId="0" xfId="0" applyNumberFormat="1" applyFont="1"/>
    <xf numFmtId="0" fontId="6" fillId="2" borderId="1" xfId="55" applyFont="1" applyFill="1" applyBorder="1" applyAlignment="1">
      <alignment horizontal="right"/>
    </xf>
    <xf numFmtId="0" fontId="6" fillId="2" borderId="4" xfId="55" applyFont="1" applyFill="1" applyBorder="1" applyAlignment="1">
      <alignment horizontal="right"/>
    </xf>
    <xf numFmtId="0" fontId="8" fillId="3" borderId="3" xfId="47" applyFont="1" applyFill="1" applyBorder="1" applyAlignment="1">
      <alignment horizontal="center" vertical="center" wrapText="1"/>
    </xf>
    <xf numFmtId="1" fontId="8" fillId="3" borderId="11" xfId="47" applyNumberFormat="1" applyFont="1" applyFill="1" applyBorder="1" applyAlignment="1">
      <alignment horizontal="center"/>
    </xf>
    <xf numFmtId="1" fontId="8" fillId="3" borderId="11" xfId="47" applyNumberFormat="1" applyFont="1" applyFill="1" applyBorder="1" applyAlignment="1">
      <alignment horizontal="center" wrapText="1"/>
    </xf>
    <xf numFmtId="0" fontId="8" fillId="3" borderId="16" xfId="47" applyFont="1" applyFill="1" applyBorder="1" applyAlignment="1">
      <alignment horizontal="center"/>
    </xf>
    <xf numFmtId="1" fontId="0" fillId="0" borderId="0" xfId="0" applyNumberFormat="1"/>
    <xf numFmtId="14" fontId="6" fillId="2" borderId="36" xfId="55" applyNumberFormat="1" applyFont="1" applyFill="1" applyBorder="1" applyAlignment="1">
      <alignment horizontal="center" vertical="center" wrapText="1"/>
    </xf>
    <xf numFmtId="14" fontId="6" fillId="2" borderId="37" xfId="55" applyNumberFormat="1" applyFont="1" applyFill="1" applyBorder="1" applyAlignment="1">
      <alignment horizontal="center" vertical="center" wrapText="1"/>
    </xf>
    <xf numFmtId="14" fontId="6" fillId="2" borderId="13" xfId="55" applyNumberFormat="1" applyFont="1" applyFill="1" applyBorder="1" applyAlignment="1">
      <alignment horizontal="center" vertical="center" wrapText="1"/>
    </xf>
    <xf numFmtId="0" fontId="6" fillId="2" borderId="41" xfId="55" applyFont="1" applyFill="1" applyBorder="1" applyAlignment="1">
      <alignment horizontal="left"/>
    </xf>
    <xf numFmtId="0" fontId="6" fillId="2" borderId="42" xfId="55" applyFont="1" applyFill="1" applyBorder="1" applyAlignment="1">
      <alignment horizontal="left"/>
    </xf>
    <xf numFmtId="0" fontId="6" fillId="2" borderId="43" xfId="55" applyFont="1" applyFill="1" applyBorder="1" applyAlignment="1">
      <alignment horizontal="left"/>
    </xf>
    <xf numFmtId="0" fontId="6" fillId="2" borderId="17" xfId="55" applyFont="1" applyFill="1" applyBorder="1" applyAlignment="1">
      <alignment horizontal="left"/>
    </xf>
    <xf numFmtId="0" fontId="6" fillId="2" borderId="31" xfId="55" applyFont="1" applyFill="1" applyBorder="1" applyAlignment="1">
      <alignment horizontal="left"/>
    </xf>
    <xf numFmtId="0" fontId="6" fillId="2" borderId="18" xfId="55" applyFont="1" applyFill="1" applyBorder="1" applyAlignment="1">
      <alignment horizontal="left"/>
    </xf>
    <xf numFmtId="0" fontId="6" fillId="2" borderId="46" xfId="55" applyFont="1" applyFill="1" applyBorder="1" applyAlignment="1">
      <alignment horizontal="center"/>
    </xf>
    <xf numFmtId="0" fontId="6" fillId="2" borderId="47" xfId="55" applyFont="1" applyFill="1" applyBorder="1" applyAlignment="1">
      <alignment horizontal="center"/>
    </xf>
    <xf numFmtId="0" fontId="6" fillId="2" borderId="48" xfId="55" applyFont="1" applyFill="1" applyBorder="1" applyAlignment="1">
      <alignment horizontal="center"/>
    </xf>
    <xf numFmtId="0" fontId="6" fillId="2" borderId="0" xfId="55" applyFont="1" applyFill="1" applyAlignment="1">
      <alignment horizontal="center"/>
    </xf>
    <xf numFmtId="0" fontId="6" fillId="2" borderId="12" xfId="55" applyFont="1" applyFill="1" applyBorder="1" applyAlignment="1">
      <alignment horizontal="center"/>
    </xf>
    <xf numFmtId="0" fontId="6" fillId="2" borderId="28" xfId="55" applyFont="1" applyFill="1" applyBorder="1" applyAlignment="1">
      <alignment horizontal="center"/>
    </xf>
    <xf numFmtId="0" fontId="7" fillId="2" borderId="2" xfId="55" applyFont="1" applyFill="1" applyBorder="1" applyAlignment="1">
      <alignment horizontal="center"/>
    </xf>
    <xf numFmtId="0" fontId="7" fillId="2" borderId="45" xfId="55" applyFont="1" applyFill="1" applyBorder="1" applyAlignment="1">
      <alignment horizontal="center"/>
    </xf>
    <xf numFmtId="0" fontId="8" fillId="2" borderId="44" xfId="55" applyFont="1" applyFill="1" applyBorder="1" applyAlignment="1">
      <alignment horizontal="right" vertical="top" wrapText="1"/>
    </xf>
    <xf numFmtId="0" fontId="8" fillId="2" borderId="49" xfId="55" applyFont="1" applyFill="1" applyBorder="1" applyAlignment="1">
      <alignment horizontal="right" vertical="top" wrapText="1"/>
    </xf>
    <xf numFmtId="0" fontId="8" fillId="2" borderId="50" xfId="55" applyFont="1" applyFill="1" applyBorder="1" applyAlignment="1">
      <alignment horizontal="right" vertical="top" wrapText="1"/>
    </xf>
    <xf numFmtId="0" fontId="50" fillId="2" borderId="0" xfId="56" applyFont="1" applyFill="1" applyAlignment="1">
      <alignment horizontal="right"/>
    </xf>
    <xf numFmtId="0" fontId="50" fillId="2" borderId="0" xfId="56" applyFont="1" applyFill="1"/>
    <xf numFmtId="0" fontId="8" fillId="3" borderId="40" xfId="47" applyFont="1" applyFill="1" applyBorder="1" applyAlignment="1">
      <alignment horizontal="center" vertical="center"/>
    </xf>
    <xf numFmtId="0" fontId="8" fillId="3" borderId="34" xfId="47" applyFont="1" applyFill="1" applyBorder="1" applyAlignment="1">
      <alignment horizontal="center" vertical="center"/>
    </xf>
    <xf numFmtId="0" fontId="8" fillId="3" borderId="40" xfId="47" applyFont="1" applyFill="1" applyBorder="1" applyAlignment="1">
      <alignment horizontal="center" vertical="center" wrapText="1"/>
    </xf>
    <xf numFmtId="0" fontId="8" fillId="3" borderId="34" xfId="47" applyFont="1" applyFill="1" applyBorder="1" applyAlignment="1">
      <alignment horizontal="center" vertical="center" wrapText="1"/>
    </xf>
    <xf numFmtId="0" fontId="8" fillId="3" borderId="2" xfId="47" applyFont="1" applyFill="1" applyBorder="1" applyAlignment="1">
      <alignment horizontal="center" vertical="center"/>
    </xf>
    <xf numFmtId="0" fontId="8" fillId="3" borderId="11" xfId="47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3" fillId="0" borderId="7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9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19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2" fillId="4" borderId="7" xfId="0" applyFont="1" applyFill="1" applyBorder="1" applyAlignment="1">
      <alignment horizontal="right"/>
    </xf>
    <xf numFmtId="0" fontId="22" fillId="4" borderId="8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8" borderId="7" xfId="0" applyFont="1" applyFill="1" applyBorder="1" applyAlignment="1">
      <alignment horizontal="right" vertical="center"/>
    </xf>
    <xf numFmtId="0" fontId="5" fillId="8" borderId="8" xfId="0" applyFont="1" applyFill="1" applyBorder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5" fillId="0" borderId="4" xfId="0" applyFont="1" applyBorder="1" applyAlignment="1">
      <alignment horizontal="right" vertical="center"/>
    </xf>
    <xf numFmtId="0" fontId="26" fillId="0" borderId="48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5" xfId="0" applyFont="1" applyBorder="1" applyAlignment="1">
      <alignment horizontal="right"/>
    </xf>
    <xf numFmtId="0" fontId="5" fillId="0" borderId="0" xfId="0" applyFont="1" applyAlignment="1">
      <alignment horizontal="right" vertical="center"/>
    </xf>
    <xf numFmtId="4" fontId="31" fillId="0" borderId="0" xfId="2" applyNumberFormat="1" applyFont="1" applyFill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8" fillId="0" borderId="46" xfId="0" applyFont="1" applyBorder="1" applyAlignment="1">
      <alignment horizontal="right"/>
    </xf>
    <xf numFmtId="0" fontId="18" fillId="0" borderId="47" xfId="0" applyFont="1" applyBorder="1" applyAlignment="1">
      <alignment horizontal="right"/>
    </xf>
    <xf numFmtId="0" fontId="12" fillId="0" borderId="1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right" vertical="center" wrapText="1"/>
    </xf>
    <xf numFmtId="0" fontId="36" fillId="0" borderId="7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36" fillId="0" borderId="51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right" vertical="center" wrapText="1"/>
    </xf>
    <xf numFmtId="0" fontId="21" fillId="0" borderId="0" xfId="0" applyFont="1" applyAlignment="1">
      <alignment horizontal="right"/>
    </xf>
    <xf numFmtId="0" fontId="21" fillId="0" borderId="25" xfId="0" applyFont="1" applyBorder="1" applyAlignment="1">
      <alignment horizontal="right"/>
    </xf>
    <xf numFmtId="0" fontId="19" fillId="4" borderId="7" xfId="0" applyFont="1" applyFill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41" fillId="0" borderId="47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37" fillId="4" borderId="7" xfId="0" applyFont="1" applyFill="1" applyBorder="1" applyAlignment="1">
      <alignment horizontal="right"/>
    </xf>
    <xf numFmtId="0" fontId="37" fillId="4" borderId="8" xfId="0" applyFont="1" applyFill="1" applyBorder="1" applyAlignment="1">
      <alignment horizontal="right"/>
    </xf>
    <xf numFmtId="0" fontId="49" fillId="0" borderId="0" xfId="0" applyFont="1" applyAlignment="1">
      <alignment horizontal="right"/>
    </xf>
    <xf numFmtId="0" fontId="41" fillId="11" borderId="0" xfId="0" applyFont="1" applyFill="1" applyAlignment="1">
      <alignment horizontal="right"/>
    </xf>
    <xf numFmtId="0" fontId="41" fillId="0" borderId="19" xfId="0" applyFont="1" applyBorder="1" applyAlignment="1">
      <alignment horizontal="right"/>
    </xf>
    <xf numFmtId="0" fontId="51" fillId="0" borderId="56" xfId="47" applyFont="1" applyBorder="1" applyAlignment="1">
      <alignment horizontal="center" vertical="center"/>
    </xf>
    <xf numFmtId="0" fontId="51" fillId="0" borderId="44" xfId="47" applyFont="1" applyBorder="1" applyAlignment="1">
      <alignment horizontal="center" vertical="center"/>
    </xf>
    <xf numFmtId="0" fontId="52" fillId="0" borderId="45" xfId="47" applyFont="1" applyBorder="1" applyAlignment="1">
      <alignment vertical="center"/>
    </xf>
    <xf numFmtId="0" fontId="51" fillId="0" borderId="45" xfId="47" applyFont="1" applyBorder="1" applyAlignment="1">
      <alignment horizontal="center" vertical="center"/>
    </xf>
    <xf numFmtId="1" fontId="51" fillId="0" borderId="45" xfId="47" applyNumberFormat="1" applyFont="1" applyBorder="1" applyAlignment="1">
      <alignment horizontal="center"/>
    </xf>
    <xf numFmtId="1" fontId="51" fillId="0" borderId="45" xfId="47" applyNumberFormat="1" applyFont="1" applyBorder="1" applyAlignment="1">
      <alignment horizontal="center" wrapText="1"/>
    </xf>
    <xf numFmtId="0" fontId="53" fillId="0" borderId="5" xfId="47" applyFont="1" applyBorder="1" applyAlignment="1">
      <alignment horizontal="center"/>
    </xf>
    <xf numFmtId="49" fontId="53" fillId="0" borderId="4" xfId="0" applyNumberFormat="1" applyFont="1" applyBorder="1" applyAlignment="1">
      <alignment horizontal="center"/>
    </xf>
    <xf numFmtId="49" fontId="53" fillId="0" borderId="4" xfId="0" applyNumberFormat="1" applyFont="1" applyBorder="1"/>
    <xf numFmtId="0" fontId="53" fillId="0" borderId="4" xfId="0" applyFont="1" applyBorder="1" applyAlignment="1">
      <alignment horizontal="center"/>
    </xf>
    <xf numFmtId="1" fontId="53" fillId="0" borderId="4" xfId="0" applyNumberFormat="1" applyFont="1" applyBorder="1" applyAlignment="1">
      <alignment horizontal="center"/>
    </xf>
    <xf numFmtId="1" fontId="53" fillId="0" borderId="4" xfId="0" applyNumberFormat="1" applyFont="1" applyBorder="1" applyAlignment="1">
      <alignment horizontal="center" wrapText="1"/>
    </xf>
    <xf numFmtId="1" fontId="51" fillId="0" borderId="4" xfId="0" applyNumberFormat="1" applyFont="1" applyBorder="1" applyAlignment="1">
      <alignment horizontal="center"/>
    </xf>
    <xf numFmtId="0" fontId="53" fillId="0" borderId="4" xfId="53" applyFont="1" applyBorder="1" applyAlignment="1">
      <alignment horizontal="center"/>
    </xf>
    <xf numFmtId="0" fontId="53" fillId="0" borderId="33" xfId="47" applyFont="1" applyBorder="1" applyAlignment="1">
      <alignment horizontal="center"/>
    </xf>
    <xf numFmtId="0" fontId="53" fillId="0" borderId="4" xfId="0" applyFont="1" applyBorder="1" applyAlignment="1">
      <alignment horizontal="center" vertical="center"/>
    </xf>
    <xf numFmtId="0" fontId="53" fillId="9" borderId="4" xfId="0" applyFont="1" applyFill="1" applyBorder="1" applyAlignment="1">
      <alignment horizontal="center"/>
    </xf>
    <xf numFmtId="49" fontId="53" fillId="9" borderId="4" xfId="0" applyNumberFormat="1" applyFont="1" applyFill="1" applyBorder="1" applyAlignment="1">
      <alignment vertical="center" wrapText="1"/>
    </xf>
    <xf numFmtId="170" fontId="53" fillId="0" borderId="4" xfId="0" applyNumberFormat="1" applyFont="1" applyBorder="1" applyAlignment="1">
      <alignment horizontal="center" wrapText="1"/>
    </xf>
    <xf numFmtId="0" fontId="53" fillId="0" borderId="4" xfId="0" applyFont="1" applyBorder="1" applyAlignment="1">
      <alignment horizontal="left" vertical="center"/>
    </xf>
    <xf numFmtId="0" fontId="51" fillId="0" borderId="4" xfId="0" applyFont="1" applyBorder="1" applyAlignment="1">
      <alignment horizontal="center"/>
    </xf>
    <xf numFmtId="1" fontId="51" fillId="0" borderId="4" xfId="0" applyNumberFormat="1" applyFont="1" applyBorder="1" applyAlignment="1">
      <alignment horizontal="center" wrapText="1"/>
    </xf>
    <xf numFmtId="0" fontId="53" fillId="0" borderId="4" xfId="0" applyFont="1" applyBorder="1"/>
    <xf numFmtId="16" fontId="53" fillId="0" borderId="4" xfId="47" applyNumberFormat="1" applyFont="1" applyBorder="1" applyAlignment="1">
      <alignment horizontal="center"/>
    </xf>
    <xf numFmtId="1" fontId="53" fillId="0" borderId="4" xfId="47" applyNumberFormat="1" applyFont="1" applyBorder="1" applyAlignment="1">
      <alignment horizontal="center"/>
    </xf>
    <xf numFmtId="1" fontId="53" fillId="0" borderId="4" xfId="47" applyNumberFormat="1" applyFont="1" applyBorder="1" applyAlignment="1">
      <alignment horizontal="center" wrapText="1"/>
    </xf>
    <xf numFmtId="2" fontId="53" fillId="0" borderId="4" xfId="47" applyNumberFormat="1" applyFont="1" applyBorder="1" applyAlignment="1">
      <alignment horizontal="center"/>
    </xf>
    <xf numFmtId="0" fontId="53" fillId="9" borderId="4" xfId="0" applyFont="1" applyFill="1" applyBorder="1"/>
    <xf numFmtId="1" fontId="51" fillId="0" borderId="4" xfId="47" applyNumberFormat="1" applyFont="1" applyBorder="1" applyAlignment="1">
      <alignment horizontal="center"/>
    </xf>
    <xf numFmtId="0" fontId="53" fillId="0" borderId="4" xfId="47" applyFont="1" applyBorder="1" applyAlignment="1">
      <alignment horizontal="center"/>
    </xf>
    <xf numFmtId="49" fontId="53" fillId="0" borderId="4" xfId="47" applyNumberFormat="1" applyFont="1" applyBorder="1" applyAlignment="1">
      <alignment horizontal="center"/>
    </xf>
    <xf numFmtId="0" fontId="51" fillId="9" borderId="4" xfId="47" applyFont="1" applyFill="1" applyBorder="1" applyAlignment="1">
      <alignment horizontal="left"/>
    </xf>
    <xf numFmtId="171" fontId="53" fillId="0" borderId="4" xfId="47" applyNumberFormat="1" applyFont="1" applyBorder="1" applyAlignment="1">
      <alignment horizontal="center"/>
    </xf>
    <xf numFmtId="0" fontId="53" fillId="9" borderId="4" xfId="0" applyFont="1" applyFill="1" applyBorder="1" applyAlignment="1">
      <alignment horizontal="center" vertical="center"/>
    </xf>
    <xf numFmtId="0" fontId="54" fillId="9" borderId="4" xfId="48" applyFont="1" applyFill="1" applyBorder="1" applyAlignment="1">
      <alignment horizontal="center"/>
    </xf>
    <xf numFmtId="0" fontId="54" fillId="9" borderId="4" xfId="48" applyFont="1" applyFill="1" applyBorder="1"/>
    <xf numFmtId="49" fontId="53" fillId="9" borderId="4" xfId="0" applyNumberFormat="1" applyFont="1" applyFill="1" applyBorder="1" applyAlignment="1">
      <alignment horizontal="center" vertical="center"/>
    </xf>
    <xf numFmtId="16" fontId="53" fillId="0" borderId="4" xfId="0" applyNumberFormat="1" applyFont="1" applyBorder="1" applyAlignment="1">
      <alignment horizontal="center"/>
    </xf>
    <xf numFmtId="1" fontId="53" fillId="0" borderId="4" xfId="49" applyNumberFormat="1" applyFont="1" applyBorder="1" applyAlignment="1">
      <alignment horizontal="center"/>
    </xf>
    <xf numFmtId="1" fontId="53" fillId="0" borderId="4" xfId="49" applyNumberFormat="1" applyFont="1" applyBorder="1" applyAlignment="1">
      <alignment horizontal="center" wrapText="1"/>
    </xf>
    <xf numFmtId="49" fontId="51" fillId="0" borderId="4" xfId="47" applyNumberFormat="1" applyFont="1" applyBorder="1" applyAlignment="1">
      <alignment horizontal="center"/>
    </xf>
    <xf numFmtId="0" fontId="52" fillId="9" borderId="4" xfId="47" applyFont="1" applyFill="1" applyBorder="1" applyAlignment="1">
      <alignment vertical="center"/>
    </xf>
    <xf numFmtId="0" fontId="51" fillId="0" borderId="4" xfId="47" applyFont="1" applyBorder="1" applyAlignment="1">
      <alignment horizontal="center"/>
    </xf>
    <xf numFmtId="1" fontId="51" fillId="0" borderId="4" xfId="47" applyNumberFormat="1" applyFont="1" applyBorder="1" applyAlignment="1">
      <alignment horizontal="center" wrapText="1"/>
    </xf>
    <xf numFmtId="49" fontId="53" fillId="0" borderId="4" xfId="0" applyNumberFormat="1" applyFont="1" applyBorder="1" applyAlignment="1">
      <alignment horizontal="center" vertical="center"/>
    </xf>
    <xf numFmtId="49" fontId="53" fillId="0" borderId="4" xfId="0" applyNumberFormat="1" applyFont="1" applyBorder="1" applyAlignment="1">
      <alignment vertical="center"/>
    </xf>
    <xf numFmtId="12" fontId="53" fillId="0" borderId="4" xfId="47" applyNumberFormat="1" applyFont="1" applyBorder="1" applyAlignment="1">
      <alignment horizontal="center"/>
    </xf>
    <xf numFmtId="49" fontId="53" fillId="0" borderId="32" xfId="47" applyNumberFormat="1" applyFont="1" applyBorder="1" applyAlignment="1">
      <alignment horizontal="center"/>
    </xf>
    <xf numFmtId="49" fontId="53" fillId="0" borderId="6" xfId="47" applyNumberFormat="1" applyFont="1" applyBorder="1" applyAlignment="1">
      <alignment horizontal="center"/>
    </xf>
    <xf numFmtId="49" fontId="53" fillId="0" borderId="1" xfId="47" applyNumberFormat="1" applyFont="1" applyBorder="1"/>
    <xf numFmtId="0" fontId="53" fillId="0" borderId="1" xfId="47" applyFont="1" applyBorder="1" applyAlignment="1">
      <alignment horizontal="center"/>
    </xf>
    <xf numFmtId="1" fontId="53" fillId="0" borderId="1" xfId="47" applyNumberFormat="1" applyFont="1" applyBorder="1" applyAlignment="1">
      <alignment horizontal="center" wrapText="1"/>
    </xf>
    <xf numFmtId="49" fontId="55" fillId="2" borderId="48" xfId="47" applyNumberFormat="1" applyFont="1" applyFill="1" applyBorder="1" applyAlignment="1">
      <alignment horizontal="center" vertical="center"/>
    </xf>
    <xf numFmtId="49" fontId="55" fillId="2" borderId="0" xfId="47" applyNumberFormat="1" applyFont="1" applyFill="1" applyAlignment="1">
      <alignment horizontal="center" vertical="center"/>
    </xf>
    <xf numFmtId="0" fontId="53" fillId="2" borderId="0" xfId="47" applyFont="1" applyFill="1"/>
    <xf numFmtId="1" fontId="53" fillId="2" borderId="0" xfId="47" applyNumberFormat="1" applyFont="1" applyFill="1" applyAlignment="1">
      <alignment horizontal="center"/>
    </xf>
    <xf numFmtId="166" fontId="53" fillId="2" borderId="0" xfId="47" applyNumberFormat="1" applyFont="1" applyFill="1" applyAlignment="1">
      <alignment horizontal="center" wrapText="1"/>
    </xf>
    <xf numFmtId="0" fontId="53" fillId="2" borderId="25" xfId="47" applyFont="1" applyFill="1" applyBorder="1" applyAlignment="1">
      <alignment horizontal="center"/>
    </xf>
    <xf numFmtId="0" fontId="53" fillId="3" borderId="7" xfId="47" applyFont="1" applyFill="1" applyBorder="1" applyAlignment="1">
      <alignment horizontal="center"/>
    </xf>
    <xf numFmtId="0" fontId="53" fillId="3" borderId="8" xfId="47" applyFont="1" applyFill="1" applyBorder="1" applyAlignment="1">
      <alignment horizontal="center"/>
    </xf>
    <xf numFmtId="0" fontId="53" fillId="3" borderId="8" xfId="47" applyFont="1" applyFill="1" applyBorder="1"/>
    <xf numFmtId="0" fontId="51" fillId="3" borderId="8" xfId="47" applyFont="1" applyFill="1" applyBorder="1" applyAlignment="1">
      <alignment horizontal="center"/>
    </xf>
    <xf numFmtId="1" fontId="51" fillId="3" borderId="8" xfId="47" applyNumberFormat="1" applyFont="1" applyFill="1" applyBorder="1" applyAlignment="1">
      <alignment horizontal="center"/>
    </xf>
    <xf numFmtId="166" fontId="53" fillId="3" borderId="8" xfId="47" applyNumberFormat="1" applyFont="1" applyFill="1" applyBorder="1" applyAlignment="1">
      <alignment horizontal="center" wrapText="1"/>
    </xf>
    <xf numFmtId="0" fontId="53" fillId="3" borderId="9" xfId="47" applyFont="1" applyFill="1" applyBorder="1" applyAlignment="1">
      <alignment horizontal="center"/>
    </xf>
    <xf numFmtId="0" fontId="51" fillId="0" borderId="12" xfId="47" applyFont="1" applyBorder="1" applyAlignment="1">
      <alignment horizontal="right"/>
    </xf>
    <xf numFmtId="0" fontId="51" fillId="0" borderId="28" xfId="47" applyFont="1" applyBorder="1" applyAlignment="1">
      <alignment horizontal="right"/>
    </xf>
    <xf numFmtId="0" fontId="51" fillId="0" borderId="6" xfId="47" applyFont="1" applyBorder="1" applyAlignment="1">
      <alignment horizontal="right"/>
    </xf>
    <xf numFmtId="1" fontId="53" fillId="0" borderId="1" xfId="0" applyNumberFormat="1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166" fontId="53" fillId="0" borderId="1" xfId="47" applyNumberFormat="1" applyFont="1" applyBorder="1" applyAlignment="1">
      <alignment horizontal="right"/>
    </xf>
    <xf numFmtId="0" fontId="53" fillId="2" borderId="10" xfId="47" applyFont="1" applyFill="1" applyBorder="1" applyAlignment="1">
      <alignment horizontal="center"/>
    </xf>
    <xf numFmtId="0" fontId="53" fillId="2" borderId="35" xfId="47" applyFont="1" applyFill="1" applyBorder="1" applyAlignment="1">
      <alignment horizontal="center"/>
    </xf>
    <xf numFmtId="0" fontId="51" fillId="0" borderId="30" xfId="47" applyFont="1" applyBorder="1" applyAlignment="1">
      <alignment horizontal="right"/>
    </xf>
    <xf numFmtId="0" fontId="51" fillId="0" borderId="31" xfId="47" applyFont="1" applyBorder="1" applyAlignment="1">
      <alignment horizontal="right"/>
    </xf>
    <xf numFmtId="0" fontId="51" fillId="0" borderId="18" xfId="47" applyFont="1" applyBorder="1" applyAlignment="1">
      <alignment horizontal="right"/>
    </xf>
    <xf numFmtId="0" fontId="53" fillId="0" borderId="4" xfId="47" applyFont="1" applyBorder="1" applyAlignment="1">
      <alignment horizontal="right"/>
    </xf>
    <xf numFmtId="166" fontId="53" fillId="0" borderId="17" xfId="47" applyNumberFormat="1" applyFont="1" applyBorder="1" applyAlignment="1">
      <alignment horizontal="center"/>
    </xf>
    <xf numFmtId="166" fontId="53" fillId="0" borderId="33" xfId="47" applyNumberFormat="1" applyFont="1" applyBorder="1" applyAlignment="1">
      <alignment horizontal="center"/>
    </xf>
    <xf numFmtId="166" fontId="53" fillId="0" borderId="17" xfId="47" applyNumberFormat="1" applyFont="1" applyBorder="1" applyAlignment="1">
      <alignment horizontal="right" wrapText="1"/>
    </xf>
    <xf numFmtId="166" fontId="53" fillId="0" borderId="18" xfId="47" applyNumberFormat="1" applyFont="1" applyBorder="1" applyAlignment="1">
      <alignment horizontal="right" wrapText="1"/>
    </xf>
    <xf numFmtId="0" fontId="51" fillId="0" borderId="34" xfId="47" applyFont="1" applyBorder="1" applyAlignment="1">
      <alignment horizontal="right"/>
    </xf>
    <xf numFmtId="0" fontId="51" fillId="0" borderId="15" xfId="47" applyFont="1" applyBorder="1" applyAlignment="1">
      <alignment horizontal="right"/>
    </xf>
    <xf numFmtId="0" fontId="51" fillId="0" borderId="11" xfId="47" applyFont="1" applyBorder="1" applyAlignment="1">
      <alignment horizontal="right"/>
    </xf>
    <xf numFmtId="1" fontId="53" fillId="0" borderId="11" xfId="0" applyNumberFormat="1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0" fontId="53" fillId="0" borderId="11" xfId="47" applyFont="1" applyBorder="1" applyAlignment="1">
      <alignment horizontal="right"/>
    </xf>
    <xf numFmtId="166" fontId="53" fillId="0" borderId="38" xfId="47" applyNumberFormat="1" applyFont="1" applyBorder="1" applyAlignment="1">
      <alignment horizontal="center"/>
    </xf>
    <xf numFmtId="166" fontId="53" fillId="0" borderId="53" xfId="47" applyNumberFormat="1" applyFont="1" applyBorder="1" applyAlignment="1">
      <alignment horizontal="center"/>
    </xf>
    <xf numFmtId="0" fontId="53" fillId="0" borderId="32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3" fillId="0" borderId="13" xfId="0" applyFont="1" applyBorder="1" applyAlignment="1">
      <alignment horizontal="left" vertical="center" wrapText="1"/>
    </xf>
    <xf numFmtId="0" fontId="53" fillId="0" borderId="32" xfId="0" applyFont="1" applyBorder="1" applyAlignment="1">
      <alignment horizontal="left"/>
    </xf>
    <xf numFmtId="0" fontId="53" fillId="0" borderId="6" xfId="0" applyFont="1" applyBorder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13" xfId="0" applyFont="1" applyBorder="1" applyAlignment="1">
      <alignment horizontal="left"/>
    </xf>
    <xf numFmtId="0" fontId="53" fillId="0" borderId="30" xfId="0" applyFont="1" applyBorder="1" applyAlignment="1">
      <alignment horizontal="left" vertical="center" wrapText="1"/>
    </xf>
    <xf numFmtId="0" fontId="53" fillId="0" borderId="31" xfId="0" applyFont="1" applyBorder="1" applyAlignment="1">
      <alignment horizontal="left" vertical="center" wrapText="1"/>
    </xf>
    <xf numFmtId="0" fontId="53" fillId="0" borderId="33" xfId="0" applyFont="1" applyBorder="1" applyAlignment="1">
      <alignment horizontal="left" vertical="center" wrapText="1"/>
    </xf>
    <xf numFmtId="0" fontId="53" fillId="0" borderId="54" xfId="47" applyFont="1" applyBorder="1" applyAlignment="1">
      <alignment horizontal="left"/>
    </xf>
    <xf numFmtId="0" fontId="53" fillId="0" borderId="39" xfId="47" applyFont="1" applyBorder="1" applyAlignment="1">
      <alignment horizontal="left"/>
    </xf>
    <xf numFmtId="0" fontId="53" fillId="0" borderId="53" xfId="47" applyFont="1" applyBorder="1" applyAlignment="1">
      <alignment horizontal="left"/>
    </xf>
    <xf numFmtId="0" fontId="51" fillId="12" borderId="55" xfId="55" applyFont="1" applyFill="1" applyBorder="1" applyAlignment="1">
      <alignment horizontal="center"/>
    </xf>
    <xf numFmtId="0" fontId="51" fillId="12" borderId="47" xfId="55" applyFont="1" applyFill="1" applyBorder="1" applyAlignment="1">
      <alignment horizontal="center"/>
    </xf>
    <xf numFmtId="0" fontId="53" fillId="0" borderId="0" xfId="0" applyFont="1"/>
    <xf numFmtId="0" fontId="56" fillId="2" borderId="19" xfId="56" applyFont="1" applyFill="1" applyBorder="1" applyAlignment="1">
      <alignment horizontal="center"/>
    </xf>
    <xf numFmtId="14" fontId="56" fillId="2" borderId="0" xfId="56" applyNumberFormat="1" applyFont="1" applyFill="1" applyAlignment="1">
      <alignment horizontal="center" vertical="center" wrapText="1"/>
    </xf>
    <xf numFmtId="0" fontId="51" fillId="3" borderId="7" xfId="47" applyFont="1" applyFill="1" applyBorder="1" applyAlignment="1">
      <alignment horizontal="center"/>
    </xf>
    <xf numFmtId="0" fontId="51" fillId="3" borderId="8" xfId="47" applyFont="1" applyFill="1" applyBorder="1" applyAlignment="1">
      <alignment horizontal="center"/>
    </xf>
    <xf numFmtId="0" fontId="51" fillId="3" borderId="9" xfId="47" applyFont="1" applyFill="1" applyBorder="1" applyAlignment="1">
      <alignment horizontal="center"/>
    </xf>
    <xf numFmtId="0" fontId="53" fillId="2" borderId="4" xfId="55" applyFont="1" applyFill="1" applyBorder="1" applyAlignment="1">
      <alignment horizontal="left"/>
    </xf>
    <xf numFmtId="0" fontId="53" fillId="2" borderId="4" xfId="56" applyFont="1" applyFill="1" applyBorder="1" applyAlignment="1">
      <alignment horizontal="left"/>
    </xf>
    <xf numFmtId="0" fontId="53" fillId="0" borderId="4" xfId="0" applyFont="1" applyBorder="1" applyAlignment="1">
      <alignment horizontal="center" wrapText="1"/>
    </xf>
    <xf numFmtId="0" fontId="57" fillId="5" borderId="7" xfId="55" applyFont="1" applyFill="1" applyBorder="1" applyAlignment="1">
      <alignment horizontal="center" vertical="center" wrapText="1"/>
    </xf>
    <xf numFmtId="0" fontId="57" fillId="5" borderId="8" xfId="55" applyFont="1" applyFill="1" applyBorder="1" applyAlignment="1">
      <alignment horizontal="center" vertical="center" wrapText="1"/>
    </xf>
    <xf numFmtId="0" fontId="57" fillId="5" borderId="9" xfId="55" applyFont="1" applyFill="1" applyBorder="1" applyAlignment="1">
      <alignment horizontal="center" vertical="center" wrapText="1"/>
    </xf>
  </cellXfs>
  <cellStyles count="68">
    <cellStyle name="Millares" xfId="1" builtinId="3"/>
    <cellStyle name="Millares [0]" xfId="2" builtinId="6"/>
    <cellStyle name="Millares [0] 2" xfId="3" xr:uid="{57E9EAB1-E33B-44B0-9338-B4753516D39E}"/>
    <cellStyle name="Millares [0] 2 2" xfId="4" xr:uid="{527D6A11-5132-4AE3-AECB-A9C1CA7A27BD}"/>
    <cellStyle name="Millares [0] 2 2 2" xfId="5" xr:uid="{1536A6DC-322D-4120-A42A-F021946E95F3}"/>
    <cellStyle name="Millares [0] 2 2 2 2" xfId="6" xr:uid="{7B6E23E7-B1C2-4653-AE79-ABA7987D6159}"/>
    <cellStyle name="Millares [0] 2 2 2 2 2" xfId="7" xr:uid="{43BA5BC9-7DFF-429E-9EF8-A285BC01CD11}"/>
    <cellStyle name="Millares [0] 2 2 2 3" xfId="8" xr:uid="{14E01DFF-F26A-43F6-8286-F1D9CF2B244B}"/>
    <cellStyle name="Millares [0] 2 2 3" xfId="9" xr:uid="{A06965A6-E38A-437A-91D9-8E50AD0C5AED}"/>
    <cellStyle name="Millares [0] 2 2 3 2" xfId="10" xr:uid="{7F20E6B3-FA5C-4E6D-8F08-2D17AA1DA00C}"/>
    <cellStyle name="Millares [0] 2 2 4" xfId="11" xr:uid="{2D6EB0AF-3D95-4D41-A40D-6134B2DF432A}"/>
    <cellStyle name="Millares [0] 2 3" xfId="12" xr:uid="{DC3CA17F-B94E-4B77-A1DF-E6AE1B930ACC}"/>
    <cellStyle name="Millares [0] 2 3 2" xfId="13" xr:uid="{D3CC9D50-105F-491B-BDA3-F8D6D5E82382}"/>
    <cellStyle name="Millares [0] 2 4" xfId="14" xr:uid="{E430EC69-B0E1-4358-AE87-B53D65EB8730}"/>
    <cellStyle name="Millares [0] 3" xfId="15" xr:uid="{39371036-44F0-445A-9D43-1EFD7B20436D}"/>
    <cellStyle name="Millares [0] 3 2" xfId="16" xr:uid="{8DC21124-BF95-4768-B8D4-15CF597DA3BA}"/>
    <cellStyle name="Millares [0] 3 2 2" xfId="17" xr:uid="{DBDF47EE-9DFF-49BA-AC02-8B97623A36CA}"/>
    <cellStyle name="Millares [0] 3 2 3" xfId="18" xr:uid="{395E7FF0-45D4-491A-922F-E804FC6892B0}"/>
    <cellStyle name="Millares [0] 3 2 3 2" xfId="19" xr:uid="{D71DC66C-0BC0-4206-8291-290C0584EC26}"/>
    <cellStyle name="Millares [0] 3 2 3 2 2" xfId="20" xr:uid="{FBE825F1-4667-4514-A1EA-61C0D2719474}"/>
    <cellStyle name="Millares [0] 3 2 3 2 2 2" xfId="21" xr:uid="{7823AA2D-F94A-427B-8C5A-FC554E11BB50}"/>
    <cellStyle name="Millares [0] 3 2 3 2 3" xfId="22" xr:uid="{0974DD19-65C7-4AB1-A19A-CDD14D5921BB}"/>
    <cellStyle name="Millares [0] 3 3" xfId="23" xr:uid="{7A6DCCE6-EBC7-46E6-BB06-6C287429FA27}"/>
    <cellStyle name="Millares [0] 4" xfId="24" xr:uid="{5D5E0B9E-6071-4344-9D58-C69E73F953D8}"/>
    <cellStyle name="Millares [0] 5" xfId="25" xr:uid="{CE69D093-3C34-4283-B970-6245807FC896}"/>
    <cellStyle name="Millares [0] 6" xfId="26" xr:uid="{97E27722-16E8-4532-9597-D3610E7194DA}"/>
    <cellStyle name="Millares 2" xfId="27" xr:uid="{29066508-356B-409F-847F-364FDD478545}"/>
    <cellStyle name="Millares 2 2" xfId="28" xr:uid="{E25979C8-0943-468D-88F5-11B64AA5A08E}"/>
    <cellStyle name="Millares 2 2 2" xfId="29" xr:uid="{1F0E4C2A-F420-4699-AE64-685B24151FFE}"/>
    <cellStyle name="Millares 2 2 2 2" xfId="30" xr:uid="{9F4CDD6B-1764-4474-BB97-F41E6CBE0C99}"/>
    <cellStyle name="Millares 2 2 3" xfId="31" xr:uid="{7DED0A8A-3C6F-4259-8414-5CE85FEB2405}"/>
    <cellStyle name="Millares 2 3" xfId="32" xr:uid="{1F4A9F47-1E28-4D7F-A350-F5158E8117DC}"/>
    <cellStyle name="Millares 2 3 2" xfId="33" xr:uid="{8B6369C1-4FFC-4630-8104-49539D0FE9AA}"/>
    <cellStyle name="Millares 2 4" xfId="34" xr:uid="{6B3B300C-F362-4AFE-B226-75D18989E881}"/>
    <cellStyle name="Millares 3" xfId="35" xr:uid="{24F544B7-EB2F-448C-91FE-28A11F20C7C3}"/>
    <cellStyle name="Millares 3 2" xfId="36" xr:uid="{5DD99800-EFDE-4ADD-9F6C-D46A9EC232E6}"/>
    <cellStyle name="Millares 3 2 2" xfId="37" xr:uid="{E0E090E3-9FF1-4374-AD3A-DA6368DAEC8B}"/>
    <cellStyle name="Millares 3 2 2 2" xfId="38" xr:uid="{ED5CC2D9-718D-4735-B125-A27B70FC9BB8}"/>
    <cellStyle name="Millares 3 2 3" xfId="39" xr:uid="{9CB8514F-B020-4EBB-B8C2-CC487C3B63AC}"/>
    <cellStyle name="Millares 3 3" xfId="40" xr:uid="{279FF984-49DE-4BEC-AB26-447EC542E5AD}"/>
    <cellStyle name="Millares 4" xfId="41" xr:uid="{6E9D9AD9-4BA1-46AD-8965-87C0821F3A3B}"/>
    <cellStyle name="Millares 5" xfId="42" xr:uid="{9FAD1B8B-A75D-4926-9021-5EBBD509F0A8}"/>
    <cellStyle name="Millares 6" xfId="43" xr:uid="{6C60A8BD-D3E3-4DA4-BF98-22F6C818A95C}"/>
    <cellStyle name="Millares 7" xfId="44" xr:uid="{7A2EA92A-30A4-4A23-B351-D88186F81999}"/>
    <cellStyle name="Millares 8" xfId="45" xr:uid="{21FBA5A5-44C5-477A-A845-219C90677DDA}"/>
    <cellStyle name="Normal" xfId="0" builtinId="0"/>
    <cellStyle name="Normal 2" xfId="46" xr:uid="{B3505ECE-1A72-4E3D-B95B-79712E7081BF}"/>
    <cellStyle name="Normal 2 2" xfId="47" xr:uid="{1516FD23-B824-40EE-AE53-C041F08B791E}"/>
    <cellStyle name="Normal 3" xfId="48" xr:uid="{79156415-449B-4942-B1CD-002F5CF7E92F}"/>
    <cellStyle name="Normal 3 2" xfId="49" xr:uid="{2CD8E7CC-90EC-470A-B24D-FDB63A673132}"/>
    <cellStyle name="Normal 3 3" xfId="50" xr:uid="{88BA26CB-9CED-4F7A-912E-27C2FD9A9573}"/>
    <cellStyle name="Normal 4" xfId="51" xr:uid="{C57E0E27-41C6-48C9-8132-35DD04BBCD33}"/>
    <cellStyle name="Normal 4 2" xfId="52" xr:uid="{490E9A5B-792E-455A-A9AA-BBD788367F95}"/>
    <cellStyle name="Normal 5" xfId="53" xr:uid="{3790052B-5BED-4FB1-B55C-AD8FB1423F22}"/>
    <cellStyle name="Normal 5 2" xfId="54" xr:uid="{F0BA2879-FFD9-4480-9691-2128446D7B81}"/>
    <cellStyle name="Normal_CRITERIOS DE EVALUACION PT DE GB" xfId="55" xr:uid="{DF850AA0-1F6B-437D-8D0F-314CCDC7CE31}"/>
    <cellStyle name="Normal_CRITERIOS DE EVALUACION PT DE GB 2" xfId="56" xr:uid="{D4B882B7-1B4F-43AB-BA89-6D38001400F4}"/>
    <cellStyle name="Porcentaje" xfId="57" builtinId="5"/>
    <cellStyle name="Porcentaje 2" xfId="58" xr:uid="{7D0A8844-89C1-403D-B8CA-000B46199D84}"/>
    <cellStyle name="Porcentaje 2 2" xfId="59" xr:uid="{37732677-FB7E-4E9D-BF97-D67272B0557F}"/>
    <cellStyle name="Porcentaje 2 3" xfId="60" xr:uid="{0C35B508-9268-449F-9A80-7270ABA9C67C}"/>
    <cellStyle name="Porcentaje 3" xfId="61" xr:uid="{483DA21E-8C33-48B8-AFDA-4B0A6DA67E3C}"/>
    <cellStyle name="Porcentaje 3 2" xfId="62" xr:uid="{2E30178E-C150-455F-8425-5789B5128CC6}"/>
    <cellStyle name="Porcentaje 3 3" xfId="63" xr:uid="{4A095904-775E-4CDC-8F82-AD013CCF6E9B}"/>
    <cellStyle name="Porcentaje 3 4" xfId="64" xr:uid="{04A6900D-6F2B-4D02-904C-DA3ED2271649}"/>
    <cellStyle name="Porcentaje 4" xfId="65" xr:uid="{60426DCF-3CD0-46F4-B16B-38F5CA07854C}"/>
    <cellStyle name="Porcentaje 4 2" xfId="66" xr:uid="{32F2E380-D4A4-4AF0-968B-6498C392B6E9}"/>
    <cellStyle name="Porcentaje 5" xfId="67" xr:uid="{1F20094C-D428-4632-A2EF-3DBEAFAB4D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137582</xdr:colOff>
      <xdr:row>0</xdr:row>
      <xdr:rowOff>95249</xdr:rowOff>
    </xdr:from>
    <xdr:to>
      <xdr:col>1</xdr:col>
      <xdr:colOff>994833</xdr:colOff>
      <xdr:row>4</xdr:row>
      <xdr:rowOff>92381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31B0AF4-FDC2-43B7-9BBA-C30ADE8CC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2" y="95249"/>
          <a:ext cx="2032001" cy="917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brenes/Desktop/ACTUALIZACIONES/Rosquete%20Mini%20Cake%20Super%20Esponja%20Caramel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Locales\Torta%20caramelo%20med\910000008%20-%20CHOCOLATE%20BLANCO%20RALL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ROSQUETE"/>
      <sheetName val="COSTOS"/>
    </sheetNames>
    <sheetDataSet>
      <sheetData sheetId="0"/>
      <sheetData sheetId="1">
        <row r="53">
          <cell r="H53">
            <v>93.843741058544154</v>
          </cell>
        </row>
        <row r="54">
          <cell r="H54">
            <v>1.3478472194150162</v>
          </cell>
        </row>
        <row r="56">
          <cell r="H56">
            <v>3.9001599999999996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EC "/>
      <sheetName val="COSTEO CHOCOLATE"/>
    </sheetNames>
    <sheetDataSet>
      <sheetData sheetId="0"/>
      <sheetData sheetId="1">
        <row r="62">
          <cell r="E62">
            <v>3.0529797872340425</v>
          </cell>
        </row>
        <row r="67">
          <cell r="E67">
            <v>8.191489361702127E-2</v>
          </cell>
        </row>
        <row r="69">
          <cell r="E69">
            <v>1.3106382978723404E-4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392A-6B26-4AA4-9835-9FC635FE534F}">
  <sheetPr>
    <pageSetUpPr fitToPage="1"/>
  </sheetPr>
  <dimension ref="A1:J52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1" max="1" width="17.5703125" customWidth="1"/>
    <col min="2" max="2" width="16.28515625" customWidth="1"/>
    <col min="3" max="3" width="78.7109375" customWidth="1"/>
    <col min="4" max="4" width="17.28515625" customWidth="1"/>
    <col min="5" max="5" width="13.140625" customWidth="1"/>
    <col min="6" max="6" width="12.5703125" customWidth="1"/>
    <col min="7" max="7" width="21.42578125" customWidth="1"/>
    <col min="8" max="8" width="25" customWidth="1"/>
    <col min="9" max="9" width="23.42578125" bestFit="1" customWidth="1"/>
  </cols>
  <sheetData>
    <row r="1" spans="1:10" ht="15.75" x14ac:dyDescent="0.25">
      <c r="A1" s="166"/>
      <c r="B1" s="167"/>
      <c r="C1" s="172" t="s">
        <v>0</v>
      </c>
      <c r="D1" s="172"/>
      <c r="E1" s="172"/>
      <c r="F1" s="172"/>
      <c r="G1" s="172"/>
      <c r="H1" s="1" t="s">
        <v>1</v>
      </c>
      <c r="I1" s="2" t="s">
        <v>189</v>
      </c>
    </row>
    <row r="2" spans="1:10" ht="16.5" thickBot="1" x14ac:dyDescent="0.3">
      <c r="A2" s="168"/>
      <c r="B2" s="169"/>
      <c r="C2" s="173" t="s">
        <v>2</v>
      </c>
      <c r="D2" s="173"/>
      <c r="E2" s="173"/>
      <c r="F2" s="173"/>
      <c r="G2" s="173"/>
      <c r="H2" s="3" t="s">
        <v>3</v>
      </c>
      <c r="I2" s="4" t="s">
        <v>205</v>
      </c>
    </row>
    <row r="3" spans="1:10" ht="26.25" customHeight="1" thickBot="1" x14ac:dyDescent="0.25">
      <c r="A3" s="168"/>
      <c r="B3" s="169"/>
      <c r="C3" s="347" t="s">
        <v>206</v>
      </c>
      <c r="D3" s="348"/>
      <c r="E3" s="348"/>
      <c r="F3" s="348"/>
      <c r="G3" s="349"/>
      <c r="H3" s="174" t="s">
        <v>4</v>
      </c>
      <c r="I3" s="157">
        <v>45609</v>
      </c>
    </row>
    <row r="4" spans="1:10" ht="13.5" x14ac:dyDescent="0.25">
      <c r="A4" s="168"/>
      <c r="B4" s="169"/>
      <c r="C4" s="150" t="s">
        <v>5</v>
      </c>
      <c r="D4" s="160" t="s">
        <v>175</v>
      </c>
      <c r="E4" s="161"/>
      <c r="F4" s="161"/>
      <c r="G4" s="162"/>
      <c r="H4" s="175"/>
      <c r="I4" s="158"/>
    </row>
    <row r="5" spans="1:10" ht="14.25" thickBot="1" x14ac:dyDescent="0.3">
      <c r="A5" s="170"/>
      <c r="B5" s="171"/>
      <c r="C5" s="151" t="s">
        <v>6</v>
      </c>
      <c r="D5" s="163" t="s">
        <v>176</v>
      </c>
      <c r="E5" s="164"/>
      <c r="F5" s="164"/>
      <c r="G5" s="165"/>
      <c r="H5" s="176"/>
      <c r="I5" s="159"/>
    </row>
    <row r="6" spans="1:10" ht="18.75" thickBot="1" x14ac:dyDescent="0.3">
      <c r="A6" s="177" t="s">
        <v>7</v>
      </c>
      <c r="B6" s="177"/>
      <c r="C6" s="177"/>
      <c r="D6" s="339" t="s">
        <v>177</v>
      </c>
      <c r="E6" s="339"/>
      <c r="F6" s="339"/>
      <c r="G6" s="178" t="s">
        <v>8</v>
      </c>
      <c r="H6" s="178"/>
      <c r="I6" s="340" t="s">
        <v>177</v>
      </c>
    </row>
    <row r="7" spans="1:10" ht="19.5" customHeight="1" x14ac:dyDescent="0.2">
      <c r="A7" s="179" t="s">
        <v>9</v>
      </c>
      <c r="B7" s="181" t="s">
        <v>178</v>
      </c>
      <c r="C7" s="183" t="s">
        <v>10</v>
      </c>
      <c r="D7" s="183" t="s">
        <v>11</v>
      </c>
      <c r="E7" s="183" t="s">
        <v>12</v>
      </c>
      <c r="F7" s="183"/>
      <c r="G7" s="183" t="s">
        <v>13</v>
      </c>
      <c r="H7" s="183"/>
      <c r="I7" s="152" t="s">
        <v>14</v>
      </c>
    </row>
    <row r="8" spans="1:10" ht="29.25" customHeight="1" thickBot="1" x14ac:dyDescent="0.25">
      <c r="A8" s="180"/>
      <c r="B8" s="182"/>
      <c r="C8" s="184"/>
      <c r="D8" s="184"/>
      <c r="E8" s="153" t="s">
        <v>15</v>
      </c>
      <c r="F8" s="154" t="s">
        <v>16</v>
      </c>
      <c r="G8" s="153" t="s">
        <v>15</v>
      </c>
      <c r="H8" s="154" t="s">
        <v>16</v>
      </c>
      <c r="I8" s="155" t="s">
        <v>17</v>
      </c>
    </row>
    <row r="9" spans="1:10" ht="20.25" x14ac:dyDescent="0.3">
      <c r="A9" s="233"/>
      <c r="B9" s="234"/>
      <c r="C9" s="235" t="s">
        <v>179</v>
      </c>
      <c r="D9" s="236"/>
      <c r="E9" s="237"/>
      <c r="F9" s="238"/>
      <c r="G9" s="237"/>
      <c r="H9" s="238"/>
      <c r="I9" s="239"/>
    </row>
    <row r="10" spans="1:10" ht="20.25" x14ac:dyDescent="0.3">
      <c r="A10" s="240" t="s">
        <v>137</v>
      </c>
      <c r="B10" s="240" t="s">
        <v>143</v>
      </c>
      <c r="C10" s="241" t="s">
        <v>138</v>
      </c>
      <c r="D10" s="242" t="s">
        <v>19</v>
      </c>
      <c r="E10" s="243">
        <v>10</v>
      </c>
      <c r="F10" s="244" t="s">
        <v>20</v>
      </c>
      <c r="G10" s="245"/>
      <c r="H10" s="246" t="s">
        <v>190</v>
      </c>
      <c r="I10" s="247"/>
    </row>
    <row r="11" spans="1:10" ht="20.25" x14ac:dyDescent="0.3">
      <c r="A11" s="240" t="s">
        <v>173</v>
      </c>
      <c r="B11" s="240" t="s">
        <v>174</v>
      </c>
      <c r="C11" s="241" t="s">
        <v>193</v>
      </c>
      <c r="D11" s="242" t="s">
        <v>22</v>
      </c>
      <c r="E11" s="243">
        <v>75</v>
      </c>
      <c r="F11" s="244" t="s">
        <v>20</v>
      </c>
      <c r="G11" s="245"/>
      <c r="H11" s="246"/>
      <c r="I11" s="247"/>
      <c r="J11" s="156"/>
    </row>
    <row r="12" spans="1:10" ht="20.25" x14ac:dyDescent="0.3">
      <c r="A12" s="240" t="s">
        <v>159</v>
      </c>
      <c r="B12" s="240" t="s">
        <v>160</v>
      </c>
      <c r="C12" s="241" t="s">
        <v>180</v>
      </c>
      <c r="D12" s="242" t="s">
        <v>22</v>
      </c>
      <c r="E12" s="242">
        <v>20</v>
      </c>
      <c r="F12" s="244" t="s">
        <v>20</v>
      </c>
      <c r="G12" s="243"/>
      <c r="H12" s="246" t="s">
        <v>181</v>
      </c>
      <c r="I12" s="247"/>
    </row>
    <row r="13" spans="1:10" ht="20.25" x14ac:dyDescent="0.3">
      <c r="A13" s="240" t="s">
        <v>139</v>
      </c>
      <c r="B13" s="240" t="s">
        <v>152</v>
      </c>
      <c r="C13" s="241" t="s">
        <v>154</v>
      </c>
      <c r="D13" s="242" t="s">
        <v>22</v>
      </c>
      <c r="E13" s="243">
        <v>20</v>
      </c>
      <c r="F13" s="244" t="s">
        <v>20</v>
      </c>
      <c r="G13" s="243"/>
      <c r="H13" s="246" t="s">
        <v>182</v>
      </c>
      <c r="I13" s="247"/>
    </row>
    <row r="14" spans="1:10" ht="20.25" x14ac:dyDescent="0.3">
      <c r="A14" s="240">
        <v>902000181</v>
      </c>
      <c r="B14" s="240" t="s">
        <v>155</v>
      </c>
      <c r="C14" s="241" t="s">
        <v>156</v>
      </c>
      <c r="D14" s="242" t="s">
        <v>22</v>
      </c>
      <c r="E14" s="243">
        <v>20</v>
      </c>
      <c r="F14" s="244" t="s">
        <v>20</v>
      </c>
      <c r="G14" s="243"/>
      <c r="H14" s="246" t="s">
        <v>191</v>
      </c>
      <c r="I14" s="247"/>
    </row>
    <row r="15" spans="1:10" ht="40.5" x14ac:dyDescent="0.3">
      <c r="A15" s="248"/>
      <c r="B15" s="249" t="s">
        <v>195</v>
      </c>
      <c r="C15" s="250" t="s">
        <v>202</v>
      </c>
      <c r="D15" s="346" t="s">
        <v>204</v>
      </c>
      <c r="E15" s="243">
        <v>10</v>
      </c>
      <c r="F15" s="244" t="s">
        <v>20</v>
      </c>
      <c r="G15" s="251"/>
      <c r="H15" s="246" t="s">
        <v>182</v>
      </c>
      <c r="I15" s="247"/>
    </row>
    <row r="16" spans="1:10" ht="20.25" x14ac:dyDescent="0.3">
      <c r="A16" s="248"/>
      <c r="B16" s="248"/>
      <c r="C16" s="252"/>
      <c r="D16" s="242"/>
      <c r="E16" s="243"/>
      <c r="F16" s="244"/>
      <c r="G16" s="251"/>
      <c r="H16" s="246"/>
      <c r="I16" s="247"/>
    </row>
    <row r="17" spans="1:9" ht="20.25" x14ac:dyDescent="0.3">
      <c r="A17" s="248"/>
      <c r="B17" s="248"/>
      <c r="C17" s="252"/>
      <c r="D17" s="253"/>
      <c r="E17" s="245"/>
      <c r="F17" s="254"/>
      <c r="G17" s="251"/>
      <c r="H17" s="246"/>
      <c r="I17" s="247"/>
    </row>
    <row r="18" spans="1:9" ht="20.25" x14ac:dyDescent="0.3">
      <c r="A18" s="242"/>
      <c r="B18" s="242"/>
      <c r="C18" s="255"/>
      <c r="D18" s="256"/>
      <c r="E18" s="257"/>
      <c r="F18" s="258"/>
      <c r="G18" s="259"/>
      <c r="H18" s="246"/>
      <c r="I18" s="247"/>
    </row>
    <row r="19" spans="1:9" ht="20.25" x14ac:dyDescent="0.3">
      <c r="A19" s="242"/>
      <c r="B19" s="242"/>
      <c r="C19" s="260"/>
      <c r="D19" s="257"/>
      <c r="E19" s="257"/>
      <c r="F19" s="258"/>
      <c r="G19" s="261"/>
      <c r="H19" s="262"/>
      <c r="I19" s="247"/>
    </row>
    <row r="20" spans="1:9" ht="20.25" x14ac:dyDescent="0.3">
      <c r="A20" s="263"/>
      <c r="B20" s="263"/>
      <c r="C20" s="264" t="s">
        <v>183</v>
      </c>
      <c r="D20" s="262" t="s">
        <v>184</v>
      </c>
      <c r="E20" s="265"/>
      <c r="F20" s="258"/>
      <c r="G20" s="261"/>
      <c r="H20" s="262"/>
      <c r="I20" s="247"/>
    </row>
    <row r="21" spans="1:9" ht="20.25" x14ac:dyDescent="0.3">
      <c r="A21" s="249" t="s">
        <v>27</v>
      </c>
      <c r="B21" s="249" t="s">
        <v>144</v>
      </c>
      <c r="C21" s="260" t="s">
        <v>185</v>
      </c>
      <c r="D21" s="266" t="s">
        <v>22</v>
      </c>
      <c r="E21" s="249">
        <v>45</v>
      </c>
      <c r="F21" s="240" t="s">
        <v>20</v>
      </c>
      <c r="G21" s="261"/>
      <c r="H21" s="262" t="s">
        <v>197</v>
      </c>
      <c r="I21" s="247"/>
    </row>
    <row r="22" spans="1:9" ht="20.25" x14ac:dyDescent="0.3">
      <c r="A22" s="267">
        <v>902000180</v>
      </c>
      <c r="B22" s="267" t="s">
        <v>161</v>
      </c>
      <c r="C22" s="268" t="s">
        <v>162</v>
      </c>
      <c r="D22" s="266" t="s">
        <v>22</v>
      </c>
      <c r="E22" s="249">
        <v>12</v>
      </c>
      <c r="F22" s="240" t="s">
        <v>20</v>
      </c>
      <c r="G22" s="261"/>
      <c r="H22" s="262"/>
      <c r="I22" s="247"/>
    </row>
    <row r="23" spans="1:9" ht="40.5" x14ac:dyDescent="0.3">
      <c r="A23" s="269"/>
      <c r="B23" s="249" t="s">
        <v>195</v>
      </c>
      <c r="C23" s="250" t="s">
        <v>203</v>
      </c>
      <c r="D23" s="266" t="s">
        <v>22</v>
      </c>
      <c r="E23" s="249">
        <v>10</v>
      </c>
      <c r="F23" s="240" t="s">
        <v>20</v>
      </c>
      <c r="G23" s="261"/>
      <c r="H23" s="262" t="s">
        <v>192</v>
      </c>
      <c r="I23" s="247"/>
    </row>
    <row r="24" spans="1:9" ht="20.25" x14ac:dyDescent="0.3">
      <c r="A24" s="242"/>
      <c r="B24" s="242"/>
      <c r="C24" s="260"/>
      <c r="D24" s="257"/>
      <c r="E24" s="262"/>
      <c r="F24" s="258"/>
      <c r="G24" s="261"/>
      <c r="H24" s="262"/>
      <c r="I24" s="247"/>
    </row>
    <row r="25" spans="1:9" ht="20.25" x14ac:dyDescent="0.3">
      <c r="A25" s="242"/>
      <c r="B25" s="242"/>
      <c r="C25" s="260"/>
      <c r="D25" s="270" t="s">
        <v>184</v>
      </c>
      <c r="E25" s="271"/>
      <c r="F25" s="272"/>
      <c r="G25" s="261"/>
      <c r="H25" s="262"/>
      <c r="I25" s="247"/>
    </row>
    <row r="26" spans="1:9" ht="20.25" x14ac:dyDescent="0.3">
      <c r="A26" s="273"/>
      <c r="B26" s="273"/>
      <c r="C26" s="274" t="s">
        <v>186</v>
      </c>
      <c r="D26" s="275" t="s">
        <v>184</v>
      </c>
      <c r="E26" s="261"/>
      <c r="F26" s="276"/>
      <c r="G26" s="261"/>
      <c r="H26" s="262"/>
      <c r="I26" s="247"/>
    </row>
    <row r="27" spans="1:9" ht="20.25" x14ac:dyDescent="0.3">
      <c r="A27" s="277" t="s">
        <v>140</v>
      </c>
      <c r="B27" s="277" t="s">
        <v>145</v>
      </c>
      <c r="C27" s="278" t="s">
        <v>141</v>
      </c>
      <c r="D27" s="248" t="s">
        <v>142</v>
      </c>
      <c r="E27" s="277">
        <v>1</v>
      </c>
      <c r="F27" s="263" t="s">
        <v>30</v>
      </c>
      <c r="G27" s="251"/>
      <c r="H27" s="262"/>
      <c r="I27" s="247"/>
    </row>
    <row r="28" spans="1:9" ht="20.25" x14ac:dyDescent="0.3">
      <c r="A28" s="277">
        <v>702077</v>
      </c>
      <c r="B28" s="277" t="s">
        <v>146</v>
      </c>
      <c r="C28" s="278" t="s">
        <v>31</v>
      </c>
      <c r="D28" s="248" t="s">
        <v>187</v>
      </c>
      <c r="E28" s="277">
        <v>1</v>
      </c>
      <c r="F28" s="263" t="s">
        <v>30</v>
      </c>
      <c r="G28" s="259"/>
      <c r="H28" s="262"/>
      <c r="I28" s="247"/>
    </row>
    <row r="29" spans="1:9" ht="20.25" x14ac:dyDescent="0.3">
      <c r="A29" s="277">
        <v>702007</v>
      </c>
      <c r="B29" s="277" t="s">
        <v>147</v>
      </c>
      <c r="C29" s="278" t="s">
        <v>32</v>
      </c>
      <c r="D29" s="248" t="s">
        <v>187</v>
      </c>
      <c r="E29" s="277">
        <v>1</v>
      </c>
      <c r="F29" s="263" t="s">
        <v>30</v>
      </c>
      <c r="G29" s="261"/>
      <c r="H29" s="262"/>
      <c r="I29" s="247"/>
    </row>
    <row r="30" spans="1:9" ht="20.25" x14ac:dyDescent="0.3">
      <c r="A30" s="277">
        <v>702123</v>
      </c>
      <c r="B30" s="277" t="s">
        <v>148</v>
      </c>
      <c r="C30" s="278" t="s">
        <v>33</v>
      </c>
      <c r="D30" s="248"/>
      <c r="E30" s="277" t="s">
        <v>34</v>
      </c>
      <c r="F30" s="263" t="s">
        <v>30</v>
      </c>
      <c r="G30" s="261"/>
      <c r="H30" s="262"/>
      <c r="I30" s="247"/>
    </row>
    <row r="31" spans="1:9" ht="20.25" x14ac:dyDescent="0.3">
      <c r="A31" s="277">
        <v>702174</v>
      </c>
      <c r="B31" s="277" t="s">
        <v>149</v>
      </c>
      <c r="C31" s="278" t="s">
        <v>35</v>
      </c>
      <c r="D31" s="248"/>
      <c r="E31" s="277" t="s">
        <v>36</v>
      </c>
      <c r="F31" s="263" t="s">
        <v>30</v>
      </c>
      <c r="G31" s="261"/>
      <c r="H31" s="262"/>
      <c r="I31" s="247"/>
    </row>
    <row r="32" spans="1:9" ht="20.25" x14ac:dyDescent="0.3">
      <c r="A32" s="277" t="s">
        <v>37</v>
      </c>
      <c r="B32" s="277" t="s">
        <v>150</v>
      </c>
      <c r="C32" s="278" t="s">
        <v>38</v>
      </c>
      <c r="D32" s="248"/>
      <c r="E32" s="277" t="s">
        <v>34</v>
      </c>
      <c r="F32" s="263" t="s">
        <v>30</v>
      </c>
      <c r="G32" s="279"/>
      <c r="H32" s="262"/>
      <c r="I32" s="247"/>
    </row>
    <row r="33" spans="1:9" ht="20.25" x14ac:dyDescent="0.3">
      <c r="A33" s="277">
        <v>701096</v>
      </c>
      <c r="B33" s="277" t="s">
        <v>151</v>
      </c>
      <c r="C33" s="278" t="s">
        <v>39</v>
      </c>
      <c r="D33" s="248"/>
      <c r="E33" s="277">
        <v>1</v>
      </c>
      <c r="F33" s="244" t="s">
        <v>30</v>
      </c>
      <c r="G33" s="257"/>
      <c r="H33" s="262"/>
      <c r="I33" s="247"/>
    </row>
    <row r="34" spans="1:9" ht="20.25" x14ac:dyDescent="0.3">
      <c r="A34" s="242"/>
      <c r="B34" s="242"/>
      <c r="C34" s="255"/>
      <c r="D34" s="242"/>
      <c r="E34" s="243"/>
      <c r="F34" s="244"/>
      <c r="G34" s="257"/>
      <c r="H34" s="262"/>
      <c r="I34" s="247"/>
    </row>
    <row r="35" spans="1:9" ht="20.25" x14ac:dyDescent="0.3">
      <c r="A35" s="280"/>
      <c r="B35" s="281"/>
      <c r="C35" s="282"/>
      <c r="D35" s="283"/>
      <c r="E35" s="283"/>
      <c r="F35" s="284"/>
      <c r="G35" s="283"/>
      <c r="H35" s="283"/>
      <c r="I35" s="239"/>
    </row>
    <row r="36" spans="1:9" ht="21" thickBot="1" x14ac:dyDescent="0.35">
      <c r="A36" s="285"/>
      <c r="B36" s="286"/>
      <c r="C36" s="287"/>
      <c r="D36" s="287"/>
      <c r="E36" s="288"/>
      <c r="F36" s="289"/>
      <c r="G36" s="287"/>
      <c r="H36" s="287"/>
      <c r="I36" s="290"/>
    </row>
    <row r="37" spans="1:9" ht="21" thickBot="1" x14ac:dyDescent="0.35">
      <c r="A37" s="291"/>
      <c r="B37" s="292"/>
      <c r="C37" s="293"/>
      <c r="D37" s="294" t="s">
        <v>15</v>
      </c>
      <c r="E37" s="295" t="s">
        <v>40</v>
      </c>
      <c r="F37" s="296"/>
      <c r="G37" s="293"/>
      <c r="H37" s="293"/>
      <c r="I37" s="297"/>
    </row>
    <row r="38" spans="1:9" ht="20.25" x14ac:dyDescent="0.3">
      <c r="A38" s="298" t="s">
        <v>41</v>
      </c>
      <c r="B38" s="299"/>
      <c r="C38" s="300"/>
      <c r="D38" s="301">
        <v>190</v>
      </c>
      <c r="E38" s="302" t="s">
        <v>20</v>
      </c>
      <c r="F38" s="303" t="s">
        <v>42</v>
      </c>
      <c r="G38" s="303"/>
      <c r="H38" s="304"/>
      <c r="I38" s="305"/>
    </row>
    <row r="39" spans="1:9" ht="20.25" x14ac:dyDescent="0.3">
      <c r="A39" s="306" t="s">
        <v>43</v>
      </c>
      <c r="B39" s="307"/>
      <c r="C39" s="308"/>
      <c r="D39" s="253">
        <v>3</v>
      </c>
      <c r="E39" s="242" t="s">
        <v>44</v>
      </c>
      <c r="F39" s="309" t="s">
        <v>45</v>
      </c>
      <c r="G39" s="309"/>
      <c r="H39" s="310"/>
      <c r="I39" s="311"/>
    </row>
    <row r="40" spans="1:9" ht="20.25" x14ac:dyDescent="0.3">
      <c r="A40" s="306" t="s">
        <v>46</v>
      </c>
      <c r="B40" s="307"/>
      <c r="C40" s="308"/>
      <c r="D40" s="242">
        <v>1</v>
      </c>
      <c r="E40" s="242" t="s">
        <v>30</v>
      </c>
      <c r="F40" s="309" t="s">
        <v>47</v>
      </c>
      <c r="G40" s="309"/>
      <c r="H40" s="310"/>
      <c r="I40" s="311"/>
    </row>
    <row r="41" spans="1:9" ht="20.25" x14ac:dyDescent="0.3">
      <c r="A41" s="306" t="s">
        <v>48</v>
      </c>
      <c r="B41" s="307"/>
      <c r="C41" s="308"/>
      <c r="D41" s="242">
        <v>190</v>
      </c>
      <c r="E41" s="242" t="s">
        <v>20</v>
      </c>
      <c r="F41" s="312" t="s">
        <v>49</v>
      </c>
      <c r="G41" s="313"/>
      <c r="H41" s="310"/>
      <c r="I41" s="311"/>
    </row>
    <row r="42" spans="1:9" ht="21" thickBot="1" x14ac:dyDescent="0.35">
      <c r="A42" s="314" t="s">
        <v>50</v>
      </c>
      <c r="B42" s="315"/>
      <c r="C42" s="316"/>
      <c r="D42" s="317">
        <f>SUM(E10:E23)-D38</f>
        <v>32</v>
      </c>
      <c r="E42" s="318" t="s">
        <v>20</v>
      </c>
      <c r="F42" s="319"/>
      <c r="G42" s="319"/>
      <c r="H42" s="320"/>
      <c r="I42" s="321"/>
    </row>
    <row r="43" spans="1:9" ht="21" thickBot="1" x14ac:dyDescent="0.35">
      <c r="A43" s="341" t="s">
        <v>51</v>
      </c>
      <c r="B43" s="342"/>
      <c r="C43" s="342"/>
      <c r="D43" s="342"/>
      <c r="E43" s="342"/>
      <c r="F43" s="342"/>
      <c r="G43" s="342"/>
      <c r="H43" s="342"/>
      <c r="I43" s="343"/>
    </row>
    <row r="44" spans="1:9" ht="48" customHeight="1" x14ac:dyDescent="0.2">
      <c r="A44" s="322" t="s">
        <v>198</v>
      </c>
      <c r="B44" s="323"/>
      <c r="C44" s="324"/>
      <c r="D44" s="324"/>
      <c r="E44" s="324"/>
      <c r="F44" s="324"/>
      <c r="G44" s="324"/>
      <c r="H44" s="324"/>
      <c r="I44" s="325"/>
    </row>
    <row r="45" spans="1:9" ht="22.5" customHeight="1" x14ac:dyDescent="0.3">
      <c r="A45" s="326" t="s">
        <v>199</v>
      </c>
      <c r="B45" s="327"/>
      <c r="C45" s="328"/>
      <c r="D45" s="328"/>
      <c r="E45" s="328"/>
      <c r="F45" s="328"/>
      <c r="G45" s="328"/>
      <c r="H45" s="328"/>
      <c r="I45" s="329"/>
    </row>
    <row r="46" spans="1:9" ht="24.75" customHeight="1" x14ac:dyDescent="0.2">
      <c r="A46" s="322" t="s">
        <v>200</v>
      </c>
      <c r="B46" s="323"/>
      <c r="C46" s="324"/>
      <c r="D46" s="324"/>
      <c r="E46" s="324"/>
      <c r="F46" s="324"/>
      <c r="G46" s="324"/>
      <c r="H46" s="324"/>
      <c r="I46" s="325"/>
    </row>
    <row r="47" spans="1:9" ht="55.5" customHeight="1" x14ac:dyDescent="0.2">
      <c r="A47" s="330" t="s">
        <v>201</v>
      </c>
      <c r="B47" s="331"/>
      <c r="C47" s="331"/>
      <c r="D47" s="331"/>
      <c r="E47" s="331"/>
      <c r="F47" s="331"/>
      <c r="G47" s="331"/>
      <c r="H47" s="331"/>
      <c r="I47" s="332"/>
    </row>
    <row r="48" spans="1:9" ht="21" thickBot="1" x14ac:dyDescent="0.35">
      <c r="A48" s="333"/>
      <c r="B48" s="334"/>
      <c r="C48" s="334"/>
      <c r="D48" s="334"/>
      <c r="E48" s="334"/>
      <c r="F48" s="334"/>
      <c r="G48" s="334"/>
      <c r="H48" s="334"/>
      <c r="I48" s="335"/>
    </row>
    <row r="49" spans="1:9" ht="20.25" x14ac:dyDescent="0.3">
      <c r="A49" s="336" t="s">
        <v>188</v>
      </c>
      <c r="B49" s="337"/>
      <c r="C49" s="337"/>
      <c r="D49" s="337"/>
      <c r="E49" s="337"/>
      <c r="F49" s="337"/>
      <c r="G49" s="337"/>
      <c r="H49" s="337"/>
      <c r="I49" s="337"/>
    </row>
    <row r="50" spans="1:9" ht="20.25" x14ac:dyDescent="0.3">
      <c r="A50" s="344" t="s">
        <v>194</v>
      </c>
      <c r="B50" s="344"/>
      <c r="C50" s="344"/>
      <c r="D50" s="344"/>
      <c r="E50" s="344"/>
      <c r="F50" s="344"/>
      <c r="G50" s="344"/>
      <c r="H50" s="344"/>
      <c r="I50" s="344"/>
    </row>
    <row r="51" spans="1:9" ht="20.25" x14ac:dyDescent="0.3">
      <c r="A51" s="345" t="s">
        <v>196</v>
      </c>
      <c r="B51" s="345"/>
      <c r="C51" s="345"/>
      <c r="D51" s="345"/>
      <c r="E51" s="345"/>
      <c r="F51" s="345"/>
      <c r="G51" s="345"/>
      <c r="H51" s="345"/>
      <c r="I51" s="345"/>
    </row>
    <row r="52" spans="1:9" ht="20.25" x14ac:dyDescent="0.3">
      <c r="A52" s="338"/>
      <c r="B52" s="338"/>
      <c r="C52" s="338"/>
      <c r="D52" s="338"/>
      <c r="E52" s="338"/>
      <c r="F52" s="338"/>
      <c r="G52" s="338"/>
      <c r="H52" s="338"/>
      <c r="I52" s="338"/>
    </row>
  </sheetData>
  <mergeCells count="41">
    <mergeCell ref="A51:I51"/>
    <mergeCell ref="A46:I46"/>
    <mergeCell ref="A47:I47"/>
    <mergeCell ref="A48:I48"/>
    <mergeCell ref="A49:I49"/>
    <mergeCell ref="A50:I50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A82D-6831-4FB3-8F60-BE661C31567C}">
  <dimension ref="A1:Q94"/>
  <sheetViews>
    <sheetView topLeftCell="A45" workbookViewId="0">
      <selection activeCell="F61" sqref="F61"/>
    </sheetView>
  </sheetViews>
  <sheetFormatPr baseColWidth="10" defaultColWidth="8.42578125" defaultRowHeight="12.75" x14ac:dyDescent="0.2"/>
  <cols>
    <col min="1" max="1" width="10" style="10" bestFit="1" customWidth="1"/>
    <col min="2" max="2" width="44.28515625" style="10" bestFit="1" customWidth="1"/>
    <col min="3" max="3" width="10.42578125" style="10" bestFit="1" customWidth="1"/>
    <col min="4" max="4" width="10.42578125" style="10" customWidth="1"/>
    <col min="5" max="5" width="9.7109375" style="10" bestFit="1" customWidth="1"/>
    <col min="6" max="6" width="9.5703125" style="10" bestFit="1" customWidth="1"/>
    <col min="7" max="7" width="9.5703125" style="90" bestFit="1" customWidth="1"/>
    <col min="8" max="8" width="10.42578125" style="81" bestFit="1" customWidth="1"/>
    <col min="9" max="9" width="4.5703125" style="81" customWidth="1"/>
    <col min="10" max="10" width="1.7109375" style="9" customWidth="1"/>
    <col min="11" max="11" width="7" style="10" bestFit="1" customWidth="1"/>
    <col min="12" max="12" width="6.28515625" style="10" customWidth="1"/>
    <col min="13" max="13" width="20.42578125" style="10" customWidth="1"/>
    <col min="14" max="14" width="6.42578125" style="10" bestFit="1" customWidth="1"/>
    <col min="15" max="16" width="8.42578125" style="10"/>
    <col min="17" max="17" width="3.28515625" style="10" customWidth="1"/>
    <col min="18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52</v>
      </c>
      <c r="F1" s="7" t="s">
        <v>53</v>
      </c>
      <c r="G1" s="7" t="s">
        <v>54</v>
      </c>
      <c r="H1" s="7" t="s">
        <v>55</v>
      </c>
      <c r="I1" s="8"/>
    </row>
    <row r="2" spans="1:10" ht="30.75" customHeight="1" x14ac:dyDescent="0.2">
      <c r="A2" s="5"/>
      <c r="B2" s="5"/>
      <c r="C2" s="5"/>
      <c r="D2" s="5"/>
      <c r="E2" s="11">
        <f>IFERROR(O65,"")</f>
        <v>987.92879724663646</v>
      </c>
      <c r="F2" s="11">
        <f>IFERROR(H56,"")</f>
        <v>387.34029850746271</v>
      </c>
      <c r="G2" s="11">
        <f>IFERROR(H57,"")</f>
        <v>174.27143446793232</v>
      </c>
      <c r="H2" s="11">
        <f>IFERROR(H59,"")</f>
        <v>218.53227664324137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211"/>
      <c r="B4" s="211"/>
      <c r="C4" s="211"/>
      <c r="D4" s="211"/>
      <c r="E4" s="211"/>
      <c r="F4" s="211"/>
      <c r="G4" s="211"/>
      <c r="H4" s="211"/>
      <c r="I4" s="14"/>
    </row>
    <row r="5" spans="1:10" ht="19.5" customHeight="1" thickBot="1" x14ac:dyDescent="0.25">
      <c r="A5" s="212" t="s">
        <v>56</v>
      </c>
      <c r="B5" s="213"/>
      <c r="C5" s="213"/>
      <c r="D5" s="213"/>
      <c r="E5" s="213"/>
      <c r="F5" s="213"/>
      <c r="G5" s="213"/>
      <c r="H5" s="214"/>
      <c r="I5" s="15"/>
    </row>
    <row r="6" spans="1:10" ht="19.5" thickBot="1" x14ac:dyDescent="0.25">
      <c r="A6" s="15"/>
      <c r="B6" s="15"/>
      <c r="C6" s="15"/>
      <c r="D6" s="15"/>
      <c r="E6" s="15"/>
      <c r="F6" s="215" t="s">
        <v>57</v>
      </c>
      <c r="G6" s="215"/>
      <c r="H6" s="16">
        <f ca="1">TODAY()</f>
        <v>46079</v>
      </c>
      <c r="I6" s="16"/>
    </row>
    <row r="7" spans="1:10" ht="26.25" thickBot="1" x14ac:dyDescent="0.25">
      <c r="A7" s="17" t="s">
        <v>58</v>
      </c>
      <c r="B7" s="18" t="s">
        <v>59</v>
      </c>
      <c r="C7" s="18" t="s">
        <v>58</v>
      </c>
      <c r="D7" s="19" t="s">
        <v>60</v>
      </c>
      <c r="E7" s="19" t="s">
        <v>61</v>
      </c>
      <c r="F7" s="19" t="s">
        <v>62</v>
      </c>
      <c r="G7" s="19" t="s">
        <v>63</v>
      </c>
      <c r="H7" s="20" t="s">
        <v>64</v>
      </c>
      <c r="I7" s="21"/>
    </row>
    <row r="8" spans="1:10" ht="13.5" x14ac:dyDescent="0.25">
      <c r="A8" s="22">
        <v>5</v>
      </c>
      <c r="B8" s="10" t="s">
        <v>138</v>
      </c>
      <c r="C8" s="23">
        <f>+A8</f>
        <v>5</v>
      </c>
      <c r="D8" s="24" t="s">
        <v>166</v>
      </c>
      <c r="E8" s="24">
        <v>2.56</v>
      </c>
      <c r="F8" s="24">
        <f>IFERROR(C8*E8,"")</f>
        <v>12.8</v>
      </c>
      <c r="G8" s="25">
        <f t="shared" ref="G8:G14" si="0">IFERROR(F8/$F$69,"")</f>
        <v>1.701316505018954E-2</v>
      </c>
      <c r="H8" s="26" t="s">
        <v>137</v>
      </c>
      <c r="I8" s="26"/>
      <c r="J8" s="27"/>
    </row>
    <row r="9" spans="1:10" ht="13.5" hidden="1" x14ac:dyDescent="0.25">
      <c r="A9" s="22"/>
      <c r="B9" s="10" t="str">
        <f>IFERROR(VLOOKUP(H9,'[1]Consolidado MP Planta'!$A$2:$M$823,3,0),"")</f>
        <v/>
      </c>
      <c r="C9" s="23">
        <f t="shared" ref="C9:C14" si="1">+A9</f>
        <v>0</v>
      </c>
      <c r="D9" s="24" t="str">
        <f>IFERROR(VLOOKUP(H9,'[1]Consolidado MP Planta'!$A$2:$M$823,13,0),"")</f>
        <v/>
      </c>
      <c r="E9" s="24" t="str">
        <f>IFERROR(VLOOKUP(H9,'[1]Consolidado MP Planta'!$A$2:$M$823,12,0),"")</f>
        <v/>
      </c>
      <c r="F9" s="24" t="str">
        <f t="shared" ref="F9:F14" si="2">IFERROR(C9*E9,"")</f>
        <v/>
      </c>
      <c r="G9" s="25" t="str">
        <f t="shared" si="0"/>
        <v/>
      </c>
      <c r="H9" s="26"/>
      <c r="I9" s="26"/>
      <c r="J9" s="27"/>
    </row>
    <row r="10" spans="1:10" ht="13.5" hidden="1" x14ac:dyDescent="0.25">
      <c r="A10" s="22"/>
      <c r="B10" s="10" t="str">
        <f>IFERROR(VLOOKUP(H10,'[1]Consolidado MP Planta'!$A$2:$M$823,3,0),"")</f>
        <v/>
      </c>
      <c r="C10" s="23">
        <f t="shared" si="1"/>
        <v>0</v>
      </c>
      <c r="D10" s="24" t="str">
        <f>IFERROR(VLOOKUP(H10,'[1]Consolidado MP Planta'!$A$2:$M$823,13,0),"")</f>
        <v/>
      </c>
      <c r="E10" s="24" t="str">
        <f>IFERROR(VLOOKUP(H10,'[1]Consolidado MP Planta'!$A$2:$M$823,12,0),"")</f>
        <v/>
      </c>
      <c r="F10" s="24" t="str">
        <f t="shared" si="2"/>
        <v/>
      </c>
      <c r="G10" s="25" t="str">
        <f t="shared" si="0"/>
        <v/>
      </c>
      <c r="H10" s="26"/>
      <c r="I10" s="26"/>
      <c r="J10" s="27"/>
    </row>
    <row r="11" spans="1:10" ht="13.5" hidden="1" x14ac:dyDescent="0.25">
      <c r="A11" s="22"/>
      <c r="B11" s="10" t="str">
        <f>IFERROR(VLOOKUP(H11,'[1]Consolidado MP Planta'!$A$2:$M$823,3,0),"")</f>
        <v/>
      </c>
      <c r="C11" s="23">
        <f t="shared" si="1"/>
        <v>0</v>
      </c>
      <c r="D11" s="24" t="str">
        <f>IFERROR(VLOOKUP(H11,'[1]Consolidado MP Planta'!$A$2:$M$823,13,0),"")</f>
        <v/>
      </c>
      <c r="E11" s="24" t="str">
        <f>IFERROR(VLOOKUP(H11,'[1]Consolidado MP Planta'!$A$2:$M$823,12,0),"")</f>
        <v/>
      </c>
      <c r="F11" s="24" t="str">
        <f t="shared" si="2"/>
        <v/>
      </c>
      <c r="G11" s="25" t="str">
        <f t="shared" si="0"/>
        <v/>
      </c>
      <c r="H11" s="26"/>
      <c r="I11" s="26"/>
      <c r="J11" s="27"/>
    </row>
    <row r="12" spans="1:10" ht="13.5" hidden="1" x14ac:dyDescent="0.25">
      <c r="A12" s="22"/>
      <c r="B12" s="10" t="str">
        <f>IFERROR(VLOOKUP(H12,'[1]Consolidado MP Planta'!$A$2:$M$823,3,0),"")</f>
        <v/>
      </c>
      <c r="C12" s="23">
        <f t="shared" si="1"/>
        <v>0</v>
      </c>
      <c r="D12" s="24" t="str">
        <f>IFERROR(VLOOKUP(H12,'[1]Consolidado MP Planta'!$A$2:$M$823,13,0),"")</f>
        <v/>
      </c>
      <c r="E12" s="24" t="str">
        <f>IFERROR(VLOOKUP(H12,'[1]Consolidado MP Planta'!$A$2:$M$823,12,0),"")</f>
        <v/>
      </c>
      <c r="F12" s="24" t="str">
        <f t="shared" si="2"/>
        <v/>
      </c>
      <c r="G12" s="25" t="str">
        <f t="shared" si="0"/>
        <v/>
      </c>
      <c r="H12" s="26"/>
      <c r="I12" s="26"/>
      <c r="J12" s="27"/>
    </row>
    <row r="13" spans="1:10" ht="13.5" hidden="1" x14ac:dyDescent="0.25">
      <c r="A13" s="22"/>
      <c r="B13" s="10" t="str">
        <f>IFERROR(VLOOKUP(H13,'[1]Consolidado MP Planta'!$A$2:$M$823,3,0),"")</f>
        <v/>
      </c>
      <c r="C13" s="23">
        <f t="shared" si="1"/>
        <v>0</v>
      </c>
      <c r="D13" s="24" t="str">
        <f>IFERROR(VLOOKUP(H13,'[1]Consolidado MP Planta'!$A$2:$M$823,13,0),"")</f>
        <v/>
      </c>
      <c r="E13" s="24" t="str">
        <f>IFERROR(VLOOKUP(H13,'[1]Consolidado MP Planta'!$A$2:$M$823,12,0),"")</f>
        <v/>
      </c>
      <c r="F13" s="24" t="str">
        <f t="shared" si="2"/>
        <v/>
      </c>
      <c r="G13" s="25" t="str">
        <f t="shared" si="0"/>
        <v/>
      </c>
      <c r="H13" s="26"/>
      <c r="I13" s="26"/>
      <c r="J13" s="27"/>
    </row>
    <row r="14" spans="1:10" ht="13.5" hidden="1" x14ac:dyDescent="0.25">
      <c r="A14" s="22"/>
      <c r="B14" s="10" t="str">
        <f>IFERROR(VLOOKUP(H14,'[1]Consolidado MP Planta'!$A$2:$M$823,3,0),"")</f>
        <v/>
      </c>
      <c r="C14" s="23">
        <f t="shared" si="1"/>
        <v>0</v>
      </c>
      <c r="D14" s="24" t="str">
        <f>IFERROR(VLOOKUP(H14,'[1]Consolidado MP Planta'!$A$2:$M$823,13,0),"")</f>
        <v/>
      </c>
      <c r="E14" s="24" t="str">
        <f>IFERROR(VLOOKUP(H14,'[1]Consolidado MP Planta'!$A$2:$M$823,12,0),"")</f>
        <v/>
      </c>
      <c r="F14" s="24" t="str">
        <f t="shared" si="2"/>
        <v/>
      </c>
      <c r="G14" s="25" t="str">
        <f t="shared" si="0"/>
        <v/>
      </c>
      <c r="H14" s="26"/>
      <c r="I14" s="26"/>
      <c r="J14" s="27"/>
    </row>
    <row r="15" spans="1:10" ht="14.25" thickBot="1" x14ac:dyDescent="0.3">
      <c r="A15" s="22"/>
      <c r="B15" s="10" t="str">
        <f>IFERROR(VLOOKUP(H15,'[2]ARTICULOS MP PLANTA'!$A$2:$G$589,2,0),"")</f>
        <v/>
      </c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25">
      <c r="A16" s="17" t="s">
        <v>58</v>
      </c>
      <c r="B16" s="18" t="s">
        <v>66</v>
      </c>
      <c r="C16" s="18" t="s">
        <v>58</v>
      </c>
      <c r="D16" s="19" t="s">
        <v>60</v>
      </c>
      <c r="E16" s="19" t="s">
        <v>61</v>
      </c>
      <c r="F16" s="19" t="s">
        <v>62</v>
      </c>
      <c r="G16" s="19" t="s">
        <v>63</v>
      </c>
      <c r="H16" s="20" t="s">
        <v>64</v>
      </c>
      <c r="I16" s="21"/>
      <c r="J16" s="27"/>
    </row>
    <row r="17" spans="1:12" ht="13.5" x14ac:dyDescent="0.25">
      <c r="A17" s="22">
        <v>1</v>
      </c>
      <c r="B17" s="10" t="s">
        <v>153</v>
      </c>
      <c r="C17" s="23">
        <f>+A17</f>
        <v>1</v>
      </c>
      <c r="D17" s="23" t="s">
        <v>67</v>
      </c>
      <c r="E17" s="24">
        <v>134.14029850746269</v>
      </c>
      <c r="F17" s="24">
        <f>IFERROR(E17*C17,"")</f>
        <v>134.14029850746269</v>
      </c>
      <c r="G17" s="25">
        <f t="shared" ref="G17:G24" si="3">IFERROR(F17/$F$69,"")</f>
        <v>0.17829304987415284</v>
      </c>
      <c r="H17" s="26" t="s">
        <v>167</v>
      </c>
      <c r="I17" s="26"/>
      <c r="J17" s="27"/>
    </row>
    <row r="18" spans="1:12" ht="13.5" x14ac:dyDescent="0.25">
      <c r="A18" s="22">
        <v>20</v>
      </c>
      <c r="B18" s="10" t="str">
        <f>IFERROR(VLOOKUP(H18,[1]SEMIELABORADOS!$A$2:$M$6000,2,0),"")</f>
        <v>MEZCLA TRES LECHES C/AGUA (KILO)</v>
      </c>
      <c r="C18" s="23">
        <f t="shared" ref="C18:C24" si="4">+A18</f>
        <v>20</v>
      </c>
      <c r="D18" s="23" t="str">
        <f>IFERROR(VLOOKUP(H18,[1]SEMIELABORADOS!$A$2:$M$6000,6,0),"")</f>
        <v>Gramo</v>
      </c>
      <c r="E18" s="24">
        <v>1.1100000000000001</v>
      </c>
      <c r="F18" s="24">
        <f t="shared" ref="F18:F24" si="5">IFERROR(E18*C18,"")</f>
        <v>22.200000000000003</v>
      </c>
      <c r="G18" s="25">
        <f t="shared" si="3"/>
        <v>2.9507208133922488E-2</v>
      </c>
      <c r="H18" s="26" t="s">
        <v>159</v>
      </c>
      <c r="I18" s="26"/>
      <c r="J18" s="27"/>
    </row>
    <row r="19" spans="1:12" ht="13.5" x14ac:dyDescent="0.25">
      <c r="A19" s="22">
        <v>20</v>
      </c>
      <c r="B19" s="10" t="s">
        <v>154</v>
      </c>
      <c r="C19" s="23">
        <f>+A19</f>
        <v>20</v>
      </c>
      <c r="D19" s="23" t="s">
        <v>168</v>
      </c>
      <c r="E19" s="24">
        <v>2.4300000000000002</v>
      </c>
      <c r="F19" s="24">
        <f>IFERROR(E19*C19,"")</f>
        <v>48.6</v>
      </c>
      <c r="G19" s="25">
        <f t="shared" si="3"/>
        <v>6.4596861049938406E-2</v>
      </c>
      <c r="H19" s="26" t="s">
        <v>139</v>
      </c>
      <c r="I19" s="26"/>
      <c r="J19" s="27"/>
    </row>
    <row r="20" spans="1:12" ht="13.5" x14ac:dyDescent="0.25">
      <c r="A20" s="22">
        <v>20</v>
      </c>
      <c r="B20" s="10" t="s">
        <v>156</v>
      </c>
      <c r="C20" s="23">
        <f>+A20</f>
        <v>20</v>
      </c>
      <c r="D20" s="23" t="s">
        <v>168</v>
      </c>
      <c r="E20" s="24">
        <v>2.23</v>
      </c>
      <c r="F20" s="24">
        <f>IFERROR(E20*C20,"")</f>
        <v>44.6</v>
      </c>
      <c r="G20" s="25">
        <f t="shared" si="3"/>
        <v>5.9280246971754179E-2</v>
      </c>
      <c r="H20" s="26" t="s">
        <v>169</v>
      </c>
      <c r="I20" s="26"/>
      <c r="J20" s="27"/>
    </row>
    <row r="21" spans="1:12" ht="13.5" x14ac:dyDescent="0.25">
      <c r="A21" s="22">
        <v>10</v>
      </c>
      <c r="B21" s="10" t="s">
        <v>158</v>
      </c>
      <c r="C21" s="23">
        <f>+A21</f>
        <v>10</v>
      </c>
      <c r="D21" s="23" t="s">
        <v>168</v>
      </c>
      <c r="E21" s="24">
        <v>4.05</v>
      </c>
      <c r="F21" s="24">
        <f>IFERROR(E21*C21,"")</f>
        <v>40.5</v>
      </c>
      <c r="G21" s="25">
        <f t="shared" si="3"/>
        <v>5.3830717541615343E-2</v>
      </c>
      <c r="H21" s="26" t="s">
        <v>157</v>
      </c>
      <c r="I21" s="26"/>
      <c r="J21" s="27"/>
    </row>
    <row r="22" spans="1:12" ht="13.5" x14ac:dyDescent="0.25">
      <c r="A22" s="22">
        <v>25</v>
      </c>
      <c r="B22" s="10" t="str">
        <f>IFERROR(VLOOKUP(H22,[1]SEMIELABORADOS!$A$2:$M$6000,2,0),"")</f>
        <v>CREMA DULCE LECHE KILO</v>
      </c>
      <c r="C22" s="23">
        <f t="shared" si="4"/>
        <v>25</v>
      </c>
      <c r="D22" s="23" t="str">
        <f>IFERROR(VLOOKUP(H22,[1]SEMIELABORADOS!$A$2:$M$6000,6,0),"")</f>
        <v>Gramo</v>
      </c>
      <c r="E22" s="24">
        <v>2.63</v>
      </c>
      <c r="F22" s="24">
        <f t="shared" si="5"/>
        <v>65.75</v>
      </c>
      <c r="G22" s="25">
        <f t="shared" si="3"/>
        <v>8.7391843910153297E-2</v>
      </c>
      <c r="H22" s="26" t="s">
        <v>27</v>
      </c>
      <c r="I22" s="26"/>
      <c r="J22" s="27"/>
    </row>
    <row r="23" spans="1:12" ht="13.5" x14ac:dyDescent="0.25">
      <c r="A23" s="22">
        <v>5</v>
      </c>
      <c r="B23" s="10" t="s">
        <v>162</v>
      </c>
      <c r="C23" s="23">
        <f t="shared" si="4"/>
        <v>5</v>
      </c>
      <c r="D23" s="23" t="s">
        <v>168</v>
      </c>
      <c r="E23" s="24">
        <v>3.75</v>
      </c>
      <c r="F23" s="24">
        <f t="shared" si="5"/>
        <v>18.75</v>
      </c>
      <c r="G23" s="25">
        <f t="shared" si="3"/>
        <v>2.4921628491488584E-2</v>
      </c>
      <c r="H23" s="26" t="s">
        <v>170</v>
      </c>
      <c r="I23" s="26"/>
      <c r="J23" s="27"/>
    </row>
    <row r="24" spans="1:12" ht="13.5" x14ac:dyDescent="0.25">
      <c r="A24" s="22"/>
      <c r="B24" s="10" t="str">
        <f>IFERROR(VLOOKUP(H24,[1]SEMIELABORADOS!$A$2:$M$6000,2,0),"")</f>
        <v/>
      </c>
      <c r="C24" s="23">
        <f t="shared" si="4"/>
        <v>0</v>
      </c>
      <c r="D24" s="23" t="str">
        <f>IFERROR(VLOOKUP(H24,[1]SEMIELABORADOS!$A$2:$M$6000,6,0),"")</f>
        <v/>
      </c>
      <c r="E24" s="24" t="str">
        <f>IFERROR(VLOOKUP(H24,[1]SEMIELABORADOS!$A$2:$H$65536,8,0),"")</f>
        <v/>
      </c>
      <c r="F24" s="24" t="str">
        <f t="shared" si="5"/>
        <v/>
      </c>
      <c r="G24" s="25" t="str">
        <f t="shared" si="3"/>
        <v/>
      </c>
      <c r="H24" s="26"/>
      <c r="I24" s="26"/>
      <c r="J24" s="27"/>
    </row>
    <row r="25" spans="1:12" ht="14.25" thickBot="1" x14ac:dyDescent="0.3">
      <c r="A25" s="22"/>
      <c r="C25" s="23"/>
      <c r="D25" s="23"/>
      <c r="E25" s="24"/>
      <c r="F25" s="24"/>
      <c r="G25" s="25"/>
      <c r="H25" s="26"/>
      <c r="I25" s="26"/>
      <c r="J25" s="27"/>
    </row>
    <row r="26" spans="1:12" ht="26.25" thickBot="1" x14ac:dyDescent="0.25">
      <c r="A26" s="17" t="s">
        <v>58</v>
      </c>
      <c r="B26" s="18" t="s">
        <v>29</v>
      </c>
      <c r="C26" s="18" t="s">
        <v>58</v>
      </c>
      <c r="D26" s="19" t="s">
        <v>60</v>
      </c>
      <c r="E26" s="19" t="s">
        <v>61</v>
      </c>
      <c r="F26" s="19" t="s">
        <v>62</v>
      </c>
      <c r="G26" s="19" t="s">
        <v>63</v>
      </c>
      <c r="H26" s="20" t="s">
        <v>64</v>
      </c>
      <c r="I26" s="21"/>
    </row>
    <row r="27" spans="1:12" ht="13.5" x14ac:dyDescent="0.25">
      <c r="A27" s="22">
        <v>1</v>
      </c>
      <c r="B27" s="28" t="s">
        <v>171</v>
      </c>
      <c r="C27" s="23">
        <f t="shared" ref="C27:C33" si="6">+A27</f>
        <v>1</v>
      </c>
      <c r="D27" s="24" t="s">
        <v>172</v>
      </c>
      <c r="E27" s="24">
        <v>129</v>
      </c>
      <c r="F27" s="24">
        <f t="shared" ref="F27:F33" si="7">IFERROR(C27*E27,"")</f>
        <v>129</v>
      </c>
      <c r="G27" s="25">
        <f t="shared" ref="G27:G35" si="8">IFERROR(F27/$F$69,"")</f>
        <v>0.17146080402144145</v>
      </c>
      <c r="H27" s="29" t="s">
        <v>140</v>
      </c>
      <c r="I27" s="29"/>
      <c r="J27" s="27"/>
      <c r="K27" s="208"/>
      <c r="L27" s="208"/>
    </row>
    <row r="28" spans="1:12" ht="13.5" x14ac:dyDescent="0.25">
      <c r="A28" s="22">
        <v>1</v>
      </c>
      <c r="B28" s="28" t="str">
        <f>IFERROR(VLOOKUP(H28,'[1]Consolidado MP Planta'!$A$2:$M$823,3,0),"")</f>
        <v>ETIQ. GENERICA PEQUEÑA V-274 (UND)</v>
      </c>
      <c r="C28" s="23">
        <f t="shared" si="6"/>
        <v>1</v>
      </c>
      <c r="D28" s="24" t="str">
        <f>IFERROR(VLOOKUP(H28,'[1]Consolidado MP Planta'!$A$2:$M$823,13,0),"")</f>
        <v>Und</v>
      </c>
      <c r="E28" s="24">
        <v>13.45</v>
      </c>
      <c r="F28" s="24">
        <f t="shared" si="7"/>
        <v>13.45</v>
      </c>
      <c r="G28" s="25">
        <f t="shared" si="8"/>
        <v>1.7877114837894476E-2</v>
      </c>
      <c r="H28" s="29" t="s">
        <v>71</v>
      </c>
      <c r="I28" s="29"/>
      <c r="J28" s="27"/>
      <c r="K28" s="8"/>
      <c r="L28" s="8"/>
    </row>
    <row r="29" spans="1:12" ht="13.5" x14ac:dyDescent="0.25">
      <c r="A29" s="22">
        <v>1</v>
      </c>
      <c r="B29" s="28" t="s">
        <v>32</v>
      </c>
      <c r="C29" s="23">
        <f t="shared" si="6"/>
        <v>1</v>
      </c>
      <c r="D29" s="24" t="s">
        <v>172</v>
      </c>
      <c r="E29" s="24">
        <v>0.36</v>
      </c>
      <c r="F29" s="24">
        <f t="shared" si="7"/>
        <v>0.36</v>
      </c>
      <c r="G29" s="25">
        <f t="shared" si="8"/>
        <v>4.7849526703658079E-4</v>
      </c>
      <c r="H29" s="29" t="s">
        <v>72</v>
      </c>
      <c r="I29" s="29"/>
      <c r="J29" s="27"/>
      <c r="K29" s="8"/>
      <c r="L29" s="8"/>
    </row>
    <row r="30" spans="1:12" ht="13.5" x14ac:dyDescent="0.25">
      <c r="A30" s="22" t="s">
        <v>34</v>
      </c>
      <c r="B30" s="28" t="str">
        <f>IFERROR(VLOOKUP(H30,'[1]Consolidado MP Planta'!$A$2:$M$823,3,0),"")</f>
        <v>ETIQUETA BLANCA 2 5/8X1 15/16 (UND)</v>
      </c>
      <c r="C30" s="23" t="str">
        <f t="shared" si="6"/>
        <v>1</v>
      </c>
      <c r="D30" s="24" t="str">
        <f>IFERROR(VLOOKUP(H30,'[1]Consolidado MP Planta'!$A$2:$M$823,13,0),"")</f>
        <v>Und</v>
      </c>
      <c r="E30" s="24">
        <f>IFERROR(VLOOKUP(H30,'[1]Consolidado MP Planta'!$A$2:$M$823,12,0),"")</f>
        <v>2.1280000000000001</v>
      </c>
      <c r="F30" s="24">
        <f t="shared" si="7"/>
        <v>2.1280000000000001</v>
      </c>
      <c r="G30" s="25">
        <f t="shared" si="8"/>
        <v>2.8284386895940112E-3</v>
      </c>
      <c r="H30" s="29" t="s">
        <v>73</v>
      </c>
      <c r="I30" s="29"/>
      <c r="J30" s="27"/>
      <c r="K30" s="8"/>
      <c r="L30" s="8"/>
    </row>
    <row r="31" spans="1:12" ht="13.5" x14ac:dyDescent="0.25">
      <c r="A31" s="22" t="s">
        <v>36</v>
      </c>
      <c r="B31" s="28" t="str">
        <f>IFERROR(VLOOKUP(H31,'[1]Consolidado MP Planta'!$A$2:$M$823,3,0),"")</f>
        <v>ETIQUETA SELLO SEGURIDAD (ROLLO:1000)</v>
      </c>
      <c r="C31" s="23" t="str">
        <f t="shared" si="6"/>
        <v>2</v>
      </c>
      <c r="D31" s="24" t="str">
        <f>IFERROR(VLOOKUP(H31,'[1]Consolidado MP Planta'!$A$2:$M$823,13,0),"")</f>
        <v>Und</v>
      </c>
      <c r="E31" s="24">
        <f>IFERROR(VLOOKUP(H31,'[1]Consolidado MP Planta'!$A$2:$M$823,12,0),"")</f>
        <v>6</v>
      </c>
      <c r="F31" s="24">
        <f t="shared" si="7"/>
        <v>12</v>
      </c>
      <c r="G31" s="25">
        <f t="shared" si="8"/>
        <v>1.5949842234552692E-2</v>
      </c>
      <c r="H31" s="29" t="s">
        <v>74</v>
      </c>
      <c r="I31" s="29"/>
      <c r="J31" s="27"/>
      <c r="K31" s="208"/>
      <c r="L31" s="208"/>
    </row>
    <row r="32" spans="1:12" ht="13.5" x14ac:dyDescent="0.25">
      <c r="A32" s="22">
        <v>0.1</v>
      </c>
      <c r="B32" s="28" t="str">
        <f>IFERROR(VLOOKUP(H32,'[1]Consolidado MP Planta'!$A$2:$M$823,3,0),"")</f>
        <v>BASE PARA ROSQUETE (UND)</v>
      </c>
      <c r="C32" s="23">
        <f t="shared" si="6"/>
        <v>0.1</v>
      </c>
      <c r="D32" s="24" t="str">
        <f>IFERROR(VLOOKUP(H32,'[1]Consolidado MP Planta'!$A$2:$M$823,13,0),"")</f>
        <v>Und</v>
      </c>
      <c r="E32" s="24">
        <v>128</v>
      </c>
      <c r="F32" s="24">
        <f t="shared" si="7"/>
        <v>12.8</v>
      </c>
      <c r="G32" s="25">
        <f t="shared" si="8"/>
        <v>1.701316505018954E-2</v>
      </c>
      <c r="H32" s="29" t="s">
        <v>37</v>
      </c>
      <c r="I32" s="29"/>
      <c r="J32" s="27"/>
      <c r="K32" s="208"/>
      <c r="L32" s="208"/>
    </row>
    <row r="33" spans="1:13" ht="13.5" x14ac:dyDescent="0.25">
      <c r="A33" s="22">
        <v>1</v>
      </c>
      <c r="B33" s="28" t="str">
        <f>IFERROR(VLOOKUP(H33,'[1]Consolidado MP Planta'!$A$2:$M$823,3,0),"")</f>
        <v>ETIQUETA BLANCA R-153 (UND)</v>
      </c>
      <c r="C33" s="23">
        <f t="shared" si="6"/>
        <v>1</v>
      </c>
      <c r="D33" s="24" t="str">
        <f>IFERROR(VLOOKUP(H33,'[1]Consolidado MP Planta'!$A$2:$M$823,13,0),"")</f>
        <v>Und</v>
      </c>
      <c r="E33" s="24">
        <f>IFERROR(VLOOKUP(H33,'[1]Consolidado MP Planta'!$A$2:$M$823,12,0),"")</f>
        <v>0.39</v>
      </c>
      <c r="F33" s="24">
        <f t="shared" si="7"/>
        <v>0.39</v>
      </c>
      <c r="G33" s="25">
        <f t="shared" si="8"/>
        <v>5.1836987262296257E-4</v>
      </c>
      <c r="H33" s="29" t="s">
        <v>75</v>
      </c>
      <c r="I33" s="29"/>
      <c r="J33" s="27"/>
      <c r="K33" s="208"/>
      <c r="L33" s="208"/>
    </row>
    <row r="34" spans="1:13" ht="13.5" hidden="1" x14ac:dyDescent="0.25">
      <c r="A34" s="22"/>
      <c r="B34" s="28" t="str">
        <f>IFERROR(VLOOKUP(H34,'[1]Consolidado MP Planta'!$A$2:$M$823,3,0),"")</f>
        <v/>
      </c>
      <c r="C34" s="23">
        <f>+A34</f>
        <v>0</v>
      </c>
      <c r="D34" s="24" t="str">
        <f>IFERROR(VLOOKUP(H34,'[1]Consolidado MP Planta'!$A$2:$M$823,13,0),"")</f>
        <v/>
      </c>
      <c r="E34" s="24" t="str">
        <f>IFERROR(VLOOKUP(H34,'[1]Consolidado MP Planta'!$A$2:$M$823,12,0),"")</f>
        <v/>
      </c>
      <c r="F34" s="24" t="str">
        <f>IFERROR(C34*E34,"")</f>
        <v/>
      </c>
      <c r="G34" s="25" t="str">
        <f t="shared" si="8"/>
        <v/>
      </c>
      <c r="H34" s="29"/>
      <c r="I34" s="29"/>
      <c r="J34" s="27"/>
      <c r="K34" s="30"/>
      <c r="L34" s="31"/>
    </row>
    <row r="35" spans="1:13" ht="13.5" hidden="1" x14ac:dyDescent="0.25">
      <c r="A35" s="22"/>
      <c r="B35" s="28" t="str">
        <f>IFERROR(VLOOKUP(H35,'[1]Consolidado MP Planta'!$A$2:$M$823,3,0),"")</f>
        <v/>
      </c>
      <c r="C35" s="23">
        <f>+A35</f>
        <v>0</v>
      </c>
      <c r="D35" s="24" t="str">
        <f>IFERROR(VLOOKUP(H35,'[1]Consolidado MP Planta'!$A$2:$M$823,13,0),"")</f>
        <v/>
      </c>
      <c r="E35" s="24" t="str">
        <f>IFERROR(VLOOKUP(H35,'[1]Consolidado MP Planta'!$A$2:$M$823,12,0),"")</f>
        <v/>
      </c>
      <c r="F35" s="24" t="str">
        <f>IFERROR(C35*E35,"")</f>
        <v/>
      </c>
      <c r="G35" s="25" t="str">
        <f t="shared" si="8"/>
        <v/>
      </c>
      <c r="H35" s="29"/>
      <c r="I35" s="29"/>
      <c r="J35" s="27"/>
    </row>
    <row r="36" spans="1:13" ht="14.25" thickBot="1" x14ac:dyDescent="0.3">
      <c r="A36" s="22"/>
      <c r="B36" s="28"/>
      <c r="C36" s="23"/>
      <c r="D36" s="24"/>
      <c r="E36" s="24"/>
      <c r="F36" s="24"/>
      <c r="G36" s="25"/>
      <c r="H36" s="29"/>
      <c r="I36" s="29"/>
      <c r="J36" s="27"/>
    </row>
    <row r="37" spans="1:13" ht="26.25" thickBot="1" x14ac:dyDescent="0.25">
      <c r="A37" s="17" t="s">
        <v>58</v>
      </c>
      <c r="B37" s="18" t="s">
        <v>76</v>
      </c>
      <c r="C37" s="18" t="s">
        <v>58</v>
      </c>
      <c r="D37" s="19" t="s">
        <v>60</v>
      </c>
      <c r="E37" s="19" t="s">
        <v>61</v>
      </c>
      <c r="F37" s="19" t="s">
        <v>62</v>
      </c>
      <c r="G37" s="19" t="s">
        <v>63</v>
      </c>
      <c r="H37" s="20" t="s">
        <v>64</v>
      </c>
      <c r="I37" s="29"/>
      <c r="J37" s="27"/>
    </row>
    <row r="38" spans="1:13" ht="13.5" x14ac:dyDescent="0.25">
      <c r="A38" s="22">
        <f t="shared" ref="A38:A44" si="9">+A17</f>
        <v>1</v>
      </c>
      <c r="B38" s="28" t="s">
        <v>153</v>
      </c>
      <c r="C38" s="23">
        <f>+A38</f>
        <v>1</v>
      </c>
      <c r="D38" s="24" t="s">
        <v>68</v>
      </c>
      <c r="E38" s="24">
        <v>3.2162631968283582</v>
      </c>
      <c r="F38" s="24">
        <f>IFERROR(E38*C38,"")</f>
        <v>3.2162631968283582</v>
      </c>
      <c r="G38" s="25">
        <f t="shared" ref="G38:G44" si="10">IFERROR(F38/$F$69,"")</f>
        <v>4.2749075478508676E-3</v>
      </c>
      <c r="H38" s="29" t="s">
        <v>167</v>
      </c>
      <c r="I38" s="29"/>
      <c r="J38" s="27"/>
    </row>
    <row r="39" spans="1:13" ht="13.5" x14ac:dyDescent="0.25">
      <c r="A39" s="22">
        <f t="shared" si="9"/>
        <v>20</v>
      </c>
      <c r="B39" s="28" t="str">
        <f>IFERROR(VLOOKUP(H39,[1]SEMIELABORADOS!$A$2:$M$6000,2,0),"")</f>
        <v>MEZCLA TRES LECHES C/AGUA (KILO)</v>
      </c>
      <c r="C39" s="23">
        <f t="shared" ref="C39:C44" si="11">+A39</f>
        <v>20</v>
      </c>
      <c r="D39" s="24" t="str">
        <f>IFERROR(VLOOKUP(H39,[1]SEMIELABORADOS!$A$2:$M$6000,6,0),"")</f>
        <v>Gramo</v>
      </c>
      <c r="E39" s="24">
        <f>IFERROR(VLOOKUP(H39,[1]SEMIELABORADOS!$A$2:$M$65536,10,0),"")</f>
        <v>3.7521635552000003E-3</v>
      </c>
      <c r="F39" s="24">
        <f t="shared" ref="F39:F44" si="12">IFERROR(E39*C39,"")</f>
        <v>7.5043271104000012E-2</v>
      </c>
      <c r="G39" s="25">
        <f t="shared" si="10"/>
        <v>9.9744027906130598E-5</v>
      </c>
      <c r="H39" s="29" t="s">
        <v>159</v>
      </c>
      <c r="I39" s="29"/>
      <c r="J39" s="27"/>
    </row>
    <row r="40" spans="1:13" ht="13.5" x14ac:dyDescent="0.25">
      <c r="A40" s="22">
        <f t="shared" si="9"/>
        <v>20</v>
      </c>
      <c r="B40" s="28" t="s">
        <v>154</v>
      </c>
      <c r="C40" s="23">
        <f t="shared" si="11"/>
        <v>20</v>
      </c>
      <c r="D40" s="24" t="s">
        <v>168</v>
      </c>
      <c r="E40" s="24">
        <v>0.01</v>
      </c>
      <c r="F40" s="24">
        <f t="shared" si="12"/>
        <v>0.2</v>
      </c>
      <c r="G40" s="25">
        <f t="shared" si="10"/>
        <v>2.6583070390921157E-4</v>
      </c>
      <c r="H40" s="29" t="s">
        <v>139</v>
      </c>
      <c r="I40" s="29"/>
      <c r="J40" s="27"/>
    </row>
    <row r="41" spans="1:13" ht="13.5" x14ac:dyDescent="0.25">
      <c r="A41" s="22">
        <f t="shared" si="9"/>
        <v>20</v>
      </c>
      <c r="B41" s="28" t="s">
        <v>156</v>
      </c>
      <c r="C41" s="23">
        <f>+A41</f>
        <v>20</v>
      </c>
      <c r="D41" s="24" t="s">
        <v>168</v>
      </c>
      <c r="E41" s="24">
        <v>0.02</v>
      </c>
      <c r="F41" s="24">
        <f>IFERROR(E41*C41,"")</f>
        <v>0.4</v>
      </c>
      <c r="G41" s="25">
        <f t="shared" si="10"/>
        <v>5.3166140781842313E-4</v>
      </c>
      <c r="H41" s="29" t="s">
        <v>169</v>
      </c>
      <c r="I41" s="29"/>
      <c r="J41" s="27"/>
    </row>
    <row r="42" spans="1:13" ht="13.5" x14ac:dyDescent="0.25">
      <c r="A42" s="22">
        <f t="shared" si="9"/>
        <v>10</v>
      </c>
      <c r="B42" s="28" t="s">
        <v>158</v>
      </c>
      <c r="C42" s="23">
        <f>+A42</f>
        <v>10</v>
      </c>
      <c r="D42" s="24" t="s">
        <v>168</v>
      </c>
      <c r="E42" s="24">
        <v>0.02</v>
      </c>
      <c r="F42" s="24">
        <f>IFERROR(E42*C42,"")</f>
        <v>0.2</v>
      </c>
      <c r="G42" s="25">
        <f t="shared" si="10"/>
        <v>2.6583070390921157E-4</v>
      </c>
      <c r="H42" s="29" t="s">
        <v>157</v>
      </c>
      <c r="I42" s="29"/>
      <c r="J42" s="27"/>
    </row>
    <row r="43" spans="1:13" ht="13.5" x14ac:dyDescent="0.25">
      <c r="A43" s="22">
        <f t="shared" si="9"/>
        <v>25</v>
      </c>
      <c r="B43" s="28" t="str">
        <f>IFERROR(VLOOKUP(H43,[1]SEMIELABORADOS!$A$2:$M$6000,2,0),"")</f>
        <v>CREMA DULCE LECHE KILO</v>
      </c>
      <c r="C43" s="23">
        <f t="shared" si="11"/>
        <v>25</v>
      </c>
      <c r="D43" s="24" t="str">
        <f>IFERROR(VLOOKUP(H43,[1]SEMIELABORADOS!$A$2:$M$6000,6,0),"")</f>
        <v>Gramo</v>
      </c>
      <c r="E43" s="24">
        <f>IFERROR(VLOOKUP(H43,[1]SEMIELABORADOS!$A$2:$M$65536,10,0),"")</f>
        <v>8.5119999999999998E-5</v>
      </c>
      <c r="F43" s="24">
        <f t="shared" si="12"/>
        <v>2.1280000000000001E-3</v>
      </c>
      <c r="G43" s="25">
        <f t="shared" si="10"/>
        <v>2.828438689594011E-6</v>
      </c>
      <c r="H43" s="29" t="s">
        <v>27</v>
      </c>
      <c r="I43" s="29"/>
      <c r="J43" s="27"/>
    </row>
    <row r="44" spans="1:13" ht="13.5" x14ac:dyDescent="0.25">
      <c r="A44" s="22">
        <f t="shared" si="9"/>
        <v>5</v>
      </c>
      <c r="B44" s="28" t="s">
        <v>162</v>
      </c>
      <c r="C44" s="23">
        <f t="shared" si="11"/>
        <v>5</v>
      </c>
      <c r="D44" s="24" t="s">
        <v>168</v>
      </c>
      <c r="E44" s="24">
        <v>0.01</v>
      </c>
      <c r="F44" s="24">
        <f t="shared" si="12"/>
        <v>0.05</v>
      </c>
      <c r="G44" s="25">
        <f t="shared" si="10"/>
        <v>6.6457675977302892E-5</v>
      </c>
      <c r="H44" s="29"/>
      <c r="I44" s="29"/>
      <c r="J44" s="27"/>
    </row>
    <row r="45" spans="1:13" ht="14.25" thickBot="1" x14ac:dyDescent="0.3">
      <c r="A45" s="22"/>
      <c r="B45" s="28"/>
      <c r="C45" s="23"/>
      <c r="D45" s="24"/>
      <c r="E45" s="24"/>
      <c r="F45" s="24"/>
      <c r="G45" s="25"/>
      <c r="H45" s="29"/>
      <c r="I45" s="29"/>
      <c r="J45" s="27"/>
    </row>
    <row r="46" spans="1:13" ht="26.25" thickBot="1" x14ac:dyDescent="0.25">
      <c r="A46" s="17" t="s">
        <v>58</v>
      </c>
      <c r="B46" s="18" t="s">
        <v>77</v>
      </c>
      <c r="C46" s="18" t="s">
        <v>58</v>
      </c>
      <c r="D46" s="19" t="s">
        <v>60</v>
      </c>
      <c r="E46" s="19" t="s">
        <v>61</v>
      </c>
      <c r="F46" s="19" t="s">
        <v>62</v>
      </c>
      <c r="G46" s="19" t="s">
        <v>63</v>
      </c>
      <c r="H46" s="20" t="s">
        <v>64</v>
      </c>
      <c r="I46" s="21"/>
      <c r="J46" s="27"/>
    </row>
    <row r="47" spans="1:13" ht="13.5" x14ac:dyDescent="0.25">
      <c r="A47" s="22">
        <f>+A38</f>
        <v>1</v>
      </c>
      <c r="B47" s="28" t="s">
        <v>153</v>
      </c>
      <c r="C47" s="23">
        <f>+A47</f>
        <v>1</v>
      </c>
      <c r="D47" s="24" t="s">
        <v>68</v>
      </c>
      <c r="E47" s="24">
        <v>11.531481343283582</v>
      </c>
      <c r="F47" s="24">
        <f>IFERROR(E47*C47,"")</f>
        <v>11.531481343283582</v>
      </c>
      <c r="G47" s="25">
        <f>IFERROR(F47/$F$69,"")</f>
        <v>1.5327109013005076E-2</v>
      </c>
      <c r="H47" s="29" t="s">
        <v>167</v>
      </c>
      <c r="I47" s="21"/>
      <c r="J47" s="27"/>
    </row>
    <row r="48" spans="1:13" ht="13.5" x14ac:dyDescent="0.25">
      <c r="A48" s="22">
        <f t="shared" ref="A48:A53" si="13">+A39</f>
        <v>20</v>
      </c>
      <c r="B48" s="28" t="str">
        <f>IFERROR(VLOOKUP(H48,[1]SEMIELABORADOS!$A$2:$M$6000,2,0),"")</f>
        <v>MEZCLA TRES LECHES C/AGUA (KILO)</v>
      </c>
      <c r="C48" s="23">
        <f t="shared" ref="C48:C53" si="14">+A48</f>
        <v>20</v>
      </c>
      <c r="D48" s="24" t="str">
        <f>IFERROR(VLOOKUP(H48,[1]SEMIELABORADOS!$A$2:$M$6000,6,0),"")</f>
        <v>Gramo</v>
      </c>
      <c r="E48" s="24">
        <f>IFERROR(VLOOKUP(H48,[1]SEMIELABORADOS!$A$2:$M$65536,12,0),"")</f>
        <v>0.21333395740605246</v>
      </c>
      <c r="F48" s="24">
        <f t="shared" ref="F48:F53" si="15">IFERROR(E48*C48,"")</f>
        <v>4.2666791481210495</v>
      </c>
      <c r="G48" s="25">
        <f t="shared" ref="G48:G53" si="16">IFERROR(F48/$F$69,"")</f>
        <v>5.6710716064988682E-3</v>
      </c>
      <c r="H48" s="29" t="s">
        <v>159</v>
      </c>
      <c r="I48" s="21"/>
      <c r="J48" s="27"/>
      <c r="M48" s="32"/>
    </row>
    <row r="49" spans="1:17" ht="13.5" x14ac:dyDescent="0.25">
      <c r="A49" s="22">
        <f t="shared" si="13"/>
        <v>20</v>
      </c>
      <c r="B49" s="28" t="s">
        <v>154</v>
      </c>
      <c r="C49" s="23">
        <f t="shared" si="14"/>
        <v>20</v>
      </c>
      <c r="D49" s="24" t="s">
        <v>168</v>
      </c>
      <c r="E49" s="24">
        <v>0.09</v>
      </c>
      <c r="F49" s="24">
        <f t="shared" si="15"/>
        <v>1.7999999999999998</v>
      </c>
      <c r="G49" s="25">
        <f t="shared" si="16"/>
        <v>2.3924763351829037E-3</v>
      </c>
      <c r="H49" s="29" t="s">
        <v>139</v>
      </c>
      <c r="I49" s="21"/>
      <c r="J49" s="27"/>
    </row>
    <row r="50" spans="1:17" ht="13.5" x14ac:dyDescent="0.25">
      <c r="A50" s="22">
        <f t="shared" si="13"/>
        <v>20</v>
      </c>
      <c r="B50" s="28" t="s">
        <v>156</v>
      </c>
      <c r="C50" s="23">
        <f t="shared" si="14"/>
        <v>20</v>
      </c>
      <c r="D50" s="24" t="s">
        <v>168</v>
      </c>
      <c r="E50" s="24">
        <v>0.24</v>
      </c>
      <c r="F50" s="24">
        <f t="shared" si="15"/>
        <v>4.8</v>
      </c>
      <c r="G50" s="25">
        <f t="shared" si="16"/>
        <v>6.3799368938210772E-3</v>
      </c>
      <c r="H50" s="29" t="s">
        <v>169</v>
      </c>
      <c r="I50" s="21"/>
      <c r="J50" s="27"/>
    </row>
    <row r="51" spans="1:17" ht="13.5" x14ac:dyDescent="0.25">
      <c r="A51" s="22">
        <f t="shared" si="13"/>
        <v>10</v>
      </c>
      <c r="B51" s="28" t="s">
        <v>158</v>
      </c>
      <c r="C51" s="23">
        <f t="shared" si="14"/>
        <v>10</v>
      </c>
      <c r="D51" s="24" t="s">
        <v>168</v>
      </c>
      <c r="E51" s="24">
        <v>0.17</v>
      </c>
      <c r="F51" s="24">
        <f t="shared" si="15"/>
        <v>1.7000000000000002</v>
      </c>
      <c r="G51" s="25">
        <f t="shared" si="16"/>
        <v>2.2595609832282986E-3</v>
      </c>
      <c r="H51" s="29" t="s">
        <v>157</v>
      </c>
      <c r="I51" s="21"/>
      <c r="J51" s="27"/>
    </row>
    <row r="52" spans="1:17" ht="13.5" x14ac:dyDescent="0.25">
      <c r="A52" s="22">
        <f t="shared" si="13"/>
        <v>25</v>
      </c>
      <c r="B52" s="28" t="str">
        <f>IFERROR(VLOOKUP(H52,[1]SEMIELABORADOS!$A$2:$M$6000,2,0),"")</f>
        <v>CREMA DULCE LECHE KILO</v>
      </c>
      <c r="C52" s="23">
        <f t="shared" si="14"/>
        <v>25</v>
      </c>
      <c r="D52" s="24" t="str">
        <f>IFERROR(VLOOKUP(H52,[1]SEMIELABORADOS!$A$2:$M$6000,6,0),"")</f>
        <v>Gramo</v>
      </c>
      <c r="E52" s="24">
        <f>IFERROR(VLOOKUP(H52,[1]SEMIELABORADOS!$A$2:$M$65536,12,0),"")</f>
        <v>0.43936464607346937</v>
      </c>
      <c r="F52" s="24">
        <f t="shared" si="15"/>
        <v>10.984116151836734</v>
      </c>
      <c r="G52" s="25">
        <f t="shared" si="16"/>
        <v>1.4599576642316495E-2</v>
      </c>
      <c r="H52" s="29" t="s">
        <v>27</v>
      </c>
      <c r="I52" s="21"/>
      <c r="J52" s="27"/>
    </row>
    <row r="53" spans="1:17" ht="13.5" x14ac:dyDescent="0.25">
      <c r="A53" s="22">
        <f t="shared" si="13"/>
        <v>5</v>
      </c>
      <c r="B53" s="28" t="s">
        <v>162</v>
      </c>
      <c r="C53" s="23">
        <f t="shared" si="14"/>
        <v>5</v>
      </c>
      <c r="D53" s="24" t="s">
        <v>168</v>
      </c>
      <c r="E53" s="24">
        <v>0.09</v>
      </c>
      <c r="F53" s="24">
        <f t="shared" si="15"/>
        <v>0.44999999999999996</v>
      </c>
      <c r="G53" s="25">
        <f t="shared" si="16"/>
        <v>5.9811908379572593E-4</v>
      </c>
      <c r="H53" s="28"/>
      <c r="I53" s="21"/>
      <c r="J53" s="27"/>
    </row>
    <row r="54" spans="1:17" ht="13.5" x14ac:dyDescent="0.25">
      <c r="A54" s="22">
        <v>1</v>
      </c>
      <c r="B54" s="28" t="s">
        <v>78</v>
      </c>
      <c r="C54" s="23">
        <f>+A54</f>
        <v>1</v>
      </c>
      <c r="D54" s="23" t="s">
        <v>79</v>
      </c>
      <c r="E54" s="24">
        <f>+F68</f>
        <v>183</v>
      </c>
      <c r="F54" s="24">
        <f>IFERROR(C54*E54,"")</f>
        <v>183</v>
      </c>
      <c r="G54" s="25">
        <f>IFERROR(F54/$F$69,"")</f>
        <v>0.24323509407692859</v>
      </c>
      <c r="H54" s="33"/>
      <c r="I54" s="33"/>
      <c r="J54" s="27"/>
    </row>
    <row r="55" spans="1:17" ht="14.25" thickBot="1" x14ac:dyDescent="0.3">
      <c r="A55" s="22"/>
      <c r="B55" s="28"/>
      <c r="C55" s="23"/>
      <c r="D55" s="23"/>
      <c r="E55" s="24"/>
      <c r="F55" s="24"/>
      <c r="G55" s="25"/>
      <c r="H55" s="33"/>
      <c r="I55" s="33"/>
      <c r="J55" s="27"/>
    </row>
    <row r="56" spans="1:17" ht="13.5" thickBot="1" x14ac:dyDescent="0.25">
      <c r="A56" s="34"/>
      <c r="B56" s="205" t="s">
        <v>80</v>
      </c>
      <c r="C56" s="205"/>
      <c r="D56" s="205"/>
      <c r="E56" s="205"/>
      <c r="F56" s="36">
        <f>SUM(F8:F14,F17:F24)</f>
        <v>387.34029850746271</v>
      </c>
      <c r="G56" s="25">
        <f>+F56/$F$69</f>
        <v>0.5148347210232147</v>
      </c>
      <c r="H56" s="37">
        <f>+F56/$D$63</f>
        <v>387.34029850746271</v>
      </c>
      <c r="I56" s="37"/>
      <c r="J56" s="38"/>
      <c r="K56" s="39"/>
      <c r="L56" s="39"/>
      <c r="M56" s="39"/>
      <c r="N56" s="39"/>
      <c r="O56" s="39"/>
      <c r="P56" s="39"/>
      <c r="Q56" s="40"/>
    </row>
    <row r="57" spans="1:17" x14ac:dyDescent="0.2">
      <c r="A57" s="34"/>
      <c r="B57" s="205" t="s">
        <v>81</v>
      </c>
      <c r="C57" s="205"/>
      <c r="D57" s="205"/>
      <c r="E57" s="205"/>
      <c r="F57" s="36">
        <f>SUM(F27:F35,F38:F44)</f>
        <v>174.27143446793232</v>
      </c>
      <c r="G57" s="25">
        <f>+F57/$F$69</f>
        <v>0.23163349047939241</v>
      </c>
      <c r="H57" s="37">
        <f>+F57/$D$63</f>
        <v>174.27143446793232</v>
      </c>
      <c r="I57" s="37"/>
      <c r="J57" s="41"/>
      <c r="K57" s="209" t="s">
        <v>82</v>
      </c>
      <c r="L57" s="210"/>
      <c r="M57" s="210"/>
      <c r="N57" s="210"/>
      <c r="O57" s="42">
        <f>+F58</f>
        <v>561.61173297539506</v>
      </c>
      <c r="P57" s="42"/>
      <c r="Q57" s="43"/>
    </row>
    <row r="58" spans="1:17" x14ac:dyDescent="0.2">
      <c r="A58" s="34"/>
      <c r="B58" s="205" t="s">
        <v>83</v>
      </c>
      <c r="C58" s="205"/>
      <c r="D58" s="205"/>
      <c r="E58" s="205"/>
      <c r="F58" s="36">
        <f>+F56+F57</f>
        <v>561.61173297539506</v>
      </c>
      <c r="G58" s="25">
        <f>+F58/$F$69</f>
        <v>0.74646821150260712</v>
      </c>
      <c r="H58" s="37">
        <f>+F58/$D$63</f>
        <v>561.61173297539506</v>
      </c>
      <c r="I58" s="37"/>
      <c r="J58" s="44"/>
      <c r="K58" s="45"/>
      <c r="M58" s="148" t="s">
        <v>84</v>
      </c>
      <c r="N58" s="149"/>
      <c r="O58" s="42">
        <f>+H59</f>
        <v>218.53227664324137</v>
      </c>
      <c r="P58" s="42"/>
      <c r="Q58" s="43"/>
    </row>
    <row r="59" spans="1:17" ht="13.5" thickBot="1" x14ac:dyDescent="0.25">
      <c r="A59" s="34"/>
      <c r="B59" s="35"/>
      <c r="C59" s="205" t="s">
        <v>85</v>
      </c>
      <c r="D59" s="205"/>
      <c r="E59" s="205"/>
      <c r="F59" s="36">
        <f>SUM(F47:F54)</f>
        <v>218.53227664324137</v>
      </c>
      <c r="G59" s="25">
        <f>+F59/$F$69</f>
        <v>0.29046294463477701</v>
      </c>
      <c r="H59" s="37">
        <f>+F59/$D$63</f>
        <v>218.53227664324137</v>
      </c>
      <c r="I59" s="37"/>
      <c r="J59" s="44"/>
      <c r="K59" s="45"/>
      <c r="L59" s="45"/>
      <c r="M59" s="45" t="s">
        <v>86</v>
      </c>
      <c r="N59" s="46"/>
      <c r="O59" s="42">
        <f>O57*N59</f>
        <v>0</v>
      </c>
      <c r="P59" s="42"/>
      <c r="Q59" s="43"/>
    </row>
    <row r="60" spans="1:17" ht="13.5" thickBot="1" x14ac:dyDescent="0.25">
      <c r="A60" s="34"/>
      <c r="B60" s="47"/>
      <c r="C60" s="47"/>
      <c r="D60" s="47"/>
      <c r="E60" s="47"/>
      <c r="F60" s="48"/>
      <c r="G60" s="25"/>
      <c r="H60" s="49"/>
      <c r="I60" s="37"/>
      <c r="J60" s="44"/>
      <c r="K60" s="50"/>
      <c r="M60" s="51" t="s">
        <v>87</v>
      </c>
      <c r="N60" s="52"/>
      <c r="O60" s="53">
        <f>SUM(O57:O59)</f>
        <v>780.14400961863646</v>
      </c>
      <c r="P60" s="54"/>
      <c r="Q60" s="43"/>
    </row>
    <row r="61" spans="1:17" x14ac:dyDescent="0.2">
      <c r="B61" s="207" t="s">
        <v>88</v>
      </c>
      <c r="C61" s="207"/>
      <c r="D61" s="55">
        <v>115</v>
      </c>
      <c r="E61" s="56"/>
      <c r="G61" s="25"/>
      <c r="H61" s="49">
        <f>+H59/61</f>
        <v>3.5824963384137929</v>
      </c>
      <c r="I61" s="57"/>
      <c r="J61" s="44"/>
      <c r="K61" s="50"/>
      <c r="L61" s="45"/>
      <c r="M61" s="45" t="s">
        <v>89</v>
      </c>
      <c r="N61" s="58"/>
      <c r="O61" s="42">
        <f>+H62</f>
        <v>207.78478762799998</v>
      </c>
      <c r="P61" s="42"/>
      <c r="Q61" s="43"/>
    </row>
    <row r="62" spans="1:17" x14ac:dyDescent="0.2">
      <c r="B62" s="207" t="s">
        <v>90</v>
      </c>
      <c r="C62" s="207"/>
      <c r="D62" s="59">
        <v>115</v>
      </c>
      <c r="E62" s="56"/>
      <c r="G62" s="25"/>
      <c r="H62" s="49">
        <f>+H61*58</f>
        <v>207.78478762799998</v>
      </c>
      <c r="I62" s="57"/>
      <c r="J62" s="44"/>
      <c r="K62" s="50"/>
      <c r="L62" s="45"/>
      <c r="M62" s="200" t="s">
        <v>87</v>
      </c>
      <c r="N62" s="200"/>
      <c r="O62" s="42">
        <f>SUM(O60:O61)</f>
        <v>987.92879724663646</v>
      </c>
      <c r="P62" s="42"/>
      <c r="Q62" s="43"/>
    </row>
    <row r="63" spans="1:17" ht="13.5" thickBot="1" x14ac:dyDescent="0.25">
      <c r="B63" s="201" t="s">
        <v>91</v>
      </c>
      <c r="C63" s="201"/>
      <c r="D63" s="55">
        <f>+D61/D62</f>
        <v>1</v>
      </c>
      <c r="E63" s="56"/>
      <c r="F63" s="60"/>
      <c r="G63" s="25"/>
      <c r="H63" s="49"/>
      <c r="I63" s="57"/>
      <c r="J63" s="44"/>
      <c r="K63" s="50"/>
      <c r="L63" s="200"/>
      <c r="M63" s="200"/>
      <c r="N63" s="58"/>
      <c r="O63" s="42">
        <f>+O62*N63</f>
        <v>0</v>
      </c>
      <c r="P63" s="42"/>
      <c r="Q63" s="43"/>
    </row>
    <row r="64" spans="1:17" ht="13.5" thickBot="1" x14ac:dyDescent="0.25">
      <c r="B64" s="201" t="s">
        <v>93</v>
      </c>
      <c r="C64" s="201"/>
      <c r="D64" s="61"/>
      <c r="E64" s="56"/>
      <c r="F64" s="60"/>
      <c r="G64" s="25"/>
      <c r="H64" s="49"/>
      <c r="I64" s="57"/>
      <c r="J64" s="44"/>
      <c r="K64" s="202" t="s">
        <v>94</v>
      </c>
      <c r="L64" s="203"/>
      <c r="M64" s="203"/>
      <c r="N64" s="204"/>
      <c r="O64" s="53">
        <f>SUM(O62:O63)</f>
        <v>987.92879724663646</v>
      </c>
      <c r="P64" s="62" t="s">
        <v>95</v>
      </c>
      <c r="Q64" s="43"/>
    </row>
    <row r="65" spans="2:17" ht="13.5" thickBot="1" x14ac:dyDescent="0.25">
      <c r="C65" s="34" t="s">
        <v>96</v>
      </c>
      <c r="D65" s="63"/>
      <c r="E65" s="8" t="s">
        <v>97</v>
      </c>
      <c r="F65" s="64" t="s">
        <v>98</v>
      </c>
      <c r="G65" s="25"/>
      <c r="H65" s="49"/>
      <c r="I65" s="57"/>
      <c r="J65" s="65"/>
      <c r="K65" s="66"/>
      <c r="L65" s="190" t="s">
        <v>99</v>
      </c>
      <c r="M65" s="190"/>
      <c r="N65" s="190"/>
      <c r="O65" s="67">
        <f>+O64/D63</f>
        <v>987.92879724663646</v>
      </c>
      <c r="P65" s="68">
        <f>+O65/D62</f>
        <v>8.590685193449012</v>
      </c>
      <c r="Q65" s="69"/>
    </row>
    <row r="66" spans="2:17" ht="13.5" thickBot="1" x14ac:dyDescent="0.25">
      <c r="B66" s="191" t="s">
        <v>83</v>
      </c>
      <c r="C66" s="191"/>
      <c r="D66" s="191"/>
      <c r="E66" s="70">
        <f>+F66/F66</f>
        <v>1</v>
      </c>
      <c r="F66" s="71">
        <f>SUM(F58)</f>
        <v>561.61173297539506</v>
      </c>
      <c r="G66" s="25">
        <f>+F66/$F$69</f>
        <v>0.74646821150260712</v>
      </c>
      <c r="H66" s="49"/>
      <c r="I66" s="57"/>
      <c r="K66" s="192"/>
      <c r="L66" s="193"/>
      <c r="M66" s="193"/>
      <c r="N66" s="193"/>
      <c r="O66" s="72"/>
      <c r="P66" s="73"/>
    </row>
    <row r="67" spans="2:17" ht="13.5" thickBot="1" x14ac:dyDescent="0.25">
      <c r="B67" s="194" t="s">
        <v>100</v>
      </c>
      <c r="C67" s="194"/>
      <c r="D67" s="194"/>
      <c r="E67" s="74">
        <v>0.02</v>
      </c>
      <c r="F67" s="71">
        <f>+F56*E67</f>
        <v>7.7468059701492544</v>
      </c>
      <c r="G67" s="25">
        <f>+F67/$F$69</f>
        <v>1.0296694420464294E-2</v>
      </c>
      <c r="H67" s="37"/>
      <c r="I67" s="57"/>
      <c r="J67" s="75"/>
      <c r="O67" s="76"/>
      <c r="P67" s="35"/>
    </row>
    <row r="68" spans="2:17" ht="13.5" thickBot="1" x14ac:dyDescent="0.25">
      <c r="B68" s="195" t="s">
        <v>101</v>
      </c>
      <c r="C68" s="196"/>
      <c r="D68" s="77">
        <v>3</v>
      </c>
      <c r="E68" s="78">
        <v>61</v>
      </c>
      <c r="F68" s="71">
        <f>+E68*D68</f>
        <v>183</v>
      </c>
      <c r="G68" s="25">
        <f>+F68/$F$69</f>
        <v>0.24323509407692859</v>
      </c>
      <c r="H68" s="37"/>
      <c r="I68" s="37"/>
      <c r="J68" s="27"/>
    </row>
    <row r="69" spans="2:17" ht="13.5" thickBot="1" x14ac:dyDescent="0.25">
      <c r="B69" s="197" t="s">
        <v>102</v>
      </c>
      <c r="C69" s="198"/>
      <c r="D69" s="198"/>
      <c r="E69" s="199"/>
      <c r="F69" s="48">
        <f>SUM(F66:F68)</f>
        <v>752.3585389455443</v>
      </c>
      <c r="G69" s="25">
        <f>+F69/$F$69</f>
        <v>1</v>
      </c>
      <c r="H69" s="206"/>
      <c r="I69" s="37"/>
      <c r="J69" s="27"/>
      <c r="M69" s="10" t="s">
        <v>163</v>
      </c>
    </row>
    <row r="70" spans="2:17" x14ac:dyDescent="0.2">
      <c r="C70" s="32"/>
      <c r="D70" s="32"/>
      <c r="E70" s="80"/>
      <c r="F70" s="71"/>
      <c r="G70" s="25"/>
      <c r="H70" s="206"/>
      <c r="I70" s="79"/>
      <c r="J70" s="10"/>
      <c r="M70" s="10" t="s">
        <v>164</v>
      </c>
    </row>
    <row r="71" spans="2:17" ht="13.5" thickBot="1" x14ac:dyDescent="0.25">
      <c r="B71" s="185" t="s">
        <v>103</v>
      </c>
      <c r="C71" s="185"/>
      <c r="D71" s="185"/>
      <c r="E71" s="185"/>
      <c r="F71" s="185"/>
      <c r="G71" s="25"/>
      <c r="H71" s="82"/>
      <c r="I71" s="79"/>
      <c r="J71" s="10"/>
      <c r="M71" s="10" t="s">
        <v>165</v>
      </c>
    </row>
    <row r="72" spans="2:17" ht="13.5" thickBot="1" x14ac:dyDescent="0.25">
      <c r="B72" s="83" t="s">
        <v>104</v>
      </c>
      <c r="C72" s="84">
        <f>+F56</f>
        <v>387.34029850746271</v>
      </c>
      <c r="D72" s="84">
        <f>+D61</f>
        <v>115</v>
      </c>
      <c r="E72" s="85">
        <f>+C72/D72</f>
        <v>3.3681765087605453</v>
      </c>
      <c r="F72" s="25"/>
      <c r="G72" s="82"/>
      <c r="H72" s="27"/>
      <c r="I72" s="82"/>
      <c r="J72" s="10"/>
    </row>
    <row r="73" spans="2:17" x14ac:dyDescent="0.2">
      <c r="B73" s="86"/>
      <c r="C73" s="87"/>
      <c r="D73" s="88"/>
      <c r="E73" s="71"/>
      <c r="F73" s="25"/>
      <c r="G73" s="82"/>
      <c r="H73" s="27"/>
      <c r="I73" s="27"/>
      <c r="J73" s="10"/>
    </row>
    <row r="74" spans="2:17" x14ac:dyDescent="0.2">
      <c r="B74" s="83" t="s">
        <v>105</v>
      </c>
      <c r="C74" s="84">
        <f>SUM(F66:F67)</f>
        <v>569.3585389455443</v>
      </c>
      <c r="D74" s="84">
        <f>+D61</f>
        <v>115</v>
      </c>
      <c r="E74" s="89">
        <f>+C74/D74</f>
        <v>4.9509438169177766</v>
      </c>
      <c r="F74" s="25"/>
      <c r="G74" s="82"/>
      <c r="H74" s="27"/>
      <c r="I74" s="27"/>
      <c r="J74" s="10"/>
    </row>
    <row r="75" spans="2:17" x14ac:dyDescent="0.2">
      <c r="B75" s="83"/>
      <c r="C75" s="84"/>
      <c r="D75" s="84"/>
      <c r="E75" s="89"/>
      <c r="F75" s="25"/>
      <c r="G75" s="82"/>
      <c r="H75" s="27"/>
      <c r="I75" s="27"/>
      <c r="J75" s="10"/>
    </row>
    <row r="76" spans="2:17" ht="13.5" thickBot="1" x14ac:dyDescent="0.25">
      <c r="B76" s="83" t="s">
        <v>106</v>
      </c>
      <c r="C76" s="84">
        <f>+F68</f>
        <v>183</v>
      </c>
      <c r="D76" s="84">
        <f>+D61</f>
        <v>115</v>
      </c>
      <c r="E76" s="89">
        <f>+C76/D76</f>
        <v>1.5913043478260869</v>
      </c>
      <c r="F76" s="25"/>
      <c r="G76" s="82"/>
      <c r="H76" s="27"/>
      <c r="I76" s="27"/>
      <c r="J76" s="10"/>
    </row>
    <row r="77" spans="2:17" ht="13.5" thickBot="1" x14ac:dyDescent="0.25">
      <c r="B77" s="83" t="s">
        <v>107</v>
      </c>
      <c r="C77" s="84">
        <f>+F59</f>
        <v>218.53227664324137</v>
      </c>
      <c r="D77" s="84">
        <f>+D76</f>
        <v>115</v>
      </c>
      <c r="E77" s="85">
        <f>+C77/D77</f>
        <v>1.9002806664629686</v>
      </c>
      <c r="F77" s="25"/>
      <c r="G77" s="82"/>
      <c r="H77" s="27"/>
      <c r="I77" s="27"/>
      <c r="J77" s="10"/>
    </row>
    <row r="78" spans="2:17" ht="13.5" thickBot="1" x14ac:dyDescent="0.25">
      <c r="B78" s="47"/>
      <c r="C78" s="48"/>
      <c r="D78" s="48"/>
      <c r="E78" s="89"/>
      <c r="F78" s="25"/>
      <c r="G78" s="82"/>
      <c r="H78" s="27"/>
      <c r="I78" s="27"/>
      <c r="J78" s="10"/>
    </row>
    <row r="79" spans="2:17" ht="13.5" thickBot="1" x14ac:dyDescent="0.25">
      <c r="B79" s="83" t="s">
        <v>108</v>
      </c>
      <c r="C79" s="84">
        <f>+F57</f>
        <v>174.27143446793232</v>
      </c>
      <c r="D79" s="84">
        <f>+D77</f>
        <v>115</v>
      </c>
      <c r="E79" s="85">
        <f>+C79/D79</f>
        <v>1.5154037779820202</v>
      </c>
      <c r="F79" s="25"/>
      <c r="G79" s="82"/>
      <c r="H79" s="27"/>
      <c r="I79" s="27"/>
      <c r="J79" s="27"/>
    </row>
    <row r="80" spans="2:17" ht="13.5" thickBot="1" x14ac:dyDescent="0.25">
      <c r="B80" s="47"/>
      <c r="C80" s="48"/>
      <c r="D80" s="48"/>
      <c r="E80" s="89"/>
      <c r="F80" s="25"/>
      <c r="G80" s="82"/>
      <c r="H80" s="27"/>
      <c r="I80" s="27"/>
    </row>
    <row r="81" spans="1:10" ht="13.5" thickBot="1" x14ac:dyDescent="0.25">
      <c r="B81" s="186" t="s">
        <v>109</v>
      </c>
      <c r="C81" s="187"/>
      <c r="D81" s="188"/>
      <c r="E81" s="85">
        <f>+E72+E77</f>
        <v>5.2684571752235136</v>
      </c>
      <c r="G81" s="25"/>
      <c r="H81" s="82"/>
      <c r="I81" s="27"/>
      <c r="J81" s="89"/>
    </row>
    <row r="82" spans="1:10" x14ac:dyDescent="0.2">
      <c r="I82" s="82"/>
      <c r="J82" s="10"/>
    </row>
    <row r="83" spans="1:10" ht="13.5" thickBot="1" x14ac:dyDescent="0.25">
      <c r="B83" s="185" t="s">
        <v>110</v>
      </c>
      <c r="C83" s="185"/>
      <c r="D83" s="185"/>
      <c r="E83" s="185"/>
      <c r="F83" s="185"/>
      <c r="G83" s="25"/>
      <c r="H83" s="82"/>
      <c r="J83" s="10"/>
    </row>
    <row r="84" spans="1:10" ht="13.5" thickBot="1" x14ac:dyDescent="0.25">
      <c r="B84" s="83" t="s">
        <v>104</v>
      </c>
      <c r="C84" s="84">
        <f>+C72</f>
        <v>387.34029850746271</v>
      </c>
      <c r="D84" s="84">
        <f>+D63</f>
        <v>1</v>
      </c>
      <c r="E84" s="85">
        <f>+C84/D84</f>
        <v>387.34029850746271</v>
      </c>
      <c r="F84" s="25"/>
      <c r="G84" s="82"/>
      <c r="H84" s="27"/>
      <c r="I84" s="82"/>
      <c r="J84" s="10"/>
    </row>
    <row r="85" spans="1:10" x14ac:dyDescent="0.2">
      <c r="B85" s="86"/>
      <c r="C85" s="87"/>
      <c r="D85" s="88"/>
      <c r="E85" s="71"/>
      <c r="F85" s="25"/>
      <c r="G85" s="82"/>
      <c r="H85" s="27"/>
      <c r="I85" s="27"/>
      <c r="J85" s="10"/>
    </row>
    <row r="86" spans="1:10" x14ac:dyDescent="0.2">
      <c r="B86" s="83" t="s">
        <v>105</v>
      </c>
      <c r="C86" s="84">
        <f>+C74</f>
        <v>569.3585389455443</v>
      </c>
      <c r="D86" s="84">
        <f>+D63</f>
        <v>1</v>
      </c>
      <c r="E86" s="89">
        <f>+C86/D86</f>
        <v>569.3585389455443</v>
      </c>
      <c r="F86" s="25"/>
      <c r="G86" s="82"/>
      <c r="H86" s="27"/>
      <c r="I86" s="27"/>
      <c r="J86" s="10"/>
    </row>
    <row r="87" spans="1:10" x14ac:dyDescent="0.2">
      <c r="B87" s="83"/>
      <c r="C87" s="84"/>
      <c r="D87" s="84"/>
      <c r="E87" s="89"/>
      <c r="F87" s="25"/>
      <c r="G87" s="82"/>
      <c r="H87" s="27"/>
      <c r="I87" s="27"/>
      <c r="J87" s="10"/>
    </row>
    <row r="88" spans="1:10" ht="13.5" thickBot="1" x14ac:dyDescent="0.25">
      <c r="B88" s="83" t="s">
        <v>107</v>
      </c>
      <c r="C88" s="84">
        <f>+C76</f>
        <v>183</v>
      </c>
      <c r="D88" s="84">
        <f>+D63</f>
        <v>1</v>
      </c>
      <c r="E88" s="89">
        <f>+C88/D88</f>
        <v>183</v>
      </c>
      <c r="F88" s="91"/>
      <c r="G88" s="81"/>
      <c r="H88" s="9"/>
      <c r="I88" s="27"/>
    </row>
    <row r="89" spans="1:10" ht="13.5" thickBot="1" x14ac:dyDescent="0.25">
      <c r="B89" s="83" t="s">
        <v>107</v>
      </c>
      <c r="C89" s="84">
        <f>+C77</f>
        <v>218.53227664324137</v>
      </c>
      <c r="D89" s="84">
        <f>+D88</f>
        <v>1</v>
      </c>
      <c r="E89" s="85">
        <f>+C89/D89</f>
        <v>218.53227664324137</v>
      </c>
      <c r="F89" s="90"/>
      <c r="G89" s="81"/>
      <c r="H89" s="9"/>
      <c r="I89" s="9"/>
    </row>
    <row r="90" spans="1:10" x14ac:dyDescent="0.2">
      <c r="I90" s="9"/>
    </row>
    <row r="91" spans="1:10" x14ac:dyDescent="0.2">
      <c r="A91" s="189"/>
      <c r="B91" s="189"/>
      <c r="C91" s="92"/>
      <c r="D91" s="92"/>
      <c r="E91" s="93"/>
      <c r="G91" s="94"/>
    </row>
    <row r="92" spans="1:10" x14ac:dyDescent="0.2">
      <c r="A92" s="28"/>
      <c r="B92" s="95"/>
      <c r="C92" s="96"/>
      <c r="D92" s="96"/>
      <c r="E92" s="97"/>
      <c r="G92" s="94"/>
    </row>
    <row r="93" spans="1:10" x14ac:dyDescent="0.2">
      <c r="A93" s="28"/>
      <c r="B93" s="95"/>
      <c r="C93" s="98"/>
      <c r="D93" s="98"/>
      <c r="E93" s="28"/>
      <c r="G93" s="94"/>
    </row>
    <row r="94" spans="1:10" x14ac:dyDescent="0.2">
      <c r="A94" s="28"/>
      <c r="B94" s="95"/>
      <c r="C94" s="99"/>
      <c r="D94" s="99"/>
      <c r="E94" s="28"/>
      <c r="G94" s="94"/>
    </row>
  </sheetData>
  <mergeCells count="30">
    <mergeCell ref="A4:H4"/>
    <mergeCell ref="A5:H5"/>
    <mergeCell ref="F6:G6"/>
    <mergeCell ref="K27:L27"/>
    <mergeCell ref="K31:L31"/>
    <mergeCell ref="K32:L32"/>
    <mergeCell ref="K33:L33"/>
    <mergeCell ref="B56:E56"/>
    <mergeCell ref="B57:E57"/>
    <mergeCell ref="K57:N57"/>
    <mergeCell ref="B58:E58"/>
    <mergeCell ref="C59:E59"/>
    <mergeCell ref="H69:H70"/>
    <mergeCell ref="B61:C61"/>
    <mergeCell ref="B62:C62"/>
    <mergeCell ref="M62:N62"/>
    <mergeCell ref="B63:C63"/>
    <mergeCell ref="L63:M63"/>
    <mergeCell ref="B64:C64"/>
    <mergeCell ref="K64:N64"/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E015-E4C4-4970-9F2F-E2B2BE43ACDD}">
  <dimension ref="A1:Q96"/>
  <sheetViews>
    <sheetView topLeftCell="A25" workbookViewId="0">
      <selection activeCell="B71" sqref="B71:E71"/>
    </sheetView>
  </sheetViews>
  <sheetFormatPr baseColWidth="10" defaultColWidth="8.42578125" defaultRowHeight="12.75" x14ac:dyDescent="0.2"/>
  <cols>
    <col min="1" max="1" width="10" style="10" bestFit="1" customWidth="1"/>
    <col min="2" max="2" width="44.28515625" style="10" bestFit="1" customWidth="1"/>
    <col min="3" max="3" width="10.42578125" style="10" bestFit="1" customWidth="1"/>
    <col min="4" max="4" width="10.42578125" style="10" customWidth="1"/>
    <col min="5" max="5" width="9.7109375" style="10" bestFit="1" customWidth="1"/>
    <col min="6" max="6" width="9.5703125" style="10" bestFit="1" customWidth="1"/>
    <col min="7" max="7" width="9.5703125" style="90" bestFit="1" customWidth="1"/>
    <col min="8" max="8" width="10.42578125" style="81" bestFit="1" customWidth="1"/>
    <col min="9" max="9" width="4.5703125" style="81" customWidth="1"/>
    <col min="10" max="10" width="1.7109375" style="9" customWidth="1"/>
    <col min="11" max="11" width="7" style="10" bestFit="1" customWidth="1"/>
    <col min="12" max="12" width="6.28515625" style="10" customWidth="1"/>
    <col min="13" max="13" width="20.42578125" style="10" customWidth="1"/>
    <col min="14" max="14" width="6.42578125" style="10" bestFit="1" customWidth="1"/>
    <col min="15" max="16" width="8.42578125" style="10"/>
    <col min="17" max="17" width="3.28515625" style="10" customWidth="1"/>
    <col min="18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52</v>
      </c>
      <c r="F1" s="7" t="s">
        <v>53</v>
      </c>
      <c r="G1" s="7" t="s">
        <v>54</v>
      </c>
      <c r="H1" s="7" t="s">
        <v>55</v>
      </c>
      <c r="I1" s="8"/>
    </row>
    <row r="2" spans="1:10" ht="30.75" customHeight="1" x14ac:dyDescent="0.2">
      <c r="A2" s="5"/>
      <c r="B2" s="5"/>
      <c r="C2" s="5"/>
      <c r="D2" s="5"/>
      <c r="E2" s="11">
        <f>IFERROR(O67,"")</f>
        <v>952.12424390909678</v>
      </c>
      <c r="F2" s="11">
        <f>IFERROR(H58,"")</f>
        <v>386.74577411369057</v>
      </c>
      <c r="G2" s="11">
        <f>IFERROR(H59,"")</f>
        <v>145.80444775863538</v>
      </c>
      <c r="H2" s="11">
        <f>IFERROR(H61,"")</f>
        <v>187.55227126826261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211"/>
      <c r="B4" s="211"/>
      <c r="C4" s="211"/>
      <c r="D4" s="211"/>
      <c r="E4" s="211"/>
      <c r="F4" s="211"/>
      <c r="G4" s="211"/>
      <c r="H4" s="211"/>
      <c r="I4" s="14"/>
    </row>
    <row r="5" spans="1:10" ht="19.5" customHeight="1" thickBot="1" x14ac:dyDescent="0.25">
      <c r="A5" s="212" t="s">
        <v>56</v>
      </c>
      <c r="B5" s="213"/>
      <c r="C5" s="213"/>
      <c r="D5" s="213"/>
      <c r="E5" s="213"/>
      <c r="F5" s="213"/>
      <c r="G5" s="213"/>
      <c r="H5" s="214"/>
      <c r="I5" s="15"/>
    </row>
    <row r="6" spans="1:10" ht="19.5" thickBot="1" x14ac:dyDescent="0.25">
      <c r="A6" s="15"/>
      <c r="B6" s="15"/>
      <c r="C6" s="15"/>
      <c r="D6" s="15"/>
      <c r="E6" s="15"/>
      <c r="F6" s="215" t="s">
        <v>57</v>
      </c>
      <c r="G6" s="215"/>
      <c r="H6" s="16">
        <f ca="1">TODAY()</f>
        <v>46079</v>
      </c>
      <c r="I6" s="16"/>
    </row>
    <row r="7" spans="1:10" ht="26.25" thickBot="1" x14ac:dyDescent="0.25">
      <c r="A7" s="17" t="s">
        <v>58</v>
      </c>
      <c r="B7" s="18" t="s">
        <v>59</v>
      </c>
      <c r="C7" s="18" t="s">
        <v>58</v>
      </c>
      <c r="D7" s="19" t="s">
        <v>60</v>
      </c>
      <c r="E7" s="19" t="s">
        <v>61</v>
      </c>
      <c r="F7" s="19" t="s">
        <v>62</v>
      </c>
      <c r="G7" s="19" t="s">
        <v>63</v>
      </c>
      <c r="H7" s="20" t="s">
        <v>64</v>
      </c>
      <c r="I7" s="21"/>
    </row>
    <row r="8" spans="1:10" ht="13.5" x14ac:dyDescent="0.25">
      <c r="A8" s="22">
        <v>7</v>
      </c>
      <c r="B8" s="10" t="str">
        <f>IFERROR(VLOOKUP(H8,'[1]Consolidado MP Planta'!$A$2:$M$823,3,0),"")</f>
        <v>MANJAR LECHE CONDENSADA (PAQ: 4.5 K)</v>
      </c>
      <c r="C8" s="23">
        <f>+A8</f>
        <v>7</v>
      </c>
      <c r="D8" s="24" t="str">
        <f>IFERROR(VLOOKUP(H8,'[1]Consolidado MP Planta'!$A$2:$M$823,13,0),"")</f>
        <v>Gramos</v>
      </c>
      <c r="E8" s="24">
        <f>IFERROR(VLOOKUP(H8,'[1]Consolidado MP Planta'!$A$2:$M$823,12,0),"")</f>
        <v>2.0895555555555556</v>
      </c>
      <c r="F8" s="24">
        <f>IFERROR(C8*E8,"")</f>
        <v>14.626888888888889</v>
      </c>
      <c r="G8" s="25">
        <f t="shared" ref="G8:G14" si="0">IFERROR(F8/$F$71,"")</f>
        <v>2.0738972245681758E-2</v>
      </c>
      <c r="H8" s="26" t="s">
        <v>18</v>
      </c>
      <c r="I8" s="26"/>
      <c r="J8" s="27"/>
    </row>
    <row r="9" spans="1:10" ht="13.5" x14ac:dyDescent="0.25">
      <c r="A9" s="22">
        <v>15</v>
      </c>
      <c r="B9" s="10" t="str">
        <f>IFERROR(VLOOKUP(H9,'[1]Consolidado MP Planta'!$A$2:$M$823,3,0),"")</f>
        <v>RELLENO CARAMELO KILO</v>
      </c>
      <c r="C9" s="23">
        <f t="shared" ref="C9:C14" si="1">+A9</f>
        <v>15</v>
      </c>
      <c r="D9" s="24" t="str">
        <f>IFERROR(VLOOKUP(H9,'[1]Consolidado MP Planta'!$A$2:$M$823,13,0),"")</f>
        <v>Gramos</v>
      </c>
      <c r="E9" s="24">
        <f>IFERROR(VLOOKUP(H9,'[1]Consolidado MP Planta'!$A$2:$M$823,12,0),"")</f>
        <v>3.5</v>
      </c>
      <c r="F9" s="24">
        <f t="shared" ref="F9:F14" si="2">IFERROR(C9*E9,"")</f>
        <v>52.5</v>
      </c>
      <c r="G9" s="25">
        <f t="shared" si="0"/>
        <v>7.4437978654871784E-2</v>
      </c>
      <c r="H9" s="26" t="s">
        <v>65</v>
      </c>
      <c r="I9" s="26"/>
      <c r="J9" s="27"/>
    </row>
    <row r="10" spans="1:10" ht="13.5" x14ac:dyDescent="0.25">
      <c r="A10" s="22">
        <v>8</v>
      </c>
      <c r="B10" s="10" t="str">
        <f>IFERROR(VLOOKUP(H10,'[1]Consolidado MP Planta'!$A$2:$M$823,3,0),"")</f>
        <v>MACADAMIA #8 (PAQ:800g)</v>
      </c>
      <c r="C10" s="23">
        <f t="shared" si="1"/>
        <v>8</v>
      </c>
      <c r="D10" s="24" t="str">
        <f>IFERROR(VLOOKUP(H10,'[1]Consolidado MP Planta'!$A$2:$M$823,13,0),"")</f>
        <v>Gramos</v>
      </c>
      <c r="E10" s="24">
        <f>IFERROR(VLOOKUP(H10,'[1]Consolidado MP Planta'!$A$2:$M$823,12,0),"")</f>
        <v>14.2968525</v>
      </c>
      <c r="F10" s="24">
        <f t="shared" si="2"/>
        <v>114.37482</v>
      </c>
      <c r="G10" s="25">
        <f t="shared" si="0"/>
        <v>0.1621681982821867</v>
      </c>
      <c r="H10" s="26" t="s">
        <v>26</v>
      </c>
      <c r="I10" s="26"/>
      <c r="J10" s="27"/>
    </row>
    <row r="11" spans="1:10" ht="13.5" hidden="1" x14ac:dyDescent="0.25">
      <c r="A11" s="22"/>
      <c r="B11" s="10" t="str">
        <f>IFERROR(VLOOKUP(H11,'[1]Consolidado MP Planta'!$A$2:$M$823,3,0),"")</f>
        <v/>
      </c>
      <c r="C11" s="23">
        <f t="shared" si="1"/>
        <v>0</v>
      </c>
      <c r="D11" s="24" t="str">
        <f>IFERROR(VLOOKUP(H11,'[1]Consolidado MP Planta'!$A$2:$M$823,13,0),"")</f>
        <v/>
      </c>
      <c r="E11" s="24" t="str">
        <f>IFERROR(VLOOKUP(H11,'[1]Consolidado MP Planta'!$A$2:$M$823,12,0),"")</f>
        <v/>
      </c>
      <c r="F11" s="24" t="str">
        <f t="shared" si="2"/>
        <v/>
      </c>
      <c r="G11" s="25" t="str">
        <f t="shared" si="0"/>
        <v/>
      </c>
      <c r="H11" s="26"/>
      <c r="I11" s="26"/>
      <c r="J11" s="27"/>
    </row>
    <row r="12" spans="1:10" ht="13.5" hidden="1" x14ac:dyDescent="0.25">
      <c r="A12" s="22"/>
      <c r="B12" s="10" t="str">
        <f>IFERROR(VLOOKUP(H12,'[1]Consolidado MP Planta'!$A$2:$M$823,3,0),"")</f>
        <v/>
      </c>
      <c r="C12" s="23">
        <f t="shared" si="1"/>
        <v>0</v>
      </c>
      <c r="D12" s="24" t="str">
        <f>IFERROR(VLOOKUP(H12,'[1]Consolidado MP Planta'!$A$2:$M$823,13,0),"")</f>
        <v/>
      </c>
      <c r="E12" s="24" t="str">
        <f>IFERROR(VLOOKUP(H12,'[1]Consolidado MP Planta'!$A$2:$M$823,12,0),"")</f>
        <v/>
      </c>
      <c r="F12" s="24" t="str">
        <f t="shared" si="2"/>
        <v/>
      </c>
      <c r="G12" s="25" t="str">
        <f t="shared" si="0"/>
        <v/>
      </c>
      <c r="H12" s="26"/>
      <c r="I12" s="26"/>
      <c r="J12" s="27"/>
    </row>
    <row r="13" spans="1:10" ht="13.5" hidden="1" x14ac:dyDescent="0.25">
      <c r="A13" s="22"/>
      <c r="B13" s="10" t="str">
        <f>IFERROR(VLOOKUP(H13,'[1]Consolidado MP Planta'!$A$2:$M$823,3,0),"")</f>
        <v/>
      </c>
      <c r="C13" s="23">
        <f t="shared" si="1"/>
        <v>0</v>
      </c>
      <c r="D13" s="24" t="str">
        <f>IFERROR(VLOOKUP(H13,'[1]Consolidado MP Planta'!$A$2:$M$823,13,0),"")</f>
        <v/>
      </c>
      <c r="E13" s="24" t="str">
        <f>IFERROR(VLOOKUP(H13,'[1]Consolidado MP Planta'!$A$2:$M$823,12,0),"")</f>
        <v/>
      </c>
      <c r="F13" s="24" t="str">
        <f t="shared" si="2"/>
        <v/>
      </c>
      <c r="G13" s="25" t="str">
        <f t="shared" si="0"/>
        <v/>
      </c>
      <c r="H13" s="26"/>
      <c r="I13" s="26"/>
      <c r="J13" s="27"/>
    </row>
    <row r="14" spans="1:10" ht="13.5" hidden="1" x14ac:dyDescent="0.25">
      <c r="A14" s="22"/>
      <c r="B14" s="10" t="str">
        <f>IFERROR(VLOOKUP(H14,'[1]Consolidado MP Planta'!$A$2:$M$823,3,0),"")</f>
        <v/>
      </c>
      <c r="C14" s="23">
        <f t="shared" si="1"/>
        <v>0</v>
      </c>
      <c r="D14" s="24" t="str">
        <f>IFERROR(VLOOKUP(H14,'[1]Consolidado MP Planta'!$A$2:$M$823,13,0),"")</f>
        <v/>
      </c>
      <c r="E14" s="24" t="str">
        <f>IFERROR(VLOOKUP(H14,'[1]Consolidado MP Planta'!$A$2:$M$823,12,0),"")</f>
        <v/>
      </c>
      <c r="F14" s="24" t="str">
        <f t="shared" si="2"/>
        <v/>
      </c>
      <c r="G14" s="25" t="str">
        <f t="shared" si="0"/>
        <v/>
      </c>
      <c r="H14" s="26"/>
      <c r="I14" s="26"/>
      <c r="J14" s="27"/>
    </row>
    <row r="15" spans="1:10" ht="14.25" thickBot="1" x14ac:dyDescent="0.3">
      <c r="A15" s="22"/>
      <c r="B15" s="10" t="str">
        <f>IFERROR(VLOOKUP(H15,'[3]ARTICULOS MP PLANTA'!$A$2:$G$589,2,0),"")</f>
        <v/>
      </c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25">
      <c r="A16" s="17" t="s">
        <v>58</v>
      </c>
      <c r="B16" s="18" t="s">
        <v>66</v>
      </c>
      <c r="C16" s="18" t="s">
        <v>58</v>
      </c>
      <c r="D16" s="19" t="s">
        <v>60</v>
      </c>
      <c r="E16" s="19" t="s">
        <v>61</v>
      </c>
      <c r="F16" s="19" t="s">
        <v>62</v>
      </c>
      <c r="G16" s="19" t="s">
        <v>63</v>
      </c>
      <c r="H16" s="20" t="s">
        <v>64</v>
      </c>
      <c r="I16" s="21"/>
      <c r="J16" s="27"/>
    </row>
    <row r="17" spans="1:12" ht="13.5" x14ac:dyDescent="0.25">
      <c r="A17" s="22">
        <v>1</v>
      </c>
      <c r="B17" s="10" t="s">
        <v>21</v>
      </c>
      <c r="C17" s="23">
        <f>+A17</f>
        <v>1</v>
      </c>
      <c r="D17" s="23" t="s">
        <v>67</v>
      </c>
      <c r="E17" s="24">
        <f>+[4]COSTOS!$H$53</f>
        <v>93.843741058544154</v>
      </c>
      <c r="F17" s="24">
        <f>IFERROR(E17*C17,"")</f>
        <v>93.843741058544154</v>
      </c>
      <c r="G17" s="25">
        <f t="shared" ref="G17:G24" si="3">IFERROR(F17/$F$71,"")</f>
        <v>0.13305787416779474</v>
      </c>
      <c r="H17" s="26"/>
      <c r="I17" s="26"/>
      <c r="J17" s="27"/>
    </row>
    <row r="18" spans="1:12" ht="13.5" x14ac:dyDescent="0.25">
      <c r="A18" s="22">
        <v>20</v>
      </c>
      <c r="B18" s="10" t="str">
        <f>IFERROR(VLOOKUP(H18,[1]SEMIELABORADOS!$A$2:$M$6000,2,0),"")</f>
        <v>MEZCLA TRES LECHES PASTEURIZADA KILO</v>
      </c>
      <c r="C18" s="23">
        <f t="shared" ref="C18:C24" si="4">+A18</f>
        <v>20</v>
      </c>
      <c r="D18" s="23" t="str">
        <f>IFERROR(VLOOKUP(H18,[1]SEMIELABORADOS!$A$2:$M$6000,6,0),"")</f>
        <v>Gramo</v>
      </c>
      <c r="E18" s="24">
        <f>IFERROR(VLOOKUP(H18,[1]SEMIELABORADOS!$A$2:$H$65536,8,0),"")</f>
        <v>1.5848881838580673</v>
      </c>
      <c r="F18" s="24">
        <f t="shared" ref="F18:F24" si="5">IFERROR(E18*C18,"")</f>
        <v>31.697763677161348</v>
      </c>
      <c r="G18" s="25">
        <f t="shared" si="3"/>
        <v>4.4943189638242023E-2</v>
      </c>
      <c r="H18" s="26" t="s">
        <v>23</v>
      </c>
      <c r="I18" s="26"/>
      <c r="J18" s="27"/>
    </row>
    <row r="19" spans="1:12" ht="13.5" x14ac:dyDescent="0.25">
      <c r="A19" s="22">
        <v>3</v>
      </c>
      <c r="B19" s="10" t="s">
        <v>25</v>
      </c>
      <c r="C19" s="23">
        <f>+A19</f>
        <v>3</v>
      </c>
      <c r="D19" s="23" t="str">
        <f>IFERROR(VLOOKUP(H19,[1]SEMIELABORADOS!$A$2:$M$6000,6,0),"")</f>
        <v>Gramo</v>
      </c>
      <c r="E19" s="24">
        <f>+'[5]COSTEO CHOCOLATE'!$E$62</f>
        <v>3.0529797872340425</v>
      </c>
      <c r="F19" s="24">
        <f>IFERROR(E19*C19,"")</f>
        <v>9.158939361702128</v>
      </c>
      <c r="G19" s="25">
        <f t="shared" si="3"/>
        <v>1.2986151099193294E-2</v>
      </c>
      <c r="H19" s="26" t="s">
        <v>24</v>
      </c>
      <c r="I19" s="26"/>
      <c r="J19" s="27"/>
    </row>
    <row r="20" spans="1:12" ht="13.5" x14ac:dyDescent="0.25">
      <c r="A20" s="22">
        <v>20</v>
      </c>
      <c r="B20" s="10" t="str">
        <f>IFERROR(VLOOKUP(H20,[1]SEMIELABORADOS!$A$2:$M$6000,2,0),"")</f>
        <v>CREMA DULCE LECHE KILO</v>
      </c>
      <c r="C20" s="23">
        <f>+A20</f>
        <v>20</v>
      </c>
      <c r="D20" s="23" t="str">
        <f>IFERROR(VLOOKUP(H20,[1]SEMIELABORADOS!$A$2:$M$6000,6,0),"")</f>
        <v>Gramo</v>
      </c>
      <c r="E20" s="24">
        <f>IFERROR(VLOOKUP(H20,[1]SEMIELABORADOS!$A$2:$H$65536,8,0),"")</f>
        <v>2.4408295804081632</v>
      </c>
      <c r="F20" s="24">
        <f>IFERROR(E20*C20,"")</f>
        <v>48.816591608163264</v>
      </c>
      <c r="G20" s="25">
        <f t="shared" si="3"/>
        <v>6.9215398173943801E-2</v>
      </c>
      <c r="H20" s="26" t="s">
        <v>27</v>
      </c>
      <c r="I20" s="26"/>
      <c r="J20" s="27"/>
    </row>
    <row r="21" spans="1:12" ht="13.5" x14ac:dyDescent="0.25">
      <c r="A21" s="22">
        <v>10</v>
      </c>
      <c r="B21" s="10" t="str">
        <f>IFERROR(VLOOKUP(H21,[1]SEMIELABORADOS!$A$2:$M$6000,2,0),"")</f>
        <v>CREMA CHANTILLY BLANCA SPOON-IND KILO</v>
      </c>
      <c r="C21" s="23">
        <f>+A21</f>
        <v>10</v>
      </c>
      <c r="D21" s="23" t="str">
        <f>IFERROR(VLOOKUP(H21,[1]SEMIELABORADOS!$A$2:$M$6000,6,0),"")</f>
        <v>Gramo</v>
      </c>
      <c r="E21" s="24">
        <f>IFERROR(VLOOKUP(H21,[1]SEMIELABORADOS!$A$2:$H$65536,8,0),"")</f>
        <v>2.1727029519230769</v>
      </c>
      <c r="F21" s="24">
        <f>IFERROR(E21*C21,"")</f>
        <v>21.727029519230769</v>
      </c>
      <c r="G21" s="25">
        <f t="shared" si="3"/>
        <v>3.0806022087357506E-2</v>
      </c>
      <c r="H21" s="26" t="s">
        <v>28</v>
      </c>
      <c r="I21" s="26"/>
      <c r="J21" s="27"/>
    </row>
    <row r="22" spans="1:12" ht="13.5" hidden="1" x14ac:dyDescent="0.25">
      <c r="A22" s="22"/>
      <c r="B22" s="10" t="str">
        <f>IFERROR(VLOOKUP(H22,[1]SEMIELABORADOS!$A$2:$M$6000,2,0),"")</f>
        <v/>
      </c>
      <c r="C22" s="23">
        <f t="shared" si="4"/>
        <v>0</v>
      </c>
      <c r="D22" s="23" t="str">
        <f>IFERROR(VLOOKUP(H22,[1]SEMIELABORADOS!$A$2:$M$6000,6,0),"")</f>
        <v/>
      </c>
      <c r="E22" s="24" t="str">
        <f>IFERROR(VLOOKUP(H22,[1]SEMIELABORADOS!$A$2:$H$65536,8,0),"")</f>
        <v/>
      </c>
      <c r="F22" s="24" t="str">
        <f t="shared" si="5"/>
        <v/>
      </c>
      <c r="G22" s="25" t="str">
        <f t="shared" si="3"/>
        <v/>
      </c>
      <c r="H22" s="26"/>
      <c r="I22" s="26"/>
      <c r="J22" s="27"/>
    </row>
    <row r="23" spans="1:12" ht="13.5" hidden="1" x14ac:dyDescent="0.25">
      <c r="A23" s="22"/>
      <c r="B23" s="10" t="str">
        <f>IFERROR(VLOOKUP(H23,[1]SEMIELABORADOS!$A$2:$M$6000,2,0),"")</f>
        <v/>
      </c>
      <c r="C23" s="23">
        <f t="shared" si="4"/>
        <v>0</v>
      </c>
      <c r="D23" s="23" t="str">
        <f>IFERROR(VLOOKUP(H23,[1]SEMIELABORADOS!$A$2:$M$6000,6,0),"")</f>
        <v/>
      </c>
      <c r="E23" s="24" t="str">
        <f>IFERROR(VLOOKUP(H23,[1]SEMIELABORADOS!$A$2:$H$65536,8,0),"")</f>
        <v/>
      </c>
      <c r="F23" s="24" t="str">
        <f t="shared" si="5"/>
        <v/>
      </c>
      <c r="G23" s="25" t="str">
        <f t="shared" si="3"/>
        <v/>
      </c>
      <c r="H23" s="26"/>
      <c r="I23" s="26"/>
      <c r="J23" s="27"/>
    </row>
    <row r="24" spans="1:12" ht="13.5" hidden="1" x14ac:dyDescent="0.25">
      <c r="A24" s="22"/>
      <c r="B24" s="10" t="str">
        <f>IFERROR(VLOOKUP(H24,[1]SEMIELABORADOS!$A$2:$M$6000,2,0),"")</f>
        <v/>
      </c>
      <c r="C24" s="23">
        <f t="shared" si="4"/>
        <v>0</v>
      </c>
      <c r="D24" s="23" t="str">
        <f>IFERROR(VLOOKUP(H24,[1]SEMIELABORADOS!$A$2:$M$6000,6,0),"")</f>
        <v/>
      </c>
      <c r="E24" s="24" t="str">
        <f>IFERROR(VLOOKUP(H24,[1]SEMIELABORADOS!$A$2:$H$65536,8,0),"")</f>
        <v/>
      </c>
      <c r="F24" s="24" t="str">
        <f t="shared" si="5"/>
        <v/>
      </c>
      <c r="G24" s="25" t="str">
        <f t="shared" si="3"/>
        <v/>
      </c>
      <c r="H24" s="26"/>
      <c r="I24" s="26"/>
      <c r="J24" s="27"/>
    </row>
    <row r="25" spans="1:12" ht="14.25" thickBot="1" x14ac:dyDescent="0.3">
      <c r="A25" s="22"/>
      <c r="C25" s="23"/>
      <c r="D25" s="23"/>
      <c r="E25" s="24"/>
      <c r="F25" s="24"/>
      <c r="G25" s="25"/>
      <c r="H25" s="26"/>
      <c r="I25" s="26"/>
      <c r="J25" s="27"/>
    </row>
    <row r="26" spans="1:12" ht="26.25" thickBot="1" x14ac:dyDescent="0.25">
      <c r="A26" s="17" t="s">
        <v>58</v>
      </c>
      <c r="B26" s="18" t="s">
        <v>29</v>
      </c>
      <c r="C26" s="18" t="s">
        <v>58</v>
      </c>
      <c r="D26" s="19" t="s">
        <v>60</v>
      </c>
      <c r="E26" s="19" t="s">
        <v>61</v>
      </c>
      <c r="F26" s="19" t="s">
        <v>62</v>
      </c>
      <c r="G26" s="19" t="s">
        <v>63</v>
      </c>
      <c r="H26" s="20" t="s">
        <v>64</v>
      </c>
      <c r="I26" s="21"/>
    </row>
    <row r="27" spans="1:12" ht="13.5" x14ac:dyDescent="0.25">
      <c r="A27" s="22">
        <v>1</v>
      </c>
      <c r="B27" s="28" t="str">
        <f>IFERROR(VLOOKUP(H27,'[1]Consolidado MP Planta'!$A$2:$M$823,3,0),"")</f>
        <v>ORLA #4 AZUL REDONDA (UND)</v>
      </c>
      <c r="C27" s="23">
        <f>+A27</f>
        <v>1</v>
      </c>
      <c r="D27" s="24" t="s">
        <v>68</v>
      </c>
      <c r="E27" s="24">
        <f>IFERROR(VLOOKUP(H27,'[1]Consolidado MP Planta'!$A$2:$M$823,12,0),"")</f>
        <v>39</v>
      </c>
      <c r="F27" s="24">
        <f>IFERROR(C27*E27,"")</f>
        <v>39</v>
      </c>
      <c r="G27" s="25">
        <f>IFERROR(F27/$F$71,"")</f>
        <v>5.5296784143619035E-2</v>
      </c>
      <c r="H27" s="29" t="s">
        <v>69</v>
      </c>
      <c r="I27" s="29"/>
      <c r="J27" s="27"/>
      <c r="K27" s="208"/>
      <c r="L27" s="208"/>
    </row>
    <row r="28" spans="1:12" ht="13.5" x14ac:dyDescent="0.25">
      <c r="A28" s="22">
        <v>1</v>
      </c>
      <c r="B28" s="28" t="str">
        <f>IFERROR(VLOOKUP(H28,'[1]Consolidado MP Planta'!$A$2:$M$823,3,0),"")</f>
        <v>QUEQUERA PLAST 12 CENT (CAJA:250UND)</v>
      </c>
      <c r="C28" s="23">
        <f>+A28</f>
        <v>1</v>
      </c>
      <c r="D28" s="24" t="str">
        <f>IFERROR(VLOOKUP(H28,'[1]Consolidado MP Planta'!$A$2:$M$823,13,0),"")</f>
        <v>UND</v>
      </c>
      <c r="E28" s="24">
        <f>IFERROR(VLOOKUP(H28,'[1]Consolidado MP Planta'!$A$2:$M$823,12,0),"")</f>
        <v>70.492000000000004</v>
      </c>
      <c r="F28" s="24">
        <f>IFERROR(C28*E28,"")</f>
        <v>70.492000000000004</v>
      </c>
      <c r="G28" s="25">
        <f>IFERROR(F28/$F$71,"")</f>
        <v>9.9948228406461365E-2</v>
      </c>
      <c r="H28" s="29" t="s">
        <v>70</v>
      </c>
      <c r="I28" s="29"/>
      <c r="J28" s="27"/>
      <c r="K28" s="208"/>
      <c r="L28" s="208"/>
    </row>
    <row r="29" spans="1:12" ht="13.5" x14ac:dyDescent="0.25">
      <c r="A29" s="22">
        <v>1</v>
      </c>
      <c r="B29" s="28" t="str">
        <f>IFERROR(VLOOKUP(H29,'[1]Consolidado MP Planta'!$A$2:$M$823,3,0),"")</f>
        <v>ETIQ. GENERICA PEQUEÑA V-274 (UND)</v>
      </c>
      <c r="C29" s="23">
        <f t="shared" ref="C29:C37" si="6">+A29</f>
        <v>1</v>
      </c>
      <c r="D29" s="24" t="str">
        <f>IFERROR(VLOOKUP(H29,'[1]Consolidado MP Planta'!$A$2:$M$823,13,0),"")</f>
        <v>Und</v>
      </c>
      <c r="E29" s="24">
        <f>IFERROR(VLOOKUP(H29,'[1]Consolidado MP Planta'!$A$2:$M$823,12,0),"")</f>
        <v>13.45</v>
      </c>
      <c r="F29" s="24">
        <f t="shared" ref="F29:F37" si="7">IFERROR(C29*E29,"")</f>
        <v>13.45</v>
      </c>
      <c r="G29" s="25">
        <f t="shared" ref="G29:G37" si="8">IFERROR(F29/$F$71,"")</f>
        <v>1.9070301198248103E-2</v>
      </c>
      <c r="H29" s="29" t="s">
        <v>71</v>
      </c>
      <c r="I29" s="29"/>
      <c r="J29" s="27"/>
      <c r="K29" s="8"/>
      <c r="L29" s="8"/>
    </row>
    <row r="30" spans="1:12" ht="13.5" x14ac:dyDescent="0.25">
      <c r="A30" s="22">
        <v>1</v>
      </c>
      <c r="B30" s="28" t="s">
        <v>32</v>
      </c>
      <c r="C30" s="23">
        <f t="shared" si="6"/>
        <v>1</v>
      </c>
      <c r="D30" s="24" t="s">
        <v>68</v>
      </c>
      <c r="E30" s="24">
        <v>0.18</v>
      </c>
      <c r="F30" s="24">
        <f t="shared" si="7"/>
        <v>0.18</v>
      </c>
      <c r="G30" s="25">
        <f t="shared" si="8"/>
        <v>2.5521592681670323E-4</v>
      </c>
      <c r="H30" s="29" t="s">
        <v>72</v>
      </c>
      <c r="I30" s="29"/>
      <c r="J30" s="27"/>
      <c r="K30" s="8"/>
      <c r="L30" s="8"/>
    </row>
    <row r="31" spans="1:12" ht="13.5" x14ac:dyDescent="0.25">
      <c r="A31" s="22" t="s">
        <v>34</v>
      </c>
      <c r="B31" s="28" t="str">
        <f>IFERROR(VLOOKUP(H31,'[1]Consolidado MP Planta'!$A$2:$M$823,3,0),"")</f>
        <v>ETIQUETA BLANCA 2 5/8X1 15/16 (UND)</v>
      </c>
      <c r="C31" s="23" t="str">
        <f t="shared" si="6"/>
        <v>1</v>
      </c>
      <c r="D31" s="24" t="str">
        <f>IFERROR(VLOOKUP(H31,'[1]Consolidado MP Planta'!$A$2:$M$823,13,0),"")</f>
        <v>Und</v>
      </c>
      <c r="E31" s="24">
        <f>IFERROR(VLOOKUP(H31,'[1]Consolidado MP Planta'!$A$2:$M$823,12,0),"")</f>
        <v>2.1280000000000001</v>
      </c>
      <c r="F31" s="24">
        <f t="shared" si="7"/>
        <v>2.1280000000000001</v>
      </c>
      <c r="G31" s="25">
        <f t="shared" si="8"/>
        <v>3.0172194014774696E-3</v>
      </c>
      <c r="H31" s="29" t="s">
        <v>73</v>
      </c>
      <c r="I31" s="29"/>
      <c r="J31" s="27"/>
      <c r="K31" s="8"/>
      <c r="L31" s="8"/>
    </row>
    <row r="32" spans="1:12" ht="13.5" x14ac:dyDescent="0.25">
      <c r="A32" s="22" t="s">
        <v>34</v>
      </c>
      <c r="B32" s="28" t="str">
        <f>IFERROR(VLOOKUP(H32,'[1]Consolidado MP Planta'!$A$2:$M$823,3,0),"")</f>
        <v>ETIQUETA SELLO SEGURIDAD (ROLLO:1000)</v>
      </c>
      <c r="C32" s="23" t="str">
        <f t="shared" si="6"/>
        <v>1</v>
      </c>
      <c r="D32" s="24" t="str">
        <f>IFERROR(VLOOKUP(H32,'[1]Consolidado MP Planta'!$A$2:$M$823,13,0),"")</f>
        <v>Und</v>
      </c>
      <c r="E32" s="24">
        <f>IFERROR(VLOOKUP(H32,'[1]Consolidado MP Planta'!$A$2:$M$823,12,0),"")</f>
        <v>6</v>
      </c>
      <c r="F32" s="24">
        <f t="shared" si="7"/>
        <v>6</v>
      </c>
      <c r="G32" s="25">
        <f t="shared" si="8"/>
        <v>8.5071975605567739E-3</v>
      </c>
      <c r="H32" s="29" t="s">
        <v>74</v>
      </c>
      <c r="I32" s="29"/>
      <c r="J32" s="27"/>
      <c r="K32" s="8"/>
      <c r="L32" s="8"/>
    </row>
    <row r="33" spans="1:12" ht="13.5" x14ac:dyDescent="0.25">
      <c r="A33" s="22">
        <v>0.1</v>
      </c>
      <c r="B33" s="28" t="str">
        <f>IFERROR(VLOOKUP(H33,'[1]Consolidado MP Planta'!$A$2:$M$823,3,0),"")</f>
        <v>BASE PARA ROSQUETE (UND)</v>
      </c>
      <c r="C33" s="23">
        <f t="shared" si="6"/>
        <v>0.1</v>
      </c>
      <c r="D33" s="24" t="str">
        <f>IFERROR(VLOOKUP(H33,'[1]Consolidado MP Planta'!$A$2:$M$823,13,0),"")</f>
        <v>Und</v>
      </c>
      <c r="E33" s="24">
        <f>IFERROR(VLOOKUP(H33,'[1]Consolidado MP Planta'!$A$2:$M$823,12,0),"")</f>
        <v>128</v>
      </c>
      <c r="F33" s="24">
        <f t="shared" si="7"/>
        <v>12.8</v>
      </c>
      <c r="G33" s="25">
        <f t="shared" si="8"/>
        <v>1.8148688129187785E-2</v>
      </c>
      <c r="H33" s="29" t="s">
        <v>37</v>
      </c>
      <c r="I33" s="29"/>
      <c r="J33" s="27"/>
      <c r="K33" s="8"/>
      <c r="L33" s="8"/>
    </row>
    <row r="34" spans="1:12" ht="13.5" x14ac:dyDescent="0.25">
      <c r="A34" s="22">
        <v>1</v>
      </c>
      <c r="B34" s="28" t="str">
        <f>IFERROR(VLOOKUP(H34,'[1]Consolidado MP Planta'!$A$2:$M$823,3,0),"")</f>
        <v>ETIQUETA BLANCA R-153 (UND)</v>
      </c>
      <c r="C34" s="23">
        <f t="shared" si="6"/>
        <v>1</v>
      </c>
      <c r="D34" s="24" t="str">
        <f>IFERROR(VLOOKUP(H34,'[1]Consolidado MP Planta'!$A$2:$M$823,13,0),"")</f>
        <v>Und</v>
      </c>
      <c r="E34" s="24">
        <f>IFERROR(VLOOKUP(H34,'[1]Consolidado MP Planta'!$A$2:$M$823,12,0),"")</f>
        <v>0.39</v>
      </c>
      <c r="F34" s="24">
        <f t="shared" si="7"/>
        <v>0.39</v>
      </c>
      <c r="G34" s="25">
        <f t="shared" si="8"/>
        <v>5.5296784143619038E-4</v>
      </c>
      <c r="H34" s="29" t="s">
        <v>75</v>
      </c>
      <c r="I34" s="29"/>
      <c r="J34" s="27"/>
      <c r="K34" s="208"/>
      <c r="L34" s="208"/>
    </row>
    <row r="35" spans="1:12" ht="13.5" hidden="1" x14ac:dyDescent="0.25">
      <c r="A35" s="22"/>
      <c r="B35" s="28" t="str">
        <f>IFERROR(VLOOKUP(H35,'[1]Consolidado MP Planta'!$A$2:$M$823,3,0),"")</f>
        <v/>
      </c>
      <c r="C35" s="23">
        <f t="shared" si="6"/>
        <v>0</v>
      </c>
      <c r="D35" s="24" t="str">
        <f>IFERROR(VLOOKUP(H35,'[1]Consolidado MP Planta'!$A$2:$M$823,13,0),"")</f>
        <v/>
      </c>
      <c r="E35" s="24" t="str">
        <f>IFERROR(VLOOKUP(H35,'[1]Consolidado MP Planta'!$A$2:$M$823,12,0),"")</f>
        <v/>
      </c>
      <c r="F35" s="24" t="str">
        <f t="shared" si="7"/>
        <v/>
      </c>
      <c r="G35" s="25" t="str">
        <f t="shared" si="8"/>
        <v/>
      </c>
      <c r="H35" s="29"/>
      <c r="I35" s="29"/>
      <c r="J35" s="27"/>
      <c r="K35" s="208"/>
      <c r="L35" s="208"/>
    </row>
    <row r="36" spans="1:12" ht="13.5" hidden="1" x14ac:dyDescent="0.25">
      <c r="A36" s="22"/>
      <c r="B36" s="28" t="str">
        <f>IFERROR(VLOOKUP(H36,'[1]Consolidado MP Planta'!$A$2:$M$823,3,0),"")</f>
        <v/>
      </c>
      <c r="C36" s="23">
        <f t="shared" si="6"/>
        <v>0</v>
      </c>
      <c r="D36" s="24" t="str">
        <f>IFERROR(VLOOKUP(H36,'[1]Consolidado MP Planta'!$A$2:$M$823,13,0),"")</f>
        <v/>
      </c>
      <c r="E36" s="24" t="str">
        <f>IFERROR(VLOOKUP(H36,'[1]Consolidado MP Planta'!$A$2:$M$823,12,0),"")</f>
        <v/>
      </c>
      <c r="F36" s="24" t="str">
        <f t="shared" si="7"/>
        <v/>
      </c>
      <c r="G36" s="25" t="str">
        <f t="shared" si="8"/>
        <v/>
      </c>
      <c r="H36" s="29"/>
      <c r="I36" s="29"/>
      <c r="J36" s="27"/>
      <c r="K36" s="30"/>
      <c r="L36" s="31"/>
    </row>
    <row r="37" spans="1:12" ht="13.5" hidden="1" x14ac:dyDescent="0.25">
      <c r="A37" s="22"/>
      <c r="B37" s="28" t="str">
        <f>IFERROR(VLOOKUP(H37,'[1]Consolidado MP Planta'!$A$2:$M$823,3,0),"")</f>
        <v/>
      </c>
      <c r="C37" s="23">
        <f t="shared" si="6"/>
        <v>0</v>
      </c>
      <c r="D37" s="24" t="str">
        <f>IFERROR(VLOOKUP(H37,'[1]Consolidado MP Planta'!$A$2:$M$823,13,0),"")</f>
        <v/>
      </c>
      <c r="E37" s="24" t="str">
        <f>IFERROR(VLOOKUP(H37,'[1]Consolidado MP Planta'!$A$2:$M$823,12,0),"")</f>
        <v/>
      </c>
      <c r="F37" s="24" t="str">
        <f t="shared" si="7"/>
        <v/>
      </c>
      <c r="G37" s="25" t="str">
        <f t="shared" si="8"/>
        <v/>
      </c>
      <c r="H37" s="29"/>
      <c r="I37" s="29"/>
      <c r="J37" s="27"/>
    </row>
    <row r="38" spans="1:12" ht="14.25" thickBot="1" x14ac:dyDescent="0.3">
      <c r="A38" s="22"/>
      <c r="B38" s="28"/>
      <c r="C38" s="23"/>
      <c r="D38" s="24"/>
      <c r="E38" s="24"/>
      <c r="F38" s="24"/>
      <c r="G38" s="25"/>
      <c r="H38" s="29"/>
      <c r="I38" s="29"/>
      <c r="J38" s="27"/>
    </row>
    <row r="39" spans="1:12" ht="26.25" thickBot="1" x14ac:dyDescent="0.25">
      <c r="A39" s="17" t="s">
        <v>58</v>
      </c>
      <c r="B39" s="18" t="s">
        <v>76</v>
      </c>
      <c r="C39" s="18" t="s">
        <v>58</v>
      </c>
      <c r="D39" s="19" t="s">
        <v>60</v>
      </c>
      <c r="E39" s="19" t="s">
        <v>61</v>
      </c>
      <c r="F39" s="19" t="s">
        <v>62</v>
      </c>
      <c r="G39" s="19" t="s">
        <v>63</v>
      </c>
      <c r="H39" s="20" t="s">
        <v>64</v>
      </c>
      <c r="I39" s="29"/>
      <c r="J39" s="27"/>
    </row>
    <row r="40" spans="1:12" ht="13.5" x14ac:dyDescent="0.25">
      <c r="A40" s="22">
        <f t="shared" ref="A40:A46" si="9">+A17</f>
        <v>1</v>
      </c>
      <c r="B40" s="28" t="s">
        <v>21</v>
      </c>
      <c r="C40" s="23">
        <f>+A40</f>
        <v>1</v>
      </c>
      <c r="D40" s="24" t="s">
        <v>68</v>
      </c>
      <c r="E40" s="24">
        <f>+[4]COSTOS!$H$54</f>
        <v>1.3478472194150162</v>
      </c>
      <c r="F40" s="24">
        <f>IFERROR(E40*C40,"")</f>
        <v>1.3478472194150162</v>
      </c>
      <c r="G40" s="25">
        <f t="shared" ref="G40:G46" si="10">IFERROR(F40/$F$71,"")</f>
        <v>1.9110670961684428E-3</v>
      </c>
      <c r="H40" s="29"/>
      <c r="I40" s="29"/>
      <c r="J40" s="27"/>
    </row>
    <row r="41" spans="1:12" ht="13.5" x14ac:dyDescent="0.25">
      <c r="A41" s="22">
        <f t="shared" si="9"/>
        <v>20</v>
      </c>
      <c r="B41" s="28" t="str">
        <f>IFERROR(VLOOKUP(H41,[1]SEMIELABORADOS!$A$2:$M$6000,2,0),"")</f>
        <v>MEZCLA TRES LECHES PASTEURIZADA KILO</v>
      </c>
      <c r="C41" s="23">
        <f t="shared" ref="C41:C46" si="11">+A41</f>
        <v>20</v>
      </c>
      <c r="D41" s="24" t="str">
        <f>IFERROR(VLOOKUP(H41,[1]SEMIELABORADOS!$A$2:$M$6000,6,0),"")</f>
        <v>Gramo</v>
      </c>
      <c r="E41" s="24">
        <f>IFERROR(VLOOKUP(H41,[1]SEMIELABORADOS!$A$2:$M$65536,10,0),"")</f>
        <v>7.113050788571429E-4</v>
      </c>
      <c r="F41" s="24">
        <f t="shared" ref="F41:F46" si="12">IFERROR(E41*C41,"")</f>
        <v>1.4226101577142857E-2</v>
      </c>
      <c r="G41" s="25">
        <f t="shared" si="10"/>
        <v>2.0170709438883767E-5</v>
      </c>
      <c r="H41" s="29" t="s">
        <v>23</v>
      </c>
      <c r="I41" s="29"/>
      <c r="J41" s="27"/>
    </row>
    <row r="42" spans="1:12" ht="13.5" x14ac:dyDescent="0.25">
      <c r="A42" s="22">
        <f t="shared" si="9"/>
        <v>3</v>
      </c>
      <c r="B42" s="28" t="s">
        <v>25</v>
      </c>
      <c r="C42" s="23">
        <f t="shared" si="11"/>
        <v>3</v>
      </c>
      <c r="D42" s="24" t="str">
        <f>IFERROR(VLOOKUP(H42,[1]SEMIELABORADOS!$A$2:$M$6000,6,0),"")</f>
        <v>Gramo</v>
      </c>
      <c r="E42" s="24">
        <f>+'[5]COSTEO CHOCOLATE'!$E$69</f>
        <v>1.3106382978723404E-4</v>
      </c>
      <c r="F42" s="24">
        <f t="shared" si="12"/>
        <v>3.9319148936170213E-4</v>
      </c>
      <c r="G42" s="25">
        <f t="shared" si="10"/>
        <v>5.5749294652159293E-7</v>
      </c>
      <c r="H42" s="29" t="s">
        <v>24</v>
      </c>
      <c r="I42" s="29"/>
      <c r="J42" s="27"/>
    </row>
    <row r="43" spans="1:12" ht="13.5" x14ac:dyDescent="0.25">
      <c r="A43" s="22">
        <f t="shared" si="9"/>
        <v>20</v>
      </c>
      <c r="B43" s="28" t="str">
        <f>IFERROR(VLOOKUP(H43,[1]SEMIELABORADOS!$A$2:$M$6000,2,0),"")</f>
        <v>CREMA DULCE LECHE KILO</v>
      </c>
      <c r="C43" s="23">
        <f>+A43</f>
        <v>20</v>
      </c>
      <c r="D43" s="24" t="str">
        <f>IFERROR(VLOOKUP(H43,[1]SEMIELABORADOS!$A$2:$M$6000,6,0),"")</f>
        <v>Gramo</v>
      </c>
      <c r="E43" s="24">
        <f>IFERROR(VLOOKUP(H43,[1]SEMIELABORADOS!$A$2:$M$65536,10,0),"")</f>
        <v>8.5119999999999998E-5</v>
      </c>
      <c r="F43" s="24">
        <f>IFERROR(E43*C43,"")</f>
        <v>1.7024E-3</v>
      </c>
      <c r="G43" s="25">
        <f t="shared" si="10"/>
        <v>2.4137755211819754E-6</v>
      </c>
      <c r="H43" s="29" t="s">
        <v>27</v>
      </c>
      <c r="I43" s="29"/>
      <c r="J43" s="27"/>
    </row>
    <row r="44" spans="1:12" ht="13.5" x14ac:dyDescent="0.25">
      <c r="A44" s="22">
        <f t="shared" si="9"/>
        <v>10</v>
      </c>
      <c r="B44" s="28" t="str">
        <f>IFERROR(VLOOKUP(H44,[1]SEMIELABORADOS!$A$2:$M$6000,2,0),"")</f>
        <v>CREMA CHANTILLY BLANCA SPOON-IND KILO</v>
      </c>
      <c r="C44" s="23">
        <f>+A44</f>
        <v>10</v>
      </c>
      <c r="D44" s="24" t="str">
        <f>IFERROR(VLOOKUP(H44,[1]SEMIELABORADOS!$A$2:$M$6000,6,0),"")</f>
        <v>Gramo</v>
      </c>
      <c r="E44" s="24">
        <f>IFERROR(VLOOKUP(H44,[1]SEMIELABORADOS!$A$2:$M$65536,10,0),"")</f>
        <v>2.7884615384615379E-5</v>
      </c>
      <c r="F44" s="24">
        <f>IFERROR(E44*C44,"")</f>
        <v>2.7884615384615377E-4</v>
      </c>
      <c r="G44" s="25">
        <f t="shared" si="10"/>
        <v>3.953665532951064E-7</v>
      </c>
      <c r="H44" s="29" t="s">
        <v>28</v>
      </c>
      <c r="I44" s="29"/>
      <c r="J44" s="27"/>
    </row>
    <row r="45" spans="1:12" ht="13.5" x14ac:dyDescent="0.25">
      <c r="A45" s="22">
        <f t="shared" si="9"/>
        <v>0</v>
      </c>
      <c r="B45" s="28" t="str">
        <f>IFERROR(VLOOKUP(H45,[1]SEMIELABORADOS!$A$2:$M$6000,2,0),"")</f>
        <v/>
      </c>
      <c r="C45" s="23">
        <f t="shared" si="11"/>
        <v>0</v>
      </c>
      <c r="D45" s="24" t="str">
        <f>IFERROR(VLOOKUP(H45,[1]SEMIELABORADOS!$A$2:$M$6000,6,0),"")</f>
        <v/>
      </c>
      <c r="E45" s="24" t="str">
        <f>IFERROR(VLOOKUP(H45,[1]SEMIELABORADOS!$A$2:$M$65536,10,0),"")</f>
        <v/>
      </c>
      <c r="F45" s="24" t="str">
        <f t="shared" si="12"/>
        <v/>
      </c>
      <c r="G45" s="25" t="str">
        <f t="shared" si="10"/>
        <v/>
      </c>
      <c r="H45" s="29"/>
      <c r="I45" s="29"/>
      <c r="J45" s="27"/>
    </row>
    <row r="46" spans="1:12" ht="13.5" x14ac:dyDescent="0.25">
      <c r="A46" s="22">
        <f t="shared" si="9"/>
        <v>0</v>
      </c>
      <c r="B46" s="28" t="str">
        <f>IFERROR(VLOOKUP(H46,[1]SEMIELABORADOS!$A$2:$M$6000,2,0),"")</f>
        <v/>
      </c>
      <c r="C46" s="23">
        <f t="shared" si="11"/>
        <v>0</v>
      </c>
      <c r="D46" s="24" t="str">
        <f>IFERROR(VLOOKUP(H46,[1]SEMIELABORADOS!$A$2:$M$6000,6,0),"")</f>
        <v/>
      </c>
      <c r="E46" s="24" t="str">
        <f>IFERROR(VLOOKUP(H46,[1]SEMIELABORADOS!$A$2:$M$65536,10,0),"")</f>
        <v/>
      </c>
      <c r="F46" s="24" t="str">
        <f t="shared" si="12"/>
        <v/>
      </c>
      <c r="G46" s="25" t="str">
        <f t="shared" si="10"/>
        <v/>
      </c>
      <c r="H46" s="29"/>
      <c r="I46" s="29"/>
      <c r="J46" s="27"/>
    </row>
    <row r="47" spans="1:12" ht="14.25" thickBot="1" x14ac:dyDescent="0.3">
      <c r="A47" s="22"/>
      <c r="B47" s="28"/>
      <c r="C47" s="23"/>
      <c r="D47" s="24"/>
      <c r="E47" s="24"/>
      <c r="F47" s="24"/>
      <c r="G47" s="25"/>
      <c r="H47" s="29"/>
      <c r="I47" s="29"/>
      <c r="J47" s="27"/>
    </row>
    <row r="48" spans="1:12" ht="26.25" thickBot="1" x14ac:dyDescent="0.25">
      <c r="A48" s="17" t="s">
        <v>58</v>
      </c>
      <c r="B48" s="18" t="s">
        <v>77</v>
      </c>
      <c r="C48" s="18" t="s">
        <v>58</v>
      </c>
      <c r="D48" s="19" t="s">
        <v>60</v>
      </c>
      <c r="E48" s="19" t="s">
        <v>61</v>
      </c>
      <c r="F48" s="19" t="s">
        <v>62</v>
      </c>
      <c r="G48" s="19" t="s">
        <v>63</v>
      </c>
      <c r="H48" s="20" t="s">
        <v>64</v>
      </c>
      <c r="I48" s="21"/>
      <c r="J48" s="27"/>
    </row>
    <row r="49" spans="1:17" ht="13.5" x14ac:dyDescent="0.25">
      <c r="A49" s="22">
        <f>+A40</f>
        <v>1</v>
      </c>
      <c r="B49" s="28" t="s">
        <v>21</v>
      </c>
      <c r="C49" s="23">
        <f>+A49</f>
        <v>1</v>
      </c>
      <c r="D49" s="24" t="s">
        <v>67</v>
      </c>
      <c r="E49" s="24">
        <f>+[4]COSTOS!$H$56</f>
        <v>3.9001599999999996</v>
      </c>
      <c r="F49" s="24">
        <f>IFERROR(E49*C49,"")</f>
        <v>3.9001599999999996</v>
      </c>
      <c r="G49" s="25">
        <f>IFERROR(F49/$F$71,"")</f>
        <v>5.529905272963518E-3</v>
      </c>
      <c r="H49" s="29"/>
      <c r="I49" s="21"/>
      <c r="J49" s="27"/>
    </row>
    <row r="50" spans="1:17" ht="13.5" x14ac:dyDescent="0.25">
      <c r="A50" s="22">
        <f t="shared" ref="A50:A55" si="13">+A41</f>
        <v>20</v>
      </c>
      <c r="B50" s="28" t="str">
        <f>IFERROR(VLOOKUP(H50,[1]SEMIELABORADOS!$A$2:$M$6000,2,0),"")</f>
        <v>MEZCLA TRES LECHES PASTEURIZADA KILO</v>
      </c>
      <c r="C50" s="23">
        <f t="shared" ref="C50:C55" si="14">+A50</f>
        <v>20</v>
      </c>
      <c r="D50" s="24" t="str">
        <f>IFERROR(VLOOKUP(H50,[1]SEMIELABORADOS!$A$2:$M$6000,6,0),"")</f>
        <v>Gramo</v>
      </c>
      <c r="E50" s="24">
        <f>IFERROR(VLOOKUP(H50,[1]SEMIELABORADOS!$A$2:$M$65536,12,0),"")</f>
        <v>0.2854079080086464</v>
      </c>
      <c r="F50" s="24">
        <f t="shared" ref="F50:F55" si="15">IFERROR(E50*C50,"")</f>
        <v>5.7081581601729283</v>
      </c>
      <c r="G50" s="25">
        <f t="shared" ref="G50:G55" si="16">IFERROR(F50/$F$71,"")</f>
        <v>8.0934048625825629E-3</v>
      </c>
      <c r="H50" s="29" t="s">
        <v>23</v>
      </c>
      <c r="I50" s="21"/>
      <c r="J50" s="27"/>
      <c r="M50" s="32"/>
    </row>
    <row r="51" spans="1:17" ht="13.5" x14ac:dyDescent="0.25">
      <c r="A51" s="22">
        <f t="shared" si="13"/>
        <v>3</v>
      </c>
      <c r="B51" s="28" t="s">
        <v>25</v>
      </c>
      <c r="C51" s="23">
        <f t="shared" si="14"/>
        <v>3</v>
      </c>
      <c r="D51" s="24" t="str">
        <f>IFERROR(VLOOKUP(H51,[1]SEMIELABORADOS!$A$2:$M$6000,6,0),"")</f>
        <v>Gramo</v>
      </c>
      <c r="E51" s="24">
        <f>+'[5]COSTEO CHOCOLATE'!$E$67</f>
        <v>8.191489361702127E-2</v>
      </c>
      <c r="F51" s="24">
        <f t="shared" si="15"/>
        <v>0.24574468085106382</v>
      </c>
      <c r="G51" s="25">
        <f t="shared" si="16"/>
        <v>3.4843309157599553E-4</v>
      </c>
      <c r="H51" s="29" t="s">
        <v>24</v>
      </c>
      <c r="I51" s="21"/>
      <c r="J51" s="27"/>
    </row>
    <row r="52" spans="1:17" ht="13.5" x14ac:dyDescent="0.25">
      <c r="A52" s="22">
        <f t="shared" si="13"/>
        <v>20</v>
      </c>
      <c r="B52" s="28" t="str">
        <f>IFERROR(VLOOKUP(H52,[1]SEMIELABORADOS!$A$2:$M$6000,2,0),"")</f>
        <v>CREMA DULCE LECHE KILO</v>
      </c>
      <c r="C52" s="23">
        <f t="shared" si="14"/>
        <v>20</v>
      </c>
      <c r="D52" s="24" t="str">
        <f>IFERROR(VLOOKUP(H52,[1]SEMIELABORADOS!$A$2:$M$6000,6,0),"")</f>
        <v>Gramo</v>
      </c>
      <c r="E52" s="24">
        <f>IFERROR(VLOOKUP(H52,[1]SEMIELABORADOS!$A$2:$M$65536,12,0),"")</f>
        <v>0.43936464607346937</v>
      </c>
      <c r="F52" s="24">
        <f t="shared" si="15"/>
        <v>8.7872929214693869</v>
      </c>
      <c r="G52" s="25">
        <f t="shared" si="16"/>
        <v>1.2459206150903696E-2</v>
      </c>
      <c r="H52" s="29" t="s">
        <v>27</v>
      </c>
      <c r="I52" s="21"/>
      <c r="J52" s="27"/>
    </row>
    <row r="53" spans="1:17" ht="13.5" x14ac:dyDescent="0.25">
      <c r="A53" s="22">
        <f t="shared" si="13"/>
        <v>10</v>
      </c>
      <c r="B53" s="28" t="str">
        <f>IFERROR(VLOOKUP(H53,[1]SEMIELABORADOS!$A$2:$M$6000,2,0),"")</f>
        <v>CREMA CHANTILLY BLANCA SPOON-IND KILO</v>
      </c>
      <c r="C53" s="23">
        <f t="shared" si="14"/>
        <v>10</v>
      </c>
      <c r="D53" s="24" t="str">
        <f>IFERROR(VLOOKUP(H53,[1]SEMIELABORADOS!$A$2:$M$6000,6,0),"")</f>
        <v>Gramo</v>
      </c>
      <c r="E53" s="24">
        <f>IFERROR(VLOOKUP(H53,[1]SEMIELABORADOS!$A$2:$M$65536,12,0),"")</f>
        <v>0.39109155057692307</v>
      </c>
      <c r="F53" s="24">
        <f t="shared" si="15"/>
        <v>3.9109155057692306</v>
      </c>
      <c r="G53" s="25">
        <f t="shared" si="16"/>
        <v>5.5451551417039441E-3</v>
      </c>
      <c r="H53" s="29" t="s">
        <v>28</v>
      </c>
      <c r="I53" s="21"/>
      <c r="J53" s="27"/>
    </row>
    <row r="54" spans="1:17" ht="13.5" x14ac:dyDescent="0.25">
      <c r="A54" s="22">
        <f t="shared" si="13"/>
        <v>0</v>
      </c>
      <c r="B54" s="28" t="str">
        <f>IFERROR(VLOOKUP(H54,[1]SEMIELABORADOS!$A$2:$M$6000,2,0),"")</f>
        <v/>
      </c>
      <c r="C54" s="23">
        <f t="shared" si="14"/>
        <v>0</v>
      </c>
      <c r="D54" s="24" t="str">
        <f>IFERROR(VLOOKUP(H54,[1]SEMIELABORADOS!$A$2:$M$6000,6,0),"")</f>
        <v/>
      </c>
      <c r="E54" s="24" t="str">
        <f>IFERROR(VLOOKUP(H54,[1]SEMIELABORADOS!$A$2:$M$65536,12,0),"")</f>
        <v/>
      </c>
      <c r="F54" s="24" t="str">
        <f t="shared" si="15"/>
        <v/>
      </c>
      <c r="G54" s="25" t="str">
        <f t="shared" si="16"/>
        <v/>
      </c>
      <c r="H54" s="29"/>
      <c r="I54" s="21"/>
      <c r="J54" s="27"/>
    </row>
    <row r="55" spans="1:17" ht="13.5" x14ac:dyDescent="0.25">
      <c r="A55" s="22">
        <f t="shared" si="13"/>
        <v>0</v>
      </c>
      <c r="B55" s="28" t="str">
        <f>IFERROR(VLOOKUP(H55,[1]SEMIELABORADOS!$A$2:$M$6000,2,0),"")</f>
        <v/>
      </c>
      <c r="C55" s="23">
        <f t="shared" si="14"/>
        <v>0</v>
      </c>
      <c r="D55" s="24" t="str">
        <f>IFERROR(VLOOKUP(H55,[1]SEMIELABORADOS!$A$2:$M$6000,6,0),"")</f>
        <v/>
      </c>
      <c r="E55" s="24" t="str">
        <f>IFERROR(VLOOKUP(H55,[1]SEMIELABORADOS!$A$2:$M$65536,12,0),"")</f>
        <v/>
      </c>
      <c r="F55" s="24" t="str">
        <f t="shared" si="15"/>
        <v/>
      </c>
      <c r="G55" s="25" t="str">
        <f t="shared" si="16"/>
        <v/>
      </c>
      <c r="H55" s="28"/>
      <c r="I55" s="21"/>
      <c r="J55" s="27"/>
    </row>
    <row r="56" spans="1:17" ht="13.5" x14ac:dyDescent="0.25">
      <c r="A56" s="22">
        <v>1</v>
      </c>
      <c r="B56" s="28" t="s">
        <v>78</v>
      </c>
      <c r="C56" s="23">
        <f>+A56</f>
        <v>1</v>
      </c>
      <c r="D56" s="23" t="s">
        <v>79</v>
      </c>
      <c r="E56" s="24">
        <f>+F70</f>
        <v>165</v>
      </c>
      <c r="F56" s="24">
        <f>IFERROR(C56*E56,"")</f>
        <v>165</v>
      </c>
      <c r="G56" s="25">
        <f>IFERROR(F56/$F$71,"")</f>
        <v>0.2339479329153113</v>
      </c>
      <c r="H56" s="33"/>
      <c r="I56" s="33"/>
      <c r="J56" s="27"/>
    </row>
    <row r="57" spans="1:17" ht="14.25" thickBot="1" x14ac:dyDescent="0.3">
      <c r="A57" s="22"/>
      <c r="B57" s="28"/>
      <c r="C57" s="23"/>
      <c r="D57" s="23"/>
      <c r="E57" s="24"/>
      <c r="F57" s="24"/>
      <c r="G57" s="25"/>
      <c r="H57" s="33"/>
      <c r="I57" s="33"/>
      <c r="J57" s="27"/>
    </row>
    <row r="58" spans="1:17" ht="13.5" thickBot="1" x14ac:dyDescent="0.25">
      <c r="A58" s="34"/>
      <c r="B58" s="205" t="s">
        <v>80</v>
      </c>
      <c r="C58" s="205"/>
      <c r="D58" s="205"/>
      <c r="E58" s="205"/>
      <c r="F58" s="36">
        <f>SUM(F8:F14,F17:F24)</f>
        <v>386.74577411369057</v>
      </c>
      <c r="G58" s="25">
        <f>+F58/$F$71</f>
        <v>0.54835378434927162</v>
      </c>
      <c r="H58" s="37">
        <f>+F58/$D$65</f>
        <v>386.74577411369057</v>
      </c>
      <c r="I58" s="37"/>
      <c r="J58" s="38"/>
      <c r="K58" s="39"/>
      <c r="L58" s="39"/>
      <c r="M58" s="39"/>
      <c r="N58" s="39"/>
      <c r="O58" s="39"/>
      <c r="P58" s="39"/>
      <c r="Q58" s="40"/>
    </row>
    <row r="59" spans="1:17" x14ac:dyDescent="0.2">
      <c r="A59" s="34"/>
      <c r="B59" s="205" t="s">
        <v>81</v>
      </c>
      <c r="C59" s="205"/>
      <c r="D59" s="205"/>
      <c r="E59" s="205"/>
      <c r="F59" s="36">
        <f>SUM(F27:F37,F40:F46)</f>
        <v>145.80444775863538</v>
      </c>
      <c r="G59" s="25">
        <f>+F59/$F$71</f>
        <v>0.20673120704843176</v>
      </c>
      <c r="H59" s="37">
        <f>+F59/$D$65</f>
        <v>145.80444775863538</v>
      </c>
      <c r="I59" s="37"/>
      <c r="J59" s="41"/>
      <c r="K59" s="209" t="s">
        <v>82</v>
      </c>
      <c r="L59" s="210"/>
      <c r="M59" s="210"/>
      <c r="N59" s="210"/>
      <c r="O59" s="42">
        <f>+F60</f>
        <v>532.55022187232589</v>
      </c>
      <c r="P59" s="42"/>
      <c r="Q59" s="43"/>
    </row>
    <row r="60" spans="1:17" x14ac:dyDescent="0.2">
      <c r="A60" s="34"/>
      <c r="B60" s="205" t="s">
        <v>83</v>
      </c>
      <c r="C60" s="205"/>
      <c r="D60" s="205"/>
      <c r="E60" s="205"/>
      <c r="F60" s="36">
        <f>+F58+F59</f>
        <v>532.55022187232589</v>
      </c>
      <c r="G60" s="25">
        <f>+F60/$F$71</f>
        <v>0.75508499139770335</v>
      </c>
      <c r="H60" s="37">
        <f>+F60/$D$65</f>
        <v>532.55022187232589</v>
      </c>
      <c r="I60" s="37"/>
      <c r="J60" s="44"/>
      <c r="K60" s="45"/>
      <c r="L60" s="200" t="s">
        <v>84</v>
      </c>
      <c r="M60" s="200"/>
      <c r="N60" s="200"/>
      <c r="O60" s="42">
        <f>+F61</f>
        <v>187.55227126826261</v>
      </c>
      <c r="P60" s="42"/>
      <c r="Q60" s="43"/>
    </row>
    <row r="61" spans="1:17" ht="13.5" thickBot="1" x14ac:dyDescent="0.25">
      <c r="A61" s="34"/>
      <c r="B61" s="35"/>
      <c r="C61" s="205" t="s">
        <v>85</v>
      </c>
      <c r="D61" s="205"/>
      <c r="E61" s="205"/>
      <c r="F61" s="36">
        <f>SUM(F49:F56)</f>
        <v>187.55227126826261</v>
      </c>
      <c r="G61" s="25">
        <f>+F61/$F$71</f>
        <v>0.26592403743504101</v>
      </c>
      <c r="H61" s="37">
        <f>+F61/$D$65</f>
        <v>187.55227126826261</v>
      </c>
      <c r="I61" s="37"/>
      <c r="J61" s="44"/>
      <c r="K61" s="45"/>
      <c r="L61" s="45"/>
      <c r="M61" s="45" t="s">
        <v>86</v>
      </c>
      <c r="N61" s="46">
        <v>0.01</v>
      </c>
      <c r="O61" s="42">
        <f>O59*N61</f>
        <v>5.3255022187232592</v>
      </c>
      <c r="P61" s="42"/>
      <c r="Q61" s="43"/>
    </row>
    <row r="62" spans="1:17" ht="13.5" thickBot="1" x14ac:dyDescent="0.25">
      <c r="A62" s="34"/>
      <c r="B62" s="47"/>
      <c r="C62" s="47"/>
      <c r="D62" s="47"/>
      <c r="E62" s="47"/>
      <c r="F62" s="48"/>
      <c r="G62" s="25"/>
      <c r="H62" s="49"/>
      <c r="I62" s="37"/>
      <c r="J62" s="44"/>
      <c r="K62" s="50"/>
      <c r="M62" s="51" t="s">
        <v>87</v>
      </c>
      <c r="N62" s="52"/>
      <c r="O62" s="53">
        <f>SUM(O59:O61)</f>
        <v>725.42799535931181</v>
      </c>
      <c r="P62" s="54"/>
      <c r="Q62" s="43"/>
    </row>
    <row r="63" spans="1:17" x14ac:dyDescent="0.2">
      <c r="B63" s="207" t="s">
        <v>88</v>
      </c>
      <c r="C63" s="207"/>
      <c r="D63" s="55">
        <v>115</v>
      </c>
      <c r="E63" s="56"/>
      <c r="G63" s="25"/>
      <c r="H63" s="49"/>
      <c r="I63" s="57"/>
      <c r="J63" s="44"/>
      <c r="K63" s="50"/>
      <c r="L63" s="45"/>
      <c r="M63" s="45" t="s">
        <v>89</v>
      </c>
      <c r="N63" s="58">
        <v>0.25</v>
      </c>
      <c r="O63" s="42">
        <f>+O62*N63</f>
        <v>181.35699883982795</v>
      </c>
      <c r="P63" s="42"/>
      <c r="Q63" s="43"/>
    </row>
    <row r="64" spans="1:17" x14ac:dyDescent="0.2">
      <c r="B64" s="207" t="s">
        <v>90</v>
      </c>
      <c r="C64" s="207"/>
      <c r="D64" s="59">
        <v>115</v>
      </c>
      <c r="E64" s="56"/>
      <c r="G64" s="25"/>
      <c r="H64" s="49"/>
      <c r="I64" s="57"/>
      <c r="J64" s="44"/>
      <c r="K64" s="50"/>
      <c r="L64" s="45"/>
      <c r="M64" s="200" t="s">
        <v>87</v>
      </c>
      <c r="N64" s="200"/>
      <c r="O64" s="42">
        <f>SUM(O62:O63)</f>
        <v>906.78499419913976</v>
      </c>
      <c r="P64" s="42"/>
      <c r="Q64" s="43"/>
    </row>
    <row r="65" spans="2:17" ht="13.5" thickBot="1" x14ac:dyDescent="0.25">
      <c r="B65" s="201" t="s">
        <v>91</v>
      </c>
      <c r="C65" s="201"/>
      <c r="D65" s="55">
        <f>+D63/D64</f>
        <v>1</v>
      </c>
      <c r="E65" s="56"/>
      <c r="F65" s="60"/>
      <c r="G65" s="25"/>
      <c r="H65" s="49"/>
      <c r="I65" s="57"/>
      <c r="J65" s="44"/>
      <c r="K65" s="50"/>
      <c r="L65" s="200" t="s">
        <v>92</v>
      </c>
      <c r="M65" s="200"/>
      <c r="N65" s="58">
        <v>0.05</v>
      </c>
      <c r="O65" s="42">
        <f>+O64*N65</f>
        <v>45.339249709956988</v>
      </c>
      <c r="P65" s="42"/>
      <c r="Q65" s="43"/>
    </row>
    <row r="66" spans="2:17" ht="13.5" thickBot="1" x14ac:dyDescent="0.25">
      <c r="B66" s="201" t="s">
        <v>93</v>
      </c>
      <c r="C66" s="201"/>
      <c r="D66" s="61"/>
      <c r="E66" s="56"/>
      <c r="F66" s="60"/>
      <c r="G66" s="25"/>
      <c r="H66" s="49"/>
      <c r="I66" s="57"/>
      <c r="J66" s="44"/>
      <c r="K66" s="202" t="s">
        <v>94</v>
      </c>
      <c r="L66" s="203"/>
      <c r="M66" s="203"/>
      <c r="N66" s="204"/>
      <c r="O66" s="53">
        <f>SUM(O64:O65)</f>
        <v>952.12424390909678</v>
      </c>
      <c r="P66" s="62" t="s">
        <v>95</v>
      </c>
      <c r="Q66" s="43"/>
    </row>
    <row r="67" spans="2:17" ht="13.5" thickBot="1" x14ac:dyDescent="0.25">
      <c r="C67" s="34" t="s">
        <v>96</v>
      </c>
      <c r="D67" s="63"/>
      <c r="E67" s="8" t="s">
        <v>97</v>
      </c>
      <c r="F67" s="64" t="s">
        <v>98</v>
      </c>
      <c r="G67" s="25"/>
      <c r="H67" s="49"/>
      <c r="I67" s="57"/>
      <c r="J67" s="65"/>
      <c r="K67" s="66"/>
      <c r="L67" s="190" t="s">
        <v>99</v>
      </c>
      <c r="M67" s="190"/>
      <c r="N67" s="190"/>
      <c r="O67" s="67">
        <f>+O66/D65</f>
        <v>952.12424390909678</v>
      </c>
      <c r="P67" s="68">
        <f>+O67/D64</f>
        <v>8.2793412513834497</v>
      </c>
      <c r="Q67" s="69"/>
    </row>
    <row r="68" spans="2:17" ht="13.5" thickBot="1" x14ac:dyDescent="0.25">
      <c r="B68" s="191" t="s">
        <v>83</v>
      </c>
      <c r="C68" s="191"/>
      <c r="D68" s="191"/>
      <c r="E68" s="70">
        <f>+F68/F68</f>
        <v>1</v>
      </c>
      <c r="F68" s="71">
        <f>SUM(F60)</f>
        <v>532.55022187232589</v>
      </c>
      <c r="G68" s="25">
        <f>+F68/$F$71</f>
        <v>0.75508499139770335</v>
      </c>
      <c r="H68" s="49"/>
      <c r="I68" s="57"/>
      <c r="K68" s="192"/>
      <c r="L68" s="193"/>
      <c r="M68" s="193"/>
      <c r="N68" s="193"/>
      <c r="O68" s="72"/>
      <c r="P68" s="73"/>
    </row>
    <row r="69" spans="2:17" ht="13.5" thickBot="1" x14ac:dyDescent="0.25">
      <c r="B69" s="194" t="s">
        <v>100</v>
      </c>
      <c r="C69" s="194"/>
      <c r="D69" s="194"/>
      <c r="E69" s="74">
        <v>0.02</v>
      </c>
      <c r="F69" s="71">
        <f>+F58*E69</f>
        <v>7.734915482273812</v>
      </c>
      <c r="G69" s="25">
        <f>+F69/$F$71</f>
        <v>1.0967075686985434E-2</v>
      </c>
      <c r="H69" s="37"/>
      <c r="I69" s="57"/>
      <c r="J69" s="75"/>
      <c r="O69" s="76"/>
      <c r="P69" s="35"/>
    </row>
    <row r="70" spans="2:17" ht="13.5" thickBot="1" x14ac:dyDescent="0.25">
      <c r="B70" s="195" t="s">
        <v>101</v>
      </c>
      <c r="C70" s="196"/>
      <c r="D70" s="77">
        <v>3</v>
      </c>
      <c r="E70" s="78">
        <v>55</v>
      </c>
      <c r="F70" s="71">
        <f>+E70*D70</f>
        <v>165</v>
      </c>
      <c r="G70" s="25">
        <f>+F70/$F$71</f>
        <v>0.2339479329153113</v>
      </c>
      <c r="H70" s="37"/>
      <c r="I70" s="37"/>
      <c r="J70" s="27"/>
    </row>
    <row r="71" spans="2:17" ht="13.5" thickBot="1" x14ac:dyDescent="0.25">
      <c r="B71" s="197" t="s">
        <v>102</v>
      </c>
      <c r="C71" s="198"/>
      <c r="D71" s="198"/>
      <c r="E71" s="199"/>
      <c r="F71" s="48">
        <f>SUM(F68:F70)</f>
        <v>705.28513735459967</v>
      </c>
      <c r="G71" s="25">
        <f>+F71/$F$71</f>
        <v>1</v>
      </c>
      <c r="H71" s="206"/>
      <c r="I71" s="37"/>
      <c r="J71" s="27"/>
    </row>
    <row r="72" spans="2:17" x14ac:dyDescent="0.2">
      <c r="C72" s="32"/>
      <c r="D72" s="32"/>
      <c r="E72" s="80"/>
      <c r="F72" s="71"/>
      <c r="G72" s="25"/>
      <c r="H72" s="206"/>
      <c r="I72" s="79"/>
      <c r="J72" s="10"/>
    </row>
    <row r="73" spans="2:17" ht="13.5" thickBot="1" x14ac:dyDescent="0.25">
      <c r="B73" s="185" t="s">
        <v>103</v>
      </c>
      <c r="C73" s="185"/>
      <c r="D73" s="185"/>
      <c r="E73" s="185"/>
      <c r="F73" s="185"/>
      <c r="G73" s="25"/>
      <c r="H73" s="82"/>
      <c r="I73" s="79"/>
      <c r="J73" s="10"/>
    </row>
    <row r="74" spans="2:17" ht="13.5" thickBot="1" x14ac:dyDescent="0.25">
      <c r="B74" s="83" t="s">
        <v>104</v>
      </c>
      <c r="C74" s="84">
        <f>+F58</f>
        <v>386.74577411369057</v>
      </c>
      <c r="D74" s="84">
        <f>+D63</f>
        <v>115</v>
      </c>
      <c r="E74" s="85">
        <f>+C74/D74</f>
        <v>3.3630067314233965</v>
      </c>
      <c r="F74" s="25"/>
      <c r="G74" s="82"/>
      <c r="H74" s="27"/>
      <c r="I74" s="82"/>
      <c r="J74" s="10"/>
    </row>
    <row r="75" spans="2:17" x14ac:dyDescent="0.2">
      <c r="B75" s="86"/>
      <c r="C75" s="87"/>
      <c r="D75" s="88"/>
      <c r="E75" s="71"/>
      <c r="F75" s="25"/>
      <c r="G75" s="82"/>
      <c r="H75" s="27"/>
      <c r="I75" s="27"/>
      <c r="J75" s="10"/>
    </row>
    <row r="76" spans="2:17" x14ac:dyDescent="0.2">
      <c r="B76" s="83" t="s">
        <v>105</v>
      </c>
      <c r="C76" s="84">
        <f>SUM(F68:F69)</f>
        <v>540.28513735459967</v>
      </c>
      <c r="D76" s="84">
        <f>+D63</f>
        <v>115</v>
      </c>
      <c r="E76" s="89">
        <f>+C76/D76</f>
        <v>4.6981316291704323</v>
      </c>
      <c r="F76" s="25"/>
      <c r="G76" s="82"/>
      <c r="H76" s="27"/>
      <c r="I76" s="27"/>
      <c r="J76" s="10"/>
    </row>
    <row r="77" spans="2:17" x14ac:dyDescent="0.2">
      <c r="B77" s="83"/>
      <c r="C77" s="84"/>
      <c r="D77" s="84"/>
      <c r="E77" s="89"/>
      <c r="F77" s="25"/>
      <c r="G77" s="82"/>
      <c r="H77" s="27"/>
      <c r="I77" s="27"/>
      <c r="J77" s="10"/>
    </row>
    <row r="78" spans="2:17" ht="13.5" thickBot="1" x14ac:dyDescent="0.25">
      <c r="B78" s="83" t="s">
        <v>106</v>
      </c>
      <c r="C78" s="84">
        <f>+F70</f>
        <v>165</v>
      </c>
      <c r="D78" s="84">
        <f>+D63</f>
        <v>115</v>
      </c>
      <c r="E78" s="89">
        <f>+C78/D78</f>
        <v>1.4347826086956521</v>
      </c>
      <c r="F78" s="25"/>
      <c r="G78" s="82"/>
      <c r="H78" s="27"/>
      <c r="I78" s="27"/>
      <c r="J78" s="10"/>
    </row>
    <row r="79" spans="2:17" ht="13.5" thickBot="1" x14ac:dyDescent="0.25">
      <c r="B79" s="83" t="s">
        <v>107</v>
      </c>
      <c r="C79" s="84">
        <f>+F61</f>
        <v>187.55227126826261</v>
      </c>
      <c r="D79" s="84">
        <f>+D78</f>
        <v>115</v>
      </c>
      <c r="E79" s="85">
        <f>+C79/D79</f>
        <v>1.6308893153761967</v>
      </c>
      <c r="F79" s="25"/>
      <c r="G79" s="82"/>
      <c r="H79" s="27"/>
      <c r="I79" s="27"/>
      <c r="J79" s="10"/>
    </row>
    <row r="80" spans="2:17" ht="13.5" thickBot="1" x14ac:dyDescent="0.25">
      <c r="B80" s="47"/>
      <c r="C80" s="48"/>
      <c r="D80" s="48"/>
      <c r="E80" s="89"/>
      <c r="F80" s="25"/>
      <c r="G80" s="82"/>
      <c r="H80" s="27"/>
      <c r="I80" s="27"/>
      <c r="J80" s="10"/>
    </row>
    <row r="81" spans="1:10" ht="13.5" thickBot="1" x14ac:dyDescent="0.25">
      <c r="B81" s="83" t="s">
        <v>108</v>
      </c>
      <c r="C81" s="84">
        <f>+F59</f>
        <v>145.80444775863538</v>
      </c>
      <c r="D81" s="84">
        <f>+D79</f>
        <v>115</v>
      </c>
      <c r="E81" s="85">
        <f>+C81/D81</f>
        <v>1.2678647631185684</v>
      </c>
      <c r="F81" s="25"/>
      <c r="G81" s="82"/>
      <c r="H81" s="27"/>
      <c r="I81" s="27"/>
      <c r="J81" s="27"/>
    </row>
    <row r="82" spans="1:10" ht="13.5" thickBot="1" x14ac:dyDescent="0.25">
      <c r="B82" s="47"/>
      <c r="C82" s="48"/>
      <c r="D82" s="48"/>
      <c r="E82" s="89"/>
      <c r="F82" s="25"/>
      <c r="G82" s="82"/>
      <c r="H82" s="27"/>
      <c r="I82" s="27"/>
    </row>
    <row r="83" spans="1:10" ht="13.5" thickBot="1" x14ac:dyDescent="0.25">
      <c r="B83" s="186" t="s">
        <v>109</v>
      </c>
      <c r="C83" s="187"/>
      <c r="D83" s="188"/>
      <c r="E83" s="85">
        <f>+E74+E79</f>
        <v>4.993896046799593</v>
      </c>
      <c r="G83" s="25"/>
      <c r="H83" s="82"/>
      <c r="I83" s="27"/>
      <c r="J83" s="89"/>
    </row>
    <row r="84" spans="1:10" x14ac:dyDescent="0.2">
      <c r="I84" s="82"/>
      <c r="J84" s="10"/>
    </row>
    <row r="85" spans="1:10" ht="13.5" thickBot="1" x14ac:dyDescent="0.25">
      <c r="B85" s="185" t="s">
        <v>110</v>
      </c>
      <c r="C85" s="185"/>
      <c r="D85" s="185"/>
      <c r="E85" s="185"/>
      <c r="F85" s="185"/>
      <c r="G85" s="25"/>
      <c r="H85" s="82"/>
      <c r="J85" s="10"/>
    </row>
    <row r="86" spans="1:10" ht="13.5" thickBot="1" x14ac:dyDescent="0.25">
      <c r="B86" s="83" t="s">
        <v>104</v>
      </c>
      <c r="C86" s="84">
        <f>+C74</f>
        <v>386.74577411369057</v>
      </c>
      <c r="D86" s="84">
        <f>+D65</f>
        <v>1</v>
      </c>
      <c r="E86" s="85">
        <f>+C86/D86</f>
        <v>386.74577411369057</v>
      </c>
      <c r="F86" s="25"/>
      <c r="G86" s="82"/>
      <c r="H86" s="27"/>
      <c r="I86" s="82"/>
      <c r="J86" s="10"/>
    </row>
    <row r="87" spans="1:10" x14ac:dyDescent="0.2">
      <c r="B87" s="86"/>
      <c r="C87" s="87"/>
      <c r="D87" s="88"/>
      <c r="E87" s="71"/>
      <c r="F87" s="25"/>
      <c r="G87" s="82"/>
      <c r="H87" s="27"/>
      <c r="I87" s="27"/>
      <c r="J87" s="10"/>
    </row>
    <row r="88" spans="1:10" x14ac:dyDescent="0.2">
      <c r="B88" s="83" t="s">
        <v>105</v>
      </c>
      <c r="C88" s="84">
        <f>+C76</f>
        <v>540.28513735459967</v>
      </c>
      <c r="D88" s="84">
        <f>+D65</f>
        <v>1</v>
      </c>
      <c r="E88" s="89">
        <f>+C88/D88</f>
        <v>540.28513735459967</v>
      </c>
      <c r="F88" s="25"/>
      <c r="G88" s="82"/>
      <c r="H88" s="27"/>
      <c r="I88" s="27"/>
      <c r="J88" s="10"/>
    </row>
    <row r="89" spans="1:10" x14ac:dyDescent="0.2">
      <c r="B89" s="83"/>
      <c r="C89" s="84"/>
      <c r="D89" s="84"/>
      <c r="E89" s="89"/>
      <c r="F89" s="25"/>
      <c r="G89" s="82"/>
      <c r="H89" s="27"/>
      <c r="I89" s="27"/>
      <c r="J89" s="10"/>
    </row>
    <row r="90" spans="1:10" ht="13.5" thickBot="1" x14ac:dyDescent="0.25">
      <c r="B90" s="83" t="s">
        <v>107</v>
      </c>
      <c r="C90" s="84">
        <f>+C78</f>
        <v>165</v>
      </c>
      <c r="D90" s="84">
        <f>+D65</f>
        <v>1</v>
      </c>
      <c r="E90" s="89">
        <f>+C90/D90</f>
        <v>165</v>
      </c>
      <c r="F90" s="91"/>
      <c r="G90" s="81"/>
      <c r="H90" s="9"/>
      <c r="I90" s="27"/>
    </row>
    <row r="91" spans="1:10" ht="13.5" thickBot="1" x14ac:dyDescent="0.25">
      <c r="B91" s="83" t="s">
        <v>107</v>
      </c>
      <c r="C91" s="84">
        <f>+C79</f>
        <v>187.55227126826261</v>
      </c>
      <c r="D91" s="84">
        <f>+D90</f>
        <v>1</v>
      </c>
      <c r="E91" s="85">
        <f>+C91/D91</f>
        <v>187.55227126826261</v>
      </c>
      <c r="F91" s="90"/>
      <c r="G91" s="81"/>
      <c r="H91" s="9"/>
      <c r="I91" s="9"/>
    </row>
    <row r="92" spans="1:10" x14ac:dyDescent="0.2">
      <c r="I92" s="9"/>
    </row>
    <row r="93" spans="1:10" x14ac:dyDescent="0.2">
      <c r="A93" s="189"/>
      <c r="B93" s="189"/>
      <c r="C93" s="92"/>
      <c r="D93" s="92"/>
      <c r="E93" s="93"/>
      <c r="G93" s="94"/>
    </row>
    <row r="94" spans="1:10" x14ac:dyDescent="0.2">
      <c r="A94" s="28"/>
      <c r="B94" s="95"/>
      <c r="C94" s="96"/>
      <c r="D94" s="96"/>
      <c r="E94" s="97"/>
      <c r="G94" s="94"/>
    </row>
    <row r="95" spans="1:10" x14ac:dyDescent="0.2">
      <c r="A95" s="28"/>
      <c r="B95" s="95"/>
      <c r="C95" s="98"/>
      <c r="D95" s="98"/>
      <c r="E95" s="28"/>
      <c r="G95" s="94"/>
    </row>
    <row r="96" spans="1:10" x14ac:dyDescent="0.2">
      <c r="A96" s="28"/>
      <c r="B96" s="95"/>
      <c r="C96" s="99"/>
      <c r="D96" s="99"/>
      <c r="E96" s="28"/>
      <c r="G96" s="94"/>
    </row>
  </sheetData>
  <mergeCells count="31">
    <mergeCell ref="L67:N67"/>
    <mergeCell ref="B85:F85"/>
    <mergeCell ref="B68:D68"/>
    <mergeCell ref="K68:N68"/>
    <mergeCell ref="B69:D69"/>
    <mergeCell ref="B83:D83"/>
    <mergeCell ref="A93:B93"/>
    <mergeCell ref="B70:C70"/>
    <mergeCell ref="B71:E71"/>
    <mergeCell ref="H71:H72"/>
    <mergeCell ref="B73:F73"/>
    <mergeCell ref="B65:C65"/>
    <mergeCell ref="L65:M65"/>
    <mergeCell ref="B66:C66"/>
    <mergeCell ref="B60:E60"/>
    <mergeCell ref="C61:E61"/>
    <mergeCell ref="B64:C64"/>
    <mergeCell ref="K66:N66"/>
    <mergeCell ref="M64:N64"/>
    <mergeCell ref="K34:L34"/>
    <mergeCell ref="K35:L35"/>
    <mergeCell ref="B58:E58"/>
    <mergeCell ref="B59:E59"/>
    <mergeCell ref="B63:C63"/>
    <mergeCell ref="L60:N60"/>
    <mergeCell ref="K59:N5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90D4-70FD-401E-A3BA-F4149D498516}">
  <dimension ref="A1:AK43"/>
  <sheetViews>
    <sheetView workbookViewId="0">
      <selection activeCell="K29" sqref="K29"/>
    </sheetView>
  </sheetViews>
  <sheetFormatPr baseColWidth="10" defaultColWidth="8.42578125" defaultRowHeight="11.25" x14ac:dyDescent="0.2"/>
  <cols>
    <col min="1" max="1" width="7.5703125" style="100" customWidth="1"/>
    <col min="2" max="2" width="7.7109375" style="100" bestFit="1" customWidth="1"/>
    <col min="3" max="3" width="39.28515625" style="100" customWidth="1"/>
    <col min="4" max="4" width="10" style="100" bestFit="1" customWidth="1"/>
    <col min="5" max="5" width="9.42578125" style="100" bestFit="1" customWidth="1"/>
    <col min="6" max="6" width="11.7109375" style="143" customWidth="1"/>
    <col min="7" max="7" width="8.7109375" style="144" bestFit="1" customWidth="1"/>
    <col min="8" max="8" width="10.28515625" style="145" bestFit="1" customWidth="1"/>
    <col min="9" max="16384" width="8.42578125" style="100"/>
  </cols>
  <sheetData>
    <row r="1" spans="2:8" ht="36" customHeight="1" thickBot="1" x14ac:dyDescent="0.35">
      <c r="B1" s="216"/>
      <c r="C1" s="217"/>
      <c r="D1" s="217"/>
      <c r="E1" s="217"/>
      <c r="F1" s="217"/>
      <c r="G1" s="217"/>
      <c r="H1" s="218"/>
    </row>
    <row r="2" spans="2:8" ht="19.5" customHeight="1" thickBot="1" x14ac:dyDescent="0.25">
      <c r="B2" s="219" t="s">
        <v>111</v>
      </c>
      <c r="C2" s="219"/>
      <c r="D2" s="219"/>
      <c r="E2" s="219"/>
      <c r="F2" s="219"/>
      <c r="G2" s="219"/>
      <c r="H2" s="219"/>
    </row>
    <row r="3" spans="2:8" ht="19.5" customHeight="1" thickTop="1" x14ac:dyDescent="0.2">
      <c r="B3" s="220" t="s">
        <v>112</v>
      </c>
      <c r="C3" s="220"/>
      <c r="D3" s="220"/>
      <c r="E3" s="220"/>
      <c r="F3" s="220"/>
      <c r="G3" s="220"/>
      <c r="H3" s="220"/>
    </row>
    <row r="4" spans="2:8" ht="19.5" customHeight="1" x14ac:dyDescent="0.2">
      <c r="B4" s="101"/>
      <c r="C4" s="101"/>
      <c r="D4" s="101"/>
      <c r="E4" s="101"/>
      <c r="F4" s="221" t="s">
        <v>57</v>
      </c>
      <c r="G4" s="221"/>
      <c r="H4" s="16"/>
    </row>
    <row r="5" spans="2:8" ht="30" customHeight="1" x14ac:dyDescent="0.2">
      <c r="B5" s="102" t="s">
        <v>99</v>
      </c>
      <c r="C5" s="102" t="s">
        <v>59</v>
      </c>
      <c r="D5" s="102" t="s">
        <v>99</v>
      </c>
      <c r="E5" s="103" t="s">
        <v>113</v>
      </c>
      <c r="F5" s="103" t="s">
        <v>114</v>
      </c>
      <c r="G5" s="103" t="s">
        <v>115</v>
      </c>
      <c r="H5" s="103" t="s">
        <v>116</v>
      </c>
    </row>
    <row r="6" spans="2:8" s="104" customFormat="1" ht="20.100000000000001" customHeight="1" x14ac:dyDescent="0.2">
      <c r="B6" s="105">
        <v>1</v>
      </c>
      <c r="C6" s="104" t="s">
        <v>117</v>
      </c>
      <c r="D6" s="106">
        <f>+B6</f>
        <v>1</v>
      </c>
      <c r="E6" s="106">
        <f>+'COSTO ENSAMBLE '!H58</f>
        <v>386.74577411369057</v>
      </c>
      <c r="F6" s="107">
        <f>+D6*E6</f>
        <v>386.74577411369057</v>
      </c>
      <c r="G6" s="108">
        <f>+F6/$F$23</f>
        <v>0.41917694100376429</v>
      </c>
      <c r="H6" s="109" t="s">
        <v>118</v>
      </c>
    </row>
    <row r="7" spans="2:8" s="104" customFormat="1" ht="20.100000000000001" customHeight="1" x14ac:dyDescent="0.2">
      <c r="B7" s="105"/>
      <c r="D7" s="106"/>
      <c r="E7" s="106"/>
      <c r="F7" s="107"/>
      <c r="G7" s="108"/>
      <c r="H7" s="109"/>
    </row>
    <row r="8" spans="2:8" ht="30" customHeight="1" x14ac:dyDescent="0.2">
      <c r="B8" s="102" t="s">
        <v>99</v>
      </c>
      <c r="C8" s="102" t="s">
        <v>29</v>
      </c>
      <c r="D8" s="102" t="s">
        <v>99</v>
      </c>
      <c r="E8" s="103" t="s">
        <v>113</v>
      </c>
      <c r="F8" s="103" t="s">
        <v>114</v>
      </c>
      <c r="G8" s="103" t="s">
        <v>115</v>
      </c>
      <c r="H8" s="103" t="s">
        <v>116</v>
      </c>
    </row>
    <row r="9" spans="2:8" s="104" customFormat="1" ht="20.100000000000001" customHeight="1" x14ac:dyDescent="0.2">
      <c r="B9" s="105">
        <v>1</v>
      </c>
      <c r="C9" s="104" t="s">
        <v>119</v>
      </c>
      <c r="D9" s="106">
        <f>+B9</f>
        <v>1</v>
      </c>
      <c r="E9" s="106">
        <f>+'COSTO ENSAMBLE '!H59</f>
        <v>145.80444775863538</v>
      </c>
      <c r="F9" s="107">
        <f>+D9*E9</f>
        <v>145.80444775863538</v>
      </c>
      <c r="G9" s="108">
        <f>+F9/$F$23</f>
        <v>0.15803110592810585</v>
      </c>
      <c r="H9" s="109" t="s">
        <v>120</v>
      </c>
    </row>
    <row r="10" spans="2:8" s="110" customFormat="1" ht="17.25" customHeight="1" x14ac:dyDescent="0.2">
      <c r="B10" s="111"/>
      <c r="C10" s="112"/>
      <c r="D10" s="113"/>
      <c r="E10" s="113"/>
      <c r="F10" s="114"/>
      <c r="G10" s="115"/>
      <c r="H10" s="116"/>
    </row>
    <row r="11" spans="2:8" s="110" customFormat="1" ht="12" x14ac:dyDescent="0.2">
      <c r="B11" s="105"/>
      <c r="C11" s="200" t="s">
        <v>121</v>
      </c>
      <c r="D11" s="200"/>
      <c r="E11" s="106"/>
      <c r="F11" s="42">
        <f>SUM(F6)</f>
        <v>386.74577411369057</v>
      </c>
      <c r="G11" s="117">
        <f>+F11/$F$23</f>
        <v>0.41917694100376429</v>
      </c>
      <c r="H11" s="109"/>
    </row>
    <row r="12" spans="2:8" s="110" customFormat="1" ht="12.75" thickBot="1" x14ac:dyDescent="0.25">
      <c r="B12" s="105"/>
      <c r="C12" s="200" t="s">
        <v>122</v>
      </c>
      <c r="D12" s="200"/>
      <c r="E12" s="106"/>
      <c r="F12" s="118">
        <f>SUM(F9)</f>
        <v>145.80444775863538</v>
      </c>
      <c r="G12" s="117">
        <f>+F12/$F$23</f>
        <v>0.15803110592810585</v>
      </c>
      <c r="H12" s="109"/>
    </row>
    <row r="13" spans="2:8" s="110" customFormat="1" ht="12.75" thickTop="1" x14ac:dyDescent="0.2">
      <c r="B13" s="105"/>
      <c r="C13" s="203" t="s">
        <v>82</v>
      </c>
      <c r="D13" s="203"/>
      <c r="E13" s="203"/>
      <c r="F13" s="54">
        <f>SUM(F11:F12)</f>
        <v>532.55022187232589</v>
      </c>
      <c r="G13" s="117">
        <f>+F13/$F$23</f>
        <v>0.57720804693187011</v>
      </c>
      <c r="H13" s="109"/>
    </row>
    <row r="14" spans="2:8" s="110" customFormat="1" ht="12" x14ac:dyDescent="0.2">
      <c r="C14" s="50"/>
      <c r="D14" s="50"/>
      <c r="E14" s="119"/>
      <c r="F14" s="120"/>
      <c r="G14" s="117"/>
    </row>
    <row r="15" spans="2:8" s="110" customFormat="1" ht="12" x14ac:dyDescent="0.2">
      <c r="B15" s="200" t="s">
        <v>82</v>
      </c>
      <c r="C15" s="200"/>
      <c r="D15" s="200"/>
      <c r="E15" s="121" t="s">
        <v>123</v>
      </c>
      <c r="F15" s="42">
        <f>+F13</f>
        <v>532.55022187232589</v>
      </c>
      <c r="G15" s="117">
        <f t="shared" ref="G15:G23" si="0">+F15/$F$23</f>
        <v>0.57720804693187011</v>
      </c>
      <c r="H15" s="122"/>
    </row>
    <row r="16" spans="2:8" s="110" customFormat="1" ht="12.75" customHeight="1" thickBot="1" x14ac:dyDescent="0.25">
      <c r="B16" s="45"/>
      <c r="C16" s="200" t="s">
        <v>84</v>
      </c>
      <c r="D16" s="200"/>
      <c r="E16" s="123"/>
      <c r="F16" s="42">
        <f>+'COSTO ENSAMBLE '!H61</f>
        <v>187.55227126826261</v>
      </c>
      <c r="G16" s="117">
        <f t="shared" si="0"/>
        <v>0.20327975794617867</v>
      </c>
      <c r="H16" s="122"/>
    </row>
    <row r="17" spans="1:37" s="110" customFormat="1" ht="12.75" hidden="1" customHeight="1" x14ac:dyDescent="0.2">
      <c r="B17" s="45"/>
      <c r="C17" s="200" t="s">
        <v>124</v>
      </c>
      <c r="D17" s="200"/>
      <c r="E17" s="124">
        <v>0</v>
      </c>
      <c r="F17" s="42">
        <f>+(F15+F16)*E17</f>
        <v>0</v>
      </c>
      <c r="G17" s="117">
        <f t="shared" si="0"/>
        <v>0</v>
      </c>
      <c r="H17" s="122"/>
    </row>
    <row r="18" spans="1:37" s="110" customFormat="1" ht="12.75" hidden="1" thickBot="1" x14ac:dyDescent="0.25">
      <c r="B18" s="45"/>
      <c r="C18" s="200" t="s">
        <v>125</v>
      </c>
      <c r="D18" s="200"/>
      <c r="E18" s="124">
        <v>0</v>
      </c>
      <c r="F18" s="42">
        <f>+F16*E18</f>
        <v>0</v>
      </c>
      <c r="G18" s="117">
        <f t="shared" si="0"/>
        <v>0</v>
      </c>
      <c r="H18" s="122"/>
    </row>
    <row r="19" spans="1:37" s="110" customFormat="1" ht="12.75" thickBot="1" x14ac:dyDescent="0.25">
      <c r="B19" s="50"/>
      <c r="C19" s="222"/>
      <c r="D19" s="222"/>
      <c r="E19" s="223"/>
      <c r="F19" s="53">
        <f>SUM(F15:F18)</f>
        <v>720.10249314058854</v>
      </c>
      <c r="G19" s="125">
        <f>+F19/$F$21</f>
        <v>0.79999999999999993</v>
      </c>
      <c r="H19" s="122"/>
    </row>
    <row r="20" spans="1:37" s="110" customFormat="1" ht="12" x14ac:dyDescent="0.2">
      <c r="B20" s="50"/>
      <c r="C20" s="200" t="s">
        <v>89</v>
      </c>
      <c r="D20" s="200"/>
      <c r="E20" s="58">
        <v>0.25</v>
      </c>
      <c r="F20" s="42">
        <f>+F19*E20</f>
        <v>180.02562328514713</v>
      </c>
      <c r="G20" s="117">
        <f t="shared" si="0"/>
        <v>0.1951219512195122</v>
      </c>
      <c r="H20" s="122"/>
    </row>
    <row r="21" spans="1:37" s="110" customFormat="1" ht="12" x14ac:dyDescent="0.2">
      <c r="B21" s="50"/>
      <c r="C21" s="200" t="s">
        <v>87</v>
      </c>
      <c r="D21" s="200"/>
      <c r="E21" s="200"/>
      <c r="F21" s="42">
        <f>SUM(F19:F20)</f>
        <v>900.1281164257357</v>
      </c>
      <c r="G21" s="117">
        <f t="shared" si="0"/>
        <v>0.97560975609756095</v>
      </c>
      <c r="H21" s="122"/>
    </row>
    <row r="22" spans="1:37" s="110" customFormat="1" ht="12.75" thickBot="1" x14ac:dyDescent="0.25">
      <c r="B22" s="50"/>
      <c r="C22" s="200" t="s">
        <v>92</v>
      </c>
      <c r="D22" s="200"/>
      <c r="E22" s="58">
        <v>2.5000000000000001E-2</v>
      </c>
      <c r="F22" s="42">
        <f>+F21*E22</f>
        <v>22.503202910643395</v>
      </c>
      <c r="G22" s="117">
        <f t="shared" si="0"/>
        <v>2.4390243902439029E-2</v>
      </c>
      <c r="H22" s="122"/>
    </row>
    <row r="23" spans="1:37" s="110" customFormat="1" ht="12.75" thickBot="1" x14ac:dyDescent="0.25">
      <c r="B23" s="50"/>
      <c r="C23" s="203" t="s">
        <v>94</v>
      </c>
      <c r="D23" s="203"/>
      <c r="E23" s="204"/>
      <c r="F23" s="53">
        <f>SUM(F21:F22)</f>
        <v>922.63131933637908</v>
      </c>
      <c r="G23" s="117">
        <f t="shared" si="0"/>
        <v>1</v>
      </c>
      <c r="H23" s="126"/>
    </row>
    <row r="24" spans="1:37" s="110" customFormat="1" ht="12.75" thickBot="1" x14ac:dyDescent="0.25">
      <c r="B24" s="50"/>
      <c r="C24" s="127"/>
      <c r="D24" s="127"/>
      <c r="E24" s="127"/>
      <c r="F24" s="54"/>
      <c r="G24" s="128"/>
      <c r="H24" s="126"/>
    </row>
    <row r="25" spans="1:37" s="129" customFormat="1" ht="19.5" customHeight="1" thickBot="1" x14ac:dyDescent="0.25">
      <c r="A25" s="224"/>
      <c r="B25" s="225"/>
      <c r="C25" s="225"/>
      <c r="D25" s="225"/>
      <c r="E25" s="225"/>
      <c r="F25" s="225"/>
      <c r="G25" s="225"/>
      <c r="H25" s="225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</row>
    <row r="26" spans="1:37" s="110" customFormat="1" ht="19.5" customHeight="1" thickBot="1" x14ac:dyDescent="0.25">
      <c r="F26" s="130"/>
      <c r="G26" s="131"/>
      <c r="H26" s="122"/>
    </row>
    <row r="27" spans="1:37" s="110" customFormat="1" ht="13.5" customHeight="1" thickBot="1" x14ac:dyDescent="0.25">
      <c r="B27" s="50"/>
      <c r="C27" s="203" t="s">
        <v>94</v>
      </c>
      <c r="D27" s="203"/>
      <c r="E27" s="204"/>
      <c r="F27" s="53">
        <f>+F23</f>
        <v>922.63131933637908</v>
      </c>
      <c r="H27" s="122"/>
    </row>
    <row r="28" spans="1:37" s="110" customFormat="1" ht="13.5" customHeight="1" x14ac:dyDescent="0.2">
      <c r="B28" s="50"/>
      <c r="C28" s="227" t="s">
        <v>126</v>
      </c>
      <c r="D28" s="227" t="s">
        <v>127</v>
      </c>
      <c r="E28" s="58">
        <v>0.1</v>
      </c>
      <c r="F28" s="132">
        <f>+F27*E28</f>
        <v>92.263131933637908</v>
      </c>
      <c r="G28" s="133" t="s">
        <v>128</v>
      </c>
      <c r="H28" s="122" t="s">
        <v>129</v>
      </c>
    </row>
    <row r="29" spans="1:37" s="110" customFormat="1" ht="13.5" customHeight="1" x14ac:dyDescent="0.2">
      <c r="B29" s="50"/>
      <c r="C29" s="230" t="s">
        <v>130</v>
      </c>
      <c r="D29" s="230"/>
      <c r="E29" s="230"/>
      <c r="F29" s="132">
        <f>SUM(F27:F28)</f>
        <v>1014.894451270017</v>
      </c>
      <c r="G29" s="133">
        <f>+F29/$F$31</f>
        <v>0.79999999999999993</v>
      </c>
      <c r="H29" s="134">
        <f>1-(F29/F31)</f>
        <v>0.20000000000000007</v>
      </c>
    </row>
    <row r="30" spans="1:37" s="110" customFormat="1" ht="12" x14ac:dyDescent="0.2">
      <c r="B30" s="112"/>
      <c r="C30" s="227" t="s">
        <v>131</v>
      </c>
      <c r="D30" s="227"/>
      <c r="E30" s="58">
        <v>0.25</v>
      </c>
      <c r="F30" s="42">
        <f>+F29*E30</f>
        <v>253.72361281750426</v>
      </c>
      <c r="G30" s="128"/>
      <c r="H30" s="135"/>
    </row>
    <row r="31" spans="1:37" s="110" customFormat="1" ht="12.75" thickBot="1" x14ac:dyDescent="0.25">
      <c r="B31" s="112"/>
      <c r="C31" s="231" t="s">
        <v>132</v>
      </c>
      <c r="D31" s="231"/>
      <c r="E31" s="146"/>
      <c r="F31" s="147">
        <f>SUM(F29:F30)</f>
        <v>1268.6180640875214</v>
      </c>
      <c r="G31" s="128"/>
      <c r="H31" s="126"/>
    </row>
    <row r="32" spans="1:37" s="110" customFormat="1" ht="12.75" thickBot="1" x14ac:dyDescent="0.25">
      <c r="B32" s="112"/>
      <c r="C32" s="232" t="s">
        <v>133</v>
      </c>
      <c r="D32" s="232"/>
      <c r="E32" s="136">
        <v>0.13</v>
      </c>
      <c r="F32" s="137">
        <f>+F31*(1+E32)</f>
        <v>1433.538412418899</v>
      </c>
      <c r="G32" s="128"/>
      <c r="H32" s="126"/>
    </row>
    <row r="33" spans="1:37" s="110" customFormat="1" ht="12.75" thickBot="1" x14ac:dyDescent="0.25">
      <c r="A33" s="224"/>
      <c r="B33" s="225"/>
      <c r="C33" s="225"/>
      <c r="D33" s="225"/>
      <c r="E33" s="225"/>
      <c r="F33" s="225"/>
      <c r="G33" s="225"/>
      <c r="H33" s="225"/>
    </row>
    <row r="34" spans="1:37" s="110" customFormat="1" ht="12" x14ac:dyDescent="0.2">
      <c r="B34" s="112"/>
      <c r="C34" s="226" t="s">
        <v>134</v>
      </c>
      <c r="D34" s="226"/>
      <c r="E34" s="138">
        <v>0.65</v>
      </c>
      <c r="F34" s="139">
        <f>+F31/0.65</f>
        <v>1951.7200985961867</v>
      </c>
      <c r="G34" s="128"/>
      <c r="H34" s="126"/>
    </row>
    <row r="35" spans="1:37" s="110" customFormat="1" ht="12" x14ac:dyDescent="0.2">
      <c r="B35" s="112"/>
      <c r="C35" s="227" t="s">
        <v>135</v>
      </c>
      <c r="D35" s="227"/>
      <c r="E35" s="138">
        <v>0.13</v>
      </c>
      <c r="F35" s="139">
        <f>+F34*1.13</f>
        <v>2205.4437114136908</v>
      </c>
      <c r="G35" s="128"/>
      <c r="H35" s="126"/>
    </row>
    <row r="36" spans="1:37" s="110" customFormat="1" ht="12.75" thickBot="1" x14ac:dyDescent="0.25">
      <c r="C36" s="190"/>
      <c r="D36" s="190"/>
      <c r="F36" s="140"/>
      <c r="G36" s="141"/>
      <c r="H36" s="122"/>
    </row>
    <row r="37" spans="1:37" s="129" customFormat="1" ht="19.5" customHeight="1" thickBot="1" x14ac:dyDescent="0.3">
      <c r="A37" s="228" t="s">
        <v>136</v>
      </c>
      <c r="B37" s="229"/>
      <c r="C37" s="229"/>
      <c r="D37" s="229"/>
      <c r="E37" s="229"/>
      <c r="F37" s="229"/>
      <c r="G37" s="229"/>
      <c r="H37" s="229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</row>
    <row r="38" spans="1:37" s="110" customFormat="1" ht="12" x14ac:dyDescent="0.2">
      <c r="F38" s="142"/>
      <c r="G38" s="141"/>
      <c r="H38" s="122"/>
    </row>
    <row r="43" spans="1:37" ht="12" x14ac:dyDescent="0.2">
      <c r="H43" s="114"/>
    </row>
  </sheetData>
  <mergeCells count="28">
    <mergeCell ref="C36:D36"/>
    <mergeCell ref="A37:H37"/>
    <mergeCell ref="C28:D28"/>
    <mergeCell ref="C29:E29"/>
    <mergeCell ref="C30:D30"/>
    <mergeCell ref="C31:D31"/>
    <mergeCell ref="C32:D32"/>
    <mergeCell ref="A33:H33"/>
    <mergeCell ref="C23:E23"/>
    <mergeCell ref="A25:H25"/>
    <mergeCell ref="C27:E27"/>
    <mergeCell ref="C34:D34"/>
    <mergeCell ref="C35:D35"/>
    <mergeCell ref="C18:D18"/>
    <mergeCell ref="C19:E19"/>
    <mergeCell ref="C20:D20"/>
    <mergeCell ref="C21:E21"/>
    <mergeCell ref="C22:D22"/>
    <mergeCell ref="C12:D12"/>
    <mergeCell ref="C13:E13"/>
    <mergeCell ref="B15:D15"/>
    <mergeCell ref="C16:D16"/>
    <mergeCell ref="C17:D17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3A986A-063B-4F6C-9B5F-FB20E1DB9D50}"/>
</file>

<file path=customXml/itemProps2.xml><?xml version="1.0" encoding="utf-8"?>
<ds:datastoreItem xmlns:ds="http://schemas.openxmlformats.org/officeDocument/2006/customXml" ds:itemID="{A3356387-3493-42EE-99F1-D391F74B889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8A6D04A-C110-479F-8DE8-84A055A0509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E864B7D7-0CAB-4C1C-873E-81A3A9D47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</vt:lpstr>
      <vt:lpstr>COSTO ENSAMBLE </vt:lpstr>
      <vt:lpstr>PRECIO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Mbeeche</dc:creator>
  <cp:keywords/>
  <dc:description/>
  <cp:lastModifiedBy>Allan Brenes</cp:lastModifiedBy>
  <cp:revision/>
  <cp:lastPrinted>2026-02-26T21:37:20Z</cp:lastPrinted>
  <dcterms:created xsi:type="dcterms:W3CDTF">2011-03-11T22:59:33Z</dcterms:created>
  <dcterms:modified xsi:type="dcterms:W3CDTF">2026-02-26T21:40:50Z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886000.000000000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
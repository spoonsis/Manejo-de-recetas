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3" documentId="8_{272F612A-8F6F-498F-9C61-987CA4530623}" xr6:coauthVersionLast="47" xr6:coauthVersionMax="47" xr10:uidLastSave="{FB73C5FB-15E5-43CF-90E7-BC858995FAFC}"/>
  <bookViews>
    <workbookView xWindow="-120" yWindow="-120" windowWidth="20730" windowHeight="11040" firstSheet="2" activeTab="2" xr2:uid="{00000000-000D-0000-FFFF-FFFF00000000}"/>
  </bookViews>
  <sheets>
    <sheet name="Ensamble" sheetId="8" state="hidden" r:id="rId1"/>
    <sheet name="Costo Ensamble " sheetId="12" state="hidden" r:id="rId2"/>
    <sheet name="Plancha" sheetId="10" r:id="rId3"/>
    <sheet name="Batido arrollado " sheetId="14" state="hidden" r:id="rId4"/>
    <sheet name="Base Premezcla " sheetId="15" state="hidden" r:id="rId5"/>
    <sheet name="Crema chocolate Spoon" sheetId="16" state="hidden" r:id="rId6"/>
    <sheet name="Costo Plancha" sheetId="11" state="hidden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" i="14" l="1"/>
  <c r="D73" i="11"/>
  <c r="D74" i="11" s="1"/>
  <c r="D76" i="11" s="1"/>
  <c r="D71" i="11"/>
  <c r="D69" i="11"/>
  <c r="F65" i="11"/>
  <c r="E51" i="11" s="1"/>
  <c r="F51" i="11" s="1"/>
  <c r="D60" i="11"/>
  <c r="D83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E41" i="11"/>
  <c r="D41" i="11"/>
  <c r="C41" i="11"/>
  <c r="B41" i="11"/>
  <c r="A41" i="11"/>
  <c r="A50" i="11" s="1"/>
  <c r="C50" i="11" s="1"/>
  <c r="E40" i="11"/>
  <c r="D40" i="11"/>
  <c r="B40" i="11"/>
  <c r="A40" i="11"/>
  <c r="C40" i="11" s="1"/>
  <c r="E39" i="11"/>
  <c r="D39" i="11"/>
  <c r="B39" i="11"/>
  <c r="A39" i="11"/>
  <c r="C39" i="11" s="1"/>
  <c r="E38" i="11"/>
  <c r="D38" i="11"/>
  <c r="C38" i="11"/>
  <c r="B38" i="11"/>
  <c r="A38" i="11"/>
  <c r="A47" i="11" s="1"/>
  <c r="C47" i="11" s="1"/>
  <c r="E37" i="11"/>
  <c r="D37" i="11"/>
  <c r="C37" i="11"/>
  <c r="B37" i="11"/>
  <c r="A37" i="11"/>
  <c r="A46" i="11" s="1"/>
  <c r="C46" i="11" s="1"/>
  <c r="E36" i="11"/>
  <c r="D36" i="11"/>
  <c r="B36" i="11"/>
  <c r="A36" i="11"/>
  <c r="C36" i="11" s="1"/>
  <c r="A35" i="11"/>
  <c r="A44" i="11" s="1"/>
  <c r="C44" i="11" s="1"/>
  <c r="E32" i="11"/>
  <c r="F32" i="11" s="1"/>
  <c r="D32" i="11"/>
  <c r="C32" i="11"/>
  <c r="B32" i="11"/>
  <c r="E31" i="11"/>
  <c r="F31" i="11" s="1"/>
  <c r="D31" i="11"/>
  <c r="C31" i="11"/>
  <c r="B31" i="11"/>
  <c r="E30" i="11"/>
  <c r="F30" i="11" s="1"/>
  <c r="D30" i="11"/>
  <c r="C30" i="11"/>
  <c r="B30" i="11"/>
  <c r="E29" i="11"/>
  <c r="F29" i="11" s="1"/>
  <c r="D29" i="11"/>
  <c r="C29" i="11"/>
  <c r="B29" i="11"/>
  <c r="E28" i="11"/>
  <c r="F28" i="11" s="1"/>
  <c r="D28" i="11"/>
  <c r="C28" i="11"/>
  <c r="B28" i="11"/>
  <c r="E27" i="11"/>
  <c r="D27" i="11"/>
  <c r="C27" i="11"/>
  <c r="B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E18" i="11"/>
  <c r="D18" i="11"/>
  <c r="C18" i="11"/>
  <c r="B18" i="11"/>
  <c r="F17" i="11"/>
  <c r="C17" i="11"/>
  <c r="B15" i="11"/>
  <c r="E14" i="11"/>
  <c r="F14" i="11" s="1"/>
  <c r="D14" i="11"/>
  <c r="C14" i="11"/>
  <c r="B14" i="11"/>
  <c r="E13" i="11"/>
  <c r="F13" i="11" s="1"/>
  <c r="D13" i="11"/>
  <c r="C13" i="11"/>
  <c r="B13" i="11"/>
  <c r="E12" i="11"/>
  <c r="F12" i="11" s="1"/>
  <c r="D12" i="11"/>
  <c r="C12" i="11"/>
  <c r="B12" i="11"/>
  <c r="E11" i="11"/>
  <c r="F11" i="11" s="1"/>
  <c r="D11" i="11"/>
  <c r="C11" i="11"/>
  <c r="B11" i="11"/>
  <c r="E10" i="11"/>
  <c r="F10" i="11" s="1"/>
  <c r="D10" i="11"/>
  <c r="C10" i="11"/>
  <c r="B10" i="11"/>
  <c r="E9" i="11"/>
  <c r="F9" i="11" s="1"/>
  <c r="D9" i="11"/>
  <c r="C9" i="11"/>
  <c r="B9" i="11"/>
  <c r="E8" i="11"/>
  <c r="F8" i="11" s="1"/>
  <c r="D8" i="11"/>
  <c r="C8" i="11"/>
  <c r="B8" i="11"/>
  <c r="H6" i="11"/>
  <c r="D73" i="12"/>
  <c r="D74" i="12" s="1"/>
  <c r="D76" i="12" s="1"/>
  <c r="D71" i="12"/>
  <c r="D69" i="12"/>
  <c r="F65" i="12"/>
  <c r="E51" i="12" s="1"/>
  <c r="D60" i="12"/>
  <c r="D85" i="12" s="1"/>
  <c r="D86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1" i="12"/>
  <c r="D41" i="12"/>
  <c r="B41" i="12"/>
  <c r="A41" i="12"/>
  <c r="A50" i="12" s="1"/>
  <c r="C50" i="12" s="1"/>
  <c r="E40" i="12"/>
  <c r="D40" i="12"/>
  <c r="B40" i="12"/>
  <c r="A40" i="12"/>
  <c r="C40" i="12" s="1"/>
  <c r="E39" i="12"/>
  <c r="D39" i="12"/>
  <c r="B39" i="12"/>
  <c r="A39" i="12"/>
  <c r="C39" i="12" s="1"/>
  <c r="E38" i="12"/>
  <c r="D38" i="12"/>
  <c r="C38" i="12"/>
  <c r="B38" i="12"/>
  <c r="A38" i="12"/>
  <c r="A47" i="12" s="1"/>
  <c r="C47" i="12" s="1"/>
  <c r="E37" i="12"/>
  <c r="D37" i="12"/>
  <c r="C37" i="12"/>
  <c r="B37" i="12"/>
  <c r="A37" i="12"/>
  <c r="A46" i="12" s="1"/>
  <c r="C46" i="12" s="1"/>
  <c r="A36" i="12"/>
  <c r="A45" i="12" s="1"/>
  <c r="C45" i="12" s="1"/>
  <c r="C35" i="12"/>
  <c r="A35" i="12"/>
  <c r="A44" i="12" s="1"/>
  <c r="C44" i="12" s="1"/>
  <c r="E32" i="12"/>
  <c r="F32" i="12" s="1"/>
  <c r="D32" i="12"/>
  <c r="C32" i="12"/>
  <c r="B32" i="12"/>
  <c r="D31" i="12"/>
  <c r="C31" i="12"/>
  <c r="B31" i="12"/>
  <c r="D30" i="12"/>
  <c r="C30" i="12"/>
  <c r="B30" i="12"/>
  <c r="C29" i="12"/>
  <c r="D28" i="12"/>
  <c r="C28" i="12"/>
  <c r="B28" i="12"/>
  <c r="C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C18" i="12"/>
  <c r="C17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C9" i="12"/>
  <c r="C8" i="12"/>
  <c r="F8" i="12" s="1"/>
  <c r="H6" i="12"/>
  <c r="D26" i="10"/>
  <c r="F46" i="12" l="1"/>
  <c r="F47" i="12"/>
  <c r="F38" i="12"/>
  <c r="F37" i="12"/>
  <c r="F31" i="12"/>
  <c r="F30" i="12"/>
  <c r="F29" i="12"/>
  <c r="F28" i="12"/>
  <c r="F27" i="12"/>
  <c r="F10" i="12"/>
  <c r="F13" i="12"/>
  <c r="F11" i="12"/>
  <c r="F14" i="12"/>
  <c r="F9" i="12"/>
  <c r="F12" i="12"/>
  <c r="F45" i="12"/>
  <c r="C36" i="12"/>
  <c r="F36" i="12" s="1"/>
  <c r="F18" i="12"/>
  <c r="F46" i="11"/>
  <c r="F37" i="11"/>
  <c r="F40" i="11"/>
  <c r="F38" i="11"/>
  <c r="F41" i="11"/>
  <c r="D85" i="11"/>
  <c r="D86" i="11" s="1"/>
  <c r="A45" i="11"/>
  <c r="C45" i="11" s="1"/>
  <c r="F18" i="11"/>
  <c r="F53" i="11" s="1"/>
  <c r="F27" i="11"/>
  <c r="C35" i="11"/>
  <c r="F35" i="11"/>
  <c r="F50" i="11"/>
  <c r="F36" i="11"/>
  <c r="F47" i="11"/>
  <c r="F45" i="11"/>
  <c r="F39" i="11"/>
  <c r="F44" i="11"/>
  <c r="D81" i="11"/>
  <c r="C73" i="11"/>
  <c r="A49" i="11"/>
  <c r="C49" i="11" s="1"/>
  <c r="F49" i="11" s="1"/>
  <c r="A48" i="11"/>
  <c r="C48" i="11" s="1"/>
  <c r="F48" i="11" s="1"/>
  <c r="F39" i="12"/>
  <c r="F50" i="12"/>
  <c r="F40" i="12"/>
  <c r="F51" i="12"/>
  <c r="C41" i="12"/>
  <c r="F41" i="12" s="1"/>
  <c r="D81" i="12"/>
  <c r="C73" i="12"/>
  <c r="A49" i="12"/>
  <c r="C49" i="12" s="1"/>
  <c r="F49" i="12" s="1"/>
  <c r="D83" i="12"/>
  <c r="A48" i="12"/>
  <c r="C48" i="12" s="1"/>
  <c r="F48" i="12" s="1"/>
  <c r="F54" i="11" l="1"/>
  <c r="C76" i="11" s="1"/>
  <c r="E76" i="11" s="1"/>
  <c r="C69" i="11"/>
  <c r="H53" i="11"/>
  <c r="F64" i="11"/>
  <c r="F56" i="11"/>
  <c r="C85" i="11"/>
  <c r="E85" i="11" s="1"/>
  <c r="E73" i="11"/>
  <c r="C85" i="12"/>
  <c r="E85" i="12" s="1"/>
  <c r="E73" i="12"/>
  <c r="F2" i="11" l="1"/>
  <c r="E17" i="12"/>
  <c r="F17" i="12" s="1"/>
  <c r="F53" i="12" s="1"/>
  <c r="C69" i="12" s="1"/>
  <c r="E69" i="12" s="1"/>
  <c r="H54" i="11"/>
  <c r="F55" i="11"/>
  <c r="H55" i="11" s="1"/>
  <c r="E69" i="11"/>
  <c r="C81" i="11"/>
  <c r="E81" i="11" s="1"/>
  <c r="H56" i="11"/>
  <c r="C74" i="11"/>
  <c r="C81" i="12" l="1"/>
  <c r="E81" i="12" s="1"/>
  <c r="E44" i="12"/>
  <c r="F44" i="12" s="1"/>
  <c r="F56" i="12" s="1"/>
  <c r="F64" i="12"/>
  <c r="H53" i="12"/>
  <c r="F2" i="12" s="1"/>
  <c r="G2" i="11"/>
  <c r="E35" i="12"/>
  <c r="F35" i="12" s="1"/>
  <c r="F54" i="12" s="1"/>
  <c r="F63" i="11"/>
  <c r="C71" i="11" s="1"/>
  <c r="O54" i="11"/>
  <c r="O56" i="11" s="1"/>
  <c r="C86" i="11"/>
  <c r="E86" i="11" s="1"/>
  <c r="E74" i="11"/>
  <c r="E78" i="11" s="1"/>
  <c r="H2" i="11"/>
  <c r="O55" i="11"/>
  <c r="H58" i="11"/>
  <c r="H59" i="11" s="1"/>
  <c r="O58" i="11" s="1"/>
  <c r="H56" i="12" l="1"/>
  <c r="C74" i="12"/>
  <c r="F55" i="12"/>
  <c r="C76" i="12"/>
  <c r="E76" i="12" s="1"/>
  <c r="H54" i="12"/>
  <c r="G2" i="12" s="1"/>
  <c r="E63" i="11"/>
  <c r="F66" i="11"/>
  <c r="G12" i="11" s="1"/>
  <c r="O57" i="11"/>
  <c r="O59" i="11" s="1"/>
  <c r="G37" i="11"/>
  <c r="C83" i="11"/>
  <c r="E83" i="11" s="1"/>
  <c r="E71" i="11"/>
  <c r="E74" i="12" l="1"/>
  <c r="E78" i="12" s="1"/>
  <c r="C86" i="12"/>
  <c r="E86" i="12" s="1"/>
  <c r="H58" i="12"/>
  <c r="H59" i="12" s="1"/>
  <c r="O58" i="12" s="1"/>
  <c r="H2" i="12"/>
  <c r="O55" i="12"/>
  <c r="G44" i="11"/>
  <c r="G27" i="11"/>
  <c r="G24" i="11"/>
  <c r="G41" i="11"/>
  <c r="G30" i="11"/>
  <c r="G32" i="11"/>
  <c r="G64" i="11"/>
  <c r="G45" i="11"/>
  <c r="G53" i="11"/>
  <c r="G36" i="11"/>
  <c r="G38" i="11"/>
  <c r="H55" i="12"/>
  <c r="O54" i="12"/>
  <c r="O56" i="12" s="1"/>
  <c r="O57" i="12" s="1"/>
  <c r="F63" i="12"/>
  <c r="G31" i="11"/>
  <c r="G21" i="11"/>
  <c r="G65" i="11"/>
  <c r="G22" i="11"/>
  <c r="G63" i="11"/>
  <c r="G54" i="11"/>
  <c r="G46" i="11"/>
  <c r="G18" i="11"/>
  <c r="G39" i="11"/>
  <c r="G13" i="11"/>
  <c r="G29" i="11"/>
  <c r="G9" i="11"/>
  <c r="G19" i="11"/>
  <c r="G50" i="11"/>
  <c r="G8" i="11"/>
  <c r="G48" i="11"/>
  <c r="G17" i="11"/>
  <c r="G40" i="11"/>
  <c r="G56" i="11"/>
  <c r="G49" i="11"/>
  <c r="G10" i="11"/>
  <c r="G55" i="11"/>
  <c r="G35" i="11"/>
  <c r="G11" i="11"/>
  <c r="G51" i="11"/>
  <c r="G28" i="11"/>
  <c r="G20" i="11"/>
  <c r="G14" i="11"/>
  <c r="G66" i="11"/>
  <c r="G47" i="11"/>
  <c r="G23" i="11"/>
  <c r="O60" i="11"/>
  <c r="O61" i="11" s="1"/>
  <c r="O62" i="11" s="1"/>
  <c r="O59" i="12" l="1"/>
  <c r="O60" i="12" s="1"/>
  <c r="O61" i="12" s="1"/>
  <c r="O62" i="12" s="1"/>
  <c r="O64" i="12" s="1"/>
  <c r="C71" i="12"/>
  <c r="E63" i="12"/>
  <c r="F66" i="12"/>
  <c r="P62" i="11"/>
  <c r="E2" i="11"/>
  <c r="E2" i="12" l="1"/>
  <c r="P62" i="12"/>
  <c r="G63" i="12"/>
  <c r="G8" i="12"/>
  <c r="G37" i="12"/>
  <c r="G14" i="12"/>
  <c r="G56" i="12"/>
  <c r="G65" i="12"/>
  <c r="G13" i="12"/>
  <c r="G19" i="12"/>
  <c r="G55" i="12"/>
  <c r="G28" i="12"/>
  <c r="G48" i="12"/>
  <c r="G11" i="12"/>
  <c r="G36" i="12"/>
  <c r="G12" i="12"/>
  <c r="G51" i="12"/>
  <c r="G44" i="12"/>
  <c r="G35" i="12"/>
  <c r="G41" i="12"/>
  <c r="G32" i="12"/>
  <c r="G30" i="12"/>
  <c r="G31" i="12"/>
  <c r="G49" i="12"/>
  <c r="G45" i="12"/>
  <c r="G17" i="12"/>
  <c r="G40" i="12"/>
  <c r="G18" i="12"/>
  <c r="G53" i="12"/>
  <c r="G50" i="12"/>
  <c r="G47" i="12"/>
  <c r="G66" i="12"/>
  <c r="G20" i="12"/>
  <c r="G9" i="12"/>
  <c r="G46" i="12"/>
  <c r="G23" i="12"/>
  <c r="G10" i="12"/>
  <c r="G64" i="12"/>
  <c r="G22" i="12"/>
  <c r="G24" i="12"/>
  <c r="G39" i="12"/>
  <c r="G29" i="12"/>
  <c r="G21" i="12"/>
  <c r="G27" i="12"/>
  <c r="G38" i="12"/>
  <c r="G54" i="12"/>
  <c r="C83" i="12"/>
  <c r="E83" i="12" s="1"/>
  <c r="E7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Ramirez</author>
  </authors>
  <commentList>
    <comment ref="E29" authorId="0" shapeId="0" xr:uid="{26B1ADA4-3EEB-40A1-A93F-9A21AA14FCD6}">
      <text>
        <r>
          <rPr>
            <b/>
            <sz val="9"/>
            <color indexed="81"/>
            <rFont val="Tahoma"/>
            <family val="2"/>
          </rPr>
          <t>Esteban Ramirez:</t>
        </r>
        <r>
          <rPr>
            <sz val="9"/>
            <color indexed="81"/>
            <rFont val="Tahoma"/>
            <family val="2"/>
          </rPr>
          <t xml:space="preserve">
Se toma precio de olra 10
</t>
        </r>
      </text>
    </comment>
  </commentList>
</comments>
</file>

<file path=xl/sharedStrings.xml><?xml version="1.0" encoding="utf-8"?>
<sst xmlns="http://schemas.openxmlformats.org/spreadsheetml/2006/main" count="637" uniqueCount="246">
  <si>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</si>
  <si>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</si>
  <si>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</si>
  <si>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</si>
  <si>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</si>
  <si>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</si>
  <si>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</si>
  <si>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</si>
  <si>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</si>
  <si>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</si>
  <si>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</si>
  <si>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</si>
  <si>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</si>
  <si>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</si>
  <si>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</si>
  <si>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</si>
  <si>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</si>
  <si>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</si>
  <si>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</si>
  <si>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</si>
  <si>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</si>
  <si>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</si>
  <si>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</si>
  <si>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Horno:</t>
  </si>
  <si>
    <t>Ensamble</t>
  </si>
  <si>
    <t>Decoración</t>
  </si>
  <si>
    <t>ETIQ.BLANCA PREIMP. 2 5/8 * 1 15/16</t>
  </si>
  <si>
    <t>0702006</t>
  </si>
  <si>
    <t>ETIQ.FECHA VENCIMIENTO AMARILLO</t>
  </si>
  <si>
    <t>702174</t>
  </si>
  <si>
    <t>ETIQUETA SELLO SEGURIDAD (ROLLO:1000)</t>
  </si>
  <si>
    <t>ETIPLAST</t>
  </si>
  <si>
    <t>uds</t>
  </si>
  <si>
    <t>ETIQ. GENERICA PEQUEÑA V-274 (UND)</t>
  </si>
  <si>
    <t>FAS</t>
  </si>
  <si>
    <t>Esteban Cartin, Gte Manufactura</t>
  </si>
  <si>
    <t>MANJAR LECHE CONDENSADA (PAQ: 6 K)</t>
  </si>
  <si>
    <t>MP10007</t>
  </si>
  <si>
    <t>EM10135</t>
  </si>
  <si>
    <t>EM10119</t>
  </si>
  <si>
    <t>EM10011</t>
  </si>
  <si>
    <t>EM10003</t>
  </si>
  <si>
    <t>AREA QUE PRODUCE:</t>
  </si>
  <si>
    <t>Postres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</si>
  <si>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</si>
  <si>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</si>
  <si>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</si>
  <si>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</si>
  <si>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</si>
  <si>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Empaque</t>
  </si>
  <si>
    <t>NESTLE</t>
  </si>
  <si>
    <t>CEMUSA</t>
  </si>
  <si>
    <t>MACROCOMERCIAL</t>
  </si>
  <si>
    <t>Tiempo de Horneo:</t>
  </si>
  <si>
    <t>Temperatura de Horneo:</t>
  </si>
  <si>
    <t>Otros</t>
  </si>
  <si>
    <t>CONTROL DE CAMBIOS</t>
  </si>
  <si>
    <t xml:space="preserve">2, Se actualiza datos receta. </t>
  </si>
  <si>
    <t>Juan Pablo Brenes, Chef</t>
  </si>
  <si>
    <t>NUEVO</t>
  </si>
  <si>
    <t>Batidos</t>
  </si>
  <si>
    <t>95250</t>
  </si>
  <si>
    <t>SE00452</t>
  </si>
  <si>
    <t>BATIDO ARROLLADO SPOON</t>
  </si>
  <si>
    <t>1950708</t>
  </si>
  <si>
    <t>EM10013</t>
  </si>
  <si>
    <t>BOLSA 17x25 TRANSP (KILO) **</t>
  </si>
  <si>
    <t>PLASTICOS P</t>
  </si>
  <si>
    <t>0906036</t>
  </si>
  <si>
    <t>EM10018</t>
  </si>
  <si>
    <t>PAPEL MANTEQUILLA</t>
  </si>
  <si>
    <t>TIPS</t>
  </si>
  <si>
    <t>Pliegos</t>
  </si>
  <si>
    <t>902000019</t>
  </si>
  <si>
    <t>MEZCLA ENGRASE MOLDES (29800g)</t>
  </si>
  <si>
    <t/>
  </si>
  <si>
    <t>min</t>
  </si>
  <si>
    <t>ud</t>
  </si>
  <si>
    <t>1. Pesar en el molde engrasado con papel encerado la mezcla de arrollado.</t>
  </si>
  <si>
    <t>2.-Hornear en el Argental a 170°C por 15 Minutos</t>
  </si>
  <si>
    <t>PLANCHA ARROLLADO 1800G</t>
  </si>
  <si>
    <t>SE00024</t>
  </si>
  <si>
    <t>Crema Chocolate Spoon</t>
  </si>
  <si>
    <t>2 tazas</t>
  </si>
  <si>
    <t>MP10709</t>
  </si>
  <si>
    <t>SPRINKLES CHOCO</t>
  </si>
  <si>
    <t>1/2 taza</t>
  </si>
  <si>
    <t>EMPAQUE PARA ARROLLADO</t>
  </si>
  <si>
    <t>Arrollado chocolate FAS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</si>
  <si>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</si>
  <si>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</si>
  <si>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</si>
  <si>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</si>
  <si>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</si>
  <si>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</si>
  <si>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</si>
  <si>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</si>
  <si>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</si>
  <si>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</si>
  <si>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</si>
  <si>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</si>
  <si>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</si>
  <si>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</si>
  <si>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</si>
  <si>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</si>
  <si>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</si>
  <si>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</si>
  <si>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</si>
  <si>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</si>
  <si>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</si>
  <si>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</si>
  <si>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</si>
  <si>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</si>
  <si>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</si>
  <si>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</si>
  <si>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</si>
  <si>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</si>
  <si>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</si>
  <si>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</si>
  <si>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</si>
  <si>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</si>
  <si>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</si>
  <si>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</si>
  <si>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</si>
  <si>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</si>
  <si>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</si>
  <si>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</si>
  <si>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</si>
  <si>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</si>
  <si>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</si>
  <si>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</si>
  <si>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</si>
  <si>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</si>
  <si>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</si>
  <si>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</si>
  <si>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</si>
  <si>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</si>
  <si>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</si>
  <si>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</si>
  <si>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</si>
  <si>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</si>
  <si>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</si>
  <si>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und </t>
  </si>
  <si>
    <t>nuevo</t>
  </si>
  <si>
    <t>UND</t>
  </si>
  <si>
    <t xml:space="preserve">UND </t>
  </si>
  <si>
    <t>11400066</t>
  </si>
  <si>
    <t>Nuevo</t>
  </si>
  <si>
    <t>702066</t>
  </si>
  <si>
    <t>0702077</t>
  </si>
  <si>
    <t>Nuevo empaque arrollado</t>
  </si>
  <si>
    <t>und</t>
  </si>
  <si>
    <t>ESP-RE-BAS-004</t>
  </si>
  <si>
    <t>09</t>
  </si>
  <si>
    <t>BATIDO ROSQUETE ARROLLADO SPOON KILO SE00452</t>
  </si>
  <si>
    <t>Enmanuel Madrigal, Chef</t>
  </si>
  <si>
    <t>Jeffry Rodriguez. Gte de Manufactura</t>
  </si>
  <si>
    <t xml:space="preserve">BATIDOS </t>
  </si>
  <si>
    <t>POSTRES</t>
  </si>
  <si>
    <t># Codigo Netsuite</t>
  </si>
  <si>
    <t>95362</t>
  </si>
  <si>
    <t>SE00197</t>
  </si>
  <si>
    <t>BASE PREMEZCLA ARROLLADO SPOON KILO</t>
  </si>
  <si>
    <t>11300009</t>
  </si>
  <si>
    <t>MP10141</t>
  </si>
  <si>
    <t>CLARA HUEVO PASTE DEB-EL (CAJA:2.267 K)</t>
  </si>
  <si>
    <t>Mayca</t>
  </si>
  <si>
    <t>MP10037</t>
  </si>
  <si>
    <t>Yema De Huevo Pasteurizada</t>
  </si>
  <si>
    <t>Innovo</t>
  </si>
  <si>
    <t>15 min</t>
  </si>
  <si>
    <t>Argental - Marshall</t>
  </si>
  <si>
    <t>Dicte</t>
  </si>
  <si>
    <t>175°C</t>
  </si>
  <si>
    <t>170°C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</si>
  <si>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Poner a crecer la yema y la clara en la batidora con el azúcar, preservante y polvo de hornear a velocidad maxima, hasta obetener punto cinta por 40 minutos aproximadamente.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</si>
  <si>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Bajar la velocidad de la batidora a mínimo y agregar la harina. No batir mucho.</t>
    </r>
  </si>
  <si>
    <r>
      <rPr>
        <b/>
        <sz val="11"/>
        <rFont val="Times New Roman"/>
        <family val="1"/>
      </rPr>
      <t>3-.</t>
    </r>
    <r>
      <rPr>
        <sz val="11"/>
        <rFont val="Times New Roman"/>
        <family val="1"/>
      </rPr>
      <t xml:space="preserve"> La mezcla debe de quedar homogénea y esponjosa, limpiar los bordes de la batidora con una espatula. 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</si>
  <si>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Hornear por 15 minutos en Argental o Marshall a 175°C o en el Dicte 3 a 170°C por 15 minutos</t>
    </r>
  </si>
  <si>
    <t>Versión #09 : Se actualiza formato, tiempos y temperaturas de horneos</t>
  </si>
  <si>
    <t>ESP-RE-PRES-004</t>
  </si>
  <si>
    <t>01</t>
  </si>
  <si>
    <t>Pre Mezcla Arrollado Spoon  SE00197</t>
  </si>
  <si>
    <t>Javier Tong, Chef</t>
  </si>
  <si>
    <t>Premezclas</t>
  </si>
  <si>
    <t>MP10036</t>
  </si>
  <si>
    <t>HARINA HARISOL WINTER</t>
  </si>
  <si>
    <t>NACARINA</t>
  </si>
  <si>
    <t>510301</t>
  </si>
  <si>
    <t>MP10074</t>
  </si>
  <si>
    <t>AZUCAR BLANCO INDUSTRIAL</t>
  </si>
  <si>
    <t>LAICA</t>
  </si>
  <si>
    <t>MP10304</t>
  </si>
  <si>
    <t>POLVO HORNEAR</t>
  </si>
  <si>
    <t>FLEISHMAN</t>
  </si>
  <si>
    <t>1212410</t>
  </si>
  <si>
    <t>MP10008</t>
  </si>
  <si>
    <t>PRESERVANTE 1047S</t>
  </si>
  <si>
    <t>ASEAL</t>
  </si>
  <si>
    <t>1950705</t>
  </si>
  <si>
    <t>EM10037</t>
  </si>
  <si>
    <t>BOLSA 8X12 TRANSPARENTE</t>
  </si>
  <si>
    <t>1950704</t>
  </si>
  <si>
    <t>EM10010</t>
  </si>
  <si>
    <t>BOLSA 5X8 TRANSPARENTE</t>
  </si>
  <si>
    <t>0702123</t>
  </si>
  <si>
    <t>ETIQUETA BLANCA 2 5/8X1 15/16</t>
  </si>
  <si>
    <t>60100010</t>
  </si>
  <si>
    <t>EM10133</t>
  </si>
  <si>
    <t>ETIQUETA ROJA LETRA ALERJENO</t>
  </si>
  <si>
    <t xml:space="preserve">1.- Pesar todos los ingredientes por separado.							</t>
  </si>
  <si>
    <t xml:space="preserve">2.- En la bosa 8*12  pesar la harina.							</t>
  </si>
  <si>
    <t xml:space="preserve">3.- En la bolsa 8*12 pesar el azucar.							</t>
  </si>
  <si>
    <t xml:space="preserve">4.- En la bolsa 5*8 pesar el preservante y el la otra el polvo de hornear.							</t>
  </si>
  <si>
    <t xml:space="preserve">5.- Colocar todas las bolsas dentro de la bolsa del azucar. 							</t>
  </si>
  <si>
    <t xml:space="preserve">6.- Etiquetar con fecha de vencimiento y alerjeno							</t>
  </si>
  <si>
    <t>ESP-RE-DES-019</t>
  </si>
  <si>
    <t>02</t>
  </si>
  <si>
    <t xml:space="preserve"> Crema Chocolate Spoon(23875g) 95718(SE00024)</t>
  </si>
  <si>
    <t>Decoracion</t>
  </si>
  <si>
    <t>MP10048</t>
  </si>
  <si>
    <t>CREMA PRESTIGE GRAND (UND:4 K)</t>
  </si>
  <si>
    <t>RICHS</t>
  </si>
  <si>
    <t>1 GALON</t>
  </si>
  <si>
    <t>MP10047</t>
  </si>
  <si>
    <t>BETTERCREME SUPREMO (UND:4 K)</t>
  </si>
  <si>
    <t>10415</t>
  </si>
  <si>
    <t>AGUA POTABLE (PLANTA)</t>
  </si>
  <si>
    <t>MP10006</t>
  </si>
  <si>
    <t>CREMA BETTERCREAM DOBLE CHOCO (UND:4 K)</t>
  </si>
  <si>
    <t>4 GALON</t>
  </si>
  <si>
    <t>PRESERVANTE 1047S (PAQ=5 KILO)</t>
  </si>
  <si>
    <t>ETIQUETA BLANCA 2 5/8X1 15/16 (UND)</t>
  </si>
  <si>
    <t>Minutos</t>
  </si>
  <si>
    <t>Top Cream</t>
  </si>
  <si>
    <t>1.- Abrir los galones de crema y verter dentro de la maquina.</t>
  </si>
  <si>
    <t>2.- Dosilver el preservante en el agua</t>
  </si>
  <si>
    <t>3.- Agregar el agua debidamente pesada.</t>
  </si>
  <si>
    <t xml:space="preserve">4.- Batir por 22 minutos. Mantener en refigeración 5°C líquida </t>
  </si>
  <si>
    <t>5.- Guardar en tuppers sanitizados con tapa y etiquetados y guardar en camara hasta su uso. (18° temperatura maxima ya batida)</t>
  </si>
  <si>
    <t>6.-  En caso de sobrantes guardar, etiquetar, no más de 24 horas.</t>
  </si>
  <si>
    <t xml:space="preserve">2, Actualización tiempo total de preparación y procedimiento. </t>
  </si>
  <si>
    <t>SE00701</t>
  </si>
  <si>
    <t>SE00772 Plancha Arrollado 1800g</t>
  </si>
  <si>
    <t>PROVISIONAL</t>
  </si>
  <si>
    <t>ESP-RE-BAF-032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</si>
</sst>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  <font>
      <sz val="14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Arial"/>
      <family val="2"/>
    </font>
    <font>
      <sz val="9.85"/>
      <color indexed="8"/>
      <name val="Times New Roman"/>
      <family val="1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Century Gothic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  <font>
      <b/>
      <sz val="18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</cellStyleXfs>
  <cellXfs count="818">
    <xf numFmtId="0" fontId="0" fillId="0" borderId="0" xfId="0"/>
    <xf numFmtId="0" fontId="5" fillId="2" borderId="2" xfId="1" applyFont="1" applyFill="1" applyBorder="1" applyAlignment="1">
      <alignment horizontal="right"/>
    </xf>
    <xf numFmtId="0" fontId="8" fillId="2" borderId="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right"/>
    </xf>
    <xf numFmtId="49" fontId="8" fillId="2" borderId="5" xfId="1" applyNumberFormat="1" applyFont="1" applyFill="1" applyBorder="1" applyAlignment="1">
      <alignment horizontal="center"/>
    </xf>
    <xf numFmtId="0" fontId="8" fillId="2" borderId="6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14" fontId="9" fillId="2" borderId="0" xfId="3" applyNumberFormat="1" applyFont="1" applyFill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 wrapText="1"/>
    </xf>
    <xf numFmtId="1" fontId="5" fillId="3" borderId="1" xfId="5" applyNumberFormat="1" applyFont="1" applyFill="1" applyBorder="1" applyAlignment="1">
      <alignment horizontal="center"/>
    </xf>
    <xf numFmtId="1" fontId="5" fillId="3" borderId="1" xfId="5" applyNumberFormat="1" applyFont="1" applyFill="1" applyBorder="1" applyAlignment="1">
      <alignment horizontal="center" wrapText="1"/>
    </xf>
    <xf numFmtId="0" fontId="5" fillId="3" borderId="22" xfId="5" applyFont="1" applyFill="1" applyBorder="1" applyAlignment="1">
      <alignment horizontal="center"/>
    </xf>
    <xf numFmtId="0" fontId="11" fillId="0" borderId="41" xfId="5" applyFont="1" applyBorder="1" applyAlignment="1">
      <alignment horizontal="center" vertical="center"/>
    </xf>
    <xf numFmtId="0" fontId="11" fillId="0" borderId="8" xfId="5" applyFont="1" applyBorder="1" applyAlignment="1">
      <alignment horizontal="center" vertical="center"/>
    </xf>
    <xf numFmtId="0" fontId="12" fillId="0" borderId="4" xfId="5" applyFont="1" applyBorder="1" applyAlignment="1">
      <alignment vertical="center"/>
    </xf>
    <xf numFmtId="0" fontId="11" fillId="0" borderId="4" xfId="5" applyFont="1" applyBorder="1" applyAlignment="1">
      <alignment horizontal="center" vertical="center"/>
    </xf>
    <xf numFmtId="1" fontId="11" fillId="0" borderId="4" xfId="5" applyNumberFormat="1" applyFont="1" applyBorder="1" applyAlignment="1">
      <alignment horizontal="center"/>
    </xf>
    <xf numFmtId="1" fontId="11" fillId="0" borderId="4" xfId="5" applyNumberFormat="1" applyFont="1" applyBorder="1" applyAlignment="1">
      <alignment horizontal="center" wrapText="1"/>
    </xf>
    <xf numFmtId="0" fontId="13" fillId="0" borderId="5" xfId="5" applyFont="1" applyBorder="1" applyAlignment="1">
      <alignment horizontal="center"/>
    </xf>
    <xf numFmtId="49" fontId="13" fillId="0" borderId="4" xfId="5" applyNumberFormat="1" applyFont="1" applyBorder="1" applyAlignment="1">
      <alignment horizontal="center"/>
    </xf>
    <xf numFmtId="0" fontId="13" fillId="0" borderId="4" xfId="5" applyFont="1" applyBorder="1" applyAlignment="1">
      <alignment horizontal="center"/>
    </xf>
    <xf numFmtId="1" fontId="13" fillId="0" borderId="4" xfId="5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12" fontId="13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5" borderId="4" xfId="0" applyFont="1" applyFill="1" applyBorder="1"/>
    <xf numFmtId="1" fontId="13" fillId="0" borderId="4" xfId="5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/>
    <xf numFmtId="1" fontId="13" fillId="0" borderId="4" xfId="0" applyNumberFormat="1" applyFont="1" applyBorder="1"/>
    <xf numFmtId="0" fontId="13" fillId="5" borderId="4" xfId="5" applyFont="1" applyFill="1" applyBorder="1" applyAlignment="1">
      <alignment horizontal="center"/>
    </xf>
    <xf numFmtId="49" fontId="13" fillId="0" borderId="41" xfId="5" applyNumberFormat="1" applyFont="1" applyBorder="1" applyAlignment="1">
      <alignment horizontal="center"/>
    </xf>
    <xf numFmtId="49" fontId="13" fillId="0" borderId="8" xfId="5" applyNumberFormat="1" applyFont="1" applyBorder="1" applyAlignment="1">
      <alignment horizontal="center"/>
    </xf>
    <xf numFmtId="0" fontId="11" fillId="5" borderId="4" xfId="5" applyFont="1" applyFill="1" applyBorder="1" applyAlignment="1">
      <alignment horizontal="left"/>
    </xf>
    <xf numFmtId="165" fontId="13" fillId="0" borderId="4" xfId="5" applyNumberFormat="1" applyFont="1" applyBorder="1" applyAlignment="1">
      <alignment horizontal="center"/>
    </xf>
    <xf numFmtId="0" fontId="15" fillId="5" borderId="41" xfId="0" applyFont="1" applyFill="1" applyBorder="1" applyAlignment="1">
      <alignment horizontal="center"/>
    </xf>
    <xf numFmtId="0" fontId="15" fillId="5" borderId="25" xfId="0" applyFont="1" applyFill="1" applyBorder="1" applyAlignment="1">
      <alignment horizontal="center"/>
    </xf>
    <xf numFmtId="0" fontId="15" fillId="5" borderId="6" xfId="0" applyFont="1" applyFill="1" applyBorder="1"/>
    <xf numFmtId="0" fontId="13" fillId="5" borderId="8" xfId="0" applyFont="1" applyFill="1" applyBorder="1" applyAlignment="1">
      <alignment horizontal="center"/>
    </xf>
    <xf numFmtId="1" fontId="13" fillId="5" borderId="6" xfId="0" applyNumberFormat="1" applyFont="1" applyFill="1" applyBorder="1" applyAlignment="1">
      <alignment horizontal="center"/>
    </xf>
    <xf numFmtId="1" fontId="13" fillId="5" borderId="6" xfId="0" applyNumberFormat="1" applyFont="1" applyFill="1" applyBorder="1" applyAlignment="1">
      <alignment horizontal="center" wrapText="1"/>
    </xf>
    <xf numFmtId="0" fontId="13" fillId="0" borderId="0" xfId="0" applyFont="1"/>
    <xf numFmtId="16" fontId="13" fillId="0" borderId="4" xfId="0" applyNumberFormat="1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 wrapText="1"/>
    </xf>
    <xf numFmtId="49" fontId="11" fillId="0" borderId="17" xfId="5" applyNumberFormat="1" applyFont="1" applyBorder="1" applyAlignment="1">
      <alignment horizontal="center"/>
    </xf>
    <xf numFmtId="49" fontId="11" fillId="0" borderId="18" xfId="5" applyNumberFormat="1" applyFont="1" applyBorder="1" applyAlignment="1">
      <alignment horizontal="center"/>
    </xf>
    <xf numFmtId="0" fontId="12" fillId="5" borderId="4" xfId="5" applyFont="1" applyFill="1" applyBorder="1" applyAlignment="1">
      <alignment vertical="center"/>
    </xf>
    <xf numFmtId="0" fontId="11" fillId="0" borderId="8" xfId="5" applyFont="1" applyBorder="1" applyAlignment="1">
      <alignment horizontal="center"/>
    </xf>
    <xf numFmtId="165" fontId="11" fillId="0" borderId="4" xfId="5" applyNumberFormat="1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49" fontId="13" fillId="0" borderId="4" xfId="0" applyNumberFormat="1" applyFont="1" applyBorder="1"/>
    <xf numFmtId="166" fontId="11" fillId="5" borderId="4" xfId="4" applyNumberFormat="1" applyFont="1" applyFill="1" applyBorder="1" applyAlignment="1">
      <alignment horizontal="center"/>
    </xf>
    <xf numFmtId="0" fontId="15" fillId="0" borderId="4" xfId="6" applyFont="1" applyBorder="1" applyAlignment="1">
      <alignment horizontal="center"/>
    </xf>
    <xf numFmtId="0" fontId="15" fillId="0" borderId="4" xfId="6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2" fontId="13" fillId="0" borderId="4" xfId="5" applyNumberFormat="1" applyFont="1" applyBorder="1" applyAlignment="1">
      <alignment horizontal="center"/>
    </xf>
    <xf numFmtId="0" fontId="13" fillId="0" borderId="4" xfId="0" quotePrefix="1" applyFont="1" applyBorder="1" applyAlignment="1">
      <alignment horizontal="center"/>
    </xf>
    <xf numFmtId="0" fontId="13" fillId="0" borderId="4" xfId="0" quotePrefix="1" applyFont="1" applyBorder="1"/>
    <xf numFmtId="49" fontId="13" fillId="0" borderId="4" xfId="5" applyNumberFormat="1" applyFont="1" applyBorder="1"/>
    <xf numFmtId="49" fontId="14" fillId="2" borderId="10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13" fillId="2" borderId="0" xfId="5" applyFont="1" applyFill="1"/>
    <xf numFmtId="1" fontId="13" fillId="2" borderId="0" xfId="5" applyNumberFormat="1" applyFont="1" applyFill="1" applyAlignment="1">
      <alignment horizontal="center"/>
    </xf>
    <xf numFmtId="164" fontId="13" fillId="2" borderId="0" xfId="5" applyNumberFormat="1" applyFont="1" applyFill="1" applyAlignment="1">
      <alignment horizontal="center" wrapText="1"/>
    </xf>
    <xf numFmtId="0" fontId="13" fillId="2" borderId="39" xfId="5" applyFont="1" applyFill="1" applyBorder="1" applyAlignment="1">
      <alignment horizontal="center"/>
    </xf>
    <xf numFmtId="0" fontId="13" fillId="3" borderId="11" xfId="5" applyFont="1" applyFill="1" applyBorder="1" applyAlignment="1">
      <alignment horizontal="center"/>
    </xf>
    <xf numFmtId="0" fontId="13" fillId="3" borderId="12" xfId="5" applyFont="1" applyFill="1" applyBorder="1" applyAlignment="1">
      <alignment horizontal="center"/>
    </xf>
    <xf numFmtId="0" fontId="13" fillId="3" borderId="12" xfId="5" applyFont="1" applyFill="1" applyBorder="1"/>
    <xf numFmtId="0" fontId="11" fillId="3" borderId="12" xfId="5" applyFont="1" applyFill="1" applyBorder="1" applyAlignment="1">
      <alignment horizontal="center"/>
    </xf>
    <xf numFmtId="1" fontId="11" fillId="3" borderId="12" xfId="5" applyNumberFormat="1" applyFont="1" applyFill="1" applyBorder="1" applyAlignment="1">
      <alignment horizontal="center"/>
    </xf>
    <xf numFmtId="164" fontId="13" fillId="3" borderId="12" xfId="5" applyNumberFormat="1" applyFont="1" applyFill="1" applyBorder="1" applyAlignment="1">
      <alignment horizontal="center" wrapText="1"/>
    </xf>
    <xf numFmtId="0" fontId="13" fillId="3" borderId="13" xfId="5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8" fillId="2" borderId="2" xfId="3" applyFont="1" applyFill="1" applyBorder="1" applyAlignment="1">
      <alignment horizontal="right"/>
    </xf>
    <xf numFmtId="0" fontId="16" fillId="2" borderId="3" xfId="3" applyFont="1" applyFill="1" applyBorder="1" applyAlignment="1">
      <alignment horizontal="center"/>
    </xf>
    <xf numFmtId="0" fontId="18" fillId="2" borderId="4" xfId="3" applyFont="1" applyFill="1" applyBorder="1" applyAlignment="1">
      <alignment horizontal="right"/>
    </xf>
    <xf numFmtId="49" fontId="16" fillId="2" borderId="5" xfId="3" applyNumberFormat="1" applyFont="1" applyFill="1" applyBorder="1" applyAlignment="1">
      <alignment horizontal="center"/>
    </xf>
    <xf numFmtId="0" fontId="16" fillId="2" borderId="6" xfId="3" applyFont="1" applyFill="1" applyBorder="1" applyAlignment="1">
      <alignment horizontal="right"/>
    </xf>
    <xf numFmtId="0" fontId="16" fillId="2" borderId="4" xfId="3" applyFont="1" applyFill="1" applyBorder="1" applyAlignment="1">
      <alignment horizontal="right"/>
    </xf>
    <xf numFmtId="0" fontId="18" fillId="3" borderId="3" xfId="5" applyFont="1" applyFill="1" applyBorder="1" applyAlignment="1">
      <alignment horizontal="center" vertical="center" wrapText="1"/>
    </xf>
    <xf numFmtId="1" fontId="18" fillId="3" borderId="1" xfId="5" applyNumberFormat="1" applyFont="1" applyFill="1" applyBorder="1" applyAlignment="1">
      <alignment horizontal="center"/>
    </xf>
    <xf numFmtId="1" fontId="18" fillId="3" borderId="1" xfId="5" applyNumberFormat="1" applyFont="1" applyFill="1" applyBorder="1" applyAlignment="1">
      <alignment horizontal="center" wrapText="1"/>
    </xf>
    <xf numFmtId="0" fontId="18" fillId="3" borderId="22" xfId="5" applyFont="1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49" fontId="20" fillId="0" borderId="41" xfId="5" applyNumberFormat="1" applyFont="1" applyBorder="1" applyAlignment="1">
      <alignment horizontal="center"/>
    </xf>
    <xf numFmtId="49" fontId="20" fillId="0" borderId="8" xfId="5" applyNumberFormat="1" applyFont="1" applyBorder="1" applyAlignment="1">
      <alignment horizontal="center"/>
    </xf>
    <xf numFmtId="0" fontId="22" fillId="5" borderId="4" xfId="5" applyFont="1" applyFill="1" applyBorder="1" applyAlignment="1">
      <alignment horizontal="left"/>
    </xf>
    <xf numFmtId="1" fontId="16" fillId="0" borderId="4" xfId="0" applyNumberFormat="1" applyFont="1" applyBorder="1" applyAlignment="1">
      <alignment horizontal="center"/>
    </xf>
    <xf numFmtId="1" fontId="16" fillId="0" borderId="4" xfId="0" applyNumberFormat="1" applyFont="1" applyBorder="1" applyAlignment="1">
      <alignment horizontal="center" wrapText="1"/>
    </xf>
    <xf numFmtId="0" fontId="23" fillId="5" borderId="4" xfId="5" applyFont="1" applyFill="1" applyBorder="1" applyAlignment="1">
      <alignment vertical="center"/>
    </xf>
    <xf numFmtId="1" fontId="20" fillId="0" borderId="4" xfId="5" applyNumberFormat="1" applyFont="1" applyBorder="1" applyAlignment="1">
      <alignment horizontal="center"/>
    </xf>
    <xf numFmtId="0" fontId="16" fillId="0" borderId="4" xfId="0" quotePrefix="1" applyFont="1" applyBorder="1"/>
    <xf numFmtId="0" fontId="16" fillId="0" borderId="14" xfId="0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3" fillId="7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7" borderId="4" xfId="5" applyFont="1" applyFill="1" applyBorder="1" applyAlignment="1">
      <alignment horizontal="left"/>
    </xf>
    <xf numFmtId="49" fontId="13" fillId="7" borderId="4" xfId="5" applyNumberFormat="1" applyFont="1" applyFill="1" applyBorder="1" applyAlignment="1">
      <alignment horizontal="center"/>
    </xf>
    <xf numFmtId="0" fontId="27" fillId="0" borderId="4" xfId="5" applyFont="1" applyBorder="1"/>
    <xf numFmtId="0" fontId="27" fillId="0" borderId="4" xfId="5" applyFont="1" applyBorder="1" applyAlignment="1">
      <alignment horizontal="center"/>
    </xf>
    <xf numFmtId="0" fontId="13" fillId="7" borderId="4" xfId="0" applyFont="1" applyFill="1" applyBorder="1" applyAlignment="1">
      <alignment horizontal="left" vertical="center"/>
    </xf>
    <xf numFmtId="0" fontId="29" fillId="5" borderId="0" xfId="0" applyFont="1" applyFill="1" applyAlignment="1">
      <alignment vertical="center"/>
    </xf>
    <xf numFmtId="0" fontId="24" fillId="8" borderId="4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43" fontId="24" fillId="0" borderId="4" xfId="4" applyFont="1" applyFill="1" applyBorder="1" applyAlignment="1">
      <alignment horizontal="center" vertical="center"/>
    </xf>
    <xf numFmtId="43" fontId="24" fillId="0" borderId="0" xfId="4" applyFont="1" applyFill="1" applyBorder="1" applyAlignment="1">
      <alignment horizontal="center" vertical="center"/>
    </xf>
    <xf numFmtId="43" fontId="31" fillId="0" borderId="0" xfId="4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168" fontId="34" fillId="0" borderId="0" xfId="0" applyNumberFormat="1" applyFont="1" applyAlignment="1">
      <alignment horizontal="center" vertical="center" wrapText="1"/>
    </xf>
    <xf numFmtId="0" fontId="24" fillId="9" borderId="46" xfId="0" applyFont="1" applyFill="1" applyBorder="1" applyAlignment="1">
      <alignment horizontal="center" vertical="center"/>
    </xf>
    <xf numFmtId="0" fontId="24" fillId="9" borderId="47" xfId="0" applyFont="1" applyFill="1" applyBorder="1" applyAlignment="1">
      <alignment horizontal="center" vertical="center"/>
    </xf>
    <xf numFmtId="0" fontId="24" fillId="9" borderId="47" xfId="0" applyFont="1" applyFill="1" applyBorder="1" applyAlignment="1">
      <alignment horizontal="center" vertical="center" wrapText="1"/>
    </xf>
    <xf numFmtId="0" fontId="24" fillId="9" borderId="48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2" fontId="35" fillId="0" borderId="0" xfId="0" applyNumberFormat="1" applyFont="1" applyAlignment="1">
      <alignment horizontal="center"/>
    </xf>
    <xf numFmtId="4" fontId="35" fillId="0" borderId="0" xfId="8" applyNumberFormat="1" applyFont="1" applyFill="1" applyAlignment="1">
      <alignment horizontal="center" vertical="center"/>
    </xf>
    <xf numFmtId="4" fontId="24" fillId="0" borderId="0" xfId="8" applyNumberFormat="1" applyFont="1" applyFill="1" applyAlignment="1">
      <alignment horizontal="center" vertical="center"/>
    </xf>
    <xf numFmtId="10" fontId="24" fillId="0" borderId="0" xfId="2" applyNumberFormat="1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10" fontId="30" fillId="0" borderId="0" xfId="2" applyNumberFormat="1" applyFont="1" applyFill="1" applyAlignment="1">
      <alignment vertical="center"/>
    </xf>
    <xf numFmtId="0" fontId="29" fillId="0" borderId="0" xfId="0" applyFont="1"/>
    <xf numFmtId="49" fontId="24" fillId="0" borderId="0" xfId="0" applyNumberFormat="1" applyFont="1" applyAlignment="1">
      <alignment horizontal="center"/>
    </xf>
    <xf numFmtId="169" fontId="29" fillId="0" borderId="0" xfId="0" applyNumberFormat="1" applyFont="1" applyAlignment="1">
      <alignment vertical="center"/>
    </xf>
    <xf numFmtId="0" fontId="29" fillId="0" borderId="0" xfId="0" applyFont="1" applyAlignment="1">
      <alignment horizontal="left" vertical="center"/>
    </xf>
    <xf numFmtId="43" fontId="29" fillId="0" borderId="0" xfId="4" applyFont="1" applyFill="1" applyAlignment="1">
      <alignment vertical="center"/>
    </xf>
    <xf numFmtId="49" fontId="36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0" xfId="4" applyNumberFormat="1" applyFont="1" applyFill="1" applyAlignment="1">
      <alignment vertical="center"/>
    </xf>
    <xf numFmtId="43" fontId="37" fillId="0" borderId="0" xfId="4" applyFont="1" applyFill="1" applyAlignment="1">
      <alignment horizontal="center" vertical="center"/>
    </xf>
    <xf numFmtId="10" fontId="30" fillId="9" borderId="49" xfId="2" applyNumberFormat="1" applyFont="1" applyFill="1" applyBorder="1" applyAlignment="1">
      <alignment vertical="center"/>
    </xf>
    <xf numFmtId="0" fontId="29" fillId="9" borderId="12" xfId="0" applyFont="1" applyFill="1" applyBorder="1" applyAlignment="1">
      <alignment vertical="center"/>
    </xf>
    <xf numFmtId="0" fontId="29" fillId="9" borderId="49" xfId="0" applyFont="1" applyFill="1" applyBorder="1" applyAlignment="1">
      <alignment vertical="center"/>
    </xf>
    <xf numFmtId="43" fontId="37" fillId="9" borderId="50" xfId="4" applyFont="1" applyFill="1" applyBorder="1" applyAlignment="1">
      <alignment horizontal="center" vertical="center"/>
    </xf>
    <xf numFmtId="43" fontId="39" fillId="0" borderId="0" xfId="4" applyFont="1" applyFill="1" applyBorder="1" applyAlignment="1">
      <alignment horizontal="right"/>
    </xf>
    <xf numFmtId="0" fontId="29" fillId="9" borderId="50" xfId="0" applyFont="1" applyFill="1" applyBorder="1" applyAlignment="1">
      <alignment vertical="center"/>
    </xf>
    <xf numFmtId="10" fontId="30" fillId="9" borderId="50" xfId="2" applyNumberFormat="1" applyFont="1" applyFill="1" applyBorder="1" applyAlignment="1">
      <alignment vertical="center"/>
    </xf>
    <xf numFmtId="0" fontId="38" fillId="0" borderId="0" xfId="0" applyFont="1" applyAlignment="1">
      <alignment horizontal="right"/>
    </xf>
    <xf numFmtId="0" fontId="38" fillId="0" borderId="0" xfId="0" applyFont="1"/>
    <xf numFmtId="9" fontId="38" fillId="0" borderId="0" xfId="0" applyNumberFormat="1" applyFont="1"/>
    <xf numFmtId="9" fontId="40" fillId="0" borderId="0" xfId="2" applyFont="1" applyFill="1" applyAlignment="1">
      <alignment horizontal="center"/>
    </xf>
    <xf numFmtId="0" fontId="37" fillId="0" borderId="0" xfId="0" applyFont="1" applyAlignment="1">
      <alignment horizontal="right" vertical="center"/>
    </xf>
    <xf numFmtId="4" fontId="37" fillId="0" borderId="0" xfId="4" applyNumberFormat="1" applyFont="1" applyFill="1" applyAlignment="1">
      <alignment vertical="center"/>
    </xf>
    <xf numFmtId="4" fontId="37" fillId="0" borderId="0" xfId="8" applyNumberFormat="1" applyFont="1" applyAlignment="1">
      <alignment horizontal="center" vertical="center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2" fillId="0" borderId="39" xfId="0" applyFont="1" applyBorder="1" applyAlignment="1">
      <alignment horizontal="right"/>
    </xf>
    <xf numFmtId="43" fontId="43" fillId="4" borderId="51" xfId="4" applyFont="1" applyFill="1" applyBorder="1" applyAlignment="1">
      <alignment horizontal="right"/>
    </xf>
    <xf numFmtId="43" fontId="43" fillId="0" borderId="0" xfId="4" applyFont="1" applyFill="1" applyBorder="1" applyAlignment="1">
      <alignment horizontal="right"/>
    </xf>
    <xf numFmtId="43" fontId="24" fillId="0" borderId="4" xfId="4" applyFont="1" applyFill="1" applyBorder="1" applyAlignment="1">
      <alignment vertical="center"/>
    </xf>
    <xf numFmtId="0" fontId="44" fillId="0" borderId="0" xfId="0" applyFont="1" applyAlignment="1">
      <alignment horizontal="left" vertical="center"/>
    </xf>
    <xf numFmtId="4" fontId="37" fillId="0" borderId="0" xfId="8" applyNumberFormat="1" applyFont="1" applyFill="1" applyAlignment="1">
      <alignment horizontal="center" vertical="center"/>
    </xf>
    <xf numFmtId="10" fontId="45" fillId="0" borderId="0" xfId="2" applyNumberFormat="1" applyFont="1" applyFill="1" applyAlignment="1">
      <alignment horizontal="right"/>
    </xf>
    <xf numFmtId="170" fontId="24" fillId="9" borderId="4" xfId="4" applyNumberFormat="1" applyFont="1" applyFill="1" applyBorder="1" applyAlignment="1">
      <alignment vertical="center"/>
    </xf>
    <xf numFmtId="4" fontId="29" fillId="0" borderId="0" xfId="0" applyNumberFormat="1" applyFont="1" applyAlignment="1">
      <alignment horizontal="center" vertical="center"/>
    </xf>
    <xf numFmtId="43" fontId="24" fillId="10" borderId="4" xfId="4" applyFont="1" applyFill="1" applyBorder="1" applyAlignment="1">
      <alignment vertical="center"/>
    </xf>
    <xf numFmtId="167" fontId="46" fillId="0" borderId="0" xfId="0" applyNumberFormat="1" applyFont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30" fillId="9" borderId="52" xfId="0" applyFont="1" applyFill="1" applyBorder="1" applyAlignment="1">
      <alignment vertical="center"/>
    </xf>
    <xf numFmtId="0" fontId="48" fillId="0" borderId="0" xfId="0" applyFont="1" applyAlignment="1">
      <alignment vertical="center"/>
    </xf>
    <xf numFmtId="2" fontId="45" fillId="0" borderId="0" xfId="4" applyNumberFormat="1" applyFont="1" applyFill="1" applyBorder="1" applyAlignment="1">
      <alignment horizontal="center"/>
    </xf>
    <xf numFmtId="2" fontId="42" fillId="0" borderId="0" xfId="4" applyNumberFormat="1" applyFont="1" applyFill="1" applyBorder="1" applyAlignment="1">
      <alignment horizontal="center"/>
    </xf>
    <xf numFmtId="0" fontId="29" fillId="9" borderId="52" xfId="0" applyFont="1" applyFill="1" applyBorder="1" applyAlignment="1">
      <alignment vertical="center"/>
    </xf>
    <xf numFmtId="10" fontId="29" fillId="0" borderId="0" xfId="2" applyNumberFormat="1" applyFont="1" applyFill="1" applyAlignment="1">
      <alignment vertical="center"/>
    </xf>
    <xf numFmtId="4" fontId="29" fillId="0" borderId="0" xfId="4" applyNumberFormat="1" applyFont="1" applyFill="1" applyAlignment="1">
      <alignment vertical="center"/>
    </xf>
    <xf numFmtId="43" fontId="43" fillId="9" borderId="12" xfId="4" applyFont="1" applyFill="1" applyBorder="1" applyAlignment="1">
      <alignment horizontal="right"/>
    </xf>
    <xf numFmtId="0" fontId="24" fillId="9" borderId="13" xfId="0" applyFont="1" applyFill="1" applyBorder="1" applyAlignment="1">
      <alignment horizontal="right" vertical="center"/>
    </xf>
    <xf numFmtId="10" fontId="49" fillId="0" borderId="0" xfId="4" applyNumberFormat="1" applyFont="1" applyFill="1" applyAlignment="1">
      <alignment vertical="center"/>
    </xf>
    <xf numFmtId="10" fontId="30" fillId="0" borderId="0" xfId="2" applyNumberFormat="1" applyFont="1" applyFill="1" applyBorder="1" applyAlignment="1">
      <alignment vertical="center"/>
    </xf>
    <xf numFmtId="167" fontId="50" fillId="0" borderId="0" xfId="0" applyNumberFormat="1" applyFont="1" applyAlignment="1">
      <alignment horizontal="center" vertical="center"/>
    </xf>
    <xf numFmtId="0" fontId="29" fillId="5" borderId="51" xfId="0" applyFont="1" applyFill="1" applyBorder="1" applyAlignment="1">
      <alignment horizontal="center" vertical="center"/>
    </xf>
    <xf numFmtId="43" fontId="51" fillId="0" borderId="0" xfId="4" applyFont="1" applyFill="1" applyAlignment="1">
      <alignment vertical="center"/>
    </xf>
    <xf numFmtId="4" fontId="52" fillId="0" borderId="0" xfId="8" applyNumberFormat="1" applyFont="1" applyFill="1" applyAlignment="1">
      <alignment horizontal="center" vertical="center" wrapText="1"/>
    </xf>
    <xf numFmtId="9" fontId="29" fillId="0" borderId="0" xfId="4" applyNumberFormat="1" applyFont="1" applyFill="1" applyAlignment="1">
      <alignment vertical="center"/>
    </xf>
    <xf numFmtId="0" fontId="3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/>
    </xf>
    <xf numFmtId="4" fontId="36" fillId="0" borderId="0" xfId="4" applyNumberFormat="1" applyFont="1" applyFill="1" applyAlignment="1">
      <alignment vertical="center"/>
    </xf>
    <xf numFmtId="4" fontId="24" fillId="12" borderId="51" xfId="4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43" fontId="25" fillId="0" borderId="0" xfId="4" applyFont="1" applyFill="1" applyAlignment="1">
      <alignment vertical="center"/>
    </xf>
    <xf numFmtId="9" fontId="25" fillId="0" borderId="0" xfId="4" applyNumberFormat="1" applyFont="1" applyFill="1" applyAlignment="1">
      <alignment vertical="center"/>
    </xf>
    <xf numFmtId="4" fontId="24" fillId="0" borderId="0" xfId="4" applyNumberFormat="1" applyFont="1" applyFill="1" applyAlignment="1">
      <alignment horizontal="center" vertical="center"/>
    </xf>
    <xf numFmtId="10" fontId="46" fillId="0" borderId="0" xfId="2" applyNumberFormat="1" applyFont="1" applyFill="1" applyAlignment="1">
      <alignment vertical="center"/>
    </xf>
    <xf numFmtId="43" fontId="46" fillId="0" borderId="0" xfId="4" applyFont="1" applyFill="1" applyBorder="1" applyAlignment="1">
      <alignment vertical="center"/>
    </xf>
    <xf numFmtId="4" fontId="29" fillId="0" borderId="0" xfId="0" applyNumberFormat="1" applyFont="1" applyAlignment="1">
      <alignment horizontal="center"/>
    </xf>
    <xf numFmtId="43" fontId="29" fillId="0" borderId="0" xfId="4" applyFont="1" applyFill="1" applyBorder="1"/>
    <xf numFmtId="10" fontId="46" fillId="0" borderId="0" xfId="2" applyNumberFormat="1" applyFont="1" applyFill="1" applyBorder="1" applyAlignment="1">
      <alignment vertical="center"/>
    </xf>
    <xf numFmtId="0" fontId="46" fillId="0" borderId="0" xfId="0" applyFont="1" applyAlignment="1">
      <alignment horizontal="right"/>
    </xf>
    <xf numFmtId="43" fontId="29" fillId="0" borderId="0" xfId="4" applyFont="1" applyFill="1" applyBorder="1" applyAlignment="1">
      <alignment horizontal="center"/>
    </xf>
    <xf numFmtId="9" fontId="55" fillId="0" borderId="0" xfId="0" applyNumberFormat="1" applyFont="1" applyAlignment="1">
      <alignment horizontal="left"/>
    </xf>
    <xf numFmtId="4" fontId="24" fillId="0" borderId="0" xfId="0" applyNumberFormat="1" applyFont="1" applyAlignment="1">
      <alignment horizontal="center"/>
    </xf>
    <xf numFmtId="167" fontId="24" fillId="0" borderId="0" xfId="0" applyNumberFormat="1" applyFont="1"/>
    <xf numFmtId="43" fontId="13" fillId="0" borderId="6" xfId="4" applyFont="1" applyBorder="1" applyAlignment="1">
      <alignment horizontal="center" wrapText="1"/>
    </xf>
    <xf numFmtId="0" fontId="16" fillId="2" borderId="0" xfId="0" applyFont="1" applyFill="1"/>
    <xf numFmtId="0" fontId="16" fillId="2" borderId="25" xfId="3" applyFont="1" applyFill="1" applyBorder="1" applyAlignment="1">
      <alignment horizontal="right"/>
    </xf>
    <xf numFmtId="0" fontId="16" fillId="2" borderId="30" xfId="3" applyFont="1" applyFill="1" applyBorder="1" applyAlignment="1">
      <alignment horizontal="right"/>
    </xf>
    <xf numFmtId="14" fontId="58" fillId="2" borderId="13" xfId="3" applyNumberFormat="1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1" fontId="18" fillId="3" borderId="1" xfId="0" applyNumberFormat="1" applyFont="1" applyFill="1" applyBorder="1" applyAlignment="1">
      <alignment horizontal="center"/>
    </xf>
    <xf numFmtId="1" fontId="18" fillId="3" borderId="1" xfId="0" applyNumberFormat="1" applyFont="1" applyFill="1" applyBorder="1" applyAlignment="1">
      <alignment horizontal="center" wrapText="1"/>
    </xf>
    <xf numFmtId="0" fontId="18" fillId="3" borderId="9" xfId="0" applyFont="1" applyFill="1" applyBorder="1" applyAlignment="1">
      <alignment horizontal="center"/>
    </xf>
    <xf numFmtId="0" fontId="59" fillId="0" borderId="41" xfId="0" applyFont="1" applyBorder="1" applyAlignment="1">
      <alignment horizontal="center" vertical="center"/>
    </xf>
    <xf numFmtId="0" fontId="59" fillId="0" borderId="8" xfId="0" applyFont="1" applyBorder="1" applyAlignment="1">
      <alignment horizontal="center" vertical="center"/>
    </xf>
    <xf numFmtId="0" fontId="22" fillId="0" borderId="4" xfId="0" applyFont="1" applyBorder="1"/>
    <xf numFmtId="0" fontId="18" fillId="5" borderId="5" xfId="0" applyFont="1" applyFill="1" applyBorder="1" applyAlignment="1">
      <alignment horizontal="center"/>
    </xf>
    <xf numFmtId="49" fontId="29" fillId="0" borderId="4" xfId="5" applyNumberFormat="1" applyFont="1" applyBorder="1"/>
    <xf numFmtId="16" fontId="20" fillId="0" borderId="4" xfId="5" applyNumberFormat="1" applyFont="1" applyBorder="1" applyAlignment="1">
      <alignment horizontal="center"/>
    </xf>
    <xf numFmtId="1" fontId="20" fillId="0" borderId="4" xfId="5" applyNumberFormat="1" applyFont="1" applyBorder="1" applyAlignment="1">
      <alignment horizontal="center" wrapText="1"/>
    </xf>
    <xf numFmtId="0" fontId="16" fillId="0" borderId="41" xfId="0" quotePrefix="1" applyFont="1" applyBorder="1" applyAlignment="1">
      <alignment horizontal="right"/>
    </xf>
    <xf numFmtId="0" fontId="16" fillId="0" borderId="8" xfId="0" quotePrefix="1" applyFont="1" applyBorder="1" applyAlignment="1">
      <alignment horizontal="right"/>
    </xf>
    <xf numFmtId="0" fontId="20" fillId="0" borderId="4" xfId="0" applyFont="1" applyBorder="1"/>
    <xf numFmtId="0" fontId="16" fillId="0" borderId="5" xfId="0" applyFont="1" applyBorder="1" applyAlignment="1">
      <alignment horizontal="center"/>
    </xf>
    <xf numFmtId="49" fontId="26" fillId="2" borderId="10" xfId="0" applyNumberFormat="1" applyFont="1" applyFill="1" applyBorder="1" applyAlignment="1">
      <alignment horizontal="center" vertical="center"/>
    </xf>
    <xf numFmtId="49" fontId="26" fillId="2" borderId="0" xfId="0" applyNumberFormat="1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64" fontId="16" fillId="2" borderId="0" xfId="0" applyNumberFormat="1" applyFont="1" applyFill="1" applyAlignment="1">
      <alignment horizontal="center" wrapText="1"/>
    </xf>
    <xf numFmtId="0" fontId="16" fillId="2" borderId="39" xfId="0" applyFont="1" applyFill="1" applyBorder="1" applyAlignment="1">
      <alignment horizontal="center"/>
    </xf>
    <xf numFmtId="0" fontId="16" fillId="2" borderId="0" xfId="0" applyFont="1" applyFill="1" applyAlignment="1">
      <alignment horizontal="left" indent="1"/>
    </xf>
    <xf numFmtId="0" fontId="16" fillId="3" borderId="11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3" borderId="12" xfId="0" applyFont="1" applyFill="1" applyBorder="1"/>
    <xf numFmtId="0" fontId="18" fillId="3" borderId="12" xfId="0" applyFont="1" applyFill="1" applyBorder="1" applyAlignment="1">
      <alignment horizontal="center"/>
    </xf>
    <xf numFmtId="1" fontId="18" fillId="3" borderId="12" xfId="0" applyNumberFormat="1" applyFont="1" applyFill="1" applyBorder="1" applyAlignment="1">
      <alignment horizontal="center"/>
    </xf>
    <xf numFmtId="164" fontId="16" fillId="3" borderId="12" xfId="0" applyNumberFormat="1" applyFont="1" applyFill="1" applyBorder="1" applyAlignment="1">
      <alignment horizontal="center" wrapText="1"/>
    </xf>
    <xf numFmtId="0" fontId="16" fillId="3" borderId="13" xfId="0" applyFont="1" applyFill="1" applyBorder="1" applyAlignment="1">
      <alignment horizontal="center"/>
    </xf>
    <xf numFmtId="1" fontId="16" fillId="0" borderId="6" xfId="0" applyNumberFormat="1" applyFont="1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164" fontId="16" fillId="0" borderId="4" xfId="0" applyNumberFormat="1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164" fontId="16" fillId="0" borderId="15" xfId="0" applyNumberFormat="1" applyFont="1" applyBorder="1"/>
    <xf numFmtId="164" fontId="16" fillId="0" borderId="19" xfId="0" applyNumberFormat="1" applyFont="1" applyBorder="1"/>
    <xf numFmtId="9" fontId="16" fillId="2" borderId="0" xfId="2" applyFont="1" applyFill="1"/>
    <xf numFmtId="0" fontId="61" fillId="14" borderId="10" xfId="5" applyFont="1" applyFill="1" applyBorder="1" applyAlignment="1">
      <alignment vertical="center"/>
    </xf>
    <xf numFmtId="0" fontId="61" fillId="14" borderId="0" xfId="5" applyFont="1" applyFill="1" applyAlignment="1">
      <alignment vertical="center"/>
    </xf>
    <xf numFmtId="0" fontId="5" fillId="2" borderId="2" xfId="3" applyFont="1" applyFill="1" applyBorder="1" applyAlignment="1">
      <alignment horizontal="right"/>
    </xf>
    <xf numFmtId="0" fontId="8" fillId="2" borderId="3" xfId="3" applyFont="1" applyFill="1" applyBorder="1" applyAlignment="1">
      <alignment horizontal="center"/>
    </xf>
    <xf numFmtId="0" fontId="5" fillId="2" borderId="4" xfId="3" applyFont="1" applyFill="1" applyBorder="1" applyAlignment="1">
      <alignment horizontal="right"/>
    </xf>
    <xf numFmtId="49" fontId="8" fillId="2" borderId="5" xfId="3" applyNumberFormat="1" applyFont="1" applyFill="1" applyBorder="1" applyAlignment="1">
      <alignment horizontal="center"/>
    </xf>
    <xf numFmtId="0" fontId="8" fillId="2" borderId="6" xfId="3" applyFont="1" applyFill="1" applyBorder="1" applyAlignment="1">
      <alignment horizontal="right"/>
    </xf>
    <xf numFmtId="0" fontId="8" fillId="2" borderId="4" xfId="3" applyFont="1" applyFill="1" applyBorder="1" applyAlignment="1">
      <alignment horizontal="right"/>
    </xf>
    <xf numFmtId="0" fontId="62" fillId="0" borderId="41" xfId="5" applyFont="1" applyBorder="1" applyAlignment="1">
      <alignment horizontal="center" vertical="center"/>
    </xf>
    <xf numFmtId="0" fontId="62" fillId="0" borderId="8" xfId="5" applyFont="1" applyBorder="1" applyAlignment="1">
      <alignment horizontal="center" vertical="center"/>
    </xf>
    <xf numFmtId="0" fontId="63" fillId="0" borderId="4" xfId="5" applyFont="1" applyBorder="1" applyAlignment="1">
      <alignment vertical="center"/>
    </xf>
    <xf numFmtId="0" fontId="62" fillId="0" borderId="4" xfId="5" applyFont="1" applyBorder="1" applyAlignment="1">
      <alignment horizontal="center" vertical="center"/>
    </xf>
    <xf numFmtId="1" fontId="62" fillId="0" borderId="4" xfId="5" applyNumberFormat="1" applyFont="1" applyBorder="1" applyAlignment="1">
      <alignment horizontal="center"/>
    </xf>
    <xf numFmtId="1" fontId="62" fillId="0" borderId="4" xfId="5" applyNumberFormat="1" applyFont="1" applyBorder="1" applyAlignment="1">
      <alignment horizontal="center" wrapText="1"/>
    </xf>
    <xf numFmtId="0" fontId="64" fillId="0" borderId="5" xfId="5" applyFont="1" applyBorder="1" applyAlignment="1">
      <alignment horizontal="center"/>
    </xf>
    <xf numFmtId="0" fontId="65" fillId="0" borderId="4" xfId="0" applyFont="1" applyBorder="1" applyAlignment="1">
      <alignment horizontal="center" vertical="center"/>
    </xf>
    <xf numFmtId="0" fontId="65" fillId="0" borderId="4" xfId="0" applyFont="1" applyBorder="1" applyAlignment="1">
      <alignment horizontal="left" vertical="center"/>
    </xf>
    <xf numFmtId="0" fontId="64" fillId="0" borderId="6" xfId="0" applyFont="1" applyBorder="1" applyAlignment="1">
      <alignment horizontal="center"/>
    </xf>
    <xf numFmtId="1" fontId="64" fillId="0" borderId="6" xfId="0" applyNumberFormat="1" applyFont="1" applyBorder="1" applyAlignment="1">
      <alignment horizontal="center"/>
    </xf>
    <xf numFmtId="1" fontId="64" fillId="0" borderId="6" xfId="0" applyNumberFormat="1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12" fontId="8" fillId="0" borderId="6" xfId="0" applyNumberFormat="1" applyFont="1" applyBorder="1" applyAlignment="1">
      <alignment horizontal="center"/>
    </xf>
    <xf numFmtId="0" fontId="64" fillId="0" borderId="4" xfId="0" applyFont="1" applyBorder="1" applyAlignment="1">
      <alignment horizontal="center"/>
    </xf>
    <xf numFmtId="1" fontId="64" fillId="0" borderId="4" xfId="0" applyNumberFormat="1" applyFont="1" applyBorder="1" applyAlignment="1">
      <alignment horizontal="center"/>
    </xf>
    <xf numFmtId="1" fontId="64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0" fontId="66" fillId="0" borderId="4" xfId="0" applyFont="1" applyBorder="1" applyAlignment="1">
      <alignment horizontal="center"/>
    </xf>
    <xf numFmtId="0" fontId="66" fillId="0" borderId="4" xfId="0" applyFont="1" applyBorder="1" applyAlignment="1">
      <alignment horizontal="left"/>
    </xf>
    <xf numFmtId="0" fontId="62" fillId="0" borderId="4" xfId="0" applyFont="1" applyBorder="1"/>
    <xf numFmtId="0" fontId="66" fillId="0" borderId="4" xfId="0" applyFont="1" applyBorder="1"/>
    <xf numFmtId="1" fontId="66" fillId="0" borderId="4" xfId="0" applyNumberFormat="1" applyFont="1" applyBorder="1"/>
    <xf numFmtId="0" fontId="8" fillId="5" borderId="4" xfId="5" applyFont="1" applyFill="1" applyBorder="1" applyAlignment="1">
      <alignment horizontal="center"/>
    </xf>
    <xf numFmtId="49" fontId="64" fillId="0" borderId="41" xfId="5" applyNumberFormat="1" applyFont="1" applyBorder="1" applyAlignment="1">
      <alignment horizontal="center"/>
    </xf>
    <xf numFmtId="49" fontId="64" fillId="0" borderId="8" xfId="5" applyNumberFormat="1" applyFont="1" applyBorder="1" applyAlignment="1">
      <alignment horizontal="center"/>
    </xf>
    <xf numFmtId="0" fontId="62" fillId="5" borderId="4" xfId="5" applyFont="1" applyFill="1" applyBorder="1" applyAlignment="1">
      <alignment horizontal="left"/>
    </xf>
    <xf numFmtId="0" fontId="64" fillId="0" borderId="4" xfId="5" applyFont="1" applyBorder="1" applyAlignment="1">
      <alignment horizontal="center"/>
    </xf>
    <xf numFmtId="165" fontId="64" fillId="0" borderId="4" xfId="5" applyNumberFormat="1" applyFont="1" applyBorder="1" applyAlignment="1">
      <alignment horizontal="center"/>
    </xf>
    <xf numFmtId="1" fontId="64" fillId="0" borderId="4" xfId="5" applyNumberFormat="1" applyFont="1" applyBorder="1" applyAlignment="1">
      <alignment horizontal="center" wrapText="1"/>
    </xf>
    <xf numFmtId="0" fontId="67" fillId="5" borderId="41" xfId="0" applyFont="1" applyFill="1" applyBorder="1" applyAlignment="1">
      <alignment horizontal="center"/>
    </xf>
    <xf numFmtId="0" fontId="67" fillId="5" borderId="25" xfId="0" applyFont="1" applyFill="1" applyBorder="1" applyAlignment="1">
      <alignment horizontal="center"/>
    </xf>
    <xf numFmtId="0" fontId="67" fillId="5" borderId="6" xfId="0" applyFont="1" applyFill="1" applyBorder="1"/>
    <xf numFmtId="0" fontId="8" fillId="5" borderId="8" xfId="0" applyFont="1" applyFill="1" applyBorder="1" applyAlignment="1">
      <alignment horizontal="center"/>
    </xf>
    <xf numFmtId="1" fontId="8" fillId="5" borderId="6" xfId="0" applyNumberFormat="1" applyFont="1" applyFill="1" applyBorder="1" applyAlignment="1">
      <alignment horizontal="center"/>
    </xf>
    <xf numFmtId="1" fontId="8" fillId="5" borderId="6" xfId="0" applyNumberFormat="1" applyFont="1" applyFill="1" applyBorder="1" applyAlignment="1">
      <alignment horizontal="center" wrapText="1"/>
    </xf>
    <xf numFmtId="49" fontId="8" fillId="5" borderId="6" xfId="0" applyNumberFormat="1" applyFont="1" applyFill="1" applyBorder="1" applyAlignment="1">
      <alignment horizontal="center"/>
    </xf>
    <xf numFmtId="1" fontId="8" fillId="5" borderId="4" xfId="5" applyNumberFormat="1" applyFont="1" applyFill="1" applyBorder="1" applyAlignment="1">
      <alignment horizontal="center"/>
    </xf>
    <xf numFmtId="1" fontId="8" fillId="5" borderId="4" xfId="5" applyNumberFormat="1" applyFont="1" applyFill="1" applyBorder="1" applyAlignment="1">
      <alignment horizontal="center" wrapText="1"/>
    </xf>
    <xf numFmtId="16" fontId="8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 wrapText="1"/>
    </xf>
    <xf numFmtId="49" fontId="62" fillId="0" borderId="17" xfId="5" applyNumberFormat="1" applyFont="1" applyBorder="1" applyAlignment="1">
      <alignment horizontal="center"/>
    </xf>
    <xf numFmtId="49" fontId="62" fillId="0" borderId="18" xfId="5" applyNumberFormat="1" applyFont="1" applyBorder="1" applyAlignment="1">
      <alignment horizontal="center"/>
    </xf>
    <xf numFmtId="0" fontId="63" fillId="5" borderId="4" xfId="5" applyFont="1" applyFill="1" applyBorder="1" applyAlignment="1">
      <alignment vertical="center"/>
    </xf>
    <xf numFmtId="0" fontId="62" fillId="0" borderId="8" xfId="5" applyFont="1" applyBorder="1" applyAlignment="1">
      <alignment horizontal="center"/>
    </xf>
    <xf numFmtId="165" fontId="62" fillId="0" borderId="4" xfId="5" applyNumberFormat="1" applyFont="1" applyBorder="1" applyAlignment="1">
      <alignment horizontal="center"/>
    </xf>
    <xf numFmtId="0" fontId="66" fillId="0" borderId="0" xfId="0" applyFont="1"/>
    <xf numFmtId="49" fontId="64" fillId="0" borderId="41" xfId="0" applyNumberFormat="1" applyFont="1" applyBorder="1" applyAlignment="1">
      <alignment horizontal="center"/>
    </xf>
    <xf numFmtId="49" fontId="64" fillId="0" borderId="8" xfId="0" applyNumberFormat="1" applyFont="1" applyBorder="1" applyAlignment="1">
      <alignment horizontal="center"/>
    </xf>
    <xf numFmtId="49" fontId="62" fillId="0" borderId="4" xfId="0" applyNumberFormat="1" applyFont="1" applyBorder="1"/>
    <xf numFmtId="166" fontId="5" fillId="5" borderId="4" xfId="4" applyNumberFormat="1" applyFont="1" applyFill="1" applyBorder="1" applyAlignment="1">
      <alignment horizontal="center"/>
    </xf>
    <xf numFmtId="0" fontId="65" fillId="0" borderId="41" xfId="0" applyFont="1" applyBorder="1" applyAlignment="1">
      <alignment horizontal="center"/>
    </xf>
    <xf numFmtId="0" fontId="65" fillId="0" borderId="8" xfId="0" applyFont="1" applyBorder="1" applyAlignment="1">
      <alignment horizontal="center"/>
    </xf>
    <xf numFmtId="0" fontId="65" fillId="0" borderId="4" xfId="0" applyFont="1" applyBorder="1"/>
    <xf numFmtId="0" fontId="66" fillId="0" borderId="4" xfId="0" applyFont="1" applyBorder="1" applyAlignment="1">
      <alignment horizontal="center" vertical="center"/>
    </xf>
    <xf numFmtId="0" fontId="66" fillId="0" borderId="4" xfId="0" applyFont="1" applyBorder="1" applyAlignment="1">
      <alignment horizontal="left" vertical="center"/>
    </xf>
    <xf numFmtId="12" fontId="64" fillId="0" borderId="4" xfId="5" applyNumberFormat="1" applyFont="1" applyBorder="1" applyAlignment="1">
      <alignment horizontal="center"/>
    </xf>
    <xf numFmtId="1" fontId="64" fillId="0" borderId="4" xfId="5" applyNumberFormat="1" applyFont="1" applyBorder="1" applyAlignment="1">
      <alignment horizontal="center"/>
    </xf>
    <xf numFmtId="0" fontId="8" fillId="0" borderId="4" xfId="0" quotePrefix="1" applyFont="1" applyBorder="1" applyAlignment="1">
      <alignment horizontal="center"/>
    </xf>
    <xf numFmtId="0" fontId="8" fillId="0" borderId="4" xfId="0" quotePrefix="1" applyFont="1" applyBorder="1"/>
    <xf numFmtId="49" fontId="64" fillId="0" borderId="4" xfId="0" applyNumberFormat="1" applyFont="1" applyBorder="1" applyAlignment="1">
      <alignment horizontal="center"/>
    </xf>
    <xf numFmtId="49" fontId="64" fillId="0" borderId="4" xfId="0" applyNumberFormat="1" applyFont="1" applyBorder="1"/>
    <xf numFmtId="16" fontId="64" fillId="0" borderId="4" xfId="0" applyNumberFormat="1" applyFont="1" applyBorder="1" applyAlignment="1">
      <alignment horizontal="center"/>
    </xf>
    <xf numFmtId="49" fontId="64" fillId="0" borderId="4" xfId="5" applyNumberFormat="1" applyFont="1" applyBorder="1"/>
    <xf numFmtId="49" fontId="68" fillId="2" borderId="10" xfId="5" applyNumberFormat="1" applyFont="1" applyFill="1" applyBorder="1" applyAlignment="1">
      <alignment horizontal="center" vertical="center"/>
    </xf>
    <xf numFmtId="49" fontId="68" fillId="2" borderId="0" xfId="5" applyNumberFormat="1" applyFont="1" applyFill="1" applyAlignment="1">
      <alignment horizontal="center" vertical="center"/>
    </xf>
    <xf numFmtId="0" fontId="8" fillId="2" borderId="0" xfId="5" applyFont="1" applyFill="1"/>
    <xf numFmtId="1" fontId="8" fillId="2" borderId="0" xfId="5" applyNumberFormat="1" applyFont="1" applyFill="1" applyAlignment="1">
      <alignment horizontal="center"/>
    </xf>
    <xf numFmtId="164" fontId="8" fillId="2" borderId="0" xfId="5" applyNumberFormat="1" applyFont="1" applyFill="1" applyAlignment="1">
      <alignment horizontal="center" wrapText="1"/>
    </xf>
    <xf numFmtId="0" fontId="8" fillId="2" borderId="39" xfId="5" applyFont="1" applyFill="1" applyBorder="1" applyAlignment="1">
      <alignment horizontal="center"/>
    </xf>
    <xf numFmtId="0" fontId="8" fillId="3" borderId="11" xfId="5" applyFont="1" applyFill="1" applyBorder="1" applyAlignment="1">
      <alignment horizontal="center"/>
    </xf>
    <xf numFmtId="0" fontId="8" fillId="3" borderId="12" xfId="5" applyFont="1" applyFill="1" applyBorder="1" applyAlignment="1">
      <alignment horizontal="center"/>
    </xf>
    <xf numFmtId="0" fontId="8" fillId="3" borderId="12" xfId="5" applyFont="1" applyFill="1" applyBorder="1"/>
    <xf numFmtId="0" fontId="5" fillId="3" borderId="12" xfId="5" applyFont="1" applyFill="1" applyBorder="1" applyAlignment="1">
      <alignment horizontal="center"/>
    </xf>
    <xf numFmtId="1" fontId="5" fillId="3" borderId="12" xfId="5" applyNumberFormat="1" applyFont="1" applyFill="1" applyBorder="1" applyAlignment="1">
      <alignment horizontal="center"/>
    </xf>
    <xf numFmtId="164" fontId="8" fillId="3" borderId="12" xfId="5" applyNumberFormat="1" applyFont="1" applyFill="1" applyBorder="1" applyAlignment="1">
      <alignment horizontal="center" wrapText="1"/>
    </xf>
    <xf numFmtId="0" fontId="8" fillId="3" borderId="13" xfId="5" applyFont="1" applyFill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7" fillId="2" borderId="2" xfId="1" applyFont="1" applyFill="1" applyBorder="1" applyAlignment="1">
      <alignment horizontal="right"/>
    </xf>
    <xf numFmtId="0" fontId="69" fillId="2" borderId="3" xfId="1" applyFont="1" applyFill="1" applyBorder="1" applyAlignment="1">
      <alignment horizontal="center"/>
    </xf>
    <xf numFmtId="0" fontId="17" fillId="2" borderId="4" xfId="1" applyFont="1" applyFill="1" applyBorder="1" applyAlignment="1">
      <alignment horizontal="right"/>
    </xf>
    <xf numFmtId="49" fontId="69" fillId="2" borderId="5" xfId="1" applyNumberFormat="1" applyFont="1" applyFill="1" applyBorder="1" applyAlignment="1">
      <alignment horizontal="center"/>
    </xf>
    <xf numFmtId="0" fontId="69" fillId="2" borderId="6" xfId="1" applyFont="1" applyFill="1" applyBorder="1" applyAlignment="1">
      <alignment horizontal="right"/>
    </xf>
    <xf numFmtId="0" fontId="69" fillId="2" borderId="4" xfId="1" applyFont="1" applyFill="1" applyBorder="1" applyAlignment="1">
      <alignment horizontal="right"/>
    </xf>
    <xf numFmtId="14" fontId="71" fillId="2" borderId="0" xfId="3" applyNumberFormat="1" applyFont="1" applyFill="1" applyAlignment="1">
      <alignment horizontal="center" vertical="center" wrapText="1"/>
    </xf>
    <xf numFmtId="0" fontId="17" fillId="3" borderId="3" xfId="5" applyFont="1" applyFill="1" applyBorder="1" applyAlignment="1">
      <alignment horizontal="center" vertical="center" wrapText="1"/>
    </xf>
    <xf numFmtId="1" fontId="17" fillId="3" borderId="1" xfId="5" applyNumberFormat="1" applyFont="1" applyFill="1" applyBorder="1" applyAlignment="1">
      <alignment horizontal="center"/>
    </xf>
    <xf numFmtId="1" fontId="17" fillId="3" borderId="1" xfId="5" applyNumberFormat="1" applyFont="1" applyFill="1" applyBorder="1" applyAlignment="1">
      <alignment horizontal="center" wrapText="1"/>
    </xf>
    <xf numFmtId="0" fontId="17" fillId="3" borderId="22" xfId="5" applyFont="1" applyFill="1" applyBorder="1" applyAlignment="1">
      <alignment horizontal="center"/>
    </xf>
    <xf numFmtId="0" fontId="22" fillId="0" borderId="41" xfId="5" applyFont="1" applyBorder="1" applyAlignment="1">
      <alignment horizontal="center" vertical="center"/>
    </xf>
    <xf numFmtId="0" fontId="22" fillId="0" borderId="8" xfId="5" applyFont="1" applyBorder="1" applyAlignment="1">
      <alignment horizontal="center" vertical="center"/>
    </xf>
    <xf numFmtId="0" fontId="23" fillId="0" borderId="4" xfId="5" applyFont="1" applyBorder="1" applyAlignment="1">
      <alignment vertical="center"/>
    </xf>
    <xf numFmtId="0" fontId="22" fillId="0" borderId="4" xfId="5" applyFont="1" applyBorder="1" applyAlignment="1">
      <alignment horizontal="center" vertical="center"/>
    </xf>
    <xf numFmtId="1" fontId="22" fillId="0" borderId="4" xfId="5" applyNumberFormat="1" applyFont="1" applyBorder="1" applyAlignment="1">
      <alignment horizontal="center"/>
    </xf>
    <xf numFmtId="1" fontId="22" fillId="0" borderId="4" xfId="5" applyNumberFormat="1" applyFont="1" applyBorder="1" applyAlignment="1">
      <alignment horizontal="center" wrapText="1"/>
    </xf>
    <xf numFmtId="0" fontId="21" fillId="0" borderId="5" xfId="5" applyFont="1" applyBorder="1" applyAlignment="1">
      <alignment horizontal="center"/>
    </xf>
    <xf numFmtId="0" fontId="72" fillId="5" borderId="41" xfId="0" applyFont="1" applyFill="1" applyBorder="1" applyAlignment="1">
      <alignment horizontal="center"/>
    </xf>
    <xf numFmtId="0" fontId="72" fillId="5" borderId="4" xfId="0" applyFont="1" applyFill="1" applyBorder="1" applyAlignment="1">
      <alignment horizontal="center"/>
    </xf>
    <xf numFmtId="0" fontId="72" fillId="5" borderId="6" xfId="0" applyFont="1" applyFill="1" applyBorder="1"/>
    <xf numFmtId="0" fontId="69" fillId="5" borderId="8" xfId="0" applyFont="1" applyFill="1" applyBorder="1" applyAlignment="1">
      <alignment horizontal="center"/>
    </xf>
    <xf numFmtId="1" fontId="69" fillId="5" borderId="4" xfId="0" applyNumberFormat="1" applyFont="1" applyFill="1" applyBorder="1" applyAlignment="1">
      <alignment horizontal="center"/>
    </xf>
    <xf numFmtId="1" fontId="69" fillId="5" borderId="4" xfId="0" applyNumberFormat="1" applyFont="1" applyFill="1" applyBorder="1" applyAlignment="1">
      <alignment horizontal="center" wrapText="1"/>
    </xf>
    <xf numFmtId="0" fontId="69" fillId="0" borderId="6" xfId="0" applyFont="1" applyBorder="1" applyAlignment="1">
      <alignment horizontal="center" wrapText="1"/>
    </xf>
    <xf numFmtId="12" fontId="69" fillId="0" borderId="6" xfId="0" applyNumberFormat="1" applyFont="1" applyBorder="1" applyAlignment="1">
      <alignment horizontal="center"/>
    </xf>
    <xf numFmtId="0" fontId="72" fillId="5" borderId="8" xfId="0" applyFont="1" applyFill="1" applyBorder="1" applyAlignment="1">
      <alignment horizontal="center"/>
    </xf>
    <xf numFmtId="0" fontId="72" fillId="5" borderId="4" xfId="0" applyFont="1" applyFill="1" applyBorder="1"/>
    <xf numFmtId="1" fontId="69" fillId="5" borderId="6" xfId="0" applyNumberFormat="1" applyFont="1" applyFill="1" applyBorder="1" applyAlignment="1">
      <alignment horizontal="center"/>
    </xf>
    <xf numFmtId="1" fontId="69" fillId="5" borderId="6" xfId="0" applyNumberFormat="1" applyFont="1" applyFill="1" applyBorder="1" applyAlignment="1">
      <alignment horizontal="center" wrapText="1"/>
    </xf>
    <xf numFmtId="0" fontId="69" fillId="0" borderId="4" xfId="0" applyFont="1" applyBorder="1" applyAlignment="1">
      <alignment horizontal="center"/>
    </xf>
    <xf numFmtId="0" fontId="73" fillId="0" borderId="4" xfId="0" applyFont="1" applyBorder="1" applyAlignment="1">
      <alignment horizontal="center"/>
    </xf>
    <xf numFmtId="0" fontId="73" fillId="0" borderId="4" xfId="0" applyFont="1" applyBorder="1" applyAlignment="1">
      <alignment horizontal="center" vertical="center"/>
    </xf>
    <xf numFmtId="0" fontId="73" fillId="15" borderId="4" xfId="0" applyFont="1" applyFill="1" applyBorder="1"/>
    <xf numFmtId="0" fontId="69" fillId="0" borderId="4" xfId="0" applyFont="1" applyBorder="1" applyAlignment="1">
      <alignment horizontal="center" wrapText="1"/>
    </xf>
    <xf numFmtId="0" fontId="73" fillId="15" borderId="0" xfId="0" applyFont="1" applyFill="1" applyAlignment="1">
      <alignment horizontal="center"/>
    </xf>
    <xf numFmtId="0" fontId="73" fillId="15" borderId="0" xfId="0" applyFont="1" applyFill="1"/>
    <xf numFmtId="0" fontId="17" fillId="15" borderId="4" xfId="0" applyFont="1" applyFill="1" applyBorder="1" applyAlignment="1">
      <alignment horizontal="left"/>
    </xf>
    <xf numFmtId="0" fontId="69" fillId="0" borderId="6" xfId="0" applyFont="1" applyBorder="1" applyAlignment="1">
      <alignment horizontal="center"/>
    </xf>
    <xf numFmtId="0" fontId="73" fillId="15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16" fontId="21" fillId="0" borderId="8" xfId="0" applyNumberFormat="1" applyFont="1" applyBorder="1" applyAlignment="1">
      <alignment horizontal="center"/>
    </xf>
    <xf numFmtId="1" fontId="21" fillId="0" borderId="4" xfId="0" applyNumberFormat="1" applyFont="1" applyBorder="1" applyAlignment="1">
      <alignment horizontal="center"/>
    </xf>
    <xf numFmtId="1" fontId="21" fillId="0" borderId="4" xfId="0" applyNumberFormat="1" applyFont="1" applyBorder="1" applyAlignment="1">
      <alignment horizontal="center" wrapText="1"/>
    </xf>
    <xf numFmtId="49" fontId="21" fillId="0" borderId="41" xfId="5" applyNumberFormat="1" applyFont="1" applyBorder="1" applyAlignment="1">
      <alignment horizontal="center"/>
    </xf>
    <xf numFmtId="49" fontId="21" fillId="0" borderId="8" xfId="5" applyNumberFormat="1" applyFont="1" applyBorder="1" applyAlignment="1">
      <alignment horizontal="center"/>
    </xf>
    <xf numFmtId="0" fontId="21" fillId="0" borderId="4" xfId="5" applyFont="1" applyBorder="1" applyAlignment="1">
      <alignment horizontal="center"/>
    </xf>
    <xf numFmtId="165" fontId="21" fillId="0" borderId="4" xfId="5" applyNumberFormat="1" applyFont="1" applyBorder="1" applyAlignment="1">
      <alignment horizontal="center"/>
    </xf>
    <xf numFmtId="1" fontId="21" fillId="0" borderId="4" xfId="5" applyNumberFormat="1" applyFont="1" applyBorder="1" applyAlignment="1">
      <alignment horizontal="center" wrapText="1"/>
    </xf>
    <xf numFmtId="0" fontId="72" fillId="5" borderId="25" xfId="0" applyFont="1" applyFill="1" applyBorder="1" applyAlignment="1">
      <alignment horizontal="center"/>
    </xf>
    <xf numFmtId="49" fontId="22" fillId="0" borderId="17" xfId="5" applyNumberFormat="1" applyFont="1" applyBorder="1" applyAlignment="1">
      <alignment horizontal="center"/>
    </xf>
    <xf numFmtId="49" fontId="22" fillId="0" borderId="18" xfId="5" applyNumberFormat="1" applyFont="1" applyBorder="1" applyAlignment="1">
      <alignment horizontal="center"/>
    </xf>
    <xf numFmtId="0" fontId="22" fillId="0" borderId="8" xfId="5" applyFont="1" applyBorder="1" applyAlignment="1">
      <alignment horizontal="center"/>
    </xf>
    <xf numFmtId="165" fontId="22" fillId="0" borderId="4" xfId="5" applyNumberFormat="1" applyFont="1" applyBorder="1" applyAlignment="1">
      <alignment horizontal="center"/>
    </xf>
    <xf numFmtId="0" fontId="4" fillId="0" borderId="0" xfId="0" applyFont="1"/>
    <xf numFmtId="49" fontId="21" fillId="0" borderId="4" xfId="5" applyNumberFormat="1" applyFont="1" applyBorder="1" applyAlignment="1">
      <alignment horizontal="center"/>
    </xf>
    <xf numFmtId="49" fontId="21" fillId="0" borderId="4" xfId="5" applyNumberFormat="1" applyFont="1" applyBorder="1"/>
    <xf numFmtId="16" fontId="21" fillId="0" borderId="4" xfId="5" applyNumberFormat="1" applyFont="1" applyBorder="1" applyAlignment="1">
      <alignment horizontal="center"/>
    </xf>
    <xf numFmtId="1" fontId="69" fillId="0" borderId="6" xfId="5" applyNumberFormat="1" applyFont="1" applyBorder="1" applyAlignment="1">
      <alignment horizontal="center"/>
    </xf>
    <xf numFmtId="0" fontId="69" fillId="0" borderId="6" xfId="5" applyFont="1" applyBorder="1" applyAlignment="1">
      <alignment horizontal="center"/>
    </xf>
    <xf numFmtId="166" fontId="17" fillId="5" borderId="4" xfId="4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21" fillId="0" borderId="54" xfId="0" applyFont="1" applyBorder="1" applyAlignment="1">
      <alignment horizontal="center"/>
    </xf>
    <xf numFmtId="0" fontId="21" fillId="0" borderId="4" xfId="0" applyFont="1" applyBorder="1" applyAlignment="1">
      <alignment horizontal="center" wrapText="1"/>
    </xf>
    <xf numFmtId="1" fontId="4" fillId="0" borderId="4" xfId="0" applyNumberFormat="1" applyFont="1" applyBorder="1" applyAlignment="1">
      <alignment horizontal="left" vertical="center"/>
    </xf>
    <xf numFmtId="12" fontId="21" fillId="0" borderId="4" xfId="5" applyNumberFormat="1" applyFont="1" applyBorder="1" applyAlignment="1">
      <alignment horizontal="center"/>
    </xf>
    <xf numFmtId="0" fontId="21" fillId="5" borderId="41" xfId="0" applyFont="1" applyFill="1" applyBorder="1" applyAlignment="1">
      <alignment horizontal="center"/>
    </xf>
    <xf numFmtId="0" fontId="74" fillId="5" borderId="0" xfId="0" applyFont="1" applyFill="1" applyAlignment="1">
      <alignment horizontal="center"/>
    </xf>
    <xf numFmtId="1" fontId="21" fillId="5" borderId="4" xfId="0" applyNumberFormat="1" applyFont="1" applyFill="1" applyBorder="1"/>
    <xf numFmtId="0" fontId="21" fillId="5" borderId="4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 wrapText="1"/>
    </xf>
    <xf numFmtId="1" fontId="21" fillId="0" borderId="4" xfId="5" applyNumberFormat="1" applyFont="1" applyBorder="1" applyAlignment="1">
      <alignment horizontal="center"/>
    </xf>
    <xf numFmtId="49" fontId="75" fillId="2" borderId="10" xfId="5" applyNumberFormat="1" applyFont="1" applyFill="1" applyBorder="1" applyAlignment="1">
      <alignment horizontal="center" vertical="center"/>
    </xf>
    <xf numFmtId="49" fontId="75" fillId="2" borderId="0" xfId="5" applyNumberFormat="1" applyFont="1" applyFill="1" applyAlignment="1">
      <alignment horizontal="center" vertical="center"/>
    </xf>
    <xf numFmtId="0" fontId="69" fillId="2" borderId="0" xfId="5" applyFont="1" applyFill="1"/>
    <xf numFmtId="1" fontId="69" fillId="2" borderId="0" xfId="5" applyNumberFormat="1" applyFont="1" applyFill="1" applyAlignment="1">
      <alignment horizontal="center"/>
    </xf>
    <xf numFmtId="164" fontId="69" fillId="2" borderId="0" xfId="5" applyNumberFormat="1" applyFont="1" applyFill="1" applyAlignment="1">
      <alignment horizontal="center" wrapText="1"/>
    </xf>
    <xf numFmtId="0" fontId="69" fillId="2" borderId="39" xfId="5" applyFont="1" applyFill="1" applyBorder="1" applyAlignment="1">
      <alignment horizontal="center"/>
    </xf>
    <xf numFmtId="0" fontId="69" fillId="3" borderId="11" xfId="5" applyFont="1" applyFill="1" applyBorder="1" applyAlignment="1">
      <alignment horizontal="center"/>
    </xf>
    <xf numFmtId="0" fontId="69" fillId="3" borderId="12" xfId="5" applyFont="1" applyFill="1" applyBorder="1" applyAlignment="1">
      <alignment horizontal="center"/>
    </xf>
    <xf numFmtId="0" fontId="69" fillId="3" borderId="12" xfId="5" applyFont="1" applyFill="1" applyBorder="1"/>
    <xf numFmtId="0" fontId="17" fillId="3" borderId="12" xfId="5" applyFont="1" applyFill="1" applyBorder="1" applyAlignment="1">
      <alignment horizontal="center"/>
    </xf>
    <xf numFmtId="1" fontId="17" fillId="3" borderId="12" xfId="5" applyNumberFormat="1" applyFont="1" applyFill="1" applyBorder="1" applyAlignment="1">
      <alignment horizontal="center"/>
    </xf>
    <xf numFmtId="164" fontId="69" fillId="3" borderId="12" xfId="5" applyNumberFormat="1" applyFont="1" applyFill="1" applyBorder="1" applyAlignment="1">
      <alignment horizontal="center" wrapText="1"/>
    </xf>
    <xf numFmtId="0" fontId="69" fillId="3" borderId="13" xfId="5" applyFont="1" applyFill="1" applyBorder="1" applyAlignment="1">
      <alignment horizontal="center"/>
    </xf>
    <xf numFmtId="1" fontId="69" fillId="0" borderId="6" xfId="0" applyNumberFormat="1" applyFont="1" applyBorder="1" applyAlignment="1">
      <alignment horizontal="center"/>
    </xf>
    <xf numFmtId="0" fontId="69" fillId="0" borderId="14" xfId="0" applyFont="1" applyBorder="1" applyAlignment="1">
      <alignment horizontal="center"/>
    </xf>
    <xf numFmtId="1" fontId="69" fillId="0" borderId="4" xfId="0" applyNumberFormat="1" applyFont="1" applyBorder="1" applyAlignment="1">
      <alignment horizontal="center"/>
    </xf>
    <xf numFmtId="1" fontId="69" fillId="0" borderId="1" xfId="0" applyNumberFormat="1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1" fontId="13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 wrapText="1"/>
    </xf>
    <xf numFmtId="1" fontId="13" fillId="0" borderId="8" xfId="0" applyNumberFormat="1" applyFont="1" applyBorder="1"/>
    <xf numFmtId="0" fontId="13" fillId="0" borderId="8" xfId="0" applyFont="1" applyBorder="1" applyAlignment="1">
      <alignment horizontal="center"/>
    </xf>
    <xf numFmtId="49" fontId="13" fillId="0" borderId="41" xfId="0" applyNumberFormat="1" applyFont="1" applyBorder="1" applyAlignment="1">
      <alignment horizontal="center"/>
    </xf>
    <xf numFmtId="49" fontId="13" fillId="0" borderId="8" xfId="0" applyNumberFormat="1" applyFont="1" applyBorder="1" applyAlignment="1">
      <alignment horizontal="center"/>
    </xf>
    <xf numFmtId="49" fontId="11" fillId="0" borderId="4" xfId="0" applyNumberFormat="1" applyFont="1" applyBorder="1"/>
    <xf numFmtId="0" fontId="14" fillId="0" borderId="4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4" xfId="0" applyFont="1" applyBorder="1"/>
    <xf numFmtId="1" fontId="11" fillId="0" borderId="6" xfId="0" applyNumberFormat="1" applyFont="1" applyBorder="1" applyAlignment="1">
      <alignment horizontal="center"/>
    </xf>
    <xf numFmtId="49" fontId="18" fillId="7" borderId="5" xfId="3" applyNumberFormat="1" applyFont="1" applyFill="1" applyBorder="1" applyAlignment="1">
      <alignment horizontal="center"/>
    </xf>
    <xf numFmtId="1" fontId="11" fillId="0" borderId="15" xfId="5" applyNumberFormat="1" applyFont="1" applyBorder="1" applyAlignment="1">
      <alignment horizontal="center"/>
    </xf>
    <xf numFmtId="1" fontId="11" fillId="0" borderId="18" xfId="5" applyNumberFormat="1" applyFont="1" applyBorder="1" applyAlignment="1">
      <alignment horizontal="center"/>
    </xf>
    <xf numFmtId="1" fontId="11" fillId="0" borderId="19" xfId="5" applyNumberFormat="1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6" borderId="42" xfId="1" applyFont="1" applyFill="1" applyBorder="1" applyAlignment="1">
      <alignment horizontal="center"/>
    </xf>
    <xf numFmtId="0" fontId="11" fillId="6" borderId="38" xfId="1" applyFont="1" applyFill="1" applyBorder="1" applyAlignment="1">
      <alignment horizontal="center"/>
    </xf>
    <xf numFmtId="0" fontId="13" fillId="2" borderId="4" xfId="1" applyFont="1" applyFill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20" xfId="0" applyFont="1" applyBorder="1" applyAlignment="1">
      <alignment horizontal="left" wrapText="1"/>
    </xf>
    <xf numFmtId="0" fontId="13" fillId="0" borderId="25" xfId="0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1" fillId="0" borderId="24" xfId="5" applyFont="1" applyBorder="1" applyAlignment="1">
      <alignment horizontal="left" wrapText="1"/>
    </xf>
    <xf numFmtId="0" fontId="11" fillId="0" borderId="35" xfId="5" applyFont="1" applyBorder="1" applyAlignment="1">
      <alignment horizontal="left" wrapText="1"/>
    </xf>
    <xf numFmtId="0" fontId="11" fillId="0" borderId="26" xfId="5" applyFont="1" applyBorder="1" applyAlignment="1">
      <alignment horizontal="left" wrapText="1"/>
    </xf>
    <xf numFmtId="0" fontId="11" fillId="0" borderId="17" xfId="5" applyFont="1" applyBorder="1" applyAlignment="1">
      <alignment horizontal="right"/>
    </xf>
    <xf numFmtId="0" fontId="11" fillId="0" borderId="18" xfId="5" applyFont="1" applyBorder="1" applyAlignment="1">
      <alignment horizontal="right"/>
    </xf>
    <xf numFmtId="0" fontId="11" fillId="0" borderId="8" xfId="5" applyFont="1" applyBorder="1" applyAlignment="1">
      <alignment horizontal="right"/>
    </xf>
    <xf numFmtId="0" fontId="13" fillId="0" borderId="4" xfId="5" applyFont="1" applyBorder="1" applyAlignment="1">
      <alignment horizontal="right"/>
    </xf>
    <xf numFmtId="164" fontId="13" fillId="0" borderId="15" xfId="5" applyNumberFormat="1" applyFont="1" applyBorder="1" applyAlignment="1">
      <alignment horizontal="center"/>
    </xf>
    <xf numFmtId="164" fontId="13" fillId="0" borderId="19" xfId="5" applyNumberFormat="1" applyFont="1" applyBorder="1" applyAlignment="1">
      <alignment horizontal="center"/>
    </xf>
    <xf numFmtId="0" fontId="11" fillId="3" borderId="11" xfId="5" applyFont="1" applyFill="1" applyBorder="1" applyAlignment="1">
      <alignment horizontal="center"/>
    </xf>
    <xf numFmtId="0" fontId="11" fillId="3" borderId="12" xfId="5" applyFont="1" applyFill="1" applyBorder="1" applyAlignment="1">
      <alignment horizontal="center"/>
    </xf>
    <xf numFmtId="0" fontId="11" fillId="3" borderId="13" xfId="5" applyFont="1" applyFill="1" applyBorder="1" applyAlignment="1">
      <alignment horizontal="center"/>
    </xf>
    <xf numFmtId="0" fontId="11" fillId="0" borderId="24" xfId="5" applyFont="1" applyBorder="1" applyAlignment="1">
      <alignment horizontal="right"/>
    </xf>
    <xf numFmtId="0" fontId="11" fillId="0" borderId="35" xfId="5" applyFont="1" applyBorder="1" applyAlignment="1">
      <alignment horizontal="right"/>
    </xf>
    <xf numFmtId="0" fontId="11" fillId="0" borderId="25" xfId="5" applyFont="1" applyBorder="1" applyAlignment="1">
      <alignment horizontal="right"/>
    </xf>
    <xf numFmtId="164" fontId="13" fillId="0" borderId="6" xfId="5" applyNumberFormat="1" applyFont="1" applyBorder="1" applyAlignment="1">
      <alignment horizontal="right"/>
    </xf>
    <xf numFmtId="0" fontId="13" fillId="2" borderId="14" xfId="5" applyFont="1" applyFill="1" applyBorder="1" applyAlignment="1">
      <alignment horizontal="center"/>
    </xf>
    <xf numFmtId="0" fontId="13" fillId="2" borderId="26" xfId="5" applyFont="1" applyFill="1" applyBorder="1" applyAlignment="1">
      <alignment horizontal="center"/>
    </xf>
    <xf numFmtId="164" fontId="13" fillId="0" borderId="15" xfId="5" applyNumberFormat="1" applyFont="1" applyBorder="1" applyAlignment="1">
      <alignment horizontal="right" wrapText="1"/>
    </xf>
    <xf numFmtId="164" fontId="13" fillId="0" borderId="8" xfId="5" applyNumberFormat="1" applyFont="1" applyBorder="1" applyAlignment="1">
      <alignment horizontal="right" wrapText="1"/>
    </xf>
    <xf numFmtId="164" fontId="13" fillId="0" borderId="15" xfId="0" applyNumberFormat="1" applyFont="1" applyBorder="1" applyAlignment="1">
      <alignment horizontal="center" wrapText="1"/>
    </xf>
    <xf numFmtId="164" fontId="13" fillId="0" borderId="19" xfId="0" applyNumberFormat="1" applyFont="1" applyBorder="1" applyAlignment="1">
      <alignment horizontal="center" wrapText="1"/>
    </xf>
    <xf numFmtId="0" fontId="11" fillId="0" borderId="21" xfId="5" applyFont="1" applyBorder="1" applyAlignment="1">
      <alignment horizontal="right"/>
    </xf>
    <xf numFmtId="0" fontId="11" fillId="0" borderId="36" xfId="5" applyFont="1" applyBorder="1" applyAlignment="1">
      <alignment horizontal="right"/>
    </xf>
    <xf numFmtId="0" fontId="11" fillId="0" borderId="1" xfId="5" applyFont="1" applyBorder="1" applyAlignment="1">
      <alignment horizontal="right"/>
    </xf>
    <xf numFmtId="0" fontId="13" fillId="0" borderId="1" xfId="5" applyFont="1" applyBorder="1" applyAlignment="1">
      <alignment horizontal="right"/>
    </xf>
    <xf numFmtId="0" fontId="6" fillId="2" borderId="0" xfId="3" applyFont="1" applyFill="1" applyAlignment="1">
      <alignment horizontal="right"/>
    </xf>
    <xf numFmtId="0" fontId="9" fillId="2" borderId="34" xfId="3" applyFont="1" applyFill="1" applyBorder="1" applyAlignment="1">
      <alignment horizontal="center"/>
    </xf>
    <xf numFmtId="0" fontId="6" fillId="2" borderId="0" xfId="3" applyFont="1" applyFill="1"/>
    <xf numFmtId="0" fontId="5" fillId="3" borderId="27" xfId="5" applyFont="1" applyFill="1" applyBorder="1" applyAlignment="1">
      <alignment horizontal="center" vertical="center"/>
    </xf>
    <xf numFmtId="0" fontId="5" fillId="3" borderId="21" xfId="5" applyFont="1" applyFill="1" applyBorder="1" applyAlignment="1">
      <alignment horizontal="center" vertical="center"/>
    </xf>
    <xf numFmtId="0" fontId="5" fillId="3" borderId="27" xfId="5" applyFont="1" applyFill="1" applyBorder="1" applyAlignment="1">
      <alignment horizontal="center" vertical="center" wrapText="1"/>
    </xf>
    <xf numFmtId="0" fontId="5" fillId="3" borderId="21" xfId="5" applyFont="1" applyFill="1" applyBorder="1" applyAlignment="1">
      <alignment horizontal="center" vertical="center" wrapText="1"/>
    </xf>
    <xf numFmtId="0" fontId="5" fillId="3" borderId="2" xfId="5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center" vertical="center"/>
    </xf>
    <xf numFmtId="14" fontId="8" fillId="2" borderId="9" xfId="1" applyNumberFormat="1" applyFont="1" applyFill="1" applyBorder="1" applyAlignment="1">
      <alignment horizontal="center" vertical="center" wrapText="1"/>
    </xf>
    <xf numFmtId="14" fontId="8" fillId="2" borderId="33" xfId="1" applyNumberFormat="1" applyFont="1" applyFill="1" applyBorder="1" applyAlignment="1">
      <alignment horizontal="center" vertical="center" wrapText="1"/>
    </xf>
    <xf numFmtId="14" fontId="8" fillId="2" borderId="7" xfId="1" applyNumberFormat="1" applyFont="1" applyFill="1" applyBorder="1" applyAlignment="1">
      <alignment horizontal="center" vertical="center" wrapText="1"/>
    </xf>
    <xf numFmtId="0" fontId="8" fillId="2" borderId="28" xfId="1" applyFont="1" applyFill="1" applyBorder="1" applyAlignment="1">
      <alignment horizontal="left"/>
    </xf>
    <xf numFmtId="0" fontId="8" fillId="2" borderId="29" xfId="1" applyFont="1" applyFill="1" applyBorder="1" applyAlignment="1">
      <alignment horizontal="left"/>
    </xf>
    <xf numFmtId="0" fontId="8" fillId="2" borderId="16" xfId="1" applyFont="1" applyFill="1" applyBorder="1" applyAlignment="1">
      <alignment horizontal="left"/>
    </xf>
    <xf numFmtId="0" fontId="8" fillId="2" borderId="15" xfId="1" applyFont="1" applyFill="1" applyBorder="1" applyAlignment="1">
      <alignment horizontal="left"/>
    </xf>
    <xf numFmtId="0" fontId="8" fillId="2" borderId="18" xfId="1" applyFont="1" applyFill="1" applyBorder="1" applyAlignment="1">
      <alignment horizontal="left"/>
    </xf>
    <xf numFmtId="0" fontId="8" fillId="2" borderId="8" xfId="1" applyFont="1" applyFill="1" applyBorder="1" applyAlignment="1">
      <alignment horizontal="left"/>
    </xf>
    <xf numFmtId="0" fontId="8" fillId="2" borderId="37" xfId="1" applyFont="1" applyFill="1" applyBorder="1" applyAlignment="1">
      <alignment horizontal="center"/>
    </xf>
    <xf numFmtId="0" fontId="8" fillId="2" borderId="38" xfId="1" applyFont="1" applyFill="1" applyBorder="1" applyAlignment="1">
      <alignment horizontal="center"/>
    </xf>
    <xf numFmtId="0" fontId="8" fillId="2" borderId="10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24" xfId="1" applyFont="1" applyFill="1" applyBorder="1" applyAlignment="1">
      <alignment horizontal="center"/>
    </xf>
    <xf numFmtId="0" fontId="8" fillId="2" borderId="35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23" xfId="1" applyFont="1" applyFill="1" applyBorder="1" applyAlignment="1">
      <alignment horizontal="center"/>
    </xf>
    <xf numFmtId="0" fontId="5" fillId="2" borderId="40" xfId="1" applyFont="1" applyFill="1" applyBorder="1" applyAlignment="1">
      <alignment horizontal="center"/>
    </xf>
    <xf numFmtId="0" fontId="5" fillId="2" borderId="36" xfId="1" applyFont="1" applyFill="1" applyBorder="1" applyAlignment="1">
      <alignment horizontal="center"/>
    </xf>
    <xf numFmtId="0" fontId="10" fillId="4" borderId="11" xfId="1" applyFont="1" applyFill="1" applyBorder="1" applyAlignment="1">
      <alignment horizontal="center" vertical="center" wrapText="1"/>
    </xf>
    <xf numFmtId="0" fontId="10" fillId="4" borderId="12" xfId="1" applyFont="1" applyFill="1" applyBorder="1" applyAlignment="1">
      <alignment horizontal="center" vertical="center" wrapText="1"/>
    </xf>
    <xf numFmtId="0" fontId="10" fillId="4" borderId="13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right" vertical="top" wrapText="1"/>
    </xf>
    <xf numFmtId="0" fontId="5" fillId="2" borderId="31" xfId="1" applyFont="1" applyFill="1" applyBorder="1" applyAlignment="1">
      <alignment horizontal="right" vertical="top" wrapText="1"/>
    </xf>
    <xf numFmtId="0" fontId="5" fillId="2" borderId="32" xfId="1" applyFont="1" applyFill="1" applyBorder="1" applyAlignment="1">
      <alignment horizontal="right" vertical="top" wrapText="1"/>
    </xf>
    <xf numFmtId="0" fontId="24" fillId="0" borderId="0" xfId="0" applyFont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right" vertical="center" wrapText="1"/>
    </xf>
    <xf numFmtId="0" fontId="46" fillId="0" borderId="4" xfId="0" applyFont="1" applyBorder="1" applyAlignment="1">
      <alignment horizontal="right" vertical="center"/>
    </xf>
    <xf numFmtId="0" fontId="47" fillId="0" borderId="10" xfId="0" applyFont="1" applyBorder="1" applyAlignment="1">
      <alignment horizontal="right"/>
    </xf>
    <xf numFmtId="0" fontId="47" fillId="0" borderId="0" xfId="0" applyFont="1" applyAlignment="1">
      <alignment horizontal="right"/>
    </xf>
    <xf numFmtId="0" fontId="47" fillId="0" borderId="39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8" fillId="0" borderId="37" xfId="0" applyFont="1" applyBorder="1" applyAlignment="1">
      <alignment horizontal="right"/>
    </xf>
    <xf numFmtId="0" fontId="38" fillId="0" borderId="38" xfId="0" applyFont="1" applyBorder="1" applyAlignment="1">
      <alignment horizontal="right"/>
    </xf>
    <xf numFmtId="0" fontId="29" fillId="0" borderId="4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37" fillId="0" borderId="0" xfId="0" applyFont="1" applyAlignment="1">
      <alignment horizontal="center" vertical="center"/>
    </xf>
    <xf numFmtId="0" fontId="53" fillId="0" borderId="11" xfId="0" applyFont="1" applyBorder="1" applyAlignment="1">
      <alignment horizontal="right" vertical="center"/>
    </xf>
    <xf numFmtId="0" fontId="53" fillId="0" borderId="12" xfId="0" applyFont="1" applyBorder="1" applyAlignment="1">
      <alignment horizontal="right" vertical="center"/>
    </xf>
    <xf numFmtId="0" fontId="53" fillId="0" borderId="13" xfId="0" applyFont="1" applyBorder="1" applyAlignment="1">
      <alignment horizontal="right" vertical="center"/>
    </xf>
    <xf numFmtId="0" fontId="54" fillId="0" borderId="0" xfId="0" applyFont="1" applyAlignment="1">
      <alignment horizontal="right"/>
    </xf>
    <xf numFmtId="0" fontId="45" fillId="0" borderId="34" xfId="0" applyFont="1" applyBorder="1" applyAlignment="1">
      <alignment horizontal="right"/>
    </xf>
    <xf numFmtId="0" fontId="37" fillId="0" borderId="0" xfId="0" applyFont="1" applyAlignment="1">
      <alignment horizontal="right" vertical="center"/>
    </xf>
    <xf numFmtId="0" fontId="43" fillId="9" borderId="11" xfId="0" applyFont="1" applyFill="1" applyBorder="1" applyAlignment="1">
      <alignment horizontal="right"/>
    </xf>
    <xf numFmtId="0" fontId="43" fillId="9" borderId="12" xfId="0" applyFont="1" applyFill="1" applyBorder="1" applyAlignment="1">
      <alignment horizontal="right"/>
    </xf>
    <xf numFmtId="0" fontId="29" fillId="0" borderId="0" xfId="0" applyFont="1" applyAlignment="1">
      <alignment horizontal="right" vertical="center"/>
    </xf>
    <xf numFmtId="0" fontId="24" fillId="0" borderId="34" xfId="0" applyFont="1" applyBorder="1" applyAlignment="1">
      <alignment horizontal="right" vertical="center"/>
    </xf>
    <xf numFmtId="0" fontId="24" fillId="0" borderId="53" xfId="0" applyFont="1" applyBorder="1" applyAlignment="1">
      <alignment horizontal="right" vertical="center"/>
    </xf>
    <xf numFmtId="0" fontId="24" fillId="11" borderId="11" xfId="0" applyFont="1" applyFill="1" applyBorder="1" applyAlignment="1">
      <alignment horizontal="right" vertical="center"/>
    </xf>
    <xf numFmtId="0" fontId="24" fillId="11" borderId="12" xfId="0" applyFont="1" applyFill="1" applyBorder="1" applyAlignment="1">
      <alignment horizontal="right" vertical="center"/>
    </xf>
    <xf numFmtId="0" fontId="24" fillId="11" borderId="13" xfId="0" applyFont="1" applyFill="1" applyBorder="1" applyAlignment="1">
      <alignment horizontal="right" vertical="center"/>
    </xf>
    <xf numFmtId="4" fontId="52" fillId="0" borderId="0" xfId="8" applyNumberFormat="1" applyFont="1" applyFill="1" applyAlignment="1">
      <alignment horizontal="center" vertical="center" wrapText="1"/>
    </xf>
    <xf numFmtId="0" fontId="13" fillId="0" borderId="21" xfId="5" applyFont="1" applyBorder="1" applyAlignment="1">
      <alignment horizontal="left"/>
    </xf>
    <xf numFmtId="0" fontId="13" fillId="0" borderId="36" xfId="5" applyFont="1" applyBorder="1" applyAlignment="1">
      <alignment horizontal="left"/>
    </xf>
    <xf numFmtId="0" fontId="13" fillId="0" borderId="1" xfId="5" applyFont="1" applyBorder="1" applyAlignment="1">
      <alignment horizontal="left"/>
    </xf>
    <xf numFmtId="0" fontId="13" fillId="0" borderId="22" xfId="5" applyFont="1" applyBorder="1" applyAlignment="1">
      <alignment horizontal="left"/>
    </xf>
    <xf numFmtId="0" fontId="13" fillId="0" borderId="15" xfId="0" applyFont="1" applyBorder="1" applyAlignment="1">
      <alignment horizontal="left" wrapText="1"/>
    </xf>
    <xf numFmtId="0" fontId="13" fillId="0" borderId="8" xfId="0" applyFont="1" applyBorder="1" applyAlignment="1">
      <alignment horizontal="left" wrapText="1"/>
    </xf>
    <xf numFmtId="0" fontId="11" fillId="6" borderId="42" xfId="3" applyFont="1" applyFill="1" applyBorder="1" applyAlignment="1">
      <alignment horizontal="center"/>
    </xf>
    <xf numFmtId="0" fontId="11" fillId="6" borderId="38" xfId="3" applyFont="1" applyFill="1" applyBorder="1" applyAlignment="1">
      <alignment horizontal="center"/>
    </xf>
    <xf numFmtId="0" fontId="13" fillId="2" borderId="4" xfId="3" applyFont="1" applyFill="1" applyBorder="1" applyAlignment="1">
      <alignment horizontal="left"/>
    </xf>
    <xf numFmtId="0" fontId="13" fillId="0" borderId="41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41" xfId="0" applyFont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13" fillId="0" borderId="27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71" fillId="2" borderId="34" xfId="3" applyFont="1" applyFill="1" applyBorder="1" applyAlignment="1">
      <alignment horizontal="center"/>
    </xf>
    <xf numFmtId="0" fontId="18" fillId="3" borderId="27" xfId="5" applyFont="1" applyFill="1" applyBorder="1" applyAlignment="1">
      <alignment horizontal="center" vertical="center"/>
    </xf>
    <xf numFmtId="0" fontId="18" fillId="3" borderId="21" xfId="5" applyFont="1" applyFill="1" applyBorder="1" applyAlignment="1">
      <alignment horizontal="center" vertical="center"/>
    </xf>
    <xf numFmtId="0" fontId="18" fillId="3" borderId="27" xfId="5" applyFont="1" applyFill="1" applyBorder="1" applyAlignment="1">
      <alignment horizontal="center" vertical="center" wrapText="1"/>
    </xf>
    <xf numFmtId="0" fontId="18" fillId="3" borderId="21" xfId="5" applyFont="1" applyFill="1" applyBorder="1" applyAlignment="1">
      <alignment horizontal="center" vertical="center" wrapText="1"/>
    </xf>
    <xf numFmtId="0" fontId="18" fillId="3" borderId="2" xfId="5" applyFont="1" applyFill="1" applyBorder="1" applyAlignment="1">
      <alignment horizontal="center" vertical="center"/>
    </xf>
    <xf numFmtId="0" fontId="18" fillId="3" borderId="1" xfId="5" applyFont="1" applyFill="1" applyBorder="1" applyAlignment="1">
      <alignment horizontal="center" vertical="center"/>
    </xf>
    <xf numFmtId="14" fontId="16" fillId="2" borderId="9" xfId="3" applyNumberFormat="1" applyFont="1" applyFill="1" applyBorder="1" applyAlignment="1">
      <alignment horizontal="center" vertical="center" wrapText="1"/>
    </xf>
    <xf numFmtId="14" fontId="16" fillId="2" borderId="33" xfId="3" applyNumberFormat="1" applyFont="1" applyFill="1" applyBorder="1" applyAlignment="1">
      <alignment horizontal="center" vertical="center" wrapText="1"/>
    </xf>
    <xf numFmtId="14" fontId="16" fillId="2" borderId="7" xfId="3" applyNumberFormat="1" applyFont="1" applyFill="1" applyBorder="1" applyAlignment="1">
      <alignment horizontal="center" vertical="center" wrapText="1"/>
    </xf>
    <xf numFmtId="0" fontId="16" fillId="2" borderId="28" xfId="3" applyFont="1" applyFill="1" applyBorder="1" applyAlignment="1">
      <alignment horizontal="left"/>
    </xf>
    <xf numFmtId="0" fontId="16" fillId="2" borderId="29" xfId="3" applyFont="1" applyFill="1" applyBorder="1" applyAlignment="1">
      <alignment horizontal="left"/>
    </xf>
    <xf numFmtId="0" fontId="16" fillId="2" borderId="16" xfId="3" applyFont="1" applyFill="1" applyBorder="1" applyAlignment="1">
      <alignment horizontal="left"/>
    </xf>
    <xf numFmtId="0" fontId="16" fillId="2" borderId="15" xfId="3" applyFont="1" applyFill="1" applyBorder="1" applyAlignment="1">
      <alignment horizontal="left"/>
    </xf>
    <xf numFmtId="0" fontId="16" fillId="2" borderId="18" xfId="3" applyFont="1" applyFill="1" applyBorder="1" applyAlignment="1">
      <alignment horizontal="left"/>
    </xf>
    <xf numFmtId="0" fontId="16" fillId="2" borderId="8" xfId="3" applyFont="1" applyFill="1" applyBorder="1" applyAlignment="1">
      <alignment horizontal="left"/>
    </xf>
    <xf numFmtId="0" fontId="16" fillId="2" borderId="37" xfId="3" applyFont="1" applyFill="1" applyBorder="1" applyAlignment="1">
      <alignment horizontal="center"/>
    </xf>
    <xf numFmtId="0" fontId="16" fillId="2" borderId="38" xfId="3" applyFont="1" applyFill="1" applyBorder="1" applyAlignment="1">
      <alignment horizontal="center"/>
    </xf>
    <xf numFmtId="0" fontId="16" fillId="2" borderId="10" xfId="3" applyFont="1" applyFill="1" applyBorder="1" applyAlignment="1">
      <alignment horizontal="center"/>
    </xf>
    <xf numFmtId="0" fontId="16" fillId="2" borderId="0" xfId="3" applyFont="1" applyFill="1" applyAlignment="1">
      <alignment horizontal="center"/>
    </xf>
    <xf numFmtId="0" fontId="16" fillId="2" borderId="24" xfId="3" applyFont="1" applyFill="1" applyBorder="1" applyAlignment="1">
      <alignment horizontal="center"/>
    </xf>
    <xf numFmtId="0" fontId="16" fillId="2" borderId="35" xfId="3" applyFont="1" applyFill="1" applyBorder="1" applyAlignment="1">
      <alignment horizontal="center"/>
    </xf>
    <xf numFmtId="0" fontId="17" fillId="2" borderId="2" xfId="3" applyFont="1" applyFill="1" applyBorder="1" applyAlignment="1">
      <alignment horizontal="center"/>
    </xf>
    <xf numFmtId="0" fontId="17" fillId="2" borderId="23" xfId="3" applyFont="1" applyFill="1" applyBorder="1" applyAlignment="1">
      <alignment horizontal="center"/>
    </xf>
    <xf numFmtId="0" fontId="17" fillId="2" borderId="40" xfId="3" applyFont="1" applyFill="1" applyBorder="1" applyAlignment="1">
      <alignment horizontal="center"/>
    </xf>
    <xf numFmtId="0" fontId="17" fillId="2" borderId="36" xfId="3" applyFont="1" applyFill="1" applyBorder="1" applyAlignment="1">
      <alignment horizontal="center"/>
    </xf>
    <xf numFmtId="0" fontId="76" fillId="4" borderId="43" xfId="3" applyFont="1" applyFill="1" applyBorder="1" applyAlignment="1">
      <alignment horizontal="center" vertical="center" wrapText="1"/>
    </xf>
    <xf numFmtId="0" fontId="76" fillId="4" borderId="29" xfId="3" applyFont="1" applyFill="1" applyBorder="1" applyAlignment="1">
      <alignment horizontal="center" vertical="center" wrapText="1"/>
    </xf>
    <xf numFmtId="0" fontId="76" fillId="4" borderId="44" xfId="3" applyFont="1" applyFill="1" applyBorder="1" applyAlignment="1">
      <alignment horizontal="center" vertical="center" wrapText="1"/>
    </xf>
    <xf numFmtId="0" fontId="18" fillId="2" borderId="30" xfId="3" applyFont="1" applyFill="1" applyBorder="1" applyAlignment="1">
      <alignment horizontal="right" vertical="top" wrapText="1"/>
    </xf>
    <xf numFmtId="0" fontId="18" fillId="2" borderId="31" xfId="3" applyFont="1" applyFill="1" applyBorder="1" applyAlignment="1">
      <alignment horizontal="right" vertical="top" wrapText="1"/>
    </xf>
    <xf numFmtId="0" fontId="18" fillId="2" borderId="32" xfId="3" applyFont="1" applyFill="1" applyBorder="1" applyAlignment="1">
      <alignment horizontal="right" vertical="top" wrapText="1"/>
    </xf>
    <xf numFmtId="0" fontId="16" fillId="2" borderId="56" xfId="3" applyFont="1" applyFill="1" applyBorder="1" applyAlignment="1">
      <alignment horizontal="left"/>
    </xf>
    <xf numFmtId="0" fontId="16" fillId="2" borderId="57" xfId="3" applyFont="1" applyFill="1" applyBorder="1" applyAlignment="1">
      <alignment horizontal="left"/>
    </xf>
    <xf numFmtId="0" fontId="16" fillId="2" borderId="30" xfId="3" applyFont="1" applyFill="1" applyBorder="1" applyAlignment="1">
      <alignment horizontal="left"/>
    </xf>
    <xf numFmtId="0" fontId="16" fillId="2" borderId="55" xfId="3" applyFont="1" applyFill="1" applyBorder="1" applyAlignment="1">
      <alignment horizontal="center"/>
    </xf>
    <xf numFmtId="0" fontId="16" fillId="2" borderId="34" xfId="3" applyFont="1" applyFill="1" applyBorder="1" applyAlignment="1">
      <alignment horizontal="center"/>
    </xf>
    <xf numFmtId="0" fontId="17" fillId="2" borderId="16" xfId="3" applyFont="1" applyFill="1" applyBorder="1" applyAlignment="1">
      <alignment horizontal="center"/>
    </xf>
    <xf numFmtId="0" fontId="17" fillId="2" borderId="30" xfId="3" applyFont="1" applyFill="1" applyBorder="1" applyAlignment="1">
      <alignment horizontal="center"/>
    </xf>
    <xf numFmtId="0" fontId="17" fillId="2" borderId="54" xfId="3" applyFont="1" applyFill="1" applyBorder="1" applyAlignment="1">
      <alignment horizontal="center"/>
    </xf>
    <xf numFmtId="0" fontId="5" fillId="4" borderId="11" xfId="3" applyFont="1" applyFill="1" applyBorder="1" applyAlignment="1">
      <alignment horizontal="center" vertical="center" wrapText="1"/>
    </xf>
    <xf numFmtId="0" fontId="5" fillId="4" borderId="12" xfId="3" applyFont="1" applyFill="1" applyBorder="1" applyAlignment="1">
      <alignment horizontal="center" vertical="center" wrapText="1"/>
    </xf>
    <xf numFmtId="0" fontId="5" fillId="4" borderId="13" xfId="3" applyFont="1" applyFill="1" applyBorder="1" applyAlignment="1">
      <alignment horizontal="center" vertical="center" wrapText="1"/>
    </xf>
    <xf numFmtId="0" fontId="11" fillId="2" borderId="11" xfId="3" applyFont="1" applyFill="1" applyBorder="1" applyAlignment="1">
      <alignment horizontal="right" vertical="center"/>
    </xf>
    <xf numFmtId="0" fontId="11" fillId="2" borderId="12" xfId="3" applyFont="1" applyFill="1" applyBorder="1" applyAlignment="1">
      <alignment horizontal="right" vertical="center"/>
    </xf>
    <xf numFmtId="0" fontId="58" fillId="2" borderId="12" xfId="3" applyFont="1" applyFill="1" applyBorder="1" applyAlignment="1">
      <alignment horizontal="center" vertical="center"/>
    </xf>
    <xf numFmtId="0" fontId="11" fillId="2" borderId="12" xfId="3" applyFont="1" applyFill="1" applyBorder="1" applyAlignment="1">
      <alignment horizontal="center" vertical="center"/>
    </xf>
    <xf numFmtId="0" fontId="18" fillId="3" borderId="27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3" borderId="58" xfId="0" applyFont="1" applyFill="1" applyBorder="1" applyAlignment="1">
      <alignment horizontal="center" vertical="center" wrapText="1"/>
    </xf>
    <xf numFmtId="0" fontId="18" fillId="3" borderId="59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left"/>
    </xf>
    <xf numFmtId="0" fontId="18" fillId="3" borderId="12" xfId="0" applyFont="1" applyFill="1" applyBorder="1" applyAlignment="1">
      <alignment horizontal="left"/>
    </xf>
    <xf numFmtId="0" fontId="18" fillId="3" borderId="13" xfId="0" applyFont="1" applyFill="1" applyBorder="1" applyAlignment="1">
      <alignment horizontal="left"/>
    </xf>
    <xf numFmtId="0" fontId="18" fillId="0" borderId="24" xfId="0" applyFont="1" applyBorder="1" applyAlignment="1">
      <alignment horizontal="right"/>
    </xf>
    <xf numFmtId="0" fontId="18" fillId="0" borderId="35" xfId="0" applyFont="1" applyBorder="1" applyAlignment="1">
      <alignment horizontal="right"/>
    </xf>
    <xf numFmtId="0" fontId="18" fillId="0" borderId="25" xfId="0" applyFont="1" applyBorder="1" applyAlignment="1">
      <alignment horizontal="right"/>
    </xf>
    <xf numFmtId="164" fontId="16" fillId="0" borderId="6" xfId="0" applyNumberFormat="1" applyFont="1" applyBorder="1" applyAlignment="1">
      <alignment horizontal="right"/>
    </xf>
    <xf numFmtId="0" fontId="18" fillId="0" borderId="17" xfId="0" applyFont="1" applyBorder="1" applyAlignment="1">
      <alignment horizontal="right"/>
    </xf>
    <xf numFmtId="0" fontId="18" fillId="0" borderId="18" xfId="0" applyFont="1" applyBorder="1" applyAlignment="1">
      <alignment horizontal="right"/>
    </xf>
    <xf numFmtId="0" fontId="18" fillId="0" borderId="8" xfId="0" applyFont="1" applyBorder="1" applyAlignment="1">
      <alignment horizontal="right"/>
    </xf>
    <xf numFmtId="0" fontId="16" fillId="0" borderId="4" xfId="0" applyFont="1" applyBorder="1" applyAlignment="1">
      <alignment horizontal="right"/>
    </xf>
    <xf numFmtId="164" fontId="16" fillId="0" borderId="15" xfId="0" applyNumberFormat="1" applyFont="1" applyBorder="1" applyAlignment="1">
      <alignment horizontal="right" wrapText="1"/>
    </xf>
    <xf numFmtId="164" fontId="16" fillId="0" borderId="8" xfId="0" applyNumberFormat="1" applyFont="1" applyBorder="1" applyAlignment="1">
      <alignment horizontal="right" wrapText="1"/>
    </xf>
    <xf numFmtId="0" fontId="18" fillId="0" borderId="21" xfId="0" applyFont="1" applyBorder="1" applyAlignment="1">
      <alignment horizontal="right"/>
    </xf>
    <xf numFmtId="0" fontId="18" fillId="0" borderId="36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164" fontId="16" fillId="0" borderId="23" xfId="0" applyNumberFormat="1" applyFont="1" applyBorder="1" applyAlignment="1">
      <alignment horizontal="center"/>
    </xf>
    <xf numFmtId="164" fontId="16" fillId="0" borderId="60" xfId="0" applyNumberFormat="1" applyFont="1" applyBorder="1" applyAlignment="1">
      <alignment horizontal="center"/>
    </xf>
    <xf numFmtId="0" fontId="20" fillId="0" borderId="61" xfId="5" applyFont="1" applyBorder="1" applyAlignment="1">
      <alignment horizontal="left" vertical="center"/>
    </xf>
    <xf numFmtId="0" fontId="20" fillId="0" borderId="57" xfId="5" applyFont="1" applyBorder="1" applyAlignment="1">
      <alignment horizontal="left" vertical="center"/>
    </xf>
    <xf numFmtId="0" fontId="20" fillId="0" borderId="62" xfId="5" applyFont="1" applyBorder="1" applyAlignment="1">
      <alignment horizontal="left" vertical="center"/>
    </xf>
    <xf numFmtId="0" fontId="60" fillId="13" borderId="11" xfId="5" applyFont="1" applyFill="1" applyBorder="1" applyAlignment="1">
      <alignment horizontal="left" vertical="center"/>
    </xf>
    <xf numFmtId="0" fontId="60" fillId="13" borderId="12" xfId="5" applyFont="1" applyFill="1" applyBorder="1" applyAlignment="1">
      <alignment horizontal="left" vertical="center"/>
    </xf>
    <xf numFmtId="0" fontId="60" fillId="13" borderId="13" xfId="5" applyFont="1" applyFill="1" applyBorder="1" applyAlignment="1">
      <alignment horizontal="left" vertical="center"/>
    </xf>
    <xf numFmtId="0" fontId="20" fillId="0" borderId="24" xfId="5" applyFont="1" applyBorder="1" applyAlignment="1">
      <alignment horizontal="left" vertical="center" wrapText="1"/>
    </xf>
    <xf numFmtId="0" fontId="20" fillId="0" borderId="35" xfId="5" applyFont="1" applyBorder="1" applyAlignment="1">
      <alignment horizontal="left" vertical="center" wrapText="1"/>
    </xf>
    <xf numFmtId="0" fontId="20" fillId="0" borderId="26" xfId="5" applyFont="1" applyBorder="1" applyAlignment="1">
      <alignment horizontal="left" vertical="center" wrapText="1"/>
    </xf>
    <xf numFmtId="0" fontId="20" fillId="0" borderId="24" xfId="5" applyFont="1" applyBorder="1" applyAlignment="1">
      <alignment horizontal="left" vertical="center"/>
    </xf>
    <xf numFmtId="0" fontId="20" fillId="0" borderId="35" xfId="5" applyFont="1" applyBorder="1" applyAlignment="1">
      <alignment horizontal="left" vertical="center"/>
    </xf>
    <xf numFmtId="0" fontId="20" fillId="0" borderId="26" xfId="5" applyFont="1" applyBorder="1" applyAlignment="1">
      <alignment horizontal="left" vertical="center"/>
    </xf>
    <xf numFmtId="0" fontId="20" fillId="0" borderId="17" xfId="5" applyFont="1" applyBorder="1" applyAlignment="1">
      <alignment horizontal="left" vertical="center"/>
    </xf>
    <xf numFmtId="0" fontId="20" fillId="0" borderId="18" xfId="5" applyFont="1" applyBorder="1" applyAlignment="1">
      <alignment horizontal="left" vertical="center"/>
    </xf>
    <xf numFmtId="0" fontId="20" fillId="0" borderId="19" xfId="5" applyFont="1" applyBorder="1" applyAlignment="1">
      <alignment horizontal="left" vertical="center"/>
    </xf>
    <xf numFmtId="0" fontId="20" fillId="0" borderId="17" xfId="5" applyFont="1" applyBorder="1" applyAlignment="1">
      <alignment horizontal="center" vertical="center"/>
    </xf>
    <xf numFmtId="0" fontId="20" fillId="0" borderId="18" xfId="5" applyFont="1" applyBorder="1" applyAlignment="1">
      <alignment horizontal="center" vertical="center"/>
    </xf>
    <xf numFmtId="0" fontId="20" fillId="0" borderId="19" xfId="5" applyFont="1" applyBorder="1" applyAlignment="1">
      <alignment horizontal="center" vertical="center"/>
    </xf>
    <xf numFmtId="14" fontId="8" fillId="2" borderId="9" xfId="3" applyNumberFormat="1" applyFont="1" applyFill="1" applyBorder="1" applyAlignment="1">
      <alignment horizontal="center" vertical="center" wrapText="1"/>
    </xf>
    <xf numFmtId="14" fontId="8" fillId="2" borderId="33" xfId="3" applyNumberFormat="1" applyFont="1" applyFill="1" applyBorder="1" applyAlignment="1">
      <alignment horizontal="center" vertical="center" wrapText="1"/>
    </xf>
    <xf numFmtId="14" fontId="8" fillId="2" borderId="7" xfId="3" applyNumberFormat="1" applyFont="1" applyFill="1" applyBorder="1" applyAlignment="1">
      <alignment horizontal="center" vertical="center" wrapText="1"/>
    </xf>
    <xf numFmtId="0" fontId="8" fillId="2" borderId="28" xfId="3" applyFont="1" applyFill="1" applyBorder="1" applyAlignment="1">
      <alignment horizontal="left"/>
    </xf>
    <xf numFmtId="0" fontId="8" fillId="2" borderId="29" xfId="3" applyFont="1" applyFill="1" applyBorder="1" applyAlignment="1">
      <alignment horizontal="left"/>
    </xf>
    <xf numFmtId="0" fontId="8" fillId="2" borderId="16" xfId="3" applyFont="1" applyFill="1" applyBorder="1" applyAlignment="1">
      <alignment horizontal="left"/>
    </xf>
    <xf numFmtId="0" fontId="8" fillId="2" borderId="15" xfId="3" applyFont="1" applyFill="1" applyBorder="1" applyAlignment="1">
      <alignment horizontal="left"/>
    </xf>
    <xf numFmtId="0" fontId="8" fillId="2" borderId="18" xfId="3" applyFont="1" applyFill="1" applyBorder="1" applyAlignment="1">
      <alignment horizontal="left"/>
    </xf>
    <xf numFmtId="0" fontId="8" fillId="2" borderId="8" xfId="3" applyFont="1" applyFill="1" applyBorder="1" applyAlignment="1">
      <alignment horizontal="left"/>
    </xf>
    <xf numFmtId="0" fontId="8" fillId="2" borderId="37" xfId="3" applyFont="1" applyFill="1" applyBorder="1" applyAlignment="1">
      <alignment horizontal="center"/>
    </xf>
    <xf numFmtId="0" fontId="8" fillId="2" borderId="38" xfId="3" applyFont="1" applyFill="1" applyBorder="1" applyAlignment="1">
      <alignment horizontal="center"/>
    </xf>
    <xf numFmtId="0" fontId="8" fillId="2" borderId="10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24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center"/>
    </xf>
    <xf numFmtId="0" fontId="5" fillId="2" borderId="23" xfId="3" applyFont="1" applyFill="1" applyBorder="1" applyAlignment="1">
      <alignment horizontal="center"/>
    </xf>
    <xf numFmtId="0" fontId="5" fillId="2" borderId="40" xfId="3" applyFont="1" applyFill="1" applyBorder="1" applyAlignment="1">
      <alignment horizontal="center"/>
    </xf>
    <xf numFmtId="0" fontId="5" fillId="2" borderId="36" xfId="3" applyFont="1" applyFill="1" applyBorder="1" applyAlignment="1">
      <alignment horizontal="center"/>
    </xf>
    <xf numFmtId="0" fontId="5" fillId="4" borderId="43" xfId="3" applyFont="1" applyFill="1" applyBorder="1" applyAlignment="1">
      <alignment horizontal="center" vertical="center" wrapText="1"/>
    </xf>
    <xf numFmtId="0" fontId="5" fillId="4" borderId="29" xfId="3" applyFont="1" applyFill="1" applyBorder="1" applyAlignment="1">
      <alignment horizontal="center" vertical="center" wrapText="1"/>
    </xf>
    <xf numFmtId="0" fontId="5" fillId="4" borderId="44" xfId="3" applyFont="1" applyFill="1" applyBorder="1" applyAlignment="1">
      <alignment horizontal="center" vertical="center" wrapText="1"/>
    </xf>
    <xf numFmtId="0" fontId="5" fillId="2" borderId="30" xfId="3" applyFont="1" applyFill="1" applyBorder="1" applyAlignment="1">
      <alignment horizontal="right" vertical="top" wrapText="1"/>
    </xf>
    <xf numFmtId="0" fontId="5" fillId="2" borderId="31" xfId="3" applyFont="1" applyFill="1" applyBorder="1" applyAlignment="1">
      <alignment horizontal="right" vertical="top" wrapText="1"/>
    </xf>
    <xf numFmtId="0" fontId="5" fillId="2" borderId="32" xfId="3" applyFont="1" applyFill="1" applyBorder="1" applyAlignment="1">
      <alignment horizontal="right" vertical="top" wrapText="1"/>
    </xf>
    <xf numFmtId="0" fontId="5" fillId="0" borderId="24" xfId="5" applyFont="1" applyBorder="1" applyAlignment="1">
      <alignment horizontal="right"/>
    </xf>
    <xf numFmtId="0" fontId="5" fillId="0" borderId="35" xfId="5" applyFont="1" applyBorder="1" applyAlignment="1">
      <alignment horizontal="right"/>
    </xf>
    <xf numFmtId="0" fontId="5" fillId="0" borderId="25" xfId="5" applyFont="1" applyBorder="1" applyAlignment="1">
      <alignment horizontal="right"/>
    </xf>
    <xf numFmtId="164" fontId="8" fillId="0" borderId="6" xfId="5" applyNumberFormat="1" applyFont="1" applyBorder="1" applyAlignment="1">
      <alignment horizontal="right"/>
    </xf>
    <xf numFmtId="0" fontId="8" fillId="2" borderId="14" xfId="5" applyFont="1" applyFill="1" applyBorder="1" applyAlignment="1">
      <alignment horizontal="center"/>
    </xf>
    <xf numFmtId="0" fontId="8" fillId="2" borderId="26" xfId="5" applyFont="1" applyFill="1" applyBorder="1" applyAlignment="1">
      <alignment horizontal="center"/>
    </xf>
    <xf numFmtId="0" fontId="5" fillId="0" borderId="17" xfId="5" applyFont="1" applyBorder="1" applyAlignment="1">
      <alignment horizontal="right"/>
    </xf>
    <xf numFmtId="0" fontId="5" fillId="0" borderId="18" xfId="5" applyFont="1" applyBorder="1" applyAlignment="1">
      <alignment horizontal="right"/>
    </xf>
    <xf numFmtId="0" fontId="5" fillId="0" borderId="8" xfId="5" applyFont="1" applyBorder="1" applyAlignment="1">
      <alignment horizontal="right"/>
    </xf>
    <xf numFmtId="0" fontId="8" fillId="0" borderId="4" xfId="5" applyFont="1" applyBorder="1" applyAlignment="1">
      <alignment horizontal="right"/>
    </xf>
    <xf numFmtId="164" fontId="8" fillId="0" borderId="15" xfId="5" applyNumberFormat="1" applyFont="1" applyBorder="1" applyAlignment="1">
      <alignment horizontal="center"/>
    </xf>
    <xf numFmtId="164" fontId="8" fillId="0" borderId="19" xfId="5" applyNumberFormat="1" applyFont="1" applyBorder="1" applyAlignment="1">
      <alignment horizontal="center"/>
    </xf>
    <xf numFmtId="0" fontId="8" fillId="0" borderId="41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164" fontId="8" fillId="0" borderId="15" xfId="5" applyNumberFormat="1" applyFont="1" applyBorder="1" applyAlignment="1">
      <alignment horizontal="right" wrapText="1"/>
    </xf>
    <xf numFmtId="164" fontId="8" fillId="0" borderId="8" xfId="5" applyNumberFormat="1" applyFont="1" applyBorder="1" applyAlignment="1">
      <alignment horizontal="right" wrapText="1"/>
    </xf>
    <xf numFmtId="164" fontId="8" fillId="0" borderId="15" xfId="0" applyNumberFormat="1" applyFont="1" applyBorder="1" applyAlignment="1">
      <alignment horizontal="center" wrapText="1"/>
    </xf>
    <xf numFmtId="164" fontId="8" fillId="0" borderId="19" xfId="0" applyNumberFormat="1" applyFont="1" applyBorder="1" applyAlignment="1">
      <alignment horizontal="center" wrapText="1"/>
    </xf>
    <xf numFmtId="0" fontId="5" fillId="0" borderId="21" xfId="5" applyFont="1" applyBorder="1" applyAlignment="1">
      <alignment horizontal="right"/>
    </xf>
    <xf numFmtId="0" fontId="5" fillId="0" borderId="36" xfId="5" applyFont="1" applyBorder="1" applyAlignment="1">
      <alignment horizontal="right"/>
    </xf>
    <xf numFmtId="0" fontId="5" fillId="0" borderId="1" xfId="5" applyFont="1" applyBorder="1" applyAlignment="1">
      <alignment horizontal="right"/>
    </xf>
    <xf numFmtId="0" fontId="8" fillId="0" borderId="1" xfId="5" applyFont="1" applyBorder="1" applyAlignment="1">
      <alignment horizontal="right"/>
    </xf>
    <xf numFmtId="0" fontId="5" fillId="3" borderId="11" xfId="5" applyFont="1" applyFill="1" applyBorder="1" applyAlignment="1">
      <alignment horizontal="left"/>
    </xf>
    <xf numFmtId="0" fontId="5" fillId="3" borderId="12" xfId="5" applyFont="1" applyFill="1" applyBorder="1" applyAlignment="1">
      <alignment horizontal="left"/>
    </xf>
    <xf numFmtId="0" fontId="5" fillId="3" borderId="13" xfId="5" applyFont="1" applyFill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5" fillId="6" borderId="42" xfId="3" applyFont="1" applyFill="1" applyBorder="1" applyAlignment="1">
      <alignment horizontal="center"/>
    </xf>
    <xf numFmtId="0" fontId="5" fillId="6" borderId="38" xfId="3" applyFont="1" applyFill="1" applyBorder="1" applyAlignment="1">
      <alignment horizontal="center"/>
    </xf>
    <xf numFmtId="0" fontId="8" fillId="2" borderId="45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  <xf numFmtId="0" fontId="8" fillId="0" borderId="41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wrapText="1"/>
    </xf>
    <xf numFmtId="0" fontId="8" fillId="0" borderId="25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21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64" fillId="0" borderId="17" xfId="5" applyFont="1" applyBorder="1" applyAlignment="1">
      <alignment horizontal="left" wrapText="1"/>
    </xf>
    <xf numFmtId="0" fontId="64" fillId="0" borderId="18" xfId="5" applyFont="1" applyBorder="1" applyAlignment="1">
      <alignment horizontal="left" wrapText="1"/>
    </xf>
    <xf numFmtId="0" fontId="64" fillId="0" borderId="19" xfId="5" applyFont="1" applyBorder="1" applyAlignment="1">
      <alignment horizontal="left" wrapText="1"/>
    </xf>
    <xf numFmtId="0" fontId="27" fillId="0" borderId="24" xfId="5" applyFont="1" applyBorder="1" applyAlignment="1">
      <alignment horizontal="left"/>
    </xf>
    <xf numFmtId="0" fontId="27" fillId="0" borderId="35" xfId="5" applyFont="1" applyBorder="1" applyAlignment="1">
      <alignment horizontal="left"/>
    </xf>
    <xf numFmtId="0" fontId="27" fillId="0" borderId="26" xfId="5" applyFont="1" applyBorder="1" applyAlignment="1">
      <alignment horizontal="left"/>
    </xf>
    <xf numFmtId="14" fontId="69" fillId="2" borderId="9" xfId="1" applyNumberFormat="1" applyFont="1" applyFill="1" applyBorder="1" applyAlignment="1">
      <alignment horizontal="center" vertical="center" wrapText="1"/>
    </xf>
    <xf numFmtId="14" fontId="69" fillId="2" borderId="33" xfId="1" applyNumberFormat="1" applyFont="1" applyFill="1" applyBorder="1" applyAlignment="1">
      <alignment horizontal="center" vertical="center" wrapText="1"/>
    </xf>
    <xf numFmtId="14" fontId="69" fillId="2" borderId="7" xfId="1" applyNumberFormat="1" applyFont="1" applyFill="1" applyBorder="1" applyAlignment="1">
      <alignment horizontal="center" vertical="center" wrapText="1"/>
    </xf>
    <xf numFmtId="0" fontId="69" fillId="2" borderId="28" xfId="1" applyFont="1" applyFill="1" applyBorder="1" applyAlignment="1">
      <alignment horizontal="left"/>
    </xf>
    <xf numFmtId="0" fontId="69" fillId="2" borderId="29" xfId="1" applyFont="1" applyFill="1" applyBorder="1" applyAlignment="1">
      <alignment horizontal="left"/>
    </xf>
    <xf numFmtId="0" fontId="69" fillId="2" borderId="16" xfId="1" applyFont="1" applyFill="1" applyBorder="1" applyAlignment="1">
      <alignment horizontal="left"/>
    </xf>
    <xf numFmtId="0" fontId="69" fillId="2" borderId="15" xfId="1" applyFont="1" applyFill="1" applyBorder="1" applyAlignment="1">
      <alignment horizontal="left"/>
    </xf>
    <xf numFmtId="0" fontId="69" fillId="2" borderId="18" xfId="1" applyFont="1" applyFill="1" applyBorder="1" applyAlignment="1">
      <alignment horizontal="left"/>
    </xf>
    <xf numFmtId="0" fontId="69" fillId="2" borderId="8" xfId="1" applyFont="1" applyFill="1" applyBorder="1" applyAlignment="1">
      <alignment horizontal="left"/>
    </xf>
    <xf numFmtId="0" fontId="69" fillId="2" borderId="37" xfId="1" applyFont="1" applyFill="1" applyBorder="1" applyAlignment="1">
      <alignment horizontal="center"/>
    </xf>
    <xf numFmtId="0" fontId="69" fillId="2" borderId="38" xfId="1" applyFont="1" applyFill="1" applyBorder="1" applyAlignment="1">
      <alignment horizontal="center"/>
    </xf>
    <xf numFmtId="0" fontId="69" fillId="2" borderId="10" xfId="1" applyFont="1" applyFill="1" applyBorder="1" applyAlignment="1">
      <alignment horizontal="center"/>
    </xf>
    <xf numFmtId="0" fontId="69" fillId="2" borderId="0" xfId="1" applyFont="1" applyFill="1" applyAlignment="1">
      <alignment horizontal="center"/>
    </xf>
    <xf numFmtId="0" fontId="69" fillId="2" borderId="24" xfId="1" applyFont="1" applyFill="1" applyBorder="1" applyAlignment="1">
      <alignment horizontal="center"/>
    </xf>
    <xf numFmtId="0" fontId="69" fillId="2" borderId="35" xfId="1" applyFont="1" applyFill="1" applyBorder="1" applyAlignment="1">
      <alignment horizontal="center"/>
    </xf>
    <xf numFmtId="0" fontId="17" fillId="2" borderId="2" xfId="1" applyFont="1" applyFill="1" applyBorder="1" applyAlignment="1">
      <alignment horizontal="center"/>
    </xf>
    <xf numFmtId="0" fontId="17" fillId="2" borderId="23" xfId="1" applyFont="1" applyFill="1" applyBorder="1" applyAlignment="1">
      <alignment horizontal="center"/>
    </xf>
    <xf numFmtId="0" fontId="17" fillId="2" borderId="40" xfId="1" applyFont="1" applyFill="1" applyBorder="1" applyAlignment="1">
      <alignment horizontal="center"/>
    </xf>
    <xf numFmtId="0" fontId="17" fillId="2" borderId="36" xfId="1" applyFont="1" applyFill="1" applyBorder="1" applyAlignment="1">
      <alignment horizontal="center"/>
    </xf>
    <xf numFmtId="0" fontId="17" fillId="4" borderId="11" xfId="1" applyFont="1" applyFill="1" applyBorder="1" applyAlignment="1">
      <alignment horizontal="center" vertical="center" wrapText="1"/>
    </xf>
    <xf numFmtId="0" fontId="17" fillId="4" borderId="12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horizontal="center" vertical="center" wrapText="1"/>
    </xf>
    <xf numFmtId="0" fontId="17" fillId="2" borderId="30" xfId="1" applyFont="1" applyFill="1" applyBorder="1" applyAlignment="1">
      <alignment horizontal="right" vertical="top" wrapText="1"/>
    </xf>
    <xf numFmtId="0" fontId="17" fillId="2" borderId="31" xfId="1" applyFont="1" applyFill="1" applyBorder="1" applyAlignment="1">
      <alignment horizontal="right" vertical="top" wrapText="1"/>
    </xf>
    <xf numFmtId="0" fontId="17" fillId="2" borderId="32" xfId="1" applyFont="1" applyFill="1" applyBorder="1" applyAlignment="1">
      <alignment horizontal="right" vertical="top" wrapText="1"/>
    </xf>
    <xf numFmtId="0" fontId="70" fillId="2" borderId="0" xfId="3" applyFont="1" applyFill="1" applyAlignment="1">
      <alignment horizontal="right"/>
    </xf>
    <xf numFmtId="0" fontId="70" fillId="2" borderId="0" xfId="3" applyFont="1" applyFill="1"/>
    <xf numFmtId="0" fontId="17" fillId="3" borderId="27" xfId="5" applyFont="1" applyFill="1" applyBorder="1" applyAlignment="1">
      <alignment horizontal="center" vertical="center"/>
    </xf>
    <xf numFmtId="0" fontId="17" fillId="3" borderId="21" xfId="5" applyFont="1" applyFill="1" applyBorder="1" applyAlignment="1">
      <alignment horizontal="center" vertical="center"/>
    </xf>
    <xf numFmtId="0" fontId="17" fillId="3" borderId="27" xfId="5" applyFont="1" applyFill="1" applyBorder="1" applyAlignment="1">
      <alignment horizontal="center" vertical="center" wrapText="1"/>
    </xf>
    <xf numFmtId="0" fontId="17" fillId="3" borderId="21" xfId="5" applyFont="1" applyFill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/>
    </xf>
    <xf numFmtId="0" fontId="17" fillId="3" borderId="1" xfId="5" applyFont="1" applyFill="1" applyBorder="1" applyAlignment="1">
      <alignment horizontal="center" vertical="center"/>
    </xf>
    <xf numFmtId="0" fontId="17" fillId="0" borderId="24" xfId="5" applyFont="1" applyBorder="1" applyAlignment="1">
      <alignment horizontal="right"/>
    </xf>
    <xf numFmtId="0" fontId="17" fillId="0" borderId="35" xfId="5" applyFont="1" applyBorder="1" applyAlignment="1">
      <alignment horizontal="right"/>
    </xf>
    <xf numFmtId="0" fontId="17" fillId="0" borderId="25" xfId="5" applyFont="1" applyBorder="1" applyAlignment="1">
      <alignment horizontal="right"/>
    </xf>
    <xf numFmtId="164" fontId="69" fillId="0" borderId="6" xfId="5" applyNumberFormat="1" applyFont="1" applyBorder="1" applyAlignment="1">
      <alignment horizontal="right"/>
    </xf>
    <xf numFmtId="0" fontId="69" fillId="2" borderId="14" xfId="5" applyFont="1" applyFill="1" applyBorder="1" applyAlignment="1">
      <alignment horizontal="center"/>
    </xf>
    <xf numFmtId="0" fontId="69" fillId="2" borderId="26" xfId="5" applyFont="1" applyFill="1" applyBorder="1" applyAlignment="1">
      <alignment horizontal="center"/>
    </xf>
    <xf numFmtId="0" fontId="17" fillId="0" borderId="17" xfId="5" applyFont="1" applyBorder="1" applyAlignment="1">
      <alignment horizontal="right"/>
    </xf>
    <xf numFmtId="0" fontId="17" fillId="0" borderId="18" xfId="5" applyFont="1" applyBorder="1" applyAlignment="1">
      <alignment horizontal="right"/>
    </xf>
    <xf numFmtId="0" fontId="17" fillId="0" borderId="8" xfId="5" applyFont="1" applyBorder="1" applyAlignment="1">
      <alignment horizontal="right"/>
    </xf>
    <xf numFmtId="0" fontId="69" fillId="0" borderId="4" xfId="5" applyFont="1" applyBorder="1" applyAlignment="1">
      <alignment horizontal="right"/>
    </xf>
    <xf numFmtId="164" fontId="69" fillId="0" borderId="15" xfId="5" applyNumberFormat="1" applyFont="1" applyBorder="1" applyAlignment="1">
      <alignment horizontal="center"/>
    </xf>
    <xf numFmtId="164" fontId="69" fillId="0" borderId="19" xfId="5" applyNumberFormat="1" applyFont="1" applyBorder="1" applyAlignment="1">
      <alignment horizontal="center"/>
    </xf>
    <xf numFmtId="0" fontId="21" fillId="0" borderId="24" xfId="0" applyFont="1" applyBorder="1" applyAlignment="1">
      <alignment horizontal="left"/>
    </xf>
    <xf numFmtId="0" fontId="21" fillId="0" borderId="35" xfId="0" applyFont="1" applyBorder="1" applyAlignment="1">
      <alignment horizontal="left"/>
    </xf>
    <xf numFmtId="0" fontId="21" fillId="0" borderId="26" xfId="0" applyFont="1" applyBorder="1" applyAlignment="1">
      <alignment horizontal="left"/>
    </xf>
    <xf numFmtId="164" fontId="69" fillId="0" borderId="15" xfId="5" applyNumberFormat="1" applyFont="1" applyBorder="1" applyAlignment="1">
      <alignment horizontal="right" wrapText="1"/>
    </xf>
    <xf numFmtId="164" fontId="69" fillId="0" borderId="8" xfId="5" applyNumberFormat="1" applyFont="1" applyBorder="1" applyAlignment="1">
      <alignment horizontal="right" wrapText="1"/>
    </xf>
    <xf numFmtId="164" fontId="69" fillId="0" borderId="15" xfId="0" applyNumberFormat="1" applyFont="1" applyBorder="1" applyAlignment="1">
      <alignment horizontal="center" wrapText="1"/>
    </xf>
    <xf numFmtId="164" fontId="69" fillId="0" borderId="19" xfId="0" applyNumberFormat="1" applyFont="1" applyBorder="1" applyAlignment="1">
      <alignment horizontal="center" wrapText="1"/>
    </xf>
    <xf numFmtId="0" fontId="17" fillId="0" borderId="21" xfId="5" applyFont="1" applyBorder="1" applyAlignment="1">
      <alignment horizontal="right"/>
    </xf>
    <xf numFmtId="0" fontId="17" fillId="0" borderId="36" xfId="5" applyFont="1" applyBorder="1" applyAlignment="1">
      <alignment horizontal="right"/>
    </xf>
    <xf numFmtId="0" fontId="17" fillId="0" borderId="1" xfId="5" applyFont="1" applyBorder="1" applyAlignment="1">
      <alignment horizontal="right"/>
    </xf>
    <xf numFmtId="0" fontId="69" fillId="0" borderId="1" xfId="5" applyFont="1" applyBorder="1" applyAlignment="1">
      <alignment horizontal="right"/>
    </xf>
    <xf numFmtId="0" fontId="17" fillId="3" borderId="11" xfId="5" applyFont="1" applyFill="1" applyBorder="1" applyAlignment="1">
      <alignment horizontal="left"/>
    </xf>
    <xf numFmtId="0" fontId="17" fillId="3" borderId="12" xfId="5" applyFont="1" applyFill="1" applyBorder="1" applyAlignment="1">
      <alignment horizontal="left"/>
    </xf>
    <xf numFmtId="0" fontId="17" fillId="3" borderId="13" xfId="5" applyFont="1" applyFill="1" applyBorder="1" applyAlignment="1">
      <alignment horizontal="left"/>
    </xf>
    <xf numFmtId="0" fontId="22" fillId="0" borderId="17" xfId="0" applyFont="1" applyBorder="1" applyAlignment="1">
      <alignment horizontal="left"/>
    </xf>
    <xf numFmtId="0" fontId="22" fillId="0" borderId="18" xfId="0" applyFont="1" applyBorder="1" applyAlignment="1">
      <alignment horizontal="left"/>
    </xf>
    <xf numFmtId="0" fontId="22" fillId="0" borderId="19" xfId="0" applyFont="1" applyBorder="1" applyAlignment="1">
      <alignment horizontal="left"/>
    </xf>
    <xf numFmtId="0" fontId="17" fillId="6" borderId="42" xfId="1" applyFont="1" applyFill="1" applyBorder="1" applyAlignment="1">
      <alignment horizontal="center"/>
    </xf>
    <xf numFmtId="0" fontId="17" fillId="6" borderId="38" xfId="1" applyFont="1" applyFill="1" applyBorder="1" applyAlignment="1">
      <alignment horizontal="center"/>
    </xf>
    <xf numFmtId="0" fontId="69" fillId="2" borderId="45" xfId="1" applyFont="1" applyFill="1" applyBorder="1" applyAlignment="1">
      <alignment horizontal="left"/>
    </xf>
    <xf numFmtId="0" fontId="69" fillId="2" borderId="0" xfId="1" applyFont="1" applyFill="1" applyAlignment="1">
      <alignment horizontal="left"/>
    </xf>
    <xf numFmtId="0" fontId="21" fillId="0" borderId="55" xfId="0" applyFont="1" applyBorder="1" applyAlignment="1">
      <alignment horizontal="left"/>
    </xf>
    <xf numFmtId="0" fontId="21" fillId="0" borderId="34" xfId="0" applyFont="1" applyBorder="1" applyAlignment="1">
      <alignment horizontal="left"/>
    </xf>
    <xf numFmtId="0" fontId="21" fillId="0" borderId="53" xfId="0" applyFont="1" applyBorder="1" applyAlignment="1">
      <alignment horizontal="left"/>
    </xf>
    <xf numFmtId="0" fontId="69" fillId="0" borderId="17" xfId="0" applyFont="1" applyBorder="1" applyAlignment="1">
      <alignment horizontal="left" wrapText="1"/>
    </xf>
    <xf numFmtId="0" fontId="69" fillId="0" borderId="18" xfId="0" applyFont="1" applyBorder="1" applyAlignment="1">
      <alignment horizontal="left" wrapText="1"/>
    </xf>
    <xf numFmtId="0" fontId="69" fillId="0" borderId="8" xfId="0" applyFont="1" applyBorder="1" applyAlignment="1">
      <alignment horizontal="left" wrapText="1"/>
    </xf>
    <xf numFmtId="0" fontId="69" fillId="0" borderId="63" xfId="0" applyFont="1" applyBorder="1" applyAlignment="1">
      <alignment horizontal="left"/>
    </xf>
    <xf numFmtId="0" fontId="69" fillId="0" borderId="40" xfId="0" applyFont="1" applyBorder="1" applyAlignment="1">
      <alignment horizontal="left"/>
    </xf>
    <xf numFmtId="0" fontId="69" fillId="0" borderId="60" xfId="0" applyFont="1" applyBorder="1" applyAlignment="1">
      <alignment horizontal="left"/>
    </xf>
  </cellXfs>
  <cellStyles count="12">
    <cellStyle name="Millares" xfId="4" builtinId="3"/>
    <cellStyle name="Millares [0]" xfId="8" builtinId="6"/>
    <cellStyle name="Millares 2" xfId="7" xr:uid="{E20D19FB-CF47-42ED-B144-2CA7BCDED667}"/>
    <cellStyle name="Millares 2 2" xfId="11" xr:uid="{0BBA6A66-E528-46EA-9A47-336EA43D1C54}"/>
    <cellStyle name="Millares 3" xfId="9" xr:uid="{02F98A8D-DDA3-45AC-B888-3F9649154620}"/>
    <cellStyle name="Normal" xfId="0" builtinId="0"/>
    <cellStyle name="Normal 2" xfId="5" xr:uid="{2AA83AA2-C1B1-40E1-A261-B5241DC240ED}"/>
    <cellStyle name="Normal 3" xfId="6" xr:uid="{050AFA8D-D887-40DF-AD5E-162103EF8973}"/>
    <cellStyle name="Normal 3 2" xfId="10" xr:uid="{8834341C-5BEC-46F5-9ECF-DF940B4932F3}"/>
    <cellStyle name="Normal_CRITERIOS DE EVALUACION PT DE GB" xfId="1" xr:uid="{00000000-0005-0000-0000-000001000000}"/>
    <cellStyle name="Normal_CRITERIOS DE EVALUACION PT DE GB 2" xfId="3" xr:uid="{A35D6FDF-B502-4781-A7E2-AEC0ED499ABC}"/>
    <cellStyle name="Porcentaje 2" xfId="2" xr:uid="{144196D0-5152-4D94-9C23-C8FADE8783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0</xdr:row>
      <xdr:rowOff>107157</xdr:rowOff>
    </xdr:from>
    <xdr:to>
      <xdr:col>1</xdr:col>
      <xdr:colOff>959389</xdr:colOff>
      <xdr:row>4</xdr:row>
      <xdr:rowOff>119062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62A41721-2179-4065-A30D-D31718368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2" y="107157"/>
          <a:ext cx="1995235" cy="109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321470</xdr:colOff>
      <xdr:row>0</xdr:row>
      <xdr:rowOff>59533</xdr:rowOff>
    </xdr:from>
    <xdr:to>
      <xdr:col>1</xdr:col>
      <xdr:colOff>916781</xdr:colOff>
      <xdr:row>4</xdr:row>
      <xdr:rowOff>95910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56AB6305-35F0-4715-87BC-13F7E9D3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70" y="59533"/>
          <a:ext cx="1714499" cy="941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76200</xdr:rowOff>
    </xdr:from>
    <xdr:ext cx="914400" cy="990600"/>
    <xdr:pic>
      <xdr:nvPicPr>
        <xdr:cNvPr id="2" name="Picture 11" descr="LOGO FINAL">
          <a:extLst>
            <a:ext uri="{FF2B5EF4-FFF2-40B4-BE49-F238E27FC236}">
              <a16:creationId xmlns:a16="http://schemas.microsoft.com/office/drawing/2014/main" id="{55106E0C-B68F-4A5D-9239-17156ECBC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95250" y="76200"/>
          <a:ext cx="9144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76200</xdr:rowOff>
    </xdr:from>
    <xdr:ext cx="914400" cy="990600"/>
    <xdr:pic>
      <xdr:nvPicPr>
        <xdr:cNvPr id="3" name="Picture 11" descr="LOGO FINAL">
          <a:extLst>
            <a:ext uri="{FF2B5EF4-FFF2-40B4-BE49-F238E27FC236}">
              <a16:creationId xmlns:a16="http://schemas.microsoft.com/office/drawing/2014/main" id="{B0683AEC-9FEF-4AFA-B662-EC8982120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95250" y="76200"/>
          <a:ext cx="9144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76200</xdr:rowOff>
    </xdr:from>
    <xdr:ext cx="914400" cy="990600"/>
    <xdr:pic>
      <xdr:nvPicPr>
        <xdr:cNvPr id="4" name="Picture 11" descr="LOGO FINAL">
          <a:extLst>
            <a:ext uri="{FF2B5EF4-FFF2-40B4-BE49-F238E27FC236}">
              <a16:creationId xmlns:a16="http://schemas.microsoft.com/office/drawing/2014/main" id="{1E149C61-59CB-4428-BAC0-75F5991AE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95250" y="76200"/>
          <a:ext cx="9144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95249</xdr:colOff>
      <xdr:row>0</xdr:row>
      <xdr:rowOff>76200</xdr:rowOff>
    </xdr:from>
    <xdr:ext cx="1693333" cy="990600"/>
    <xdr:pic>
      <xdr:nvPicPr>
        <xdr:cNvPr id="5" name="Picture 11" descr="LOGO FINAL">
          <a:extLst>
            <a:ext uri="{FF2B5EF4-FFF2-40B4-BE49-F238E27FC236}">
              <a16:creationId xmlns:a16="http://schemas.microsoft.com/office/drawing/2014/main" id="{C34290E3-237D-4FCE-9E02-B27915647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95249" y="76200"/>
          <a:ext cx="1693333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94C5-3507-4DBC-AD53-16CCEE38E9D6}">
  <sheetPr>
    <pageSetUpPr fitToPage="1"/>
  </sheetPr>
  <dimension ref="A1:I51"/>
  <sheetViews>
    <sheetView topLeftCell="A21" zoomScale="80" zoomScaleNormal="80" workbookViewId="0">
      <selection activeCell="G19" sqref="G19"/>
    </sheetView>
  </sheetViews>
  <sheetFormatPr baseColWidth="10" defaultRowHeight="12.75" x14ac:dyDescent="0.2"/>
  <cols>
    <col min="1" max="1" width="16.85546875" bestFit="1" customWidth="1"/>
    <col min="2" max="2" width="16.28515625" customWidth="1"/>
    <col min="3" max="3" width="66.7109375" customWidth="1"/>
    <col min="4" max="4" width="29.7109375" customWidth="1"/>
    <col min="5" max="5" width="16.85546875" customWidth="1"/>
    <col min="6" max="6" width="16.140625" customWidth="1"/>
    <col min="7" max="7" width="17.85546875" customWidth="1"/>
    <col min="8" max="8" width="20.85546875" customWidth="1"/>
    <col min="9" max="9" width="24.28515625" bestFit="1" customWidth="1"/>
  </cols>
  <sheetData>
    <row r="1" spans="1:9" ht="18" x14ac:dyDescent="0.25">
      <c r="A1" s="505"/>
      <c r="B1" s="506"/>
      <c r="C1" s="511" t="s">
        <v>21</v>
      </c>
      <c r="D1" s="511"/>
      <c r="E1" s="511"/>
      <c r="F1" s="511"/>
      <c r="G1" s="511"/>
      <c r="H1" s="1" t="s">
        <v>0</v>
      </c>
      <c r="I1" s="2"/>
    </row>
    <row r="2" spans="1:9" ht="18" customHeight="1" thickBot="1" x14ac:dyDescent="0.3">
      <c r="A2" s="507"/>
      <c r="B2" s="508"/>
      <c r="C2" s="512" t="s">
        <v>1</v>
      </c>
      <c r="D2" s="513"/>
      <c r="E2" s="513"/>
      <c r="F2" s="513"/>
      <c r="G2" s="514"/>
      <c r="H2" s="3" t="s">
        <v>2</v>
      </c>
      <c r="I2" s="4"/>
    </row>
    <row r="3" spans="1:9" ht="31.5" customHeight="1" thickBot="1" x14ac:dyDescent="0.25">
      <c r="A3" s="507"/>
      <c r="B3" s="508"/>
      <c r="C3" s="515" t="s">
        <v>88</v>
      </c>
      <c r="D3" s="516"/>
      <c r="E3" s="516"/>
      <c r="F3" s="516"/>
      <c r="G3" s="517"/>
      <c r="H3" s="518" t="s">
        <v>3</v>
      </c>
      <c r="I3" s="496"/>
    </row>
    <row r="4" spans="1:9" ht="18" customHeight="1" x14ac:dyDescent="0.25">
      <c r="A4" s="507"/>
      <c r="B4" s="508"/>
      <c r="C4" s="5" t="s">
        <v>4</v>
      </c>
      <c r="D4" s="499" t="s">
        <v>58</v>
      </c>
      <c r="E4" s="500"/>
      <c r="F4" s="500"/>
      <c r="G4" s="501"/>
      <c r="H4" s="519"/>
      <c r="I4" s="497"/>
    </row>
    <row r="5" spans="1:9" ht="18.75" thickBot="1" x14ac:dyDescent="0.3">
      <c r="A5" s="509"/>
      <c r="B5" s="510"/>
      <c r="C5" s="6" t="s">
        <v>5</v>
      </c>
      <c r="D5" s="502" t="s">
        <v>35</v>
      </c>
      <c r="E5" s="503"/>
      <c r="F5" s="503"/>
      <c r="G5" s="504"/>
      <c r="H5" s="520"/>
      <c r="I5" s="498"/>
    </row>
    <row r="6" spans="1:9" ht="18.75" thickBot="1" x14ac:dyDescent="0.3">
      <c r="A6" s="487" t="s">
        <v>42</v>
      </c>
      <c r="B6" s="487"/>
      <c r="C6" s="487"/>
      <c r="D6" s="488" t="s">
        <v>43</v>
      </c>
      <c r="E6" s="488"/>
      <c r="F6" s="488"/>
      <c r="G6" s="489" t="s">
        <v>44</v>
      </c>
      <c r="H6" s="489"/>
      <c r="I6" s="7" t="s">
        <v>43</v>
      </c>
    </row>
    <row r="7" spans="1:9" ht="36" x14ac:dyDescent="0.2">
      <c r="A7" s="490" t="s">
        <v>6</v>
      </c>
      <c r="B7" s="492" t="s">
        <v>45</v>
      </c>
      <c r="C7" s="494" t="s">
        <v>7</v>
      </c>
      <c r="D7" s="494" t="s">
        <v>8</v>
      </c>
      <c r="E7" s="494" t="s">
        <v>22</v>
      </c>
      <c r="F7" s="494"/>
      <c r="G7" s="494" t="s">
        <v>46</v>
      </c>
      <c r="H7" s="494"/>
      <c r="I7" s="8" t="s">
        <v>47</v>
      </c>
    </row>
    <row r="8" spans="1:9" ht="36.75" thickBot="1" x14ac:dyDescent="0.3">
      <c r="A8" s="491"/>
      <c r="B8" s="493"/>
      <c r="C8" s="495"/>
      <c r="D8" s="495"/>
      <c r="E8" s="9" t="s">
        <v>9</v>
      </c>
      <c r="F8" s="10" t="s">
        <v>10</v>
      </c>
      <c r="G8" s="9" t="s">
        <v>9</v>
      </c>
      <c r="H8" s="10" t="s">
        <v>10</v>
      </c>
      <c r="I8" s="11" t="s">
        <v>48</v>
      </c>
    </row>
    <row r="9" spans="1:9" ht="18.399999999999999" customHeight="1" x14ac:dyDescent="0.3">
      <c r="A9" s="12"/>
      <c r="B9" s="13"/>
      <c r="C9" s="14" t="s">
        <v>24</v>
      </c>
      <c r="D9" s="15"/>
      <c r="E9" s="16"/>
      <c r="F9" s="17"/>
      <c r="G9" s="16"/>
      <c r="H9" s="17"/>
      <c r="I9" s="18"/>
    </row>
    <row r="10" spans="1:9" ht="20.25" x14ac:dyDescent="0.3">
      <c r="A10" s="19"/>
      <c r="B10" s="104" t="s">
        <v>59</v>
      </c>
      <c r="C10" s="103" t="s">
        <v>80</v>
      </c>
      <c r="D10" s="20" t="s">
        <v>34</v>
      </c>
      <c r="E10" s="20">
        <v>850</v>
      </c>
      <c r="F10" s="21" t="s">
        <v>11</v>
      </c>
      <c r="G10" s="205">
        <v>0.5</v>
      </c>
      <c r="H10" s="23" t="s">
        <v>142</v>
      </c>
      <c r="I10" s="18"/>
    </row>
    <row r="11" spans="1:9" ht="20.25" x14ac:dyDescent="0.3">
      <c r="A11" s="24"/>
      <c r="B11" s="41" t="s">
        <v>81</v>
      </c>
      <c r="C11" s="41" t="s">
        <v>82</v>
      </c>
      <c r="D11" s="20" t="s">
        <v>34</v>
      </c>
      <c r="E11" s="26">
        <v>192</v>
      </c>
      <c r="F11" s="21" t="s">
        <v>11</v>
      </c>
      <c r="G11" s="22" t="s">
        <v>83</v>
      </c>
      <c r="H11" s="23"/>
      <c r="I11" s="18"/>
    </row>
    <row r="12" spans="1:9" ht="20.25" x14ac:dyDescent="0.3">
      <c r="A12" s="27"/>
      <c r="B12" s="106" t="s">
        <v>84</v>
      </c>
      <c r="C12" s="105" t="s">
        <v>85</v>
      </c>
      <c r="D12" s="24"/>
      <c r="E12" s="26">
        <v>90</v>
      </c>
      <c r="F12" s="21" t="s">
        <v>11</v>
      </c>
      <c r="G12" s="24" t="s">
        <v>86</v>
      </c>
      <c r="H12" s="23"/>
      <c r="I12" s="18"/>
    </row>
    <row r="13" spans="1:9" ht="20.25" x14ac:dyDescent="0.3">
      <c r="A13" s="24"/>
      <c r="B13" s="24"/>
      <c r="C13" s="25"/>
      <c r="D13" s="26"/>
      <c r="E13" s="20"/>
      <c r="F13" s="21"/>
      <c r="G13" s="24"/>
      <c r="H13" s="23"/>
      <c r="I13" s="18"/>
    </row>
    <row r="14" spans="1:9" ht="20.25" x14ac:dyDescent="0.3">
      <c r="A14" s="29"/>
      <c r="B14" s="24"/>
      <c r="C14" s="28"/>
      <c r="D14" s="30"/>
      <c r="E14" s="30"/>
      <c r="F14" s="30"/>
      <c r="G14" s="16"/>
      <c r="H14" s="23"/>
      <c r="I14" s="18"/>
    </row>
    <row r="15" spans="1:9" ht="20.25" x14ac:dyDescent="0.3">
      <c r="A15" s="31"/>
      <c r="B15" s="32"/>
      <c r="C15" s="33" t="s">
        <v>25</v>
      </c>
      <c r="D15" s="20"/>
      <c r="E15" s="34"/>
      <c r="F15" s="21"/>
      <c r="G15" s="16"/>
      <c r="H15" s="17"/>
      <c r="I15" s="18"/>
    </row>
    <row r="16" spans="1:9" ht="20.25" x14ac:dyDescent="0.3">
      <c r="A16" s="35"/>
      <c r="B16" s="102" t="s">
        <v>81</v>
      </c>
      <c r="C16" s="41" t="s">
        <v>82</v>
      </c>
      <c r="D16" s="38" t="s">
        <v>34</v>
      </c>
      <c r="E16" s="39">
        <v>105</v>
      </c>
      <c r="F16" s="40" t="s">
        <v>11</v>
      </c>
      <c r="G16" s="16"/>
      <c r="H16" s="17"/>
      <c r="I16" s="18"/>
    </row>
    <row r="17" spans="1:9" ht="20.25" x14ac:dyDescent="0.3">
      <c r="A17" s="35"/>
      <c r="B17" s="106" t="s">
        <v>84</v>
      </c>
      <c r="C17" s="105" t="s">
        <v>85</v>
      </c>
      <c r="D17" s="20"/>
      <c r="E17" s="20">
        <v>15</v>
      </c>
      <c r="F17" s="21" t="s">
        <v>11</v>
      </c>
      <c r="G17" s="16"/>
      <c r="H17" s="17"/>
      <c r="I17" s="18"/>
    </row>
    <row r="18" spans="1:9" ht="20.25" x14ac:dyDescent="0.3">
      <c r="A18" s="35"/>
      <c r="B18" s="36"/>
      <c r="C18" s="37"/>
      <c r="D18" s="38"/>
      <c r="E18" s="39"/>
      <c r="F18" s="40"/>
      <c r="G18" s="16"/>
      <c r="H18" s="17"/>
      <c r="I18" s="18"/>
    </row>
    <row r="19" spans="1:9" ht="20.25" x14ac:dyDescent="0.3">
      <c r="A19" s="24"/>
      <c r="B19" s="24"/>
      <c r="C19" s="28"/>
      <c r="D19" s="42"/>
      <c r="E19" s="44"/>
      <c r="F19" s="45"/>
      <c r="G19" s="16"/>
      <c r="H19" s="17"/>
      <c r="I19" s="18"/>
    </row>
    <row r="20" spans="1:9" ht="20.25" x14ac:dyDescent="0.3">
      <c r="A20" s="46"/>
      <c r="B20" s="47"/>
      <c r="C20" s="48" t="s">
        <v>49</v>
      </c>
      <c r="D20" s="49"/>
      <c r="E20" s="50"/>
      <c r="F20" s="17"/>
      <c r="G20" s="16"/>
      <c r="H20" s="41"/>
      <c r="I20" s="18"/>
    </row>
    <row r="21" spans="1:9" ht="20.25" x14ac:dyDescent="0.3">
      <c r="A21" s="51">
        <v>11400066</v>
      </c>
      <c r="B21" s="51" t="s">
        <v>37</v>
      </c>
      <c r="C21" s="52" t="s">
        <v>36</v>
      </c>
      <c r="D21" s="24" t="s">
        <v>50</v>
      </c>
      <c r="E21" s="44">
        <v>20</v>
      </c>
      <c r="F21" s="45" t="s">
        <v>11</v>
      </c>
      <c r="G21" s="53"/>
      <c r="H21" s="17"/>
      <c r="I21" s="18"/>
    </row>
    <row r="22" spans="1:9" ht="20.25" x14ac:dyDescent="0.3">
      <c r="A22" s="54">
        <v>702066</v>
      </c>
      <c r="B22" s="54" t="s">
        <v>40</v>
      </c>
      <c r="C22" s="55" t="s">
        <v>26</v>
      </c>
      <c r="D22" s="24" t="s">
        <v>51</v>
      </c>
      <c r="E22" s="44">
        <v>2</v>
      </c>
      <c r="F22" s="45" t="s">
        <v>32</v>
      </c>
      <c r="G22" s="53"/>
      <c r="H22" s="17"/>
      <c r="I22" s="18"/>
    </row>
    <row r="23" spans="1:9" ht="20.25" x14ac:dyDescent="0.3">
      <c r="A23" s="24" t="s">
        <v>27</v>
      </c>
      <c r="B23" s="24" t="s">
        <v>41</v>
      </c>
      <c r="C23" s="28" t="s">
        <v>28</v>
      </c>
      <c r="D23" s="42" t="s">
        <v>31</v>
      </c>
      <c r="E23" s="44">
        <v>2</v>
      </c>
      <c r="F23" s="24" t="s">
        <v>32</v>
      </c>
      <c r="G23" s="53"/>
      <c r="H23" s="17"/>
      <c r="I23" s="18"/>
    </row>
    <row r="24" spans="1:9" ht="20.25" x14ac:dyDescent="0.3">
      <c r="A24" s="56" t="s">
        <v>147</v>
      </c>
      <c r="B24" s="101" t="s">
        <v>59</v>
      </c>
      <c r="C24" s="107" t="s">
        <v>87</v>
      </c>
      <c r="D24" s="24" t="s">
        <v>52</v>
      </c>
      <c r="E24" s="44">
        <v>2</v>
      </c>
      <c r="F24" s="45" t="s">
        <v>32</v>
      </c>
      <c r="G24" s="441"/>
      <c r="H24" s="442"/>
      <c r="I24" s="443"/>
    </row>
    <row r="25" spans="1:9" ht="20.25" x14ac:dyDescent="0.3">
      <c r="A25" s="56" t="s">
        <v>29</v>
      </c>
      <c r="B25" s="56" t="s">
        <v>38</v>
      </c>
      <c r="C25" s="57" t="s">
        <v>30</v>
      </c>
      <c r="D25" s="24" t="s">
        <v>31</v>
      </c>
      <c r="E25" s="44">
        <v>2</v>
      </c>
      <c r="F25" s="45" t="s">
        <v>32</v>
      </c>
      <c r="G25" s="16"/>
      <c r="H25" s="17"/>
      <c r="I25" s="18"/>
    </row>
    <row r="26" spans="1:9" ht="20.25" x14ac:dyDescent="0.3">
      <c r="A26" s="56">
        <v>702077</v>
      </c>
      <c r="B26" s="56" t="s">
        <v>39</v>
      </c>
      <c r="C26" s="57" t="s">
        <v>33</v>
      </c>
      <c r="D26" s="24" t="s">
        <v>31</v>
      </c>
      <c r="E26" s="44">
        <v>2</v>
      </c>
      <c r="F26" s="45" t="s">
        <v>32</v>
      </c>
      <c r="G26" s="58"/>
      <c r="H26" s="17"/>
      <c r="I26" s="18"/>
    </row>
    <row r="27" spans="1:9" ht="20.25" x14ac:dyDescent="0.3">
      <c r="A27" s="56"/>
      <c r="B27" s="56"/>
      <c r="C27" s="57"/>
      <c r="D27" s="24"/>
      <c r="E27" s="44"/>
      <c r="F27" s="45"/>
      <c r="G27" s="26"/>
      <c r="H27" s="17"/>
      <c r="I27" s="18"/>
    </row>
    <row r="28" spans="1:9" ht="20.25" x14ac:dyDescent="0.3">
      <c r="A28" s="59"/>
      <c r="B28" s="59"/>
      <c r="C28" s="60"/>
      <c r="D28" s="24"/>
      <c r="E28" s="45"/>
      <c r="F28" s="45"/>
      <c r="G28" s="26"/>
      <c r="H28" s="17"/>
      <c r="I28" s="18"/>
    </row>
    <row r="29" spans="1:9" ht="20.25" x14ac:dyDescent="0.3">
      <c r="A29" s="51"/>
      <c r="B29" s="24"/>
      <c r="C29" s="52"/>
      <c r="D29" s="42"/>
      <c r="E29" s="44"/>
      <c r="F29" s="24"/>
      <c r="G29" s="26"/>
      <c r="H29" s="17"/>
      <c r="I29" s="18"/>
    </row>
    <row r="30" spans="1:9" ht="20.25" x14ac:dyDescent="0.3">
      <c r="A30" s="56"/>
      <c r="B30" s="56"/>
      <c r="C30" s="57"/>
      <c r="D30" s="24"/>
      <c r="E30" s="44"/>
      <c r="F30" s="24"/>
      <c r="G30" s="26"/>
      <c r="H30" s="17"/>
      <c r="I30" s="18"/>
    </row>
    <row r="31" spans="1:9" ht="20.25" x14ac:dyDescent="0.3">
      <c r="A31" s="31"/>
      <c r="B31" s="32"/>
      <c r="C31" s="61"/>
      <c r="D31" s="20"/>
      <c r="E31" s="20"/>
      <c r="F31" s="21"/>
      <c r="G31" s="20"/>
      <c r="H31" s="20"/>
      <c r="I31" s="18"/>
    </row>
    <row r="32" spans="1:9" ht="21" thickBot="1" x14ac:dyDescent="0.35">
      <c r="A32" s="62"/>
      <c r="B32" s="63"/>
      <c r="C32" s="64"/>
      <c r="D32" s="64"/>
      <c r="E32" s="65"/>
      <c r="F32" s="66"/>
      <c r="G32" s="64"/>
      <c r="H32" s="64"/>
      <c r="I32" s="67"/>
    </row>
    <row r="33" spans="1:9" ht="21" thickBot="1" x14ac:dyDescent="0.35">
      <c r="A33" s="68"/>
      <c r="B33" s="69"/>
      <c r="C33" s="70"/>
      <c r="D33" s="71" t="s">
        <v>9</v>
      </c>
      <c r="E33" s="72" t="s">
        <v>12</v>
      </c>
      <c r="F33" s="73"/>
      <c r="G33" s="70"/>
      <c r="H33" s="70"/>
      <c r="I33" s="74"/>
    </row>
    <row r="34" spans="1:9" ht="20.25" x14ac:dyDescent="0.3">
      <c r="A34" s="473" t="s">
        <v>13</v>
      </c>
      <c r="B34" s="474"/>
      <c r="C34" s="475"/>
      <c r="D34" s="43">
        <v>1252</v>
      </c>
      <c r="E34" s="75" t="s">
        <v>11</v>
      </c>
      <c r="F34" s="476" t="s">
        <v>53</v>
      </c>
      <c r="G34" s="476"/>
      <c r="H34" s="477"/>
      <c r="I34" s="478"/>
    </row>
    <row r="35" spans="1:9" ht="20.25" x14ac:dyDescent="0.3">
      <c r="A35" s="464" t="s">
        <v>14</v>
      </c>
      <c r="B35" s="465"/>
      <c r="C35" s="466"/>
      <c r="D35" s="44">
        <v>5</v>
      </c>
      <c r="E35" s="24" t="s">
        <v>19</v>
      </c>
      <c r="F35" s="467" t="s">
        <v>23</v>
      </c>
      <c r="G35" s="467"/>
      <c r="H35" s="468"/>
      <c r="I35" s="469"/>
    </row>
    <row r="36" spans="1:9" ht="20.25" x14ac:dyDescent="0.3">
      <c r="A36" s="464" t="s">
        <v>15</v>
      </c>
      <c r="B36" s="465"/>
      <c r="C36" s="466"/>
      <c r="D36" s="24">
        <v>2</v>
      </c>
      <c r="E36" s="24" t="s">
        <v>20</v>
      </c>
      <c r="F36" s="467" t="s">
        <v>54</v>
      </c>
      <c r="G36" s="467"/>
      <c r="H36" s="468"/>
      <c r="I36" s="469"/>
    </row>
    <row r="37" spans="1:9" ht="20.25" x14ac:dyDescent="0.3">
      <c r="A37" s="464" t="s">
        <v>16</v>
      </c>
      <c r="B37" s="465"/>
      <c r="C37" s="466"/>
      <c r="D37" s="44">
        <v>626</v>
      </c>
      <c r="E37" s="24" t="s">
        <v>11</v>
      </c>
      <c r="F37" s="479" t="s">
        <v>55</v>
      </c>
      <c r="G37" s="480"/>
      <c r="H37" s="481"/>
      <c r="I37" s="482"/>
    </row>
    <row r="38" spans="1:9" ht="21" thickBot="1" x14ac:dyDescent="0.35">
      <c r="A38" s="483" t="s">
        <v>17</v>
      </c>
      <c r="B38" s="484"/>
      <c r="C38" s="485"/>
      <c r="D38" s="76">
        <v>3</v>
      </c>
      <c r="E38" s="77" t="s">
        <v>11</v>
      </c>
      <c r="F38" s="486"/>
      <c r="G38" s="486"/>
      <c r="H38" s="468"/>
      <c r="I38" s="469"/>
    </row>
    <row r="39" spans="1:9" ht="21" thickBot="1" x14ac:dyDescent="0.35">
      <c r="A39" s="470" t="s">
        <v>18</v>
      </c>
      <c r="B39" s="471"/>
      <c r="C39" s="471"/>
      <c r="D39" s="471"/>
      <c r="E39" s="471"/>
      <c r="F39" s="471"/>
      <c r="G39" s="471"/>
      <c r="H39" s="471"/>
      <c r="I39" s="472"/>
    </row>
    <row r="40" spans="1:9" ht="20.25" x14ac:dyDescent="0.3">
      <c r="A40" s="454"/>
      <c r="B40" s="455"/>
      <c r="C40" s="456"/>
      <c r="D40" s="456"/>
      <c r="E40" s="456"/>
      <c r="F40" s="456"/>
      <c r="G40" s="456"/>
      <c r="H40" s="456"/>
      <c r="I40" s="457"/>
    </row>
    <row r="41" spans="1:9" ht="20.25" x14ac:dyDescent="0.3">
      <c r="A41" s="450"/>
      <c r="B41" s="451"/>
      <c r="C41" s="452"/>
      <c r="D41" s="452"/>
      <c r="E41" s="452"/>
      <c r="F41" s="452"/>
      <c r="G41" s="452"/>
      <c r="H41" s="452"/>
      <c r="I41" s="453"/>
    </row>
    <row r="42" spans="1:9" ht="20.25" x14ac:dyDescent="0.3">
      <c r="A42" s="450"/>
      <c r="B42" s="451"/>
      <c r="C42" s="452"/>
      <c r="D42" s="452"/>
      <c r="E42" s="452"/>
      <c r="F42" s="452"/>
      <c r="G42" s="452"/>
      <c r="H42" s="452"/>
      <c r="I42" s="453"/>
    </row>
    <row r="43" spans="1:9" ht="20.25" x14ac:dyDescent="0.3">
      <c r="A43" s="454"/>
      <c r="B43" s="455"/>
      <c r="C43" s="456"/>
      <c r="D43" s="456"/>
      <c r="E43" s="456"/>
      <c r="F43" s="456"/>
      <c r="G43" s="456"/>
      <c r="H43" s="456"/>
      <c r="I43" s="457"/>
    </row>
    <row r="44" spans="1:9" ht="20.25" x14ac:dyDescent="0.3">
      <c r="A44" s="454"/>
      <c r="B44" s="455"/>
      <c r="C44" s="456"/>
      <c r="D44" s="456"/>
      <c r="E44" s="456"/>
      <c r="F44" s="456"/>
      <c r="G44" s="456"/>
      <c r="H44" s="456"/>
      <c r="I44" s="457"/>
    </row>
    <row r="45" spans="1:9" ht="42.75" customHeight="1" x14ac:dyDescent="0.3">
      <c r="A45" s="458"/>
      <c r="B45" s="459"/>
      <c r="C45" s="459"/>
      <c r="D45" s="459"/>
      <c r="E45" s="459"/>
      <c r="F45" s="459"/>
      <c r="G45" s="459"/>
      <c r="H45" s="459"/>
      <c r="I45" s="460"/>
    </row>
    <row r="46" spans="1:9" ht="18" customHeight="1" x14ac:dyDescent="0.3">
      <c r="A46" s="461"/>
      <c r="B46" s="462"/>
      <c r="C46" s="462"/>
      <c r="D46" s="462"/>
      <c r="E46" s="462"/>
      <c r="F46" s="462"/>
      <c r="G46" s="462"/>
      <c r="H46" s="462"/>
      <c r="I46" s="463"/>
    </row>
    <row r="47" spans="1:9" ht="20.25" x14ac:dyDescent="0.3">
      <c r="A47" s="461"/>
      <c r="B47" s="462"/>
      <c r="C47" s="462"/>
      <c r="D47" s="462"/>
      <c r="E47" s="462"/>
      <c r="F47" s="462"/>
      <c r="G47" s="462"/>
      <c r="H47" s="462"/>
      <c r="I47" s="463"/>
    </row>
    <row r="48" spans="1:9" ht="21" thickBot="1" x14ac:dyDescent="0.35">
      <c r="A48" s="444"/>
      <c r="B48" s="445"/>
      <c r="C48" s="445"/>
      <c r="D48" s="445"/>
      <c r="E48" s="445"/>
      <c r="F48" s="445"/>
      <c r="G48" s="445"/>
      <c r="H48" s="445"/>
      <c r="I48" s="446"/>
    </row>
    <row r="49" spans="1:9" ht="20.25" x14ac:dyDescent="0.3">
      <c r="A49" s="447" t="s">
        <v>56</v>
      </c>
      <c r="B49" s="448"/>
      <c r="C49" s="448"/>
      <c r="D49" s="448"/>
      <c r="E49" s="448"/>
      <c r="F49" s="448"/>
      <c r="G49" s="448"/>
      <c r="H49" s="448"/>
      <c r="I49" s="448"/>
    </row>
    <row r="50" spans="1:9" ht="20.25" x14ac:dyDescent="0.3">
      <c r="A50" s="449" t="s">
        <v>57</v>
      </c>
      <c r="B50" s="449"/>
      <c r="C50" s="449"/>
      <c r="D50" s="449"/>
      <c r="E50" s="449"/>
      <c r="F50" s="449"/>
      <c r="G50" s="449"/>
      <c r="H50" s="449"/>
      <c r="I50" s="449"/>
    </row>
    <row r="51" spans="1:9" ht="20.25" x14ac:dyDescent="0.3">
      <c r="A51" s="449"/>
      <c r="B51" s="449"/>
      <c r="C51" s="449"/>
      <c r="D51" s="449"/>
      <c r="E51" s="449"/>
      <c r="F51" s="449"/>
      <c r="G51" s="449"/>
      <c r="H51" s="449"/>
      <c r="I51" s="449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I39"/>
    <mergeCell ref="A40:I40"/>
    <mergeCell ref="A34:C34"/>
    <mergeCell ref="F34:G34"/>
    <mergeCell ref="H34:I34"/>
    <mergeCell ref="A35:C35"/>
    <mergeCell ref="F35:G35"/>
    <mergeCell ref="H35:I35"/>
    <mergeCell ref="F37:G37"/>
    <mergeCell ref="H37:I37"/>
    <mergeCell ref="A38:C38"/>
    <mergeCell ref="F38:G38"/>
    <mergeCell ref="H38:I38"/>
    <mergeCell ref="G24:I24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</mergeCells>
  <pageMargins left="0.7" right="0.7" top="0.75" bottom="0.75" header="0.3" footer="0.3"/>
  <pageSetup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F777-F55E-4864-9F0E-6DD1DB7B7C4E}">
  <dimension ref="A1:Q91"/>
  <sheetViews>
    <sheetView workbookViewId="0">
      <selection activeCell="G19" sqref="G19"/>
    </sheetView>
  </sheetViews>
  <sheetFormatPr baseColWidth="10" defaultColWidth="8.42578125" defaultRowHeight="12.75" x14ac:dyDescent="0.2"/>
  <cols>
    <col min="1" max="1" width="10" style="113" bestFit="1" customWidth="1"/>
    <col min="2" max="2" width="44.28515625" style="113" bestFit="1" customWidth="1"/>
    <col min="3" max="3" width="10.42578125" style="113" bestFit="1" customWidth="1"/>
    <col min="4" max="4" width="10.42578125" style="113" customWidth="1"/>
    <col min="5" max="5" width="11" style="113" customWidth="1"/>
    <col min="6" max="6" width="9.5703125" style="113" bestFit="1" customWidth="1"/>
    <col min="7" max="7" width="10.85546875" style="195" customWidth="1"/>
    <col min="8" max="8" width="10.42578125" style="186" bestFit="1" customWidth="1"/>
    <col min="9" max="9" width="4.5703125" style="186" customWidth="1"/>
    <col min="10" max="10" width="1.85546875" style="112" customWidth="1"/>
    <col min="11" max="11" width="7" style="113" bestFit="1" customWidth="1"/>
    <col min="12" max="12" width="6.28515625" style="113" customWidth="1"/>
    <col min="13" max="13" width="20.42578125" style="113" customWidth="1"/>
    <col min="14" max="14" width="6.42578125" style="113" bestFit="1" customWidth="1"/>
    <col min="15" max="15" width="9.28515625" style="113" bestFit="1" customWidth="1"/>
    <col min="16" max="16" width="8.42578125" style="113"/>
    <col min="17" max="17" width="3.28515625" style="113" customWidth="1"/>
    <col min="18" max="16384" width="8.42578125" style="113"/>
  </cols>
  <sheetData>
    <row r="1" spans="1:10" ht="27.75" customHeight="1" x14ac:dyDescent="0.2">
      <c r="A1" s="108"/>
      <c r="B1" s="108"/>
      <c r="C1" s="108"/>
      <c r="D1" s="108"/>
      <c r="E1" s="109" t="s">
        <v>89</v>
      </c>
      <c r="F1" s="110" t="s">
        <v>90</v>
      </c>
      <c r="G1" s="110" t="s">
        <v>91</v>
      </c>
      <c r="H1" s="110" t="s">
        <v>92</v>
      </c>
      <c r="I1" s="111"/>
    </row>
    <row r="2" spans="1:10" ht="30.75" customHeight="1" x14ac:dyDescent="0.2">
      <c r="A2" s="108"/>
      <c r="B2" s="108"/>
      <c r="C2" s="108"/>
      <c r="D2" s="108"/>
      <c r="E2" s="114">
        <f>IFERROR(O62,"")</f>
        <v>4758.3833686725666</v>
      </c>
      <c r="F2" s="114">
        <f>IFERROR(H53,"")</f>
        <v>2782.8719775076506</v>
      </c>
      <c r="G2" s="114">
        <f>IFERROR(H54,"")</f>
        <v>994.21915362185712</v>
      </c>
      <c r="H2" s="114">
        <f>IFERROR(H56,"")</f>
        <v>472.24688931759715</v>
      </c>
      <c r="I2" s="115"/>
    </row>
    <row r="3" spans="1:10" ht="15" customHeight="1" x14ac:dyDescent="0.2">
      <c r="A3" s="108"/>
      <c r="B3" s="108"/>
      <c r="C3" s="108"/>
      <c r="D3" s="108"/>
      <c r="E3" s="108"/>
      <c r="F3" s="116"/>
      <c r="G3" s="116"/>
      <c r="H3" s="116"/>
      <c r="I3" s="116"/>
    </row>
    <row r="4" spans="1:10" ht="24.75" customHeight="1" thickBot="1" x14ac:dyDescent="0.25">
      <c r="A4" s="522"/>
      <c r="B4" s="522"/>
      <c r="C4" s="522"/>
      <c r="D4" s="522"/>
      <c r="E4" s="522"/>
      <c r="F4" s="522"/>
      <c r="G4" s="522"/>
      <c r="H4" s="522"/>
      <c r="I4" s="117"/>
    </row>
    <row r="5" spans="1:10" ht="19.5" customHeight="1" thickBot="1" x14ac:dyDescent="0.25">
      <c r="A5" s="523" t="s">
        <v>93</v>
      </c>
      <c r="B5" s="524"/>
      <c r="C5" s="524"/>
      <c r="D5" s="524"/>
      <c r="E5" s="524"/>
      <c r="F5" s="524"/>
      <c r="G5" s="524"/>
      <c r="H5" s="525"/>
      <c r="I5" s="118"/>
    </row>
    <row r="6" spans="1:10" ht="19.5" thickBot="1" x14ac:dyDescent="0.25">
      <c r="A6" s="118"/>
      <c r="B6" s="118"/>
      <c r="C6" s="118"/>
      <c r="D6" s="118"/>
      <c r="E6" s="118"/>
      <c r="F6" s="526" t="s">
        <v>94</v>
      </c>
      <c r="G6" s="526"/>
      <c r="H6" s="119">
        <f ca="1">TODAY()</f>
        <v>46048</v>
      </c>
      <c r="I6" s="119"/>
    </row>
    <row r="7" spans="1:10" ht="26.25" thickBot="1" x14ac:dyDescent="0.25">
      <c r="A7" s="120" t="s">
        <v>95</v>
      </c>
      <c r="B7" s="121" t="s">
        <v>96</v>
      </c>
      <c r="C7" s="121" t="s">
        <v>95</v>
      </c>
      <c r="D7" s="122" t="s">
        <v>97</v>
      </c>
      <c r="E7" s="122" t="s">
        <v>98</v>
      </c>
      <c r="F7" s="122" t="s">
        <v>99</v>
      </c>
      <c r="G7" s="122" t="s">
        <v>100</v>
      </c>
      <c r="H7" s="123" t="s">
        <v>101</v>
      </c>
      <c r="I7" s="124"/>
    </row>
    <row r="8" spans="1:10" ht="13.5" x14ac:dyDescent="0.25">
      <c r="A8" s="125">
        <v>105</v>
      </c>
      <c r="B8" s="113" t="s">
        <v>85</v>
      </c>
      <c r="C8" s="126">
        <f>+A8</f>
        <v>105</v>
      </c>
      <c r="D8" s="127" t="s">
        <v>141</v>
      </c>
      <c r="E8" s="127">
        <v>3.01</v>
      </c>
      <c r="F8" s="127">
        <f>IFERROR(C8*E8,"")</f>
        <v>316.04999999999995</v>
      </c>
      <c r="G8" s="128">
        <f t="shared" ref="G8:G14" si="0">IFERROR(F8/$F$66,"")</f>
        <v>7.4933342920692578E-2</v>
      </c>
      <c r="H8" s="129" t="s">
        <v>84</v>
      </c>
      <c r="I8" s="129"/>
      <c r="J8" s="130"/>
    </row>
    <row r="9" spans="1:10" ht="13.5" x14ac:dyDescent="0.25">
      <c r="A9" s="125">
        <v>40</v>
      </c>
      <c r="B9" s="113" t="s">
        <v>36</v>
      </c>
      <c r="C9" s="126">
        <f t="shared" ref="C9:C14" si="1">+A9</f>
        <v>40</v>
      </c>
      <c r="D9" s="127" t="s">
        <v>141</v>
      </c>
      <c r="E9" s="127">
        <v>2.5499999999999998</v>
      </c>
      <c r="F9" s="127">
        <f t="shared" ref="F9:F14" si="2">IFERROR(C9*E9,"")</f>
        <v>102</v>
      </c>
      <c r="G9" s="128">
        <f t="shared" si="0"/>
        <v>2.4183518360736098E-2</v>
      </c>
      <c r="H9" s="129" t="s">
        <v>146</v>
      </c>
      <c r="I9" s="129"/>
      <c r="J9" s="130"/>
    </row>
    <row r="10" spans="1:10" ht="16.149999999999999" hidden="1" customHeight="1" x14ac:dyDescent="0.25">
      <c r="A10" s="125"/>
      <c r="B10" s="113" t="str">
        <f>IFERROR(VLOOKUP(H10,'[1]Consolidado MP Planta'!$A$2:$M$823,3,0),"")</f>
        <v/>
      </c>
      <c r="C10" s="126">
        <f t="shared" si="1"/>
        <v>0</v>
      </c>
      <c r="D10" s="127" t="str">
        <f>IFERROR(VLOOKUP(H10,'[1]Consolidado MP Planta'!$A$2:$M$823,13,0),"")</f>
        <v/>
      </c>
      <c r="E10" s="127" t="str">
        <f>IFERROR(VLOOKUP(H10,'[1]Consolidado MP Planta'!$A$2:$M$823,12,0),"")</f>
        <v/>
      </c>
      <c r="F10" s="127" t="str">
        <f t="shared" si="2"/>
        <v/>
      </c>
      <c r="G10" s="128" t="str">
        <f t="shared" si="0"/>
        <v/>
      </c>
      <c r="H10" s="129"/>
      <c r="I10" s="129"/>
      <c r="J10" s="130"/>
    </row>
    <row r="11" spans="1:10" ht="16.149999999999999" hidden="1" customHeight="1" x14ac:dyDescent="0.25">
      <c r="A11" s="125"/>
      <c r="B11" s="113" t="str">
        <f>IFERROR(VLOOKUP(H11,'[1]Consolidado MP Planta'!$A$2:$M$823,3,0),"")</f>
        <v/>
      </c>
      <c r="C11" s="126">
        <f t="shared" si="1"/>
        <v>0</v>
      </c>
      <c r="D11" s="127" t="str">
        <f>IFERROR(VLOOKUP(H11,'[1]Consolidado MP Planta'!$A$2:$M$823,13,0),"")</f>
        <v/>
      </c>
      <c r="E11" s="127" t="str">
        <f>IFERROR(VLOOKUP(H11,'[1]Consolidado MP Planta'!$A$2:$M$823,12,0),"")</f>
        <v/>
      </c>
      <c r="F11" s="127" t="str">
        <f t="shared" si="2"/>
        <v/>
      </c>
      <c r="G11" s="128" t="str">
        <f t="shared" si="0"/>
        <v/>
      </c>
      <c r="H11" s="129"/>
      <c r="I11" s="129"/>
      <c r="J11" s="130"/>
    </row>
    <row r="12" spans="1:10" ht="16.149999999999999" hidden="1" customHeight="1" x14ac:dyDescent="0.25">
      <c r="A12" s="125"/>
      <c r="B12" s="113" t="str">
        <f>IFERROR(VLOOKUP(H12,'[1]Consolidado MP Planta'!$A$2:$M$823,3,0),"")</f>
        <v/>
      </c>
      <c r="C12" s="126">
        <f t="shared" si="1"/>
        <v>0</v>
      </c>
      <c r="D12" s="127" t="str">
        <f>IFERROR(VLOOKUP(H12,'[1]Consolidado MP Planta'!$A$2:$M$823,13,0),"")</f>
        <v/>
      </c>
      <c r="E12" s="127" t="str">
        <f>IFERROR(VLOOKUP(H12,'[1]Consolidado MP Planta'!$A$2:$M$823,12,0),"")</f>
        <v/>
      </c>
      <c r="F12" s="127" t="str">
        <f t="shared" si="2"/>
        <v/>
      </c>
      <c r="G12" s="128" t="str">
        <f t="shared" si="0"/>
        <v/>
      </c>
      <c r="H12" s="129"/>
      <c r="I12" s="129"/>
      <c r="J12" s="130"/>
    </row>
    <row r="13" spans="1:10" ht="16.149999999999999" hidden="1" customHeight="1" x14ac:dyDescent="0.25">
      <c r="A13" s="125"/>
      <c r="B13" s="113" t="str">
        <f>IFERROR(VLOOKUP(H13,'[1]Consolidado MP Planta'!$A$2:$M$823,3,0),"")</f>
        <v/>
      </c>
      <c r="C13" s="126">
        <f t="shared" si="1"/>
        <v>0</v>
      </c>
      <c r="D13" s="127" t="str">
        <f>IFERROR(VLOOKUP(H13,'[1]Consolidado MP Planta'!$A$2:$M$823,13,0),"")</f>
        <v/>
      </c>
      <c r="E13" s="127" t="str">
        <f>IFERROR(VLOOKUP(H13,'[1]Consolidado MP Planta'!$A$2:$M$823,12,0),"")</f>
        <v/>
      </c>
      <c r="F13" s="127" t="str">
        <f t="shared" si="2"/>
        <v/>
      </c>
      <c r="G13" s="128" t="str">
        <f t="shared" si="0"/>
        <v/>
      </c>
      <c r="H13" s="129"/>
      <c r="I13" s="129"/>
      <c r="J13" s="130"/>
    </row>
    <row r="14" spans="1:10" ht="16.149999999999999" hidden="1" customHeight="1" x14ac:dyDescent="0.25">
      <c r="A14" s="125"/>
      <c r="B14" s="113" t="str">
        <f>IFERROR(VLOOKUP(H14,'[1]Consolidado MP Planta'!$A$2:$M$823,3,0),"")</f>
        <v/>
      </c>
      <c r="C14" s="126">
        <f t="shared" si="1"/>
        <v>0</v>
      </c>
      <c r="D14" s="127" t="str">
        <f>IFERROR(VLOOKUP(H14,'[1]Consolidado MP Planta'!$A$2:$M$823,13,0),"")</f>
        <v/>
      </c>
      <c r="E14" s="127" t="str">
        <f>IFERROR(VLOOKUP(H14,'[1]Consolidado MP Planta'!$A$2:$M$823,12,0),"")</f>
        <v/>
      </c>
      <c r="F14" s="127" t="str">
        <f t="shared" si="2"/>
        <v/>
      </c>
      <c r="G14" s="128" t="str">
        <f t="shared" si="0"/>
        <v/>
      </c>
      <c r="H14" s="129"/>
      <c r="I14" s="129"/>
      <c r="J14" s="130"/>
    </row>
    <row r="15" spans="1:10" ht="14.25" thickBot="1" x14ac:dyDescent="0.3">
      <c r="A15" s="125"/>
      <c r="B15" s="113" t="str">
        <f>IFERROR(VLOOKUP(H15,[2]Hoja2!$A$2:$G$589,2,0),"")</f>
        <v/>
      </c>
      <c r="C15" s="126"/>
      <c r="D15" s="127"/>
      <c r="E15" s="127"/>
      <c r="F15" s="127"/>
      <c r="G15" s="128"/>
      <c r="H15" s="129"/>
      <c r="I15" s="129"/>
      <c r="J15" s="130"/>
    </row>
    <row r="16" spans="1:10" ht="26.25" thickBot="1" x14ac:dyDescent="0.25">
      <c r="A16" s="120" t="s">
        <v>95</v>
      </c>
      <c r="B16" s="121" t="s">
        <v>102</v>
      </c>
      <c r="C16" s="121" t="s">
        <v>95</v>
      </c>
      <c r="D16" s="122" t="s">
        <v>97</v>
      </c>
      <c r="E16" s="122" t="s">
        <v>98</v>
      </c>
      <c r="F16" s="122" t="s">
        <v>99</v>
      </c>
      <c r="G16" s="122" t="s">
        <v>100</v>
      </c>
      <c r="H16" s="123" t="s">
        <v>101</v>
      </c>
      <c r="I16" s="124"/>
      <c r="J16" s="130"/>
    </row>
    <row r="17" spans="1:12" ht="13.5" x14ac:dyDescent="0.25">
      <c r="A17" s="125">
        <v>0.5</v>
      </c>
      <c r="B17" s="113" t="s">
        <v>80</v>
      </c>
      <c r="C17" s="126">
        <f>+A17</f>
        <v>0.5</v>
      </c>
      <c r="D17" s="126" t="s">
        <v>142</v>
      </c>
      <c r="E17" s="127">
        <f>+'Costo Plancha'!H53</f>
        <v>3200.8439550153016</v>
      </c>
      <c r="F17" s="127">
        <f>IFERROR(E17*C17,"")</f>
        <v>1600.4219775076508</v>
      </c>
      <c r="G17" s="128">
        <f t="shared" ref="G17:G24" si="3">IFERROR(F17/$F$66,"")</f>
        <v>0.37944935566648869</v>
      </c>
      <c r="H17" s="129" t="s">
        <v>143</v>
      </c>
      <c r="I17" s="129"/>
      <c r="J17" s="130"/>
    </row>
    <row r="18" spans="1:12" ht="13.5" x14ac:dyDescent="0.25">
      <c r="A18" s="125">
        <v>312</v>
      </c>
      <c r="B18" s="113" t="s">
        <v>82</v>
      </c>
      <c r="C18" s="126">
        <f t="shared" ref="C18:C24" si="4">+A18</f>
        <v>312</v>
      </c>
      <c r="D18" s="126" t="s">
        <v>141</v>
      </c>
      <c r="E18" s="127">
        <v>2.4500000000000002</v>
      </c>
      <c r="F18" s="127">
        <f t="shared" ref="F18:F24" si="5">IFERROR(E18*C18,"")</f>
        <v>764.40000000000009</v>
      </c>
      <c r="G18" s="128">
        <f t="shared" si="3"/>
        <v>0.18123413171516348</v>
      </c>
      <c r="H18" s="129" t="s">
        <v>81</v>
      </c>
      <c r="I18" s="129"/>
      <c r="J18" s="130"/>
    </row>
    <row r="19" spans="1:12" ht="13.5" hidden="1" x14ac:dyDescent="0.25">
      <c r="A19" s="125"/>
      <c r="B19" s="113" t="str">
        <f>IFERROR(VLOOKUP(H19,[1]SEMIELABORADOS!$A$2:$M$6000,2,0),"")</f>
        <v/>
      </c>
      <c r="C19" s="126">
        <f>+A19</f>
        <v>0</v>
      </c>
      <c r="D19" s="126" t="str">
        <f>IFERROR(VLOOKUP(H19,[1]SEMIELABORADOS!$A$2:$M$6000,6,0),"")</f>
        <v/>
      </c>
      <c r="E19" s="127" t="str">
        <f>IFERROR(VLOOKUP(H19,[1]SEMIELABORADOS!$A$2:$H$65536,8,0),"")</f>
        <v/>
      </c>
      <c r="F19" s="127" t="str">
        <f>IFERROR(E19*C19,"")</f>
        <v/>
      </c>
      <c r="G19" s="128" t="str">
        <f t="shared" si="3"/>
        <v/>
      </c>
      <c r="H19" s="129"/>
      <c r="I19" s="129"/>
      <c r="J19" s="130"/>
    </row>
    <row r="20" spans="1:12" ht="13.5" hidden="1" x14ac:dyDescent="0.25">
      <c r="A20" s="125"/>
      <c r="B20" s="113" t="str">
        <f>IFERROR(VLOOKUP(H20,[1]SEMIELABORADOS!$A$2:$M$6000,2,0),"")</f>
        <v/>
      </c>
      <c r="C20" s="126">
        <f>+A20</f>
        <v>0</v>
      </c>
      <c r="D20" s="126" t="str">
        <f>IFERROR(VLOOKUP(H20,[1]SEMIELABORADOS!$A$2:$M$6000,6,0),"")</f>
        <v/>
      </c>
      <c r="E20" s="127" t="str">
        <f>IFERROR(VLOOKUP(H20,[1]SEMIELABORADOS!$A$2:$H$65536,8,0),"")</f>
        <v/>
      </c>
      <c r="F20" s="127" t="str">
        <f>IFERROR(E20*C20,"")</f>
        <v/>
      </c>
      <c r="G20" s="128" t="str">
        <f t="shared" si="3"/>
        <v/>
      </c>
      <c r="H20" s="129"/>
      <c r="I20" s="129"/>
      <c r="J20" s="130"/>
    </row>
    <row r="21" spans="1:12" ht="13.5" hidden="1" x14ac:dyDescent="0.25">
      <c r="A21" s="125"/>
      <c r="B21" s="113" t="str">
        <f>IFERROR(VLOOKUP(H21,[1]SEMIELABORADOS!$A$2:$M$6000,2,0),"")</f>
        <v/>
      </c>
      <c r="C21" s="126">
        <f>+A21</f>
        <v>0</v>
      </c>
      <c r="D21" s="126" t="str">
        <f>IFERROR(VLOOKUP(H21,[1]SEMIELABORADOS!$A$2:$M$6000,6,0),"")</f>
        <v/>
      </c>
      <c r="E21" s="127" t="str">
        <f>IFERROR(VLOOKUP(H21,[1]SEMIELABORADOS!$A$2:$H$65536,8,0),"")</f>
        <v/>
      </c>
      <c r="F21" s="127" t="str">
        <f>IFERROR(E21*C21,"")</f>
        <v/>
      </c>
      <c r="G21" s="128" t="str">
        <f t="shared" si="3"/>
        <v/>
      </c>
      <c r="H21" s="129"/>
      <c r="I21" s="129"/>
      <c r="J21" s="130"/>
    </row>
    <row r="22" spans="1:12" ht="13.5" hidden="1" x14ac:dyDescent="0.25">
      <c r="A22" s="125"/>
      <c r="B22" s="113" t="str">
        <f>IFERROR(VLOOKUP(H22,[1]SEMIELABORADOS!$A$2:$M$6000,2,0),"")</f>
        <v/>
      </c>
      <c r="C22" s="126">
        <f t="shared" si="4"/>
        <v>0</v>
      </c>
      <c r="D22" s="126" t="str">
        <f>IFERROR(VLOOKUP(H22,[1]SEMIELABORADOS!$A$2:$M$6000,6,0),"")</f>
        <v/>
      </c>
      <c r="E22" s="127" t="str">
        <f>IFERROR(VLOOKUP(H22,[1]SEMIELABORADOS!$A$2:$H$65536,8,0),"")</f>
        <v/>
      </c>
      <c r="F22" s="127" t="str">
        <f t="shared" si="5"/>
        <v/>
      </c>
      <c r="G22" s="128" t="str">
        <f t="shared" si="3"/>
        <v/>
      </c>
      <c r="H22" s="129"/>
      <c r="I22" s="129"/>
      <c r="J22" s="130"/>
    </row>
    <row r="23" spans="1:12" ht="13.5" hidden="1" x14ac:dyDescent="0.25">
      <c r="A23" s="125"/>
      <c r="B23" s="113" t="str">
        <f>IFERROR(VLOOKUP(H23,[1]SEMIELABORADOS!$A$2:$M$6000,2,0),"")</f>
        <v/>
      </c>
      <c r="C23" s="126">
        <f t="shared" si="4"/>
        <v>0</v>
      </c>
      <c r="D23" s="126" t="str">
        <f>IFERROR(VLOOKUP(H23,[1]SEMIELABORADOS!$A$2:$M$6000,6,0),"")</f>
        <v/>
      </c>
      <c r="E23" s="127" t="str">
        <f>IFERROR(VLOOKUP(H23,[1]SEMIELABORADOS!$A$2:$H$65536,8,0),"")</f>
        <v/>
      </c>
      <c r="F23" s="127" t="str">
        <f t="shared" si="5"/>
        <v/>
      </c>
      <c r="G23" s="128" t="str">
        <f t="shared" si="3"/>
        <v/>
      </c>
      <c r="H23" s="129"/>
      <c r="I23" s="129"/>
      <c r="J23" s="130"/>
    </row>
    <row r="24" spans="1:12" ht="13.5" hidden="1" x14ac:dyDescent="0.25">
      <c r="A24" s="125"/>
      <c r="B24" s="113" t="str">
        <f>IFERROR(VLOOKUP(H24,[1]SEMIELABORADOS!$A$2:$M$6000,2,0),"")</f>
        <v/>
      </c>
      <c r="C24" s="126">
        <f t="shared" si="4"/>
        <v>0</v>
      </c>
      <c r="D24" s="126" t="str">
        <f>IFERROR(VLOOKUP(H24,[1]SEMIELABORADOS!$A$2:$M$6000,6,0),"")</f>
        <v/>
      </c>
      <c r="E24" s="127" t="str">
        <f>IFERROR(VLOOKUP(H24,[1]SEMIELABORADOS!$A$2:$H$65536,8,0),"")</f>
        <v/>
      </c>
      <c r="F24" s="127" t="str">
        <f t="shared" si="5"/>
        <v/>
      </c>
      <c r="G24" s="128" t="str">
        <f t="shared" si="3"/>
        <v/>
      </c>
      <c r="H24" s="129"/>
      <c r="I24" s="129"/>
      <c r="J24" s="130"/>
    </row>
    <row r="25" spans="1:12" ht="14.25" thickBot="1" x14ac:dyDescent="0.3">
      <c r="A25" s="125"/>
      <c r="C25" s="126"/>
      <c r="D25" s="126"/>
      <c r="E25" s="127"/>
      <c r="F25" s="127"/>
      <c r="G25" s="128"/>
      <c r="H25" s="129"/>
      <c r="I25" s="129"/>
      <c r="J25" s="130"/>
    </row>
    <row r="26" spans="1:12" ht="26.25" thickBot="1" x14ac:dyDescent="0.25">
      <c r="A26" s="120" t="s">
        <v>95</v>
      </c>
      <c r="B26" s="121" t="s">
        <v>103</v>
      </c>
      <c r="C26" s="121" t="s">
        <v>95</v>
      </c>
      <c r="D26" s="122" t="s">
        <v>97</v>
      </c>
      <c r="E26" s="122" t="s">
        <v>98</v>
      </c>
      <c r="F26" s="122" t="s">
        <v>99</v>
      </c>
      <c r="G26" s="122" t="s">
        <v>100</v>
      </c>
      <c r="H26" s="123" t="s">
        <v>101</v>
      </c>
      <c r="I26" s="124"/>
    </row>
    <row r="27" spans="1:12" ht="13.5" x14ac:dyDescent="0.25">
      <c r="A27" s="125">
        <v>2</v>
      </c>
      <c r="B27" s="131" t="s">
        <v>26</v>
      </c>
      <c r="C27" s="126">
        <f t="shared" ref="C27:C32" si="6">+A27</f>
        <v>2</v>
      </c>
      <c r="D27" s="127" t="s">
        <v>151</v>
      </c>
      <c r="E27" s="127">
        <v>2.5</v>
      </c>
      <c r="F27" s="127">
        <f t="shared" ref="F27:F32" si="7">IFERROR(C27*E27,"")</f>
        <v>5</v>
      </c>
      <c r="G27" s="128">
        <f t="shared" ref="G27:G32" si="8">IFERROR(F27/$F$66,"")</f>
        <v>1.185466586310593E-3</v>
      </c>
      <c r="H27" s="132" t="s">
        <v>148</v>
      </c>
      <c r="I27" s="132"/>
      <c r="J27" s="130"/>
      <c r="K27" s="521"/>
      <c r="L27" s="521"/>
    </row>
    <row r="28" spans="1:12" ht="13.5" x14ac:dyDescent="0.25">
      <c r="A28" s="125">
        <v>2</v>
      </c>
      <c r="B28" s="131" t="str">
        <f>IFERROR(VLOOKUP(H28,'[1]Consolidado MP Planta'!$A$2:$M$823,3,0),"")</f>
        <v>ETIQ.FECHA VENCIMIENTO AMARILLO (ROLLO)</v>
      </c>
      <c r="C28" s="126">
        <f t="shared" si="6"/>
        <v>2</v>
      </c>
      <c r="D28" s="127" t="str">
        <f>IFERROR(VLOOKUP(H28,'[1]Consolidado MP Planta'!$A$2:$M$823,13,0),"")</f>
        <v>Und</v>
      </c>
      <c r="E28" s="127">
        <v>0.33</v>
      </c>
      <c r="F28" s="127">
        <f t="shared" si="7"/>
        <v>0.66</v>
      </c>
      <c r="G28" s="128">
        <f t="shared" si="8"/>
        <v>1.5648158939299828E-4</v>
      </c>
      <c r="H28" s="132" t="s">
        <v>27</v>
      </c>
      <c r="I28" s="132"/>
      <c r="J28" s="130"/>
      <c r="K28" s="521"/>
      <c r="L28" s="521"/>
    </row>
    <row r="29" spans="1:12" ht="13.5" x14ac:dyDescent="0.25">
      <c r="A29" s="125">
        <v>2</v>
      </c>
      <c r="B29" s="131" t="s">
        <v>150</v>
      </c>
      <c r="C29" s="126">
        <f t="shared" si="6"/>
        <v>2</v>
      </c>
      <c r="D29" s="127" t="s">
        <v>151</v>
      </c>
      <c r="E29" s="127">
        <v>410</v>
      </c>
      <c r="F29" s="127">
        <f t="shared" si="7"/>
        <v>820</v>
      </c>
      <c r="G29" s="128">
        <f t="shared" si="8"/>
        <v>0.19441652015493724</v>
      </c>
      <c r="H29" s="132" t="s">
        <v>147</v>
      </c>
      <c r="I29" s="132"/>
      <c r="J29" s="130"/>
      <c r="K29" s="521"/>
      <c r="L29" s="521"/>
    </row>
    <row r="30" spans="1:12" ht="13.5" x14ac:dyDescent="0.25">
      <c r="A30" s="125">
        <v>2</v>
      </c>
      <c r="B30" s="131" t="str">
        <f>IFERROR(VLOOKUP(H30,'[1]Consolidado MP Planta'!$A$2:$M$823,3,0),"")</f>
        <v>ETIQUETA SELLO SEGURIDAD (ROLLO:1000)</v>
      </c>
      <c r="C30" s="126">
        <f t="shared" si="6"/>
        <v>2</v>
      </c>
      <c r="D30" s="127" t="str">
        <f>IFERROR(VLOOKUP(H30,'[1]Consolidado MP Planta'!$A$2:$M$823,13,0),"")</f>
        <v>Und</v>
      </c>
      <c r="E30" s="127">
        <v>6</v>
      </c>
      <c r="F30" s="127">
        <f t="shared" si="7"/>
        <v>12</v>
      </c>
      <c r="G30" s="128">
        <f t="shared" si="8"/>
        <v>2.8451198071454231E-3</v>
      </c>
      <c r="H30" s="132" t="s">
        <v>29</v>
      </c>
      <c r="I30" s="132"/>
      <c r="J30" s="130"/>
      <c r="K30" s="521"/>
      <c r="L30" s="521"/>
    </row>
    <row r="31" spans="1:12" ht="13.5" x14ac:dyDescent="0.25">
      <c r="A31" s="125">
        <v>2</v>
      </c>
      <c r="B31" s="131" t="str">
        <f>IFERROR(VLOOKUP(H31,'[1]Consolidado MP Planta'!$A$2:$M$823,3,0),"")</f>
        <v>ETIQ. GENERICA PEQUEÑA V-274 (UND)</v>
      </c>
      <c r="C31" s="126">
        <f t="shared" si="6"/>
        <v>2</v>
      </c>
      <c r="D31" s="127" t="str">
        <f>IFERROR(VLOOKUP(H31,'[1]Consolidado MP Planta'!$A$2:$M$823,13,0),"")</f>
        <v>Und</v>
      </c>
      <c r="E31" s="127">
        <v>13.45</v>
      </c>
      <c r="F31" s="127">
        <f t="shared" si="7"/>
        <v>26.9</v>
      </c>
      <c r="G31" s="128">
        <f t="shared" si="8"/>
        <v>6.3778102343509903E-3</v>
      </c>
      <c r="H31" s="132" t="s">
        <v>149</v>
      </c>
      <c r="I31" s="132"/>
      <c r="J31" s="130"/>
      <c r="K31" s="133"/>
      <c r="L31" s="134"/>
    </row>
    <row r="32" spans="1:12" ht="13.5" x14ac:dyDescent="0.25">
      <c r="A32" s="125"/>
      <c r="B32" s="131" t="str">
        <f>IFERROR(VLOOKUP(H32,'[1]Consolidado MP Planta'!$A$2:$M$823,3,0),"")</f>
        <v/>
      </c>
      <c r="C32" s="126">
        <f t="shared" si="6"/>
        <v>0</v>
      </c>
      <c r="D32" s="127" t="str">
        <f>IFERROR(VLOOKUP(H32,'[1]Consolidado MP Planta'!$A$2:$M$823,13,0),"")</f>
        <v/>
      </c>
      <c r="E32" s="127" t="str">
        <f>IFERROR(VLOOKUP(H32,'[1]Consolidado MP Planta'!$A$2:$M$823,12,0),"")</f>
        <v/>
      </c>
      <c r="F32" s="127" t="str">
        <f t="shared" si="7"/>
        <v/>
      </c>
      <c r="G32" s="128" t="str">
        <f t="shared" si="8"/>
        <v/>
      </c>
      <c r="H32" s="132"/>
      <c r="I32" s="132"/>
      <c r="J32" s="130"/>
    </row>
    <row r="33" spans="1:13" ht="14.25" thickBot="1" x14ac:dyDescent="0.3">
      <c r="A33" s="125"/>
      <c r="B33" s="131"/>
      <c r="C33" s="126"/>
      <c r="D33" s="127"/>
      <c r="E33" s="127"/>
      <c r="F33" s="127"/>
      <c r="G33" s="128"/>
      <c r="H33" s="132"/>
      <c r="I33" s="132"/>
      <c r="J33" s="130"/>
    </row>
    <row r="34" spans="1:13" ht="26.25" thickBot="1" x14ac:dyDescent="0.25">
      <c r="A34" s="120" t="s">
        <v>95</v>
      </c>
      <c r="B34" s="121" t="s">
        <v>104</v>
      </c>
      <c r="C34" s="121" t="s">
        <v>95</v>
      </c>
      <c r="D34" s="122" t="s">
        <v>97</v>
      </c>
      <c r="E34" s="122" t="s">
        <v>98</v>
      </c>
      <c r="F34" s="122" t="s">
        <v>99</v>
      </c>
      <c r="G34" s="122" t="s">
        <v>100</v>
      </c>
      <c r="H34" s="123" t="s">
        <v>101</v>
      </c>
      <c r="I34" s="132"/>
      <c r="J34" s="130"/>
    </row>
    <row r="35" spans="1:13" ht="13.5" x14ac:dyDescent="0.25">
      <c r="A35" s="125">
        <f>+A17</f>
        <v>0.5</v>
      </c>
      <c r="B35" s="131" t="s">
        <v>80</v>
      </c>
      <c r="C35" s="126">
        <f>+A35</f>
        <v>0.5</v>
      </c>
      <c r="D35" s="127" t="s">
        <v>144</v>
      </c>
      <c r="E35" s="127">
        <f>+'Costo Plancha'!H54</f>
        <v>259.31830724371429</v>
      </c>
      <c r="F35" s="127">
        <f>IFERROR(E35*C35,"")</f>
        <v>129.65915362185714</v>
      </c>
      <c r="G35" s="128">
        <f t="shared" ref="G35:G41" si="9">IFERROR(F35/$F$66,"")</f>
        <v>3.074131884560475E-2</v>
      </c>
      <c r="H35" s="132" t="s">
        <v>143</v>
      </c>
      <c r="I35" s="132"/>
      <c r="J35" s="130"/>
    </row>
    <row r="36" spans="1:13" ht="13.5" x14ac:dyDescent="0.25">
      <c r="A36" s="125">
        <f t="shared" ref="A36:A41" si="10">+A18</f>
        <v>312</v>
      </c>
      <c r="B36" s="131" t="s">
        <v>82</v>
      </c>
      <c r="C36" s="126">
        <f t="shared" ref="C36:C41" si="11">+A36</f>
        <v>312</v>
      </c>
      <c r="D36" s="127" t="s">
        <v>141</v>
      </c>
      <c r="E36" s="127">
        <v>0</v>
      </c>
      <c r="F36" s="127">
        <f t="shared" ref="F36:F41" si="12">IFERROR(E36*C36,"")</f>
        <v>0</v>
      </c>
      <c r="G36" s="128">
        <f t="shared" si="9"/>
        <v>0</v>
      </c>
      <c r="H36" s="129" t="s">
        <v>81</v>
      </c>
      <c r="I36" s="132"/>
      <c r="J36" s="130"/>
    </row>
    <row r="37" spans="1:13" ht="13.5" hidden="1" x14ac:dyDescent="0.25">
      <c r="A37" s="125">
        <f t="shared" si="10"/>
        <v>0</v>
      </c>
      <c r="B37" s="131" t="str">
        <f>IFERROR(VLOOKUP(H37,[1]SEMIELABORADOS!$A$2:$M$6000,2,0),"")</f>
        <v/>
      </c>
      <c r="C37" s="126">
        <f t="shared" si="11"/>
        <v>0</v>
      </c>
      <c r="D37" s="127" t="str">
        <f>IFERROR(VLOOKUP(H37,[1]SEMIELABORADOS!$A$2:$M$6000,6,0),"")</f>
        <v/>
      </c>
      <c r="E37" s="127" t="str">
        <f>IFERROR(VLOOKUP(H37,[1]SEMIELABORADOS!$A$2:$M$65536,10,0),"")</f>
        <v/>
      </c>
      <c r="F37" s="127" t="str">
        <f t="shared" si="12"/>
        <v/>
      </c>
      <c r="G37" s="128" t="str">
        <f t="shared" si="9"/>
        <v/>
      </c>
      <c r="H37" s="132"/>
      <c r="I37" s="132"/>
      <c r="J37" s="130"/>
    </row>
    <row r="38" spans="1:13" ht="13.5" hidden="1" x14ac:dyDescent="0.25">
      <c r="A38" s="125">
        <f t="shared" si="10"/>
        <v>0</v>
      </c>
      <c r="B38" s="131" t="str">
        <f>IFERROR(VLOOKUP(H38,[1]SEMIELABORADOS!$A$2:$M$6000,2,0),"")</f>
        <v/>
      </c>
      <c r="C38" s="126">
        <f>+A38</f>
        <v>0</v>
      </c>
      <c r="D38" s="127" t="str">
        <f>IFERROR(VLOOKUP(H38,[1]SEMIELABORADOS!$A$2:$M$6000,6,0),"")</f>
        <v/>
      </c>
      <c r="E38" s="127" t="str">
        <f>IFERROR(VLOOKUP(H38,[1]SEMIELABORADOS!$A$2:$M$65536,10,0),"")</f>
        <v/>
      </c>
      <c r="F38" s="127" t="str">
        <f>IFERROR(E38*C38,"")</f>
        <v/>
      </c>
      <c r="G38" s="128" t="str">
        <f t="shared" si="9"/>
        <v/>
      </c>
      <c r="H38" s="132"/>
      <c r="I38" s="132"/>
      <c r="J38" s="130"/>
    </row>
    <row r="39" spans="1:13" ht="13.5" hidden="1" x14ac:dyDescent="0.25">
      <c r="A39" s="125">
        <f t="shared" si="10"/>
        <v>0</v>
      </c>
      <c r="B39" s="131" t="str">
        <f>IFERROR(VLOOKUP(H39,[1]SEMIELABORADOS!$A$2:$M$6000,2,0),"")</f>
        <v/>
      </c>
      <c r="C39" s="126">
        <f>+A39</f>
        <v>0</v>
      </c>
      <c r="D39" s="127" t="str">
        <f>IFERROR(VLOOKUP(H39,[1]SEMIELABORADOS!$A$2:$M$6000,6,0),"")</f>
        <v/>
      </c>
      <c r="E39" s="127" t="str">
        <f>IFERROR(VLOOKUP(H39,[1]SEMIELABORADOS!$A$2:$M$65536,10,0),"")</f>
        <v/>
      </c>
      <c r="F39" s="127" t="str">
        <f>IFERROR(E39*C39,"")</f>
        <v/>
      </c>
      <c r="G39" s="128" t="str">
        <f t="shared" si="9"/>
        <v/>
      </c>
      <c r="H39" s="132"/>
      <c r="I39" s="132"/>
      <c r="J39" s="130"/>
    </row>
    <row r="40" spans="1:13" ht="13.5" hidden="1" x14ac:dyDescent="0.25">
      <c r="A40" s="125">
        <f t="shared" si="10"/>
        <v>0</v>
      </c>
      <c r="B40" s="131" t="str">
        <f>IFERROR(VLOOKUP(H40,[1]SEMIELABORADOS!$A$2:$M$6000,2,0),"")</f>
        <v/>
      </c>
      <c r="C40" s="126">
        <f t="shared" si="11"/>
        <v>0</v>
      </c>
      <c r="D40" s="127" t="str">
        <f>IFERROR(VLOOKUP(H40,[1]SEMIELABORADOS!$A$2:$M$6000,6,0),"")</f>
        <v/>
      </c>
      <c r="E40" s="127" t="str">
        <f>IFERROR(VLOOKUP(H40,[1]SEMIELABORADOS!$A$2:$M$65536,10,0),"")</f>
        <v/>
      </c>
      <c r="F40" s="127" t="str">
        <f t="shared" si="12"/>
        <v/>
      </c>
      <c r="G40" s="128" t="str">
        <f t="shared" si="9"/>
        <v/>
      </c>
      <c r="H40" s="132"/>
      <c r="I40" s="132"/>
      <c r="J40" s="130"/>
    </row>
    <row r="41" spans="1:13" ht="13.5" hidden="1" x14ac:dyDescent="0.25">
      <c r="A41" s="125">
        <f t="shared" si="10"/>
        <v>0</v>
      </c>
      <c r="B41" s="131" t="str">
        <f>IFERROR(VLOOKUP(H41,[1]SEMIELABORADOS!$A$2:$M$6000,2,0),"")</f>
        <v/>
      </c>
      <c r="C41" s="126">
        <f t="shared" si="11"/>
        <v>0</v>
      </c>
      <c r="D41" s="127" t="str">
        <f>IFERROR(VLOOKUP(H41,[1]SEMIELABORADOS!$A$2:$M$6000,6,0),"")</f>
        <v/>
      </c>
      <c r="E41" s="127" t="str">
        <f>IFERROR(VLOOKUP(H41,[1]SEMIELABORADOS!$A$2:$M$65536,10,0),"")</f>
        <v/>
      </c>
      <c r="F41" s="127" t="str">
        <f t="shared" si="12"/>
        <v/>
      </c>
      <c r="G41" s="128" t="str">
        <f t="shared" si="9"/>
        <v/>
      </c>
      <c r="H41" s="132"/>
      <c r="I41" s="132"/>
      <c r="J41" s="130"/>
    </row>
    <row r="42" spans="1:13" ht="14.25" thickBot="1" x14ac:dyDescent="0.3">
      <c r="A42" s="125"/>
      <c r="B42" s="131"/>
      <c r="C42" s="126"/>
      <c r="D42" s="127"/>
      <c r="E42" s="127"/>
      <c r="F42" s="127"/>
      <c r="G42" s="128"/>
      <c r="H42" s="132"/>
      <c r="I42" s="132"/>
      <c r="J42" s="130"/>
    </row>
    <row r="43" spans="1:13" ht="26.25" thickBot="1" x14ac:dyDescent="0.25">
      <c r="A43" s="120" t="s">
        <v>95</v>
      </c>
      <c r="B43" s="121" t="s">
        <v>105</v>
      </c>
      <c r="C43" s="121" t="s">
        <v>95</v>
      </c>
      <c r="D43" s="122" t="s">
        <v>97</v>
      </c>
      <c r="E43" s="122" t="s">
        <v>98</v>
      </c>
      <c r="F43" s="122" t="s">
        <v>99</v>
      </c>
      <c r="G43" s="122" t="s">
        <v>100</v>
      </c>
      <c r="H43" s="123" t="s">
        <v>101</v>
      </c>
      <c r="I43" s="124"/>
      <c r="J43" s="130"/>
    </row>
    <row r="44" spans="1:13" ht="13.5" x14ac:dyDescent="0.25">
      <c r="A44" s="125">
        <f>+A35</f>
        <v>0.5</v>
      </c>
      <c r="B44" s="131" t="s">
        <v>80</v>
      </c>
      <c r="C44" s="126">
        <f>+A44</f>
        <v>0.5</v>
      </c>
      <c r="D44" s="127" t="s">
        <v>145</v>
      </c>
      <c r="E44" s="127">
        <f>+'Costo Plancha'!H56</f>
        <v>162.01377863519437</v>
      </c>
      <c r="F44" s="127">
        <f>IFERROR(E44*C44,"")</f>
        <v>81.006889317597185</v>
      </c>
      <c r="G44" s="128">
        <f>IFERROR(F44/$F$66,"")</f>
        <v>1.9206192109394397E-2</v>
      </c>
      <c r="H44" s="132" t="s">
        <v>143</v>
      </c>
      <c r="I44" s="124"/>
      <c r="J44" s="130"/>
    </row>
    <row r="45" spans="1:13" ht="13.5" x14ac:dyDescent="0.25">
      <c r="A45" s="125">
        <f t="shared" ref="A45:A50" si="13">+A36</f>
        <v>312</v>
      </c>
      <c r="B45" s="131" t="s">
        <v>82</v>
      </c>
      <c r="C45" s="126">
        <f t="shared" ref="C45:C50" si="14">+A45</f>
        <v>312</v>
      </c>
      <c r="D45" s="127" t="s">
        <v>141</v>
      </c>
      <c r="E45" s="127">
        <v>0.02</v>
      </c>
      <c r="F45" s="127">
        <f t="shared" ref="F45:F50" si="15">IFERROR(E45*C45,"")</f>
        <v>6.24</v>
      </c>
      <c r="G45" s="128">
        <f t="shared" ref="G45:G50" si="16">IFERROR(F45/$F$66,"")</f>
        <v>1.4794622997156201E-3</v>
      </c>
      <c r="H45" s="129" t="s">
        <v>81</v>
      </c>
      <c r="I45" s="124"/>
      <c r="J45" s="130"/>
      <c r="M45" s="135"/>
    </row>
    <row r="46" spans="1:13" ht="13.5" hidden="1" x14ac:dyDescent="0.25">
      <c r="A46" s="125">
        <f t="shared" si="13"/>
        <v>0</v>
      </c>
      <c r="B46" s="131" t="str">
        <f>IFERROR(VLOOKUP(H46,[1]SEMIELABORADOS!$A$2:$M$6000,2,0),"")</f>
        <v/>
      </c>
      <c r="C46" s="126">
        <f t="shared" si="14"/>
        <v>0</v>
      </c>
      <c r="D46" s="127" t="str">
        <f>IFERROR(VLOOKUP(H46,[1]SEMIELABORADOS!$A$2:$M$6000,6,0),"")</f>
        <v/>
      </c>
      <c r="E46" s="127" t="str">
        <f>IFERROR(VLOOKUP(H46,[1]SEMIELABORADOS!$A$2:$M$65536,12,0),"")</f>
        <v/>
      </c>
      <c r="F46" s="127" t="str">
        <f t="shared" si="15"/>
        <v/>
      </c>
      <c r="G46" s="128" t="str">
        <f t="shared" si="16"/>
        <v/>
      </c>
      <c r="H46" s="132"/>
      <c r="I46" s="124"/>
      <c r="J46" s="130"/>
    </row>
    <row r="47" spans="1:13" ht="13.5" hidden="1" x14ac:dyDescent="0.25">
      <c r="A47" s="125">
        <f t="shared" si="13"/>
        <v>0</v>
      </c>
      <c r="B47" s="131" t="str">
        <f>IFERROR(VLOOKUP(H47,[1]SEMIELABORADOS!$A$2:$M$6000,2,0),"")</f>
        <v/>
      </c>
      <c r="C47" s="126">
        <f t="shared" si="14"/>
        <v>0</v>
      </c>
      <c r="D47" s="127" t="str">
        <f>IFERROR(VLOOKUP(H47,[1]SEMIELABORADOS!$A$2:$M$6000,6,0),"")</f>
        <v/>
      </c>
      <c r="E47" s="127" t="str">
        <f>IFERROR(VLOOKUP(H47,[1]SEMIELABORADOS!$A$2:$M$65536,12,0),"")</f>
        <v/>
      </c>
      <c r="F47" s="127" t="str">
        <f t="shared" si="15"/>
        <v/>
      </c>
      <c r="G47" s="128" t="str">
        <f t="shared" si="16"/>
        <v/>
      </c>
      <c r="H47" s="132"/>
      <c r="I47" s="124"/>
      <c r="J47" s="130"/>
    </row>
    <row r="48" spans="1:13" ht="13.5" hidden="1" x14ac:dyDescent="0.25">
      <c r="A48" s="125">
        <f t="shared" si="13"/>
        <v>0</v>
      </c>
      <c r="B48" s="131" t="str">
        <f>IFERROR(VLOOKUP(H48,[1]SEMIELABORADOS!$A$2:$M$6000,2,0),"")</f>
        <v/>
      </c>
      <c r="C48" s="126">
        <f t="shared" si="14"/>
        <v>0</v>
      </c>
      <c r="D48" s="127" t="str">
        <f>IFERROR(VLOOKUP(H48,[1]SEMIELABORADOS!$A$2:$M$6000,6,0),"")</f>
        <v/>
      </c>
      <c r="E48" s="127" t="str">
        <f>IFERROR(VLOOKUP(H48,[1]SEMIELABORADOS!$A$2:$M$65536,12,0),"")</f>
        <v/>
      </c>
      <c r="F48" s="127" t="str">
        <f t="shared" si="15"/>
        <v/>
      </c>
      <c r="G48" s="128" t="str">
        <f t="shared" si="16"/>
        <v/>
      </c>
      <c r="H48" s="132"/>
      <c r="I48" s="124"/>
      <c r="J48" s="130"/>
    </row>
    <row r="49" spans="1:17" ht="13.5" hidden="1" x14ac:dyDescent="0.25">
      <c r="A49" s="125">
        <f t="shared" si="13"/>
        <v>0</v>
      </c>
      <c r="B49" s="131" t="str">
        <f>IFERROR(VLOOKUP(H49,[1]SEMIELABORADOS!$A$2:$M$6000,2,0),"")</f>
        <v/>
      </c>
      <c r="C49" s="126">
        <f t="shared" si="14"/>
        <v>0</v>
      </c>
      <c r="D49" s="127" t="str">
        <f>IFERROR(VLOOKUP(H49,[1]SEMIELABORADOS!$A$2:$M$6000,6,0),"")</f>
        <v/>
      </c>
      <c r="E49" s="127" t="str">
        <f>IFERROR(VLOOKUP(H49,[1]SEMIELABORADOS!$A$2:$M$65536,12,0),"")</f>
        <v/>
      </c>
      <c r="F49" s="127" t="str">
        <f t="shared" si="15"/>
        <v/>
      </c>
      <c r="G49" s="128" t="str">
        <f t="shared" si="16"/>
        <v/>
      </c>
      <c r="H49" s="132"/>
      <c r="I49" s="124"/>
      <c r="J49" s="130"/>
    </row>
    <row r="50" spans="1:17" ht="13.5" hidden="1" x14ac:dyDescent="0.25">
      <c r="A50" s="125">
        <f t="shared" si="13"/>
        <v>0</v>
      </c>
      <c r="B50" s="131" t="str">
        <f>IFERROR(VLOOKUP(H50,[1]SEMIELABORADOS!$A$2:$M$6000,2,0),"")</f>
        <v/>
      </c>
      <c r="C50" s="126">
        <f t="shared" si="14"/>
        <v>0</v>
      </c>
      <c r="D50" s="127" t="str">
        <f>IFERROR(VLOOKUP(H50,[1]SEMIELABORADOS!$A$2:$M$6000,6,0),"")</f>
        <v/>
      </c>
      <c r="E50" s="127" t="str">
        <f>IFERROR(VLOOKUP(H50,[1]SEMIELABORADOS!$A$2:$M$65536,12,0),"")</f>
        <v/>
      </c>
      <c r="F50" s="127" t="str">
        <f t="shared" si="15"/>
        <v/>
      </c>
      <c r="G50" s="128" t="str">
        <f t="shared" si="16"/>
        <v/>
      </c>
      <c r="H50" s="131"/>
      <c r="I50" s="124"/>
      <c r="J50" s="130"/>
    </row>
    <row r="51" spans="1:17" ht="13.5" x14ac:dyDescent="0.25">
      <c r="A51" s="125">
        <v>1</v>
      </c>
      <c r="B51" s="131" t="s">
        <v>106</v>
      </c>
      <c r="C51" s="126">
        <f>+A51</f>
        <v>1</v>
      </c>
      <c r="D51" s="126" t="s">
        <v>107</v>
      </c>
      <c r="E51" s="127">
        <f>+F65</f>
        <v>385</v>
      </c>
      <c r="F51" s="127">
        <f>IFERROR(C51*E51,"")</f>
        <v>385</v>
      </c>
      <c r="G51" s="128">
        <f>IFERROR(F51/$F$66,"")</f>
        <v>9.1280927145915652E-2</v>
      </c>
      <c r="H51" s="136"/>
      <c r="I51" s="136"/>
      <c r="J51" s="130"/>
    </row>
    <row r="52" spans="1:17" ht="14.25" thickBot="1" x14ac:dyDescent="0.3">
      <c r="A52" s="125"/>
      <c r="B52" s="131"/>
      <c r="C52" s="126"/>
      <c r="D52" s="126"/>
      <c r="E52" s="127"/>
      <c r="F52" s="127"/>
      <c r="G52" s="128"/>
      <c r="H52" s="136"/>
      <c r="I52" s="136"/>
      <c r="J52" s="130"/>
    </row>
    <row r="53" spans="1:17" ht="13.5" thickBot="1" x14ac:dyDescent="0.25">
      <c r="A53" s="137"/>
      <c r="B53" s="531" t="s">
        <v>108</v>
      </c>
      <c r="C53" s="531"/>
      <c r="D53" s="531"/>
      <c r="E53" s="531"/>
      <c r="F53" s="139">
        <f>SUM(F8:F14,F17:F24)</f>
        <v>2782.8719775076506</v>
      </c>
      <c r="G53" s="128">
        <f>+F53/$F$66</f>
        <v>0.65980034866308079</v>
      </c>
      <c r="H53" s="140">
        <f>+F53/$D$60</f>
        <v>2782.8719775076506</v>
      </c>
      <c r="I53" s="140"/>
      <c r="J53" s="141"/>
      <c r="K53" s="142"/>
      <c r="L53" s="142"/>
      <c r="M53" s="142"/>
      <c r="N53" s="142"/>
      <c r="O53" s="142"/>
      <c r="P53" s="142"/>
      <c r="Q53" s="143"/>
    </row>
    <row r="54" spans="1:17" x14ac:dyDescent="0.2">
      <c r="A54" s="137"/>
      <c r="B54" s="531" t="s">
        <v>109</v>
      </c>
      <c r="C54" s="531"/>
      <c r="D54" s="531"/>
      <c r="E54" s="531"/>
      <c r="F54" s="139">
        <f>SUM(F27:F32,F35:F41)</f>
        <v>994.21915362185712</v>
      </c>
      <c r="G54" s="128">
        <f>+F54/$F$66</f>
        <v>0.23572271721774199</v>
      </c>
      <c r="H54" s="140">
        <f>+F54/$D$60</f>
        <v>994.21915362185712</v>
      </c>
      <c r="I54" s="140"/>
      <c r="J54" s="144"/>
      <c r="K54" s="532" t="s">
        <v>110</v>
      </c>
      <c r="L54" s="533"/>
      <c r="M54" s="533"/>
      <c r="N54" s="533"/>
      <c r="O54" s="145">
        <f>+F55</f>
        <v>3777.0911311295076</v>
      </c>
      <c r="P54" s="145"/>
      <c r="Q54" s="146"/>
    </row>
    <row r="55" spans="1:17" x14ac:dyDescent="0.2">
      <c r="A55" s="137"/>
      <c r="B55" s="531" t="s">
        <v>111</v>
      </c>
      <c r="C55" s="531"/>
      <c r="D55" s="531"/>
      <c r="E55" s="531"/>
      <c r="F55" s="139">
        <f>+F53+F54</f>
        <v>3777.0911311295076</v>
      </c>
      <c r="G55" s="128">
        <f>+F55/$F$66</f>
        <v>0.89552306588082276</v>
      </c>
      <c r="H55" s="140">
        <f>+F55/$D$60</f>
        <v>3777.0911311295076</v>
      </c>
      <c r="I55" s="140"/>
      <c r="J55" s="147"/>
      <c r="K55" s="148"/>
      <c r="M55" s="149" t="s">
        <v>112</v>
      </c>
      <c r="N55" s="150"/>
      <c r="O55" s="145">
        <f>+H56</f>
        <v>472.24688931759715</v>
      </c>
      <c r="P55" s="145"/>
      <c r="Q55" s="146"/>
    </row>
    <row r="56" spans="1:17" ht="13.5" thickBot="1" x14ac:dyDescent="0.25">
      <c r="A56" s="137"/>
      <c r="B56" s="138"/>
      <c r="C56" s="531" t="s">
        <v>113</v>
      </c>
      <c r="D56" s="531"/>
      <c r="E56" s="531"/>
      <c r="F56" s="139">
        <f>SUM(F44:F51)</f>
        <v>472.24688931759715</v>
      </c>
      <c r="G56" s="128">
        <f>+F56/$F$66</f>
        <v>0.11196658155502566</v>
      </c>
      <c r="H56" s="140">
        <f>+F56/$D$60</f>
        <v>472.24688931759715</v>
      </c>
      <c r="I56" s="140"/>
      <c r="J56" s="147"/>
      <c r="K56" s="148"/>
      <c r="L56" s="148"/>
      <c r="M56" s="148" t="s">
        <v>114</v>
      </c>
      <c r="N56" s="151"/>
      <c r="O56" s="145">
        <f>O54*N56</f>
        <v>0</v>
      </c>
      <c r="P56" s="145"/>
      <c r="Q56" s="146"/>
    </row>
    <row r="57" spans="1:17" ht="13.5" thickBot="1" x14ac:dyDescent="0.25">
      <c r="A57" s="137"/>
      <c r="B57" s="152"/>
      <c r="C57" s="152"/>
      <c r="D57" s="152"/>
      <c r="E57" s="152"/>
      <c r="F57" s="153"/>
      <c r="G57" s="128"/>
      <c r="H57" s="154"/>
      <c r="I57" s="140"/>
      <c r="J57" s="147"/>
      <c r="K57" s="155"/>
      <c r="M57" s="156" t="s">
        <v>115</v>
      </c>
      <c r="N57" s="157"/>
      <c r="O57" s="158">
        <f>SUM(O54:O56)</f>
        <v>4249.338020447105</v>
      </c>
      <c r="P57" s="159"/>
      <c r="Q57" s="146"/>
    </row>
    <row r="58" spans="1:17" x14ac:dyDescent="0.2">
      <c r="B58" s="534" t="s">
        <v>116</v>
      </c>
      <c r="C58" s="534"/>
      <c r="D58" s="160">
        <v>1252</v>
      </c>
      <c r="E58" s="161"/>
      <c r="G58" s="128"/>
      <c r="H58" s="154">
        <f>+H56/77</f>
        <v>6.1330764846441186</v>
      </c>
      <c r="I58" s="162"/>
      <c r="J58" s="147"/>
      <c r="K58" s="155"/>
      <c r="L58" s="148"/>
      <c r="M58" s="148" t="s">
        <v>117</v>
      </c>
      <c r="N58" s="163"/>
      <c r="O58" s="145">
        <f>+H59</f>
        <v>509.04534822546185</v>
      </c>
      <c r="P58" s="145"/>
      <c r="Q58" s="146"/>
    </row>
    <row r="59" spans="1:17" x14ac:dyDescent="0.2">
      <c r="B59" s="534" t="s">
        <v>118</v>
      </c>
      <c r="C59" s="534"/>
      <c r="D59" s="164">
        <v>1252</v>
      </c>
      <c r="E59" s="161"/>
      <c r="G59" s="128"/>
      <c r="H59" s="154">
        <f>+H58*83</f>
        <v>509.04534822546185</v>
      </c>
      <c r="I59" s="162"/>
      <c r="J59" s="147"/>
      <c r="K59" s="155"/>
      <c r="L59" s="148"/>
      <c r="M59" s="535" t="s">
        <v>115</v>
      </c>
      <c r="N59" s="535"/>
      <c r="O59" s="145">
        <f>SUM(O57:O58)</f>
        <v>4758.3833686725666</v>
      </c>
      <c r="P59" s="145"/>
      <c r="Q59" s="146"/>
    </row>
    <row r="60" spans="1:17" ht="13.5" thickBot="1" x14ac:dyDescent="0.25">
      <c r="B60" s="527" t="s">
        <v>119</v>
      </c>
      <c r="C60" s="527"/>
      <c r="D60" s="160">
        <f>+D58/D59</f>
        <v>1</v>
      </c>
      <c r="E60" s="161"/>
      <c r="F60" s="165"/>
      <c r="G60" s="128"/>
      <c r="H60" s="154"/>
      <c r="I60" s="162"/>
      <c r="J60" s="147"/>
      <c r="K60" s="155"/>
      <c r="L60" s="535"/>
      <c r="M60" s="535"/>
      <c r="N60" s="163"/>
      <c r="O60" s="145">
        <f>+O59*N60</f>
        <v>0</v>
      </c>
      <c r="P60" s="145"/>
      <c r="Q60" s="146"/>
    </row>
    <row r="61" spans="1:17" ht="13.5" thickBot="1" x14ac:dyDescent="0.25">
      <c r="B61" s="527" t="s">
        <v>120</v>
      </c>
      <c r="C61" s="527"/>
      <c r="D61" s="166"/>
      <c r="E61" s="161"/>
      <c r="F61" s="165"/>
      <c r="G61" s="128"/>
      <c r="H61" s="154"/>
      <c r="I61" s="162"/>
      <c r="J61" s="147"/>
      <c r="K61" s="528" t="s">
        <v>121</v>
      </c>
      <c r="L61" s="529"/>
      <c r="M61" s="529"/>
      <c r="N61" s="530"/>
      <c r="O61" s="158">
        <f>SUM(O59:O60)</f>
        <v>4758.3833686725666</v>
      </c>
      <c r="P61" s="167" t="s">
        <v>122</v>
      </c>
      <c r="Q61" s="146"/>
    </row>
    <row r="62" spans="1:17" ht="13.5" thickBot="1" x14ac:dyDescent="0.25">
      <c r="C62" s="137" t="s">
        <v>123</v>
      </c>
      <c r="D62" s="168"/>
      <c r="E62" s="111" t="s">
        <v>124</v>
      </c>
      <c r="F62" s="169" t="s">
        <v>125</v>
      </c>
      <c r="G62" s="128"/>
      <c r="H62" s="154"/>
      <c r="I62" s="162"/>
      <c r="J62" s="170"/>
      <c r="K62" s="171"/>
      <c r="L62" s="541" t="s">
        <v>126</v>
      </c>
      <c r="M62" s="541"/>
      <c r="N62" s="541"/>
      <c r="O62" s="172">
        <f>+O61/D60</f>
        <v>4758.3833686725666</v>
      </c>
      <c r="P62" s="173">
        <f>+O62/D59</f>
        <v>3.8006256938279286</v>
      </c>
      <c r="Q62" s="174"/>
    </row>
    <row r="63" spans="1:17" ht="13.5" thickBot="1" x14ac:dyDescent="0.25">
      <c r="B63" s="542" t="s">
        <v>111</v>
      </c>
      <c r="C63" s="542"/>
      <c r="D63" s="542"/>
      <c r="E63" s="175">
        <f>+F63/F63</f>
        <v>1</v>
      </c>
      <c r="F63" s="176">
        <f>SUM(F55)</f>
        <v>3777.0911311295076</v>
      </c>
      <c r="G63" s="128">
        <f>+F63/$F$66</f>
        <v>0.89552306588082276</v>
      </c>
      <c r="H63" s="154"/>
      <c r="I63" s="162"/>
      <c r="K63" s="543"/>
      <c r="L63" s="544"/>
      <c r="M63" s="544"/>
      <c r="N63" s="544"/>
      <c r="O63" s="177"/>
      <c r="P63" s="178"/>
    </row>
    <row r="64" spans="1:17" ht="13.5" thickBot="1" x14ac:dyDescent="0.25">
      <c r="B64" s="545" t="s">
        <v>127</v>
      </c>
      <c r="C64" s="545"/>
      <c r="D64" s="545"/>
      <c r="E64" s="179">
        <v>0.02</v>
      </c>
      <c r="F64" s="176">
        <f>+F53*E64</f>
        <v>55.657439550153015</v>
      </c>
      <c r="G64" s="128">
        <f>+F64/$F$66</f>
        <v>1.3196006973261615E-2</v>
      </c>
      <c r="H64" s="140"/>
      <c r="I64" s="162"/>
      <c r="J64" s="180"/>
      <c r="O64" s="181">
        <f>+O62/2</f>
        <v>2379.1916843362833</v>
      </c>
      <c r="P64" s="138"/>
    </row>
    <row r="65" spans="2:13" ht="13.5" thickBot="1" x14ac:dyDescent="0.25">
      <c r="B65" s="546" t="s">
        <v>128</v>
      </c>
      <c r="C65" s="547"/>
      <c r="D65" s="182">
        <v>5</v>
      </c>
      <c r="E65" s="183">
        <v>77</v>
      </c>
      <c r="F65" s="176">
        <f>+E65*D65</f>
        <v>385</v>
      </c>
      <c r="G65" s="128">
        <f>+F65/$F$66</f>
        <v>9.1280927145915652E-2</v>
      </c>
      <c r="H65" s="140"/>
      <c r="I65" s="140"/>
      <c r="J65" s="130"/>
    </row>
    <row r="66" spans="2:13" ht="13.5" thickBot="1" x14ac:dyDescent="0.25">
      <c r="B66" s="548" t="s">
        <v>129</v>
      </c>
      <c r="C66" s="549"/>
      <c r="D66" s="549"/>
      <c r="E66" s="550"/>
      <c r="F66" s="153">
        <f>SUM(F63:F65)</f>
        <v>4217.7485706796606</v>
      </c>
      <c r="G66" s="128">
        <f>+F66/$F$66</f>
        <v>1</v>
      </c>
      <c r="H66" s="551"/>
      <c r="I66" s="140"/>
      <c r="J66" s="130"/>
      <c r="M66" s="113" t="s">
        <v>130</v>
      </c>
    </row>
    <row r="67" spans="2:13" x14ac:dyDescent="0.2">
      <c r="C67" s="135"/>
      <c r="D67" s="135"/>
      <c r="E67" s="185"/>
      <c r="F67" s="176"/>
      <c r="G67" s="128"/>
      <c r="H67" s="551"/>
      <c r="I67" s="184"/>
      <c r="J67" s="113"/>
      <c r="M67" s="113" t="s">
        <v>131</v>
      </c>
    </row>
    <row r="68" spans="2:13" ht="13.5" thickBot="1" x14ac:dyDescent="0.25">
      <c r="B68" s="536" t="s">
        <v>132</v>
      </c>
      <c r="C68" s="536"/>
      <c r="D68" s="536"/>
      <c r="E68" s="536"/>
      <c r="F68" s="536"/>
      <c r="G68" s="128"/>
      <c r="H68" s="187"/>
      <c r="I68" s="184"/>
      <c r="J68" s="113"/>
      <c r="M68" s="113" t="s">
        <v>133</v>
      </c>
    </row>
    <row r="69" spans="2:13" ht="13.5" thickBot="1" x14ac:dyDescent="0.25">
      <c r="B69" s="188" t="s">
        <v>134</v>
      </c>
      <c r="C69" s="189">
        <f>+F53</f>
        <v>2782.8719775076506</v>
      </c>
      <c r="D69" s="189">
        <f>+D58</f>
        <v>1252</v>
      </c>
      <c r="E69" s="190">
        <f>+C69/D69</f>
        <v>2.2227411960923726</v>
      </c>
      <c r="F69" s="128"/>
      <c r="G69" s="187"/>
      <c r="H69" s="130"/>
      <c r="I69" s="187"/>
      <c r="J69" s="113"/>
    </row>
    <row r="70" spans="2:13" x14ac:dyDescent="0.2">
      <c r="B70" s="191"/>
      <c r="C70" s="192"/>
      <c r="D70" s="193"/>
      <c r="E70" s="176"/>
      <c r="F70" s="128"/>
      <c r="G70" s="187"/>
      <c r="H70" s="130"/>
      <c r="I70" s="130"/>
      <c r="J70" s="113"/>
    </row>
    <row r="71" spans="2:13" x14ac:dyDescent="0.2">
      <c r="B71" s="188" t="s">
        <v>135</v>
      </c>
      <c r="C71" s="189">
        <f>SUM(F63:F64)</f>
        <v>3832.7485706796606</v>
      </c>
      <c r="D71" s="189">
        <f>+D58</f>
        <v>1252</v>
      </c>
      <c r="E71" s="194">
        <f>+C71/D71</f>
        <v>3.0613007753032431</v>
      </c>
      <c r="F71" s="128"/>
      <c r="G71" s="187"/>
      <c r="H71" s="130"/>
      <c r="I71" s="130"/>
      <c r="J71" s="113"/>
    </row>
    <row r="72" spans="2:13" x14ac:dyDescent="0.2">
      <c r="B72" s="188"/>
      <c r="C72" s="189"/>
      <c r="D72" s="189"/>
      <c r="E72" s="194"/>
      <c r="F72" s="128"/>
      <c r="G72" s="187"/>
      <c r="H72" s="130"/>
      <c r="I72" s="130"/>
      <c r="J72" s="113"/>
    </row>
    <row r="73" spans="2:13" ht="13.5" thickBot="1" x14ac:dyDescent="0.25">
      <c r="B73" s="188" t="s">
        <v>136</v>
      </c>
      <c r="C73" s="189">
        <f>+F65</f>
        <v>385</v>
      </c>
      <c r="D73" s="189">
        <f>+D58</f>
        <v>1252</v>
      </c>
      <c r="E73" s="194">
        <f>+C73/D73</f>
        <v>0.30750798722044731</v>
      </c>
      <c r="F73" s="128"/>
      <c r="G73" s="187"/>
      <c r="H73" s="130"/>
      <c r="I73" s="130"/>
      <c r="J73" s="113"/>
    </row>
    <row r="74" spans="2:13" ht="13.5" thickBot="1" x14ac:dyDescent="0.25">
      <c r="B74" s="188" t="s">
        <v>137</v>
      </c>
      <c r="C74" s="189">
        <f>+F56</f>
        <v>472.24688931759715</v>
      </c>
      <c r="D74" s="189">
        <f>+D73</f>
        <v>1252</v>
      </c>
      <c r="E74" s="190">
        <f>+C74/D74</f>
        <v>0.37719400105239387</v>
      </c>
      <c r="F74" s="128"/>
      <c r="G74" s="187"/>
      <c r="H74" s="130"/>
      <c r="I74" s="130"/>
      <c r="J74" s="113"/>
    </row>
    <row r="75" spans="2:13" ht="13.5" thickBot="1" x14ac:dyDescent="0.25">
      <c r="B75" s="152"/>
      <c r="C75" s="153"/>
      <c r="D75" s="153"/>
      <c r="E75" s="194"/>
      <c r="F75" s="128"/>
      <c r="G75" s="187"/>
      <c r="H75" s="130"/>
      <c r="I75" s="130"/>
      <c r="J75" s="113"/>
    </row>
    <row r="76" spans="2:13" ht="13.5" thickBot="1" x14ac:dyDescent="0.25">
      <c r="B76" s="188" t="s">
        <v>138</v>
      </c>
      <c r="C76" s="189">
        <f>+F54</f>
        <v>994.21915362185712</v>
      </c>
      <c r="D76" s="189">
        <f>+D74</f>
        <v>1252</v>
      </c>
      <c r="E76" s="190">
        <f>+C76/D76</f>
        <v>0.79410475528902325</v>
      </c>
      <c r="F76" s="128"/>
      <c r="G76" s="187"/>
      <c r="H76" s="130"/>
      <c r="I76" s="130"/>
      <c r="J76" s="130"/>
    </row>
    <row r="77" spans="2:13" ht="13.5" thickBot="1" x14ac:dyDescent="0.25">
      <c r="B77" s="152"/>
      <c r="C77" s="153"/>
      <c r="D77" s="153"/>
      <c r="E77" s="194"/>
      <c r="F77" s="128"/>
      <c r="G77" s="187"/>
      <c r="H77" s="130"/>
      <c r="I77" s="130"/>
    </row>
    <row r="78" spans="2:13" ht="13.5" thickBot="1" x14ac:dyDescent="0.25">
      <c r="B78" s="537" t="s">
        <v>139</v>
      </c>
      <c r="C78" s="538"/>
      <c r="D78" s="539"/>
      <c r="E78" s="190">
        <f>+E69+E74</f>
        <v>2.5999351971447666</v>
      </c>
      <c r="G78" s="128"/>
      <c r="H78" s="187"/>
      <c r="I78" s="130"/>
      <c r="J78" s="194"/>
    </row>
    <row r="79" spans="2:13" x14ac:dyDescent="0.2">
      <c r="I79" s="187"/>
      <c r="J79" s="113"/>
    </row>
    <row r="80" spans="2:13" ht="13.5" thickBot="1" x14ac:dyDescent="0.25">
      <c r="B80" s="536" t="s">
        <v>140</v>
      </c>
      <c r="C80" s="536"/>
      <c r="D80" s="536"/>
      <c r="E80" s="536"/>
      <c r="F80" s="536"/>
      <c r="G80" s="128"/>
      <c r="H80" s="187"/>
      <c r="J80" s="113"/>
    </row>
    <row r="81" spans="1:10" ht="13.5" thickBot="1" x14ac:dyDescent="0.25">
      <c r="B81" s="188" t="s">
        <v>134</v>
      </c>
      <c r="C81" s="189">
        <f>+C69</f>
        <v>2782.8719775076506</v>
      </c>
      <c r="D81" s="189">
        <f>+D60</f>
        <v>1</v>
      </c>
      <c r="E81" s="190">
        <f>+C81/D81</f>
        <v>2782.8719775076506</v>
      </c>
      <c r="F81" s="128"/>
      <c r="G81" s="187"/>
      <c r="H81" s="130"/>
      <c r="I81" s="187"/>
      <c r="J81" s="113"/>
    </row>
    <row r="82" spans="1:10" x14ac:dyDescent="0.2">
      <c r="B82" s="191"/>
      <c r="C82" s="192"/>
      <c r="D82" s="193"/>
      <c r="E82" s="176"/>
      <c r="F82" s="128"/>
      <c r="G82" s="187"/>
      <c r="H82" s="130"/>
      <c r="I82" s="130"/>
      <c r="J82" s="113"/>
    </row>
    <row r="83" spans="1:10" x14ac:dyDescent="0.2">
      <c r="B83" s="188" t="s">
        <v>135</v>
      </c>
      <c r="C83" s="189">
        <f>+C71</f>
        <v>3832.7485706796606</v>
      </c>
      <c r="D83" s="189">
        <f>+D60</f>
        <v>1</v>
      </c>
      <c r="E83" s="194">
        <f>+C83/D83</f>
        <v>3832.7485706796606</v>
      </c>
      <c r="F83" s="128"/>
      <c r="G83" s="187"/>
      <c r="H83" s="130"/>
      <c r="I83" s="130"/>
      <c r="J83" s="113"/>
    </row>
    <row r="84" spans="1:10" x14ac:dyDescent="0.2">
      <c r="B84" s="188"/>
      <c r="C84" s="189"/>
      <c r="D84" s="189"/>
      <c r="E84" s="194"/>
      <c r="F84" s="128"/>
      <c r="G84" s="187"/>
      <c r="H84" s="130"/>
      <c r="I84" s="130"/>
      <c r="J84" s="113"/>
    </row>
    <row r="85" spans="1:10" ht="13.5" thickBot="1" x14ac:dyDescent="0.25">
      <c r="B85" s="188" t="s">
        <v>137</v>
      </c>
      <c r="C85" s="189">
        <f>+C73</f>
        <v>385</v>
      </c>
      <c r="D85" s="189">
        <f>+D60</f>
        <v>1</v>
      </c>
      <c r="E85" s="194">
        <f>+C85/D85</f>
        <v>385</v>
      </c>
      <c r="F85" s="196"/>
      <c r="G85" s="186"/>
      <c r="H85" s="112"/>
      <c r="I85" s="130"/>
    </row>
    <row r="86" spans="1:10" ht="13.5" thickBot="1" x14ac:dyDescent="0.25">
      <c r="B86" s="188" t="s">
        <v>137</v>
      </c>
      <c r="C86" s="189">
        <f>+C74</f>
        <v>472.24688931759715</v>
      </c>
      <c r="D86" s="189">
        <f>+D85</f>
        <v>1</v>
      </c>
      <c r="E86" s="190">
        <f>+C86/D86</f>
        <v>472.24688931759715</v>
      </c>
      <c r="F86" s="195"/>
      <c r="G86" s="186"/>
      <c r="H86" s="112"/>
      <c r="I86" s="112"/>
    </row>
    <row r="87" spans="1:10" x14ac:dyDescent="0.2">
      <c r="I87" s="112"/>
    </row>
    <row r="88" spans="1:10" x14ac:dyDescent="0.2">
      <c r="A88" s="540"/>
      <c r="B88" s="540"/>
      <c r="C88" s="197"/>
      <c r="D88" s="197"/>
      <c r="E88" s="198"/>
      <c r="G88" s="199"/>
    </row>
    <row r="89" spans="1:10" x14ac:dyDescent="0.2">
      <c r="A89" s="131"/>
      <c r="B89" s="200"/>
      <c r="C89" s="201"/>
      <c r="D89" s="201"/>
      <c r="E89" s="202"/>
      <c r="G89" s="199"/>
    </row>
    <row r="90" spans="1:10" x14ac:dyDescent="0.2">
      <c r="A90" s="131"/>
      <c r="B90" s="200"/>
      <c r="C90" s="203"/>
      <c r="D90" s="203"/>
      <c r="E90" s="131"/>
      <c r="G90" s="199"/>
    </row>
    <row r="91" spans="1:10" x14ac:dyDescent="0.2">
      <c r="A91" s="131"/>
      <c r="B91" s="200"/>
      <c r="C91" s="204"/>
      <c r="D91" s="204"/>
      <c r="E91" s="131"/>
      <c r="G91" s="19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E936-C8FB-4BC4-83D1-25B85EFC3811}">
  <sheetPr>
    <pageSetUpPr fitToPage="1"/>
  </sheetPr>
  <dimension ref="A1:I36"/>
  <sheetViews>
    <sheetView tabSelected="1" topLeftCell="A5" zoomScale="80" zoomScaleNormal="80" workbookViewId="0">
      <selection activeCell="C13" sqref="C13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53.28515625" customWidth="1"/>
    <col min="4" max="4" width="20.85546875" bestFit="1" customWidth="1"/>
    <col min="5" max="5" width="14" customWidth="1"/>
    <col min="6" max="6" width="14.7109375" customWidth="1"/>
    <col min="7" max="7" width="18.140625" customWidth="1"/>
    <col min="8" max="8" width="16" customWidth="1"/>
    <col min="9" max="9" width="18.140625" customWidth="1"/>
  </cols>
  <sheetData>
    <row r="1" spans="1:9" ht="15.75" x14ac:dyDescent="0.25">
      <c r="A1" s="588"/>
      <c r="B1" s="589"/>
      <c r="C1" s="594" t="s">
        <v>21</v>
      </c>
      <c r="D1" s="594"/>
      <c r="E1" s="594"/>
      <c r="F1" s="594"/>
      <c r="G1" s="594"/>
      <c r="H1" s="78" t="s">
        <v>0</v>
      </c>
      <c r="I1" s="79" t="s">
        <v>245</v>
      </c>
    </row>
    <row r="2" spans="1:9" ht="15.75" thickBot="1" x14ac:dyDescent="0.25">
      <c r="A2" s="590"/>
      <c r="B2" s="591"/>
      <c r="C2" s="595" t="s">
        <v>1</v>
      </c>
      <c r="D2" s="596"/>
      <c r="E2" s="596"/>
      <c r="F2" s="596"/>
      <c r="G2" s="597"/>
      <c r="H2" s="80" t="s">
        <v>2</v>
      </c>
      <c r="I2" s="440" t="s">
        <v>244</v>
      </c>
    </row>
    <row r="3" spans="1:9" ht="26.25" customHeight="1" thickBot="1" x14ac:dyDescent="0.25">
      <c r="A3" s="590"/>
      <c r="B3" s="591"/>
      <c r="C3" s="598" t="s">
        <v>243</v>
      </c>
      <c r="D3" s="599"/>
      <c r="E3" s="599"/>
      <c r="F3" s="599"/>
      <c r="G3" s="600"/>
      <c r="H3" s="601" t="s">
        <v>3</v>
      </c>
      <c r="I3" s="579">
        <v>45985</v>
      </c>
    </row>
    <row r="4" spans="1:9" ht="13.5" x14ac:dyDescent="0.25">
      <c r="A4" s="590"/>
      <c r="B4" s="591"/>
      <c r="C4" s="82" t="s">
        <v>4</v>
      </c>
      <c r="D4" s="582" t="s">
        <v>58</v>
      </c>
      <c r="E4" s="583"/>
      <c r="F4" s="583"/>
      <c r="G4" s="584"/>
      <c r="H4" s="602"/>
      <c r="I4" s="580"/>
    </row>
    <row r="5" spans="1:9" ht="14.25" thickBot="1" x14ac:dyDescent="0.3">
      <c r="A5" s="592"/>
      <c r="B5" s="593"/>
      <c r="C5" s="83" t="s">
        <v>5</v>
      </c>
      <c r="D5" s="585" t="s">
        <v>35</v>
      </c>
      <c r="E5" s="586"/>
      <c r="F5" s="586"/>
      <c r="G5" s="587"/>
      <c r="H5" s="603"/>
      <c r="I5" s="581"/>
    </row>
    <row r="6" spans="1:9" ht="18.75" thickBot="1" x14ac:dyDescent="0.3">
      <c r="A6" s="487" t="s">
        <v>42</v>
      </c>
      <c r="B6" s="487"/>
      <c r="C6" s="487"/>
      <c r="D6" s="572" t="s">
        <v>60</v>
      </c>
      <c r="E6" s="572"/>
      <c r="F6" s="572"/>
      <c r="G6" s="489" t="s">
        <v>44</v>
      </c>
      <c r="H6" s="489"/>
      <c r="I6" s="343" t="s">
        <v>60</v>
      </c>
    </row>
    <row r="7" spans="1:9" x14ac:dyDescent="0.2">
      <c r="A7" s="573" t="s">
        <v>6</v>
      </c>
      <c r="B7" s="575" t="s">
        <v>45</v>
      </c>
      <c r="C7" s="577" t="s">
        <v>7</v>
      </c>
      <c r="D7" s="577" t="s">
        <v>8</v>
      </c>
      <c r="E7" s="577" t="s">
        <v>22</v>
      </c>
      <c r="F7" s="577"/>
      <c r="G7" s="577" t="s">
        <v>46</v>
      </c>
      <c r="H7" s="577"/>
      <c r="I7" s="84" t="s">
        <v>47</v>
      </c>
    </row>
    <row r="8" spans="1:9" ht="26.25" thickBot="1" x14ac:dyDescent="0.25">
      <c r="A8" s="574"/>
      <c r="B8" s="576"/>
      <c r="C8" s="578"/>
      <c r="D8" s="578"/>
      <c r="E8" s="85" t="s">
        <v>9</v>
      </c>
      <c r="F8" s="86" t="s">
        <v>10</v>
      </c>
      <c r="G8" s="85" t="s">
        <v>9</v>
      </c>
      <c r="H8" s="86" t="s">
        <v>10</v>
      </c>
      <c r="I8" s="87" t="s">
        <v>48</v>
      </c>
    </row>
    <row r="9" spans="1:9" ht="20.25" x14ac:dyDescent="0.3">
      <c r="A9" s="12"/>
      <c r="B9" s="13"/>
      <c r="C9" s="14" t="s">
        <v>24</v>
      </c>
      <c r="D9" s="15"/>
      <c r="E9" s="16"/>
      <c r="F9" s="17"/>
      <c r="G9" s="16"/>
      <c r="H9" s="17"/>
      <c r="I9" s="18"/>
    </row>
    <row r="10" spans="1:9" ht="20.25" x14ac:dyDescent="0.3">
      <c r="A10" s="44" t="s">
        <v>61</v>
      </c>
      <c r="B10" s="24" t="s">
        <v>62</v>
      </c>
      <c r="C10" s="28" t="s">
        <v>63</v>
      </c>
      <c r="D10" s="56" t="s">
        <v>34</v>
      </c>
      <c r="E10" s="429">
        <v>6000</v>
      </c>
      <c r="F10" s="430" t="s">
        <v>11</v>
      </c>
      <c r="G10" s="22"/>
      <c r="H10" s="23"/>
      <c r="I10" s="18"/>
    </row>
    <row r="11" spans="1:9" ht="20.25" x14ac:dyDescent="0.3">
      <c r="A11" s="56"/>
      <c r="B11" s="56"/>
      <c r="C11" s="57"/>
      <c r="D11" s="56"/>
      <c r="E11" s="429"/>
      <c r="F11" s="430"/>
      <c r="G11" s="22"/>
      <c r="H11" s="23"/>
      <c r="I11" s="18"/>
    </row>
    <row r="12" spans="1:9" ht="20.25" x14ac:dyDescent="0.3">
      <c r="A12" s="56"/>
      <c r="B12" s="56"/>
      <c r="C12" s="57"/>
      <c r="D12" s="56"/>
      <c r="E12" s="429"/>
      <c r="F12" s="430"/>
      <c r="G12" s="22"/>
      <c r="H12" s="23"/>
      <c r="I12" s="18"/>
    </row>
    <row r="13" spans="1:9" ht="20.25" x14ac:dyDescent="0.3">
      <c r="A13" s="31"/>
      <c r="B13" s="32"/>
      <c r="C13" s="33" t="s">
        <v>25</v>
      </c>
      <c r="D13" s="24"/>
      <c r="E13" s="24"/>
      <c r="F13" s="24"/>
      <c r="G13" s="24"/>
      <c r="H13" s="23"/>
      <c r="I13" s="18"/>
    </row>
    <row r="14" spans="1:9" ht="20.25" x14ac:dyDescent="0.3">
      <c r="A14" s="29"/>
      <c r="B14" s="24"/>
      <c r="C14" s="28"/>
      <c r="D14" s="30"/>
      <c r="E14" s="30"/>
      <c r="F14" s="30"/>
      <c r="G14" s="16"/>
      <c r="H14" s="23"/>
      <c r="I14" s="18"/>
    </row>
    <row r="15" spans="1:9" ht="20.25" x14ac:dyDescent="0.3">
      <c r="A15" s="431"/>
      <c r="B15" s="432"/>
      <c r="C15" s="28"/>
      <c r="D15" s="30"/>
      <c r="E15" s="30"/>
      <c r="F15" s="30"/>
      <c r="G15" s="16"/>
      <c r="H15" s="23"/>
      <c r="I15" s="18"/>
    </row>
    <row r="16" spans="1:9" ht="20.25" x14ac:dyDescent="0.3">
      <c r="A16" s="46"/>
      <c r="B16" s="47"/>
      <c r="C16" s="48" t="s">
        <v>49</v>
      </c>
      <c r="D16" s="49"/>
      <c r="E16" s="50"/>
      <c r="F16" s="17"/>
      <c r="G16" s="16"/>
      <c r="H16" s="23"/>
      <c r="I16" s="18"/>
    </row>
    <row r="17" spans="1:9" ht="20.25" x14ac:dyDescent="0.3">
      <c r="A17" s="433" t="s">
        <v>64</v>
      </c>
      <c r="B17" s="434" t="s">
        <v>65</v>
      </c>
      <c r="C17" s="435" t="s">
        <v>66</v>
      </c>
      <c r="D17" s="24" t="s">
        <v>67</v>
      </c>
      <c r="E17" s="44">
        <v>0.5</v>
      </c>
      <c r="F17" s="45" t="s">
        <v>12</v>
      </c>
      <c r="G17" s="53"/>
      <c r="H17" s="23"/>
      <c r="I17" s="18"/>
    </row>
    <row r="18" spans="1:9" ht="20.25" x14ac:dyDescent="0.3">
      <c r="A18" s="433" t="s">
        <v>68</v>
      </c>
      <c r="B18" s="434" t="s">
        <v>69</v>
      </c>
      <c r="C18" s="435" t="s">
        <v>70</v>
      </c>
      <c r="D18" s="24" t="s">
        <v>71</v>
      </c>
      <c r="E18" s="44">
        <v>3</v>
      </c>
      <c r="F18" s="45" t="s">
        <v>72</v>
      </c>
      <c r="G18" s="53"/>
      <c r="H18" s="23"/>
      <c r="I18" s="18"/>
    </row>
    <row r="19" spans="1:9" ht="20.25" x14ac:dyDescent="0.3">
      <c r="A19" s="436" t="s">
        <v>73</v>
      </c>
      <c r="B19" s="437" t="s">
        <v>242</v>
      </c>
      <c r="C19" s="438" t="s">
        <v>74</v>
      </c>
      <c r="D19" s="24"/>
      <c r="E19" s="44">
        <v>36</v>
      </c>
      <c r="F19" s="45" t="s">
        <v>11</v>
      </c>
      <c r="G19" s="53"/>
      <c r="H19" s="23"/>
      <c r="I19" s="18"/>
    </row>
    <row r="20" spans="1:9" ht="20.25" x14ac:dyDescent="0.3">
      <c r="A20" s="56"/>
      <c r="B20" s="56"/>
      <c r="C20" s="57"/>
      <c r="D20" s="24"/>
      <c r="E20" s="44"/>
      <c r="F20" s="45"/>
      <c r="G20" s="16"/>
      <c r="H20" s="23"/>
      <c r="I20" s="18"/>
    </row>
    <row r="21" spans="1:9" ht="20.25" x14ac:dyDescent="0.3">
      <c r="A21" s="59"/>
      <c r="B21" s="59"/>
      <c r="C21" s="60"/>
      <c r="D21" s="24"/>
      <c r="E21" s="45"/>
      <c r="F21" s="45"/>
      <c r="G21" s="26"/>
      <c r="H21" s="17"/>
      <c r="I21" s="18"/>
    </row>
    <row r="22" spans="1:9" ht="21" thickBot="1" x14ac:dyDescent="0.35">
      <c r="A22" s="62"/>
      <c r="B22" s="63"/>
      <c r="C22" s="64" t="s">
        <v>75</v>
      </c>
      <c r="D22" s="64"/>
      <c r="E22" s="65"/>
      <c r="F22" s="66"/>
      <c r="G22" s="64"/>
      <c r="H22" s="64"/>
      <c r="I22" s="67"/>
    </row>
    <row r="23" spans="1:9" ht="21" thickBot="1" x14ac:dyDescent="0.35">
      <c r="A23" s="68"/>
      <c r="B23" s="69"/>
      <c r="C23" s="70" t="s">
        <v>75</v>
      </c>
      <c r="D23" s="71" t="s">
        <v>9</v>
      </c>
      <c r="E23" s="72" t="s">
        <v>12</v>
      </c>
      <c r="F23" s="73"/>
      <c r="G23" s="70"/>
      <c r="H23" s="70"/>
      <c r="I23" s="74"/>
    </row>
    <row r="24" spans="1:9" ht="20.25" x14ac:dyDescent="0.3">
      <c r="A24" s="473" t="s">
        <v>13</v>
      </c>
      <c r="B24" s="474"/>
      <c r="C24" s="475"/>
      <c r="D24" s="439">
        <v>6000</v>
      </c>
      <c r="E24" s="75" t="s">
        <v>11</v>
      </c>
      <c r="F24" s="476" t="s">
        <v>53</v>
      </c>
      <c r="G24" s="476"/>
      <c r="H24" s="477"/>
      <c r="I24" s="478"/>
    </row>
    <row r="25" spans="1:9" ht="20.25" x14ac:dyDescent="0.3">
      <c r="A25" s="464" t="s">
        <v>14</v>
      </c>
      <c r="B25" s="465"/>
      <c r="C25" s="466"/>
      <c r="D25" s="24">
        <v>3</v>
      </c>
      <c r="E25" s="24" t="s">
        <v>76</v>
      </c>
      <c r="F25" s="467" t="s">
        <v>23</v>
      </c>
      <c r="G25" s="467"/>
      <c r="H25" s="468"/>
      <c r="I25" s="469"/>
    </row>
    <row r="26" spans="1:9" ht="20.25" x14ac:dyDescent="0.3">
      <c r="A26" s="464" t="s">
        <v>15</v>
      </c>
      <c r="B26" s="465"/>
      <c r="C26" s="466"/>
      <c r="D26" s="44">
        <f>D24/D27</f>
        <v>3.3333333333333335</v>
      </c>
      <c r="E26" s="24" t="s">
        <v>77</v>
      </c>
      <c r="F26" s="467" t="s">
        <v>54</v>
      </c>
      <c r="G26" s="467"/>
      <c r="H26" s="468"/>
      <c r="I26" s="469"/>
    </row>
    <row r="27" spans="1:9" ht="20.25" x14ac:dyDescent="0.3">
      <c r="A27" s="464" t="s">
        <v>16</v>
      </c>
      <c r="B27" s="465"/>
      <c r="C27" s="466"/>
      <c r="D27" s="44">
        <v>1800</v>
      </c>
      <c r="E27" s="24" t="s">
        <v>11</v>
      </c>
      <c r="F27" s="479" t="s">
        <v>55</v>
      </c>
      <c r="G27" s="480"/>
      <c r="H27" s="481"/>
      <c r="I27" s="482"/>
    </row>
    <row r="28" spans="1:9" ht="21" thickBot="1" x14ac:dyDescent="0.35">
      <c r="A28" s="483" t="s">
        <v>17</v>
      </c>
      <c r="B28" s="484"/>
      <c r="C28" s="485"/>
      <c r="D28" s="76">
        <v>0</v>
      </c>
      <c r="E28" s="77" t="s">
        <v>11</v>
      </c>
      <c r="F28" s="486"/>
      <c r="G28" s="486"/>
      <c r="H28" s="468"/>
      <c r="I28" s="469"/>
    </row>
    <row r="29" spans="1:9" ht="21" thickBot="1" x14ac:dyDescent="0.35">
      <c r="A29" s="470" t="s">
        <v>18</v>
      </c>
      <c r="B29" s="471"/>
      <c r="C29" s="471"/>
      <c r="D29" s="471"/>
      <c r="E29" s="471"/>
      <c r="F29" s="471"/>
      <c r="G29" s="471"/>
      <c r="H29" s="471"/>
      <c r="I29" s="472"/>
    </row>
    <row r="30" spans="1:9" ht="20.25" x14ac:dyDescent="0.3">
      <c r="A30" s="568" t="s">
        <v>78</v>
      </c>
      <c r="B30" s="569"/>
      <c r="C30" s="570"/>
      <c r="D30" s="570"/>
      <c r="E30" s="570"/>
      <c r="F30" s="570"/>
      <c r="G30" s="570"/>
      <c r="H30" s="570"/>
      <c r="I30" s="571"/>
    </row>
    <row r="31" spans="1:9" ht="20.25" x14ac:dyDescent="0.3">
      <c r="A31" s="565" t="s">
        <v>79</v>
      </c>
      <c r="B31" s="557"/>
      <c r="C31" s="566"/>
      <c r="D31" s="566"/>
      <c r="E31" s="566"/>
      <c r="F31" s="566"/>
      <c r="G31" s="566"/>
      <c r="H31" s="566"/>
      <c r="I31" s="567"/>
    </row>
    <row r="32" spans="1:9" ht="20.25" x14ac:dyDescent="0.3">
      <c r="A32" s="561"/>
      <c r="B32" s="562"/>
      <c r="C32" s="563"/>
      <c r="D32" s="563"/>
      <c r="E32" s="563"/>
      <c r="F32" s="563"/>
      <c r="G32" s="563"/>
      <c r="H32" s="563"/>
      <c r="I32" s="564"/>
    </row>
    <row r="33" spans="1:9" ht="21" thickBot="1" x14ac:dyDescent="0.35">
      <c r="A33" s="552"/>
      <c r="B33" s="553"/>
      <c r="C33" s="554"/>
      <c r="D33" s="554"/>
      <c r="E33" s="554"/>
      <c r="F33" s="554"/>
      <c r="G33" s="554"/>
      <c r="H33" s="554"/>
      <c r="I33" s="555"/>
    </row>
    <row r="34" spans="1:9" ht="21" thickBot="1" x14ac:dyDescent="0.35">
      <c r="A34" s="556"/>
      <c r="B34" s="459"/>
      <c r="C34" s="459"/>
      <c r="D34" s="459"/>
      <c r="E34" s="459"/>
      <c r="F34" s="459"/>
      <c r="G34" s="459"/>
      <c r="H34" s="459"/>
      <c r="I34" s="557"/>
    </row>
    <row r="35" spans="1:9" ht="20.25" x14ac:dyDescent="0.3">
      <c r="A35" s="558" t="s">
        <v>56</v>
      </c>
      <c r="B35" s="559"/>
      <c r="C35" s="559"/>
      <c r="D35" s="559"/>
      <c r="E35" s="559"/>
      <c r="F35" s="559"/>
      <c r="G35" s="559"/>
      <c r="H35" s="559"/>
      <c r="I35" s="559"/>
    </row>
    <row r="36" spans="1:9" ht="20.25" x14ac:dyDescent="0.3">
      <c r="A36" s="560"/>
      <c r="B36" s="560"/>
      <c r="C36" s="560"/>
      <c r="D36" s="560"/>
      <c r="E36" s="560"/>
      <c r="F36" s="560"/>
      <c r="G36" s="560"/>
      <c r="H36" s="560"/>
      <c r="I36" s="560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33:I33"/>
    <mergeCell ref="A34:I34"/>
    <mergeCell ref="A35:I35"/>
    <mergeCell ref="A36:I36"/>
    <mergeCell ref="A32:I32"/>
  </mergeCells>
  <pageMargins left="0.7" right="0.7" top="0.75" bottom="0.75" header="0.3" footer="0.3"/>
  <pageSetup scale="4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649E-ED8B-4783-9ACD-F95A1BD60DB3}">
  <dimension ref="A1:M32"/>
  <sheetViews>
    <sheetView workbookViewId="0">
      <selection activeCell="F19" sqref="F19:G19"/>
    </sheetView>
  </sheetViews>
  <sheetFormatPr baseColWidth="10" defaultColWidth="11.42578125" defaultRowHeight="13.5" x14ac:dyDescent="0.25"/>
  <cols>
    <col min="1" max="1" width="16.140625" style="206" customWidth="1"/>
    <col min="2" max="2" width="13.140625" style="206" customWidth="1"/>
    <col min="3" max="3" width="49" style="206" bestFit="1" customWidth="1"/>
    <col min="4" max="4" width="15.5703125" style="206" customWidth="1"/>
    <col min="5" max="5" width="11.42578125" style="206"/>
    <col min="6" max="6" width="13.140625" style="206" customWidth="1"/>
    <col min="7" max="8" width="16.7109375" style="206" customWidth="1"/>
    <col min="9" max="9" width="16" style="206" customWidth="1"/>
    <col min="10" max="16384" width="11.42578125" style="206"/>
  </cols>
  <sheetData>
    <row r="1" spans="1:12" ht="15.75" x14ac:dyDescent="0.25">
      <c r="A1" s="588"/>
      <c r="B1" s="589"/>
      <c r="C1" s="609" t="s">
        <v>21</v>
      </c>
      <c r="D1" s="594"/>
      <c r="E1" s="594"/>
      <c r="F1" s="594"/>
      <c r="G1" s="594"/>
      <c r="H1" s="78" t="s">
        <v>0</v>
      </c>
      <c r="I1" s="79" t="s">
        <v>152</v>
      </c>
    </row>
    <row r="2" spans="1:12" ht="16.5" thickBot="1" x14ac:dyDescent="0.3">
      <c r="A2" s="590"/>
      <c r="B2" s="591"/>
      <c r="C2" s="610" t="s">
        <v>1</v>
      </c>
      <c r="D2" s="611"/>
      <c r="E2" s="611"/>
      <c r="F2" s="611"/>
      <c r="G2" s="611"/>
      <c r="H2" s="80" t="s">
        <v>2</v>
      </c>
      <c r="I2" s="81" t="s">
        <v>153</v>
      </c>
    </row>
    <row r="3" spans="1:12" ht="18.75" thickBot="1" x14ac:dyDescent="0.3">
      <c r="A3" s="590"/>
      <c r="B3" s="591"/>
      <c r="C3" s="612" t="s">
        <v>154</v>
      </c>
      <c r="D3" s="613"/>
      <c r="E3" s="613"/>
      <c r="F3" s="613"/>
      <c r="G3" s="614"/>
      <c r="H3" s="601" t="s">
        <v>3</v>
      </c>
      <c r="I3" s="579">
        <v>44109</v>
      </c>
    </row>
    <row r="4" spans="1:12" x14ac:dyDescent="0.25">
      <c r="A4" s="590"/>
      <c r="B4" s="591"/>
      <c r="C4" s="207" t="s">
        <v>4</v>
      </c>
      <c r="D4" s="582" t="s">
        <v>155</v>
      </c>
      <c r="E4" s="583"/>
      <c r="F4" s="583"/>
      <c r="G4" s="584"/>
      <c r="H4" s="602"/>
      <c r="I4" s="580"/>
    </row>
    <row r="5" spans="1:12" ht="14.25" thickBot="1" x14ac:dyDescent="0.3">
      <c r="A5" s="607"/>
      <c r="B5" s="608"/>
      <c r="C5" s="208" t="s">
        <v>5</v>
      </c>
      <c r="D5" s="604" t="s">
        <v>156</v>
      </c>
      <c r="E5" s="605"/>
      <c r="F5" s="605"/>
      <c r="G5" s="606"/>
      <c r="H5" s="602"/>
      <c r="I5" s="580"/>
    </row>
    <row r="6" spans="1:12" ht="21" thickBot="1" x14ac:dyDescent="0.3">
      <c r="A6" s="615" t="s">
        <v>42</v>
      </c>
      <c r="B6" s="616"/>
      <c r="C6" s="616"/>
      <c r="D6" s="617" t="s">
        <v>157</v>
      </c>
      <c r="E6" s="617"/>
      <c r="F6" s="617"/>
      <c r="G6" s="618" t="s">
        <v>44</v>
      </c>
      <c r="H6" s="618"/>
      <c r="I6" s="209" t="s">
        <v>158</v>
      </c>
    </row>
    <row r="7" spans="1:12" ht="25.5" x14ac:dyDescent="0.25">
      <c r="A7" s="619" t="s">
        <v>6</v>
      </c>
      <c r="B7" s="621" t="s">
        <v>159</v>
      </c>
      <c r="C7" s="623" t="s">
        <v>7</v>
      </c>
      <c r="D7" s="623" t="s">
        <v>8</v>
      </c>
      <c r="E7" s="623" t="s">
        <v>22</v>
      </c>
      <c r="F7" s="623"/>
      <c r="G7" s="623" t="s">
        <v>46</v>
      </c>
      <c r="H7" s="623"/>
      <c r="I7" s="210" t="s">
        <v>47</v>
      </c>
    </row>
    <row r="8" spans="1:12" ht="27" thickBot="1" x14ac:dyDescent="0.3">
      <c r="A8" s="620"/>
      <c r="B8" s="622"/>
      <c r="C8" s="624"/>
      <c r="D8" s="624"/>
      <c r="E8" s="211" t="s">
        <v>9</v>
      </c>
      <c r="F8" s="212" t="s">
        <v>10</v>
      </c>
      <c r="G8" s="211" t="s">
        <v>9</v>
      </c>
      <c r="H8" s="212" t="s">
        <v>10</v>
      </c>
      <c r="I8" s="213" t="s">
        <v>48</v>
      </c>
    </row>
    <row r="9" spans="1:12" ht="15.75" x14ac:dyDescent="0.25">
      <c r="A9" s="214"/>
      <c r="B9" s="215"/>
      <c r="C9" s="216"/>
      <c r="D9" s="88"/>
      <c r="E9" s="88"/>
      <c r="F9" s="88"/>
      <c r="G9" s="93"/>
      <c r="H9" s="89"/>
      <c r="I9" s="217"/>
    </row>
    <row r="10" spans="1:12" ht="15" x14ac:dyDescent="0.25">
      <c r="A10" s="90" t="s">
        <v>160</v>
      </c>
      <c r="B10" s="91" t="s">
        <v>161</v>
      </c>
      <c r="C10" s="218" t="s">
        <v>162</v>
      </c>
      <c r="D10" s="219" t="s">
        <v>34</v>
      </c>
      <c r="E10" s="96">
        <v>1227</v>
      </c>
      <c r="F10" s="220" t="s">
        <v>11</v>
      </c>
      <c r="G10" s="93"/>
      <c r="H10" s="89"/>
      <c r="I10" s="217"/>
    </row>
    <row r="11" spans="1:12" ht="15" x14ac:dyDescent="0.25">
      <c r="A11" s="90" t="s">
        <v>163</v>
      </c>
      <c r="B11" s="91" t="s">
        <v>164</v>
      </c>
      <c r="C11" s="218" t="s">
        <v>165</v>
      </c>
      <c r="D11" s="219" t="s">
        <v>166</v>
      </c>
      <c r="E11" s="96">
        <v>1200</v>
      </c>
      <c r="F11" s="220" t="s">
        <v>11</v>
      </c>
      <c r="G11" s="93"/>
      <c r="H11" s="89"/>
      <c r="I11" s="217"/>
    </row>
    <row r="12" spans="1:12" ht="15" x14ac:dyDescent="0.25">
      <c r="A12" s="90">
        <v>11300011</v>
      </c>
      <c r="B12" s="91" t="s">
        <v>167</v>
      </c>
      <c r="C12" s="218" t="s">
        <v>168</v>
      </c>
      <c r="D12" s="219" t="s">
        <v>169</v>
      </c>
      <c r="E12" s="96">
        <v>650</v>
      </c>
      <c r="F12" s="220" t="s">
        <v>11</v>
      </c>
      <c r="G12" s="93"/>
      <c r="H12" s="89"/>
      <c r="I12" s="217"/>
    </row>
    <row r="13" spans="1:12" ht="15" x14ac:dyDescent="0.25">
      <c r="A13" s="221"/>
      <c r="B13" s="222"/>
      <c r="C13" s="97"/>
      <c r="D13" s="223"/>
      <c r="E13" s="94"/>
      <c r="F13" s="94"/>
      <c r="G13" s="94"/>
      <c r="H13" s="94"/>
      <c r="I13" s="224"/>
    </row>
    <row r="14" spans="1:12" ht="14.25" thickBot="1" x14ac:dyDescent="0.3">
      <c r="A14" s="225"/>
      <c r="B14" s="226"/>
      <c r="E14" s="227"/>
      <c r="F14" s="228"/>
      <c r="I14" s="229"/>
      <c r="L14" s="230"/>
    </row>
    <row r="15" spans="1:12" ht="14.25" thickBot="1" x14ac:dyDescent="0.3">
      <c r="A15" s="231"/>
      <c r="B15" s="232"/>
      <c r="C15" s="233"/>
      <c r="D15" s="234" t="s">
        <v>9</v>
      </c>
      <c r="E15" s="235" t="s">
        <v>12</v>
      </c>
      <c r="F15" s="236"/>
      <c r="G15" s="233"/>
      <c r="H15" s="233"/>
      <c r="I15" s="237"/>
      <c r="L15" s="230"/>
    </row>
    <row r="16" spans="1:12" x14ac:dyDescent="0.25">
      <c r="A16" s="628" t="s">
        <v>13</v>
      </c>
      <c r="B16" s="629"/>
      <c r="C16" s="630"/>
      <c r="D16" s="238">
        <v>3000</v>
      </c>
      <c r="E16" s="98" t="s">
        <v>11</v>
      </c>
      <c r="F16" s="631" t="s">
        <v>53</v>
      </c>
      <c r="G16" s="631"/>
      <c r="H16" s="239" t="s">
        <v>170</v>
      </c>
      <c r="I16" s="240" t="s">
        <v>170</v>
      </c>
      <c r="L16" s="230"/>
    </row>
    <row r="17" spans="1:13" x14ac:dyDescent="0.25">
      <c r="A17" s="632" t="s">
        <v>14</v>
      </c>
      <c r="B17" s="633"/>
      <c r="C17" s="634"/>
      <c r="D17" s="241">
        <v>5</v>
      </c>
      <c r="E17" s="89" t="s">
        <v>76</v>
      </c>
      <c r="F17" s="635" t="s">
        <v>23</v>
      </c>
      <c r="G17" s="635"/>
      <c r="H17" s="242" t="s">
        <v>171</v>
      </c>
      <c r="I17" s="243" t="s">
        <v>172</v>
      </c>
      <c r="L17" s="230"/>
    </row>
    <row r="18" spans="1:13" x14ac:dyDescent="0.25">
      <c r="A18" s="632" t="s">
        <v>15</v>
      </c>
      <c r="B18" s="633"/>
      <c r="C18" s="634"/>
      <c r="D18" s="89">
        <v>3</v>
      </c>
      <c r="E18" s="89" t="s">
        <v>32</v>
      </c>
      <c r="F18" s="635" t="s">
        <v>54</v>
      </c>
      <c r="G18" s="635"/>
      <c r="H18" s="242" t="s">
        <v>173</v>
      </c>
      <c r="I18" s="243" t="s">
        <v>174</v>
      </c>
      <c r="L18" s="230"/>
    </row>
    <row r="19" spans="1:13" x14ac:dyDescent="0.25">
      <c r="A19" s="632" t="s">
        <v>16</v>
      </c>
      <c r="B19" s="633"/>
      <c r="C19" s="634"/>
      <c r="D19" s="93">
        <f>D16/D18</f>
        <v>1000</v>
      </c>
      <c r="E19" s="89" t="s">
        <v>11</v>
      </c>
      <c r="F19" s="636" t="s">
        <v>55</v>
      </c>
      <c r="G19" s="637"/>
      <c r="H19" s="244"/>
      <c r="I19" s="245"/>
      <c r="L19" s="230"/>
      <c r="M19" s="246"/>
    </row>
    <row r="20" spans="1:13" ht="14.25" thickBot="1" x14ac:dyDescent="0.3">
      <c r="A20" s="638" t="s">
        <v>17</v>
      </c>
      <c r="B20" s="639"/>
      <c r="C20" s="640"/>
      <c r="D20" s="99">
        <v>77</v>
      </c>
      <c r="E20" s="100" t="s">
        <v>11</v>
      </c>
      <c r="F20" s="641"/>
      <c r="G20" s="641"/>
      <c r="H20" s="642"/>
      <c r="I20" s="643"/>
      <c r="L20" s="230"/>
    </row>
    <row r="21" spans="1:13" ht="14.25" thickBot="1" x14ac:dyDescent="0.3">
      <c r="A21" s="625" t="s">
        <v>18</v>
      </c>
      <c r="B21" s="626"/>
      <c r="C21" s="626"/>
      <c r="D21" s="626"/>
      <c r="E21" s="626"/>
      <c r="F21" s="626"/>
      <c r="G21" s="626"/>
      <c r="H21" s="626"/>
      <c r="I21" s="627"/>
    </row>
    <row r="22" spans="1:13" ht="15" x14ac:dyDescent="0.25">
      <c r="A22" s="650" t="s">
        <v>175</v>
      </c>
      <c r="B22" s="651"/>
      <c r="C22" s="651"/>
      <c r="D22" s="651"/>
      <c r="E22" s="651"/>
      <c r="F22" s="651"/>
      <c r="G22" s="651"/>
      <c r="H22" s="651"/>
      <c r="I22" s="652"/>
    </row>
    <row r="23" spans="1:13" ht="15" x14ac:dyDescent="0.25">
      <c r="A23" s="653" t="s">
        <v>176</v>
      </c>
      <c r="B23" s="654"/>
      <c r="C23" s="654"/>
      <c r="D23" s="654"/>
      <c r="E23" s="654"/>
      <c r="F23" s="654"/>
      <c r="G23" s="654"/>
      <c r="H23" s="654"/>
      <c r="I23" s="655"/>
    </row>
    <row r="24" spans="1:13" ht="15" x14ac:dyDescent="0.25">
      <c r="A24" s="653" t="s">
        <v>177</v>
      </c>
      <c r="B24" s="654"/>
      <c r="C24" s="654"/>
      <c r="D24" s="654"/>
      <c r="E24" s="654"/>
      <c r="F24" s="654"/>
      <c r="G24" s="654"/>
      <c r="H24" s="654"/>
      <c r="I24" s="655"/>
    </row>
    <row r="25" spans="1:13" ht="15" x14ac:dyDescent="0.25">
      <c r="A25" s="656" t="s">
        <v>178</v>
      </c>
      <c r="B25" s="657"/>
      <c r="C25" s="657"/>
      <c r="D25" s="657"/>
      <c r="E25" s="657"/>
      <c r="F25" s="657"/>
      <c r="G25" s="657"/>
      <c r="H25" s="657"/>
      <c r="I25" s="658"/>
    </row>
    <row r="26" spans="1:13" ht="15" x14ac:dyDescent="0.25">
      <c r="A26" s="659"/>
      <c r="B26" s="660"/>
      <c r="C26" s="660"/>
      <c r="D26" s="660"/>
      <c r="E26" s="660"/>
      <c r="F26" s="660"/>
      <c r="G26" s="660"/>
      <c r="H26" s="660"/>
      <c r="I26" s="661"/>
    </row>
    <row r="27" spans="1:13" ht="15" x14ac:dyDescent="0.25">
      <c r="A27" s="659"/>
      <c r="B27" s="660"/>
      <c r="C27" s="660"/>
      <c r="D27" s="660"/>
      <c r="E27" s="660"/>
      <c r="F27" s="660"/>
      <c r="G27" s="660"/>
      <c r="H27" s="660"/>
      <c r="I27" s="661"/>
    </row>
    <row r="28" spans="1:13" ht="15.75" thickBot="1" x14ac:dyDescent="0.3">
      <c r="A28" s="644"/>
      <c r="B28" s="645"/>
      <c r="C28" s="645"/>
      <c r="D28" s="645"/>
      <c r="E28" s="645"/>
      <c r="F28" s="645"/>
      <c r="G28" s="645"/>
      <c r="H28" s="645"/>
      <c r="I28" s="646"/>
    </row>
    <row r="29" spans="1:13" ht="14.25" thickBot="1" x14ac:dyDescent="0.3">
      <c r="A29" s="647" t="s">
        <v>56</v>
      </c>
      <c r="B29" s="648"/>
      <c r="C29" s="648"/>
      <c r="D29" s="648"/>
      <c r="E29" s="648"/>
      <c r="F29" s="648"/>
      <c r="G29" s="648"/>
      <c r="H29" s="648"/>
      <c r="I29" s="649"/>
    </row>
    <row r="30" spans="1:13" ht="16.5" customHeight="1" x14ac:dyDescent="0.25">
      <c r="A30" s="247" t="s">
        <v>179</v>
      </c>
      <c r="B30" s="248"/>
      <c r="C30" s="248"/>
      <c r="D30" s="248"/>
      <c r="E30" s="248"/>
      <c r="F30" s="248"/>
      <c r="G30" s="248"/>
      <c r="H30" s="248"/>
      <c r="I30" s="248"/>
    </row>
    <row r="31" spans="1:13" ht="16.5" customHeight="1" x14ac:dyDescent="0.25"/>
    <row r="32" spans="1:13" ht="16.5" customHeight="1" x14ac:dyDescent="0.25"/>
  </sheetData>
  <mergeCells count="37">
    <mergeCell ref="A28:I28"/>
    <mergeCell ref="A29:I29"/>
    <mergeCell ref="A22:I22"/>
    <mergeCell ref="A23:I23"/>
    <mergeCell ref="A24:I24"/>
    <mergeCell ref="A25:I25"/>
    <mergeCell ref="A26:I26"/>
    <mergeCell ref="A27:I27"/>
    <mergeCell ref="A21:I21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7F06-7624-4F9D-B5D9-108BFD5A3F00}">
  <dimension ref="A1:I55"/>
  <sheetViews>
    <sheetView workbookViewId="0">
      <selection activeCell="G19" sqref="G19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16.5703125" customWidth="1"/>
    <col min="9" max="9" width="22.7109375" bestFit="1" customWidth="1"/>
  </cols>
  <sheetData>
    <row r="1" spans="1:9" ht="18" x14ac:dyDescent="0.25">
      <c r="A1" s="671"/>
      <c r="B1" s="672"/>
      <c r="C1" s="677" t="s">
        <v>21</v>
      </c>
      <c r="D1" s="677"/>
      <c r="E1" s="677"/>
      <c r="F1" s="677"/>
      <c r="G1" s="677"/>
      <c r="H1" s="249" t="s">
        <v>0</v>
      </c>
      <c r="I1" s="250" t="s">
        <v>180</v>
      </c>
    </row>
    <row r="2" spans="1:9" ht="18" customHeight="1" thickBot="1" x14ac:dyDescent="0.3">
      <c r="A2" s="673"/>
      <c r="B2" s="674"/>
      <c r="C2" s="678" t="s">
        <v>1</v>
      </c>
      <c r="D2" s="679"/>
      <c r="E2" s="679"/>
      <c r="F2" s="679"/>
      <c r="G2" s="680"/>
      <c r="H2" s="251" t="s">
        <v>2</v>
      </c>
      <c r="I2" s="252" t="s">
        <v>181</v>
      </c>
    </row>
    <row r="3" spans="1:9" ht="31.5" customHeight="1" thickBot="1" x14ac:dyDescent="0.25">
      <c r="A3" s="673"/>
      <c r="B3" s="674"/>
      <c r="C3" s="681" t="s">
        <v>182</v>
      </c>
      <c r="D3" s="682"/>
      <c r="E3" s="682"/>
      <c r="F3" s="682"/>
      <c r="G3" s="683"/>
      <c r="H3" s="684" t="s">
        <v>3</v>
      </c>
      <c r="I3" s="662">
        <v>45616</v>
      </c>
    </row>
    <row r="4" spans="1:9" ht="18" customHeight="1" x14ac:dyDescent="0.25">
      <c r="A4" s="673"/>
      <c r="B4" s="674"/>
      <c r="C4" s="253" t="s">
        <v>4</v>
      </c>
      <c r="D4" s="665" t="s">
        <v>183</v>
      </c>
      <c r="E4" s="666"/>
      <c r="F4" s="666"/>
      <c r="G4" s="667"/>
      <c r="H4" s="685"/>
      <c r="I4" s="663"/>
    </row>
    <row r="5" spans="1:9" ht="18.75" thickBot="1" x14ac:dyDescent="0.3">
      <c r="A5" s="675"/>
      <c r="B5" s="676"/>
      <c r="C5" s="254" t="s">
        <v>5</v>
      </c>
      <c r="D5" s="668" t="s">
        <v>35</v>
      </c>
      <c r="E5" s="669"/>
      <c r="F5" s="669"/>
      <c r="G5" s="670"/>
      <c r="H5" s="686"/>
      <c r="I5" s="664"/>
    </row>
    <row r="6" spans="1:9" ht="18.75" thickBot="1" x14ac:dyDescent="0.3">
      <c r="A6" s="487" t="s">
        <v>42</v>
      </c>
      <c r="B6" s="487"/>
      <c r="C6" s="487"/>
      <c r="D6" s="488" t="s">
        <v>184</v>
      </c>
      <c r="E6" s="488"/>
      <c r="F6" s="488"/>
      <c r="G6" s="489" t="s">
        <v>44</v>
      </c>
      <c r="H6" s="489"/>
      <c r="I6" s="7" t="s">
        <v>184</v>
      </c>
    </row>
    <row r="7" spans="1:9" ht="36" x14ac:dyDescent="0.2">
      <c r="A7" s="490" t="s">
        <v>6</v>
      </c>
      <c r="B7" s="492" t="s">
        <v>45</v>
      </c>
      <c r="C7" s="494" t="s">
        <v>7</v>
      </c>
      <c r="D7" s="494" t="s">
        <v>8</v>
      </c>
      <c r="E7" s="494" t="s">
        <v>22</v>
      </c>
      <c r="F7" s="494"/>
      <c r="G7" s="494" t="s">
        <v>46</v>
      </c>
      <c r="H7" s="494"/>
      <c r="I7" s="8" t="s">
        <v>47</v>
      </c>
    </row>
    <row r="8" spans="1:9" ht="54.75" thickBot="1" x14ac:dyDescent="0.3">
      <c r="A8" s="491"/>
      <c r="B8" s="493"/>
      <c r="C8" s="495"/>
      <c r="D8" s="495"/>
      <c r="E8" s="9" t="s">
        <v>9</v>
      </c>
      <c r="F8" s="10" t="s">
        <v>10</v>
      </c>
      <c r="G8" s="9" t="s">
        <v>9</v>
      </c>
      <c r="H8" s="10" t="s">
        <v>10</v>
      </c>
      <c r="I8" s="11" t="s">
        <v>48</v>
      </c>
    </row>
    <row r="9" spans="1:9" ht="18.600000000000001" customHeight="1" x14ac:dyDescent="0.3">
      <c r="A9" s="255"/>
      <c r="B9" s="256"/>
      <c r="C9" s="257" t="s">
        <v>24</v>
      </c>
      <c r="D9" s="258"/>
      <c r="E9" s="259"/>
      <c r="F9" s="260"/>
      <c r="G9" s="259"/>
      <c r="H9" s="260"/>
      <c r="I9" s="261"/>
    </row>
    <row r="10" spans="1:9" ht="18" customHeight="1" x14ac:dyDescent="0.3">
      <c r="A10" s="262">
        <v>510107</v>
      </c>
      <c r="B10" s="262" t="s">
        <v>185</v>
      </c>
      <c r="C10" s="263" t="s">
        <v>186</v>
      </c>
      <c r="D10" s="264" t="s">
        <v>187</v>
      </c>
      <c r="E10" s="265">
        <v>500</v>
      </c>
      <c r="F10" s="266" t="s">
        <v>11</v>
      </c>
      <c r="G10" s="267"/>
      <c r="H10" s="268"/>
      <c r="I10" s="261"/>
    </row>
    <row r="11" spans="1:9" ht="18.75" x14ac:dyDescent="0.3">
      <c r="A11" s="262" t="s">
        <v>188</v>
      </c>
      <c r="B11" s="262" t="s">
        <v>189</v>
      </c>
      <c r="C11" s="263" t="s">
        <v>190</v>
      </c>
      <c r="D11" s="269" t="s">
        <v>191</v>
      </c>
      <c r="E11" s="270">
        <v>680</v>
      </c>
      <c r="F11" s="271" t="s">
        <v>11</v>
      </c>
      <c r="G11" s="267"/>
      <c r="H11" s="268"/>
      <c r="I11" s="261"/>
    </row>
    <row r="12" spans="1:9" ht="18.75" x14ac:dyDescent="0.3">
      <c r="A12" s="262">
        <v>10100046</v>
      </c>
      <c r="B12" s="262" t="s">
        <v>192</v>
      </c>
      <c r="C12" s="263" t="s">
        <v>193</v>
      </c>
      <c r="D12" s="269" t="s">
        <v>194</v>
      </c>
      <c r="E12" s="269">
        <v>40</v>
      </c>
      <c r="F12" s="269" t="s">
        <v>11</v>
      </c>
      <c r="G12" s="272"/>
      <c r="H12" s="268"/>
      <c r="I12" s="261"/>
    </row>
    <row r="13" spans="1:9" ht="18.75" x14ac:dyDescent="0.3">
      <c r="A13" s="273" t="s">
        <v>195</v>
      </c>
      <c r="B13" s="273" t="s">
        <v>196</v>
      </c>
      <c r="C13" s="274" t="s">
        <v>197</v>
      </c>
      <c r="D13" s="269" t="s">
        <v>198</v>
      </c>
      <c r="E13" s="269">
        <v>7</v>
      </c>
      <c r="F13" s="269" t="s">
        <v>11</v>
      </c>
      <c r="G13" s="272"/>
      <c r="H13" s="268"/>
      <c r="I13" s="261"/>
    </row>
    <row r="14" spans="1:9" ht="18.75" x14ac:dyDescent="0.3">
      <c r="A14" s="262"/>
      <c r="B14" s="262"/>
      <c r="C14" s="275"/>
      <c r="D14" s="269"/>
      <c r="E14" s="269"/>
      <c r="F14" s="269"/>
      <c r="G14" s="272"/>
      <c r="H14" s="268"/>
      <c r="I14" s="261"/>
    </row>
    <row r="15" spans="1:9" ht="18.75" x14ac:dyDescent="0.3">
      <c r="A15" s="273"/>
      <c r="B15" s="273"/>
      <c r="C15" s="276"/>
      <c r="D15" s="269"/>
      <c r="E15" s="269"/>
      <c r="F15" s="269"/>
      <c r="G15" s="272"/>
      <c r="H15" s="268"/>
      <c r="I15" s="261"/>
    </row>
    <row r="16" spans="1:9" ht="18.75" x14ac:dyDescent="0.3">
      <c r="A16" s="273"/>
      <c r="B16" s="273"/>
      <c r="C16" s="276"/>
      <c r="D16" s="269"/>
      <c r="E16" s="269"/>
      <c r="F16" s="269"/>
      <c r="G16" s="272"/>
      <c r="H16" s="268"/>
      <c r="I16" s="261"/>
    </row>
    <row r="17" spans="1:9" ht="18.75" x14ac:dyDescent="0.3">
      <c r="A17" s="273"/>
      <c r="B17" s="273"/>
      <c r="C17" s="276"/>
      <c r="D17" s="269"/>
      <c r="E17" s="269"/>
      <c r="F17" s="269"/>
      <c r="G17" s="272"/>
      <c r="H17" s="268"/>
      <c r="I17" s="261"/>
    </row>
    <row r="18" spans="1:9" ht="18.75" x14ac:dyDescent="0.3">
      <c r="A18" s="277"/>
      <c r="B18" s="273"/>
      <c r="C18" s="276"/>
      <c r="D18" s="278"/>
      <c r="E18" s="278"/>
      <c r="F18" s="278"/>
      <c r="G18" s="259"/>
      <c r="H18" s="268"/>
      <c r="I18" s="261"/>
    </row>
    <row r="19" spans="1:9" ht="18.75" x14ac:dyDescent="0.3">
      <c r="A19" s="279"/>
      <c r="B19" s="280"/>
      <c r="C19" s="281" t="s">
        <v>25</v>
      </c>
      <c r="D19" s="282"/>
      <c r="E19" s="283"/>
      <c r="F19" s="284"/>
      <c r="G19" s="259"/>
      <c r="H19" s="260"/>
      <c r="I19" s="261"/>
    </row>
    <row r="20" spans="1:9" ht="18.75" x14ac:dyDescent="0.3">
      <c r="A20" s="285"/>
      <c r="B20" s="286"/>
      <c r="C20" s="287"/>
      <c r="D20" s="288"/>
      <c r="E20" s="289"/>
      <c r="F20" s="290"/>
      <c r="G20" s="259"/>
      <c r="H20" s="260"/>
      <c r="I20" s="261"/>
    </row>
    <row r="21" spans="1:9" ht="18.75" x14ac:dyDescent="0.3">
      <c r="A21" s="285"/>
      <c r="B21" s="286"/>
      <c r="C21" s="287"/>
      <c r="D21" s="288"/>
      <c r="E21" s="291"/>
      <c r="F21" s="290"/>
      <c r="G21" s="259"/>
      <c r="H21" s="260"/>
      <c r="I21" s="261"/>
    </row>
    <row r="22" spans="1:9" ht="18.75" x14ac:dyDescent="0.3">
      <c r="A22" s="285"/>
      <c r="B22" s="286"/>
      <c r="C22" s="287"/>
      <c r="D22" s="288"/>
      <c r="E22" s="289"/>
      <c r="F22" s="290"/>
      <c r="G22" s="259"/>
      <c r="H22" s="260"/>
      <c r="I22" s="261"/>
    </row>
    <row r="23" spans="1:9" ht="18.75" x14ac:dyDescent="0.3">
      <c r="A23" s="285"/>
      <c r="B23" s="286"/>
      <c r="C23" s="287"/>
      <c r="D23" s="288"/>
      <c r="E23" s="292"/>
      <c r="F23" s="293"/>
      <c r="G23" s="259"/>
      <c r="H23" s="260"/>
      <c r="I23" s="261"/>
    </row>
    <row r="24" spans="1:9" ht="18.75" x14ac:dyDescent="0.3">
      <c r="A24" s="273"/>
      <c r="B24" s="273"/>
      <c r="C24" s="276"/>
      <c r="D24" s="294"/>
      <c r="E24" s="295"/>
      <c r="F24" s="296"/>
      <c r="G24" s="259"/>
      <c r="H24" s="260"/>
      <c r="I24" s="261"/>
    </row>
    <row r="25" spans="1:9" ht="18.75" x14ac:dyDescent="0.3">
      <c r="A25" s="297"/>
      <c r="B25" s="298"/>
      <c r="C25" s="299" t="s">
        <v>49</v>
      </c>
      <c r="D25" s="300"/>
      <c r="E25" s="301"/>
      <c r="F25" s="260"/>
      <c r="G25" s="259"/>
      <c r="H25" s="302"/>
      <c r="I25" s="261"/>
    </row>
    <row r="26" spans="1:9" ht="18.75" x14ac:dyDescent="0.3">
      <c r="A26" s="303" t="s">
        <v>199</v>
      </c>
      <c r="B26" s="304" t="s">
        <v>200</v>
      </c>
      <c r="C26" s="305" t="s">
        <v>201</v>
      </c>
      <c r="D26" s="269" t="s">
        <v>67</v>
      </c>
      <c r="E26" s="270">
        <v>2</v>
      </c>
      <c r="F26" s="271" t="s">
        <v>77</v>
      </c>
      <c r="G26" s="306"/>
      <c r="H26" s="260"/>
      <c r="I26" s="261"/>
    </row>
    <row r="27" spans="1:9" ht="18.75" x14ac:dyDescent="0.3">
      <c r="A27" s="303" t="s">
        <v>202</v>
      </c>
      <c r="B27" s="304" t="s">
        <v>203</v>
      </c>
      <c r="C27" s="305" t="s">
        <v>204</v>
      </c>
      <c r="D27" s="269" t="s">
        <v>67</v>
      </c>
      <c r="E27" s="270">
        <v>2</v>
      </c>
      <c r="F27" s="271" t="s">
        <v>77</v>
      </c>
      <c r="G27" s="306"/>
      <c r="H27" s="260"/>
      <c r="I27" s="261"/>
    </row>
    <row r="28" spans="1:9" ht="18.75" x14ac:dyDescent="0.3">
      <c r="A28" s="307" t="s">
        <v>205</v>
      </c>
      <c r="B28" s="308" t="s">
        <v>40</v>
      </c>
      <c r="C28" s="309" t="s">
        <v>206</v>
      </c>
      <c r="D28" s="269" t="s">
        <v>31</v>
      </c>
      <c r="E28" s="270">
        <v>1</v>
      </c>
      <c r="F28" s="271" t="s">
        <v>77</v>
      </c>
      <c r="G28" s="306"/>
      <c r="H28" s="260"/>
      <c r="I28" s="261"/>
    </row>
    <row r="29" spans="1:9" ht="18.75" x14ac:dyDescent="0.3">
      <c r="A29" s="310" t="s">
        <v>207</v>
      </c>
      <c r="B29" s="310" t="s">
        <v>208</v>
      </c>
      <c r="C29" s="311" t="s">
        <v>209</v>
      </c>
      <c r="D29" s="269" t="s">
        <v>31</v>
      </c>
      <c r="E29" s="270">
        <v>1</v>
      </c>
      <c r="F29" s="271" t="s">
        <v>77</v>
      </c>
      <c r="G29" s="259"/>
      <c r="H29" s="260"/>
      <c r="I29" s="261"/>
    </row>
    <row r="30" spans="1:9" ht="18.75" x14ac:dyDescent="0.3">
      <c r="A30" s="310"/>
      <c r="B30" s="310"/>
      <c r="C30" s="311"/>
      <c r="D30" s="269" t="s">
        <v>75</v>
      </c>
      <c r="E30" s="270"/>
      <c r="F30" s="271"/>
      <c r="G30" s="259"/>
      <c r="H30" s="260"/>
      <c r="I30" s="261"/>
    </row>
    <row r="31" spans="1:9" ht="18.75" x14ac:dyDescent="0.3">
      <c r="A31" s="310"/>
      <c r="B31" s="310"/>
      <c r="C31" s="311"/>
      <c r="D31" s="269"/>
      <c r="E31" s="270"/>
      <c r="F31" s="271"/>
      <c r="G31" s="312"/>
      <c r="H31" s="260"/>
      <c r="I31" s="261"/>
    </row>
    <row r="32" spans="1:9" ht="18.75" x14ac:dyDescent="0.3">
      <c r="A32" s="310"/>
      <c r="B32" s="310"/>
      <c r="C32" s="311"/>
      <c r="D32" s="269"/>
      <c r="E32" s="270"/>
      <c r="F32" s="271"/>
      <c r="G32" s="313"/>
      <c r="H32" s="260"/>
      <c r="I32" s="261"/>
    </row>
    <row r="33" spans="1:9" ht="18.75" x14ac:dyDescent="0.3">
      <c r="A33" s="314"/>
      <c r="B33" s="314"/>
      <c r="C33" s="315"/>
      <c r="D33" s="269"/>
      <c r="E33" s="296"/>
      <c r="F33" s="296"/>
      <c r="G33" s="313"/>
      <c r="H33" s="260"/>
      <c r="I33" s="261"/>
    </row>
    <row r="34" spans="1:9" ht="18.75" x14ac:dyDescent="0.3">
      <c r="A34" s="316"/>
      <c r="B34" s="273"/>
      <c r="C34" s="317"/>
      <c r="D34" s="318"/>
      <c r="E34" s="295"/>
      <c r="F34" s="272"/>
      <c r="G34" s="313"/>
      <c r="H34" s="260"/>
      <c r="I34" s="261"/>
    </row>
    <row r="35" spans="1:9" ht="18.75" x14ac:dyDescent="0.3">
      <c r="A35" s="310"/>
      <c r="B35" s="310"/>
      <c r="C35" s="311"/>
      <c r="D35" s="269"/>
      <c r="E35" s="295"/>
      <c r="F35" s="272"/>
      <c r="G35" s="313"/>
      <c r="H35" s="260"/>
      <c r="I35" s="261"/>
    </row>
    <row r="36" spans="1:9" ht="18.75" x14ac:dyDescent="0.3">
      <c r="A36" s="279"/>
      <c r="B36" s="280"/>
      <c r="C36" s="319"/>
      <c r="D36" s="282"/>
      <c r="E36" s="282"/>
      <c r="F36" s="284"/>
      <c r="G36" s="282"/>
      <c r="H36" s="282"/>
      <c r="I36" s="261"/>
    </row>
    <row r="37" spans="1:9" ht="18.75" thickBot="1" x14ac:dyDescent="0.3">
      <c r="A37" s="320"/>
      <c r="B37" s="321"/>
      <c r="C37" s="322"/>
      <c r="D37" s="322"/>
      <c r="E37" s="323"/>
      <c r="F37" s="324"/>
      <c r="G37" s="322"/>
      <c r="H37" s="322"/>
      <c r="I37" s="325"/>
    </row>
    <row r="38" spans="1:9" ht="18.75" thickBot="1" x14ac:dyDescent="0.3">
      <c r="A38" s="326"/>
      <c r="B38" s="327"/>
      <c r="C38" s="328"/>
      <c r="D38" s="329" t="s">
        <v>9</v>
      </c>
      <c r="E38" s="330" t="s">
        <v>12</v>
      </c>
      <c r="F38" s="331"/>
      <c r="G38" s="328"/>
      <c r="H38" s="328"/>
      <c r="I38" s="332"/>
    </row>
    <row r="39" spans="1:9" ht="18" x14ac:dyDescent="0.25">
      <c r="A39" s="687" t="s">
        <v>13</v>
      </c>
      <c r="B39" s="688"/>
      <c r="C39" s="689"/>
      <c r="D39" s="333">
        <v>1220</v>
      </c>
      <c r="E39" s="334" t="s">
        <v>11</v>
      </c>
      <c r="F39" s="690" t="s">
        <v>53</v>
      </c>
      <c r="G39" s="690"/>
      <c r="H39" s="691"/>
      <c r="I39" s="692"/>
    </row>
    <row r="40" spans="1:9" ht="18" x14ac:dyDescent="0.25">
      <c r="A40" s="693" t="s">
        <v>14</v>
      </c>
      <c r="B40" s="694"/>
      <c r="C40" s="695"/>
      <c r="D40" s="295">
        <v>2</v>
      </c>
      <c r="E40" s="272" t="s">
        <v>76</v>
      </c>
      <c r="F40" s="696" t="s">
        <v>23</v>
      </c>
      <c r="G40" s="696"/>
      <c r="H40" s="697"/>
      <c r="I40" s="698"/>
    </row>
    <row r="41" spans="1:9" ht="18" x14ac:dyDescent="0.25">
      <c r="A41" s="693" t="s">
        <v>15</v>
      </c>
      <c r="B41" s="694"/>
      <c r="C41" s="695"/>
      <c r="D41" s="295">
        <v>1</v>
      </c>
      <c r="E41" s="272" t="s">
        <v>77</v>
      </c>
      <c r="F41" s="696" t="s">
        <v>54</v>
      </c>
      <c r="G41" s="696"/>
      <c r="H41" s="697"/>
      <c r="I41" s="698"/>
    </row>
    <row r="42" spans="1:9" ht="18" x14ac:dyDescent="0.25">
      <c r="A42" s="693" t="s">
        <v>16</v>
      </c>
      <c r="B42" s="694"/>
      <c r="C42" s="695"/>
      <c r="D42" s="295">
        <v>1220</v>
      </c>
      <c r="E42" s="272" t="s">
        <v>11</v>
      </c>
      <c r="F42" s="703" t="s">
        <v>55</v>
      </c>
      <c r="G42" s="704"/>
      <c r="H42" s="705"/>
      <c r="I42" s="706"/>
    </row>
    <row r="43" spans="1:9" ht="18.75" thickBot="1" x14ac:dyDescent="0.3">
      <c r="A43" s="707" t="s">
        <v>17</v>
      </c>
      <c r="B43" s="708"/>
      <c r="C43" s="709"/>
      <c r="D43" s="335">
        <v>7</v>
      </c>
      <c r="E43" s="336" t="s">
        <v>11</v>
      </c>
      <c r="F43" s="710"/>
      <c r="G43" s="710"/>
      <c r="H43" s="697"/>
      <c r="I43" s="698"/>
    </row>
    <row r="44" spans="1:9" ht="18.75" thickBot="1" x14ac:dyDescent="0.3">
      <c r="A44" s="711" t="s">
        <v>18</v>
      </c>
      <c r="B44" s="712"/>
      <c r="C44" s="712"/>
      <c r="D44" s="712"/>
      <c r="E44" s="712"/>
      <c r="F44" s="712"/>
      <c r="G44" s="712"/>
      <c r="H44" s="712"/>
      <c r="I44" s="713"/>
    </row>
    <row r="45" spans="1:9" ht="14.45" customHeight="1" x14ac:dyDescent="0.25">
      <c r="A45" s="714" t="s">
        <v>210</v>
      </c>
      <c r="B45" s="715"/>
      <c r="C45" s="716"/>
      <c r="D45" s="716"/>
      <c r="E45" s="716"/>
      <c r="F45" s="716"/>
      <c r="G45" s="716"/>
      <c r="H45" s="716"/>
      <c r="I45" s="717"/>
    </row>
    <row r="46" spans="1:9" ht="15.6" customHeight="1" x14ac:dyDescent="0.25">
      <c r="A46" s="699" t="s">
        <v>211</v>
      </c>
      <c r="B46" s="700"/>
      <c r="C46" s="701"/>
      <c r="D46" s="701"/>
      <c r="E46" s="701"/>
      <c r="F46" s="701"/>
      <c r="G46" s="701"/>
      <c r="H46" s="701"/>
      <c r="I46" s="702"/>
    </row>
    <row r="47" spans="1:9" ht="14.45" customHeight="1" x14ac:dyDescent="0.25">
      <c r="A47" s="722" t="s">
        <v>212</v>
      </c>
      <c r="B47" s="723"/>
      <c r="C47" s="724"/>
      <c r="D47" s="724"/>
      <c r="E47" s="724"/>
      <c r="F47" s="724"/>
      <c r="G47" s="724"/>
      <c r="H47" s="724"/>
      <c r="I47" s="725"/>
    </row>
    <row r="48" spans="1:9" ht="14.45" customHeight="1" x14ac:dyDescent="0.2">
      <c r="A48" s="726" t="s">
        <v>213</v>
      </c>
      <c r="B48" s="727"/>
      <c r="C48" s="727"/>
      <c r="D48" s="727"/>
      <c r="E48" s="727"/>
      <c r="F48" s="727"/>
      <c r="G48" s="727"/>
      <c r="H48" s="727"/>
      <c r="I48" s="728"/>
    </row>
    <row r="49" spans="1:9" ht="14.45" customHeight="1" x14ac:dyDescent="0.25">
      <c r="A49" s="729" t="s">
        <v>214</v>
      </c>
      <c r="B49" s="730"/>
      <c r="C49" s="731"/>
      <c r="D49" s="731"/>
      <c r="E49" s="731"/>
      <c r="F49" s="731"/>
      <c r="G49" s="731"/>
      <c r="H49" s="731"/>
      <c r="I49" s="732"/>
    </row>
    <row r="50" spans="1:9" ht="18" customHeight="1" thickBot="1" x14ac:dyDescent="0.3">
      <c r="A50" s="733" t="s">
        <v>215</v>
      </c>
      <c r="B50" s="734"/>
      <c r="C50" s="735"/>
      <c r="D50" s="735"/>
      <c r="E50" s="735"/>
      <c r="F50" s="735"/>
      <c r="G50" s="735"/>
      <c r="H50" s="735"/>
      <c r="I50" s="736"/>
    </row>
    <row r="51" spans="1:9" ht="18.75" x14ac:dyDescent="0.3">
      <c r="A51" s="737"/>
      <c r="B51" s="738"/>
      <c r="C51" s="738"/>
      <c r="D51" s="738"/>
      <c r="E51" s="738"/>
      <c r="F51" s="738"/>
      <c r="G51" s="738"/>
      <c r="H51" s="738"/>
      <c r="I51" s="739"/>
    </row>
    <row r="52" spans="1:9" ht="18.75" thickBot="1" x14ac:dyDescent="0.3">
      <c r="A52" s="740"/>
      <c r="B52" s="741"/>
      <c r="C52" s="741"/>
      <c r="D52" s="741"/>
      <c r="E52" s="741"/>
      <c r="F52" s="741"/>
      <c r="G52" s="741"/>
      <c r="H52" s="741"/>
      <c r="I52" s="742"/>
    </row>
    <row r="53" spans="1:9" ht="18" x14ac:dyDescent="0.25">
      <c r="A53" s="718" t="s">
        <v>56</v>
      </c>
      <c r="B53" s="719"/>
      <c r="C53" s="719"/>
      <c r="D53" s="719"/>
      <c r="E53" s="719"/>
      <c r="F53" s="719"/>
      <c r="G53" s="719"/>
      <c r="H53" s="719"/>
      <c r="I53" s="719"/>
    </row>
    <row r="54" spans="1:9" ht="18" x14ac:dyDescent="0.25">
      <c r="A54" s="720"/>
      <c r="B54" s="721"/>
      <c r="C54" s="721"/>
      <c r="D54" s="721"/>
      <c r="E54" s="721"/>
      <c r="F54" s="721"/>
      <c r="G54" s="721"/>
      <c r="H54" s="721"/>
      <c r="I54" s="721"/>
    </row>
    <row r="55" spans="1:9" ht="18" x14ac:dyDescent="0.25">
      <c r="A55" s="720"/>
      <c r="B55" s="721"/>
      <c r="C55" s="721"/>
      <c r="D55" s="721"/>
      <c r="E55" s="721"/>
      <c r="F55" s="721"/>
      <c r="G55" s="721"/>
      <c r="H55" s="721"/>
      <c r="I55" s="721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5A99-71B6-4D4E-984A-9E0F32A936CD}">
  <dimension ref="A1:I51"/>
  <sheetViews>
    <sheetView workbookViewId="0">
      <selection activeCell="G19" sqref="G19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752"/>
      <c r="B1" s="753"/>
      <c r="C1" s="758" t="s">
        <v>21</v>
      </c>
      <c r="D1" s="758"/>
      <c r="E1" s="758"/>
      <c r="F1" s="758"/>
      <c r="G1" s="758"/>
      <c r="H1" s="337" t="s">
        <v>0</v>
      </c>
      <c r="I1" s="338" t="s">
        <v>216</v>
      </c>
    </row>
    <row r="2" spans="1:9" ht="18" customHeight="1" thickBot="1" x14ac:dyDescent="0.35">
      <c r="A2" s="754"/>
      <c r="B2" s="755"/>
      <c r="C2" s="759" t="s">
        <v>1</v>
      </c>
      <c r="D2" s="760"/>
      <c r="E2" s="760"/>
      <c r="F2" s="760"/>
      <c r="G2" s="761"/>
      <c r="H2" s="339" t="s">
        <v>2</v>
      </c>
      <c r="I2" s="340" t="s">
        <v>217</v>
      </c>
    </row>
    <row r="3" spans="1:9" ht="31.5" customHeight="1" thickBot="1" x14ac:dyDescent="0.25">
      <c r="A3" s="754"/>
      <c r="B3" s="755"/>
      <c r="C3" s="762" t="s">
        <v>218</v>
      </c>
      <c r="D3" s="763"/>
      <c r="E3" s="763"/>
      <c r="F3" s="763"/>
      <c r="G3" s="764"/>
      <c r="H3" s="765" t="s">
        <v>3</v>
      </c>
      <c r="I3" s="743">
        <v>45613</v>
      </c>
    </row>
    <row r="4" spans="1:9" ht="18" customHeight="1" x14ac:dyDescent="0.3">
      <c r="A4" s="754"/>
      <c r="B4" s="755"/>
      <c r="C4" s="341" t="s">
        <v>4</v>
      </c>
      <c r="D4" s="746" t="s">
        <v>183</v>
      </c>
      <c r="E4" s="747"/>
      <c r="F4" s="747"/>
      <c r="G4" s="748"/>
      <c r="H4" s="766"/>
      <c r="I4" s="744"/>
    </row>
    <row r="5" spans="1:9" ht="18" thickBot="1" x14ac:dyDescent="0.35">
      <c r="A5" s="756"/>
      <c r="B5" s="757"/>
      <c r="C5" s="342" t="s">
        <v>5</v>
      </c>
      <c r="D5" s="749" t="s">
        <v>35</v>
      </c>
      <c r="E5" s="750"/>
      <c r="F5" s="750"/>
      <c r="G5" s="751"/>
      <c r="H5" s="767"/>
      <c r="I5" s="745"/>
    </row>
    <row r="6" spans="1:9" ht="16.5" thickBot="1" x14ac:dyDescent="0.3">
      <c r="A6" s="768" t="s">
        <v>42</v>
      </c>
      <c r="B6" s="768"/>
      <c r="C6" s="768"/>
      <c r="D6" s="572" t="s">
        <v>25</v>
      </c>
      <c r="E6" s="572"/>
      <c r="F6" s="572"/>
      <c r="G6" s="769" t="s">
        <v>44</v>
      </c>
      <c r="H6" s="769"/>
      <c r="I6" s="343" t="s">
        <v>219</v>
      </c>
    </row>
    <row r="7" spans="1:9" ht="15" x14ac:dyDescent="0.2">
      <c r="A7" s="770" t="s">
        <v>6</v>
      </c>
      <c r="B7" s="772" t="s">
        <v>45</v>
      </c>
      <c r="C7" s="774" t="s">
        <v>7</v>
      </c>
      <c r="D7" s="774" t="s">
        <v>8</v>
      </c>
      <c r="E7" s="774" t="s">
        <v>22</v>
      </c>
      <c r="F7" s="774"/>
      <c r="G7" s="774" t="s">
        <v>46</v>
      </c>
      <c r="H7" s="774"/>
      <c r="I7" s="344" t="s">
        <v>47</v>
      </c>
    </row>
    <row r="8" spans="1:9" ht="30.75" thickBot="1" x14ac:dyDescent="0.25">
      <c r="A8" s="771"/>
      <c r="B8" s="773"/>
      <c r="C8" s="775"/>
      <c r="D8" s="775"/>
      <c r="E8" s="345" t="s">
        <v>9</v>
      </c>
      <c r="F8" s="346" t="s">
        <v>10</v>
      </c>
      <c r="G8" s="345" t="s">
        <v>9</v>
      </c>
      <c r="H8" s="346" t="s">
        <v>10</v>
      </c>
      <c r="I8" s="347" t="s">
        <v>48</v>
      </c>
    </row>
    <row r="9" spans="1:9" ht="15.75" x14ac:dyDescent="0.25">
      <c r="A9" s="348"/>
      <c r="B9" s="349"/>
      <c r="C9" s="350" t="s">
        <v>24</v>
      </c>
      <c r="D9" s="351"/>
      <c r="E9" s="352"/>
      <c r="F9" s="353"/>
      <c r="G9" s="352"/>
      <c r="H9" s="353"/>
      <c r="I9" s="354"/>
    </row>
    <row r="10" spans="1:9" ht="18" customHeight="1" x14ac:dyDescent="0.3">
      <c r="A10" s="355">
        <v>11400031</v>
      </c>
      <c r="B10" s="356" t="s">
        <v>220</v>
      </c>
      <c r="C10" s="357" t="s">
        <v>221</v>
      </c>
      <c r="D10" s="358" t="s">
        <v>222</v>
      </c>
      <c r="E10" s="359">
        <v>4000</v>
      </c>
      <c r="F10" s="360" t="s">
        <v>11</v>
      </c>
      <c r="G10" s="361"/>
      <c r="H10" s="362" t="s">
        <v>223</v>
      </c>
      <c r="I10" s="354"/>
    </row>
    <row r="11" spans="1:9" ht="17.25" x14ac:dyDescent="0.3">
      <c r="A11" s="355">
        <v>310148</v>
      </c>
      <c r="B11" s="363" t="s">
        <v>224</v>
      </c>
      <c r="C11" s="364" t="s">
        <v>225</v>
      </c>
      <c r="D11" s="358" t="s">
        <v>222</v>
      </c>
      <c r="E11" s="365">
        <v>4000</v>
      </c>
      <c r="F11" s="366" t="s">
        <v>11</v>
      </c>
      <c r="G11" s="361"/>
      <c r="H11" s="362" t="s">
        <v>223</v>
      </c>
      <c r="I11" s="354"/>
    </row>
    <row r="12" spans="1:9" ht="17.25" x14ac:dyDescent="0.3">
      <c r="A12" s="355" t="s">
        <v>226</v>
      </c>
      <c r="B12" s="363"/>
      <c r="C12" s="364" t="s">
        <v>227</v>
      </c>
      <c r="D12" s="358" t="s">
        <v>34</v>
      </c>
      <c r="E12" s="365">
        <v>100</v>
      </c>
      <c r="F12" s="366" t="s">
        <v>11</v>
      </c>
      <c r="G12" s="367"/>
      <c r="H12" s="362"/>
      <c r="I12" s="354"/>
    </row>
    <row r="13" spans="1:9" ht="17.25" x14ac:dyDescent="0.3">
      <c r="A13" s="355">
        <v>11400027</v>
      </c>
      <c r="B13" s="363" t="s">
        <v>228</v>
      </c>
      <c r="C13" s="364" t="s">
        <v>229</v>
      </c>
      <c r="D13" s="358" t="s">
        <v>222</v>
      </c>
      <c r="E13" s="365">
        <v>16000</v>
      </c>
      <c r="F13" s="366" t="s">
        <v>11</v>
      </c>
      <c r="G13" s="367"/>
      <c r="H13" s="362" t="s">
        <v>230</v>
      </c>
      <c r="I13" s="354"/>
    </row>
    <row r="14" spans="1:9" ht="17.25" x14ac:dyDescent="0.3">
      <c r="A14" s="368">
        <v>1212410</v>
      </c>
      <c r="B14" s="369" t="s">
        <v>196</v>
      </c>
      <c r="C14" s="370" t="s">
        <v>231</v>
      </c>
      <c r="D14" s="367" t="s">
        <v>198</v>
      </c>
      <c r="E14" s="367">
        <v>15</v>
      </c>
      <c r="F14" s="371" t="s">
        <v>11</v>
      </c>
      <c r="G14" s="367"/>
      <c r="H14" s="362"/>
      <c r="I14" s="354"/>
    </row>
    <row r="15" spans="1:9" ht="17.25" x14ac:dyDescent="0.3">
      <c r="A15" s="372"/>
      <c r="B15" s="369"/>
      <c r="C15" s="373"/>
      <c r="D15" s="367"/>
      <c r="E15" s="367"/>
      <c r="F15" s="371"/>
      <c r="G15" s="367"/>
      <c r="H15" s="362"/>
      <c r="I15" s="354"/>
    </row>
    <row r="16" spans="1:9" ht="17.25" x14ac:dyDescent="0.3">
      <c r="A16" s="367"/>
      <c r="B16" s="367"/>
      <c r="C16" s="374"/>
      <c r="D16" s="375"/>
      <c r="E16" s="375"/>
      <c r="F16" s="361"/>
      <c r="G16" s="367"/>
      <c r="H16" s="362"/>
      <c r="I16" s="354"/>
    </row>
    <row r="17" spans="1:9" ht="17.25" x14ac:dyDescent="0.3">
      <c r="A17" s="369"/>
      <c r="B17" s="369"/>
      <c r="C17" s="376"/>
      <c r="D17" s="367"/>
      <c r="E17" s="367"/>
      <c r="F17" s="371"/>
      <c r="G17" s="367"/>
      <c r="H17" s="362"/>
      <c r="I17" s="354"/>
    </row>
    <row r="18" spans="1:9" ht="17.25" x14ac:dyDescent="0.3">
      <c r="A18" s="368"/>
      <c r="B18" s="369"/>
      <c r="C18" s="370"/>
      <c r="D18" s="367"/>
      <c r="E18" s="367"/>
      <c r="F18" s="371"/>
      <c r="G18" s="367"/>
      <c r="H18" s="362"/>
      <c r="I18" s="354"/>
    </row>
    <row r="19" spans="1:9" ht="17.25" x14ac:dyDescent="0.3">
      <c r="A19" s="377"/>
      <c r="B19" s="377"/>
      <c r="C19" s="378"/>
      <c r="D19" s="379"/>
      <c r="E19" s="380"/>
      <c r="F19" s="381"/>
      <c r="G19" s="352"/>
      <c r="H19" s="362"/>
      <c r="I19" s="354"/>
    </row>
    <row r="20" spans="1:9" ht="15.75" x14ac:dyDescent="0.25">
      <c r="A20" s="382"/>
      <c r="B20" s="383"/>
      <c r="C20" s="92" t="s">
        <v>25</v>
      </c>
      <c r="D20" s="384"/>
      <c r="E20" s="385"/>
      <c r="F20" s="386"/>
      <c r="G20" s="352"/>
      <c r="H20" s="353"/>
      <c r="I20" s="354"/>
    </row>
    <row r="21" spans="1:9" ht="14.45" customHeight="1" x14ac:dyDescent="0.3">
      <c r="A21" s="355"/>
      <c r="B21" s="387"/>
      <c r="C21" s="357"/>
      <c r="D21" s="358"/>
      <c r="E21" s="365"/>
      <c r="F21" s="366"/>
      <c r="G21" s="352"/>
      <c r="H21" s="353"/>
      <c r="I21" s="354"/>
    </row>
    <row r="22" spans="1:9" ht="15.75" x14ac:dyDescent="0.25">
      <c r="A22" s="388"/>
      <c r="B22" s="389"/>
      <c r="C22" s="95" t="s">
        <v>49</v>
      </c>
      <c r="D22" s="390"/>
      <c r="E22" s="391"/>
      <c r="F22" s="353"/>
      <c r="G22" s="352"/>
      <c r="H22" s="392"/>
      <c r="I22" s="354"/>
    </row>
    <row r="23" spans="1:9" ht="17.25" x14ac:dyDescent="0.3">
      <c r="A23" s="393">
        <v>702123</v>
      </c>
      <c r="B23" s="393" t="s">
        <v>40</v>
      </c>
      <c r="C23" s="394" t="s">
        <v>232</v>
      </c>
      <c r="D23" s="395" t="s">
        <v>31</v>
      </c>
      <c r="E23" s="396">
        <v>1</v>
      </c>
      <c r="F23" s="397" t="s">
        <v>77</v>
      </c>
      <c r="G23" s="398"/>
      <c r="H23" s="353"/>
      <c r="I23" s="354"/>
    </row>
    <row r="24" spans="1:9" ht="17.25" x14ac:dyDescent="0.3">
      <c r="A24" s="393"/>
      <c r="B24" s="393"/>
      <c r="C24" s="394"/>
      <c r="D24" s="395"/>
      <c r="E24" s="396"/>
      <c r="F24" s="397"/>
      <c r="G24" s="398"/>
      <c r="H24" s="353"/>
      <c r="I24" s="354"/>
    </row>
    <row r="25" spans="1:9" ht="17.25" x14ac:dyDescent="0.3">
      <c r="A25" s="393"/>
      <c r="B25" s="393"/>
      <c r="C25" s="394"/>
      <c r="D25" s="395"/>
      <c r="E25" s="396"/>
      <c r="F25" s="397"/>
      <c r="G25" s="398"/>
      <c r="H25" s="353"/>
      <c r="I25" s="354"/>
    </row>
    <row r="26" spans="1:9" ht="15.75" x14ac:dyDescent="0.25">
      <c r="A26" s="399"/>
      <c r="B26" s="399"/>
      <c r="C26" s="400"/>
      <c r="D26" s="88"/>
      <c r="E26" s="401"/>
      <c r="F26" s="402"/>
      <c r="G26" s="352"/>
      <c r="H26" s="353"/>
      <c r="I26" s="354"/>
    </row>
    <row r="27" spans="1:9" ht="15.75" x14ac:dyDescent="0.25">
      <c r="A27" s="399"/>
      <c r="B27" s="399"/>
      <c r="C27" s="403"/>
      <c r="D27" s="88"/>
      <c r="E27" s="88"/>
      <c r="F27" s="402"/>
      <c r="G27" s="352"/>
      <c r="H27" s="353"/>
      <c r="I27" s="354"/>
    </row>
    <row r="28" spans="1:9" ht="15.75" x14ac:dyDescent="0.25">
      <c r="A28" s="399"/>
      <c r="B28" s="399"/>
      <c r="C28" s="403"/>
      <c r="D28" s="88"/>
      <c r="E28" s="88"/>
      <c r="F28" s="402"/>
      <c r="G28" s="404"/>
      <c r="H28" s="353"/>
      <c r="I28" s="354"/>
    </row>
    <row r="29" spans="1:9" ht="15.75" x14ac:dyDescent="0.25">
      <c r="A29" s="405"/>
      <c r="B29" s="406"/>
      <c r="C29" s="407"/>
      <c r="D29" s="408"/>
      <c r="E29" s="408"/>
      <c r="F29" s="409"/>
      <c r="G29" s="410"/>
      <c r="H29" s="353"/>
      <c r="I29" s="354"/>
    </row>
    <row r="30" spans="1:9" ht="15.75" x14ac:dyDescent="0.25">
      <c r="A30" s="382"/>
      <c r="B30" s="383"/>
      <c r="C30" s="394"/>
      <c r="D30" s="88"/>
      <c r="E30" s="410"/>
      <c r="F30" s="386"/>
      <c r="G30" s="410"/>
      <c r="H30" s="353"/>
      <c r="I30" s="354"/>
    </row>
    <row r="31" spans="1:9" ht="15.75" x14ac:dyDescent="0.25">
      <c r="A31" s="382"/>
      <c r="B31" s="383"/>
      <c r="C31" s="394"/>
      <c r="D31" s="384"/>
      <c r="E31" s="384"/>
      <c r="F31" s="386"/>
      <c r="G31" s="384"/>
      <c r="H31" s="384"/>
      <c r="I31" s="354"/>
    </row>
    <row r="32" spans="1:9" ht="18" thickBot="1" x14ac:dyDescent="0.35">
      <c r="A32" s="411"/>
      <c r="B32" s="412"/>
      <c r="C32" s="413"/>
      <c r="D32" s="413"/>
      <c r="E32" s="414"/>
      <c r="F32" s="415"/>
      <c r="G32" s="413"/>
      <c r="H32" s="413"/>
      <c r="I32" s="416"/>
    </row>
    <row r="33" spans="1:9" ht="18" thickBot="1" x14ac:dyDescent="0.35">
      <c r="A33" s="417"/>
      <c r="B33" s="418"/>
      <c r="C33" s="419"/>
      <c r="D33" s="420" t="s">
        <v>9</v>
      </c>
      <c r="E33" s="421" t="s">
        <v>12</v>
      </c>
      <c r="F33" s="422"/>
      <c r="G33" s="419"/>
      <c r="H33" s="419"/>
      <c r="I33" s="423"/>
    </row>
    <row r="34" spans="1:9" ht="17.25" x14ac:dyDescent="0.3">
      <c r="A34" s="776" t="s">
        <v>13</v>
      </c>
      <c r="B34" s="777"/>
      <c r="C34" s="778"/>
      <c r="D34" s="424">
        <v>23875</v>
      </c>
      <c r="E34" s="425" t="s">
        <v>11</v>
      </c>
      <c r="F34" s="779" t="s">
        <v>53</v>
      </c>
      <c r="G34" s="779"/>
      <c r="H34" s="780"/>
      <c r="I34" s="781"/>
    </row>
    <row r="35" spans="1:9" ht="17.25" x14ac:dyDescent="0.3">
      <c r="A35" s="782" t="s">
        <v>14</v>
      </c>
      <c r="B35" s="783"/>
      <c r="C35" s="784"/>
      <c r="D35" s="367">
        <v>22</v>
      </c>
      <c r="E35" s="367" t="s">
        <v>233</v>
      </c>
      <c r="F35" s="785" t="s">
        <v>23</v>
      </c>
      <c r="G35" s="785"/>
      <c r="H35" s="786"/>
      <c r="I35" s="787"/>
    </row>
    <row r="36" spans="1:9" ht="17.25" x14ac:dyDescent="0.3">
      <c r="A36" s="782" t="s">
        <v>15</v>
      </c>
      <c r="B36" s="783"/>
      <c r="C36" s="784"/>
      <c r="D36" s="367">
        <v>1</v>
      </c>
      <c r="E36" s="367" t="s">
        <v>234</v>
      </c>
      <c r="F36" s="785" t="s">
        <v>54</v>
      </c>
      <c r="G36" s="785"/>
      <c r="H36" s="786"/>
      <c r="I36" s="787"/>
    </row>
    <row r="37" spans="1:9" ht="17.25" x14ac:dyDescent="0.3">
      <c r="A37" s="782" t="s">
        <v>16</v>
      </c>
      <c r="B37" s="783"/>
      <c r="C37" s="784"/>
      <c r="D37" s="426">
        <v>23875</v>
      </c>
      <c r="E37" s="367" t="s">
        <v>11</v>
      </c>
      <c r="F37" s="791" t="s">
        <v>55</v>
      </c>
      <c r="G37" s="792"/>
      <c r="H37" s="793"/>
      <c r="I37" s="794"/>
    </row>
    <row r="38" spans="1:9" ht="18" thickBot="1" x14ac:dyDescent="0.35">
      <c r="A38" s="795" t="s">
        <v>17</v>
      </c>
      <c r="B38" s="796"/>
      <c r="C38" s="797"/>
      <c r="D38" s="427">
        <v>240</v>
      </c>
      <c r="E38" s="428" t="s">
        <v>11</v>
      </c>
      <c r="F38" s="798"/>
      <c r="G38" s="798"/>
      <c r="H38" s="786"/>
      <c r="I38" s="787"/>
    </row>
    <row r="39" spans="1:9" ht="15.75" thickBot="1" x14ac:dyDescent="0.25">
      <c r="A39" s="799" t="s">
        <v>18</v>
      </c>
      <c r="B39" s="800"/>
      <c r="C39" s="800"/>
      <c r="D39" s="800"/>
      <c r="E39" s="800"/>
      <c r="F39" s="800"/>
      <c r="G39" s="800"/>
      <c r="H39" s="800"/>
      <c r="I39" s="801"/>
    </row>
    <row r="40" spans="1:9" ht="18.399999999999999" customHeight="1" x14ac:dyDescent="0.25">
      <c r="A40" s="788" t="s">
        <v>235</v>
      </c>
      <c r="B40" s="789"/>
      <c r="C40" s="789"/>
      <c r="D40" s="789"/>
      <c r="E40" s="789"/>
      <c r="F40" s="789"/>
      <c r="G40" s="789"/>
      <c r="H40" s="789"/>
      <c r="I40" s="790"/>
    </row>
    <row r="41" spans="1:9" ht="14.65" customHeight="1" x14ac:dyDescent="0.25">
      <c r="A41" s="788" t="s">
        <v>236</v>
      </c>
      <c r="B41" s="789"/>
      <c r="C41" s="789"/>
      <c r="D41" s="789"/>
      <c r="E41" s="789"/>
      <c r="F41" s="789"/>
      <c r="G41" s="789"/>
      <c r="H41" s="789"/>
      <c r="I41" s="790"/>
    </row>
    <row r="42" spans="1:9" ht="14.65" customHeight="1" x14ac:dyDescent="0.25">
      <c r="A42" s="788" t="s">
        <v>237</v>
      </c>
      <c r="B42" s="789"/>
      <c r="C42" s="789"/>
      <c r="D42" s="789"/>
      <c r="E42" s="789"/>
      <c r="F42" s="789"/>
      <c r="G42" s="789"/>
      <c r="H42" s="789"/>
      <c r="I42" s="790"/>
    </row>
    <row r="43" spans="1:9" ht="14.65" customHeight="1" x14ac:dyDescent="0.25">
      <c r="A43" s="788" t="s">
        <v>238</v>
      </c>
      <c r="B43" s="789"/>
      <c r="C43" s="789"/>
      <c r="D43" s="789"/>
      <c r="E43" s="789"/>
      <c r="F43" s="789"/>
      <c r="G43" s="789"/>
      <c r="H43" s="789"/>
      <c r="I43" s="790"/>
    </row>
    <row r="44" spans="1:9" ht="14.65" customHeight="1" x14ac:dyDescent="0.25">
      <c r="A44" s="788" t="s">
        <v>239</v>
      </c>
      <c r="B44" s="789"/>
      <c r="C44" s="789"/>
      <c r="D44" s="789"/>
      <c r="E44" s="789"/>
      <c r="F44" s="789"/>
      <c r="G44" s="789"/>
      <c r="H44" s="789"/>
      <c r="I44" s="790"/>
    </row>
    <row r="45" spans="1:9" ht="14.65" customHeight="1" thickBot="1" x14ac:dyDescent="0.3">
      <c r="A45" s="809" t="s">
        <v>240</v>
      </c>
      <c r="B45" s="810"/>
      <c r="C45" s="810"/>
      <c r="D45" s="810"/>
      <c r="E45" s="810"/>
      <c r="F45" s="810"/>
      <c r="G45" s="810"/>
      <c r="H45" s="810"/>
      <c r="I45" s="811"/>
    </row>
    <row r="46" spans="1:9" ht="18" customHeight="1" x14ac:dyDescent="0.3">
      <c r="A46" s="812"/>
      <c r="B46" s="813"/>
      <c r="C46" s="813"/>
      <c r="D46" s="813"/>
      <c r="E46" s="813"/>
      <c r="F46" s="813"/>
      <c r="G46" s="813"/>
      <c r="H46" s="813"/>
      <c r="I46" s="814"/>
    </row>
    <row r="47" spans="1:9" ht="18" thickBot="1" x14ac:dyDescent="0.35">
      <c r="A47" s="815"/>
      <c r="B47" s="816"/>
      <c r="C47" s="816"/>
      <c r="D47" s="816"/>
      <c r="E47" s="816"/>
      <c r="F47" s="816"/>
      <c r="G47" s="816"/>
      <c r="H47" s="816"/>
      <c r="I47" s="817"/>
    </row>
    <row r="48" spans="1:9" ht="16.5" thickBot="1" x14ac:dyDescent="0.3">
      <c r="A48" s="802"/>
      <c r="B48" s="803"/>
      <c r="C48" s="803"/>
      <c r="D48" s="803"/>
      <c r="E48" s="803"/>
      <c r="F48" s="803"/>
      <c r="G48" s="803"/>
      <c r="H48" s="803"/>
      <c r="I48" s="804"/>
    </row>
    <row r="49" spans="1:9" ht="15" x14ac:dyDescent="0.2">
      <c r="A49" s="805" t="s">
        <v>56</v>
      </c>
      <c r="B49" s="806"/>
      <c r="C49" s="806"/>
      <c r="D49" s="806"/>
      <c r="E49" s="806"/>
      <c r="F49" s="806"/>
      <c r="G49" s="806"/>
      <c r="H49" s="806"/>
      <c r="I49" s="806"/>
    </row>
    <row r="50" spans="1:9" ht="17.25" x14ac:dyDescent="0.3">
      <c r="A50" s="807" t="s">
        <v>241</v>
      </c>
      <c r="B50" s="808"/>
      <c r="C50" s="808"/>
      <c r="D50" s="808"/>
      <c r="E50" s="808"/>
      <c r="F50" s="808"/>
      <c r="G50" s="808"/>
      <c r="H50" s="808"/>
      <c r="I50" s="808"/>
    </row>
    <row r="51" spans="1:9" ht="17.25" x14ac:dyDescent="0.3">
      <c r="A51" s="807"/>
      <c r="B51" s="808"/>
      <c r="C51" s="808"/>
      <c r="D51" s="808"/>
      <c r="E51" s="808"/>
      <c r="F51" s="808"/>
      <c r="G51" s="808"/>
      <c r="H51" s="808"/>
      <c r="I51" s="808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EF29-0410-4B33-888A-7D1FC3432845}">
  <dimension ref="A1:Q91"/>
  <sheetViews>
    <sheetView topLeftCell="A34" workbookViewId="0">
      <selection activeCell="M26" sqref="M26"/>
    </sheetView>
  </sheetViews>
  <sheetFormatPr baseColWidth="10" defaultColWidth="8.42578125" defaultRowHeight="12.75" x14ac:dyDescent="0.2"/>
  <cols>
    <col min="1" max="1" width="10" style="113" bestFit="1" customWidth="1"/>
    <col min="2" max="2" width="44.28515625" style="113" bestFit="1" customWidth="1"/>
    <col min="3" max="3" width="10.42578125" style="113" bestFit="1" customWidth="1"/>
    <col min="4" max="4" width="10.42578125" style="113" customWidth="1"/>
    <col min="5" max="5" width="11" style="113" customWidth="1"/>
    <col min="6" max="6" width="9.5703125" style="113" bestFit="1" customWidth="1"/>
    <col min="7" max="7" width="10.85546875" style="195" customWidth="1"/>
    <col min="8" max="8" width="10.42578125" style="186" bestFit="1" customWidth="1"/>
    <col min="9" max="9" width="4.5703125" style="186" customWidth="1"/>
    <col min="10" max="10" width="1.85546875" style="112" customWidth="1"/>
    <col min="11" max="11" width="7" style="113" bestFit="1" customWidth="1"/>
    <col min="12" max="12" width="6.28515625" style="113" customWidth="1"/>
    <col min="13" max="13" width="20.42578125" style="113" customWidth="1"/>
    <col min="14" max="14" width="6.42578125" style="113" bestFit="1" customWidth="1"/>
    <col min="15" max="16" width="8.42578125" style="113"/>
    <col min="17" max="17" width="3.28515625" style="113" customWidth="1"/>
    <col min="18" max="16384" width="8.42578125" style="113"/>
  </cols>
  <sheetData>
    <row r="1" spans="1:10" ht="27.75" customHeight="1" x14ac:dyDescent="0.2">
      <c r="A1" s="108"/>
      <c r="B1" s="108"/>
      <c r="C1" s="108"/>
      <c r="D1" s="108"/>
      <c r="E1" s="109" t="s">
        <v>89</v>
      </c>
      <c r="F1" s="110" t="s">
        <v>90</v>
      </c>
      <c r="G1" s="110" t="s">
        <v>91</v>
      </c>
      <c r="H1" s="110" t="s">
        <v>92</v>
      </c>
      <c r="I1" s="111"/>
    </row>
    <row r="2" spans="1:10" ht="30.75" customHeight="1" x14ac:dyDescent="0.2">
      <c r="A2" s="108"/>
      <c r="B2" s="108"/>
      <c r="C2" s="108"/>
      <c r="D2" s="108"/>
      <c r="E2" s="114">
        <f>IFERROR(O62,"")</f>
        <v>3561.1578645251116</v>
      </c>
      <c r="F2" s="114">
        <f>IFERROR(H53,"")</f>
        <v>3200.8439550153016</v>
      </c>
      <c r="G2" s="114">
        <f>IFERROR(H54,"")</f>
        <v>259.31830724371429</v>
      </c>
      <c r="H2" s="114">
        <f>IFERROR(H56,"")</f>
        <v>162.01377863519437</v>
      </c>
      <c r="I2" s="115"/>
    </row>
    <row r="3" spans="1:10" ht="15" customHeight="1" x14ac:dyDescent="0.2">
      <c r="A3" s="108"/>
      <c r="B3" s="108"/>
      <c r="C3" s="108"/>
      <c r="D3" s="108"/>
      <c r="E3" s="108"/>
      <c r="F3" s="116"/>
      <c r="G3" s="116"/>
      <c r="H3" s="116"/>
      <c r="I3" s="116"/>
    </row>
    <row r="4" spans="1:10" ht="24.75" customHeight="1" thickBot="1" x14ac:dyDescent="0.25">
      <c r="A4" s="522"/>
      <c r="B4" s="522"/>
      <c r="C4" s="522"/>
      <c r="D4" s="522"/>
      <c r="E4" s="522"/>
      <c r="F4" s="522"/>
      <c r="G4" s="522"/>
      <c r="H4" s="522"/>
      <c r="I4" s="117"/>
    </row>
    <row r="5" spans="1:10" ht="19.5" customHeight="1" thickBot="1" x14ac:dyDescent="0.25">
      <c r="A5" s="523" t="s">
        <v>93</v>
      </c>
      <c r="B5" s="524"/>
      <c r="C5" s="524"/>
      <c r="D5" s="524"/>
      <c r="E5" s="524"/>
      <c r="F5" s="524"/>
      <c r="G5" s="524"/>
      <c r="H5" s="525"/>
      <c r="I5" s="118"/>
    </row>
    <row r="6" spans="1:10" ht="19.5" thickBot="1" x14ac:dyDescent="0.25">
      <c r="A6" s="118"/>
      <c r="B6" s="118"/>
      <c r="C6" s="118"/>
      <c r="D6" s="118"/>
      <c r="E6" s="118"/>
      <c r="F6" s="526" t="s">
        <v>94</v>
      </c>
      <c r="G6" s="526"/>
      <c r="H6" s="119">
        <f ca="1">TODAY()</f>
        <v>46048</v>
      </c>
      <c r="I6" s="119"/>
    </row>
    <row r="7" spans="1:10" ht="26.25" hidden="1" thickBot="1" x14ac:dyDescent="0.25">
      <c r="A7" s="120" t="s">
        <v>95</v>
      </c>
      <c r="B7" s="121" t="s">
        <v>96</v>
      </c>
      <c r="C7" s="121" t="s">
        <v>95</v>
      </c>
      <c r="D7" s="122" t="s">
        <v>97</v>
      </c>
      <c r="E7" s="122" t="s">
        <v>98</v>
      </c>
      <c r="F7" s="122" t="s">
        <v>99</v>
      </c>
      <c r="G7" s="122" t="s">
        <v>100</v>
      </c>
      <c r="H7" s="123" t="s">
        <v>101</v>
      </c>
      <c r="I7" s="124"/>
    </row>
    <row r="8" spans="1:10" ht="13.5" hidden="1" x14ac:dyDescent="0.25">
      <c r="A8" s="125"/>
      <c r="B8" s="113" t="str">
        <f>IFERROR(VLOOKUP(H8,'[1]Consolidado MP Planta'!$A$2:$M$823,3,0),"")</f>
        <v/>
      </c>
      <c r="C8" s="126">
        <f>+A8</f>
        <v>0</v>
      </c>
      <c r="D8" s="127" t="str">
        <f>IFERROR(VLOOKUP(H8,'[1]Consolidado MP Planta'!$A$2:$M$823,13,0),"")</f>
        <v/>
      </c>
      <c r="E8" s="127" t="str">
        <f>IFERROR(VLOOKUP(H8,'[1]Consolidado MP Planta'!$A$2:$M$823,12,0),"")</f>
        <v/>
      </c>
      <c r="F8" s="127" t="str">
        <f>IFERROR(C8*E8,"")</f>
        <v/>
      </c>
      <c r="G8" s="128" t="str">
        <f t="shared" ref="G8:G14" si="0">IFERROR(F8/$F$66,"")</f>
        <v/>
      </c>
      <c r="H8" s="129"/>
      <c r="I8" s="129"/>
      <c r="J8" s="130"/>
    </row>
    <row r="9" spans="1:10" ht="13.5" hidden="1" x14ac:dyDescent="0.25">
      <c r="A9" s="125"/>
      <c r="B9" s="113" t="str">
        <f>IFERROR(VLOOKUP(H9,'[1]Consolidado MP Planta'!$A$2:$M$823,3,0),"")</f>
        <v/>
      </c>
      <c r="C9" s="126">
        <f t="shared" ref="C9:C14" si="1">+A9</f>
        <v>0</v>
      </c>
      <c r="D9" s="127" t="str">
        <f>IFERROR(VLOOKUP(H9,'[1]Consolidado MP Planta'!$A$2:$M$823,13,0),"")</f>
        <v/>
      </c>
      <c r="E9" s="127" t="str">
        <f>IFERROR(VLOOKUP(H9,'[1]Consolidado MP Planta'!$A$2:$M$823,12,0),"")</f>
        <v/>
      </c>
      <c r="F9" s="127" t="str">
        <f t="shared" ref="F9:F14" si="2">IFERROR(C9*E9,"")</f>
        <v/>
      </c>
      <c r="G9" s="128" t="str">
        <f t="shared" si="0"/>
        <v/>
      </c>
      <c r="H9" s="129"/>
      <c r="I9" s="129"/>
      <c r="J9" s="130"/>
    </row>
    <row r="10" spans="1:10" ht="13.5" hidden="1" x14ac:dyDescent="0.25">
      <c r="A10" s="125"/>
      <c r="B10" s="113" t="str">
        <f>IFERROR(VLOOKUP(H10,'[1]Consolidado MP Planta'!$A$2:$M$823,3,0),"")</f>
        <v/>
      </c>
      <c r="C10" s="126">
        <f t="shared" si="1"/>
        <v>0</v>
      </c>
      <c r="D10" s="127" t="str">
        <f>IFERROR(VLOOKUP(H10,'[1]Consolidado MP Planta'!$A$2:$M$823,13,0),"")</f>
        <v/>
      </c>
      <c r="E10" s="127" t="str">
        <f>IFERROR(VLOOKUP(H10,'[1]Consolidado MP Planta'!$A$2:$M$823,12,0),"")</f>
        <v/>
      </c>
      <c r="F10" s="127" t="str">
        <f t="shared" si="2"/>
        <v/>
      </c>
      <c r="G10" s="128" t="str">
        <f t="shared" si="0"/>
        <v/>
      </c>
      <c r="H10" s="129"/>
      <c r="I10" s="129"/>
      <c r="J10" s="130"/>
    </row>
    <row r="11" spans="1:10" ht="13.5" hidden="1" x14ac:dyDescent="0.25">
      <c r="A11" s="125"/>
      <c r="B11" s="113" t="str">
        <f>IFERROR(VLOOKUP(H11,'[1]Consolidado MP Planta'!$A$2:$M$823,3,0),"")</f>
        <v/>
      </c>
      <c r="C11" s="126">
        <f t="shared" si="1"/>
        <v>0</v>
      </c>
      <c r="D11" s="127" t="str">
        <f>IFERROR(VLOOKUP(H11,'[1]Consolidado MP Planta'!$A$2:$M$823,13,0),"")</f>
        <v/>
      </c>
      <c r="E11" s="127" t="str">
        <f>IFERROR(VLOOKUP(H11,'[1]Consolidado MP Planta'!$A$2:$M$823,12,0),"")</f>
        <v/>
      </c>
      <c r="F11" s="127" t="str">
        <f t="shared" si="2"/>
        <v/>
      </c>
      <c r="G11" s="128" t="str">
        <f t="shared" si="0"/>
        <v/>
      </c>
      <c r="H11" s="129"/>
      <c r="I11" s="129"/>
      <c r="J11" s="130"/>
    </row>
    <row r="12" spans="1:10" ht="13.5" hidden="1" x14ac:dyDescent="0.25">
      <c r="A12" s="125"/>
      <c r="B12" s="113" t="str">
        <f>IFERROR(VLOOKUP(H12,'[1]Consolidado MP Planta'!$A$2:$M$823,3,0),"")</f>
        <v/>
      </c>
      <c r="C12" s="126">
        <f t="shared" si="1"/>
        <v>0</v>
      </c>
      <c r="D12" s="127" t="str">
        <f>IFERROR(VLOOKUP(H12,'[1]Consolidado MP Planta'!$A$2:$M$823,13,0),"")</f>
        <v/>
      </c>
      <c r="E12" s="127" t="str">
        <f>IFERROR(VLOOKUP(H12,'[1]Consolidado MP Planta'!$A$2:$M$823,12,0),"")</f>
        <v/>
      </c>
      <c r="F12" s="127" t="str">
        <f t="shared" si="2"/>
        <v/>
      </c>
      <c r="G12" s="128" t="str">
        <f t="shared" si="0"/>
        <v/>
      </c>
      <c r="H12" s="129"/>
      <c r="I12" s="129"/>
      <c r="J12" s="130"/>
    </row>
    <row r="13" spans="1:10" ht="13.5" hidden="1" x14ac:dyDescent="0.25">
      <c r="A13" s="125"/>
      <c r="B13" s="113" t="str">
        <f>IFERROR(VLOOKUP(H13,'[1]Consolidado MP Planta'!$A$2:$M$823,3,0),"")</f>
        <v/>
      </c>
      <c r="C13" s="126">
        <f t="shared" si="1"/>
        <v>0</v>
      </c>
      <c r="D13" s="127" t="str">
        <f>IFERROR(VLOOKUP(H13,'[1]Consolidado MP Planta'!$A$2:$M$823,13,0),"")</f>
        <v/>
      </c>
      <c r="E13" s="127" t="str">
        <f>IFERROR(VLOOKUP(H13,'[1]Consolidado MP Planta'!$A$2:$M$823,12,0),"")</f>
        <v/>
      </c>
      <c r="F13" s="127" t="str">
        <f t="shared" si="2"/>
        <v/>
      </c>
      <c r="G13" s="128" t="str">
        <f t="shared" si="0"/>
        <v/>
      </c>
      <c r="H13" s="129"/>
      <c r="I13" s="129"/>
      <c r="J13" s="130"/>
    </row>
    <row r="14" spans="1:10" ht="13.5" hidden="1" x14ac:dyDescent="0.25">
      <c r="A14" s="125"/>
      <c r="B14" s="113" t="str">
        <f>IFERROR(VLOOKUP(H14,'[1]Consolidado MP Planta'!$A$2:$M$823,3,0),"")</f>
        <v/>
      </c>
      <c r="C14" s="126">
        <f t="shared" si="1"/>
        <v>0</v>
      </c>
      <c r="D14" s="127" t="str">
        <f>IFERROR(VLOOKUP(H14,'[1]Consolidado MP Planta'!$A$2:$M$823,13,0),"")</f>
        <v/>
      </c>
      <c r="E14" s="127" t="str">
        <f>IFERROR(VLOOKUP(H14,'[1]Consolidado MP Planta'!$A$2:$M$823,12,0),"")</f>
        <v/>
      </c>
      <c r="F14" s="127" t="str">
        <f t="shared" si="2"/>
        <v/>
      </c>
      <c r="G14" s="128" t="str">
        <f t="shared" si="0"/>
        <v/>
      </c>
      <c r="H14" s="129"/>
      <c r="I14" s="129"/>
      <c r="J14" s="130"/>
    </row>
    <row r="15" spans="1:10" ht="14.25" hidden="1" thickBot="1" x14ac:dyDescent="0.3">
      <c r="A15" s="125"/>
      <c r="B15" s="113" t="str">
        <f>IFERROR(VLOOKUP(H15,[2]Hoja2!$A$2:$G$589,2,0),"")</f>
        <v/>
      </c>
      <c r="C15" s="126"/>
      <c r="D15" s="127"/>
      <c r="E15" s="127"/>
      <c r="F15" s="127"/>
      <c r="G15" s="128"/>
      <c r="H15" s="129"/>
      <c r="I15" s="129"/>
      <c r="J15" s="130"/>
    </row>
    <row r="16" spans="1:10" ht="26.25" thickBot="1" x14ac:dyDescent="0.25">
      <c r="A16" s="120" t="s">
        <v>95</v>
      </c>
      <c r="B16" s="121" t="s">
        <v>102</v>
      </c>
      <c r="C16" s="121" t="s">
        <v>95</v>
      </c>
      <c r="D16" s="122" t="s">
        <v>97</v>
      </c>
      <c r="E16" s="122" t="s">
        <v>98</v>
      </c>
      <c r="F16" s="122" t="s">
        <v>99</v>
      </c>
      <c r="G16" s="122" t="s">
        <v>100</v>
      </c>
      <c r="H16" s="123" t="s">
        <v>101</v>
      </c>
      <c r="I16" s="124"/>
      <c r="J16" s="130"/>
    </row>
    <row r="17" spans="1:12" ht="13.5" x14ac:dyDescent="0.25">
      <c r="A17" s="125">
        <v>6000</v>
      </c>
      <c r="B17" s="113" t="s">
        <v>63</v>
      </c>
      <c r="C17" s="126">
        <f>+A17</f>
        <v>6000</v>
      </c>
      <c r="D17" s="126" t="s">
        <v>141</v>
      </c>
      <c r="E17" s="127">
        <v>1.77</v>
      </c>
      <c r="F17" s="127">
        <f>IFERROR(E17*C17,"")</f>
        <v>10620</v>
      </c>
      <c r="G17" s="128">
        <f t="shared" ref="G17:G24" si="3">IFERROR(F17/$F$66,"")</f>
        <v>0.8866059533588434</v>
      </c>
      <c r="H17" s="129" t="s">
        <v>62</v>
      </c>
      <c r="I17" s="129"/>
      <c r="J17" s="130"/>
    </row>
    <row r="18" spans="1:12" ht="13.5" x14ac:dyDescent="0.25">
      <c r="A18" s="125">
        <v>36</v>
      </c>
      <c r="B18" s="113" t="str">
        <f>IFERROR(VLOOKUP(H18,[1]SEMIELABORADOS!$A$2:$M$6000,2,0),"")</f>
        <v>MEZCLA P/ENGRASE MOLDES KILO</v>
      </c>
      <c r="C18" s="126">
        <f t="shared" ref="C18:C24" si="4">+A18</f>
        <v>36</v>
      </c>
      <c r="D18" s="126" t="str">
        <f>IFERROR(VLOOKUP(H18,[1]SEMIELABORADOS!$A$2:$M$6000,6,0),"")</f>
        <v>Gramo</v>
      </c>
      <c r="E18" s="127">
        <f>IFERROR(VLOOKUP(H18,[1]SEMIELABORADOS!$A$2:$H$65536,8,0),"")</f>
        <v>1.3744402791946309</v>
      </c>
      <c r="F18" s="127">
        <f t="shared" ref="F18:F24" si="5">IFERROR(E18*C18,"")</f>
        <v>49.479850051006707</v>
      </c>
      <c r="G18" s="128">
        <f t="shared" si="3"/>
        <v>4.1308031663394931E-3</v>
      </c>
      <c r="H18" s="129" t="s">
        <v>73</v>
      </c>
      <c r="I18" s="129"/>
      <c r="J18" s="130"/>
    </row>
    <row r="19" spans="1:12" ht="13.5" hidden="1" x14ac:dyDescent="0.25">
      <c r="A19" s="125"/>
      <c r="B19" s="113" t="str">
        <f>IFERROR(VLOOKUP(H19,[1]SEMIELABORADOS!$A$2:$M$6000,2,0),"")</f>
        <v/>
      </c>
      <c r="C19" s="126">
        <f>+A19</f>
        <v>0</v>
      </c>
      <c r="D19" s="126" t="str">
        <f>IFERROR(VLOOKUP(H19,[1]SEMIELABORADOS!$A$2:$M$6000,6,0),"")</f>
        <v/>
      </c>
      <c r="E19" s="127" t="str">
        <f>IFERROR(VLOOKUP(H19,[1]SEMIELABORADOS!$A$2:$H$65536,8,0),"")</f>
        <v/>
      </c>
      <c r="F19" s="127" t="str">
        <f>IFERROR(E19*C19,"")</f>
        <v/>
      </c>
      <c r="G19" s="128" t="str">
        <f t="shared" si="3"/>
        <v/>
      </c>
      <c r="H19" s="129"/>
      <c r="I19" s="129"/>
      <c r="J19" s="130"/>
    </row>
    <row r="20" spans="1:12" ht="13.5" hidden="1" x14ac:dyDescent="0.25">
      <c r="A20" s="125"/>
      <c r="B20" s="113" t="str">
        <f>IFERROR(VLOOKUP(H20,[1]SEMIELABORADOS!$A$2:$M$6000,2,0),"")</f>
        <v/>
      </c>
      <c r="C20" s="126">
        <f>+A20</f>
        <v>0</v>
      </c>
      <c r="D20" s="126" t="str">
        <f>IFERROR(VLOOKUP(H20,[1]SEMIELABORADOS!$A$2:$M$6000,6,0),"")</f>
        <v/>
      </c>
      <c r="E20" s="127" t="str">
        <f>IFERROR(VLOOKUP(H20,[1]SEMIELABORADOS!$A$2:$H$65536,8,0),"")</f>
        <v/>
      </c>
      <c r="F20" s="127" t="str">
        <f>IFERROR(E20*C20,"")</f>
        <v/>
      </c>
      <c r="G20" s="128" t="str">
        <f t="shared" si="3"/>
        <v/>
      </c>
      <c r="H20" s="129"/>
      <c r="I20" s="129"/>
      <c r="J20" s="130"/>
    </row>
    <row r="21" spans="1:12" ht="13.5" hidden="1" x14ac:dyDescent="0.25">
      <c r="A21" s="125"/>
      <c r="B21" s="113" t="str">
        <f>IFERROR(VLOOKUP(H21,[1]SEMIELABORADOS!$A$2:$M$6000,2,0),"")</f>
        <v/>
      </c>
      <c r="C21" s="126">
        <f>+A21</f>
        <v>0</v>
      </c>
      <c r="D21" s="126" t="str">
        <f>IFERROR(VLOOKUP(H21,[1]SEMIELABORADOS!$A$2:$M$6000,6,0),"")</f>
        <v/>
      </c>
      <c r="E21" s="127" t="str">
        <f>IFERROR(VLOOKUP(H21,[1]SEMIELABORADOS!$A$2:$H$65536,8,0),"")</f>
        <v/>
      </c>
      <c r="F21" s="127" t="str">
        <f>IFERROR(E21*C21,"")</f>
        <v/>
      </c>
      <c r="G21" s="128" t="str">
        <f t="shared" si="3"/>
        <v/>
      </c>
      <c r="H21" s="129"/>
      <c r="I21" s="129"/>
      <c r="J21" s="130"/>
    </row>
    <row r="22" spans="1:12" ht="13.5" hidden="1" x14ac:dyDescent="0.25">
      <c r="A22" s="125"/>
      <c r="B22" s="113" t="str">
        <f>IFERROR(VLOOKUP(H22,[1]SEMIELABORADOS!$A$2:$M$6000,2,0),"")</f>
        <v/>
      </c>
      <c r="C22" s="126">
        <f t="shared" si="4"/>
        <v>0</v>
      </c>
      <c r="D22" s="126" t="str">
        <f>IFERROR(VLOOKUP(H22,[1]SEMIELABORADOS!$A$2:$M$6000,6,0),"")</f>
        <v/>
      </c>
      <c r="E22" s="127" t="str">
        <f>IFERROR(VLOOKUP(H22,[1]SEMIELABORADOS!$A$2:$H$65536,8,0),"")</f>
        <v/>
      </c>
      <c r="F22" s="127" t="str">
        <f t="shared" si="5"/>
        <v/>
      </c>
      <c r="G22" s="128" t="str">
        <f t="shared" si="3"/>
        <v/>
      </c>
      <c r="H22" s="129"/>
      <c r="I22" s="129"/>
      <c r="J22" s="130"/>
    </row>
    <row r="23" spans="1:12" ht="13.5" hidden="1" x14ac:dyDescent="0.25">
      <c r="A23" s="125"/>
      <c r="B23" s="113" t="str">
        <f>IFERROR(VLOOKUP(H23,[1]SEMIELABORADOS!$A$2:$M$6000,2,0),"")</f>
        <v/>
      </c>
      <c r="C23" s="126">
        <f t="shared" si="4"/>
        <v>0</v>
      </c>
      <c r="D23" s="126" t="str">
        <f>IFERROR(VLOOKUP(H23,[1]SEMIELABORADOS!$A$2:$M$6000,6,0),"")</f>
        <v/>
      </c>
      <c r="E23" s="127" t="str">
        <f>IFERROR(VLOOKUP(H23,[1]SEMIELABORADOS!$A$2:$H$65536,8,0),"")</f>
        <v/>
      </c>
      <c r="F23" s="127" t="str">
        <f t="shared" si="5"/>
        <v/>
      </c>
      <c r="G23" s="128" t="str">
        <f t="shared" si="3"/>
        <v/>
      </c>
      <c r="H23" s="129"/>
      <c r="I23" s="129"/>
      <c r="J23" s="130"/>
    </row>
    <row r="24" spans="1:12" ht="13.5" hidden="1" x14ac:dyDescent="0.25">
      <c r="A24" s="125"/>
      <c r="B24" s="113" t="str">
        <f>IFERROR(VLOOKUP(H24,[1]SEMIELABORADOS!$A$2:$M$6000,2,0),"")</f>
        <v/>
      </c>
      <c r="C24" s="126">
        <f t="shared" si="4"/>
        <v>0</v>
      </c>
      <c r="D24" s="126" t="str">
        <f>IFERROR(VLOOKUP(H24,[1]SEMIELABORADOS!$A$2:$M$6000,6,0),"")</f>
        <v/>
      </c>
      <c r="E24" s="127" t="str">
        <f>IFERROR(VLOOKUP(H24,[1]SEMIELABORADOS!$A$2:$H$65536,8,0),"")</f>
        <v/>
      </c>
      <c r="F24" s="127" t="str">
        <f t="shared" si="5"/>
        <v/>
      </c>
      <c r="G24" s="128" t="str">
        <f t="shared" si="3"/>
        <v/>
      </c>
      <c r="H24" s="129"/>
      <c r="I24" s="129"/>
      <c r="J24" s="130"/>
    </row>
    <row r="25" spans="1:12" ht="14.25" thickBot="1" x14ac:dyDescent="0.3">
      <c r="A25" s="125"/>
      <c r="C25" s="126"/>
      <c r="D25" s="126"/>
      <c r="E25" s="127"/>
      <c r="F25" s="127"/>
      <c r="G25" s="128"/>
      <c r="H25" s="129"/>
      <c r="I25" s="129"/>
      <c r="J25" s="130"/>
    </row>
    <row r="26" spans="1:12" ht="26.25" thickBot="1" x14ac:dyDescent="0.25">
      <c r="A26" s="120" t="s">
        <v>95</v>
      </c>
      <c r="B26" s="121" t="s">
        <v>103</v>
      </c>
      <c r="C26" s="121" t="s">
        <v>95</v>
      </c>
      <c r="D26" s="122" t="s">
        <v>97</v>
      </c>
      <c r="E26" s="122" t="s">
        <v>98</v>
      </c>
      <c r="F26" s="122" t="s">
        <v>99</v>
      </c>
      <c r="G26" s="122" t="s">
        <v>100</v>
      </c>
      <c r="H26" s="123" t="s">
        <v>101</v>
      </c>
      <c r="I26" s="124"/>
    </row>
    <row r="27" spans="1:12" ht="13.5" x14ac:dyDescent="0.25">
      <c r="A27" s="125">
        <v>1</v>
      </c>
      <c r="B27" s="131" t="str">
        <f>IFERROR(VLOOKUP(H27,'[1]Consolidado MP Planta'!$A$2:$M$823,3,0),"")</f>
        <v>BOLSA 17x25 TRANSP KILO</v>
      </c>
      <c r="C27" s="126">
        <f t="shared" ref="C27:C32" si="6">+A27</f>
        <v>1</v>
      </c>
      <c r="D27" s="127" t="str">
        <f>IFERROR(VLOOKUP(H27,'[1]Consolidado MP Planta'!$A$2:$M$823,13,0),"")</f>
        <v>Und</v>
      </c>
      <c r="E27" s="127">
        <f>IFERROR(VLOOKUP(H27,'[1]Consolidado MP Planta'!$A$2:$M$823,12,0),"")</f>
        <v>47.61904761904762</v>
      </c>
      <c r="F27" s="127">
        <f t="shared" ref="F27:F32" si="7">IFERROR(C27*E27,"")</f>
        <v>47.61904761904762</v>
      </c>
      <c r="G27" s="128">
        <f t="shared" ref="G27:G32" si="8">IFERROR(F27/$F$66,"")</f>
        <v>3.9754549069986704E-3</v>
      </c>
      <c r="H27" s="132" t="s">
        <v>64</v>
      </c>
      <c r="I27" s="132"/>
      <c r="J27" s="130"/>
      <c r="K27" s="521"/>
      <c r="L27" s="521"/>
    </row>
    <row r="28" spans="1:12" ht="13.5" x14ac:dyDescent="0.25">
      <c r="A28" s="125">
        <v>3</v>
      </c>
      <c r="B28" s="131" t="str">
        <f>IFERROR(VLOOKUP(H28,'[1]Consolidado MP Planta'!$A$2:$M$823,3,0),"")</f>
        <v>PAPEL MANTEQUILLA (CAJA= 1000 UND)</v>
      </c>
      <c r="C28" s="126">
        <f t="shared" si="6"/>
        <v>3</v>
      </c>
      <c r="D28" s="127" t="str">
        <f>IFERROR(VLOOKUP(H28,'[1]Consolidado MP Planta'!$A$2:$M$823,13,0),"")</f>
        <v>Und</v>
      </c>
      <c r="E28" s="127">
        <f>IFERROR(VLOOKUP(H28,'[1]Consolidado MP Planta'!$A$2:$M$823,12,0),"")</f>
        <v>32</v>
      </c>
      <c r="F28" s="127">
        <f t="shared" si="7"/>
        <v>96</v>
      </c>
      <c r="G28" s="128">
        <f t="shared" si="8"/>
        <v>8.0145170925093184E-3</v>
      </c>
      <c r="H28" s="132" t="s">
        <v>68</v>
      </c>
      <c r="I28" s="132"/>
      <c r="J28" s="130"/>
      <c r="K28" s="521"/>
      <c r="L28" s="521"/>
    </row>
    <row r="29" spans="1:12" ht="14.45" hidden="1" customHeight="1" x14ac:dyDescent="0.25">
      <c r="A29" s="125"/>
      <c r="B29" s="131" t="str">
        <f>IFERROR(VLOOKUP(H29,'[1]Consolidado MP Planta'!$A$2:$M$823,3,0),"")</f>
        <v/>
      </c>
      <c r="C29" s="126">
        <f t="shared" si="6"/>
        <v>0</v>
      </c>
      <c r="D29" s="127" t="str">
        <f>IFERROR(VLOOKUP(H29,'[1]Consolidado MP Planta'!$A$2:$M$823,13,0),"")</f>
        <v/>
      </c>
      <c r="E29" s="127" t="str">
        <f>IFERROR(VLOOKUP(H29,'[1]Consolidado MP Planta'!$A$2:$M$823,12,0),"")</f>
        <v/>
      </c>
      <c r="F29" s="127" t="str">
        <f t="shared" si="7"/>
        <v/>
      </c>
      <c r="G29" s="128" t="str">
        <f t="shared" si="8"/>
        <v/>
      </c>
      <c r="H29" s="132"/>
      <c r="I29" s="132"/>
      <c r="J29" s="130"/>
      <c r="K29" s="521"/>
      <c r="L29" s="521"/>
    </row>
    <row r="30" spans="1:12" ht="14.45" hidden="1" customHeight="1" x14ac:dyDescent="0.25">
      <c r="A30" s="125"/>
      <c r="B30" s="131" t="str">
        <f>IFERROR(VLOOKUP(H30,'[1]Consolidado MP Planta'!$A$2:$M$823,3,0),"")</f>
        <v/>
      </c>
      <c r="C30" s="126">
        <f t="shared" si="6"/>
        <v>0</v>
      </c>
      <c r="D30" s="127" t="str">
        <f>IFERROR(VLOOKUP(H30,'[1]Consolidado MP Planta'!$A$2:$M$823,13,0),"")</f>
        <v/>
      </c>
      <c r="E30" s="127" t="str">
        <f>IFERROR(VLOOKUP(H30,'[1]Consolidado MP Planta'!$A$2:$M$823,12,0),"")</f>
        <v/>
      </c>
      <c r="F30" s="127" t="str">
        <f t="shared" si="7"/>
        <v/>
      </c>
      <c r="G30" s="128" t="str">
        <f t="shared" si="8"/>
        <v/>
      </c>
      <c r="H30" s="132"/>
      <c r="I30" s="132"/>
      <c r="J30" s="130"/>
      <c r="K30" s="521"/>
      <c r="L30" s="521"/>
    </row>
    <row r="31" spans="1:12" ht="14.45" hidden="1" customHeight="1" x14ac:dyDescent="0.25">
      <c r="A31" s="125"/>
      <c r="B31" s="131" t="str">
        <f>IFERROR(VLOOKUP(H31,'[1]Consolidado MP Planta'!$A$2:$M$823,3,0),"")</f>
        <v/>
      </c>
      <c r="C31" s="126">
        <f t="shared" si="6"/>
        <v>0</v>
      </c>
      <c r="D31" s="127" t="str">
        <f>IFERROR(VLOOKUP(H31,'[1]Consolidado MP Planta'!$A$2:$M$823,13,0),"")</f>
        <v/>
      </c>
      <c r="E31" s="127" t="str">
        <f>IFERROR(VLOOKUP(H31,'[1]Consolidado MP Planta'!$A$2:$M$823,12,0),"")</f>
        <v/>
      </c>
      <c r="F31" s="127" t="str">
        <f t="shared" si="7"/>
        <v/>
      </c>
      <c r="G31" s="128" t="str">
        <f t="shared" si="8"/>
        <v/>
      </c>
      <c r="H31" s="132"/>
      <c r="I31" s="132"/>
      <c r="J31" s="130"/>
      <c r="K31" s="133"/>
      <c r="L31" s="134"/>
    </row>
    <row r="32" spans="1:12" ht="13.5" hidden="1" x14ac:dyDescent="0.25">
      <c r="A32" s="125"/>
      <c r="B32" s="131" t="str">
        <f>IFERROR(VLOOKUP(H32,'[1]Consolidado MP Planta'!$A$2:$M$823,3,0),"")</f>
        <v/>
      </c>
      <c r="C32" s="126">
        <f t="shared" si="6"/>
        <v>0</v>
      </c>
      <c r="D32" s="127" t="str">
        <f>IFERROR(VLOOKUP(H32,'[1]Consolidado MP Planta'!$A$2:$M$823,13,0),"")</f>
        <v/>
      </c>
      <c r="E32" s="127" t="str">
        <f>IFERROR(VLOOKUP(H32,'[1]Consolidado MP Planta'!$A$2:$M$823,12,0),"")</f>
        <v/>
      </c>
      <c r="F32" s="127" t="str">
        <f t="shared" si="7"/>
        <v/>
      </c>
      <c r="G32" s="128" t="str">
        <f t="shared" si="8"/>
        <v/>
      </c>
      <c r="H32" s="132"/>
      <c r="I32" s="132"/>
      <c r="J32" s="130"/>
    </row>
    <row r="33" spans="1:13" ht="14.25" thickBot="1" x14ac:dyDescent="0.3">
      <c r="A33" s="125"/>
      <c r="B33" s="131"/>
      <c r="C33" s="126"/>
      <c r="D33" s="127"/>
      <c r="E33" s="127"/>
      <c r="F33" s="127"/>
      <c r="G33" s="128"/>
      <c r="H33" s="132"/>
      <c r="I33" s="132"/>
      <c r="J33" s="130"/>
    </row>
    <row r="34" spans="1:13" ht="26.25" thickBot="1" x14ac:dyDescent="0.25">
      <c r="A34" s="120" t="s">
        <v>95</v>
      </c>
      <c r="B34" s="121" t="s">
        <v>104</v>
      </c>
      <c r="C34" s="121" t="s">
        <v>95</v>
      </c>
      <c r="D34" s="122" t="s">
        <v>97</v>
      </c>
      <c r="E34" s="122" t="s">
        <v>98</v>
      </c>
      <c r="F34" s="122" t="s">
        <v>99</v>
      </c>
      <c r="G34" s="122" t="s">
        <v>100</v>
      </c>
      <c r="H34" s="123" t="s">
        <v>101</v>
      </c>
      <c r="I34" s="132"/>
      <c r="J34" s="130"/>
    </row>
    <row r="35" spans="1:13" ht="13.5" x14ac:dyDescent="0.25">
      <c r="A35" s="125">
        <f>+A17</f>
        <v>6000</v>
      </c>
      <c r="B35" s="131" t="s">
        <v>63</v>
      </c>
      <c r="C35" s="126">
        <f>+A35</f>
        <v>6000</v>
      </c>
      <c r="D35" s="127" t="s">
        <v>141</v>
      </c>
      <c r="E35" s="127">
        <v>0.12</v>
      </c>
      <c r="F35" s="127">
        <f>IFERROR(E35*C35,"")</f>
        <v>720</v>
      </c>
      <c r="G35" s="128">
        <f t="shared" ref="G35:G41" si="9">IFERROR(F35/$F$66,"")</f>
        <v>6.0108878193819895E-2</v>
      </c>
      <c r="H35" s="132" t="s">
        <v>62</v>
      </c>
      <c r="I35" s="132"/>
      <c r="J35" s="130"/>
    </row>
    <row r="36" spans="1:13" ht="13.5" x14ac:dyDescent="0.25">
      <c r="A36" s="125">
        <f t="shared" ref="A36:A41" si="10">+A18</f>
        <v>36</v>
      </c>
      <c r="B36" s="131" t="str">
        <f>IFERROR(VLOOKUP(H36,[1]SEMIELABORADOS!$A$2:$M$6000,2,0),"")</f>
        <v>MEZCLA P/ENGRASE MOLDES KILO</v>
      </c>
      <c r="C36" s="126">
        <f t="shared" ref="C36:C41" si="11">+A36</f>
        <v>36</v>
      </c>
      <c r="D36" s="127" t="str">
        <f>IFERROR(VLOOKUP(H36,[1]SEMIELABORADOS!$A$2:$M$6000,6,0),"")</f>
        <v>Gramo</v>
      </c>
      <c r="E36" s="127">
        <f>IFERROR(VLOOKUP(H36,[1]SEMIELABORADOS!$A$2:$M$65536,10,0),"")</f>
        <v>2.1536385000000002E-2</v>
      </c>
      <c r="F36" s="127">
        <f t="shared" ref="F36:F41" si="12">IFERROR(E36*C36,"")</f>
        <v>0.77530986000000002</v>
      </c>
      <c r="G36" s="128">
        <f t="shared" si="9"/>
        <v>6.4726397135010495E-5</v>
      </c>
      <c r="H36" s="132" t="s">
        <v>73</v>
      </c>
      <c r="I36" s="132"/>
      <c r="J36" s="130"/>
    </row>
    <row r="37" spans="1:13" ht="13.5" hidden="1" x14ac:dyDescent="0.25">
      <c r="A37" s="125">
        <f t="shared" si="10"/>
        <v>0</v>
      </c>
      <c r="B37" s="131" t="str">
        <f>IFERROR(VLOOKUP(H37,[1]SEMIELABORADOS!$A$2:$M$6000,2,0),"")</f>
        <v/>
      </c>
      <c r="C37" s="126">
        <f t="shared" si="11"/>
        <v>0</v>
      </c>
      <c r="D37" s="127" t="str">
        <f>IFERROR(VLOOKUP(H37,[1]SEMIELABORADOS!$A$2:$M$6000,6,0),"")</f>
        <v/>
      </c>
      <c r="E37" s="127" t="str">
        <f>IFERROR(VLOOKUP(H37,[1]SEMIELABORADOS!$A$2:$M$65536,10,0),"")</f>
        <v/>
      </c>
      <c r="F37" s="127" t="str">
        <f t="shared" si="12"/>
        <v/>
      </c>
      <c r="G37" s="128" t="str">
        <f t="shared" si="9"/>
        <v/>
      </c>
      <c r="H37" s="132"/>
      <c r="I37" s="132"/>
      <c r="J37" s="130"/>
    </row>
    <row r="38" spans="1:13" ht="13.5" hidden="1" x14ac:dyDescent="0.25">
      <c r="A38" s="125">
        <f t="shared" si="10"/>
        <v>0</v>
      </c>
      <c r="B38" s="131" t="str">
        <f>IFERROR(VLOOKUP(H38,[1]SEMIELABORADOS!$A$2:$M$6000,2,0),"")</f>
        <v/>
      </c>
      <c r="C38" s="126">
        <f>+A38</f>
        <v>0</v>
      </c>
      <c r="D38" s="127" t="str">
        <f>IFERROR(VLOOKUP(H38,[1]SEMIELABORADOS!$A$2:$M$6000,6,0),"")</f>
        <v/>
      </c>
      <c r="E38" s="127" t="str">
        <f>IFERROR(VLOOKUP(H38,[1]SEMIELABORADOS!$A$2:$M$65536,10,0),"")</f>
        <v/>
      </c>
      <c r="F38" s="127" t="str">
        <f>IFERROR(E38*C38,"")</f>
        <v/>
      </c>
      <c r="G38" s="128" t="str">
        <f t="shared" si="9"/>
        <v/>
      </c>
      <c r="H38" s="132"/>
      <c r="I38" s="132"/>
      <c r="J38" s="130"/>
    </row>
    <row r="39" spans="1:13" ht="13.5" hidden="1" x14ac:dyDescent="0.25">
      <c r="A39" s="125">
        <f t="shared" si="10"/>
        <v>0</v>
      </c>
      <c r="B39" s="131" t="str">
        <f>IFERROR(VLOOKUP(H39,[1]SEMIELABORADOS!$A$2:$M$6000,2,0),"")</f>
        <v/>
      </c>
      <c r="C39" s="126">
        <f>+A39</f>
        <v>0</v>
      </c>
      <c r="D39" s="127" t="str">
        <f>IFERROR(VLOOKUP(H39,[1]SEMIELABORADOS!$A$2:$M$6000,6,0),"")</f>
        <v/>
      </c>
      <c r="E39" s="127" t="str">
        <f>IFERROR(VLOOKUP(H39,[1]SEMIELABORADOS!$A$2:$M$65536,10,0),"")</f>
        <v/>
      </c>
      <c r="F39" s="127" t="str">
        <f>IFERROR(E39*C39,"")</f>
        <v/>
      </c>
      <c r="G39" s="128" t="str">
        <f t="shared" si="9"/>
        <v/>
      </c>
      <c r="H39" s="132"/>
      <c r="I39" s="132"/>
      <c r="J39" s="130"/>
    </row>
    <row r="40" spans="1:13" ht="13.5" hidden="1" x14ac:dyDescent="0.25">
      <c r="A40" s="125">
        <f t="shared" si="10"/>
        <v>0</v>
      </c>
      <c r="B40" s="131" t="str">
        <f>IFERROR(VLOOKUP(H40,[1]SEMIELABORADOS!$A$2:$M$6000,2,0),"")</f>
        <v/>
      </c>
      <c r="C40" s="126">
        <f t="shared" si="11"/>
        <v>0</v>
      </c>
      <c r="D40" s="127" t="str">
        <f>IFERROR(VLOOKUP(H40,[1]SEMIELABORADOS!$A$2:$M$6000,6,0),"")</f>
        <v/>
      </c>
      <c r="E40" s="127" t="str">
        <f>IFERROR(VLOOKUP(H40,[1]SEMIELABORADOS!$A$2:$M$65536,10,0),"")</f>
        <v/>
      </c>
      <c r="F40" s="127" t="str">
        <f t="shared" si="12"/>
        <v/>
      </c>
      <c r="G40" s="128" t="str">
        <f t="shared" si="9"/>
        <v/>
      </c>
      <c r="H40" s="132"/>
      <c r="I40" s="132"/>
      <c r="J40" s="130"/>
    </row>
    <row r="41" spans="1:13" ht="13.5" hidden="1" x14ac:dyDescent="0.25">
      <c r="A41" s="125">
        <f t="shared" si="10"/>
        <v>0</v>
      </c>
      <c r="B41" s="131" t="str">
        <f>IFERROR(VLOOKUP(H41,[1]SEMIELABORADOS!$A$2:$M$6000,2,0),"")</f>
        <v/>
      </c>
      <c r="C41" s="126">
        <f t="shared" si="11"/>
        <v>0</v>
      </c>
      <c r="D41" s="127" t="str">
        <f>IFERROR(VLOOKUP(H41,[1]SEMIELABORADOS!$A$2:$M$6000,6,0),"")</f>
        <v/>
      </c>
      <c r="E41" s="127" t="str">
        <f>IFERROR(VLOOKUP(H41,[1]SEMIELABORADOS!$A$2:$M$65536,10,0),"")</f>
        <v/>
      </c>
      <c r="F41" s="127" t="str">
        <f t="shared" si="12"/>
        <v/>
      </c>
      <c r="G41" s="128" t="str">
        <f t="shared" si="9"/>
        <v/>
      </c>
      <c r="H41" s="132"/>
      <c r="I41" s="132"/>
      <c r="J41" s="130"/>
    </row>
    <row r="42" spans="1:13" ht="14.25" thickBot="1" x14ac:dyDescent="0.3">
      <c r="A42" s="125"/>
      <c r="B42" s="131"/>
      <c r="C42" s="126"/>
      <c r="D42" s="127"/>
      <c r="E42" s="127"/>
      <c r="F42" s="127"/>
      <c r="G42" s="128"/>
      <c r="H42" s="132"/>
      <c r="I42" s="132"/>
      <c r="J42" s="130"/>
    </row>
    <row r="43" spans="1:13" ht="26.25" thickBot="1" x14ac:dyDescent="0.25">
      <c r="A43" s="120" t="s">
        <v>95</v>
      </c>
      <c r="B43" s="121" t="s">
        <v>105</v>
      </c>
      <c r="C43" s="121" t="s">
        <v>95</v>
      </c>
      <c r="D43" s="122" t="s">
        <v>97</v>
      </c>
      <c r="E43" s="122" t="s">
        <v>98</v>
      </c>
      <c r="F43" s="122" t="s">
        <v>99</v>
      </c>
      <c r="G43" s="122" t="s">
        <v>100</v>
      </c>
      <c r="H43" s="123" t="s">
        <v>101</v>
      </c>
      <c r="I43" s="124"/>
      <c r="J43" s="130"/>
    </row>
    <row r="44" spans="1:13" ht="13.5" x14ac:dyDescent="0.25">
      <c r="A44" s="125">
        <f>+A35</f>
        <v>6000</v>
      </c>
      <c r="B44" s="131" t="s">
        <v>63</v>
      </c>
      <c r="C44" s="126">
        <f>+A44</f>
        <v>6000</v>
      </c>
      <c r="D44" s="127" t="s">
        <v>141</v>
      </c>
      <c r="E44" s="127">
        <v>0.05</v>
      </c>
      <c r="F44" s="127">
        <f>IFERROR(E44*C44,"")</f>
        <v>300</v>
      </c>
      <c r="G44" s="128">
        <f>IFERROR(F44/$F$66,"")</f>
        <v>2.5045365914091622E-2</v>
      </c>
      <c r="H44" s="132" t="s">
        <v>62</v>
      </c>
      <c r="I44" s="124"/>
      <c r="J44" s="130"/>
    </row>
    <row r="45" spans="1:13" ht="13.5" x14ac:dyDescent="0.25">
      <c r="A45" s="125">
        <f t="shared" ref="A45:A50" si="13">+A36</f>
        <v>36</v>
      </c>
      <c r="B45" s="131" t="str">
        <f>IFERROR(VLOOKUP(H45,[1]SEMIELABORADOS!$A$2:$M$6000,2,0),"")</f>
        <v>MEZCLA P/ENGRASE MOLDES KILO</v>
      </c>
      <c r="C45" s="126">
        <f t="shared" ref="C45:C50" si="14">+A45</f>
        <v>36</v>
      </c>
      <c r="D45" s="127" t="str">
        <f>IFERROR(VLOOKUP(H45,[1]SEMIELABORADOS!$A$2:$M$6000,6,0),"")</f>
        <v>Gramo</v>
      </c>
      <c r="E45" s="127">
        <f>IFERROR(VLOOKUP(H45,[1]SEMIELABORADOS!$A$2:$M$65536,12,0),"")</f>
        <v>0.25127579955503354</v>
      </c>
      <c r="F45" s="127">
        <f t="shared" ref="F45:F50" si="15">IFERROR(E45*C45,"")</f>
        <v>9.045928783981207</v>
      </c>
      <c r="G45" s="128">
        <f t="shared" ref="G45:G50" si="16">IFERROR(F45/$F$66,"")</f>
        <v>7.5519532142541066E-4</v>
      </c>
      <c r="H45" s="132" t="s">
        <v>73</v>
      </c>
      <c r="I45" s="124"/>
      <c r="J45" s="130"/>
      <c r="M45" s="135"/>
    </row>
    <row r="46" spans="1:13" ht="13.5" hidden="1" x14ac:dyDescent="0.25">
      <c r="A46" s="125">
        <f t="shared" si="13"/>
        <v>0</v>
      </c>
      <c r="B46" s="131" t="str">
        <f>IFERROR(VLOOKUP(H46,[1]SEMIELABORADOS!$A$2:$M$6000,2,0),"")</f>
        <v/>
      </c>
      <c r="C46" s="126">
        <f t="shared" si="14"/>
        <v>0</v>
      </c>
      <c r="D46" s="127" t="str">
        <f>IFERROR(VLOOKUP(H46,[1]SEMIELABORADOS!$A$2:$M$6000,6,0),"")</f>
        <v/>
      </c>
      <c r="E46" s="127" t="str">
        <f>IFERROR(VLOOKUP(H46,[1]SEMIELABORADOS!$A$2:$M$65536,12,0),"")</f>
        <v/>
      </c>
      <c r="F46" s="127" t="str">
        <f t="shared" si="15"/>
        <v/>
      </c>
      <c r="G46" s="128" t="str">
        <f t="shared" si="16"/>
        <v/>
      </c>
      <c r="H46" s="132"/>
      <c r="I46" s="124"/>
      <c r="J46" s="130"/>
    </row>
    <row r="47" spans="1:13" ht="13.5" hidden="1" x14ac:dyDescent="0.25">
      <c r="A47" s="125">
        <f t="shared" si="13"/>
        <v>0</v>
      </c>
      <c r="B47" s="131" t="str">
        <f>IFERROR(VLOOKUP(H47,[1]SEMIELABORADOS!$A$2:$M$6000,2,0),"")</f>
        <v/>
      </c>
      <c r="C47" s="126">
        <f t="shared" si="14"/>
        <v>0</v>
      </c>
      <c r="D47" s="127" t="str">
        <f>IFERROR(VLOOKUP(H47,[1]SEMIELABORADOS!$A$2:$M$6000,6,0),"")</f>
        <v/>
      </c>
      <c r="E47" s="127" t="str">
        <f>IFERROR(VLOOKUP(H47,[1]SEMIELABORADOS!$A$2:$M$65536,12,0),"")</f>
        <v/>
      </c>
      <c r="F47" s="127" t="str">
        <f t="shared" si="15"/>
        <v/>
      </c>
      <c r="G47" s="128" t="str">
        <f t="shared" si="16"/>
        <v/>
      </c>
      <c r="H47" s="132"/>
      <c r="I47" s="124"/>
      <c r="J47" s="130"/>
    </row>
    <row r="48" spans="1:13" ht="13.5" hidden="1" x14ac:dyDescent="0.25">
      <c r="A48" s="125">
        <f t="shared" si="13"/>
        <v>0</v>
      </c>
      <c r="B48" s="131" t="str">
        <f>IFERROR(VLOOKUP(H48,[1]SEMIELABORADOS!$A$2:$M$6000,2,0),"")</f>
        <v/>
      </c>
      <c r="C48" s="126">
        <f t="shared" si="14"/>
        <v>0</v>
      </c>
      <c r="D48" s="127" t="str">
        <f>IFERROR(VLOOKUP(H48,[1]SEMIELABORADOS!$A$2:$M$6000,6,0),"")</f>
        <v/>
      </c>
      <c r="E48" s="127" t="str">
        <f>IFERROR(VLOOKUP(H48,[1]SEMIELABORADOS!$A$2:$M$65536,12,0),"")</f>
        <v/>
      </c>
      <c r="F48" s="127" t="str">
        <f t="shared" si="15"/>
        <v/>
      </c>
      <c r="G48" s="128" t="str">
        <f t="shared" si="16"/>
        <v/>
      </c>
      <c r="H48" s="132"/>
      <c r="I48" s="124"/>
      <c r="J48" s="130"/>
    </row>
    <row r="49" spans="1:17" ht="13.5" hidden="1" x14ac:dyDescent="0.25">
      <c r="A49" s="125">
        <f t="shared" si="13"/>
        <v>0</v>
      </c>
      <c r="B49" s="131" t="str">
        <f>IFERROR(VLOOKUP(H49,[1]SEMIELABORADOS!$A$2:$M$6000,2,0),"")</f>
        <v/>
      </c>
      <c r="C49" s="126">
        <f t="shared" si="14"/>
        <v>0</v>
      </c>
      <c r="D49" s="127" t="str">
        <f>IFERROR(VLOOKUP(H49,[1]SEMIELABORADOS!$A$2:$M$6000,6,0),"")</f>
        <v/>
      </c>
      <c r="E49" s="127" t="str">
        <f>IFERROR(VLOOKUP(H49,[1]SEMIELABORADOS!$A$2:$M$65536,12,0),"")</f>
        <v/>
      </c>
      <c r="F49" s="127" t="str">
        <f t="shared" si="15"/>
        <v/>
      </c>
      <c r="G49" s="128" t="str">
        <f t="shared" si="16"/>
        <v/>
      </c>
      <c r="H49" s="132"/>
      <c r="I49" s="124"/>
      <c r="J49" s="130"/>
    </row>
    <row r="50" spans="1:17" ht="13.5" hidden="1" x14ac:dyDescent="0.25">
      <c r="A50" s="125">
        <f t="shared" si="13"/>
        <v>0</v>
      </c>
      <c r="B50" s="131" t="str">
        <f>IFERROR(VLOOKUP(H50,[1]SEMIELABORADOS!$A$2:$M$6000,2,0),"")</f>
        <v/>
      </c>
      <c r="C50" s="126">
        <f t="shared" si="14"/>
        <v>0</v>
      </c>
      <c r="D50" s="127" t="str">
        <f>IFERROR(VLOOKUP(H50,[1]SEMIELABORADOS!$A$2:$M$6000,6,0),"")</f>
        <v/>
      </c>
      <c r="E50" s="127" t="str">
        <f>IFERROR(VLOOKUP(H50,[1]SEMIELABORADOS!$A$2:$M$65536,12,0),"")</f>
        <v/>
      </c>
      <c r="F50" s="127" t="str">
        <f t="shared" si="15"/>
        <v/>
      </c>
      <c r="G50" s="128" t="str">
        <f t="shared" si="16"/>
        <v/>
      </c>
      <c r="H50" s="131"/>
      <c r="I50" s="124"/>
      <c r="J50" s="130"/>
    </row>
    <row r="51" spans="1:17" ht="13.5" x14ac:dyDescent="0.25">
      <c r="A51" s="125">
        <v>1</v>
      </c>
      <c r="B51" s="131" t="s">
        <v>106</v>
      </c>
      <c r="C51" s="126">
        <f>+A51</f>
        <v>1</v>
      </c>
      <c r="D51" s="126" t="s">
        <v>107</v>
      </c>
      <c r="E51" s="127">
        <f>+F65</f>
        <v>231</v>
      </c>
      <c r="F51" s="127">
        <f>IFERROR(C51*E51,"")</f>
        <v>231</v>
      </c>
      <c r="G51" s="128">
        <f>IFERROR(F51/$F$66,"")</f>
        <v>1.928493175385055E-2</v>
      </c>
      <c r="H51" s="136"/>
      <c r="I51" s="136"/>
      <c r="J51" s="130"/>
    </row>
    <row r="52" spans="1:17" ht="14.25" thickBot="1" x14ac:dyDescent="0.3">
      <c r="A52" s="125"/>
      <c r="B52" s="131"/>
      <c r="C52" s="126"/>
      <c r="D52" s="126"/>
      <c r="E52" s="127"/>
      <c r="F52" s="127"/>
      <c r="G52" s="128"/>
      <c r="H52" s="136"/>
      <c r="I52" s="136"/>
      <c r="J52" s="130"/>
    </row>
    <row r="53" spans="1:17" ht="13.5" thickBot="1" x14ac:dyDescent="0.25">
      <c r="A53" s="137"/>
      <c r="B53" s="531" t="s">
        <v>108</v>
      </c>
      <c r="C53" s="531"/>
      <c r="D53" s="531"/>
      <c r="E53" s="531"/>
      <c r="F53" s="139">
        <f>SUM(F8:F14,F17:F24)</f>
        <v>10669.479850051006</v>
      </c>
      <c r="G53" s="128">
        <f>+F53/$F$66</f>
        <v>0.89073675652518292</v>
      </c>
      <c r="H53" s="140">
        <f>+F53/$D$60</f>
        <v>3200.8439550153016</v>
      </c>
      <c r="I53" s="140"/>
      <c r="J53" s="141"/>
      <c r="K53" s="142"/>
      <c r="L53" s="142"/>
      <c r="M53" s="142"/>
      <c r="N53" s="142"/>
      <c r="O53" s="142"/>
      <c r="P53" s="142"/>
      <c r="Q53" s="143"/>
    </row>
    <row r="54" spans="1:17" x14ac:dyDescent="0.2">
      <c r="A54" s="137"/>
      <c r="B54" s="531" t="s">
        <v>109</v>
      </c>
      <c r="C54" s="531"/>
      <c r="D54" s="531"/>
      <c r="E54" s="531"/>
      <c r="F54" s="139">
        <f>SUM(F27:F32,F35:F41)</f>
        <v>864.39435747904759</v>
      </c>
      <c r="G54" s="128">
        <f>+F54/$F$66</f>
        <v>7.2163576590462894E-2</v>
      </c>
      <c r="H54" s="140">
        <f>+F54/$D$60</f>
        <v>259.31830724371429</v>
      </c>
      <c r="I54" s="140"/>
      <c r="J54" s="144"/>
      <c r="K54" s="532" t="s">
        <v>110</v>
      </c>
      <c r="L54" s="533"/>
      <c r="M54" s="533"/>
      <c r="N54" s="533"/>
      <c r="O54" s="145">
        <f>+F55</f>
        <v>11533.874207530054</v>
      </c>
      <c r="P54" s="145"/>
      <c r="Q54" s="146"/>
    </row>
    <row r="55" spans="1:17" x14ac:dyDescent="0.2">
      <c r="A55" s="137"/>
      <c r="B55" s="531" t="s">
        <v>111</v>
      </c>
      <c r="C55" s="531"/>
      <c r="D55" s="531"/>
      <c r="E55" s="531"/>
      <c r="F55" s="139">
        <f>+F53+F54</f>
        <v>11533.874207530054</v>
      </c>
      <c r="G55" s="128">
        <f>+F55/$F$66</f>
        <v>0.96290033311564582</v>
      </c>
      <c r="H55" s="140">
        <f>+F55/$D$60</f>
        <v>3460.1622622590162</v>
      </c>
      <c r="I55" s="140"/>
      <c r="J55" s="147"/>
      <c r="K55" s="148"/>
      <c r="M55" s="149" t="s">
        <v>112</v>
      </c>
      <c r="N55" s="150"/>
      <c r="O55" s="145">
        <f>+H56</f>
        <v>162.01377863519437</v>
      </c>
      <c r="P55" s="145"/>
      <c r="Q55" s="146"/>
    </row>
    <row r="56" spans="1:17" ht="13.5" thickBot="1" x14ac:dyDescent="0.25">
      <c r="A56" s="137"/>
      <c r="B56" s="138"/>
      <c r="C56" s="531" t="s">
        <v>113</v>
      </c>
      <c r="D56" s="531"/>
      <c r="E56" s="531"/>
      <c r="F56" s="139">
        <f>SUM(F44:F51)</f>
        <v>540.04592878398125</v>
      </c>
      <c r="G56" s="128">
        <f>+F56/$F$66</f>
        <v>4.5085492989367586E-2</v>
      </c>
      <c r="H56" s="140">
        <f>+F56/$D$60</f>
        <v>162.01377863519437</v>
      </c>
      <c r="I56" s="140"/>
      <c r="J56" s="147"/>
      <c r="K56" s="148"/>
      <c r="L56" s="148"/>
      <c r="M56" s="148" t="s">
        <v>114</v>
      </c>
      <c r="N56" s="151"/>
      <c r="O56" s="145">
        <f>O54*N56</f>
        <v>0</v>
      </c>
      <c r="P56" s="145"/>
      <c r="Q56" s="146"/>
    </row>
    <row r="57" spans="1:17" ht="13.5" thickBot="1" x14ac:dyDescent="0.25">
      <c r="A57" s="137"/>
      <c r="B57" s="152"/>
      <c r="C57" s="152"/>
      <c r="D57" s="152"/>
      <c r="E57" s="152"/>
      <c r="F57" s="153"/>
      <c r="G57" s="128"/>
      <c r="H57" s="154"/>
      <c r="I57" s="140"/>
      <c r="J57" s="147"/>
      <c r="K57" s="155"/>
      <c r="M57" s="156" t="s">
        <v>115</v>
      </c>
      <c r="N57" s="157"/>
      <c r="O57" s="158">
        <f>SUM(O54:O56)</f>
        <v>11695.887986165249</v>
      </c>
      <c r="P57" s="159"/>
      <c r="Q57" s="146"/>
    </row>
    <row r="58" spans="1:17" x14ac:dyDescent="0.2">
      <c r="B58" s="534" t="s">
        <v>116</v>
      </c>
      <c r="C58" s="534"/>
      <c r="D58" s="160">
        <v>6000</v>
      </c>
      <c r="E58" s="161"/>
      <c r="G58" s="128"/>
      <c r="H58" s="154">
        <f>+H56/77</f>
        <v>2.1040750472103165</v>
      </c>
      <c r="I58" s="162"/>
      <c r="J58" s="147"/>
      <c r="K58" s="155"/>
      <c r="L58" s="148"/>
      <c r="M58" s="148" t="s">
        <v>117</v>
      </c>
      <c r="N58" s="163"/>
      <c r="O58" s="145">
        <f>+H59</f>
        <v>174.63822891845626</v>
      </c>
      <c r="P58" s="145"/>
      <c r="Q58" s="146"/>
    </row>
    <row r="59" spans="1:17" x14ac:dyDescent="0.2">
      <c r="B59" s="534" t="s">
        <v>118</v>
      </c>
      <c r="C59" s="534"/>
      <c r="D59" s="164">
        <v>1800</v>
      </c>
      <c r="E59" s="161"/>
      <c r="G59" s="128"/>
      <c r="H59" s="154">
        <f>+H58*83</f>
        <v>174.63822891845626</v>
      </c>
      <c r="I59" s="162"/>
      <c r="J59" s="147"/>
      <c r="K59" s="155"/>
      <c r="L59" s="148"/>
      <c r="M59" s="535" t="s">
        <v>115</v>
      </c>
      <c r="N59" s="535"/>
      <c r="O59" s="145">
        <f>SUM(O57:O58)</f>
        <v>11870.526215083706</v>
      </c>
      <c r="P59" s="145"/>
      <c r="Q59" s="146"/>
    </row>
    <row r="60" spans="1:17" ht="13.5" thickBot="1" x14ac:dyDescent="0.25">
      <c r="B60" s="527" t="s">
        <v>119</v>
      </c>
      <c r="C60" s="527"/>
      <c r="D60" s="160">
        <f>+D58/D59</f>
        <v>3.3333333333333335</v>
      </c>
      <c r="E60" s="161"/>
      <c r="F60" s="165"/>
      <c r="G60" s="128"/>
      <c r="H60" s="154"/>
      <c r="I60" s="162"/>
      <c r="J60" s="147"/>
      <c r="K60" s="155"/>
      <c r="L60" s="535"/>
      <c r="M60" s="535"/>
      <c r="N60" s="163"/>
      <c r="O60" s="145">
        <f>+O59*N60</f>
        <v>0</v>
      </c>
      <c r="P60" s="145"/>
      <c r="Q60" s="146"/>
    </row>
    <row r="61" spans="1:17" ht="13.5" thickBot="1" x14ac:dyDescent="0.25">
      <c r="B61" s="527" t="s">
        <v>120</v>
      </c>
      <c r="C61" s="527"/>
      <c r="D61" s="166"/>
      <c r="E61" s="161"/>
      <c r="F61" s="165"/>
      <c r="G61" s="128"/>
      <c r="H61" s="154"/>
      <c r="I61" s="162"/>
      <c r="J61" s="147"/>
      <c r="K61" s="528" t="s">
        <v>121</v>
      </c>
      <c r="L61" s="529"/>
      <c r="M61" s="529"/>
      <c r="N61" s="530"/>
      <c r="O61" s="158">
        <f>SUM(O59:O60)</f>
        <v>11870.526215083706</v>
      </c>
      <c r="P61" s="167" t="s">
        <v>122</v>
      </c>
      <c r="Q61" s="146"/>
    </row>
    <row r="62" spans="1:17" ht="13.5" thickBot="1" x14ac:dyDescent="0.25">
      <c r="C62" s="137" t="s">
        <v>123</v>
      </c>
      <c r="D62" s="168"/>
      <c r="E62" s="111" t="s">
        <v>124</v>
      </c>
      <c r="F62" s="169" t="s">
        <v>125</v>
      </c>
      <c r="G62" s="128"/>
      <c r="H62" s="154"/>
      <c r="I62" s="162"/>
      <c r="J62" s="170"/>
      <c r="K62" s="171"/>
      <c r="L62" s="541" t="s">
        <v>126</v>
      </c>
      <c r="M62" s="541"/>
      <c r="N62" s="541"/>
      <c r="O62" s="172">
        <f>+O61/D60</f>
        <v>3561.1578645251116</v>
      </c>
      <c r="P62" s="173">
        <f>+O62/D59</f>
        <v>1.9784210358472842</v>
      </c>
      <c r="Q62" s="174"/>
    </row>
    <row r="63" spans="1:17" ht="13.5" thickBot="1" x14ac:dyDescent="0.25">
      <c r="B63" s="542" t="s">
        <v>111</v>
      </c>
      <c r="C63" s="542"/>
      <c r="D63" s="542"/>
      <c r="E63" s="175">
        <f>+F63/F63</f>
        <v>1</v>
      </c>
      <c r="F63" s="176">
        <f>SUM(F55)</f>
        <v>11533.874207530054</v>
      </c>
      <c r="G63" s="128">
        <f>+F63/$F$66</f>
        <v>0.96290033311564582</v>
      </c>
      <c r="H63" s="154"/>
      <c r="I63" s="162"/>
      <c r="K63" s="543"/>
      <c r="L63" s="544"/>
      <c r="M63" s="544"/>
      <c r="N63" s="544"/>
      <c r="O63" s="177"/>
      <c r="P63" s="178"/>
    </row>
    <row r="64" spans="1:17" ht="13.5" thickBot="1" x14ac:dyDescent="0.25">
      <c r="B64" s="545" t="s">
        <v>127</v>
      </c>
      <c r="C64" s="545"/>
      <c r="D64" s="545"/>
      <c r="E64" s="179">
        <v>0.02</v>
      </c>
      <c r="F64" s="176">
        <f>+F53*E64</f>
        <v>213.38959700102012</v>
      </c>
      <c r="G64" s="128">
        <f>+F64/$F$66</f>
        <v>1.7814735130503658E-2</v>
      </c>
      <c r="H64" s="140"/>
      <c r="I64" s="162"/>
      <c r="J64" s="180"/>
      <c r="O64" s="181"/>
      <c r="P64" s="138"/>
    </row>
    <row r="65" spans="2:13" ht="13.5" thickBot="1" x14ac:dyDescent="0.25">
      <c r="B65" s="546" t="s">
        <v>128</v>
      </c>
      <c r="C65" s="547"/>
      <c r="D65" s="182">
        <v>3</v>
      </c>
      <c r="E65" s="183">
        <v>77</v>
      </c>
      <c r="F65" s="176">
        <f>+E65*D65</f>
        <v>231</v>
      </c>
      <c r="G65" s="128">
        <f>+F65/$F$66</f>
        <v>1.928493175385055E-2</v>
      </c>
      <c r="H65" s="140"/>
      <c r="I65" s="140"/>
      <c r="J65" s="130"/>
    </row>
    <row r="66" spans="2:13" ht="13.5" thickBot="1" x14ac:dyDescent="0.25">
      <c r="B66" s="548" t="s">
        <v>129</v>
      </c>
      <c r="C66" s="549"/>
      <c r="D66" s="549"/>
      <c r="E66" s="550"/>
      <c r="F66" s="153">
        <f>SUM(F63:F65)</f>
        <v>11978.263804531074</v>
      </c>
      <c r="G66" s="128">
        <f>+F66/$F$66</f>
        <v>1</v>
      </c>
      <c r="H66" s="551"/>
      <c r="I66" s="140"/>
      <c r="J66" s="130"/>
      <c r="M66" s="113" t="s">
        <v>130</v>
      </c>
    </row>
    <row r="67" spans="2:13" x14ac:dyDescent="0.2">
      <c r="C67" s="135"/>
      <c r="D67" s="135"/>
      <c r="E67" s="185"/>
      <c r="F67" s="176"/>
      <c r="G67" s="128"/>
      <c r="H67" s="551"/>
      <c r="I67" s="184"/>
      <c r="J67" s="113"/>
      <c r="M67" s="113" t="s">
        <v>131</v>
      </c>
    </row>
    <row r="68" spans="2:13" ht="13.5" thickBot="1" x14ac:dyDescent="0.25">
      <c r="B68" s="536" t="s">
        <v>132</v>
      </c>
      <c r="C68" s="536"/>
      <c r="D68" s="536"/>
      <c r="E68" s="536"/>
      <c r="F68" s="536"/>
      <c r="G68" s="128"/>
      <c r="H68" s="187"/>
      <c r="I68" s="184"/>
      <c r="J68" s="113"/>
      <c r="M68" s="113" t="s">
        <v>133</v>
      </c>
    </row>
    <row r="69" spans="2:13" ht="13.5" thickBot="1" x14ac:dyDescent="0.25">
      <c r="B69" s="188" t="s">
        <v>134</v>
      </c>
      <c r="C69" s="189">
        <f>+F53</f>
        <v>10669.479850051006</v>
      </c>
      <c r="D69" s="189">
        <f>+D58</f>
        <v>6000</v>
      </c>
      <c r="E69" s="190">
        <f>+C69/D69</f>
        <v>1.7782466416751677</v>
      </c>
      <c r="F69" s="128"/>
      <c r="G69" s="187"/>
      <c r="H69" s="130"/>
      <c r="I69" s="187"/>
      <c r="J69" s="113"/>
    </row>
    <row r="70" spans="2:13" x14ac:dyDescent="0.2">
      <c r="B70" s="191"/>
      <c r="C70" s="192"/>
      <c r="D70" s="193"/>
      <c r="E70" s="176"/>
      <c r="F70" s="128"/>
      <c r="G70" s="187"/>
      <c r="H70" s="130"/>
      <c r="I70" s="130"/>
      <c r="J70" s="113"/>
    </row>
    <row r="71" spans="2:13" x14ac:dyDescent="0.2">
      <c r="B71" s="188" t="s">
        <v>135</v>
      </c>
      <c r="C71" s="189">
        <f>SUM(F63:F64)</f>
        <v>11747.263804531074</v>
      </c>
      <c r="D71" s="189">
        <f>+D58</f>
        <v>6000</v>
      </c>
      <c r="E71" s="194">
        <f>+C71/D71</f>
        <v>1.9578773007551791</v>
      </c>
      <c r="F71" s="128"/>
      <c r="G71" s="187"/>
      <c r="H71" s="130"/>
      <c r="I71" s="130"/>
      <c r="J71" s="113"/>
    </row>
    <row r="72" spans="2:13" x14ac:dyDescent="0.2">
      <c r="B72" s="188"/>
      <c r="C72" s="189"/>
      <c r="D72" s="189"/>
      <c r="E72" s="194"/>
      <c r="F72" s="128"/>
      <c r="G72" s="187"/>
      <c r="H72" s="130"/>
      <c r="I72" s="130"/>
      <c r="J72" s="113"/>
    </row>
    <row r="73" spans="2:13" ht="13.5" thickBot="1" x14ac:dyDescent="0.25">
      <c r="B73" s="188" t="s">
        <v>136</v>
      </c>
      <c r="C73" s="189">
        <f>+F65</f>
        <v>231</v>
      </c>
      <c r="D73" s="189">
        <f>+D58</f>
        <v>6000</v>
      </c>
      <c r="E73" s="194">
        <f>+C73/D73</f>
        <v>3.85E-2</v>
      </c>
      <c r="F73" s="128"/>
      <c r="G73" s="187"/>
      <c r="H73" s="130"/>
      <c r="I73" s="130"/>
      <c r="J73" s="113"/>
    </row>
    <row r="74" spans="2:13" ht="13.5" thickBot="1" x14ac:dyDescent="0.25">
      <c r="B74" s="188" t="s">
        <v>137</v>
      </c>
      <c r="C74" s="189">
        <f>+F56</f>
        <v>540.04592878398125</v>
      </c>
      <c r="D74" s="189">
        <f>+D73</f>
        <v>6000</v>
      </c>
      <c r="E74" s="190">
        <f>+C74/D74</f>
        <v>9.0007654797330208E-2</v>
      </c>
      <c r="F74" s="128"/>
      <c r="G74" s="187"/>
      <c r="H74" s="130"/>
      <c r="I74" s="130"/>
      <c r="J74" s="113"/>
    </row>
    <row r="75" spans="2:13" ht="13.5" thickBot="1" x14ac:dyDescent="0.25">
      <c r="B75" s="152"/>
      <c r="C75" s="153"/>
      <c r="D75" s="153"/>
      <c r="E75" s="194"/>
      <c r="F75" s="128"/>
      <c r="G75" s="187"/>
      <c r="H75" s="130"/>
      <c r="I75" s="130"/>
      <c r="J75" s="113"/>
    </row>
    <row r="76" spans="2:13" ht="13.5" thickBot="1" x14ac:dyDescent="0.25">
      <c r="B76" s="188" t="s">
        <v>138</v>
      </c>
      <c r="C76" s="189">
        <f>+F54</f>
        <v>864.39435747904759</v>
      </c>
      <c r="D76" s="189">
        <f>+D74</f>
        <v>6000</v>
      </c>
      <c r="E76" s="190">
        <f>+C76/D76</f>
        <v>0.14406572624650793</v>
      </c>
      <c r="F76" s="128"/>
      <c r="G76" s="187"/>
      <c r="H76" s="130"/>
      <c r="I76" s="130"/>
      <c r="J76" s="130"/>
    </row>
    <row r="77" spans="2:13" ht="13.5" thickBot="1" x14ac:dyDescent="0.25">
      <c r="B77" s="152"/>
      <c r="C77" s="153"/>
      <c r="D77" s="153"/>
      <c r="E77" s="194"/>
      <c r="F77" s="128"/>
      <c r="G77" s="187"/>
      <c r="H77" s="130"/>
      <c r="I77" s="130"/>
    </row>
    <row r="78" spans="2:13" ht="13.5" thickBot="1" x14ac:dyDescent="0.25">
      <c r="B78" s="537" t="s">
        <v>139</v>
      </c>
      <c r="C78" s="538"/>
      <c r="D78" s="539"/>
      <c r="E78" s="190">
        <f>+E69+E74</f>
        <v>1.868254296472498</v>
      </c>
      <c r="G78" s="128"/>
      <c r="H78" s="187"/>
      <c r="I78" s="130"/>
      <c r="J78" s="194"/>
    </row>
    <row r="79" spans="2:13" x14ac:dyDescent="0.2">
      <c r="I79" s="187"/>
      <c r="J79" s="113"/>
    </row>
    <row r="80" spans="2:13" ht="13.5" thickBot="1" x14ac:dyDescent="0.25">
      <c r="B80" s="536" t="s">
        <v>140</v>
      </c>
      <c r="C80" s="536"/>
      <c r="D80" s="536"/>
      <c r="E80" s="536"/>
      <c r="F80" s="536"/>
      <c r="G80" s="128"/>
      <c r="H80" s="187"/>
      <c r="J80" s="113"/>
    </row>
    <row r="81" spans="1:10" ht="13.5" thickBot="1" x14ac:dyDescent="0.25">
      <c r="B81" s="188" t="s">
        <v>134</v>
      </c>
      <c r="C81" s="189">
        <f>+C69</f>
        <v>10669.479850051006</v>
      </c>
      <c r="D81" s="189">
        <f>+D60</f>
        <v>3.3333333333333335</v>
      </c>
      <c r="E81" s="190">
        <f>+C81/D81</f>
        <v>3200.8439550153016</v>
      </c>
      <c r="F81" s="128"/>
      <c r="G81" s="187"/>
      <c r="H81" s="130"/>
      <c r="I81" s="187"/>
      <c r="J81" s="113"/>
    </row>
    <row r="82" spans="1:10" x14ac:dyDescent="0.2">
      <c r="B82" s="191"/>
      <c r="C82" s="192"/>
      <c r="D82" s="193"/>
      <c r="E82" s="176"/>
      <c r="F82" s="128"/>
      <c r="G82" s="187"/>
      <c r="H82" s="130"/>
      <c r="I82" s="130"/>
      <c r="J82" s="113"/>
    </row>
    <row r="83" spans="1:10" x14ac:dyDescent="0.2">
      <c r="B83" s="188" t="s">
        <v>135</v>
      </c>
      <c r="C83" s="189">
        <f>+C71</f>
        <v>11747.263804531074</v>
      </c>
      <c r="D83" s="189">
        <f>+D60</f>
        <v>3.3333333333333335</v>
      </c>
      <c r="E83" s="194">
        <f>+C83/D83</f>
        <v>3524.1791413593219</v>
      </c>
      <c r="F83" s="128"/>
      <c r="G83" s="187"/>
      <c r="H83" s="130"/>
      <c r="I83" s="130"/>
      <c r="J83" s="113"/>
    </row>
    <row r="84" spans="1:10" x14ac:dyDescent="0.2">
      <c r="B84" s="188"/>
      <c r="C84" s="189"/>
      <c r="D84" s="189"/>
      <c r="E84" s="194"/>
      <c r="F84" s="128"/>
      <c r="G84" s="187"/>
      <c r="H84" s="130"/>
      <c r="I84" s="130"/>
      <c r="J84" s="113"/>
    </row>
    <row r="85" spans="1:10" ht="13.5" thickBot="1" x14ac:dyDescent="0.25">
      <c r="B85" s="188" t="s">
        <v>137</v>
      </c>
      <c r="C85" s="189">
        <f>+C73</f>
        <v>231</v>
      </c>
      <c r="D85" s="189">
        <f>+D60</f>
        <v>3.3333333333333335</v>
      </c>
      <c r="E85" s="194">
        <f>+C85/D85</f>
        <v>69.3</v>
      </c>
      <c r="F85" s="196"/>
      <c r="G85" s="186"/>
      <c r="H85" s="112"/>
      <c r="I85" s="130"/>
    </row>
    <row r="86" spans="1:10" ht="13.5" thickBot="1" x14ac:dyDescent="0.25">
      <c r="B86" s="188" t="s">
        <v>137</v>
      </c>
      <c r="C86" s="189">
        <f>+C74</f>
        <v>540.04592878398125</v>
      </c>
      <c r="D86" s="189">
        <f>+D85</f>
        <v>3.3333333333333335</v>
      </c>
      <c r="E86" s="190">
        <f>+C86/D86</f>
        <v>162.01377863519437</v>
      </c>
      <c r="F86" s="195"/>
      <c r="G86" s="186"/>
      <c r="H86" s="112"/>
      <c r="I86" s="112"/>
    </row>
    <row r="87" spans="1:10" x14ac:dyDescent="0.2">
      <c r="I87" s="112"/>
    </row>
    <row r="88" spans="1:10" x14ac:dyDescent="0.2">
      <c r="A88" s="540"/>
      <c r="B88" s="540"/>
      <c r="C88" s="197"/>
      <c r="D88" s="197"/>
      <c r="E88" s="198"/>
      <c r="G88" s="199"/>
    </row>
    <row r="89" spans="1:10" x14ac:dyDescent="0.2">
      <c r="A89" s="131"/>
      <c r="B89" s="200"/>
      <c r="C89" s="201"/>
      <c r="D89" s="201"/>
      <c r="E89" s="202"/>
      <c r="G89" s="199"/>
    </row>
    <row r="90" spans="1:10" x14ac:dyDescent="0.2">
      <c r="A90" s="131"/>
      <c r="B90" s="200"/>
      <c r="C90" s="203"/>
      <c r="D90" s="203"/>
      <c r="E90" s="131"/>
      <c r="G90" s="199"/>
    </row>
    <row r="91" spans="1:10" x14ac:dyDescent="0.2">
      <c r="A91" s="131"/>
      <c r="B91" s="200"/>
      <c r="C91" s="204"/>
      <c r="D91" s="204"/>
      <c r="E91" s="131"/>
      <c r="G91" s="19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42247DA-5CFD-4458-9B17-B228448EC4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9A72E3-7672-42A9-A45B-25302F43A215}"/>
</file>

<file path=customXml/itemProps3.xml><?xml version="1.0" encoding="utf-8"?>
<ds:datastoreItem xmlns:ds="http://schemas.openxmlformats.org/officeDocument/2006/customXml" ds:itemID="{21933D96-B93F-48FF-9566-98C526DB488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Ensamble</vt:lpstr>
      <vt:lpstr>Costo Ensamble </vt:lpstr>
      <vt:lpstr>Plancha</vt:lpstr>
      <vt:lpstr>Batido arrollado </vt:lpstr>
      <vt:lpstr>Base Premezcla </vt:lpstr>
      <vt:lpstr>Crema chocolate Spoon</vt:lpstr>
      <vt:lpstr>Costo Plancha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2025-11-24T15:47:47Z</cp:lastPrinted>
  <dcterms:created xsi:type="dcterms:W3CDTF">2012-05-10T22:32:20Z</dcterms:created>
  <dcterms:modified xsi:type="dcterms:W3CDTF">2026-01-26T22:21:17Z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942400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
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sedepast.sharepoint.com/sites/Stargate/Carpetas compartidas/Recetas Movidas/RECETAS 2025 ACTUALIZADA/FIGURAS/SPOON/"/>
    </mc:Choice>
  </mc:AlternateContent>
  <xr:revisionPtr revIDLastSave="41" documentId="8_{C409246F-1B38-4AD6-AB82-7DBA2F208AAC}" xr6:coauthVersionLast="47" xr6:coauthVersionMax="47" xr10:uidLastSave="{8AFBEDB4-6298-4E0C-B579-7DC0F3462145}"/>
  <bookViews>
    <workbookView xWindow="-108" yWindow="-108" windowWidth="23256" windowHeight="12456" firstSheet="1" activeTab="1" xr2:uid="{7AECBC5B-B104-4132-A7A2-DB5EAA263F12}"/>
  </bookViews>
  <sheets>
    <sheet name="Hoja1" sheetId="3" state="hidden" r:id="rId1"/>
    <sheet name="Hoja2" sheetId="4" r:id="rId2"/>
    <sheet name="COSTO " sheetId="2" state="hidden" r:id="rId3"/>
  </sheets>
  <definedNames>
    <definedName name="_xlnm.Print_Area" localSheetId="1">Hoja2!$A$1:$I$52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M36" i="2" l="1"/>
  <c r="O35" i="2"/>
  <c r="K19" i="4"/>
  <c r="L32" i="2"/>
  <c r="L39" i="2" s="1"/>
  <c r="M21" i="2"/>
  <c r="D41" i="2"/>
  <c r="C41" i="2"/>
  <c r="N35" i="2"/>
  <c r="M35" i="2"/>
  <c r="N24" i="2"/>
</calcChain>
</file>

<file path=xl/sharedStrings.xml><?xml version="1.0" encoding="utf-8"?>
<sst xmlns="http://schemas.openxmlformats.org/spreadsheetml/2006/main" count="448" uniqueCount="189">
  <si>
    <t>SERVICIOS DE PASTELERIA S.A.</t>
  </si>
  <si>
    <t>CÓDIGO:</t>
  </si>
  <si>
    <t>ESP-RE-FIS-004</t>
  </si>
  <si>
    <t>ESPECIFICACION DE RECETA</t>
  </si>
  <si>
    <t>REVISIÓN:</t>
  </si>
  <si>
    <t>FECHA DE APROBACIÓN:</t>
  </si>
  <si>
    <t>Elaborado</t>
  </si>
  <si>
    <t>Aprobado</t>
  </si>
  <si>
    <t>AREA QUE PRODUCE:</t>
  </si>
  <si>
    <t>Figuras</t>
  </si>
  <si>
    <t xml:space="preserve">AREA QUE EMPACA: </t>
  </si>
  <si>
    <t xml:space="preserve"># Código </t>
  </si>
  <si>
    <t># Código Netsuite</t>
  </si>
  <si>
    <t>Descripción del ingrediente</t>
  </si>
  <si>
    <t xml:space="preserve">Marca </t>
  </si>
  <si>
    <t>Unidad Internacional</t>
  </si>
  <si>
    <t>Medida alternativa</t>
  </si>
  <si>
    <t xml:space="preserve">Costo - Referencia </t>
  </si>
  <si>
    <t>Cantidad</t>
  </si>
  <si>
    <t xml:space="preserve">Unidad medida </t>
  </si>
  <si>
    <t>Colones</t>
  </si>
  <si>
    <t>Ensamble</t>
  </si>
  <si>
    <t>11400066</t>
  </si>
  <si>
    <t>MP10007</t>
  </si>
  <si>
    <t>MANJAR LECHE CONDENSADA (PAQ: 6 K)</t>
  </si>
  <si>
    <t>NESTLÉ</t>
  </si>
  <si>
    <t>g</t>
  </si>
  <si>
    <t>Para pegar</t>
  </si>
  <si>
    <t>SE00700</t>
  </si>
  <si>
    <t xml:space="preserve">ROSQUETE CHOCOLATE DAWN 120g </t>
  </si>
  <si>
    <t>FAS</t>
  </si>
  <si>
    <t>90100365</t>
  </si>
  <si>
    <t>SE00386</t>
  </si>
  <si>
    <t>TRASVASADO DE LECHE CONDENSADA COCINADA</t>
  </si>
  <si>
    <t>Decoración</t>
  </si>
  <si>
    <t/>
  </si>
  <si>
    <t>20100163</t>
  </si>
  <si>
    <t>RELLENO FUDGE SPOON (PAQ: 5000 G)</t>
  </si>
  <si>
    <t>ud</t>
  </si>
  <si>
    <t>Empaque</t>
  </si>
  <si>
    <t>51400047</t>
  </si>
  <si>
    <t>EM10288</t>
  </si>
  <si>
    <t>QUEQUERA MINI CAKE (CAJA:100 UND)</t>
  </si>
  <si>
    <t xml:space="preserve">M Y L </t>
  </si>
  <si>
    <t>EM10119</t>
  </si>
  <si>
    <t>ETIQ. GENERICA PEQUEÑA V-274 (UND)</t>
  </si>
  <si>
    <t>Etiplast</t>
  </si>
  <si>
    <t>EM10004</t>
  </si>
  <si>
    <t>ETIQ.FECHA VENCIMIENTO BLANCO (ROLLO)</t>
  </si>
  <si>
    <t>EM10011</t>
  </si>
  <si>
    <t>ETIQUETA BLANCA 2 5/8X1 15/16 (UND)</t>
  </si>
  <si>
    <t>1</t>
  </si>
  <si>
    <t>EM10135</t>
  </si>
  <si>
    <t xml:space="preserve">ETIQUETA SELLO DE SEGURIDAD (ROLLO:1000 U) </t>
  </si>
  <si>
    <t>2</t>
  </si>
  <si>
    <t>1950699</t>
  </si>
  <si>
    <t>EM10035</t>
  </si>
  <si>
    <t>BASE PARA ROSQUETE (UND)</t>
  </si>
  <si>
    <t>EM10124</t>
  </si>
  <si>
    <t>ETIQUETA BLANCA R-153 (UND)</t>
  </si>
  <si>
    <t>Unidad</t>
  </si>
  <si>
    <t>PESO TOTAL OBTENIDO</t>
  </si>
  <si>
    <t>Tiempo de Horneo:</t>
  </si>
  <si>
    <t>TIEMPO TOTAL DE PREPARACION</t>
  </si>
  <si>
    <t>min</t>
  </si>
  <si>
    <t>Horno:</t>
  </si>
  <si>
    <t>CANTIDAD DE PORCIONES OBTENIDAS</t>
  </si>
  <si>
    <t>Temperatura de Horneo:</t>
  </si>
  <si>
    <t>PESO DE CADA PORCIÓN</t>
  </si>
  <si>
    <t>Otros</t>
  </si>
  <si>
    <t>MERMA</t>
  </si>
  <si>
    <t>PROCEDIMIENTO DE PREPARACION DE LA  RECETA</t>
  </si>
  <si>
    <t>CONTROL DE CAMBIOS</t>
  </si>
  <si>
    <t>2, Se actualiza peso final y se quita etiqueta renovado</t>
  </si>
  <si>
    <t>UNIDADES</t>
  </si>
  <si>
    <t>COSTO UNITARIO</t>
  </si>
  <si>
    <t>3, Se actualiza a tulipan de chocolate</t>
  </si>
  <si>
    <t>03</t>
  </si>
  <si>
    <r>
      <rPr>
        <b/>
        <sz val="18"/>
        <rFont val="Arial"/>
        <family val="2"/>
      </rPr>
      <t xml:space="preserve">1.- </t>
    </r>
    <r>
      <rPr>
        <sz val="18"/>
        <rFont val="Arial"/>
        <family val="2"/>
      </rPr>
      <t>Cortar el mini cake por la mitad (eliminado la punta para nivelar) , rellenar con leche condensad cocinada. Hacer un circulo de manjar sobre la base para inmobilizar el quequito. Pegar el mini cake en la base.</t>
    </r>
  </si>
  <si>
    <r>
      <rPr>
        <b/>
        <sz val="18"/>
        <rFont val="Arial"/>
        <family val="2"/>
      </rPr>
      <t>2.-</t>
    </r>
    <r>
      <rPr>
        <sz val="18"/>
        <rFont val="Arial"/>
        <family val="2"/>
      </rPr>
      <t xml:space="preserve"> Con manga y la boquilla cubrir el rosquete y, de manera que se cubran todas la paredes hasta llegar al borde,decorar las paredes </t>
    </r>
  </si>
  <si>
    <t>BOQUILLA #127
 COLOCHO</t>
  </si>
  <si>
    <t>MINI CAKE CHOCOLATE UD (PTI00105) San Valentin 2026 PROVISIONAL</t>
  </si>
  <si>
    <t>Mariela Barrantes Sánchez, Chef</t>
  </si>
  <si>
    <t>Sebasian Diaz, Gte Manufactura</t>
  </si>
  <si>
    <t>MP10746</t>
  </si>
  <si>
    <t>Chocolate Corazon Rojo Pasion Mediano</t>
  </si>
  <si>
    <t>MP10888</t>
  </si>
  <si>
    <t>PERLAS PEQUEÑAS ROJAS</t>
  </si>
  <si>
    <t>1 ud</t>
  </si>
  <si>
    <r>
      <rPr>
        <b/>
        <sz val="18"/>
        <rFont val="Arial"/>
        <family val="2"/>
      </rPr>
      <t xml:space="preserve">3.- </t>
    </r>
    <r>
      <rPr>
        <sz val="18"/>
        <rFont val="Arial"/>
        <family val="2"/>
      </rPr>
      <t>Con la boquilla, realizar el colocho en el costado izquierdo como muestra la imagen.</t>
    </r>
  </si>
  <si>
    <r>
      <rPr>
        <b/>
        <sz val="18"/>
        <rFont val="Arial"/>
        <family val="2"/>
      </rPr>
      <t>4.-</t>
    </r>
    <r>
      <rPr>
        <sz val="18"/>
        <rFont val="Arial"/>
        <family val="2"/>
      </rPr>
      <t xml:space="preserve"> Colocar la confitura roja y el corazon rojo. </t>
    </r>
  </si>
  <si>
    <r>
      <rPr>
        <b/>
        <sz val="18"/>
        <rFont val="Arial"/>
        <family val="2"/>
      </rPr>
      <t xml:space="preserve">5.- </t>
    </r>
    <r>
      <rPr>
        <sz val="18"/>
        <rFont val="Arial"/>
        <family val="2"/>
      </rPr>
      <t>Tapar y etiquetar. Colocar los sellos de seguridad en lados opuestos, sobre uno de los sellos de seguridad pegar la cinta generica.  La fecha de vencimiento,  y en el lado inferior etiqueta de ingredientes.</t>
    </r>
  </si>
  <si>
    <t>4, Se actualiza decoración para San Valentin 2026</t>
  </si>
  <si>
    <t>FILTROS :</t>
  </si>
  <si>
    <t>SUBSIDIARIA</t>
  </si>
  <si>
    <t>Empresa principal : Servicios de Pastelería S.A.</t>
  </si>
  <si>
    <t>ARTÍCULO</t>
  </si>
  <si>
    <t>PTI00105 Torta Mini Cake De Chocolate Spoon</t>
  </si>
  <si>
    <t>UBICACIÓN</t>
  </si>
  <si>
    <t>Bodega Administrativa</t>
  </si>
  <si>
    <t>LISTA DE MATERIALES</t>
  </si>
  <si>
    <t>BOM PTI00105</t>
  </si>
  <si>
    <t>CONTROL DE VISUALIZACIÓN</t>
  </si>
  <si>
    <t>Por revisión</t>
  </si>
  <si>
    <t>FECHA/FECHA EFECTIVA</t>
  </si>
  <si>
    <t>01/08/2023</t>
  </si>
  <si>
    <t>REVISIÓN DE LISTA DE MATERIALES</t>
  </si>
  <si>
    <t>REV V1 BOM PTI00105</t>
  </si>
  <si>
    <t>POR RUTA DE FABRICACIÓN</t>
  </si>
  <si>
    <t>No</t>
  </si>
  <si>
    <t>RUTA DE FABRICACIÓN</t>
  </si>
  <si>
    <t>CANTIDAD DE ENSAMBLAJE</t>
  </si>
  <si>
    <t>SOLO NIVEL SUPERIOR</t>
  </si>
  <si>
    <t>Sí</t>
  </si>
  <si>
    <t>COSTO DE MATERIALES</t>
  </si>
  <si>
    <t>Según valor predeterminado de artículo</t>
  </si>
  <si>
    <t>COSTO TOTAL DE MATERIALES</t>
  </si>
  <si>
    <t>COSTO DE MATERIAL POR UNIDAD</t>
  </si>
  <si>
    <t>CRC1,204.71</t>
  </si>
  <si>
    <t>CRC1,204.71 UNIDADES</t>
  </si>
  <si>
    <t>NOMBRE DE ARTÍCULO</t>
  </si>
  <si>
    <t>NIVEL</t>
  </si>
  <si>
    <t>NOMBRE PARA MOSTRAR</t>
  </si>
  <si>
    <t>CANTIDAD</t>
  </si>
  <si>
    <t>RENDIMIENTO DE COMPONENTES</t>
  </si>
  <si>
    <t>CANTIDAD POR ENSAMBLAJE</t>
  </si>
  <si>
    <t>CANTIDAD POR ENSAMBLAJE DE NIVEL SUPERIOR</t>
  </si>
  <si>
    <t>CANTIDAD PARA ENSAMBLAR</t>
  </si>
  <si>
    <t>COSTO TOTAL</t>
  </si>
  <si>
    <t>Manjar Leche Condensada</t>
  </si>
  <si>
    <t>100%</t>
  </si>
  <si>
    <t>2.12736833</t>
  </si>
  <si>
    <t>GRAMOS</t>
  </si>
  <si>
    <t>SC-MO1</t>
  </si>
  <si>
    <t>Mano de Obra</t>
  </si>
  <si>
    <t>3.27</t>
  </si>
  <si>
    <t>77.00</t>
  </si>
  <si>
    <t>251.79</t>
  </si>
  <si>
    <t>SC-GIF1</t>
  </si>
  <si>
    <t>Gastos Indirectos Fabricación</t>
  </si>
  <si>
    <t>83.00</t>
  </si>
  <si>
    <t>271.41</t>
  </si>
  <si>
    <t>MP10133</t>
  </si>
  <si>
    <t>Chocolate Tulipan Marmol</t>
  </si>
  <si>
    <t>MP10384</t>
  </si>
  <si>
    <t>Trozos de chocolate oscuro</t>
  </si>
  <si>
    <t>Gramos</t>
  </si>
  <si>
    <t>Quequera Mini Cake</t>
  </si>
  <si>
    <t>132.129</t>
  </si>
  <si>
    <t>132.13</t>
  </si>
  <si>
    <t>Etiq. Generica Pequeña V-274</t>
  </si>
  <si>
    <t>13.45</t>
  </si>
  <si>
    <t>Etiqueta Blanca 2 5/8X1 15/16</t>
  </si>
  <si>
    <t>2.128</t>
  </si>
  <si>
    <t>2.13</t>
  </si>
  <si>
    <t>Etiqueta Sello Seguridad</t>
  </si>
  <si>
    <t>6.00</t>
  </si>
  <si>
    <t>Base Carton Para Rosquete</t>
  </si>
  <si>
    <t>0.1</t>
  </si>
  <si>
    <t>128.00</t>
  </si>
  <si>
    <t>12.80</t>
  </si>
  <si>
    <t>Etiqueta Blanca R-153</t>
  </si>
  <si>
    <t>0.39</t>
  </si>
  <si>
    <t>Etiq.Fecha Vencimiento Blanco</t>
  </si>
  <si>
    <t>0.28</t>
  </si>
  <si>
    <t>SE00337</t>
  </si>
  <si>
    <t>Empaque Fudge De Chocolate</t>
  </si>
  <si>
    <t>2,441.66546338</t>
  </si>
  <si>
    <t>KILOGRAMOS</t>
  </si>
  <si>
    <t>Trasvasado de leche condensada cocinada</t>
  </si>
  <si>
    <t>0.03</t>
  </si>
  <si>
    <t>1,957.97326525</t>
  </si>
  <si>
    <t>58.74</t>
  </si>
  <si>
    <t>SE00392</t>
  </si>
  <si>
    <t>Procesado Chocolate Rallado Oscuro</t>
  </si>
  <si>
    <t>0.003</t>
  </si>
  <si>
    <t>6,161.8384</t>
  </si>
  <si>
    <t>18.49</t>
  </si>
  <si>
    <t>Eliminado</t>
  </si>
  <si>
    <t>Rosquete Chocolate Dawn 120 g</t>
  </si>
  <si>
    <t>123.11757269</t>
  </si>
  <si>
    <t>123.12</t>
  </si>
  <si>
    <t>BOQUILLA 48</t>
  </si>
  <si>
    <r>
      <rPr>
        <b/>
        <sz val="16"/>
        <rFont val="Arial"/>
        <family val="2"/>
      </rPr>
      <t>2.-</t>
    </r>
    <r>
      <rPr>
        <sz val="16"/>
        <rFont val="Arial"/>
        <family val="2"/>
      </rPr>
      <t xml:space="preserve"> Con manga y la boquilla cubrir el rosquete y, de manera que se cubran todas la paredes hasta llegar al borde,decorar las paredes </t>
    </r>
  </si>
  <si>
    <r>
      <rPr>
        <b/>
        <sz val="16"/>
        <rFont val="Arial"/>
        <family val="2"/>
      </rPr>
      <t xml:space="preserve">3.- </t>
    </r>
    <r>
      <rPr>
        <sz val="16"/>
        <rFont val="Arial"/>
        <family val="2"/>
      </rPr>
      <t>Con la boquilla, realizar el colocho en el costado izquierdo como muestra la imagen.</t>
    </r>
  </si>
  <si>
    <r>
      <rPr>
        <b/>
        <sz val="16"/>
        <rFont val="Arial"/>
        <family val="2"/>
      </rPr>
      <t>4.-</t>
    </r>
    <r>
      <rPr>
        <sz val="16"/>
        <rFont val="Arial"/>
        <family val="2"/>
      </rPr>
      <t xml:space="preserve"> Colocar la confitura roja y el corazon rojo. </t>
    </r>
  </si>
  <si>
    <r>
      <rPr>
        <b/>
        <sz val="16"/>
        <rFont val="Arial"/>
        <family val="2"/>
      </rPr>
      <t xml:space="preserve">5.- </t>
    </r>
    <r>
      <rPr>
        <sz val="16"/>
        <rFont val="Arial"/>
        <family val="2"/>
      </rPr>
      <t>Tapar y etiquetar. Colocar los sellos de seguridad en lados opuestos, sobre uno de los sellos de seguridad pegar la cinta generica.  La fecha de vencimiento,  y en el lado inferior etiqueta de ingredientes.</t>
    </r>
  </si>
  <si>
    <r>
      <rPr>
        <b/>
        <sz val="16"/>
        <rFont val="Arial"/>
        <family val="2"/>
      </rPr>
      <t xml:space="preserve">1.- </t>
    </r>
    <r>
      <rPr>
        <sz val="16"/>
        <rFont val="Arial"/>
        <family val="2"/>
      </rPr>
      <t>Cortar el mini cake por la mitad (eliminado la punta para nivelar) , rellenar con leche condensad cocinada. Hacer un circulo de manjar sobre la base para 
inmobilizar el quequito. Pegar el mini cake en la base.</t>
    </r>
  </si>
  <si>
    <t>04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</si>
</sst>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41" formatCode="_-* #,##0_-;\-* #,##0_-;_-* &quot;-&quot;_-;_-@_-"/>
    <numFmt numFmtId="43" formatCode="_-* #,##0.00_-;\-* #,##0.00_-;_-* &quot;-&quot;??_-;_-@_-"/>
    <numFmt numFmtId="164" formatCode="0.000"/>
    <numFmt numFmtId="165" formatCode="0.0000"/>
    <numFmt numFmtId="166" formatCode="0.0"/>
  </numFmts>
  <fonts count="27" x14ac:knownFonts="1">
    <font>
      <sz val="11"/>
      <color theme="1"/>
      <name val="Calibri"/>
      <family val="2"/>
      <scheme val="minor"/>
    </font>
    <font>
      <sz val="12"/>
      <name val="Arial"/>
      <family val="2"/>
    </font>
    <font>
      <sz val="10"/>
      <name val="Century Gothic"/>
      <family val="2"/>
    </font>
    <font>
      <b/>
      <sz val="12"/>
      <name val="Century Gothic"/>
      <family val="2"/>
    </font>
    <font>
      <b/>
      <sz val="10"/>
      <name val="Century Gothic"/>
      <family val="2"/>
    </font>
    <font>
      <b/>
      <sz val="10"/>
      <color rgb="FFFF0000"/>
      <name val="Arial"/>
      <family val="2"/>
    </font>
    <font>
      <sz val="10"/>
      <name val="Arial"/>
      <family val="2"/>
    </font>
    <font>
      <sz val="10"/>
      <name val="Arial"/>
      <family val="2"/>
    </font>
    <font>
      <sz val="11"/>
      <color theme="1"/>
      <name val="Calibri"/>
      <family val="2"/>
      <scheme val="minor"/>
    </font>
    <font>
      <b/>
      <sz val="14"/>
      <name val="Arial"/>
      <family val="2"/>
    </font>
    <font>
      <sz val="8"/>
      <name val="Calibri"/>
      <family val="2"/>
      <scheme val="minor"/>
    </font>
    <font>
      <b/>
      <sz val="16"/>
      <name val="Century Gothic"/>
      <family val="2"/>
    </font>
    <font>
      <b/>
      <sz val="18"/>
      <name val="Arial"/>
      <family val="2"/>
    </font>
    <font>
      <b/>
      <sz val="18"/>
      <color indexed="8"/>
      <name val="Arial"/>
      <family val="2"/>
    </font>
    <font>
      <sz val="18"/>
      <name val="Arial"/>
      <family val="2"/>
    </font>
    <font>
      <sz val="18"/>
      <color theme="1"/>
      <name val="Arial"/>
      <family val="2"/>
    </font>
    <font>
      <sz val="18"/>
      <color indexed="8"/>
      <name val="Arial"/>
      <family val="2"/>
    </font>
    <font>
      <sz val="16"/>
      <name val="Arial"/>
      <family val="2"/>
    </font>
    <font>
      <sz val="14"/>
      <name val="Arial"/>
      <family val="2"/>
    </font>
    <font>
      <sz val="12"/>
      <name val="Century Gothic"/>
      <family val="2"/>
    </font>
    <font>
      <sz val="16"/>
      <color theme="1"/>
      <name val="Arial"/>
      <family val="2"/>
    </font>
    <font>
      <sz val="14"/>
      <color theme="1"/>
      <name val="Arial"/>
      <family val="2"/>
    </font>
    <font>
      <b/>
      <sz val="18"/>
      <name val="Century Gothic"/>
      <family val="2"/>
    </font>
    <font>
      <b/>
      <sz val="16"/>
      <name val="Arial"/>
      <family val="2"/>
    </font>
    <font>
      <b/>
      <sz val="16"/>
      <color indexed="8"/>
      <name val="Arial"/>
      <family val="2"/>
    </font>
    <font>
      <sz val="16"/>
      <color indexed="8"/>
      <name val="Arial"/>
      <family val="2"/>
    </font>
    <font>
      <b/>
      <sz val="12"/>
      <color rgb="FFFF0000"/>
      <name val="Arial"/>
      <family val="2"/>
    </font>
  </fonts>
  <fills count="10">
    <fill>
      <patternFill patternType="none"/>
    </fill>
    <fill>
      <patternFill patternType="gray125"/>
    </fill>
    <fill>
      <patternFill patternType="solid">
        <fgColor indexed="9"/>
        <bgColor indexed="64"/>
      </patternFill>
    </fill>
    <fill>
      <patternFill patternType="solid">
        <fgColor indexed="23"/>
        <bgColor indexed="64"/>
      </patternFill>
    </fill>
    <fill>
      <patternFill patternType="solid">
        <fgColor indexed="22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theme="3" tint="0.39997558519241921"/>
        <bgColor indexed="64"/>
      </patternFill>
    </fill>
  </fills>
  <borders count="49">
    <border>
      <left/>
      <right/>
      <top/>
      <bottom/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medium">
        <color indexed="64"/>
      </right>
      <top/>
      <bottom/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/>
      <top/>
      <bottom/>
      <diagonal/>
    </border>
    <border>
      <left/>
      <right/>
      <top/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/>
      <bottom/>
      <diagonal/>
    </border>
    <border>
      <left style="thin">
        <color theme="1"/>
      </left>
      <right/>
      <top style="thin">
        <color theme="1"/>
      </top>
      <bottom/>
      <diagonal/>
    </border>
    <border>
      <left/>
      <right/>
      <top style="thin">
        <color theme="1"/>
      </top>
      <bottom/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/>
      <diagonal/>
    </border>
    <border>
      <left style="thin">
        <color indexed="64"/>
      </left>
      <right/>
      <top/>
      <bottom/>
      <diagonal/>
    </border>
  </borders>
  <cellStyleXfs count="15">
    <xf numFmtId="0" fontId="0" fillId="0" borderId="0"/>
    <xf numFmtId="0" fontId="1" fillId="0" borderId="0"/>
    <xf numFmtId="0" fontId="1" fillId="0" borderId="0"/>
    <xf numFmtId="0" fontId="6" fillId="0" borderId="0"/>
    <xf numFmtId="0" fontId="7" fillId="0" borderId="0"/>
    <xf numFmtId="43" fontId="7" fillId="0" borderId="0" applyFont="0" applyFill="0" applyBorder="0" applyAlignment="0" applyProtection="0"/>
    <xf numFmtId="41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0" fontId="8" fillId="0" borderId="0"/>
    <xf numFmtId="0" fontId="6" fillId="0" borderId="0"/>
    <xf numFmtId="43" fontId="6" fillId="0" borderId="0" applyFont="0" applyFill="0" applyBorder="0" applyAlignment="0" applyProtection="0"/>
    <xf numFmtId="41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43" fontId="8" fillId="0" borderId="0" applyFont="0" applyFill="0" applyBorder="0" applyAlignment="0" applyProtection="0"/>
    <xf numFmtId="41" fontId="8" fillId="0" borderId="0" applyFont="0" applyFill="0" applyBorder="0" applyAlignment="0" applyProtection="0"/>
  </cellStyleXfs>
  <cellXfs count="322">
    <xf numFmtId="0" fontId="0" fillId="0" borderId="0" xfId="0"/>
    <xf numFmtId="0" fontId="4" fillId="2" borderId="2" xfId="1" applyFont="1" applyFill="1" applyBorder="1" applyAlignment="1">
      <alignment horizontal="right"/>
    </xf>
    <xf numFmtId="0" fontId="2" fillId="2" borderId="3" xfId="1" applyFont="1" applyFill="1" applyBorder="1" applyAlignment="1">
      <alignment horizontal="center"/>
    </xf>
    <xf numFmtId="0" fontId="4" fillId="2" borderId="6" xfId="1" applyFont="1" applyFill="1" applyBorder="1" applyAlignment="1">
      <alignment horizontal="right"/>
    </xf>
    <xf numFmtId="49" fontId="2" fillId="2" borderId="7" xfId="1" applyNumberFormat="1" applyFont="1" applyFill="1" applyBorder="1" applyAlignment="1">
      <alignment horizontal="center"/>
    </xf>
    <xf numFmtId="0" fontId="2" fillId="2" borderId="24" xfId="1" applyFont="1" applyFill="1" applyBorder="1" applyAlignment="1">
      <alignment horizontal="right"/>
    </xf>
    <xf numFmtId="0" fontId="2" fillId="2" borderId="6" xfId="1" applyFont="1" applyFill="1" applyBorder="1" applyAlignment="1">
      <alignment horizontal="right"/>
    </xf>
    <xf numFmtId="14" fontId="5" fillId="2" borderId="0" xfId="2" applyNumberFormat="1" applyFont="1" applyFill="1" applyAlignment="1">
      <alignment horizontal="center" vertical="center" wrapText="1"/>
    </xf>
    <xf numFmtId="0" fontId="4" fillId="4" borderId="3" xfId="3" applyFont="1" applyFill="1" applyBorder="1" applyAlignment="1">
      <alignment horizontal="center" vertical="center" wrapText="1"/>
    </xf>
    <xf numFmtId="1" fontId="4" fillId="4" borderId="21" xfId="3" applyNumberFormat="1" applyFont="1" applyFill="1" applyBorder="1" applyAlignment="1">
      <alignment horizontal="center"/>
    </xf>
    <xf numFmtId="1" fontId="4" fillId="4" borderId="21" xfId="3" applyNumberFormat="1" applyFont="1" applyFill="1" applyBorder="1" applyAlignment="1">
      <alignment horizontal="center" wrapText="1"/>
    </xf>
    <xf numFmtId="0" fontId="4" fillId="4" borderId="22" xfId="3" applyFont="1" applyFill="1" applyBorder="1" applyAlignment="1">
      <alignment horizontal="center"/>
    </xf>
    <xf numFmtId="0" fontId="12" fillId="0" borderId="26" xfId="3" applyFont="1" applyBorder="1" applyAlignment="1">
      <alignment horizontal="center" vertical="center"/>
    </xf>
    <xf numFmtId="0" fontId="12" fillId="0" borderId="28" xfId="3" applyFont="1" applyBorder="1" applyAlignment="1">
      <alignment horizontal="center" vertical="center"/>
    </xf>
    <xf numFmtId="0" fontId="13" fillId="0" borderId="6" xfId="3" applyFont="1" applyBorder="1" applyAlignment="1">
      <alignment vertical="center"/>
    </xf>
    <xf numFmtId="0" fontId="12" fillId="0" borderId="6" xfId="3" applyFont="1" applyBorder="1" applyAlignment="1">
      <alignment horizontal="center" vertical="center"/>
    </xf>
    <xf numFmtId="1" fontId="12" fillId="0" borderId="6" xfId="3" applyNumberFormat="1" applyFont="1" applyBorder="1" applyAlignment="1">
      <alignment horizontal="center"/>
    </xf>
    <xf numFmtId="1" fontId="12" fillId="0" borderId="6" xfId="3" applyNumberFormat="1" applyFont="1" applyBorder="1" applyAlignment="1">
      <alignment horizontal="center" wrapText="1"/>
    </xf>
    <xf numFmtId="0" fontId="14" fillId="0" borderId="7" xfId="3" applyFont="1" applyBorder="1" applyAlignment="1">
      <alignment horizontal="center"/>
    </xf>
    <xf numFmtId="49" fontId="14" fillId="5" borderId="26" xfId="0" applyNumberFormat="1" applyFont="1" applyFill="1" applyBorder="1" applyAlignment="1">
      <alignment horizontal="center" vertical="center"/>
    </xf>
    <xf numFmtId="49" fontId="14" fillId="5" borderId="28" xfId="0" applyNumberFormat="1" applyFont="1" applyFill="1" applyBorder="1" applyAlignment="1">
      <alignment horizontal="center" vertical="center"/>
    </xf>
    <xf numFmtId="49" fontId="14" fillId="5" borderId="6" xfId="0" applyNumberFormat="1" applyFont="1" applyFill="1" applyBorder="1" applyAlignment="1">
      <alignment vertical="center"/>
    </xf>
    <xf numFmtId="0" fontId="14" fillId="5" borderId="6" xfId="0" applyFont="1" applyFill="1" applyBorder="1" applyAlignment="1">
      <alignment horizontal="center" vertical="center"/>
    </xf>
    <xf numFmtId="49" fontId="14" fillId="0" borderId="6" xfId="0" applyNumberFormat="1" applyFont="1" applyBorder="1" applyAlignment="1">
      <alignment horizontal="center" vertical="center"/>
    </xf>
    <xf numFmtId="1" fontId="14" fillId="0" borderId="6" xfId="0" applyNumberFormat="1" applyFont="1" applyBorder="1" applyAlignment="1">
      <alignment horizontal="center"/>
    </xf>
    <xf numFmtId="0" fontId="14" fillId="0" borderId="6" xfId="0" applyFont="1" applyBorder="1" applyAlignment="1">
      <alignment horizontal="center"/>
    </xf>
    <xf numFmtId="1" fontId="14" fillId="0" borderId="24" xfId="3" applyNumberFormat="1" applyFont="1" applyBorder="1" applyAlignment="1">
      <alignment horizontal="center" vertical="center"/>
    </xf>
    <xf numFmtId="0" fontId="14" fillId="5" borderId="6" xfId="0" applyFont="1" applyFill="1" applyBorder="1" applyAlignment="1">
      <alignment horizontal="center"/>
    </xf>
    <xf numFmtId="49" fontId="14" fillId="0" borderId="6" xfId="0" applyNumberFormat="1" applyFont="1" applyBorder="1" applyAlignment="1">
      <alignment horizontal="center"/>
    </xf>
    <xf numFmtId="0" fontId="15" fillId="0" borderId="6" xfId="8" applyFont="1" applyBorder="1" applyAlignment="1">
      <alignment horizontal="center"/>
    </xf>
    <xf numFmtId="0" fontId="15" fillId="0" borderId="6" xfId="0" applyFont="1" applyBorder="1" applyAlignment="1">
      <alignment horizontal="center"/>
    </xf>
    <xf numFmtId="0" fontId="15" fillId="0" borderId="6" xfId="0" applyFont="1" applyBorder="1"/>
    <xf numFmtId="0" fontId="14" fillId="0" borderId="28" xfId="0" applyFont="1" applyBorder="1" applyAlignment="1">
      <alignment horizontal="center"/>
    </xf>
    <xf numFmtId="1" fontId="14" fillId="0" borderId="6" xfId="0" applyNumberFormat="1" applyFont="1" applyBorder="1" applyAlignment="1">
      <alignment horizontal="center" wrapText="1"/>
    </xf>
    <xf numFmtId="49" fontId="14" fillId="0" borderId="26" xfId="0" applyNumberFormat="1" applyFont="1" applyBorder="1" applyAlignment="1">
      <alignment horizontal="center"/>
    </xf>
    <xf numFmtId="49" fontId="14" fillId="0" borderId="28" xfId="0" applyNumberFormat="1" applyFont="1" applyBorder="1" applyAlignment="1">
      <alignment horizontal="center"/>
    </xf>
    <xf numFmtId="49" fontId="14" fillId="0" borderId="6" xfId="0" applyNumberFormat="1" applyFont="1" applyBorder="1"/>
    <xf numFmtId="0" fontId="15" fillId="0" borderId="43" xfId="0" applyFont="1" applyBorder="1" applyAlignment="1">
      <alignment horizontal="center" vertical="center"/>
    </xf>
    <xf numFmtId="0" fontId="15" fillId="0" borderId="44" xfId="0" applyFont="1" applyBorder="1" applyAlignment="1">
      <alignment horizontal="center" vertical="center"/>
    </xf>
    <xf numFmtId="0" fontId="15" fillId="0" borderId="44" xfId="0" applyFont="1" applyBorder="1" applyAlignment="1">
      <alignment horizontal="left" vertical="center"/>
    </xf>
    <xf numFmtId="165" fontId="14" fillId="0" borderId="24" xfId="0" applyNumberFormat="1" applyFont="1" applyBorder="1" applyAlignment="1">
      <alignment horizontal="center" wrapText="1"/>
    </xf>
    <xf numFmtId="0" fontId="15" fillId="0" borderId="6" xfId="0" applyFont="1" applyBorder="1" applyAlignment="1">
      <alignment horizontal="center" vertical="center"/>
    </xf>
    <xf numFmtId="0" fontId="15" fillId="0" borderId="6" xfId="0" applyFont="1" applyBorder="1" applyAlignment="1">
      <alignment horizontal="left" vertical="center"/>
    </xf>
    <xf numFmtId="0" fontId="12" fillId="0" borderId="6" xfId="0" applyFont="1" applyBorder="1" applyAlignment="1">
      <alignment horizontal="center"/>
    </xf>
    <xf numFmtId="1" fontId="12" fillId="0" borderId="6" xfId="0" applyNumberFormat="1" applyFont="1" applyBorder="1" applyAlignment="1">
      <alignment horizontal="center"/>
    </xf>
    <xf numFmtId="1" fontId="12" fillId="0" borderId="6" xfId="0" applyNumberFormat="1" applyFont="1" applyBorder="1" applyAlignment="1">
      <alignment horizontal="center" wrapText="1"/>
    </xf>
    <xf numFmtId="16" fontId="14" fillId="0" borderId="6" xfId="3" applyNumberFormat="1" applyFont="1" applyBorder="1" applyAlignment="1">
      <alignment horizontal="center"/>
    </xf>
    <xf numFmtId="1" fontId="14" fillId="0" borderId="0" xfId="3" applyNumberFormat="1" applyFont="1" applyAlignment="1">
      <alignment horizontal="center"/>
    </xf>
    <xf numFmtId="1" fontId="14" fillId="0" borderId="0" xfId="3" applyNumberFormat="1" applyFont="1" applyAlignment="1">
      <alignment horizontal="center" wrapText="1"/>
    </xf>
    <xf numFmtId="2" fontId="14" fillId="0" borderId="24" xfId="3" applyNumberFormat="1" applyFont="1" applyBorder="1" applyAlignment="1">
      <alignment horizontal="center"/>
    </xf>
    <xf numFmtId="0" fontId="15" fillId="5" borderId="6" xfId="0" applyFont="1" applyFill="1" applyBorder="1"/>
    <xf numFmtId="1" fontId="14" fillId="0" borderId="6" xfId="3" applyNumberFormat="1" applyFont="1" applyBorder="1" applyAlignment="1">
      <alignment horizontal="center"/>
    </xf>
    <xf numFmtId="1" fontId="14" fillId="0" borderId="6" xfId="3" applyNumberFormat="1" applyFont="1" applyBorder="1" applyAlignment="1">
      <alignment horizontal="center" wrapText="1"/>
    </xf>
    <xf numFmtId="0" fontId="14" fillId="0" borderId="24" xfId="3" applyFont="1" applyBorder="1" applyAlignment="1">
      <alignment horizontal="center"/>
    </xf>
    <xf numFmtId="49" fontId="14" fillId="0" borderId="26" xfId="3" applyNumberFormat="1" applyFont="1" applyBorder="1" applyAlignment="1">
      <alignment horizontal="center"/>
    </xf>
    <xf numFmtId="49" fontId="14" fillId="0" borderId="28" xfId="3" applyNumberFormat="1" applyFont="1" applyBorder="1" applyAlignment="1">
      <alignment horizontal="center"/>
    </xf>
    <xf numFmtId="0" fontId="12" fillId="5" borderId="6" xfId="3" applyFont="1" applyFill="1" applyBorder="1" applyAlignment="1">
      <alignment horizontal="left"/>
    </xf>
    <xf numFmtId="0" fontId="14" fillId="0" borderId="6" xfId="3" applyFont="1" applyBorder="1" applyAlignment="1">
      <alignment horizontal="center"/>
    </xf>
    <xf numFmtId="166" fontId="14" fillId="0" borderId="6" xfId="3" applyNumberFormat="1" applyFont="1" applyBorder="1" applyAlignment="1">
      <alignment horizontal="center"/>
    </xf>
    <xf numFmtId="16" fontId="14" fillId="0" borderId="6" xfId="0" applyNumberFormat="1" applyFont="1" applyBorder="1" applyAlignment="1">
      <alignment horizontal="center"/>
    </xf>
    <xf numFmtId="1" fontId="14" fillId="0" borderId="6" xfId="9" applyNumberFormat="1" applyFont="1" applyBorder="1" applyAlignment="1">
      <alignment horizontal="center"/>
    </xf>
    <xf numFmtId="1" fontId="14" fillId="0" borderId="6" xfId="9" applyNumberFormat="1" applyFont="1" applyBorder="1" applyAlignment="1">
      <alignment horizontal="center" wrapText="1"/>
    </xf>
    <xf numFmtId="49" fontId="12" fillId="0" borderId="31" xfId="3" applyNumberFormat="1" applyFont="1" applyBorder="1" applyAlignment="1">
      <alignment horizontal="center"/>
    </xf>
    <xf numFmtId="49" fontId="12" fillId="0" borderId="29" xfId="3" applyNumberFormat="1" applyFont="1" applyBorder="1" applyAlignment="1">
      <alignment horizontal="center"/>
    </xf>
    <xf numFmtId="0" fontId="13" fillId="5" borderId="6" xfId="3" applyFont="1" applyFill="1" applyBorder="1" applyAlignment="1">
      <alignment vertical="center"/>
    </xf>
    <xf numFmtId="0" fontId="12" fillId="0" borderId="28" xfId="3" applyFont="1" applyBorder="1" applyAlignment="1">
      <alignment horizontal="center"/>
    </xf>
    <xf numFmtId="49" fontId="14" fillId="5" borderId="6" xfId="0" applyNumberFormat="1" applyFont="1" applyFill="1" applyBorder="1" applyAlignment="1">
      <alignment horizontal="center" vertical="center"/>
    </xf>
    <xf numFmtId="49" fontId="14" fillId="0" borderId="6" xfId="3" applyNumberFormat="1" applyFont="1" applyBorder="1" applyAlignment="1">
      <alignment horizontal="center"/>
    </xf>
    <xf numFmtId="49" fontId="14" fillId="0" borderId="26" xfId="0" applyNumberFormat="1" applyFont="1" applyBorder="1" applyAlignment="1">
      <alignment horizontal="center" vertical="center"/>
    </xf>
    <xf numFmtId="49" fontId="14" fillId="0" borderId="28" xfId="0" applyNumberFormat="1" applyFont="1" applyBorder="1" applyAlignment="1">
      <alignment horizontal="center" vertical="center"/>
    </xf>
    <xf numFmtId="49" fontId="14" fillId="0" borderId="6" xfId="0" applyNumberFormat="1" applyFont="1" applyBorder="1" applyAlignment="1">
      <alignment vertical="center"/>
    </xf>
    <xf numFmtId="0" fontId="14" fillId="0" borderId="6" xfId="0" applyFont="1" applyBorder="1" applyAlignment="1">
      <alignment horizontal="center" vertical="center"/>
    </xf>
    <xf numFmtId="2" fontId="14" fillId="0" borderId="6" xfId="3" applyNumberFormat="1" applyFont="1" applyBorder="1" applyAlignment="1">
      <alignment horizontal="center"/>
    </xf>
    <xf numFmtId="49" fontId="14" fillId="0" borderId="24" xfId="3" applyNumberFormat="1" applyFont="1" applyBorder="1" applyAlignment="1">
      <alignment horizontal="center"/>
    </xf>
    <xf numFmtId="12" fontId="14" fillId="0" borderId="6" xfId="3" applyNumberFormat="1" applyFont="1" applyBorder="1" applyAlignment="1">
      <alignment horizontal="center"/>
    </xf>
    <xf numFmtId="1" fontId="14" fillId="0" borderId="24" xfId="0" applyNumberFormat="1" applyFont="1" applyBorder="1" applyAlignment="1">
      <alignment horizontal="center" wrapText="1"/>
    </xf>
    <xf numFmtId="0" fontId="15" fillId="0" borderId="0" xfId="0" applyFont="1" applyAlignment="1">
      <alignment horizontal="center"/>
    </xf>
    <xf numFmtId="49" fontId="14" fillId="0" borderId="6" xfId="3" applyNumberFormat="1" applyFont="1" applyBorder="1"/>
    <xf numFmtId="49" fontId="16" fillId="2" borderId="38" xfId="3" applyNumberFormat="1" applyFont="1" applyFill="1" applyBorder="1" applyAlignment="1">
      <alignment horizontal="center" vertical="center"/>
    </xf>
    <xf numFmtId="49" fontId="16" fillId="2" borderId="0" xfId="3" applyNumberFormat="1" applyFont="1" applyFill="1" applyAlignment="1">
      <alignment horizontal="center" vertical="center"/>
    </xf>
    <xf numFmtId="0" fontId="14" fillId="2" borderId="0" xfId="3" applyFont="1" applyFill="1"/>
    <xf numFmtId="1" fontId="14" fillId="2" borderId="0" xfId="3" applyNumberFormat="1" applyFont="1" applyFill="1" applyAlignment="1">
      <alignment horizontal="center"/>
    </xf>
    <xf numFmtId="164" fontId="14" fillId="2" borderId="0" xfId="3" applyNumberFormat="1" applyFont="1" applyFill="1" applyAlignment="1">
      <alignment horizontal="center" wrapText="1"/>
    </xf>
    <xf numFmtId="0" fontId="14" fillId="2" borderId="42" xfId="3" applyFont="1" applyFill="1" applyBorder="1" applyAlignment="1">
      <alignment horizontal="center"/>
    </xf>
    <xf numFmtId="0" fontId="14" fillId="4" borderId="32" xfId="3" applyFont="1" applyFill="1" applyBorder="1" applyAlignment="1">
      <alignment horizontal="center"/>
    </xf>
    <xf numFmtId="0" fontId="14" fillId="4" borderId="33" xfId="3" applyFont="1" applyFill="1" applyBorder="1" applyAlignment="1">
      <alignment horizontal="center"/>
    </xf>
    <xf numFmtId="0" fontId="14" fillId="4" borderId="33" xfId="3" applyFont="1" applyFill="1" applyBorder="1"/>
    <xf numFmtId="0" fontId="12" fillId="4" borderId="33" xfId="3" applyFont="1" applyFill="1" applyBorder="1" applyAlignment="1">
      <alignment horizontal="center"/>
    </xf>
    <xf numFmtId="1" fontId="12" fillId="4" borderId="33" xfId="3" applyNumberFormat="1" applyFont="1" applyFill="1" applyBorder="1" applyAlignment="1">
      <alignment horizontal="center"/>
    </xf>
    <xf numFmtId="164" fontId="14" fillId="4" borderId="33" xfId="3" applyNumberFormat="1" applyFont="1" applyFill="1" applyBorder="1" applyAlignment="1">
      <alignment horizontal="center" wrapText="1"/>
    </xf>
    <xf numFmtId="0" fontId="14" fillId="4" borderId="34" xfId="3" applyFont="1" applyFill="1" applyBorder="1" applyAlignment="1">
      <alignment horizontal="center"/>
    </xf>
    <xf numFmtId="1" fontId="14" fillId="0" borderId="24" xfId="0" applyNumberFormat="1" applyFont="1" applyBorder="1" applyAlignment="1">
      <alignment horizontal="center"/>
    </xf>
    <xf numFmtId="0" fontId="14" fillId="0" borderId="35" xfId="0" applyFont="1" applyBorder="1" applyAlignment="1">
      <alignment horizontal="center"/>
    </xf>
    <xf numFmtId="1" fontId="14" fillId="0" borderId="21" xfId="0" applyNumberFormat="1" applyFont="1" applyBorder="1" applyAlignment="1">
      <alignment horizontal="center"/>
    </xf>
    <xf numFmtId="0" fontId="14" fillId="0" borderId="21" xfId="0" applyFont="1" applyBorder="1" applyAlignment="1">
      <alignment horizontal="center"/>
    </xf>
    <xf numFmtId="2" fontId="18" fillId="0" borderId="24" xfId="3" applyNumberFormat="1" applyFont="1" applyBorder="1" applyAlignment="1">
      <alignment horizontal="center" wrapText="1"/>
    </xf>
    <xf numFmtId="0" fontId="20" fillId="0" borderId="0" xfId="0" applyFont="1"/>
    <xf numFmtId="0" fontId="18" fillId="5" borderId="6" xfId="0" applyFont="1" applyFill="1" applyBorder="1" applyAlignment="1">
      <alignment horizontal="center"/>
    </xf>
    <xf numFmtId="49" fontId="18" fillId="0" borderId="6" xfId="0" applyNumberFormat="1" applyFont="1" applyBorder="1" applyAlignment="1">
      <alignment horizontal="center"/>
    </xf>
    <xf numFmtId="1" fontId="18" fillId="0" borderId="6" xfId="0" applyNumberFormat="1" applyFont="1" applyBorder="1" applyAlignment="1">
      <alignment horizontal="center"/>
    </xf>
    <xf numFmtId="49" fontId="18" fillId="5" borderId="6" xfId="0" applyNumberFormat="1" applyFont="1" applyFill="1" applyBorder="1" applyAlignment="1">
      <alignment horizontal="center"/>
    </xf>
    <xf numFmtId="0" fontId="21" fillId="0" borderId="0" xfId="0" applyFont="1"/>
    <xf numFmtId="1" fontId="18" fillId="5" borderId="6" xfId="0" applyNumberFormat="1" applyFont="1" applyFill="1" applyBorder="1" applyAlignment="1">
      <alignment horizontal="center"/>
    </xf>
    <xf numFmtId="1" fontId="18" fillId="0" borderId="6" xfId="0" applyNumberFormat="1" applyFont="1" applyBorder="1" applyAlignment="1">
      <alignment horizontal="center" wrapText="1"/>
    </xf>
    <xf numFmtId="1" fontId="18" fillId="0" borderId="6" xfId="0" applyNumberFormat="1" applyFont="1" applyBorder="1"/>
    <xf numFmtId="0" fontId="21" fillId="0" borderId="6" xfId="0" applyFont="1" applyBorder="1" applyAlignment="1">
      <alignment horizontal="center"/>
    </xf>
    <xf numFmtId="0" fontId="18" fillId="0" borderId="6" xfId="0" applyFont="1" applyBorder="1" applyAlignment="1">
      <alignment horizontal="center" vertical="center"/>
    </xf>
    <xf numFmtId="0" fontId="18" fillId="0" borderId="6" xfId="0" applyFont="1" applyBorder="1" applyAlignment="1">
      <alignment horizontal="left" vertical="center"/>
    </xf>
    <xf numFmtId="1" fontId="18" fillId="0" borderId="6" xfId="0" applyNumberFormat="1" applyFont="1" applyBorder="1" applyAlignment="1">
      <alignment horizontal="center" vertical="center"/>
    </xf>
    <xf numFmtId="1" fontId="18" fillId="0" borderId="6" xfId="0" applyNumberFormat="1" applyFont="1" applyBorder="1" applyAlignment="1">
      <alignment horizontal="center" vertical="center" wrapText="1"/>
    </xf>
    <xf numFmtId="1" fontId="9" fillId="0" borderId="6" xfId="3" applyNumberFormat="1" applyFont="1" applyBorder="1" applyAlignment="1">
      <alignment horizontal="center"/>
    </xf>
    <xf numFmtId="0" fontId="18" fillId="0" borderId="24" xfId="3" applyFont="1" applyBorder="1" applyAlignment="1">
      <alignment horizontal="center"/>
    </xf>
    <xf numFmtId="0" fontId="21" fillId="0" borderId="0" xfId="0" applyFont="1" applyAlignment="1">
      <alignment horizontal="center"/>
    </xf>
    <xf numFmtId="0" fontId="0" fillId="7" borderId="0" xfId="0" applyFill="1"/>
    <xf numFmtId="0" fontId="0" fillId="0" borderId="0" xfId="0" applyAlignment="1">
      <alignment horizontal="left"/>
    </xf>
    <xf numFmtId="0" fontId="0" fillId="8" borderId="0" xfId="0" applyFill="1"/>
    <xf numFmtId="49" fontId="14" fillId="8" borderId="28" xfId="0" applyNumberFormat="1" applyFont="1" applyFill="1" applyBorder="1" applyAlignment="1">
      <alignment horizontal="center" vertical="center"/>
    </xf>
    <xf numFmtId="49" fontId="14" fillId="8" borderId="6" xfId="0" applyNumberFormat="1" applyFont="1" applyFill="1" applyBorder="1" applyAlignment="1">
      <alignment vertical="center"/>
    </xf>
    <xf numFmtId="0" fontId="15" fillId="8" borderId="0" xfId="0" applyFont="1" applyFill="1"/>
    <xf numFmtId="49" fontId="18" fillId="8" borderId="26" xfId="0" applyNumberFormat="1" applyFont="1" applyFill="1" applyBorder="1" applyAlignment="1">
      <alignment horizontal="center" vertical="center"/>
    </xf>
    <xf numFmtId="49" fontId="18" fillId="8" borderId="28" xfId="0" applyNumberFormat="1" applyFont="1" applyFill="1" applyBorder="1" applyAlignment="1">
      <alignment horizontal="center" vertical="center"/>
    </xf>
    <xf numFmtId="0" fontId="21" fillId="8" borderId="6" xfId="0" applyFont="1" applyFill="1" applyBorder="1"/>
    <xf numFmtId="0" fontId="18" fillId="8" borderId="6" xfId="0" applyFont="1" applyFill="1" applyBorder="1" applyAlignment="1">
      <alignment horizontal="center" vertical="center"/>
    </xf>
    <xf numFmtId="0" fontId="18" fillId="8" borderId="6" xfId="0" applyFont="1" applyFill="1" applyBorder="1" applyAlignment="1">
      <alignment horizontal="center"/>
    </xf>
    <xf numFmtId="0" fontId="0" fillId="9" borderId="0" xfId="0" applyFill="1"/>
    <xf numFmtId="0" fontId="0" fillId="9" borderId="0" xfId="0" applyFill="1" applyAlignment="1">
      <alignment horizontal="left"/>
    </xf>
    <xf numFmtId="9" fontId="0" fillId="0" borderId="0" xfId="0" applyNumberFormat="1" applyAlignment="1">
      <alignment horizontal="left"/>
    </xf>
    <xf numFmtId="0" fontId="17" fillId="0" borderId="6" xfId="0" applyFont="1" applyBorder="1" applyAlignment="1">
      <alignment horizontal="center" vertical="center"/>
    </xf>
    <xf numFmtId="0" fontId="17" fillId="0" borderId="6" xfId="0" applyFont="1" applyBorder="1" applyAlignment="1">
      <alignment horizontal="center"/>
    </xf>
    <xf numFmtId="49" fontId="17" fillId="0" borderId="6" xfId="0" applyNumberFormat="1" applyFont="1" applyBorder="1" applyAlignment="1">
      <alignment horizontal="center"/>
    </xf>
    <xf numFmtId="2" fontId="17" fillId="0" borderId="24" xfId="3" applyNumberFormat="1" applyFont="1" applyBorder="1" applyAlignment="1">
      <alignment horizontal="center"/>
    </xf>
    <xf numFmtId="0" fontId="23" fillId="0" borderId="26" xfId="3" applyFont="1" applyBorder="1" applyAlignment="1">
      <alignment horizontal="center" vertical="center"/>
    </xf>
    <xf numFmtId="0" fontId="23" fillId="0" borderId="28" xfId="3" applyFont="1" applyBorder="1" applyAlignment="1">
      <alignment horizontal="center" vertical="center"/>
    </xf>
    <xf numFmtId="0" fontId="24" fillId="0" borderId="6" xfId="3" applyFont="1" applyBorder="1" applyAlignment="1">
      <alignment vertical="center"/>
    </xf>
    <xf numFmtId="0" fontId="23" fillId="0" borderId="6" xfId="3" applyFont="1" applyBorder="1" applyAlignment="1">
      <alignment horizontal="center" vertical="center"/>
    </xf>
    <xf numFmtId="1" fontId="23" fillId="0" borderId="6" xfId="3" applyNumberFormat="1" applyFont="1" applyBorder="1" applyAlignment="1">
      <alignment horizontal="center"/>
    </xf>
    <xf numFmtId="1" fontId="23" fillId="0" borderId="6" xfId="3" applyNumberFormat="1" applyFont="1" applyBorder="1" applyAlignment="1">
      <alignment horizontal="center" wrapText="1"/>
    </xf>
    <xf numFmtId="0" fontId="17" fillId="0" borderId="7" xfId="3" applyFont="1" applyBorder="1" applyAlignment="1">
      <alignment horizontal="center"/>
    </xf>
    <xf numFmtId="49" fontId="17" fillId="0" borderId="26" xfId="0" applyNumberFormat="1" applyFont="1" applyBorder="1" applyAlignment="1">
      <alignment horizontal="center" vertical="center"/>
    </xf>
    <xf numFmtId="49" fontId="17" fillId="0" borderId="28" xfId="0" applyNumberFormat="1" applyFont="1" applyBorder="1" applyAlignment="1">
      <alignment horizontal="center" vertical="center"/>
    </xf>
    <xf numFmtId="49" fontId="17" fillId="0" borderId="6" xfId="0" applyNumberFormat="1" applyFont="1" applyBorder="1" applyAlignment="1">
      <alignment vertical="center"/>
    </xf>
    <xf numFmtId="49" fontId="17" fillId="0" borderId="6" xfId="0" applyNumberFormat="1" applyFont="1" applyBorder="1" applyAlignment="1">
      <alignment horizontal="center" vertical="center"/>
    </xf>
    <xf numFmtId="1" fontId="17" fillId="0" borderId="6" xfId="0" applyNumberFormat="1" applyFont="1" applyBorder="1" applyAlignment="1">
      <alignment horizontal="center"/>
    </xf>
    <xf numFmtId="1" fontId="17" fillId="0" borderId="24" xfId="3" applyNumberFormat="1" applyFont="1" applyBorder="1" applyAlignment="1">
      <alignment horizontal="center" vertical="center"/>
    </xf>
    <xf numFmtId="0" fontId="20" fillId="0" borderId="6" xfId="8" applyFont="1" applyBorder="1" applyAlignment="1">
      <alignment horizontal="center"/>
    </xf>
    <xf numFmtId="0" fontId="20" fillId="0" borderId="6" xfId="0" applyFont="1" applyBorder="1" applyAlignment="1">
      <alignment horizontal="center"/>
    </xf>
    <xf numFmtId="0" fontId="20" fillId="0" borderId="6" xfId="0" applyFont="1" applyBorder="1"/>
    <xf numFmtId="0" fontId="17" fillId="0" borderId="28" xfId="0" applyFont="1" applyBorder="1" applyAlignment="1">
      <alignment horizontal="center"/>
    </xf>
    <xf numFmtId="1" fontId="17" fillId="0" borderId="6" xfId="0" applyNumberFormat="1" applyFont="1" applyBorder="1" applyAlignment="1">
      <alignment horizontal="center" wrapText="1"/>
    </xf>
    <xf numFmtId="165" fontId="17" fillId="0" borderId="24" xfId="0" applyNumberFormat="1" applyFont="1" applyBorder="1" applyAlignment="1">
      <alignment horizontal="center" wrapText="1"/>
    </xf>
    <xf numFmtId="0" fontId="20" fillId="0" borderId="6" xfId="0" applyFont="1" applyBorder="1" applyAlignment="1">
      <alignment horizontal="center" vertical="center"/>
    </xf>
    <xf numFmtId="0" fontId="20" fillId="0" borderId="6" xfId="0" applyFont="1" applyBorder="1" applyAlignment="1">
      <alignment horizontal="left" vertical="center"/>
    </xf>
    <xf numFmtId="0" fontId="23" fillId="0" borderId="6" xfId="0" applyFont="1" applyBorder="1" applyAlignment="1">
      <alignment horizontal="center"/>
    </xf>
    <xf numFmtId="1" fontId="23" fillId="0" borderId="6" xfId="0" applyNumberFormat="1" applyFont="1" applyBorder="1" applyAlignment="1">
      <alignment horizontal="center"/>
    </xf>
    <xf numFmtId="1" fontId="23" fillId="0" borderId="6" xfId="0" applyNumberFormat="1" applyFont="1" applyBorder="1" applyAlignment="1">
      <alignment horizontal="center" wrapText="1"/>
    </xf>
    <xf numFmtId="16" fontId="17" fillId="0" borderId="6" xfId="3" applyNumberFormat="1" applyFont="1" applyBorder="1" applyAlignment="1">
      <alignment horizontal="center"/>
    </xf>
    <xf numFmtId="1" fontId="17" fillId="0" borderId="0" xfId="3" applyNumberFormat="1" applyFont="1" applyAlignment="1">
      <alignment horizontal="center"/>
    </xf>
    <xf numFmtId="1" fontId="17" fillId="0" borderId="0" xfId="3" applyNumberFormat="1" applyFont="1" applyAlignment="1">
      <alignment horizontal="center" wrapText="1"/>
    </xf>
    <xf numFmtId="1" fontId="17" fillId="0" borderId="6" xfId="3" applyNumberFormat="1" applyFont="1" applyBorder="1" applyAlignment="1">
      <alignment horizontal="center"/>
    </xf>
    <xf numFmtId="1" fontId="17" fillId="0" borderId="6" xfId="3" applyNumberFormat="1" applyFont="1" applyBorder="1" applyAlignment="1">
      <alignment horizontal="center" wrapText="1"/>
    </xf>
    <xf numFmtId="0" fontId="17" fillId="0" borderId="24" xfId="3" applyFont="1" applyBorder="1" applyAlignment="1">
      <alignment horizontal="center"/>
    </xf>
    <xf numFmtId="49" fontId="17" fillId="0" borderId="26" xfId="3" applyNumberFormat="1" applyFont="1" applyBorder="1" applyAlignment="1">
      <alignment horizontal="center"/>
    </xf>
    <xf numFmtId="49" fontId="17" fillId="0" borderId="28" xfId="3" applyNumberFormat="1" applyFont="1" applyBorder="1" applyAlignment="1">
      <alignment horizontal="center"/>
    </xf>
    <xf numFmtId="0" fontId="23" fillId="0" borderId="6" xfId="3" applyFont="1" applyBorder="1" applyAlignment="1">
      <alignment horizontal="left"/>
    </xf>
    <xf numFmtId="0" fontId="17" fillId="0" borderId="6" xfId="3" applyFont="1" applyBorder="1" applyAlignment="1">
      <alignment horizontal="center"/>
    </xf>
    <xf numFmtId="166" fontId="17" fillId="0" borderId="6" xfId="3" applyNumberFormat="1" applyFont="1" applyBorder="1" applyAlignment="1">
      <alignment horizontal="center"/>
    </xf>
    <xf numFmtId="2" fontId="17" fillId="0" borderId="24" xfId="3" applyNumberFormat="1" applyFont="1" applyBorder="1" applyAlignment="1">
      <alignment horizontal="center" wrapText="1"/>
    </xf>
    <xf numFmtId="0" fontId="20" fillId="0" borderId="0" xfId="0" applyFont="1" applyAlignment="1">
      <alignment horizontal="center"/>
    </xf>
    <xf numFmtId="1" fontId="17" fillId="0" borderId="6" xfId="0" applyNumberFormat="1" applyFont="1" applyBorder="1"/>
    <xf numFmtId="0" fontId="17" fillId="0" borderId="6" xfId="0" applyFont="1" applyBorder="1" applyAlignment="1">
      <alignment horizontal="left" vertical="center"/>
    </xf>
    <xf numFmtId="1" fontId="17" fillId="0" borderId="6" xfId="0" applyNumberFormat="1" applyFont="1" applyBorder="1" applyAlignment="1">
      <alignment horizontal="center" vertical="center"/>
    </xf>
    <xf numFmtId="1" fontId="17" fillId="0" borderId="6" xfId="0" applyNumberFormat="1" applyFont="1" applyBorder="1" applyAlignment="1">
      <alignment horizontal="center" vertical="center" wrapText="1"/>
    </xf>
    <xf numFmtId="16" fontId="17" fillId="0" borderId="6" xfId="0" applyNumberFormat="1" applyFont="1" applyBorder="1" applyAlignment="1">
      <alignment horizontal="center"/>
    </xf>
    <xf numFmtId="1" fontId="17" fillId="0" borderId="6" xfId="9" applyNumberFormat="1" applyFont="1" applyBorder="1" applyAlignment="1">
      <alignment horizontal="center"/>
    </xf>
    <xf numFmtId="1" fontId="17" fillId="0" borderId="6" xfId="9" applyNumberFormat="1" applyFont="1" applyBorder="1" applyAlignment="1">
      <alignment horizontal="center" wrapText="1"/>
    </xf>
    <xf numFmtId="49" fontId="23" fillId="0" borderId="31" xfId="3" applyNumberFormat="1" applyFont="1" applyBorder="1" applyAlignment="1">
      <alignment horizontal="center"/>
    </xf>
    <xf numFmtId="49" fontId="23" fillId="0" borderId="29" xfId="3" applyNumberFormat="1" applyFont="1" applyBorder="1" applyAlignment="1">
      <alignment horizontal="center"/>
    </xf>
    <xf numFmtId="0" fontId="23" fillId="0" borderId="28" xfId="3" applyFont="1" applyBorder="1" applyAlignment="1">
      <alignment horizontal="center"/>
    </xf>
    <xf numFmtId="49" fontId="17" fillId="0" borderId="6" xfId="3" applyNumberFormat="1" applyFont="1" applyBorder="1" applyAlignment="1">
      <alignment horizontal="center"/>
    </xf>
    <xf numFmtId="2" fontId="17" fillId="0" borderId="6" xfId="3" applyNumberFormat="1" applyFont="1" applyBorder="1" applyAlignment="1">
      <alignment horizontal="center"/>
    </xf>
    <xf numFmtId="49" fontId="17" fillId="0" borderId="24" xfId="3" applyNumberFormat="1" applyFont="1" applyBorder="1" applyAlignment="1">
      <alignment horizontal="center"/>
    </xf>
    <xf numFmtId="12" fontId="17" fillId="0" borderId="6" xfId="3" applyNumberFormat="1" applyFont="1" applyBorder="1" applyAlignment="1">
      <alignment horizontal="center"/>
    </xf>
    <xf numFmtId="1" fontId="17" fillId="0" borderId="24" xfId="0" applyNumberFormat="1" applyFont="1" applyBorder="1" applyAlignment="1">
      <alignment horizontal="center" wrapText="1"/>
    </xf>
    <xf numFmtId="49" fontId="17" fillId="0" borderId="6" xfId="3" applyNumberFormat="1" applyFont="1" applyBorder="1"/>
    <xf numFmtId="49" fontId="25" fillId="0" borderId="38" xfId="3" applyNumberFormat="1" applyFont="1" applyBorder="1" applyAlignment="1">
      <alignment horizontal="center" vertical="center"/>
    </xf>
    <xf numFmtId="49" fontId="25" fillId="0" borderId="0" xfId="3" applyNumberFormat="1" applyFont="1" applyAlignment="1">
      <alignment horizontal="center" vertical="center"/>
    </xf>
    <xf numFmtId="0" fontId="17" fillId="0" borderId="0" xfId="3" applyFont="1"/>
    <xf numFmtId="164" fontId="17" fillId="2" borderId="0" xfId="3" applyNumberFormat="1" applyFont="1" applyFill="1" applyAlignment="1">
      <alignment horizontal="center" wrapText="1"/>
    </xf>
    <xf numFmtId="0" fontId="17" fillId="2" borderId="0" xfId="3" applyFont="1" applyFill="1"/>
    <xf numFmtId="0" fontId="17" fillId="2" borderId="42" xfId="3" applyFont="1" applyFill="1" applyBorder="1" applyAlignment="1">
      <alignment horizontal="center"/>
    </xf>
    <xf numFmtId="0" fontId="17" fillId="4" borderId="32" xfId="3" applyFont="1" applyFill="1" applyBorder="1" applyAlignment="1">
      <alignment horizontal="center"/>
    </xf>
    <xf numFmtId="0" fontId="17" fillId="4" borderId="33" xfId="3" applyFont="1" applyFill="1" applyBorder="1" applyAlignment="1">
      <alignment horizontal="center"/>
    </xf>
    <xf numFmtId="0" fontId="17" fillId="4" borderId="33" xfId="3" applyFont="1" applyFill="1" applyBorder="1"/>
    <xf numFmtId="0" fontId="23" fillId="4" borderId="33" xfId="3" applyFont="1" applyFill="1" applyBorder="1" applyAlignment="1">
      <alignment horizontal="center"/>
    </xf>
    <xf numFmtId="1" fontId="23" fillId="4" borderId="33" xfId="3" applyNumberFormat="1" applyFont="1" applyFill="1" applyBorder="1" applyAlignment="1">
      <alignment horizontal="center"/>
    </xf>
    <xf numFmtId="164" fontId="17" fillId="4" borderId="33" xfId="3" applyNumberFormat="1" applyFont="1" applyFill="1" applyBorder="1" applyAlignment="1">
      <alignment horizontal="center" wrapText="1"/>
    </xf>
    <xf numFmtId="0" fontId="17" fillId="4" borderId="34" xfId="3" applyFont="1" applyFill="1" applyBorder="1" applyAlignment="1">
      <alignment horizontal="center"/>
    </xf>
    <xf numFmtId="1" fontId="17" fillId="0" borderId="24" xfId="0" applyNumberFormat="1" applyFont="1" applyBorder="1" applyAlignment="1">
      <alignment horizontal="center"/>
    </xf>
    <xf numFmtId="0" fontId="17" fillId="0" borderId="35" xfId="0" applyFont="1" applyBorder="1" applyAlignment="1">
      <alignment horizontal="center"/>
    </xf>
    <xf numFmtId="1" fontId="17" fillId="0" borderId="21" xfId="0" applyNumberFormat="1" applyFont="1" applyBorder="1" applyAlignment="1">
      <alignment horizontal="center"/>
    </xf>
    <xf numFmtId="0" fontId="17" fillId="0" borderId="21" xfId="0" applyFont="1" applyBorder="1" applyAlignment="1">
      <alignment horizontal="center"/>
    </xf>
    <xf numFmtId="14" fontId="26" fillId="2" borderId="0" xfId="2" applyNumberFormat="1" applyFont="1" applyFill="1" applyAlignment="1">
      <alignment horizontal="center" vertical="center" wrapText="1"/>
    </xf>
    <xf numFmtId="0" fontId="17" fillId="2" borderId="48" xfId="1" applyFont="1" applyFill="1" applyBorder="1" applyAlignment="1">
      <alignment horizontal="left"/>
    </xf>
    <xf numFmtId="0" fontId="17" fillId="2" borderId="0" xfId="1" applyFont="1" applyFill="1" applyAlignment="1">
      <alignment horizontal="left"/>
    </xf>
    <xf numFmtId="0" fontId="14" fillId="0" borderId="37" xfId="0" applyFont="1" applyBorder="1" applyAlignment="1">
      <alignment horizontal="left"/>
    </xf>
    <xf numFmtId="0" fontId="14" fillId="0" borderId="9" xfId="0" applyFont="1" applyBorder="1" applyAlignment="1">
      <alignment horizontal="left"/>
    </xf>
    <xf numFmtId="0" fontId="14" fillId="0" borderId="24" xfId="0" applyFont="1" applyBorder="1" applyAlignment="1">
      <alignment horizontal="left"/>
    </xf>
    <xf numFmtId="0" fontId="14" fillId="0" borderId="25" xfId="0" applyFont="1" applyBorder="1" applyAlignment="1">
      <alignment horizontal="left"/>
    </xf>
    <xf numFmtId="0" fontId="14" fillId="0" borderId="31" xfId="0" applyFont="1" applyBorder="1" applyAlignment="1">
      <alignment horizontal="left" wrapText="1"/>
    </xf>
    <xf numFmtId="0" fontId="14" fillId="0" borderId="29" xfId="0" applyFont="1" applyBorder="1" applyAlignment="1">
      <alignment horizontal="left" wrapText="1"/>
    </xf>
    <xf numFmtId="0" fontId="14" fillId="0" borderId="30" xfId="0" applyFont="1" applyBorder="1" applyAlignment="1">
      <alignment horizontal="left" wrapText="1"/>
    </xf>
    <xf numFmtId="0" fontId="14" fillId="0" borderId="31" xfId="0" applyFont="1" applyBorder="1" applyAlignment="1">
      <alignment horizontal="left"/>
    </xf>
    <xf numFmtId="0" fontId="14" fillId="0" borderId="29" xfId="0" applyFont="1" applyBorder="1" applyAlignment="1">
      <alignment horizontal="left"/>
    </xf>
    <xf numFmtId="0" fontId="14" fillId="0" borderId="30" xfId="0" applyFont="1" applyBorder="1" applyAlignment="1">
      <alignment horizontal="left"/>
    </xf>
    <xf numFmtId="0" fontId="14" fillId="0" borderId="46" xfId="3" applyFont="1" applyBorder="1" applyAlignment="1">
      <alignment horizontal="left"/>
    </xf>
    <xf numFmtId="0" fontId="14" fillId="0" borderId="16" xfId="3" applyFont="1" applyBorder="1" applyAlignment="1">
      <alignment horizontal="left"/>
    </xf>
    <xf numFmtId="0" fontId="14" fillId="0" borderId="45" xfId="3" applyFont="1" applyBorder="1" applyAlignment="1">
      <alignment horizontal="left"/>
    </xf>
    <xf numFmtId="0" fontId="12" fillId="6" borderId="47" xfId="1" applyFont="1" applyFill="1" applyBorder="1" applyAlignment="1">
      <alignment horizontal="center"/>
    </xf>
    <xf numFmtId="0" fontId="12" fillId="6" borderId="41" xfId="1" applyFont="1" applyFill="1" applyBorder="1" applyAlignment="1">
      <alignment horizontal="center"/>
    </xf>
    <xf numFmtId="0" fontId="17" fillId="2" borderId="27" xfId="1" applyFont="1" applyFill="1" applyBorder="1" applyAlignment="1">
      <alignment horizontal="left"/>
    </xf>
    <xf numFmtId="0" fontId="17" fillId="2" borderId="29" xfId="1" applyFont="1" applyFill="1" applyBorder="1" applyAlignment="1">
      <alignment horizontal="left"/>
    </xf>
    <xf numFmtId="0" fontId="17" fillId="2" borderId="28" xfId="1" applyFont="1" applyFill="1" applyBorder="1" applyAlignment="1">
      <alignment horizontal="left"/>
    </xf>
    <xf numFmtId="0" fontId="12" fillId="0" borderId="31" xfId="3" applyFont="1" applyBorder="1" applyAlignment="1">
      <alignment horizontal="right"/>
    </xf>
    <xf numFmtId="0" fontId="12" fillId="0" borderId="29" xfId="3" applyFont="1" applyBorder="1" applyAlignment="1">
      <alignment horizontal="right"/>
    </xf>
    <xf numFmtId="0" fontId="12" fillId="0" borderId="28" xfId="3" applyFont="1" applyBorder="1" applyAlignment="1">
      <alignment horizontal="right"/>
    </xf>
    <xf numFmtId="0" fontId="14" fillId="0" borderId="6" xfId="3" applyFont="1" applyBorder="1" applyAlignment="1">
      <alignment horizontal="right"/>
    </xf>
    <xf numFmtId="164" fontId="14" fillId="0" borderId="27" xfId="3" applyNumberFormat="1" applyFont="1" applyBorder="1" applyAlignment="1">
      <alignment horizontal="center"/>
    </xf>
    <xf numFmtId="164" fontId="14" fillId="0" borderId="30" xfId="3" applyNumberFormat="1" applyFont="1" applyBorder="1" applyAlignment="1">
      <alignment horizontal="center"/>
    </xf>
    <xf numFmtId="164" fontId="14" fillId="0" borderId="27" xfId="3" applyNumberFormat="1" applyFont="1" applyBorder="1" applyAlignment="1">
      <alignment horizontal="right" wrapText="1"/>
    </xf>
    <xf numFmtId="164" fontId="14" fillId="0" borderId="28" xfId="3" applyNumberFormat="1" applyFont="1" applyBorder="1" applyAlignment="1">
      <alignment horizontal="right" wrapText="1"/>
    </xf>
    <xf numFmtId="0" fontId="12" fillId="0" borderId="20" xfId="3" applyFont="1" applyBorder="1" applyAlignment="1">
      <alignment horizontal="right"/>
    </xf>
    <xf numFmtId="0" fontId="12" fillId="0" borderId="14" xfId="3" applyFont="1" applyBorder="1" applyAlignment="1">
      <alignment horizontal="right"/>
    </xf>
    <xf numFmtId="0" fontId="12" fillId="0" borderId="21" xfId="3" applyFont="1" applyBorder="1" applyAlignment="1">
      <alignment horizontal="right"/>
    </xf>
    <xf numFmtId="0" fontId="14" fillId="0" borderId="21" xfId="3" applyFont="1" applyBorder="1" applyAlignment="1">
      <alignment horizontal="right"/>
    </xf>
    <xf numFmtId="164" fontId="14" fillId="0" borderId="15" xfId="3" applyNumberFormat="1" applyFont="1" applyBorder="1" applyAlignment="1">
      <alignment horizontal="center"/>
    </xf>
    <xf numFmtId="164" fontId="14" fillId="0" borderId="45" xfId="3" applyNumberFormat="1" applyFont="1" applyBorder="1" applyAlignment="1">
      <alignment horizontal="center"/>
    </xf>
    <xf numFmtId="0" fontId="12" fillId="4" borderId="32" xfId="3" applyFont="1" applyFill="1" applyBorder="1" applyAlignment="1">
      <alignment horizontal="left"/>
    </xf>
    <xf numFmtId="0" fontId="12" fillId="4" borderId="33" xfId="3" applyFont="1" applyFill="1" applyBorder="1" applyAlignment="1">
      <alignment horizontal="left"/>
    </xf>
    <xf numFmtId="0" fontId="12" fillId="4" borderId="34" xfId="3" applyFont="1" applyFill="1" applyBorder="1" applyAlignment="1">
      <alignment horizontal="left"/>
    </xf>
    <xf numFmtId="0" fontId="12" fillId="0" borderId="23" xfId="3" applyFont="1" applyBorder="1" applyAlignment="1">
      <alignment horizontal="right"/>
    </xf>
    <xf numFmtId="0" fontId="12" fillId="0" borderId="39" xfId="3" applyFont="1" applyBorder="1" applyAlignment="1">
      <alignment horizontal="right"/>
    </xf>
    <xf numFmtId="0" fontId="12" fillId="0" borderId="9" xfId="3" applyFont="1" applyBorder="1" applyAlignment="1">
      <alignment horizontal="right"/>
    </xf>
    <xf numFmtId="164" fontId="14" fillId="0" borderId="24" xfId="3" applyNumberFormat="1" applyFont="1" applyBorder="1" applyAlignment="1">
      <alignment horizontal="right"/>
    </xf>
    <xf numFmtId="0" fontId="14" fillId="2" borderId="35" xfId="3" applyFont="1" applyFill="1" applyBorder="1" applyAlignment="1">
      <alignment horizontal="center"/>
    </xf>
    <xf numFmtId="0" fontId="14" fillId="2" borderId="36" xfId="3" applyFont="1" applyFill="1" applyBorder="1" applyAlignment="1">
      <alignment horizontal="center"/>
    </xf>
    <xf numFmtId="0" fontId="9" fillId="2" borderId="0" xfId="2" applyFont="1" applyFill="1" applyAlignment="1">
      <alignment horizontal="right"/>
    </xf>
    <xf numFmtId="0" fontId="5" fillId="2" borderId="18" xfId="2" applyFont="1" applyFill="1" applyBorder="1" applyAlignment="1">
      <alignment horizontal="center"/>
    </xf>
    <xf numFmtId="0" fontId="9" fillId="2" borderId="0" xfId="2" applyFont="1" applyFill="1"/>
    <xf numFmtId="0" fontId="4" fillId="4" borderId="19" xfId="3" applyFont="1" applyFill="1" applyBorder="1" applyAlignment="1">
      <alignment horizontal="center" vertical="center"/>
    </xf>
    <xf numFmtId="0" fontId="4" fillId="4" borderId="20" xfId="3" applyFont="1" applyFill="1" applyBorder="1" applyAlignment="1">
      <alignment horizontal="center" vertical="center"/>
    </xf>
    <xf numFmtId="0" fontId="4" fillId="4" borderId="19" xfId="3" applyFont="1" applyFill="1" applyBorder="1" applyAlignment="1">
      <alignment horizontal="center" vertical="center" wrapText="1"/>
    </xf>
    <xf numFmtId="0" fontId="4" fillId="4" borderId="20" xfId="3" applyFont="1" applyFill="1" applyBorder="1" applyAlignment="1">
      <alignment horizontal="center" vertical="center" wrapText="1"/>
    </xf>
    <xf numFmtId="0" fontId="4" fillId="4" borderId="2" xfId="3" applyFont="1" applyFill="1" applyBorder="1" applyAlignment="1">
      <alignment horizontal="center" vertical="center"/>
    </xf>
    <xf numFmtId="0" fontId="4" fillId="4" borderId="21" xfId="3" applyFont="1" applyFill="1" applyBorder="1" applyAlignment="1">
      <alignment horizontal="center" vertical="center"/>
    </xf>
    <xf numFmtId="14" fontId="2" fillId="2" borderId="8" xfId="1" applyNumberFormat="1" applyFont="1" applyFill="1" applyBorder="1" applyAlignment="1">
      <alignment horizontal="center" vertical="center" wrapText="1"/>
    </xf>
    <xf numFmtId="14" fontId="2" fillId="2" borderId="13" xfId="1" applyNumberFormat="1" applyFont="1" applyFill="1" applyBorder="1" applyAlignment="1">
      <alignment horizontal="center" vertical="center" wrapText="1"/>
    </xf>
    <xf numFmtId="14" fontId="2" fillId="2" borderId="25" xfId="1" applyNumberFormat="1" applyFont="1" applyFill="1" applyBorder="1" applyAlignment="1">
      <alignment horizontal="center" vertical="center" wrapText="1"/>
    </xf>
    <xf numFmtId="0" fontId="19" fillId="2" borderId="10" xfId="1" applyFont="1" applyFill="1" applyBorder="1" applyAlignment="1">
      <alignment horizontal="left"/>
    </xf>
    <xf numFmtId="0" fontId="19" fillId="2" borderId="11" xfId="1" applyFont="1" applyFill="1" applyBorder="1" applyAlignment="1">
      <alignment horizontal="left"/>
    </xf>
    <xf numFmtId="0" fontId="19" fillId="2" borderId="1" xfId="1" applyFont="1" applyFill="1" applyBorder="1" applyAlignment="1">
      <alignment horizontal="left"/>
    </xf>
    <xf numFmtId="0" fontId="19" fillId="2" borderId="27" xfId="1" applyFont="1" applyFill="1" applyBorder="1" applyAlignment="1">
      <alignment horizontal="left"/>
    </xf>
    <xf numFmtId="0" fontId="19" fillId="2" borderId="29" xfId="1" applyFont="1" applyFill="1" applyBorder="1" applyAlignment="1">
      <alignment horizontal="left"/>
    </xf>
    <xf numFmtId="0" fontId="19" fillId="2" borderId="28" xfId="1" applyFont="1" applyFill="1" applyBorder="1" applyAlignment="1">
      <alignment horizontal="left"/>
    </xf>
    <xf numFmtId="0" fontId="2" fillId="2" borderId="40" xfId="1" applyFont="1" applyFill="1" applyBorder="1" applyAlignment="1">
      <alignment horizontal="center"/>
    </xf>
    <xf numFmtId="0" fontId="2" fillId="2" borderId="41" xfId="1" applyFont="1" applyFill="1" applyBorder="1" applyAlignment="1">
      <alignment horizontal="center"/>
    </xf>
    <xf numFmtId="0" fontId="2" fillId="2" borderId="38" xfId="1" applyFont="1" applyFill="1" applyBorder="1" applyAlignment="1">
      <alignment horizontal="center"/>
    </xf>
    <xf numFmtId="0" fontId="2" fillId="2" borderId="0" xfId="1" applyFont="1" applyFill="1" applyAlignment="1">
      <alignment horizontal="center"/>
    </xf>
    <xf numFmtId="0" fontId="2" fillId="2" borderId="23" xfId="1" applyFont="1" applyFill="1" applyBorder="1" applyAlignment="1">
      <alignment horizontal="center"/>
    </xf>
    <xf numFmtId="0" fontId="2" fillId="2" borderId="39" xfId="1" applyFont="1" applyFill="1" applyBorder="1" applyAlignment="1">
      <alignment horizontal="center"/>
    </xf>
    <xf numFmtId="0" fontId="3" fillId="2" borderId="2" xfId="1" applyFont="1" applyFill="1" applyBorder="1" applyAlignment="1">
      <alignment horizontal="center"/>
    </xf>
    <xf numFmtId="0" fontId="3" fillId="2" borderId="5" xfId="1" applyFont="1" applyFill="1" applyBorder="1" applyAlignment="1">
      <alignment horizontal="center"/>
    </xf>
    <xf numFmtId="0" fontId="11" fillId="3" borderId="33" xfId="1" applyFont="1" applyFill="1" applyBorder="1" applyAlignment="1">
      <alignment horizontal="center" vertical="center" wrapText="1"/>
    </xf>
    <xf numFmtId="0" fontId="11" fillId="3" borderId="34" xfId="1" applyFont="1" applyFill="1" applyBorder="1" applyAlignment="1">
      <alignment horizontal="center" vertical="center" wrapText="1"/>
    </xf>
    <xf numFmtId="0" fontId="4" fillId="2" borderId="4" xfId="1" applyFont="1" applyFill="1" applyBorder="1" applyAlignment="1">
      <alignment horizontal="right" vertical="top" wrapText="1"/>
    </xf>
    <xf numFmtId="0" fontId="4" fillId="2" borderId="12" xfId="1" applyFont="1" applyFill="1" applyBorder="1" applyAlignment="1">
      <alignment horizontal="right" vertical="top" wrapText="1"/>
    </xf>
    <xf numFmtId="0" fontId="4" fillId="2" borderId="17" xfId="1" applyFont="1" applyFill="1" applyBorder="1" applyAlignment="1">
      <alignment horizontal="right" vertical="top" wrapText="1"/>
    </xf>
    <xf numFmtId="0" fontId="20" fillId="0" borderId="27" xfId="0" applyFont="1" applyBorder="1" applyAlignment="1">
      <alignment horizontal="left"/>
    </xf>
    <xf numFmtId="0" fontId="20" fillId="0" borderId="29" xfId="0" applyFont="1" applyBorder="1" applyAlignment="1">
      <alignment horizontal="left"/>
    </xf>
    <xf numFmtId="0" fontId="20" fillId="0" borderId="28" xfId="0" applyFont="1" applyBorder="1" applyAlignment="1">
      <alignment horizontal="left"/>
    </xf>
    <xf numFmtId="0" fontId="17" fillId="2" borderId="6" xfId="1" applyFont="1" applyFill="1" applyBorder="1" applyAlignment="1">
      <alignment horizontal="left"/>
    </xf>
    <xf numFmtId="0" fontId="17" fillId="0" borderId="37" xfId="0" applyFont="1" applyBorder="1" applyAlignment="1">
      <alignment horizontal="left"/>
    </xf>
    <xf numFmtId="0" fontId="17" fillId="0" borderId="9" xfId="0" applyFont="1" applyBorder="1" applyAlignment="1">
      <alignment horizontal="left"/>
    </xf>
    <xf numFmtId="0" fontId="17" fillId="0" borderId="24" xfId="0" applyFont="1" applyBorder="1" applyAlignment="1">
      <alignment horizontal="left"/>
    </xf>
    <xf numFmtId="0" fontId="17" fillId="0" borderId="25" xfId="0" applyFont="1" applyBorder="1" applyAlignment="1">
      <alignment horizontal="left"/>
    </xf>
    <xf numFmtId="0" fontId="17" fillId="0" borderId="31" xfId="0" applyFont="1" applyBorder="1" applyAlignment="1">
      <alignment horizontal="left" wrapText="1"/>
    </xf>
    <xf numFmtId="0" fontId="17" fillId="0" borderId="29" xfId="0" applyFont="1" applyBorder="1" applyAlignment="1">
      <alignment horizontal="left" wrapText="1"/>
    </xf>
    <xf numFmtId="0" fontId="17" fillId="0" borderId="30" xfId="0" applyFont="1" applyBorder="1" applyAlignment="1">
      <alignment horizontal="left" wrapText="1"/>
    </xf>
    <xf numFmtId="0" fontId="17" fillId="0" borderId="31" xfId="0" applyFont="1" applyBorder="1" applyAlignment="1">
      <alignment horizontal="left"/>
    </xf>
    <xf numFmtId="0" fontId="17" fillId="0" borderId="29" xfId="0" applyFont="1" applyBorder="1" applyAlignment="1">
      <alignment horizontal="left"/>
    </xf>
    <xf numFmtId="0" fontId="17" fillId="0" borderId="30" xfId="0" applyFont="1" applyBorder="1" applyAlignment="1">
      <alignment horizontal="left"/>
    </xf>
    <xf numFmtId="0" fontId="17" fillId="0" borderId="46" xfId="3" applyFont="1" applyBorder="1" applyAlignment="1">
      <alignment horizontal="left"/>
    </xf>
    <xf numFmtId="0" fontId="17" fillId="0" borderId="16" xfId="3" applyFont="1" applyBorder="1" applyAlignment="1">
      <alignment horizontal="left"/>
    </xf>
    <xf numFmtId="0" fontId="17" fillId="0" borderId="45" xfId="3" applyFont="1" applyBorder="1" applyAlignment="1">
      <alignment horizontal="left"/>
    </xf>
    <xf numFmtId="0" fontId="23" fillId="6" borderId="47" xfId="1" applyFont="1" applyFill="1" applyBorder="1" applyAlignment="1">
      <alignment horizontal="center"/>
    </xf>
    <xf numFmtId="0" fontId="23" fillId="6" borderId="41" xfId="1" applyFont="1" applyFill="1" applyBorder="1" applyAlignment="1">
      <alignment horizontal="center"/>
    </xf>
    <xf numFmtId="0" fontId="23" fillId="0" borderId="31" xfId="3" applyFont="1" applyBorder="1" applyAlignment="1">
      <alignment horizontal="right"/>
    </xf>
    <xf numFmtId="0" fontId="23" fillId="0" borderId="29" xfId="3" applyFont="1" applyBorder="1" applyAlignment="1">
      <alignment horizontal="right"/>
    </xf>
    <xf numFmtId="0" fontId="23" fillId="0" borderId="28" xfId="3" applyFont="1" applyBorder="1" applyAlignment="1">
      <alignment horizontal="right"/>
    </xf>
    <xf numFmtId="0" fontId="17" fillId="0" borderId="6" xfId="3" applyFont="1" applyBorder="1" applyAlignment="1">
      <alignment horizontal="right"/>
    </xf>
    <xf numFmtId="164" fontId="17" fillId="0" borderId="27" xfId="3" applyNumberFormat="1" applyFont="1" applyBorder="1" applyAlignment="1">
      <alignment horizontal="center"/>
    </xf>
    <xf numFmtId="164" fontId="17" fillId="0" borderId="30" xfId="3" applyNumberFormat="1" applyFont="1" applyBorder="1" applyAlignment="1">
      <alignment horizontal="center"/>
    </xf>
    <xf numFmtId="164" fontId="17" fillId="0" borderId="27" xfId="3" applyNumberFormat="1" applyFont="1" applyBorder="1" applyAlignment="1">
      <alignment horizontal="right" wrapText="1"/>
    </xf>
    <xf numFmtId="164" fontId="17" fillId="0" borderId="28" xfId="3" applyNumberFormat="1" applyFont="1" applyBorder="1" applyAlignment="1">
      <alignment horizontal="right" wrapText="1"/>
    </xf>
    <xf numFmtId="0" fontId="23" fillId="0" borderId="20" xfId="3" applyFont="1" applyBorder="1" applyAlignment="1">
      <alignment horizontal="right"/>
    </xf>
    <xf numFmtId="0" fontId="23" fillId="0" borderId="14" xfId="3" applyFont="1" applyBorder="1" applyAlignment="1">
      <alignment horizontal="right"/>
    </xf>
    <xf numFmtId="0" fontId="23" fillId="0" borderId="21" xfId="3" applyFont="1" applyBorder="1" applyAlignment="1">
      <alignment horizontal="right"/>
    </xf>
    <xf numFmtId="0" fontId="17" fillId="0" borderId="21" xfId="3" applyFont="1" applyBorder="1" applyAlignment="1">
      <alignment horizontal="right"/>
    </xf>
    <xf numFmtId="164" fontId="17" fillId="0" borderId="15" xfId="3" applyNumberFormat="1" applyFont="1" applyBorder="1" applyAlignment="1">
      <alignment horizontal="center"/>
    </xf>
    <xf numFmtId="164" fontId="17" fillId="0" borderId="45" xfId="3" applyNumberFormat="1" applyFont="1" applyBorder="1" applyAlignment="1">
      <alignment horizontal="center"/>
    </xf>
    <xf numFmtId="0" fontId="23" fillId="4" borderId="32" xfId="3" applyFont="1" applyFill="1" applyBorder="1" applyAlignment="1">
      <alignment horizontal="center"/>
    </xf>
    <xf numFmtId="0" fontId="23" fillId="4" borderId="33" xfId="3" applyFont="1" applyFill="1" applyBorder="1" applyAlignment="1">
      <alignment horizontal="center"/>
    </xf>
    <xf numFmtId="0" fontId="23" fillId="4" borderId="34" xfId="3" applyFont="1" applyFill="1" applyBorder="1" applyAlignment="1">
      <alignment horizontal="center"/>
    </xf>
    <xf numFmtId="0" fontId="17" fillId="0" borderId="37" xfId="0" applyFont="1" applyBorder="1" applyAlignment="1">
      <alignment horizontal="left" wrapText="1"/>
    </xf>
    <xf numFmtId="0" fontId="23" fillId="0" borderId="23" xfId="3" applyFont="1" applyBorder="1" applyAlignment="1">
      <alignment horizontal="right"/>
    </xf>
    <xf numFmtId="0" fontId="23" fillId="0" borderId="39" xfId="3" applyFont="1" applyBorder="1" applyAlignment="1">
      <alignment horizontal="right"/>
    </xf>
    <xf numFmtId="0" fontId="23" fillId="0" borderId="9" xfId="3" applyFont="1" applyBorder="1" applyAlignment="1">
      <alignment horizontal="right"/>
    </xf>
    <xf numFmtId="164" fontId="17" fillId="0" borderId="24" xfId="3" applyNumberFormat="1" applyFont="1" applyBorder="1" applyAlignment="1">
      <alignment horizontal="right"/>
    </xf>
    <xf numFmtId="0" fontId="17" fillId="2" borderId="35" xfId="3" applyFont="1" applyFill="1" applyBorder="1" applyAlignment="1">
      <alignment horizontal="center"/>
    </xf>
    <xf numFmtId="0" fontId="17" fillId="2" borderId="36" xfId="3" applyFont="1" applyFill="1" applyBorder="1" applyAlignment="1">
      <alignment horizontal="center"/>
    </xf>
    <xf numFmtId="0" fontId="26" fillId="2" borderId="18" xfId="2" applyFont="1" applyFill="1" applyBorder="1" applyAlignment="1">
      <alignment horizontal="center"/>
    </xf>
    <xf numFmtId="0" fontId="22" fillId="3" borderId="33" xfId="1" applyFont="1" applyFill="1" applyBorder="1" applyAlignment="1">
      <alignment horizontal="center" vertical="center" wrapText="1"/>
    </xf>
    <xf numFmtId="0" fontId="22" fillId="3" borderId="34" xfId="1" applyFont="1" applyFill="1" applyBorder="1" applyAlignment="1">
      <alignment horizontal="center" vertical="center" wrapText="1"/>
    </xf>
  </cellXfs>
  <cellStyles count="15">
    <cellStyle name="Millares [0] 2" xfId="6" xr:uid="{935422FF-998A-499C-9088-818969E3A74B}"/>
    <cellStyle name="Millares [0] 2 2" xfId="11" xr:uid="{1A63238A-98D7-4E3A-BCB0-EA12DB276B44}"/>
    <cellStyle name="Millares [0] 3" xfId="14" xr:uid="{6878042B-C3D3-46D3-8B4D-1A9E0CD3FFE7}"/>
    <cellStyle name="Millares 2" xfId="5" xr:uid="{C38BE13D-BAD1-4CB3-BC7E-13C43A9EF1E2}"/>
    <cellStyle name="Millares 2 2" xfId="10" xr:uid="{8CFC65F0-F4AC-4638-A257-076979963973}"/>
    <cellStyle name="Millares 3" xfId="13" xr:uid="{ECA3E890-E124-4C69-B554-4155CCC76CAB}"/>
    <cellStyle name="Normal" xfId="0" builtinId="0"/>
    <cellStyle name="Normal 2" xfId="3" xr:uid="{520A9BD4-C4D2-42DF-81FE-5B85EB3F0D06}"/>
    <cellStyle name="Normal 3" xfId="4" xr:uid="{00608F4A-2ED1-4657-8367-A484F05496C7}"/>
    <cellStyle name="Normal 3 2" xfId="9" xr:uid="{3866E02A-E609-4E40-99DF-D1907641AFF6}"/>
    <cellStyle name="Normal 5" xfId="8" xr:uid="{7CDFD8D3-D8F6-4631-85BD-FDB28DEC992C}"/>
    <cellStyle name="Normal_CRITERIOS DE EVALUACION PT DE GB" xfId="1" xr:uid="{E9316FDD-056F-4CD9-AE7F-831788575709}"/>
    <cellStyle name="Normal_CRITERIOS DE EVALUACION PT DE GB 2" xfId="2" xr:uid="{DECC572B-5C25-4351-8532-C1D8A772FC82}"/>
    <cellStyle name="Porcentaje 2" xfId="7" xr:uid="{66FF3F4E-2D8A-4BEC-9FAE-A54CAB32D046}"/>
    <cellStyle name="Porcentaje 2 2" xfId="12" xr:uid="{8A4348DC-8DEB-4210-8230-A7F6B3C9669A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1.xml"/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10" Type="http://schemas.openxmlformats.org/officeDocument/2006/relationships/customXml" Target="../customXml/item3.xml"/><Relationship Id="rId4" Type="http://schemas.openxmlformats.org/officeDocument/2006/relationships/theme" Target="theme/theme1.xml"/><Relationship Id="rId9" Type="http://schemas.openxmlformats.org/officeDocument/2006/relationships/customXml" Target="../customXml/item2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396120</xdr:colOff>
      <xdr:row>0</xdr:row>
      <xdr:rowOff>98274</xdr:rowOff>
    </xdr:from>
    <xdr:to>
      <xdr:col>1</xdr:col>
      <xdr:colOff>973096</xdr:colOff>
      <xdr:row>4</xdr:row>
      <xdr:rowOff>54312</xdr:rowOff>
    </xdr:to>
    <xdr:pic>
      <xdr:nvPicPr>
        <xdr:cNvPr id="2" name="Imagen 1" descr="Icono&#10;&#10;Descripción generada automáticamente con confianza media">
          <a:extLst>
            <a:ext uri="{FF2B5EF4-FFF2-40B4-BE49-F238E27FC236}">
              <a16:creationId xmlns:a16="http://schemas.microsoft.com/office/drawing/2014/main" id="{90EC40B3-4215-4ACE-B588-F459E99F5D2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96120" y="98274"/>
          <a:ext cx="1790189" cy="879928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130969</xdr:colOff>
      <xdr:row>0</xdr:row>
      <xdr:rowOff>71437</xdr:rowOff>
    </xdr:from>
    <xdr:to>
      <xdr:col>1</xdr:col>
      <xdr:colOff>1150965</xdr:colOff>
      <xdr:row>4</xdr:row>
      <xdr:rowOff>130969</xdr:rowOff>
    </xdr:to>
    <xdr:pic>
      <xdr:nvPicPr>
        <xdr:cNvPr id="2" name="Imagen 1" descr="Icono&#10;&#10;Descripción generada automáticamente con confianza media">
          <a:extLst>
            <a:ext uri="{FF2B5EF4-FFF2-40B4-BE49-F238E27FC236}">
              <a16:creationId xmlns:a16="http://schemas.microsoft.com/office/drawing/2014/main" id="{799FDF92-618F-4E07-824B-6980FE092A9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0969" y="71437"/>
          <a:ext cx="2424934" cy="109537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Office 2013 - Tema de 2022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7DECA3E-CDD1-46AF-B024-E4FE323D3BD8}">
  <sheetPr>
    <pageSetUpPr fitToPage="1"/>
  </sheetPr>
  <dimension ref="A1:I55"/>
  <sheetViews>
    <sheetView zoomScale="55" zoomScaleNormal="55" zoomScaleSheetLayoutView="70" workbookViewId="0">
      <selection activeCell="C29" sqref="C29"/>
    </sheetView>
  </sheetViews>
  <sheetFormatPr baseColWidth="10" defaultColWidth="11.44140625" defaultRowHeight="14.4" x14ac:dyDescent="0.3"/>
  <cols>
    <col min="1" max="1" width="18.44140625" bestFit="1" customWidth="1"/>
    <col min="2" max="2" width="20" customWidth="1"/>
    <col min="3" max="3" width="84.33203125" customWidth="1"/>
    <col min="4" max="4" width="23.33203125" customWidth="1"/>
    <col min="7" max="7" width="26.33203125" customWidth="1"/>
    <col min="8" max="8" width="26.6640625" customWidth="1"/>
    <col min="9" max="9" width="23.44140625" bestFit="1" customWidth="1"/>
  </cols>
  <sheetData>
    <row r="1" spans="1:9" ht="15.6" x14ac:dyDescent="0.3">
      <c r="A1" s="263"/>
      <c r="B1" s="264"/>
      <c r="C1" s="269" t="s">
        <v>0</v>
      </c>
      <c r="D1" s="269"/>
      <c r="E1" s="269"/>
      <c r="F1" s="269"/>
      <c r="G1" s="269"/>
      <c r="H1" s="1" t="s">
        <v>1</v>
      </c>
      <c r="I1" s="2" t="s">
        <v>2</v>
      </c>
    </row>
    <row r="2" spans="1:9" ht="16.2" thickBot="1" x14ac:dyDescent="0.35">
      <c r="A2" s="265"/>
      <c r="B2" s="266"/>
      <c r="C2" s="270" t="s">
        <v>3</v>
      </c>
      <c r="D2" s="270"/>
      <c r="E2" s="270"/>
      <c r="F2" s="270"/>
      <c r="G2" s="270"/>
      <c r="H2" s="3" t="s">
        <v>4</v>
      </c>
      <c r="I2" s="4" t="s">
        <v>77</v>
      </c>
    </row>
    <row r="3" spans="1:9" ht="24.75" customHeight="1" thickBot="1" x14ac:dyDescent="0.35">
      <c r="A3" s="265"/>
      <c r="B3" s="266"/>
      <c r="C3" s="271" t="s">
        <v>81</v>
      </c>
      <c r="D3" s="271"/>
      <c r="E3" s="271"/>
      <c r="F3" s="271"/>
      <c r="G3" s="272"/>
      <c r="H3" s="273" t="s">
        <v>5</v>
      </c>
      <c r="I3" s="254">
        <v>45609</v>
      </c>
    </row>
    <row r="4" spans="1:9" ht="15.6" x14ac:dyDescent="0.3">
      <c r="A4" s="265"/>
      <c r="B4" s="266"/>
      <c r="C4" s="5" t="s">
        <v>6</v>
      </c>
      <c r="D4" s="257" t="s">
        <v>82</v>
      </c>
      <c r="E4" s="258"/>
      <c r="F4" s="258"/>
      <c r="G4" s="259"/>
      <c r="H4" s="274"/>
      <c r="I4" s="255"/>
    </row>
    <row r="5" spans="1:9" ht="16.2" thickBot="1" x14ac:dyDescent="0.35">
      <c r="A5" s="267"/>
      <c r="B5" s="268"/>
      <c r="C5" s="6" t="s">
        <v>7</v>
      </c>
      <c r="D5" s="260" t="s">
        <v>83</v>
      </c>
      <c r="E5" s="261"/>
      <c r="F5" s="261"/>
      <c r="G5" s="262"/>
      <c r="H5" s="275"/>
      <c r="I5" s="256"/>
    </row>
    <row r="6" spans="1:9" ht="18" thickBot="1" x14ac:dyDescent="0.35">
      <c r="A6" s="245" t="s">
        <v>8</v>
      </c>
      <c r="B6" s="245"/>
      <c r="C6" s="245"/>
      <c r="D6" s="246" t="s">
        <v>9</v>
      </c>
      <c r="E6" s="246"/>
      <c r="F6" s="246"/>
      <c r="G6" s="247" t="s">
        <v>10</v>
      </c>
      <c r="H6" s="247"/>
      <c r="I6" s="7" t="s">
        <v>9</v>
      </c>
    </row>
    <row r="7" spans="1:9" x14ac:dyDescent="0.3">
      <c r="A7" s="248" t="s">
        <v>11</v>
      </c>
      <c r="B7" s="250" t="s">
        <v>12</v>
      </c>
      <c r="C7" s="252" t="s">
        <v>13</v>
      </c>
      <c r="D7" s="252" t="s">
        <v>14</v>
      </c>
      <c r="E7" s="252" t="s">
        <v>15</v>
      </c>
      <c r="F7" s="252"/>
      <c r="G7" s="252" t="s">
        <v>16</v>
      </c>
      <c r="H7" s="252"/>
      <c r="I7" s="8" t="s">
        <v>17</v>
      </c>
    </row>
    <row r="8" spans="1:9" ht="27" thickBot="1" x14ac:dyDescent="0.35">
      <c r="A8" s="249"/>
      <c r="B8" s="251"/>
      <c r="C8" s="253"/>
      <c r="D8" s="253"/>
      <c r="E8" s="9" t="s">
        <v>18</v>
      </c>
      <c r="F8" s="10" t="s">
        <v>19</v>
      </c>
      <c r="G8" s="9" t="s">
        <v>18</v>
      </c>
      <c r="H8" s="10" t="s">
        <v>19</v>
      </c>
      <c r="I8" s="11" t="s">
        <v>20</v>
      </c>
    </row>
    <row r="9" spans="1:9" ht="22.8" x14ac:dyDescent="0.4">
      <c r="A9" s="12"/>
      <c r="B9" s="13"/>
      <c r="C9" s="14" t="s">
        <v>21</v>
      </c>
      <c r="D9" s="15"/>
      <c r="E9" s="16"/>
      <c r="F9" s="17"/>
      <c r="G9" s="16"/>
      <c r="H9" s="17"/>
      <c r="I9" s="18"/>
    </row>
    <row r="10" spans="1:9" ht="22.8" x14ac:dyDescent="0.4">
      <c r="A10" s="19" t="s">
        <v>22</v>
      </c>
      <c r="B10" s="116" t="s">
        <v>23</v>
      </c>
      <c r="C10" s="117" t="s">
        <v>24</v>
      </c>
      <c r="D10" s="22" t="s">
        <v>25</v>
      </c>
      <c r="E10" s="22">
        <v>10</v>
      </c>
      <c r="F10" s="23" t="s">
        <v>26</v>
      </c>
      <c r="G10" s="24"/>
      <c r="H10" s="25" t="s">
        <v>27</v>
      </c>
      <c r="I10" s="18"/>
    </row>
    <row r="11" spans="1:9" ht="22.8" x14ac:dyDescent="0.4">
      <c r="A11" s="19"/>
      <c r="B11" s="116" t="s">
        <v>28</v>
      </c>
      <c r="C11" s="117" t="s">
        <v>29</v>
      </c>
      <c r="D11" s="22" t="s">
        <v>30</v>
      </c>
      <c r="E11" s="22">
        <v>112</v>
      </c>
      <c r="F11" s="23" t="s">
        <v>26</v>
      </c>
      <c r="G11" s="24"/>
      <c r="H11" s="26"/>
      <c r="I11" s="18"/>
    </row>
    <row r="12" spans="1:9" ht="22.8" x14ac:dyDescent="0.4">
      <c r="A12" s="19" t="s">
        <v>31</v>
      </c>
      <c r="B12" s="116" t="s">
        <v>32</v>
      </c>
      <c r="C12" s="118" t="s">
        <v>33</v>
      </c>
      <c r="D12" s="22" t="s">
        <v>25</v>
      </c>
      <c r="E12" s="27">
        <v>30</v>
      </c>
      <c r="F12" s="28" t="s">
        <v>26</v>
      </c>
      <c r="G12" s="24"/>
      <c r="H12" s="29"/>
      <c r="I12" s="18"/>
    </row>
    <row r="13" spans="1:9" ht="22.8" x14ac:dyDescent="0.4">
      <c r="A13" s="30"/>
      <c r="B13" s="30"/>
      <c r="C13" s="31"/>
      <c r="D13" s="32"/>
      <c r="E13" s="24"/>
      <c r="F13" s="33"/>
      <c r="G13" s="24"/>
      <c r="H13" s="29"/>
      <c r="I13" s="18"/>
    </row>
    <row r="14" spans="1:9" ht="22.8" x14ac:dyDescent="0.4">
      <c r="A14" s="34"/>
      <c r="B14" s="35"/>
      <c r="C14" s="36"/>
      <c r="D14" s="25"/>
      <c r="E14" s="24"/>
      <c r="F14" s="33"/>
      <c r="G14" s="24"/>
      <c r="H14" s="29"/>
      <c r="I14" s="18"/>
    </row>
    <row r="15" spans="1:9" ht="22.8" x14ac:dyDescent="0.4">
      <c r="A15" s="37"/>
      <c r="B15" s="38"/>
      <c r="C15" s="39"/>
      <c r="D15" s="25"/>
      <c r="E15" s="24"/>
      <c r="F15" s="33"/>
      <c r="G15" s="40"/>
      <c r="H15" s="29"/>
      <c r="I15" s="18"/>
    </row>
    <row r="16" spans="1:9" ht="22.8" x14ac:dyDescent="0.4">
      <c r="A16" s="37"/>
      <c r="B16" s="38"/>
      <c r="C16" s="39"/>
      <c r="D16" s="25"/>
      <c r="E16" s="24"/>
      <c r="F16" s="33"/>
      <c r="G16" s="40"/>
      <c r="H16" s="29"/>
      <c r="I16" s="18"/>
    </row>
    <row r="17" spans="1:9" ht="22.8" x14ac:dyDescent="0.4">
      <c r="A17" s="41"/>
      <c r="B17" s="41"/>
      <c r="C17" s="42"/>
      <c r="D17" s="43"/>
      <c r="E17" s="44"/>
      <c r="F17" s="45"/>
      <c r="G17" s="40"/>
      <c r="H17" s="29"/>
      <c r="I17" s="18"/>
    </row>
    <row r="18" spans="1:9" ht="22.8" x14ac:dyDescent="0.4">
      <c r="A18" s="30"/>
      <c r="B18" s="30"/>
      <c r="C18" s="31"/>
      <c r="D18" s="46"/>
      <c r="E18" s="47"/>
      <c r="F18" s="48"/>
      <c r="G18" s="49"/>
      <c r="H18" s="29"/>
      <c r="I18" s="18"/>
    </row>
    <row r="19" spans="1:9" ht="22.8" x14ac:dyDescent="0.4">
      <c r="A19" s="30"/>
      <c r="B19" s="30"/>
      <c r="C19" s="50"/>
      <c r="D19" s="51"/>
      <c r="E19" s="51"/>
      <c r="F19" s="52"/>
      <c r="G19" s="16"/>
      <c r="H19" s="53"/>
      <c r="I19" s="18"/>
    </row>
    <row r="20" spans="1:9" ht="22.8" x14ac:dyDescent="0.4">
      <c r="A20" s="54"/>
      <c r="B20" s="55"/>
      <c r="C20" s="56" t="s">
        <v>34</v>
      </c>
      <c r="D20" s="57" t="s">
        <v>35</v>
      </c>
      <c r="E20" s="58"/>
      <c r="F20" s="52"/>
      <c r="G20" s="16"/>
      <c r="H20" s="53"/>
      <c r="I20" s="18"/>
    </row>
    <row r="21" spans="1:9" ht="36" x14ac:dyDescent="0.4">
      <c r="A21" s="119" t="s">
        <v>22</v>
      </c>
      <c r="B21" s="120" t="s">
        <v>23</v>
      </c>
      <c r="C21" s="121" t="s">
        <v>24</v>
      </c>
      <c r="D21" s="122" t="s">
        <v>25</v>
      </c>
      <c r="E21" s="123">
        <v>16</v>
      </c>
      <c r="F21" s="98" t="s">
        <v>26</v>
      </c>
      <c r="G21" s="99"/>
      <c r="H21" s="95" t="s">
        <v>80</v>
      </c>
      <c r="I21" s="18"/>
    </row>
    <row r="22" spans="1:9" ht="22.8" x14ac:dyDescent="0.4">
      <c r="A22" s="100"/>
      <c r="B22" s="105" t="s">
        <v>84</v>
      </c>
      <c r="C22" s="101" t="s">
        <v>85</v>
      </c>
      <c r="D22" s="102"/>
      <c r="E22" s="97">
        <v>1.5</v>
      </c>
      <c r="F22" s="103" t="s">
        <v>26</v>
      </c>
      <c r="G22" s="112" t="s">
        <v>88</v>
      </c>
      <c r="H22" s="104"/>
      <c r="I22" s="18"/>
    </row>
    <row r="23" spans="1:9" ht="22.8" x14ac:dyDescent="0.4">
      <c r="A23" s="105"/>
      <c r="B23" s="106" t="s">
        <v>86</v>
      </c>
      <c r="C23" s="107" t="s">
        <v>87</v>
      </c>
      <c r="D23" s="106"/>
      <c r="E23" s="108">
        <v>1</v>
      </c>
      <c r="F23" s="109" t="s">
        <v>26</v>
      </c>
      <c r="G23" s="110"/>
      <c r="H23" s="111"/>
      <c r="I23" s="18"/>
    </row>
    <row r="24" spans="1:9" ht="22.8" x14ac:dyDescent="0.4">
      <c r="A24" s="30"/>
      <c r="B24" s="30"/>
      <c r="C24" s="50"/>
      <c r="D24" s="59" t="s">
        <v>35</v>
      </c>
      <c r="E24" s="60"/>
      <c r="F24" s="61"/>
      <c r="G24" s="16"/>
      <c r="H24" s="53"/>
      <c r="I24" s="18"/>
    </row>
    <row r="25" spans="1:9" ht="22.8" x14ac:dyDescent="0.4">
      <c r="A25" s="62"/>
      <c r="B25" s="63"/>
      <c r="C25" s="64" t="s">
        <v>39</v>
      </c>
      <c r="D25" s="65" t="s">
        <v>35</v>
      </c>
      <c r="E25" s="16"/>
      <c r="F25" s="17"/>
      <c r="G25" s="16"/>
      <c r="H25" s="53"/>
      <c r="I25" s="18"/>
    </row>
    <row r="26" spans="1:9" ht="22.8" x14ac:dyDescent="0.4">
      <c r="A26" s="19" t="s">
        <v>40</v>
      </c>
      <c r="B26" s="20" t="s">
        <v>41</v>
      </c>
      <c r="C26" s="21" t="s">
        <v>42</v>
      </c>
      <c r="D26" s="22" t="s">
        <v>43</v>
      </c>
      <c r="E26" s="66">
        <v>1</v>
      </c>
      <c r="F26" s="67" t="s">
        <v>38</v>
      </c>
      <c r="G26" s="40"/>
      <c r="H26" s="53"/>
      <c r="I26" s="18"/>
    </row>
    <row r="27" spans="1:9" ht="22.8" x14ac:dyDescent="0.4">
      <c r="A27" s="68">
        <v>702077</v>
      </c>
      <c r="B27" s="69" t="s">
        <v>44</v>
      </c>
      <c r="C27" s="70" t="s">
        <v>45</v>
      </c>
      <c r="D27" s="71" t="s">
        <v>46</v>
      </c>
      <c r="E27" s="23">
        <v>1</v>
      </c>
      <c r="F27" s="67" t="s">
        <v>38</v>
      </c>
      <c r="G27" s="72"/>
      <c r="H27" s="53"/>
      <c r="I27" s="18"/>
    </row>
    <row r="28" spans="1:9" ht="22.8" x14ac:dyDescent="0.4">
      <c r="A28" s="68">
        <v>702007</v>
      </c>
      <c r="B28" s="69" t="s">
        <v>47</v>
      </c>
      <c r="C28" s="70" t="s">
        <v>48</v>
      </c>
      <c r="D28" s="71" t="s">
        <v>46</v>
      </c>
      <c r="E28" s="23">
        <v>1</v>
      </c>
      <c r="F28" s="67" t="s">
        <v>38</v>
      </c>
      <c r="G28" s="16"/>
      <c r="H28" s="53"/>
      <c r="I28" s="18"/>
    </row>
    <row r="29" spans="1:9" ht="22.8" x14ac:dyDescent="0.4">
      <c r="A29" s="68">
        <v>702123</v>
      </c>
      <c r="B29" s="69" t="s">
        <v>49</v>
      </c>
      <c r="C29" s="70" t="s">
        <v>50</v>
      </c>
      <c r="D29" s="71"/>
      <c r="E29" s="23" t="s">
        <v>51</v>
      </c>
      <c r="F29" s="67" t="s">
        <v>38</v>
      </c>
      <c r="G29" s="16"/>
      <c r="H29" s="53"/>
      <c r="I29" s="18"/>
    </row>
    <row r="30" spans="1:9" ht="22.8" x14ac:dyDescent="0.4">
      <c r="A30" s="68">
        <v>702174</v>
      </c>
      <c r="B30" s="69" t="s">
        <v>52</v>
      </c>
      <c r="C30" s="70" t="s">
        <v>53</v>
      </c>
      <c r="D30" s="71"/>
      <c r="E30" s="23" t="s">
        <v>54</v>
      </c>
      <c r="F30" s="67" t="s">
        <v>38</v>
      </c>
      <c r="G30" s="16"/>
      <c r="H30" s="53"/>
      <c r="I30" s="18"/>
    </row>
    <row r="31" spans="1:9" ht="22.8" x14ac:dyDescent="0.4">
      <c r="A31" s="68" t="s">
        <v>55</v>
      </c>
      <c r="B31" s="69" t="s">
        <v>56</v>
      </c>
      <c r="C31" s="70" t="s">
        <v>57</v>
      </c>
      <c r="D31" s="71"/>
      <c r="E31" s="23" t="s">
        <v>51</v>
      </c>
      <c r="F31" s="73" t="s">
        <v>38</v>
      </c>
      <c r="G31" s="74"/>
      <c r="H31" s="53"/>
      <c r="I31" s="18"/>
    </row>
    <row r="32" spans="1:9" ht="22.8" x14ac:dyDescent="0.4">
      <c r="A32" s="68">
        <v>701096</v>
      </c>
      <c r="B32" s="69" t="s">
        <v>58</v>
      </c>
      <c r="C32" s="70" t="s">
        <v>59</v>
      </c>
      <c r="D32" s="71"/>
      <c r="E32" s="23">
        <v>1</v>
      </c>
      <c r="F32" s="75" t="s">
        <v>38</v>
      </c>
      <c r="G32" s="51"/>
      <c r="H32" s="53"/>
      <c r="I32" s="18"/>
    </row>
    <row r="33" spans="1:9" ht="22.8" x14ac:dyDescent="0.4">
      <c r="A33" s="30"/>
      <c r="B33" s="76"/>
      <c r="C33" s="31"/>
      <c r="D33" s="25"/>
      <c r="E33" s="24"/>
      <c r="F33" s="33"/>
      <c r="G33" s="51"/>
      <c r="H33" s="57"/>
      <c r="I33" s="18"/>
    </row>
    <row r="34" spans="1:9" ht="22.8" x14ac:dyDescent="0.4">
      <c r="A34" s="54"/>
      <c r="B34" s="55"/>
      <c r="C34" s="77"/>
      <c r="D34" s="57"/>
      <c r="E34" s="57"/>
      <c r="F34" s="52"/>
      <c r="G34" s="57"/>
      <c r="H34" s="57"/>
      <c r="I34" s="18"/>
    </row>
    <row r="35" spans="1:9" ht="23.4" thickBot="1" x14ac:dyDescent="0.45">
      <c r="A35" s="78"/>
      <c r="B35" s="79"/>
      <c r="C35" s="80"/>
      <c r="D35" s="80"/>
      <c r="E35" s="81"/>
      <c r="F35" s="82"/>
      <c r="G35" s="80"/>
      <c r="H35" s="80"/>
      <c r="I35" s="83"/>
    </row>
    <row r="36" spans="1:9" ht="23.4" thickBot="1" x14ac:dyDescent="0.45">
      <c r="A36" s="84"/>
      <c r="B36" s="85"/>
      <c r="C36" s="86"/>
      <c r="D36" s="87" t="s">
        <v>18</v>
      </c>
      <c r="E36" s="88" t="s">
        <v>60</v>
      </c>
      <c r="F36" s="89"/>
      <c r="G36" s="86"/>
      <c r="H36" s="86"/>
      <c r="I36" s="90"/>
    </row>
    <row r="37" spans="1:9" ht="22.8" x14ac:dyDescent="0.4">
      <c r="A37" s="239" t="s">
        <v>61</v>
      </c>
      <c r="B37" s="240"/>
      <c r="C37" s="241"/>
      <c r="D37" s="91">
        <v>229</v>
      </c>
      <c r="E37" s="92" t="s">
        <v>26</v>
      </c>
      <c r="F37" s="242" t="s">
        <v>62</v>
      </c>
      <c r="G37" s="242"/>
      <c r="H37" s="243"/>
      <c r="I37" s="244"/>
    </row>
    <row r="38" spans="1:9" ht="22.8" x14ac:dyDescent="0.4">
      <c r="A38" s="222" t="s">
        <v>63</v>
      </c>
      <c r="B38" s="223"/>
      <c r="C38" s="224"/>
      <c r="D38" s="43">
        <v>5</v>
      </c>
      <c r="E38" s="25" t="s">
        <v>64</v>
      </c>
      <c r="F38" s="225" t="s">
        <v>65</v>
      </c>
      <c r="G38" s="225"/>
      <c r="H38" s="226"/>
      <c r="I38" s="227"/>
    </row>
    <row r="39" spans="1:9" ht="22.8" x14ac:dyDescent="0.4">
      <c r="A39" s="222" t="s">
        <v>66</v>
      </c>
      <c r="B39" s="223"/>
      <c r="C39" s="224"/>
      <c r="D39" s="25">
        <v>1</v>
      </c>
      <c r="E39" s="25" t="s">
        <v>38</v>
      </c>
      <c r="F39" s="225" t="s">
        <v>67</v>
      </c>
      <c r="G39" s="225"/>
      <c r="H39" s="226"/>
      <c r="I39" s="227"/>
    </row>
    <row r="40" spans="1:9" ht="22.8" x14ac:dyDescent="0.4">
      <c r="A40" s="222" t="s">
        <v>68</v>
      </c>
      <c r="B40" s="223"/>
      <c r="C40" s="224"/>
      <c r="D40" s="25">
        <v>229</v>
      </c>
      <c r="E40" s="25" t="s">
        <v>26</v>
      </c>
      <c r="F40" s="228" t="s">
        <v>69</v>
      </c>
      <c r="G40" s="229"/>
      <c r="H40" s="226"/>
      <c r="I40" s="227"/>
    </row>
    <row r="41" spans="1:9" ht="23.4" thickBot="1" x14ac:dyDescent="0.45">
      <c r="A41" s="230" t="s">
        <v>70</v>
      </c>
      <c r="B41" s="231"/>
      <c r="C41" s="232"/>
      <c r="D41" s="93">
        <v>20</v>
      </c>
      <c r="E41" s="94" t="s">
        <v>26</v>
      </c>
      <c r="F41" s="233"/>
      <c r="G41" s="233"/>
      <c r="H41" s="234"/>
      <c r="I41" s="235"/>
    </row>
    <row r="42" spans="1:9" ht="23.4" thickBot="1" x14ac:dyDescent="0.45">
      <c r="A42" s="236" t="s">
        <v>71</v>
      </c>
      <c r="B42" s="237"/>
      <c r="C42" s="237"/>
      <c r="D42" s="237"/>
      <c r="E42" s="237"/>
      <c r="F42" s="237"/>
      <c r="G42" s="237"/>
      <c r="H42" s="237"/>
      <c r="I42" s="238"/>
    </row>
    <row r="43" spans="1:9" ht="22.8" x14ac:dyDescent="0.4">
      <c r="A43" s="204" t="s">
        <v>78</v>
      </c>
      <c r="B43" s="205"/>
      <c r="C43" s="206"/>
      <c r="D43" s="206"/>
      <c r="E43" s="206"/>
      <c r="F43" s="206"/>
      <c r="G43" s="206"/>
      <c r="H43" s="206"/>
      <c r="I43" s="207"/>
    </row>
    <row r="44" spans="1:9" ht="22.8" x14ac:dyDescent="0.4">
      <c r="A44" s="204" t="s">
        <v>79</v>
      </c>
      <c r="B44" s="205"/>
      <c r="C44" s="206"/>
      <c r="D44" s="206"/>
      <c r="E44" s="206"/>
      <c r="F44" s="206"/>
      <c r="G44" s="206"/>
      <c r="H44" s="206"/>
      <c r="I44" s="207"/>
    </row>
    <row r="45" spans="1:9" ht="22.8" x14ac:dyDescent="0.4">
      <c r="A45" s="204" t="s">
        <v>89</v>
      </c>
      <c r="B45" s="205"/>
      <c r="C45" s="206"/>
      <c r="D45" s="206"/>
      <c r="E45" s="206"/>
      <c r="F45" s="206"/>
      <c r="G45" s="206"/>
      <c r="H45" s="206"/>
      <c r="I45" s="207"/>
    </row>
    <row r="46" spans="1:9" ht="22.8" x14ac:dyDescent="0.4">
      <c r="A46" s="204" t="s">
        <v>90</v>
      </c>
      <c r="B46" s="205"/>
      <c r="C46" s="206"/>
      <c r="D46" s="206"/>
      <c r="E46" s="206"/>
      <c r="F46" s="206"/>
      <c r="G46" s="206"/>
      <c r="H46" s="206"/>
      <c r="I46" s="207"/>
    </row>
    <row r="47" spans="1:9" ht="22.8" x14ac:dyDescent="0.4">
      <c r="A47" s="208" t="s">
        <v>91</v>
      </c>
      <c r="B47" s="209"/>
      <c r="C47" s="209"/>
      <c r="D47" s="209"/>
      <c r="E47" s="209"/>
      <c r="F47" s="209"/>
      <c r="G47" s="209"/>
      <c r="H47" s="209"/>
      <c r="I47" s="210"/>
    </row>
    <row r="48" spans="1:9" ht="22.8" x14ac:dyDescent="0.4">
      <c r="A48" s="211"/>
      <c r="B48" s="212"/>
      <c r="C48" s="212"/>
      <c r="D48" s="212"/>
      <c r="E48" s="212"/>
      <c r="F48" s="212"/>
      <c r="G48" s="212"/>
      <c r="H48" s="212"/>
      <c r="I48" s="213"/>
    </row>
    <row r="49" spans="1:9" ht="18" customHeight="1" x14ac:dyDescent="0.4">
      <c r="A49" s="211"/>
      <c r="B49" s="212"/>
      <c r="C49" s="212"/>
      <c r="D49" s="212"/>
      <c r="E49" s="212"/>
      <c r="F49" s="212"/>
      <c r="G49" s="212"/>
      <c r="H49" s="212"/>
      <c r="I49" s="213"/>
    </row>
    <row r="50" spans="1:9" ht="22.8" x14ac:dyDescent="0.4">
      <c r="A50" s="211"/>
      <c r="B50" s="212"/>
      <c r="C50" s="212"/>
      <c r="D50" s="212"/>
      <c r="E50" s="212"/>
      <c r="F50" s="212"/>
      <c r="G50" s="212"/>
      <c r="H50" s="212"/>
      <c r="I50" s="213"/>
    </row>
    <row r="51" spans="1:9" ht="23.4" thickBot="1" x14ac:dyDescent="0.45">
      <c r="A51" s="214"/>
      <c r="B51" s="215"/>
      <c r="C51" s="215"/>
      <c r="D51" s="215"/>
      <c r="E51" s="215"/>
      <c r="F51" s="215"/>
      <c r="G51" s="215"/>
      <c r="H51" s="215"/>
      <c r="I51" s="216"/>
    </row>
    <row r="52" spans="1:9" ht="22.8" x14ac:dyDescent="0.4">
      <c r="A52" s="217" t="s">
        <v>72</v>
      </c>
      <c r="B52" s="218"/>
      <c r="C52" s="218"/>
      <c r="D52" s="218"/>
      <c r="E52" s="218"/>
      <c r="F52" s="218"/>
      <c r="G52" s="218"/>
      <c r="H52" s="218"/>
      <c r="I52" s="218"/>
    </row>
    <row r="53" spans="1:9" ht="20.399999999999999" x14ac:dyDescent="0.35">
      <c r="A53" s="219" t="s">
        <v>73</v>
      </c>
      <c r="B53" s="220"/>
      <c r="C53" s="220"/>
      <c r="D53" s="220"/>
      <c r="E53" s="220"/>
      <c r="F53" s="220"/>
      <c r="G53" s="220"/>
      <c r="H53" s="220"/>
      <c r="I53" s="221"/>
    </row>
    <row r="54" spans="1:9" ht="20.399999999999999" x14ac:dyDescent="0.35">
      <c r="A54" s="202" t="s">
        <v>76</v>
      </c>
      <c r="B54" s="203"/>
      <c r="C54" s="203"/>
      <c r="D54" s="203"/>
      <c r="E54" s="203"/>
      <c r="F54" s="203"/>
      <c r="G54" s="203"/>
      <c r="H54" s="203"/>
      <c r="I54" s="203"/>
    </row>
    <row r="55" spans="1:9" ht="20.399999999999999" x14ac:dyDescent="0.35">
      <c r="A55" s="96" t="s">
        <v>92</v>
      </c>
      <c r="B55" s="96"/>
      <c r="C55" s="96"/>
      <c r="D55" s="96"/>
      <c r="E55" s="96"/>
      <c r="F55" s="96"/>
      <c r="G55" s="96"/>
      <c r="H55" s="96"/>
      <c r="I55" s="96"/>
    </row>
  </sheetData>
  <mergeCells count="45">
    <mergeCell ref="I3:I5"/>
    <mergeCell ref="D4:G4"/>
    <mergeCell ref="D5:G5"/>
    <mergeCell ref="A1:B5"/>
    <mergeCell ref="C1:G1"/>
    <mergeCell ref="C2:G2"/>
    <mergeCell ref="C3:G3"/>
    <mergeCell ref="H3:H5"/>
    <mergeCell ref="A6:C6"/>
    <mergeCell ref="D6:F6"/>
    <mergeCell ref="G6:H6"/>
    <mergeCell ref="A7:A8"/>
    <mergeCell ref="B7:B8"/>
    <mergeCell ref="C7:C8"/>
    <mergeCell ref="D7:D8"/>
    <mergeCell ref="E7:F7"/>
    <mergeCell ref="G7:H7"/>
    <mergeCell ref="A37:C37"/>
    <mergeCell ref="F37:G37"/>
    <mergeCell ref="H37:I37"/>
    <mergeCell ref="A38:C38"/>
    <mergeCell ref="F38:G38"/>
    <mergeCell ref="H38:I38"/>
    <mergeCell ref="A44:I44"/>
    <mergeCell ref="A39:C39"/>
    <mergeCell ref="F39:G39"/>
    <mergeCell ref="H39:I39"/>
    <mergeCell ref="A40:C40"/>
    <mergeCell ref="F40:G40"/>
    <mergeCell ref="H40:I40"/>
    <mergeCell ref="A41:C41"/>
    <mergeCell ref="F41:G41"/>
    <mergeCell ref="H41:I41"/>
    <mergeCell ref="A42:I42"/>
    <mergeCell ref="A43:I43"/>
    <mergeCell ref="A54:I54"/>
    <mergeCell ref="A45:I45"/>
    <mergeCell ref="A46:I46"/>
    <mergeCell ref="A47:I47"/>
    <mergeCell ref="A48:I48"/>
    <mergeCell ref="A49:I49"/>
    <mergeCell ref="A50:I50"/>
    <mergeCell ref="A51:I51"/>
    <mergeCell ref="A52:I52"/>
    <mergeCell ref="A53:I53"/>
  </mergeCells>
  <phoneticPr fontId="10" type="noConversion"/>
  <pageMargins left="0.7" right="0.7" top="0.75" bottom="0.75" header="0.3" footer="0.3"/>
  <pageSetup scale="36" orientation="portrait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E9730A4-43C6-4A1A-825B-3932D9912DC0}">
  <dimension ref="A1:K52"/>
  <sheetViews>
    <sheetView tabSelected="1" topLeftCell="A12" zoomScale="70" zoomScaleNormal="70" workbookViewId="0">
      <selection activeCell="B25" sqref="B25"/>
    </sheetView>
  </sheetViews>
  <sheetFormatPr baseColWidth="10" defaultRowHeight="14.4" x14ac:dyDescent="0.3"/>
  <cols>
    <col min="1" max="1" width="21.109375" customWidth="1"/>
    <col min="2" max="2" width="18.5546875" bestFit="1" customWidth="1"/>
    <col min="3" max="3" width="78.44140625" customWidth="1"/>
    <col min="4" max="4" width="14.6640625" customWidth="1"/>
    <col min="7" max="7" width="22" customWidth="1"/>
    <col min="8" max="8" width="29.5546875" bestFit="1" customWidth="1"/>
    <col min="9" max="9" width="21.5546875" bestFit="1" customWidth="1"/>
  </cols>
  <sheetData>
    <row r="1" spans="1:9" ht="15.6" x14ac:dyDescent="0.3">
      <c r="A1" s="263"/>
      <c r="B1" s="264"/>
      <c r="C1" s="269" t="s">
        <v>0</v>
      </c>
      <c r="D1" s="269"/>
      <c r="E1" s="269"/>
      <c r="F1" s="269"/>
      <c r="G1" s="269"/>
      <c r="H1" s="1" t="s">
        <v>1</v>
      </c>
      <c r="I1" s="2" t="s">
        <v>2</v>
      </c>
    </row>
    <row r="2" spans="1:9" ht="16.2" thickBot="1" x14ac:dyDescent="0.35">
      <c r="A2" s="265"/>
      <c r="B2" s="266"/>
      <c r="C2" s="270" t="s">
        <v>3</v>
      </c>
      <c r="D2" s="270"/>
      <c r="E2" s="270"/>
      <c r="F2" s="270"/>
      <c r="G2" s="270"/>
      <c r="H2" s="3" t="s">
        <v>4</v>
      </c>
      <c r="I2" s="4" t="s">
        <v>188</v>
      </c>
    </row>
    <row r="3" spans="1:9" ht="31.5" customHeight="1" thickBot="1" x14ac:dyDescent="0.35">
      <c r="A3" s="265"/>
      <c r="B3" s="266"/>
      <c r="C3" s="320" t="s">
        <v>81</v>
      </c>
      <c r="D3" s="320"/>
      <c r="E3" s="320"/>
      <c r="F3" s="320"/>
      <c r="G3" s="321"/>
      <c r="H3" s="273" t="s">
        <v>5</v>
      </c>
      <c r="I3" s="254">
        <v>45609</v>
      </c>
    </row>
    <row r="4" spans="1:9" ht="15.6" x14ac:dyDescent="0.3">
      <c r="A4" s="265"/>
      <c r="B4" s="266"/>
      <c r="C4" s="5" t="s">
        <v>6</v>
      </c>
      <c r="D4" s="257" t="s">
        <v>82</v>
      </c>
      <c r="E4" s="258"/>
      <c r="F4" s="258"/>
      <c r="G4" s="259"/>
      <c r="H4" s="274"/>
      <c r="I4" s="255"/>
    </row>
    <row r="5" spans="1:9" ht="16.2" thickBot="1" x14ac:dyDescent="0.35">
      <c r="A5" s="267"/>
      <c r="B5" s="268"/>
      <c r="C5" s="6" t="s">
        <v>7</v>
      </c>
      <c r="D5" s="260" t="s">
        <v>83</v>
      </c>
      <c r="E5" s="261"/>
      <c r="F5" s="261"/>
      <c r="G5" s="262"/>
      <c r="H5" s="275"/>
      <c r="I5" s="256"/>
    </row>
    <row r="6" spans="1:9" ht="18" thickBot="1" x14ac:dyDescent="0.35">
      <c r="A6" s="245" t="s">
        <v>8</v>
      </c>
      <c r="B6" s="245"/>
      <c r="C6" s="245"/>
      <c r="D6" s="319" t="s">
        <v>9</v>
      </c>
      <c r="E6" s="319"/>
      <c r="F6" s="319"/>
      <c r="G6" s="247" t="s">
        <v>10</v>
      </c>
      <c r="H6" s="247"/>
      <c r="I6" s="201" t="s">
        <v>9</v>
      </c>
    </row>
    <row r="7" spans="1:9" x14ac:dyDescent="0.3">
      <c r="A7" s="248" t="s">
        <v>11</v>
      </c>
      <c r="B7" s="250" t="s">
        <v>12</v>
      </c>
      <c r="C7" s="252" t="s">
        <v>13</v>
      </c>
      <c r="D7" s="252" t="s">
        <v>14</v>
      </c>
      <c r="E7" s="252" t="s">
        <v>15</v>
      </c>
      <c r="F7" s="252"/>
      <c r="G7" s="252" t="s">
        <v>16</v>
      </c>
      <c r="H7" s="252"/>
      <c r="I7" s="8" t="s">
        <v>17</v>
      </c>
    </row>
    <row r="8" spans="1:9" ht="27" thickBot="1" x14ac:dyDescent="0.35">
      <c r="A8" s="249"/>
      <c r="B8" s="251"/>
      <c r="C8" s="253"/>
      <c r="D8" s="253"/>
      <c r="E8" s="9" t="s">
        <v>18</v>
      </c>
      <c r="F8" s="10" t="s">
        <v>19</v>
      </c>
      <c r="G8" s="9" t="s">
        <v>18</v>
      </c>
      <c r="H8" s="10" t="s">
        <v>19</v>
      </c>
      <c r="I8" s="11" t="s">
        <v>20</v>
      </c>
    </row>
    <row r="9" spans="1:9" ht="21" x14ac:dyDescent="0.4">
      <c r="A9" s="131"/>
      <c r="B9" s="132"/>
      <c r="C9" s="133" t="s">
        <v>21</v>
      </c>
      <c r="D9" s="134"/>
      <c r="E9" s="135"/>
      <c r="F9" s="136"/>
      <c r="G9" s="135"/>
      <c r="H9" s="136"/>
      <c r="I9" s="137"/>
    </row>
    <row r="10" spans="1:9" ht="20.399999999999999" x14ac:dyDescent="0.35">
      <c r="A10" s="138" t="s">
        <v>22</v>
      </c>
      <c r="B10" s="139" t="s">
        <v>23</v>
      </c>
      <c r="C10" s="140" t="s">
        <v>24</v>
      </c>
      <c r="D10" s="127" t="s">
        <v>25</v>
      </c>
      <c r="E10" s="127">
        <v>10</v>
      </c>
      <c r="F10" s="141" t="s">
        <v>26</v>
      </c>
      <c r="G10" s="142"/>
      <c r="H10" s="128" t="s">
        <v>27</v>
      </c>
      <c r="I10" s="137"/>
    </row>
    <row r="11" spans="1:9" ht="20.399999999999999" x14ac:dyDescent="0.35">
      <c r="A11" s="138"/>
      <c r="B11" s="139" t="s">
        <v>28</v>
      </c>
      <c r="C11" s="140" t="s">
        <v>29</v>
      </c>
      <c r="D11" s="127" t="s">
        <v>30</v>
      </c>
      <c r="E11" s="127">
        <v>112</v>
      </c>
      <c r="F11" s="141" t="s">
        <v>26</v>
      </c>
      <c r="G11" s="142"/>
      <c r="H11" s="143"/>
      <c r="I11" s="137"/>
    </row>
    <row r="12" spans="1:9" ht="20.399999999999999" x14ac:dyDescent="0.35">
      <c r="A12" s="138" t="s">
        <v>31</v>
      </c>
      <c r="B12" s="139" t="s">
        <v>32</v>
      </c>
      <c r="C12" s="96" t="s">
        <v>33</v>
      </c>
      <c r="D12" s="127" t="s">
        <v>25</v>
      </c>
      <c r="E12" s="128">
        <v>30</v>
      </c>
      <c r="F12" s="129" t="s">
        <v>26</v>
      </c>
      <c r="G12" s="142"/>
      <c r="H12" s="144"/>
      <c r="I12" s="137"/>
    </row>
    <row r="13" spans="1:9" ht="20.399999999999999" x14ac:dyDescent="0.35">
      <c r="A13" s="145"/>
      <c r="B13" s="145"/>
      <c r="C13" s="146"/>
      <c r="D13" s="147"/>
      <c r="E13" s="142"/>
      <c r="F13" s="148"/>
      <c r="G13" s="142"/>
      <c r="H13" s="144"/>
      <c r="I13" s="137"/>
    </row>
    <row r="14" spans="1:9" ht="21" x14ac:dyDescent="0.4">
      <c r="A14" s="150"/>
      <c r="B14" s="150"/>
      <c r="C14" s="151"/>
      <c r="D14" s="152"/>
      <c r="E14" s="153"/>
      <c r="F14" s="154"/>
      <c r="G14" s="149"/>
      <c r="H14" s="144"/>
      <c r="I14" s="137"/>
    </row>
    <row r="15" spans="1:9" ht="20.399999999999999" x14ac:dyDescent="0.35">
      <c r="A15" s="145"/>
      <c r="B15" s="145"/>
      <c r="C15" s="146"/>
      <c r="D15" s="155"/>
      <c r="E15" s="156"/>
      <c r="F15" s="157"/>
      <c r="G15" s="130"/>
      <c r="H15" s="144"/>
      <c r="I15" s="137"/>
    </row>
    <row r="16" spans="1:9" ht="21" x14ac:dyDescent="0.4">
      <c r="A16" s="145"/>
      <c r="B16" s="145"/>
      <c r="C16" s="146"/>
      <c r="D16" s="158"/>
      <c r="E16" s="158"/>
      <c r="F16" s="159"/>
      <c r="G16" s="135"/>
      <c r="H16" s="160"/>
      <c r="I16" s="137"/>
    </row>
    <row r="17" spans="1:11" ht="21" x14ac:dyDescent="0.4">
      <c r="A17" s="161"/>
      <c r="B17" s="162"/>
      <c r="C17" s="163" t="s">
        <v>34</v>
      </c>
      <c r="D17" s="164" t="s">
        <v>35</v>
      </c>
      <c r="E17" s="165"/>
      <c r="F17" s="159"/>
      <c r="G17" s="135"/>
      <c r="H17" s="160"/>
      <c r="I17" s="137"/>
    </row>
    <row r="18" spans="1:11" ht="45" customHeight="1" x14ac:dyDescent="0.35">
      <c r="A18" s="138" t="s">
        <v>22</v>
      </c>
      <c r="B18" s="139" t="s">
        <v>23</v>
      </c>
      <c r="C18" s="146" t="s">
        <v>24</v>
      </c>
      <c r="D18" s="127" t="s">
        <v>25</v>
      </c>
      <c r="E18" s="128">
        <v>16</v>
      </c>
      <c r="F18" s="129" t="s">
        <v>26</v>
      </c>
      <c r="G18" s="142"/>
      <c r="H18" s="166" t="s">
        <v>80</v>
      </c>
      <c r="I18" s="137"/>
    </row>
    <row r="19" spans="1:11" ht="20.399999999999999" x14ac:dyDescent="0.35">
      <c r="A19" s="138" t="s">
        <v>36</v>
      </c>
      <c r="B19" s="139" t="s">
        <v>165</v>
      </c>
      <c r="C19" s="146" t="s">
        <v>37</v>
      </c>
      <c r="D19" s="127" t="s">
        <v>30</v>
      </c>
      <c r="E19" s="128">
        <v>80</v>
      </c>
      <c r="F19" s="129" t="s">
        <v>26</v>
      </c>
      <c r="G19" s="130"/>
      <c r="H19" s="130" t="s">
        <v>182</v>
      </c>
      <c r="I19" s="137"/>
      <c r="K19">
        <f>80/1000</f>
        <v>0.08</v>
      </c>
    </row>
    <row r="20" spans="1:11" ht="20.399999999999999" x14ac:dyDescent="0.35">
      <c r="A20" s="129"/>
      <c r="B20" s="145" t="s">
        <v>84</v>
      </c>
      <c r="C20" s="96" t="s">
        <v>85</v>
      </c>
      <c r="D20" s="142"/>
      <c r="E20" s="128">
        <v>1.5</v>
      </c>
      <c r="F20" s="148" t="s">
        <v>26</v>
      </c>
      <c r="G20" s="167" t="s">
        <v>88</v>
      </c>
      <c r="H20" s="168"/>
      <c r="I20" s="137"/>
    </row>
    <row r="21" spans="1:11" ht="21" x14ac:dyDescent="0.4">
      <c r="A21" s="145"/>
      <c r="B21" s="127" t="s">
        <v>86</v>
      </c>
      <c r="C21" s="169" t="s">
        <v>87</v>
      </c>
      <c r="D21" s="127"/>
      <c r="E21" s="170">
        <v>1</v>
      </c>
      <c r="F21" s="171" t="s">
        <v>26</v>
      </c>
      <c r="G21" s="135"/>
      <c r="H21" s="160"/>
      <c r="I21" s="137"/>
    </row>
    <row r="22" spans="1:11" ht="21" x14ac:dyDescent="0.4">
      <c r="A22" s="145"/>
      <c r="B22" s="145"/>
      <c r="C22" s="146"/>
      <c r="D22" s="172" t="s">
        <v>35</v>
      </c>
      <c r="E22" s="173"/>
      <c r="F22" s="174"/>
      <c r="G22" s="135"/>
      <c r="H22" s="160"/>
      <c r="I22" s="137"/>
    </row>
    <row r="23" spans="1:11" ht="21" x14ac:dyDescent="0.4">
      <c r="A23" s="175"/>
      <c r="B23" s="176"/>
      <c r="C23" s="133" t="s">
        <v>39</v>
      </c>
      <c r="D23" s="177" t="s">
        <v>35</v>
      </c>
      <c r="E23" s="135"/>
      <c r="F23" s="136"/>
      <c r="G23" s="135"/>
      <c r="H23" s="160"/>
      <c r="I23" s="137"/>
    </row>
    <row r="24" spans="1:11" ht="20.399999999999999" x14ac:dyDescent="0.35">
      <c r="A24" s="138" t="s">
        <v>40</v>
      </c>
      <c r="B24" s="139" t="s">
        <v>41</v>
      </c>
      <c r="C24" s="140" t="s">
        <v>42</v>
      </c>
      <c r="D24" s="127" t="s">
        <v>43</v>
      </c>
      <c r="E24" s="141">
        <v>1</v>
      </c>
      <c r="F24" s="178" t="s">
        <v>38</v>
      </c>
      <c r="G24" s="149"/>
      <c r="H24" s="160"/>
      <c r="I24" s="137"/>
    </row>
    <row r="25" spans="1:11" ht="20.399999999999999" x14ac:dyDescent="0.35">
      <c r="A25" s="138">
        <v>702077</v>
      </c>
      <c r="B25" s="139" t="s">
        <v>44</v>
      </c>
      <c r="C25" s="140" t="s">
        <v>45</v>
      </c>
      <c r="D25" s="127" t="s">
        <v>46</v>
      </c>
      <c r="E25" s="141">
        <v>1</v>
      </c>
      <c r="F25" s="178" t="s">
        <v>38</v>
      </c>
      <c r="G25" s="179"/>
      <c r="H25" s="160"/>
      <c r="I25" s="137"/>
    </row>
    <row r="26" spans="1:11" ht="21" x14ac:dyDescent="0.4">
      <c r="A26" s="138">
        <v>702007</v>
      </c>
      <c r="B26" s="139" t="s">
        <v>47</v>
      </c>
      <c r="C26" s="140" t="s">
        <v>48</v>
      </c>
      <c r="D26" s="127" t="s">
        <v>46</v>
      </c>
      <c r="E26" s="141">
        <v>1</v>
      </c>
      <c r="F26" s="178" t="s">
        <v>38</v>
      </c>
      <c r="G26" s="135"/>
      <c r="H26" s="160"/>
      <c r="I26" s="137"/>
    </row>
    <row r="27" spans="1:11" ht="21" x14ac:dyDescent="0.4">
      <c r="A27" s="138">
        <v>702123</v>
      </c>
      <c r="B27" s="139" t="s">
        <v>49</v>
      </c>
      <c r="C27" s="140" t="s">
        <v>50</v>
      </c>
      <c r="D27" s="127"/>
      <c r="E27" s="141" t="s">
        <v>51</v>
      </c>
      <c r="F27" s="178" t="s">
        <v>38</v>
      </c>
      <c r="G27" s="135"/>
      <c r="H27" s="160"/>
      <c r="I27" s="137"/>
    </row>
    <row r="28" spans="1:11" ht="21" x14ac:dyDescent="0.4">
      <c r="A28" s="138">
        <v>702174</v>
      </c>
      <c r="B28" s="139" t="s">
        <v>52</v>
      </c>
      <c r="C28" s="140" t="s">
        <v>53</v>
      </c>
      <c r="D28" s="127"/>
      <c r="E28" s="141" t="s">
        <v>54</v>
      </c>
      <c r="F28" s="178" t="s">
        <v>38</v>
      </c>
      <c r="G28" s="135"/>
      <c r="H28" s="160"/>
      <c r="I28" s="137"/>
    </row>
    <row r="29" spans="1:11" ht="20.399999999999999" x14ac:dyDescent="0.35">
      <c r="A29" s="138" t="s">
        <v>55</v>
      </c>
      <c r="B29" s="139" t="s">
        <v>56</v>
      </c>
      <c r="C29" s="140" t="s">
        <v>57</v>
      </c>
      <c r="D29" s="127"/>
      <c r="E29" s="141" t="s">
        <v>51</v>
      </c>
      <c r="F29" s="180" t="s">
        <v>38</v>
      </c>
      <c r="G29" s="181"/>
      <c r="H29" s="160"/>
      <c r="I29" s="137"/>
    </row>
    <row r="30" spans="1:11" ht="20.399999999999999" x14ac:dyDescent="0.35">
      <c r="A30" s="138">
        <v>701096</v>
      </c>
      <c r="B30" s="139" t="s">
        <v>58</v>
      </c>
      <c r="C30" s="140" t="s">
        <v>59</v>
      </c>
      <c r="D30" s="127"/>
      <c r="E30" s="141">
        <v>1</v>
      </c>
      <c r="F30" s="182" t="s">
        <v>38</v>
      </c>
      <c r="G30" s="158"/>
      <c r="H30" s="160"/>
      <c r="I30" s="137"/>
    </row>
    <row r="31" spans="1:11" ht="20.399999999999999" x14ac:dyDescent="0.35">
      <c r="A31" s="145"/>
      <c r="B31" s="167"/>
      <c r="C31" s="146"/>
      <c r="D31" s="128"/>
      <c r="E31" s="142"/>
      <c r="F31" s="148"/>
      <c r="G31" s="158"/>
      <c r="H31" s="164"/>
      <c r="I31" s="137"/>
    </row>
    <row r="32" spans="1:11" ht="20.399999999999999" x14ac:dyDescent="0.35">
      <c r="A32" s="161"/>
      <c r="B32" s="162"/>
      <c r="C32" s="183"/>
      <c r="D32" s="164"/>
      <c r="E32" s="164"/>
      <c r="F32" s="159"/>
      <c r="G32" s="164"/>
      <c r="H32" s="164"/>
      <c r="I32" s="137"/>
    </row>
    <row r="33" spans="1:9" ht="21" thickBot="1" x14ac:dyDescent="0.4">
      <c r="A33" s="184"/>
      <c r="B33" s="185"/>
      <c r="C33" s="186"/>
      <c r="D33" s="186"/>
      <c r="E33" s="156"/>
      <c r="F33" s="187"/>
      <c r="G33" s="188"/>
      <c r="H33" s="188"/>
      <c r="I33" s="189"/>
    </row>
    <row r="34" spans="1:9" ht="21.6" thickBot="1" x14ac:dyDescent="0.45">
      <c r="A34" s="190"/>
      <c r="B34" s="191"/>
      <c r="C34" s="192"/>
      <c r="D34" s="193" t="s">
        <v>18</v>
      </c>
      <c r="E34" s="194" t="s">
        <v>60</v>
      </c>
      <c r="F34" s="195"/>
      <c r="G34" s="192"/>
      <c r="H34" s="192"/>
      <c r="I34" s="196"/>
    </row>
    <row r="35" spans="1:9" ht="21" x14ac:dyDescent="0.4">
      <c r="A35" s="313" t="s">
        <v>61</v>
      </c>
      <c r="B35" s="314"/>
      <c r="C35" s="315"/>
      <c r="D35" s="197">
        <v>229</v>
      </c>
      <c r="E35" s="198" t="s">
        <v>26</v>
      </c>
      <c r="F35" s="316" t="s">
        <v>62</v>
      </c>
      <c r="G35" s="316"/>
      <c r="H35" s="317"/>
      <c r="I35" s="318"/>
    </row>
    <row r="36" spans="1:9" ht="21" x14ac:dyDescent="0.4">
      <c r="A36" s="295" t="s">
        <v>63</v>
      </c>
      <c r="B36" s="296"/>
      <c r="C36" s="297"/>
      <c r="D36" s="152">
        <v>5</v>
      </c>
      <c r="E36" s="128" t="s">
        <v>64</v>
      </c>
      <c r="F36" s="298" t="s">
        <v>65</v>
      </c>
      <c r="G36" s="298"/>
      <c r="H36" s="299"/>
      <c r="I36" s="300"/>
    </row>
    <row r="37" spans="1:9" ht="21" x14ac:dyDescent="0.4">
      <c r="A37" s="295" t="s">
        <v>66</v>
      </c>
      <c r="B37" s="296"/>
      <c r="C37" s="297"/>
      <c r="D37" s="128">
        <v>1</v>
      </c>
      <c r="E37" s="128" t="s">
        <v>38</v>
      </c>
      <c r="F37" s="298" t="s">
        <v>67</v>
      </c>
      <c r="G37" s="298"/>
      <c r="H37" s="299"/>
      <c r="I37" s="300"/>
    </row>
    <row r="38" spans="1:9" ht="21" x14ac:dyDescent="0.4">
      <c r="A38" s="295" t="s">
        <v>68</v>
      </c>
      <c r="B38" s="296"/>
      <c r="C38" s="297"/>
      <c r="D38" s="128">
        <v>229</v>
      </c>
      <c r="E38" s="128" t="s">
        <v>26</v>
      </c>
      <c r="F38" s="301" t="s">
        <v>69</v>
      </c>
      <c r="G38" s="302"/>
      <c r="H38" s="299"/>
      <c r="I38" s="300"/>
    </row>
    <row r="39" spans="1:9" ht="21.6" thickBot="1" x14ac:dyDescent="0.45">
      <c r="A39" s="303" t="s">
        <v>70</v>
      </c>
      <c r="B39" s="304"/>
      <c r="C39" s="305"/>
      <c r="D39" s="199">
        <v>21.5</v>
      </c>
      <c r="E39" s="200" t="s">
        <v>26</v>
      </c>
      <c r="F39" s="306"/>
      <c r="G39" s="306"/>
      <c r="H39" s="307"/>
      <c r="I39" s="308"/>
    </row>
    <row r="40" spans="1:9" ht="21.6" thickBot="1" x14ac:dyDescent="0.45">
      <c r="A40" s="309" t="s">
        <v>71</v>
      </c>
      <c r="B40" s="310"/>
      <c r="C40" s="310"/>
      <c r="D40" s="310"/>
      <c r="E40" s="310"/>
      <c r="F40" s="310"/>
      <c r="G40" s="310"/>
      <c r="H40" s="310"/>
      <c r="I40" s="311"/>
    </row>
    <row r="41" spans="1:9" ht="47.25" customHeight="1" x14ac:dyDescent="0.35">
      <c r="A41" s="312" t="s">
        <v>187</v>
      </c>
      <c r="B41" s="281"/>
      <c r="C41" s="282"/>
      <c r="D41" s="282"/>
      <c r="E41" s="282"/>
      <c r="F41" s="282"/>
      <c r="G41" s="282"/>
      <c r="H41" s="282"/>
      <c r="I41" s="283"/>
    </row>
    <row r="42" spans="1:9" ht="21" x14ac:dyDescent="0.4">
      <c r="A42" s="280" t="s">
        <v>183</v>
      </c>
      <c r="B42" s="281"/>
      <c r="C42" s="282"/>
      <c r="D42" s="282"/>
      <c r="E42" s="282"/>
      <c r="F42" s="282"/>
      <c r="G42" s="282"/>
      <c r="H42" s="282"/>
      <c r="I42" s="283"/>
    </row>
    <row r="43" spans="1:9" ht="21" x14ac:dyDescent="0.4">
      <c r="A43" s="280" t="s">
        <v>184</v>
      </c>
      <c r="B43" s="281"/>
      <c r="C43" s="282"/>
      <c r="D43" s="282"/>
      <c r="E43" s="282"/>
      <c r="F43" s="282"/>
      <c r="G43" s="282"/>
      <c r="H43" s="282"/>
      <c r="I43" s="283"/>
    </row>
    <row r="44" spans="1:9" ht="21" x14ac:dyDescent="0.4">
      <c r="A44" s="280" t="s">
        <v>185</v>
      </c>
      <c r="B44" s="281"/>
      <c r="C44" s="282"/>
      <c r="D44" s="282"/>
      <c r="E44" s="282"/>
      <c r="F44" s="282"/>
      <c r="G44" s="282"/>
      <c r="H44" s="282"/>
      <c r="I44" s="283"/>
    </row>
    <row r="45" spans="1:9" ht="48.75" customHeight="1" x14ac:dyDescent="0.35">
      <c r="A45" s="284" t="s">
        <v>186</v>
      </c>
      <c r="B45" s="285"/>
      <c r="C45" s="285"/>
      <c r="D45" s="285"/>
      <c r="E45" s="285"/>
      <c r="F45" s="285"/>
      <c r="G45" s="285"/>
      <c r="H45" s="285"/>
      <c r="I45" s="286"/>
    </row>
    <row r="46" spans="1:9" ht="20.399999999999999" x14ac:dyDescent="0.35">
      <c r="A46" s="287"/>
      <c r="B46" s="288"/>
      <c r="C46" s="288"/>
      <c r="D46" s="288"/>
      <c r="E46" s="288"/>
      <c r="F46" s="288"/>
      <c r="G46" s="288"/>
      <c r="H46" s="288"/>
      <c r="I46" s="289"/>
    </row>
    <row r="47" spans="1:9" ht="21" thickBot="1" x14ac:dyDescent="0.4">
      <c r="A47" s="290"/>
      <c r="B47" s="291"/>
      <c r="C47" s="291"/>
      <c r="D47" s="291"/>
      <c r="E47" s="291"/>
      <c r="F47" s="291"/>
      <c r="G47" s="291"/>
      <c r="H47" s="291"/>
      <c r="I47" s="292"/>
    </row>
    <row r="48" spans="1:9" ht="21" x14ac:dyDescent="0.4">
      <c r="A48" s="293" t="s">
        <v>72</v>
      </c>
      <c r="B48" s="294"/>
      <c r="C48" s="294"/>
      <c r="D48" s="294"/>
      <c r="E48" s="294"/>
      <c r="F48" s="294"/>
      <c r="G48" s="294"/>
      <c r="H48" s="294"/>
      <c r="I48" s="294"/>
    </row>
    <row r="49" spans="1:9" ht="20.399999999999999" x14ac:dyDescent="0.35">
      <c r="A49" s="279" t="s">
        <v>73</v>
      </c>
      <c r="B49" s="279"/>
      <c r="C49" s="279"/>
      <c r="D49" s="279"/>
      <c r="E49" s="279"/>
      <c r="F49" s="279"/>
      <c r="G49" s="279"/>
      <c r="H49" s="279"/>
      <c r="I49" s="279"/>
    </row>
    <row r="50" spans="1:9" ht="20.399999999999999" x14ac:dyDescent="0.35">
      <c r="A50" s="279" t="s">
        <v>76</v>
      </c>
      <c r="B50" s="279"/>
      <c r="C50" s="279"/>
      <c r="D50" s="279"/>
      <c r="E50" s="279"/>
      <c r="F50" s="279"/>
      <c r="G50" s="279"/>
      <c r="H50" s="279"/>
      <c r="I50" s="279"/>
    </row>
    <row r="51" spans="1:9" ht="20.399999999999999" x14ac:dyDescent="0.35">
      <c r="A51" s="276" t="s">
        <v>92</v>
      </c>
      <c r="B51" s="277"/>
      <c r="C51" s="277"/>
      <c r="D51" s="277"/>
      <c r="E51" s="277"/>
      <c r="F51" s="277"/>
      <c r="G51" s="277"/>
      <c r="H51" s="277"/>
      <c r="I51" s="278"/>
    </row>
    <row r="52" spans="1:9" ht="20.399999999999999" x14ac:dyDescent="0.35">
      <c r="A52" s="96"/>
      <c r="B52" s="96"/>
      <c r="C52" s="96"/>
      <c r="D52" s="96"/>
      <c r="E52" s="96"/>
      <c r="F52" s="96"/>
      <c r="G52" s="96"/>
      <c r="H52" s="96"/>
      <c r="I52" s="96"/>
    </row>
  </sheetData>
  <mergeCells count="44">
    <mergeCell ref="I3:I5"/>
    <mergeCell ref="D4:G4"/>
    <mergeCell ref="D5:G5"/>
    <mergeCell ref="A1:B5"/>
    <mergeCell ref="C1:G1"/>
    <mergeCell ref="C2:G2"/>
    <mergeCell ref="C3:G3"/>
    <mergeCell ref="H3:H5"/>
    <mergeCell ref="A6:C6"/>
    <mergeCell ref="D6:F6"/>
    <mergeCell ref="G6:H6"/>
    <mergeCell ref="A7:A8"/>
    <mergeCell ref="B7:B8"/>
    <mergeCell ref="C7:C8"/>
    <mergeCell ref="D7:D8"/>
    <mergeCell ref="E7:F7"/>
    <mergeCell ref="G7:H7"/>
    <mergeCell ref="A35:C35"/>
    <mergeCell ref="F35:G35"/>
    <mergeCell ref="H35:I35"/>
    <mergeCell ref="A36:C36"/>
    <mergeCell ref="F36:G36"/>
    <mergeCell ref="H36:I36"/>
    <mergeCell ref="A42:I42"/>
    <mergeCell ref="A37:C37"/>
    <mergeCell ref="F37:G37"/>
    <mergeCell ref="H37:I37"/>
    <mergeCell ref="A38:C38"/>
    <mergeCell ref="F38:G38"/>
    <mergeCell ref="H38:I38"/>
    <mergeCell ref="A39:C39"/>
    <mergeCell ref="F39:G39"/>
    <mergeCell ref="H39:I39"/>
    <mergeCell ref="A40:I40"/>
    <mergeCell ref="A41:I41"/>
    <mergeCell ref="A51:I51"/>
    <mergeCell ref="A50:I50"/>
    <mergeCell ref="A43:I43"/>
    <mergeCell ref="A44:I44"/>
    <mergeCell ref="A45:I45"/>
    <mergeCell ref="A46:I46"/>
    <mergeCell ref="A47:I47"/>
    <mergeCell ref="A48:I48"/>
    <mergeCell ref="A49:I49"/>
  </mergeCells>
  <pageMargins left="0.7" right="0.7" top="0.75" bottom="0.75" header="0.3" footer="0.3"/>
  <pageSetup scale="38" orientation="portrait" r:id="rId1"/>
  <colBreaks count="1" manualBreakCount="1">
    <brk id="9" max="1048575" man="1"/>
  </colBreaks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B90FFE3-ABC2-4D6E-AEB6-DBE1AAC7A722}">
  <dimension ref="A2:O41"/>
  <sheetViews>
    <sheetView topLeftCell="A16" workbookViewId="0">
      <selection activeCell="F43" sqref="F43"/>
    </sheetView>
  </sheetViews>
  <sheetFormatPr baseColWidth="10" defaultRowHeight="14.4" x14ac:dyDescent="0.3"/>
  <cols>
    <col min="3" max="3" width="35.88671875" bestFit="1" customWidth="1"/>
    <col min="11" max="11" width="0" hidden="1" customWidth="1"/>
    <col min="12" max="12" width="15.5546875" customWidth="1"/>
  </cols>
  <sheetData>
    <row r="2" spans="1:2" x14ac:dyDescent="0.3">
      <c r="A2" t="s">
        <v>93</v>
      </c>
    </row>
    <row r="3" spans="1:2" x14ac:dyDescent="0.3">
      <c r="A3" t="s">
        <v>94</v>
      </c>
      <c r="B3" t="s">
        <v>95</v>
      </c>
    </row>
    <row r="4" spans="1:2" x14ac:dyDescent="0.3">
      <c r="A4" t="s">
        <v>96</v>
      </c>
      <c r="B4" t="s">
        <v>97</v>
      </c>
    </row>
    <row r="5" spans="1:2" x14ac:dyDescent="0.3">
      <c r="A5" t="s">
        <v>98</v>
      </c>
      <c r="B5" t="s">
        <v>99</v>
      </c>
    </row>
    <row r="6" spans="1:2" x14ac:dyDescent="0.3">
      <c r="A6" t="s">
        <v>100</v>
      </c>
      <c r="B6" t="s">
        <v>101</v>
      </c>
    </row>
    <row r="7" spans="1:2" x14ac:dyDescent="0.3">
      <c r="A7" t="s">
        <v>102</v>
      </c>
      <c r="B7" t="s">
        <v>103</v>
      </c>
    </row>
    <row r="8" spans="1:2" x14ac:dyDescent="0.3">
      <c r="A8" t="s">
        <v>104</v>
      </c>
      <c r="B8" t="s">
        <v>105</v>
      </c>
    </row>
    <row r="9" spans="1:2" x14ac:dyDescent="0.3">
      <c r="A9" t="s">
        <v>106</v>
      </c>
      <c r="B9" t="s">
        <v>107</v>
      </c>
    </row>
    <row r="10" spans="1:2" x14ac:dyDescent="0.3">
      <c r="A10" t="s">
        <v>108</v>
      </c>
      <c r="B10" t="s">
        <v>109</v>
      </c>
    </row>
    <row r="11" spans="1:2" x14ac:dyDescent="0.3">
      <c r="A11" t="s">
        <v>110</v>
      </c>
      <c r="B11" t="s">
        <v>35</v>
      </c>
    </row>
    <row r="12" spans="1:2" x14ac:dyDescent="0.3">
      <c r="A12" t="s">
        <v>111</v>
      </c>
      <c r="B12" t="s">
        <v>51</v>
      </c>
    </row>
    <row r="13" spans="1:2" x14ac:dyDescent="0.3">
      <c r="A13" t="s">
        <v>112</v>
      </c>
      <c r="B13" t="s">
        <v>113</v>
      </c>
    </row>
    <row r="14" spans="1:2" x14ac:dyDescent="0.3">
      <c r="A14" t="s">
        <v>114</v>
      </c>
      <c r="B14" t="s">
        <v>115</v>
      </c>
    </row>
    <row r="17" spans="1:14" x14ac:dyDescent="0.3">
      <c r="A17" t="s">
        <v>116</v>
      </c>
      <c r="B17" t="s">
        <v>117</v>
      </c>
    </row>
    <row r="18" spans="1:14" x14ac:dyDescent="0.3">
      <c r="A18" t="s">
        <v>118</v>
      </c>
      <c r="B18" t="s">
        <v>119</v>
      </c>
    </row>
    <row r="20" spans="1:14" x14ac:dyDescent="0.3">
      <c r="A20" t="s">
        <v>120</v>
      </c>
      <c r="B20" t="s">
        <v>121</v>
      </c>
      <c r="C20" t="s">
        <v>122</v>
      </c>
      <c r="D20" t="s">
        <v>123</v>
      </c>
      <c r="E20" t="s">
        <v>124</v>
      </c>
      <c r="F20" t="s">
        <v>125</v>
      </c>
      <c r="G20" t="s">
        <v>126</v>
      </c>
      <c r="H20" t="s">
        <v>127</v>
      </c>
      <c r="I20" t="s">
        <v>75</v>
      </c>
      <c r="J20" t="s">
        <v>74</v>
      </c>
      <c r="K20" t="s">
        <v>128</v>
      </c>
      <c r="L20" t="s">
        <v>128</v>
      </c>
    </row>
    <row r="21" spans="1:14" x14ac:dyDescent="0.3">
      <c r="A21" s="115" t="s">
        <v>23</v>
      </c>
      <c r="B21" s="115" t="s">
        <v>51</v>
      </c>
      <c r="C21" s="115" t="s">
        <v>129</v>
      </c>
      <c r="D21">
        <v>26</v>
      </c>
      <c r="E21" t="s">
        <v>130</v>
      </c>
      <c r="F21">
        <v>26</v>
      </c>
      <c r="G21">
        <v>26</v>
      </c>
      <c r="H21">
        <v>26</v>
      </c>
      <c r="I21" t="s">
        <v>131</v>
      </c>
      <c r="J21" t="s">
        <v>132</v>
      </c>
      <c r="K21">
        <v>85.2</v>
      </c>
      <c r="L21">
        <v>55.38</v>
      </c>
      <c r="M21">
        <f>26*2.13</f>
        <v>55.379999999999995</v>
      </c>
    </row>
    <row r="22" spans="1:14" x14ac:dyDescent="0.3">
      <c r="A22" t="s">
        <v>133</v>
      </c>
      <c r="B22" t="s">
        <v>51</v>
      </c>
      <c r="C22" t="s">
        <v>134</v>
      </c>
      <c r="D22" t="s">
        <v>135</v>
      </c>
      <c r="E22" t="s">
        <v>130</v>
      </c>
      <c r="F22" t="s">
        <v>135</v>
      </c>
      <c r="G22" t="s">
        <v>135</v>
      </c>
      <c r="H22" t="s">
        <v>135</v>
      </c>
      <c r="I22" t="s">
        <v>136</v>
      </c>
      <c r="J22" t="s">
        <v>74</v>
      </c>
      <c r="K22" t="s">
        <v>137</v>
      </c>
      <c r="L22">
        <v>251.79</v>
      </c>
    </row>
    <row r="23" spans="1:14" x14ac:dyDescent="0.3">
      <c r="A23" t="s">
        <v>138</v>
      </c>
      <c r="B23" t="s">
        <v>51</v>
      </c>
      <c r="C23" t="s">
        <v>139</v>
      </c>
      <c r="D23" t="s">
        <v>135</v>
      </c>
      <c r="E23" t="s">
        <v>130</v>
      </c>
      <c r="F23" t="s">
        <v>135</v>
      </c>
      <c r="G23" t="s">
        <v>135</v>
      </c>
      <c r="H23" t="s">
        <v>135</v>
      </c>
      <c r="I23" t="s">
        <v>140</v>
      </c>
      <c r="J23" t="s">
        <v>74</v>
      </c>
      <c r="K23" t="s">
        <v>141</v>
      </c>
      <c r="L23">
        <v>271.41000000000003</v>
      </c>
    </row>
    <row r="24" spans="1:14" hidden="1" x14ac:dyDescent="0.3">
      <c r="A24" t="s">
        <v>142</v>
      </c>
      <c r="B24" t="s">
        <v>51</v>
      </c>
      <c r="C24" t="s">
        <v>143</v>
      </c>
      <c r="D24">
        <v>0</v>
      </c>
      <c r="E24" t="s">
        <v>130</v>
      </c>
      <c r="F24">
        <v>0</v>
      </c>
      <c r="G24">
        <v>0</v>
      </c>
      <c r="H24">
        <v>0</v>
      </c>
      <c r="I24" s="114">
        <v>120</v>
      </c>
      <c r="J24" t="s">
        <v>74</v>
      </c>
      <c r="K24">
        <v>120</v>
      </c>
      <c r="L24">
        <v>0</v>
      </c>
      <c r="N24">
        <f>58.38*0.5</f>
        <v>29.19</v>
      </c>
    </row>
    <row r="25" spans="1:14" hidden="1" x14ac:dyDescent="0.3">
      <c r="A25" t="s">
        <v>144</v>
      </c>
      <c r="B25">
        <v>0</v>
      </c>
      <c r="C25" t="s">
        <v>145</v>
      </c>
      <c r="D25" s="114">
        <v>9</v>
      </c>
      <c r="E25" t="s">
        <v>130</v>
      </c>
      <c r="F25" s="114">
        <v>9</v>
      </c>
      <c r="G25" s="114">
        <v>9</v>
      </c>
      <c r="H25" s="114">
        <v>9</v>
      </c>
      <c r="I25" s="114">
        <v>11.5</v>
      </c>
      <c r="J25" t="s">
        <v>146</v>
      </c>
      <c r="L25">
        <v>0</v>
      </c>
    </row>
    <row r="26" spans="1:14" x14ac:dyDescent="0.3">
      <c r="A26" s="115" t="s">
        <v>41</v>
      </c>
      <c r="B26" t="s">
        <v>51</v>
      </c>
      <c r="C26" t="s">
        <v>147</v>
      </c>
      <c r="D26" t="s">
        <v>51</v>
      </c>
      <c r="E26" t="s">
        <v>130</v>
      </c>
      <c r="F26" t="s">
        <v>51</v>
      </c>
      <c r="G26" t="s">
        <v>51</v>
      </c>
      <c r="H26" t="s">
        <v>51</v>
      </c>
      <c r="I26" t="s">
        <v>148</v>
      </c>
      <c r="J26" t="s">
        <v>74</v>
      </c>
      <c r="K26" t="s">
        <v>149</v>
      </c>
      <c r="L26">
        <v>132.13</v>
      </c>
    </row>
    <row r="27" spans="1:14" x14ac:dyDescent="0.3">
      <c r="A27" s="115" t="s">
        <v>44</v>
      </c>
      <c r="B27" t="s">
        <v>51</v>
      </c>
      <c r="C27" t="s">
        <v>150</v>
      </c>
      <c r="D27" t="s">
        <v>51</v>
      </c>
      <c r="E27" t="s">
        <v>130</v>
      </c>
      <c r="F27" t="s">
        <v>51</v>
      </c>
      <c r="G27" t="s">
        <v>51</v>
      </c>
      <c r="H27" t="s">
        <v>51</v>
      </c>
      <c r="I27" t="s">
        <v>151</v>
      </c>
      <c r="J27" t="s">
        <v>74</v>
      </c>
      <c r="K27" t="s">
        <v>151</v>
      </c>
      <c r="L27">
        <v>13.45</v>
      </c>
    </row>
    <row r="28" spans="1:14" x14ac:dyDescent="0.3">
      <c r="A28" s="115" t="s">
        <v>49</v>
      </c>
      <c r="B28" t="s">
        <v>51</v>
      </c>
      <c r="C28" t="s">
        <v>152</v>
      </c>
      <c r="D28" t="s">
        <v>51</v>
      </c>
      <c r="E28" t="s">
        <v>130</v>
      </c>
      <c r="F28" t="s">
        <v>51</v>
      </c>
      <c r="G28" t="s">
        <v>51</v>
      </c>
      <c r="H28" t="s">
        <v>51</v>
      </c>
      <c r="I28" t="s">
        <v>153</v>
      </c>
      <c r="J28" t="s">
        <v>74</v>
      </c>
      <c r="K28" t="s">
        <v>154</v>
      </c>
      <c r="L28">
        <v>2.13</v>
      </c>
    </row>
    <row r="29" spans="1:14" x14ac:dyDescent="0.3">
      <c r="A29" s="115" t="s">
        <v>52</v>
      </c>
      <c r="B29" t="s">
        <v>51</v>
      </c>
      <c r="C29" t="s">
        <v>155</v>
      </c>
      <c r="D29" t="s">
        <v>51</v>
      </c>
      <c r="E29" t="s">
        <v>130</v>
      </c>
      <c r="F29" t="s">
        <v>51</v>
      </c>
      <c r="G29" t="s">
        <v>51</v>
      </c>
      <c r="H29" t="s">
        <v>51</v>
      </c>
      <c r="I29" t="s">
        <v>156</v>
      </c>
      <c r="J29" t="s">
        <v>74</v>
      </c>
      <c r="K29" t="s">
        <v>156</v>
      </c>
      <c r="L29">
        <v>6</v>
      </c>
    </row>
    <row r="30" spans="1:14" x14ac:dyDescent="0.3">
      <c r="A30" s="115" t="s">
        <v>56</v>
      </c>
      <c r="B30" t="s">
        <v>51</v>
      </c>
      <c r="C30" t="s">
        <v>157</v>
      </c>
      <c r="D30" t="s">
        <v>158</v>
      </c>
      <c r="E30" t="s">
        <v>130</v>
      </c>
      <c r="F30" t="s">
        <v>158</v>
      </c>
      <c r="G30" t="s">
        <v>158</v>
      </c>
      <c r="H30" t="s">
        <v>158</v>
      </c>
      <c r="I30" t="s">
        <v>159</v>
      </c>
      <c r="J30" t="s">
        <v>74</v>
      </c>
      <c r="K30" t="s">
        <v>160</v>
      </c>
      <c r="L30">
        <v>12.8</v>
      </c>
    </row>
    <row r="31" spans="1:14" x14ac:dyDescent="0.3">
      <c r="A31" s="115" t="s">
        <v>58</v>
      </c>
      <c r="B31" t="s">
        <v>51</v>
      </c>
      <c r="C31" t="s">
        <v>161</v>
      </c>
      <c r="D31" t="s">
        <v>51</v>
      </c>
      <c r="E31" t="s">
        <v>130</v>
      </c>
      <c r="F31" t="s">
        <v>51</v>
      </c>
      <c r="G31" t="s">
        <v>51</v>
      </c>
      <c r="H31" t="s">
        <v>51</v>
      </c>
      <c r="I31" t="s">
        <v>162</v>
      </c>
      <c r="J31" t="s">
        <v>74</v>
      </c>
      <c r="K31" t="s">
        <v>162</v>
      </c>
      <c r="L31">
        <v>0.39</v>
      </c>
    </row>
    <row r="32" spans="1:14" x14ac:dyDescent="0.3">
      <c r="A32" t="s">
        <v>84</v>
      </c>
      <c r="B32" t="s">
        <v>51</v>
      </c>
      <c r="C32" t="s">
        <v>85</v>
      </c>
      <c r="D32" t="s">
        <v>51</v>
      </c>
      <c r="E32" t="s">
        <v>130</v>
      </c>
      <c r="F32" t="s">
        <v>51</v>
      </c>
      <c r="G32" t="s">
        <v>51</v>
      </c>
      <c r="H32" t="s">
        <v>51</v>
      </c>
      <c r="I32" s="114">
        <v>76</v>
      </c>
      <c r="J32" t="s">
        <v>74</v>
      </c>
      <c r="L32">
        <f>76*1</f>
        <v>76</v>
      </c>
    </row>
    <row r="33" spans="1:15" x14ac:dyDescent="0.3">
      <c r="A33" t="s">
        <v>86</v>
      </c>
      <c r="B33" t="s">
        <v>51</v>
      </c>
      <c r="C33" t="s">
        <v>87</v>
      </c>
      <c r="D33" s="114">
        <v>1</v>
      </c>
      <c r="E33" s="126">
        <v>1</v>
      </c>
      <c r="F33" s="114">
        <v>1</v>
      </c>
      <c r="G33" s="114">
        <v>1</v>
      </c>
      <c r="H33" s="114">
        <v>1</v>
      </c>
      <c r="I33" s="114">
        <v>16</v>
      </c>
      <c r="J33" t="s">
        <v>132</v>
      </c>
      <c r="L33" s="114">
        <v>16</v>
      </c>
    </row>
    <row r="34" spans="1:15" x14ac:dyDescent="0.3">
      <c r="A34" s="115" t="s">
        <v>47</v>
      </c>
      <c r="B34" t="s">
        <v>51</v>
      </c>
      <c r="C34" t="s">
        <v>163</v>
      </c>
      <c r="D34" t="s">
        <v>51</v>
      </c>
      <c r="E34" t="s">
        <v>130</v>
      </c>
      <c r="F34" t="s">
        <v>51</v>
      </c>
      <c r="G34" t="s">
        <v>51</v>
      </c>
      <c r="H34" t="s">
        <v>51</v>
      </c>
      <c r="I34" t="s">
        <v>164</v>
      </c>
      <c r="J34" t="s">
        <v>74</v>
      </c>
      <c r="K34" t="s">
        <v>164</v>
      </c>
      <c r="L34">
        <v>0.28000000000000003</v>
      </c>
    </row>
    <row r="35" spans="1:15" x14ac:dyDescent="0.3">
      <c r="A35" s="124" t="s">
        <v>165</v>
      </c>
      <c r="B35" s="124" t="s">
        <v>51</v>
      </c>
      <c r="C35" s="124" t="s">
        <v>166</v>
      </c>
      <c r="D35" s="125">
        <v>0.08</v>
      </c>
      <c r="E35" s="124" t="s">
        <v>130</v>
      </c>
      <c r="F35" s="125">
        <v>0.08</v>
      </c>
      <c r="G35" s="125">
        <v>0.08</v>
      </c>
      <c r="H35" s="125">
        <v>0.08</v>
      </c>
      <c r="I35" s="124" t="s">
        <v>167</v>
      </c>
      <c r="J35" s="124" t="s">
        <v>168</v>
      </c>
      <c r="K35" s="124">
        <v>231.95</v>
      </c>
      <c r="L35" s="124">
        <v>195.33</v>
      </c>
      <c r="M35">
        <f>0.12*2441.66</f>
        <v>292.99919999999997</v>
      </c>
      <c r="N35">
        <f>0.095*2441.66</f>
        <v>231.95769999999999</v>
      </c>
      <c r="O35">
        <f>0.08*2441.66</f>
        <v>195.33279999999999</v>
      </c>
    </row>
    <row r="36" spans="1:15" x14ac:dyDescent="0.3">
      <c r="A36" s="115" t="s">
        <v>32</v>
      </c>
      <c r="B36" s="115" t="s">
        <v>51</v>
      </c>
      <c r="C36" s="115" t="s">
        <v>169</v>
      </c>
      <c r="D36" t="s">
        <v>170</v>
      </c>
      <c r="E36" t="s">
        <v>130</v>
      </c>
      <c r="F36" t="s">
        <v>170</v>
      </c>
      <c r="G36" t="s">
        <v>170</v>
      </c>
      <c r="H36" t="s">
        <v>170</v>
      </c>
      <c r="I36" t="s">
        <v>171</v>
      </c>
      <c r="J36" t="s">
        <v>168</v>
      </c>
      <c r="K36" t="s">
        <v>172</v>
      </c>
      <c r="L36">
        <v>58.74</v>
      </c>
      <c r="M36">
        <f>0.03*1957.97</f>
        <v>58.739100000000001</v>
      </c>
    </row>
    <row r="37" spans="1:15" hidden="1" x14ac:dyDescent="0.3">
      <c r="A37" t="s">
        <v>173</v>
      </c>
      <c r="B37" t="s">
        <v>51</v>
      </c>
      <c r="C37" t="s">
        <v>174</v>
      </c>
      <c r="D37" t="s">
        <v>175</v>
      </c>
      <c r="E37" t="s">
        <v>130</v>
      </c>
      <c r="F37" t="s">
        <v>175</v>
      </c>
      <c r="G37" t="s">
        <v>175</v>
      </c>
      <c r="H37" t="s">
        <v>175</v>
      </c>
      <c r="I37" t="s">
        <v>176</v>
      </c>
      <c r="J37" t="s">
        <v>168</v>
      </c>
      <c r="K37" t="s">
        <v>177</v>
      </c>
      <c r="L37">
        <v>0</v>
      </c>
      <c r="M37" s="113" t="s">
        <v>178</v>
      </c>
    </row>
    <row r="38" spans="1:15" x14ac:dyDescent="0.3">
      <c r="A38" s="115" t="s">
        <v>28</v>
      </c>
      <c r="B38" s="115" t="s">
        <v>51</v>
      </c>
      <c r="C38" s="115" t="s">
        <v>179</v>
      </c>
      <c r="D38" t="s">
        <v>51</v>
      </c>
      <c r="E38" t="s">
        <v>130</v>
      </c>
      <c r="F38" t="s">
        <v>51</v>
      </c>
      <c r="G38" t="s">
        <v>51</v>
      </c>
      <c r="H38" t="s">
        <v>51</v>
      </c>
      <c r="I38" t="s">
        <v>180</v>
      </c>
      <c r="J38" t="s">
        <v>74</v>
      </c>
      <c r="K38" t="s">
        <v>181</v>
      </c>
      <c r="L38">
        <v>123.12</v>
      </c>
    </row>
    <row r="39" spans="1:15" x14ac:dyDescent="0.3">
      <c r="L39">
        <f>SUM(L21:L38)</f>
        <v>1214.9499999999998</v>
      </c>
    </row>
    <row r="41" spans="1:15" x14ac:dyDescent="0.3">
      <c r="C41">
        <f>30/1000</f>
        <v>0.03</v>
      </c>
      <c r="D41">
        <f>90/1000</f>
        <v>0.09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5C97FB89D0086C4984F8F1A28A5D30F9" ma:contentTypeVersion="15" ma:contentTypeDescription="Crear nuevo documento." ma:contentTypeScope="" ma:versionID="7af129ffe331660a32b7248f87ac5b16">
  <xsd:schema xmlns:xsd="http://www.w3.org/2001/XMLSchema" xmlns:xs="http://www.w3.org/2001/XMLSchema" xmlns:p="http://schemas.microsoft.com/office/2006/metadata/properties" xmlns:ns2="eae225b5-53a6-4b69-be5f-a92fedf9fd97" xmlns:ns3="7b4e74ba-38a7-42d4-a9ca-1da0fc041db0" targetNamespace="http://schemas.microsoft.com/office/2006/metadata/properties" ma:root="true" ma:fieldsID="1de7f8ef1dbe0e680181f0a133572604" ns2:_="" ns3:_="">
    <xsd:import namespace="eae225b5-53a6-4b69-be5f-a92fedf9fd97"/>
    <xsd:import namespace="7b4e74ba-38a7-42d4-a9ca-1da0fc041db0"/>
    <xsd:element name="properties">
      <xsd:complexType>
        <xsd:sequence>
          <xsd:element name="documentManagement">
            <xsd:complexType>
              <xsd:all>
                <xsd:element ref="ns2:SharedWithUsers" minOccurs="0"/>
                <xsd:element ref="ns2:SharedWithDetails" minOccurs="0"/>
                <xsd:element ref="ns3:MediaServiceMetadata" minOccurs="0"/>
                <xsd:element ref="ns3:MediaServiceFastMetadata" minOccurs="0"/>
                <xsd:element ref="ns3:MediaServiceDateTaken" minOccurs="0"/>
                <xsd:element ref="ns3:MediaLengthInSeconds" minOccurs="0"/>
                <xsd:element ref="ns3:MediaServiceLocation" minOccurs="0"/>
                <xsd:element ref="ns3:MediaServiceGenerationTime" minOccurs="0"/>
                <xsd:element ref="ns3:MediaServiceEventHashCode" minOccurs="0"/>
                <xsd:element ref="ns3:lcf76f155ced4ddcb4097134ff3c332f" minOccurs="0"/>
                <xsd:element ref="ns2:TaxCatchAll" minOccurs="0"/>
                <xsd:element ref="ns3:MediaServiceObjectDetectorVersions" minOccurs="0"/>
                <xsd:element ref="ns3:MediaServiceSearchProperties" minOccurs="0"/>
                <xsd:element ref="ns3:MediaServiceOCR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eae225b5-53a6-4b69-be5f-a92fedf9fd97" elementFormDefault="qualified">
    <xsd:import namespace="http://schemas.microsoft.com/office/2006/documentManagement/types"/>
    <xsd:import namespace="http://schemas.microsoft.com/office/infopath/2007/PartnerControls"/>
    <xsd:element name="SharedWithUsers" ma:index="8" nillable="true" ma:displayName="Compartido con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9" nillable="true" ma:displayName="Detalles de uso compartido" ma:internalName="SharedWithDetails" ma:readOnly="true">
      <xsd:simpleType>
        <xsd:restriction base="dms:Note">
          <xsd:maxLength value="255"/>
        </xsd:restriction>
      </xsd:simpleType>
    </xsd:element>
    <xsd:element name="TaxCatchAll" ma:index="19" nillable="true" ma:displayName="Taxonomy Catch All Column" ma:hidden="true" ma:list="{bb224bb7-466e-4570-96ee-73897de68ac7}" ma:internalName="TaxCatchAll" ma:showField="CatchAllData" ma:web="eae225b5-53a6-4b69-be5f-a92fedf9fd97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7b4e74ba-38a7-42d4-a9ca-1da0fc041db0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10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11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DateTaken" ma:index="12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LengthInSeconds" ma:index="13" nillable="true" ma:displayName="MediaLengthInSeconds" ma:hidden="true" ma:internalName="MediaLengthInSeconds" ma:readOnly="true">
      <xsd:simpleType>
        <xsd:restriction base="dms:Unknown"/>
      </xsd:simpleType>
    </xsd:element>
    <xsd:element name="MediaServiceLocation" ma:index="14" nillable="true" ma:displayName="Location" ma:description="" ma:indexed="true" ma:internalName="MediaServiceLocation" ma:readOnly="true">
      <xsd:simpleType>
        <xsd:restriction base="dms:Text"/>
      </xsd:simpleType>
    </xsd:element>
    <xsd:element name="MediaServiceGenerationTime" ma:index="15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6" nillable="true" ma:displayName="MediaServiceEventHashCode" ma:hidden="true" ma:internalName="MediaServiceEventHashCode" ma:readOnly="true">
      <xsd:simpleType>
        <xsd:restriction base="dms:Text"/>
      </xsd:simpleType>
    </xsd:element>
    <xsd:element name="lcf76f155ced4ddcb4097134ff3c332f" ma:index="18" nillable="true" ma:taxonomy="true" ma:internalName="lcf76f155ced4ddcb4097134ff3c332f" ma:taxonomyFieldName="MediaServiceImageTags" ma:displayName="Etiquetas de imagen" ma:readOnly="false" ma:fieldId="{5cf76f15-5ced-4ddc-b409-7134ff3c332f}" ma:taxonomyMulti="true" ma:sspId="802adfc0-f43f-42c6-8594-4312034d6b90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bjectDetectorVersions" ma:index="20" nillable="true" ma:displayName="MediaServiceObjectDetectorVersions" ma:description="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1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CR" ma:index="22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ni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7b4e74ba-38a7-42d4-a9ca-1da0fc041db0">
      <Terms xmlns="http://schemas.microsoft.com/office/infopath/2007/PartnerControls"/>
    </lcf76f155ced4ddcb4097134ff3c332f>
    <TaxCatchAll xmlns="eae225b5-53a6-4b69-be5f-a92fedf9fd97" xsi:nil="true"/>
    <MediaLengthInSeconds xmlns="7b4e74ba-38a7-42d4-a9ca-1da0fc041db0" xsi:nil="true"/>
    <SharedWithUsers xmlns="eae225b5-53a6-4b69-be5f-a92fedf9fd97">
      <UserInfo>
        <DisplayName/>
        <AccountId xsi:nil="true"/>
        <AccountType/>
      </UserInfo>
    </SharedWithUsers>
  </documentManagement>
</p:properties>
</file>

<file path=customXml/itemProps1.xml><?xml version="1.0" encoding="utf-8"?>
<ds:datastoreItem xmlns:ds="http://schemas.openxmlformats.org/officeDocument/2006/customXml" ds:itemID="{682F4733-992A-4332-A175-39ED61FE6665}"/>
</file>

<file path=customXml/itemProps2.xml><?xml version="1.0" encoding="utf-8"?>
<ds:datastoreItem xmlns:ds="http://schemas.openxmlformats.org/officeDocument/2006/customXml" ds:itemID="{5036A06E-B5B8-459B-9507-4DE2C0E70B13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8945A58E-CA68-488A-AB6C-8A3EC5EB58CE}">
  <ds:schemaRefs>
    <ds:schemaRef ds:uri="http://schemas.microsoft.com/office/2006/metadata/properties"/>
    <ds:schemaRef ds:uri="http://schemas.microsoft.com/office/infopath/2007/PartnerControls"/>
    <ds:schemaRef ds:uri="7b4e74ba-38a7-42d4-a9ca-1da0fc041db0"/>
    <ds:schemaRef ds:uri="eae225b5-53a6-4b69-be5f-a92fedf9fd97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3</vt:i4>
      </vt:variant>
      <vt:variant>
        <vt:lpstr>Rangos con nombre</vt:lpstr>
      </vt:variant>
      <vt:variant>
        <vt:i4>1</vt:i4>
      </vt:variant>
    </vt:vector>
  </HeadingPairs>
  <TitlesOfParts>
    <vt:vector size="4" baseType="lpstr">
      <vt:lpstr>Hoja1</vt:lpstr>
      <vt:lpstr>Hoja2</vt:lpstr>
      <vt:lpstr>COSTO </vt:lpstr>
      <vt:lpstr>Hoja2!Área_de_impresión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Esteban Ramirez</dc:creator>
  <cp:keywords/>
  <dc:description/>
  <cp:lastModifiedBy>Valery Cerdas</cp:lastModifiedBy>
  <cp:revision/>
  <cp:lastPrinted>2025-12-29T22:25:04Z</cp:lastPrinted>
  <dcterms:created xsi:type="dcterms:W3CDTF">2021-04-23T17:37:26Z</dcterms:created>
  <dcterms:modified xsi:type="dcterms:W3CDTF">2026-05-07T17:14:20Z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0x0101005C97FB89D0086C4984F8F1A28A5D30F9</vt:lpwstr>
  </property>
  <property fmtid="{D5CDD505-2E9C-101B-9397-08002B2CF9AE}" pid="3" name="Order">
    <vt:r8>897600</vt:r8>
  </property>
  <property fmtid="{D5CDD505-2E9C-101B-9397-08002B2CF9AE}" pid="4" name="MediaServiceImageTags">
    <vt:lpwstr/>
  </property>
  <property fmtid="{D5CDD505-2E9C-101B-9397-08002B2CF9AE}" pid="5" name="xd_ProgID">
    <vt:lpwstr/>
  </property>
  <property fmtid="{D5CDD505-2E9C-101B-9397-08002B2CF9AE}" pid="6" name="ComplianceAssetId">
    <vt:lpwstr/>
  </property>
  <property fmtid="{D5CDD505-2E9C-101B-9397-08002B2CF9AE}" pid="7" name="TemplateUrl">
    <vt:lpwstr/>
  </property>
  <property fmtid="{D5CDD505-2E9C-101B-9397-08002B2CF9AE}" pid="8" name="_ExtendedDescription">
    <vt:lpwstr/>
  </property>
  <property fmtid="{D5CDD505-2E9C-101B-9397-08002B2CF9AE}" pid="9" name="TriggerFlowInfo">
    <vt:lpwstr/>
  </property>
  <property fmtid="{D5CDD505-2E9C-101B-9397-08002B2CF9AE}" pid="10" name="xd_Signature">
    <vt:bool>false</vt:bool>
  </property>
</Properties>
</file>
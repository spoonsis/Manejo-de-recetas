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3" documentId="8_{448387B2-3DF2-4860-9322-9385B87F0048}" xr6:coauthVersionLast="47" xr6:coauthVersionMax="47" xr10:uidLastSave="{4F218105-392C-46AA-8486-A7E19363138B}"/>
  <bookViews>
    <workbookView xWindow="-120" yWindow="-120" windowWidth="20730" windowHeight="11040" tabRatio="877" firstSheet="6" activeTab="6" xr2:uid="{51723922-F578-4869-8D41-FD165D3E51CD}"/>
  </bookViews>
  <sheets>
    <sheet name="Granola" sheetId="15" state="hidden" r:id="rId1"/>
    <sheet name="Costo Granola " sheetId="20" state="hidden" r:id="rId2"/>
    <sheet name="Costo Empaque 1" sheetId="21" state="hidden" r:id="rId3"/>
    <sheet name="Empaque 2" sheetId="18" state="hidden" r:id="rId4"/>
    <sheet name="Costo empaque 2" sheetId="22" state="hidden" r:id="rId5"/>
    <sheet name="Empaque 3" sheetId="19" state="hidden" r:id="rId6"/>
    <sheet name="Empaque 4" sheetId="25" r:id="rId7"/>
    <sheet name="Costo Empaque 4" sheetId="23" state="hidden" r:id="rId8"/>
    <sheet name="Hoja1" sheetId="24" state="hidden" r:id="rId9"/>
  </sheets>
  <externalReferences>
    <externalReference r:id="rId10"/>
    <externalReference r:id="rId11"/>
  </externalReferences>
  <definedNames>
    <definedName name="_xlnm.Print_Area" localSheetId="0">Granola!$A$1:$I$41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25" l="1"/>
  <c r="J23" i="15"/>
  <c r="K23" i="15"/>
  <c r="K17" i="15"/>
  <c r="K16" i="15"/>
  <c r="K15" i="15"/>
  <c r="K14" i="15"/>
  <c r="K13" i="15"/>
  <c r="K12" i="15"/>
  <c r="K11" i="15"/>
  <c r="J17" i="15"/>
  <c r="J16" i="15"/>
  <c r="J15" i="15"/>
  <c r="J14" i="15"/>
  <c r="J13" i="15"/>
  <c r="J12" i="15"/>
  <c r="J11" i="15"/>
  <c r="K10" i="15"/>
  <c r="J10" i="15"/>
  <c r="X27" i="23" l="1"/>
  <c r="D73" i="23"/>
  <c r="D74" i="23" s="1"/>
  <c r="D76" i="23" s="1"/>
  <c r="D71" i="23"/>
  <c r="D69" i="23"/>
  <c r="F65" i="23"/>
  <c r="D60" i="23"/>
  <c r="D83" i="23" s="1"/>
  <c r="E51" i="23"/>
  <c r="F51" i="23" s="1"/>
  <c r="C51" i="23"/>
  <c r="E50" i="23"/>
  <c r="D50" i="23"/>
  <c r="B50" i="23"/>
  <c r="E49" i="23"/>
  <c r="D49" i="23"/>
  <c r="B49" i="23"/>
  <c r="E48" i="23"/>
  <c r="D48" i="23"/>
  <c r="B48" i="23"/>
  <c r="E47" i="23"/>
  <c r="D47" i="23"/>
  <c r="B47" i="23"/>
  <c r="E46" i="23"/>
  <c r="D46" i="23"/>
  <c r="B46" i="23"/>
  <c r="E45" i="23"/>
  <c r="D45" i="23"/>
  <c r="B45" i="23"/>
  <c r="A45" i="23"/>
  <c r="C45" i="23" s="1"/>
  <c r="E41" i="23"/>
  <c r="D41" i="23"/>
  <c r="B41" i="23"/>
  <c r="A41" i="23"/>
  <c r="A50" i="23" s="1"/>
  <c r="C50" i="23" s="1"/>
  <c r="E40" i="23"/>
  <c r="D40" i="23"/>
  <c r="B40" i="23"/>
  <c r="A40" i="23"/>
  <c r="C40" i="23" s="1"/>
  <c r="E39" i="23"/>
  <c r="D39" i="23"/>
  <c r="C39" i="23"/>
  <c r="B39" i="23"/>
  <c r="A39" i="23"/>
  <c r="A48" i="23" s="1"/>
  <c r="C48" i="23" s="1"/>
  <c r="E38" i="23"/>
  <c r="D38" i="23"/>
  <c r="B38" i="23"/>
  <c r="A38" i="23"/>
  <c r="C38" i="23" s="1"/>
  <c r="E37" i="23"/>
  <c r="F37" i="23" s="1"/>
  <c r="D37" i="23"/>
  <c r="B37" i="23"/>
  <c r="A37" i="23"/>
  <c r="C37" i="23" s="1"/>
  <c r="E36" i="23"/>
  <c r="D36" i="23"/>
  <c r="B36" i="23"/>
  <c r="A36" i="23"/>
  <c r="C36" i="23" s="1"/>
  <c r="A35" i="23"/>
  <c r="C35" i="23" s="1"/>
  <c r="E32" i="23"/>
  <c r="D32" i="23"/>
  <c r="C32" i="23"/>
  <c r="B32" i="23"/>
  <c r="E31" i="23"/>
  <c r="F31" i="23" s="1"/>
  <c r="D31" i="23"/>
  <c r="C31" i="23"/>
  <c r="B31" i="23"/>
  <c r="E30" i="23"/>
  <c r="D30" i="23"/>
  <c r="C30" i="23"/>
  <c r="B30" i="23"/>
  <c r="AA29" i="23"/>
  <c r="F29" i="23"/>
  <c r="C29" i="23"/>
  <c r="C28" i="23"/>
  <c r="F28" i="23" s="1"/>
  <c r="C27" i="23"/>
  <c r="F27" i="23" s="1"/>
  <c r="E24" i="23"/>
  <c r="F24" i="23" s="1"/>
  <c r="D24" i="23"/>
  <c r="C24" i="23"/>
  <c r="B24" i="23"/>
  <c r="E23" i="23"/>
  <c r="F23" i="23" s="1"/>
  <c r="D23" i="23"/>
  <c r="C23" i="23"/>
  <c r="B23" i="23"/>
  <c r="E22" i="23"/>
  <c r="F22" i="23" s="1"/>
  <c r="D22" i="23"/>
  <c r="C22" i="23"/>
  <c r="B22" i="23"/>
  <c r="E21" i="23"/>
  <c r="F21" i="23" s="1"/>
  <c r="D21" i="23"/>
  <c r="C21" i="23"/>
  <c r="B21" i="23"/>
  <c r="E20" i="23"/>
  <c r="F20" i="23" s="1"/>
  <c r="D20" i="23"/>
  <c r="C20" i="23"/>
  <c r="B20" i="23"/>
  <c r="E19" i="23"/>
  <c r="F19" i="23" s="1"/>
  <c r="D19" i="23"/>
  <c r="C19" i="23"/>
  <c r="B19" i="23"/>
  <c r="E18" i="23"/>
  <c r="F18" i="23" s="1"/>
  <c r="D18" i="23"/>
  <c r="C18" i="23"/>
  <c r="B18" i="23"/>
  <c r="C17" i="23"/>
  <c r="B15" i="23"/>
  <c r="E14" i="23"/>
  <c r="D14" i="23"/>
  <c r="C14" i="23"/>
  <c r="B14" i="23"/>
  <c r="E13" i="23"/>
  <c r="D13" i="23"/>
  <c r="C13" i="23"/>
  <c r="B13" i="23"/>
  <c r="E12" i="23"/>
  <c r="D12" i="23"/>
  <c r="C12" i="23"/>
  <c r="B12" i="23"/>
  <c r="E11" i="23"/>
  <c r="D11" i="23"/>
  <c r="C11" i="23"/>
  <c r="B11" i="23"/>
  <c r="E10" i="23"/>
  <c r="D10" i="23"/>
  <c r="C10" i="23"/>
  <c r="B10" i="23"/>
  <c r="E9" i="23"/>
  <c r="D9" i="23"/>
  <c r="C9" i="23"/>
  <c r="B9" i="23"/>
  <c r="E8" i="23"/>
  <c r="D8" i="23"/>
  <c r="C8" i="23"/>
  <c r="B8" i="23"/>
  <c r="H6" i="23"/>
  <c r="AA29" i="22"/>
  <c r="D73" i="22"/>
  <c r="D74" i="22" s="1"/>
  <c r="D76" i="22" s="1"/>
  <c r="D71" i="22"/>
  <c r="D69" i="22"/>
  <c r="F65" i="22"/>
  <c r="D60" i="22"/>
  <c r="D85" i="22" s="1"/>
  <c r="D86" i="22" s="1"/>
  <c r="E51" i="22"/>
  <c r="C51" i="22"/>
  <c r="F51" i="22" s="1"/>
  <c r="E50" i="22"/>
  <c r="F50" i="22" s="1"/>
  <c r="D50" i="22"/>
  <c r="B50" i="22"/>
  <c r="E49" i="22"/>
  <c r="D49" i="22"/>
  <c r="B49" i="22"/>
  <c r="E48" i="22"/>
  <c r="D48" i="22"/>
  <c r="B48" i="22"/>
  <c r="E47" i="22"/>
  <c r="D47" i="22"/>
  <c r="B47" i="22"/>
  <c r="E46" i="22"/>
  <c r="D46" i="22"/>
  <c r="B46" i="22"/>
  <c r="E45" i="22"/>
  <c r="F45" i="22" s="1"/>
  <c r="D45" i="22"/>
  <c r="B45" i="22"/>
  <c r="A45" i="22"/>
  <c r="C45" i="22" s="1"/>
  <c r="E41" i="22"/>
  <c r="D41" i="22"/>
  <c r="B41" i="22"/>
  <c r="A41" i="22"/>
  <c r="A50" i="22" s="1"/>
  <c r="C50" i="22" s="1"/>
  <c r="E40" i="22"/>
  <c r="F40" i="22" s="1"/>
  <c r="D40" i="22"/>
  <c r="B40" i="22"/>
  <c r="A40" i="22"/>
  <c r="C40" i="22" s="1"/>
  <c r="E39" i="22"/>
  <c r="D39" i="22"/>
  <c r="C39" i="22"/>
  <c r="B39" i="22"/>
  <c r="A39" i="22"/>
  <c r="A48" i="22" s="1"/>
  <c r="C48" i="22" s="1"/>
  <c r="E38" i="22"/>
  <c r="D38" i="22"/>
  <c r="B38" i="22"/>
  <c r="A38" i="22"/>
  <c r="C38" i="22" s="1"/>
  <c r="E37" i="22"/>
  <c r="F37" i="22" s="1"/>
  <c r="D37" i="22"/>
  <c r="B37" i="22"/>
  <c r="A37" i="22"/>
  <c r="C37" i="22" s="1"/>
  <c r="E36" i="22"/>
  <c r="D36" i="22"/>
  <c r="B36" i="22"/>
  <c r="A36" i="22"/>
  <c r="C36" i="22" s="1"/>
  <c r="A35" i="22"/>
  <c r="C35" i="22" s="1"/>
  <c r="E32" i="22"/>
  <c r="D32" i="22"/>
  <c r="C32" i="22"/>
  <c r="B32" i="22"/>
  <c r="E31" i="22"/>
  <c r="F31" i="22" s="1"/>
  <c r="D31" i="22"/>
  <c r="C31" i="22"/>
  <c r="B31" i="22"/>
  <c r="E30" i="22"/>
  <c r="D30" i="22"/>
  <c r="C30" i="22"/>
  <c r="B30" i="22"/>
  <c r="F29" i="22"/>
  <c r="C29" i="22"/>
  <c r="C28" i="22"/>
  <c r="F28" i="22" s="1"/>
  <c r="F27" i="22"/>
  <c r="C27" i="22"/>
  <c r="E24" i="22"/>
  <c r="F24" i="22" s="1"/>
  <c r="D24" i="22"/>
  <c r="C24" i="22"/>
  <c r="B24" i="22"/>
  <c r="E23" i="22"/>
  <c r="F23" i="22" s="1"/>
  <c r="D23" i="22"/>
  <c r="C23" i="22"/>
  <c r="B23" i="22"/>
  <c r="E22" i="22"/>
  <c r="F22" i="22" s="1"/>
  <c r="D22" i="22"/>
  <c r="C22" i="22"/>
  <c r="B22" i="22"/>
  <c r="E21" i="22"/>
  <c r="F21" i="22" s="1"/>
  <c r="D21" i="22"/>
  <c r="C21" i="22"/>
  <c r="B21" i="22"/>
  <c r="E20" i="22"/>
  <c r="F20" i="22" s="1"/>
  <c r="D20" i="22"/>
  <c r="C20" i="22"/>
  <c r="B20" i="22"/>
  <c r="E19" i="22"/>
  <c r="F19" i="22" s="1"/>
  <c r="D19" i="22"/>
  <c r="C19" i="22"/>
  <c r="B19" i="22"/>
  <c r="E18" i="22"/>
  <c r="F18" i="22" s="1"/>
  <c r="D18" i="22"/>
  <c r="C18" i="22"/>
  <c r="B18" i="22"/>
  <c r="C17" i="22"/>
  <c r="B15" i="22"/>
  <c r="E14" i="22"/>
  <c r="D14" i="22"/>
  <c r="C14" i="22"/>
  <c r="B14" i="22"/>
  <c r="E13" i="22"/>
  <c r="D13" i="22"/>
  <c r="C13" i="22"/>
  <c r="B13" i="22"/>
  <c r="E12" i="22"/>
  <c r="D12" i="22"/>
  <c r="C12" i="22"/>
  <c r="B12" i="22"/>
  <c r="E11" i="22"/>
  <c r="D11" i="22"/>
  <c r="C11" i="22"/>
  <c r="B11" i="22"/>
  <c r="E10" i="22"/>
  <c r="D10" i="22"/>
  <c r="C10" i="22"/>
  <c r="B10" i="22"/>
  <c r="E9" i="22"/>
  <c r="D9" i="22"/>
  <c r="C9" i="22"/>
  <c r="B9" i="22"/>
  <c r="E8" i="22"/>
  <c r="D8" i="22"/>
  <c r="C8" i="22"/>
  <c r="B8" i="22"/>
  <c r="H6" i="22"/>
  <c r="F27" i="21"/>
  <c r="C13" i="20"/>
  <c r="C12" i="20"/>
  <c r="D75" i="20"/>
  <c r="D76" i="20" s="1"/>
  <c r="D78" i="20" s="1"/>
  <c r="D73" i="20"/>
  <c r="D71" i="20"/>
  <c r="F67" i="20"/>
  <c r="E53" i="20" s="1"/>
  <c r="D62" i="20"/>
  <c r="D85" i="20" s="1"/>
  <c r="C53" i="20"/>
  <c r="E52" i="20"/>
  <c r="D52" i="20"/>
  <c r="B52" i="20"/>
  <c r="E51" i="20"/>
  <c r="D51" i="20"/>
  <c r="B51" i="20"/>
  <c r="E50" i="20"/>
  <c r="D50" i="20"/>
  <c r="B50" i="20"/>
  <c r="E49" i="20"/>
  <c r="D49" i="20"/>
  <c r="B49" i="20"/>
  <c r="E48" i="20"/>
  <c r="D48" i="20"/>
  <c r="B48" i="20"/>
  <c r="E47" i="20"/>
  <c r="D47" i="20"/>
  <c r="B47" i="20"/>
  <c r="E46" i="20"/>
  <c r="D46" i="20"/>
  <c r="B46" i="20"/>
  <c r="E43" i="20"/>
  <c r="D43" i="20"/>
  <c r="B43" i="20"/>
  <c r="A43" i="20"/>
  <c r="A52" i="20" s="1"/>
  <c r="C52" i="20" s="1"/>
  <c r="E42" i="20"/>
  <c r="D42" i="20"/>
  <c r="B42" i="20"/>
  <c r="A42" i="20"/>
  <c r="C42" i="20" s="1"/>
  <c r="E41" i="20"/>
  <c r="D41" i="20"/>
  <c r="B41" i="20"/>
  <c r="A41" i="20"/>
  <c r="C41" i="20" s="1"/>
  <c r="E40" i="20"/>
  <c r="D40" i="20"/>
  <c r="B40" i="20"/>
  <c r="A40" i="20"/>
  <c r="C40" i="20" s="1"/>
  <c r="E39" i="20"/>
  <c r="D39" i="20"/>
  <c r="B39" i="20"/>
  <c r="A39" i="20"/>
  <c r="A48" i="20" s="1"/>
  <c r="C48" i="20" s="1"/>
  <c r="E38" i="20"/>
  <c r="D38" i="20"/>
  <c r="B38" i="20"/>
  <c r="A38" i="20"/>
  <c r="A47" i="20" s="1"/>
  <c r="C47" i="20" s="1"/>
  <c r="E37" i="20"/>
  <c r="D37" i="20"/>
  <c r="B37" i="20"/>
  <c r="A37" i="20"/>
  <c r="C37" i="20" s="1"/>
  <c r="E34" i="20"/>
  <c r="D34" i="20"/>
  <c r="C34" i="20"/>
  <c r="B34" i="20"/>
  <c r="E33" i="20"/>
  <c r="D33" i="20"/>
  <c r="C33" i="20"/>
  <c r="B33" i="20"/>
  <c r="E32" i="20"/>
  <c r="D32" i="20"/>
  <c r="C32" i="20"/>
  <c r="B32" i="20"/>
  <c r="E31" i="20"/>
  <c r="D31" i="20"/>
  <c r="C31" i="20"/>
  <c r="B31" i="20"/>
  <c r="E30" i="20"/>
  <c r="D30" i="20"/>
  <c r="C30" i="20"/>
  <c r="B30" i="20"/>
  <c r="C29" i="20"/>
  <c r="E26" i="20"/>
  <c r="D26" i="20"/>
  <c r="C26" i="20"/>
  <c r="B26" i="20"/>
  <c r="E25" i="20"/>
  <c r="D25" i="20"/>
  <c r="C25" i="20"/>
  <c r="B25" i="20"/>
  <c r="E24" i="20"/>
  <c r="F24" i="20" s="1"/>
  <c r="D24" i="20"/>
  <c r="C24" i="20"/>
  <c r="B24" i="20"/>
  <c r="E23" i="20"/>
  <c r="F23" i="20" s="1"/>
  <c r="D23" i="20"/>
  <c r="C23" i="20"/>
  <c r="B23" i="20"/>
  <c r="E22" i="20"/>
  <c r="F22" i="20" s="1"/>
  <c r="D22" i="20"/>
  <c r="C22" i="20"/>
  <c r="B22" i="20"/>
  <c r="E21" i="20"/>
  <c r="F21" i="20" s="1"/>
  <c r="D21" i="20"/>
  <c r="C21" i="20"/>
  <c r="B21" i="20"/>
  <c r="E20" i="20"/>
  <c r="F20" i="20" s="1"/>
  <c r="D20" i="20"/>
  <c r="C20" i="20"/>
  <c r="B20" i="20"/>
  <c r="E19" i="20"/>
  <c r="F19" i="20" s="1"/>
  <c r="D19" i="20"/>
  <c r="C19" i="20"/>
  <c r="B19" i="20"/>
  <c r="B17" i="20"/>
  <c r="E16" i="20"/>
  <c r="D16" i="20"/>
  <c r="C16" i="20"/>
  <c r="B16" i="20"/>
  <c r="C15" i="20"/>
  <c r="C14" i="20"/>
  <c r="C11" i="20"/>
  <c r="C10" i="20"/>
  <c r="C9" i="20"/>
  <c r="C8" i="20"/>
  <c r="H6" i="20"/>
  <c r="D73" i="21"/>
  <c r="D74" i="21" s="1"/>
  <c r="D76" i="21" s="1"/>
  <c r="D71" i="21"/>
  <c r="D69" i="21"/>
  <c r="F65" i="21"/>
  <c r="E51" i="21" s="1"/>
  <c r="F51" i="21" s="1"/>
  <c r="D60" i="21"/>
  <c r="D85" i="21" s="1"/>
  <c r="D86" i="21" s="1"/>
  <c r="C51" i="21"/>
  <c r="E50" i="21"/>
  <c r="D50" i="21"/>
  <c r="B50" i="21"/>
  <c r="E49" i="21"/>
  <c r="D49" i="21"/>
  <c r="B49" i="21"/>
  <c r="E48" i="21"/>
  <c r="D48" i="21"/>
  <c r="B48" i="21"/>
  <c r="E47" i="21"/>
  <c r="D47" i="21"/>
  <c r="B47" i="21"/>
  <c r="E46" i="21"/>
  <c r="D46" i="21"/>
  <c r="B46" i="21"/>
  <c r="E45" i="21"/>
  <c r="D45" i="21"/>
  <c r="B45" i="21"/>
  <c r="E41" i="21"/>
  <c r="D41" i="21"/>
  <c r="B41" i="21"/>
  <c r="A41" i="21"/>
  <c r="A50" i="21" s="1"/>
  <c r="C50" i="21" s="1"/>
  <c r="E40" i="21"/>
  <c r="D40" i="21"/>
  <c r="B40" i="21"/>
  <c r="A40" i="21"/>
  <c r="C40" i="21" s="1"/>
  <c r="E39" i="21"/>
  <c r="D39" i="21"/>
  <c r="B39" i="21"/>
  <c r="A39" i="21"/>
  <c r="C39" i="21" s="1"/>
  <c r="E38" i="21"/>
  <c r="D38" i="21"/>
  <c r="B38" i="21"/>
  <c r="A38" i="21"/>
  <c r="C38" i="21" s="1"/>
  <c r="E37" i="21"/>
  <c r="D37" i="21"/>
  <c r="C37" i="21"/>
  <c r="B37" i="21"/>
  <c r="A37" i="21"/>
  <c r="A46" i="21" s="1"/>
  <c r="C46" i="21" s="1"/>
  <c r="E36" i="21"/>
  <c r="D36" i="21"/>
  <c r="C36" i="21"/>
  <c r="B36" i="21"/>
  <c r="A36" i="21"/>
  <c r="A45" i="21" s="1"/>
  <c r="C45" i="21" s="1"/>
  <c r="A35" i="21"/>
  <c r="C35" i="21" s="1"/>
  <c r="E32" i="21"/>
  <c r="F32" i="21" s="1"/>
  <c r="D32" i="21"/>
  <c r="C32" i="21"/>
  <c r="B32" i="21"/>
  <c r="E31" i="21"/>
  <c r="F31" i="21" s="1"/>
  <c r="D31" i="21"/>
  <c r="C31" i="21"/>
  <c r="B31" i="21"/>
  <c r="E30" i="21"/>
  <c r="F30" i="21" s="1"/>
  <c r="D30" i="21"/>
  <c r="C30" i="21"/>
  <c r="B30" i="21"/>
  <c r="F29" i="21"/>
  <c r="C29" i="21"/>
  <c r="C28" i="21"/>
  <c r="C27" i="21"/>
  <c r="E24" i="21"/>
  <c r="F24" i="21" s="1"/>
  <c r="D24" i="21"/>
  <c r="C24" i="21"/>
  <c r="B24" i="21"/>
  <c r="E23" i="21"/>
  <c r="F23" i="21" s="1"/>
  <c r="D23" i="21"/>
  <c r="C23" i="21"/>
  <c r="B23" i="21"/>
  <c r="E22" i="21"/>
  <c r="F22" i="21" s="1"/>
  <c r="D22" i="21"/>
  <c r="C22" i="21"/>
  <c r="B22" i="21"/>
  <c r="E21" i="21"/>
  <c r="F21" i="21" s="1"/>
  <c r="D21" i="21"/>
  <c r="C21" i="21"/>
  <c r="B21" i="21"/>
  <c r="E20" i="21"/>
  <c r="F20" i="21" s="1"/>
  <c r="D20" i="21"/>
  <c r="C20" i="21"/>
  <c r="B20" i="21"/>
  <c r="E19" i="21"/>
  <c r="F19" i="21" s="1"/>
  <c r="D19" i="21"/>
  <c r="C19" i="21"/>
  <c r="B19" i="21"/>
  <c r="E18" i="21"/>
  <c r="F18" i="21" s="1"/>
  <c r="D18" i="21"/>
  <c r="C18" i="21"/>
  <c r="B18" i="21"/>
  <c r="C17" i="21"/>
  <c r="B15" i="21"/>
  <c r="E14" i="21"/>
  <c r="D14" i="21"/>
  <c r="C14" i="21"/>
  <c r="B14" i="21"/>
  <c r="E13" i="21"/>
  <c r="F13" i="21" s="1"/>
  <c r="D13" i="21"/>
  <c r="C13" i="21"/>
  <c r="B13" i="21"/>
  <c r="E12" i="21"/>
  <c r="D12" i="21"/>
  <c r="C12" i="21"/>
  <c r="B12" i="21"/>
  <c r="E11" i="21"/>
  <c r="D11" i="21"/>
  <c r="C11" i="21"/>
  <c r="B11" i="21"/>
  <c r="E10" i="21"/>
  <c r="D10" i="21"/>
  <c r="C10" i="21"/>
  <c r="B10" i="21"/>
  <c r="E9" i="21"/>
  <c r="D9" i="21"/>
  <c r="C9" i="21"/>
  <c r="B9" i="21"/>
  <c r="E8" i="21"/>
  <c r="D8" i="21"/>
  <c r="C8" i="21"/>
  <c r="B8" i="21"/>
  <c r="H6" i="21"/>
  <c r="D81" i="23" l="1"/>
  <c r="D85" i="23"/>
  <c r="D86" i="23" s="1"/>
  <c r="F11" i="21"/>
  <c r="F10" i="23"/>
  <c r="F13" i="23"/>
  <c r="F9" i="21"/>
  <c r="F32" i="23"/>
  <c r="F36" i="22"/>
  <c r="F32" i="22"/>
  <c r="F8" i="23"/>
  <c r="F11" i="23"/>
  <c r="F14" i="23"/>
  <c r="F9" i="22"/>
  <c r="F12" i="22"/>
  <c r="F30" i="22"/>
  <c r="F9" i="23"/>
  <c r="F12" i="23"/>
  <c r="F30" i="23"/>
  <c r="F36" i="23"/>
  <c r="F10" i="22"/>
  <c r="F13" i="22"/>
  <c r="F39" i="22"/>
  <c r="F39" i="23"/>
  <c r="F8" i="22"/>
  <c r="F11" i="22"/>
  <c r="F14" i="22"/>
  <c r="D81" i="22"/>
  <c r="F40" i="23"/>
  <c r="F50" i="23"/>
  <c r="F38" i="23"/>
  <c r="F47" i="23"/>
  <c r="F48" i="23"/>
  <c r="F45" i="23"/>
  <c r="C41" i="23"/>
  <c r="F41" i="23" s="1"/>
  <c r="A47" i="23"/>
  <c r="C47" i="23" s="1"/>
  <c r="C73" i="23"/>
  <c r="A49" i="23"/>
  <c r="C49" i="23" s="1"/>
  <c r="F49" i="23" s="1"/>
  <c r="A44" i="23"/>
  <c r="C44" i="23" s="1"/>
  <c r="A46" i="23"/>
  <c r="C46" i="23" s="1"/>
  <c r="F46" i="23" s="1"/>
  <c r="F38" i="22"/>
  <c r="F47" i="22"/>
  <c r="F41" i="22"/>
  <c r="F48" i="22"/>
  <c r="F49" i="22"/>
  <c r="C41" i="22"/>
  <c r="A47" i="22"/>
  <c r="C47" i="22" s="1"/>
  <c r="C73" i="22"/>
  <c r="A49" i="22"/>
  <c r="C49" i="22" s="1"/>
  <c r="D83" i="22"/>
  <c r="A44" i="22"/>
  <c r="C44" i="22" s="1"/>
  <c r="A46" i="22"/>
  <c r="C46" i="22" s="1"/>
  <c r="F46" i="22" s="1"/>
  <c r="C73" i="21"/>
  <c r="C85" i="21" s="1"/>
  <c r="E85" i="21" s="1"/>
  <c r="D81" i="21"/>
  <c r="F46" i="21"/>
  <c r="F40" i="21"/>
  <c r="F37" i="21"/>
  <c r="F36" i="21"/>
  <c r="F39" i="21"/>
  <c r="F45" i="21"/>
  <c r="C41" i="21"/>
  <c r="F41" i="21" s="1"/>
  <c r="F8" i="21"/>
  <c r="F14" i="21"/>
  <c r="F12" i="21"/>
  <c r="F10" i="21"/>
  <c r="F28" i="21"/>
  <c r="F33" i="20"/>
  <c r="F52" i="20"/>
  <c r="F40" i="20"/>
  <c r="F9" i="20"/>
  <c r="F13" i="20"/>
  <c r="F12" i="20"/>
  <c r="F11" i="20"/>
  <c r="F8" i="20"/>
  <c r="F16" i="20"/>
  <c r="F37" i="20"/>
  <c r="C43" i="20"/>
  <c r="F43" i="20" s="1"/>
  <c r="F29" i="20"/>
  <c r="F32" i="20"/>
  <c r="F15" i="20"/>
  <c r="C39" i="20"/>
  <c r="F39" i="20" s="1"/>
  <c r="F26" i="20"/>
  <c r="F34" i="20"/>
  <c r="D83" i="20"/>
  <c r="D87" i="20"/>
  <c r="D88" i="20" s="1"/>
  <c r="F25" i="20"/>
  <c r="F30" i="20"/>
  <c r="C38" i="20"/>
  <c r="F38" i="20" s="1"/>
  <c r="F10" i="20"/>
  <c r="F53" i="20"/>
  <c r="F48" i="20"/>
  <c r="F14" i="20"/>
  <c r="F31" i="20"/>
  <c r="F42" i="20"/>
  <c r="F47" i="20"/>
  <c r="F41" i="20"/>
  <c r="A49" i="20"/>
  <c r="C49" i="20" s="1"/>
  <c r="F49" i="20" s="1"/>
  <c r="C75" i="20"/>
  <c r="A51" i="20"/>
  <c r="C51" i="20" s="1"/>
  <c r="F51" i="20" s="1"/>
  <c r="A46" i="20"/>
  <c r="C46" i="20" s="1"/>
  <c r="F46" i="20" s="1"/>
  <c r="A50" i="20"/>
  <c r="C50" i="20" s="1"/>
  <c r="F50" i="20" s="1"/>
  <c r="F50" i="21"/>
  <c r="F38" i="21"/>
  <c r="A47" i="21"/>
  <c r="C47" i="21" s="1"/>
  <c r="F47" i="21" s="1"/>
  <c r="A49" i="21"/>
  <c r="C49" i="21" s="1"/>
  <c r="F49" i="21" s="1"/>
  <c r="D83" i="21"/>
  <c r="A44" i="21"/>
  <c r="C44" i="21" s="1"/>
  <c r="A48" i="21"/>
  <c r="C48" i="21" s="1"/>
  <c r="F48" i="21" s="1"/>
  <c r="C85" i="23" l="1"/>
  <c r="E85" i="23" s="1"/>
  <c r="E73" i="23"/>
  <c r="C85" i="22"/>
  <c r="E85" i="22" s="1"/>
  <c r="E73" i="22"/>
  <c r="E73" i="21"/>
  <c r="F55" i="20"/>
  <c r="C71" i="20" s="1"/>
  <c r="F56" i="20"/>
  <c r="C78" i="20" s="1"/>
  <c r="E78" i="20" s="1"/>
  <c r="F58" i="20"/>
  <c r="C87" i="20"/>
  <c r="E87" i="20" s="1"/>
  <c r="E75" i="20"/>
  <c r="E35" i="21" l="1"/>
  <c r="F35" i="21" s="1"/>
  <c r="F54" i="21" s="1"/>
  <c r="C76" i="21" s="1"/>
  <c r="E76" i="21" s="1"/>
  <c r="E35" i="23"/>
  <c r="F35" i="23" s="1"/>
  <c r="F54" i="23" s="1"/>
  <c r="H54" i="23" s="1"/>
  <c r="G2" i="23" s="1"/>
  <c r="E35" i="22"/>
  <c r="F35" i="22" s="1"/>
  <c r="F54" i="22" s="1"/>
  <c r="F66" i="20"/>
  <c r="H55" i="20"/>
  <c r="F2" i="20" s="1"/>
  <c r="F57" i="20"/>
  <c r="H57" i="20" s="1"/>
  <c r="H56" i="20"/>
  <c r="G2" i="20" s="1"/>
  <c r="E71" i="20"/>
  <c r="C83" i="20"/>
  <c r="E83" i="20" s="1"/>
  <c r="H58" i="20"/>
  <c r="C76" i="20"/>
  <c r="C76" i="23" l="1"/>
  <c r="E76" i="23" s="1"/>
  <c r="H54" i="21"/>
  <c r="G2" i="21" s="1"/>
  <c r="E17" i="21"/>
  <c r="F17" i="21" s="1"/>
  <c r="F53" i="21" s="1"/>
  <c r="E17" i="23"/>
  <c r="F17" i="23" s="1"/>
  <c r="F53" i="23" s="1"/>
  <c r="F55" i="23" s="1"/>
  <c r="E17" i="22"/>
  <c r="F17" i="22" s="1"/>
  <c r="F53" i="22" s="1"/>
  <c r="H54" i="22"/>
  <c r="G2" i="22" s="1"/>
  <c r="C76" i="22"/>
  <c r="E76" i="22" s="1"/>
  <c r="O56" i="20"/>
  <c r="O58" i="20" s="1"/>
  <c r="F65" i="20"/>
  <c r="C73" i="20" s="1"/>
  <c r="C88" i="20"/>
  <c r="E88" i="20" s="1"/>
  <c r="E76" i="20"/>
  <c r="O57" i="20"/>
  <c r="H2" i="20"/>
  <c r="H60" i="20"/>
  <c r="H61" i="20" s="1"/>
  <c r="O60" i="20" s="1"/>
  <c r="F63" i="23" l="1"/>
  <c r="H55" i="23"/>
  <c r="O54" i="23"/>
  <c r="O56" i="23" s="1"/>
  <c r="E44" i="23"/>
  <c r="F44" i="23" s="1"/>
  <c r="F56" i="23" s="1"/>
  <c r="E44" i="22"/>
  <c r="F44" i="22" s="1"/>
  <c r="F56" i="22" s="1"/>
  <c r="C69" i="22"/>
  <c r="F55" i="22"/>
  <c r="F64" i="22"/>
  <c r="H53" i="22"/>
  <c r="F2" i="22" s="1"/>
  <c r="H53" i="23"/>
  <c r="F2" i="23" s="1"/>
  <c r="C69" i="23"/>
  <c r="F64" i="23"/>
  <c r="C69" i="21"/>
  <c r="H53" i="21"/>
  <c r="F2" i="21" s="1"/>
  <c r="F55" i="21"/>
  <c r="F64" i="21"/>
  <c r="E80" i="20"/>
  <c r="E44" i="21"/>
  <c r="F44" i="21" s="1"/>
  <c r="F56" i="21" s="1"/>
  <c r="F68" i="20"/>
  <c r="G30" i="20" s="1"/>
  <c r="E65" i="20"/>
  <c r="O59" i="20"/>
  <c r="O61" i="20" s="1"/>
  <c r="C85" i="20"/>
  <c r="E85" i="20" s="1"/>
  <c r="E73" i="20"/>
  <c r="C81" i="23" l="1"/>
  <c r="E81" i="23" s="1"/>
  <c r="E69" i="23"/>
  <c r="H55" i="22"/>
  <c r="O54" i="22"/>
  <c r="F63" i="22"/>
  <c r="E69" i="22"/>
  <c r="C81" i="22"/>
  <c r="E81" i="22" s="1"/>
  <c r="H56" i="22"/>
  <c r="C74" i="22"/>
  <c r="H56" i="23"/>
  <c r="C74" i="23"/>
  <c r="O54" i="21"/>
  <c r="O56" i="21" s="1"/>
  <c r="H55" i="21"/>
  <c r="F63" i="21"/>
  <c r="E69" i="21"/>
  <c r="C81" i="21"/>
  <c r="E81" i="21" s="1"/>
  <c r="C71" i="23"/>
  <c r="E63" i="23"/>
  <c r="F66" i="23"/>
  <c r="G56" i="23" s="1"/>
  <c r="C74" i="21"/>
  <c r="H56" i="21"/>
  <c r="G25" i="20"/>
  <c r="G23" i="20"/>
  <c r="G38" i="20"/>
  <c r="G22" i="20"/>
  <c r="G66" i="20"/>
  <c r="G9" i="20"/>
  <c r="G34" i="20"/>
  <c r="G31" i="20"/>
  <c r="G58" i="20"/>
  <c r="G50" i="20"/>
  <c r="G21" i="20"/>
  <c r="G65" i="20"/>
  <c r="G11" i="20"/>
  <c r="G13" i="20"/>
  <c r="G16" i="20"/>
  <c r="G67" i="20"/>
  <c r="G57" i="20"/>
  <c r="G24" i="20"/>
  <c r="G40" i="20"/>
  <c r="G19" i="20"/>
  <c r="G41" i="20"/>
  <c r="G43" i="20"/>
  <c r="G42" i="20"/>
  <c r="G20" i="20"/>
  <c r="G46" i="20"/>
  <c r="G48" i="20"/>
  <c r="G29" i="20"/>
  <c r="G14" i="20"/>
  <c r="G51" i="20"/>
  <c r="G32" i="20"/>
  <c r="G53" i="20"/>
  <c r="G39" i="20"/>
  <c r="G55" i="20"/>
  <c r="G15" i="20"/>
  <c r="G33" i="20"/>
  <c r="G68" i="20"/>
  <c r="G56" i="20"/>
  <c r="G47" i="20"/>
  <c r="G26" i="20"/>
  <c r="G49" i="20"/>
  <c r="G8" i="20"/>
  <c r="G37" i="20"/>
  <c r="G12" i="20"/>
  <c r="G10" i="20"/>
  <c r="G52" i="20"/>
  <c r="O62" i="20"/>
  <c r="O63" i="20" s="1"/>
  <c r="O64" i="20" s="1"/>
  <c r="G63" i="23" l="1"/>
  <c r="E71" i="23"/>
  <c r="C83" i="23"/>
  <c r="E83" i="23" s="1"/>
  <c r="C71" i="22"/>
  <c r="E63" i="22"/>
  <c r="F66" i="22"/>
  <c r="O56" i="22"/>
  <c r="E63" i="21"/>
  <c r="F66" i="21"/>
  <c r="C71" i="21"/>
  <c r="E74" i="23"/>
  <c r="E78" i="23" s="1"/>
  <c r="C86" i="23"/>
  <c r="E86" i="23" s="1"/>
  <c r="H2" i="23"/>
  <c r="O55" i="23"/>
  <c r="O57" i="23" s="1"/>
  <c r="H58" i="23"/>
  <c r="H59" i="23" s="1"/>
  <c r="O58" i="23" s="1"/>
  <c r="G14" i="23"/>
  <c r="G13" i="23"/>
  <c r="G48" i="23"/>
  <c r="G20" i="23"/>
  <c r="G32" i="23"/>
  <c r="G50" i="23"/>
  <c r="G24" i="23"/>
  <c r="G37" i="23"/>
  <c r="G46" i="23"/>
  <c r="G21" i="23"/>
  <c r="G9" i="23"/>
  <c r="G41" i="23"/>
  <c r="G35" i="23"/>
  <c r="G49" i="23"/>
  <c r="G10" i="23"/>
  <c r="G66" i="23"/>
  <c r="G47" i="23"/>
  <c r="G39" i="23"/>
  <c r="G11" i="23"/>
  <c r="G31" i="23"/>
  <c r="G45" i="23"/>
  <c r="G44" i="23"/>
  <c r="G53" i="23"/>
  <c r="G29" i="23"/>
  <c r="G8" i="23"/>
  <c r="G51" i="23"/>
  <c r="G30" i="23"/>
  <c r="G18" i="23"/>
  <c r="G65" i="23"/>
  <c r="G12" i="23"/>
  <c r="G19" i="23"/>
  <c r="G22" i="23"/>
  <c r="G38" i="23"/>
  <c r="G54" i="23"/>
  <c r="G27" i="23"/>
  <c r="G28" i="23"/>
  <c r="G17" i="23"/>
  <c r="G23" i="23"/>
  <c r="G40" i="23"/>
  <c r="G55" i="23"/>
  <c r="G36" i="23"/>
  <c r="C86" i="22"/>
  <c r="E86" i="22" s="1"/>
  <c r="E74" i="22"/>
  <c r="E78" i="22" s="1"/>
  <c r="G64" i="23"/>
  <c r="O55" i="22"/>
  <c r="H58" i="22"/>
  <c r="H59" i="22" s="1"/>
  <c r="O58" i="22" s="1"/>
  <c r="H2" i="22"/>
  <c r="E2" i="20"/>
  <c r="P64" i="20"/>
  <c r="O55" i="21"/>
  <c r="O57" i="21" s="1"/>
  <c r="H2" i="21"/>
  <c r="H58" i="21"/>
  <c r="H59" i="21" s="1"/>
  <c r="O58" i="21" s="1"/>
  <c r="C86" i="21"/>
  <c r="E86" i="21" s="1"/>
  <c r="E74" i="21"/>
  <c r="E78" i="21" s="1"/>
  <c r="O57" i="22" l="1"/>
  <c r="O59" i="22" s="1"/>
  <c r="O60" i="22" s="1"/>
  <c r="O61" i="22" s="1"/>
  <c r="O62" i="22" s="1"/>
  <c r="P62" i="22" s="1"/>
  <c r="O59" i="23"/>
  <c r="O60" i="23" s="1"/>
  <c r="O61" i="23" s="1"/>
  <c r="O62" i="23" s="1"/>
  <c r="P62" i="23" s="1"/>
  <c r="C83" i="21"/>
  <c r="E83" i="21" s="1"/>
  <c r="E71" i="21"/>
  <c r="G63" i="21"/>
  <c r="G31" i="21"/>
  <c r="G41" i="21"/>
  <c r="G36" i="21"/>
  <c r="G29" i="21"/>
  <c r="G46" i="21"/>
  <c r="G40" i="21"/>
  <c r="G9" i="21"/>
  <c r="G20" i="21"/>
  <c r="G30" i="21"/>
  <c r="G21" i="21"/>
  <c r="G11" i="21"/>
  <c r="G23" i="21"/>
  <c r="G47" i="21"/>
  <c r="G17" i="21"/>
  <c r="G51" i="21"/>
  <c r="G39" i="21"/>
  <c r="G32" i="21"/>
  <c r="G45" i="21"/>
  <c r="G50" i="21"/>
  <c r="G22" i="21"/>
  <c r="G49" i="21"/>
  <c r="G44" i="21"/>
  <c r="G66" i="21"/>
  <c r="G28" i="21"/>
  <c r="G8" i="21"/>
  <c r="G53" i="21"/>
  <c r="G13" i="21"/>
  <c r="G14" i="21"/>
  <c r="G54" i="21"/>
  <c r="G12" i="21"/>
  <c r="G65" i="21"/>
  <c r="G19" i="21"/>
  <c r="G27" i="21"/>
  <c r="G48" i="21"/>
  <c r="G35" i="21"/>
  <c r="G18" i="21"/>
  <c r="G38" i="21"/>
  <c r="G24" i="21"/>
  <c r="G37" i="21"/>
  <c r="G10" i="21"/>
  <c r="G64" i="21"/>
  <c r="G56" i="21"/>
  <c r="G55" i="21"/>
  <c r="G63" i="22"/>
  <c r="G12" i="22"/>
  <c r="G27" i="22"/>
  <c r="G54" i="22"/>
  <c r="G11" i="22"/>
  <c r="G29" i="22"/>
  <c r="G49" i="22"/>
  <c r="G22" i="22"/>
  <c r="G31" i="22"/>
  <c r="G46" i="22"/>
  <c r="G30" i="22"/>
  <c r="G50" i="22"/>
  <c r="G38" i="22"/>
  <c r="G66" i="22"/>
  <c r="G8" i="22"/>
  <c r="G51" i="22"/>
  <c r="G23" i="22"/>
  <c r="G44" i="22"/>
  <c r="G18" i="22"/>
  <c r="G45" i="22"/>
  <c r="G39" i="22"/>
  <c r="G36" i="22"/>
  <c r="G10" i="22"/>
  <c r="G48" i="22"/>
  <c r="G65" i="22"/>
  <c r="G19" i="22"/>
  <c r="G21" i="22"/>
  <c r="G37" i="22"/>
  <c r="G24" i="22"/>
  <c r="G64" i="22"/>
  <c r="G14" i="22"/>
  <c r="G41" i="22"/>
  <c r="G47" i="22"/>
  <c r="G40" i="22"/>
  <c r="G28" i="22"/>
  <c r="G20" i="22"/>
  <c r="G13" i="22"/>
  <c r="G53" i="22"/>
  <c r="G32" i="22"/>
  <c r="G35" i="22"/>
  <c r="G9" i="22"/>
  <c r="G17" i="22"/>
  <c r="G55" i="22"/>
  <c r="G56" i="22"/>
  <c r="E71" i="22"/>
  <c r="C83" i="22"/>
  <c r="E83" i="22" s="1"/>
  <c r="O59" i="21"/>
  <c r="O60" i="21" s="1"/>
  <c r="E2" i="22" l="1"/>
  <c r="E2" i="23"/>
  <c r="O61" i="21"/>
  <c r="O62" i="21" s="1"/>
  <c r="P62" i="21" s="1"/>
  <c r="E2" i="21" l="1"/>
  <c r="D25" i="19" l="1"/>
  <c r="D26" i="18"/>
  <c r="D31" i="15"/>
</calcChain>
</file>

<file path=xl/sharedStrings.xml><?xml version="1.0" encoding="utf-8"?>
<sst xmlns="http://schemas.openxmlformats.org/spreadsheetml/2006/main" count="685" uniqueCount="143">
  <si>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</si>
  <si>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</si>
  <si>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</si>
  <si>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</si>
  <si>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</si>
  <si>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</si>
  <si>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</si>
  <si>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</si>
  <si>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</si>
  <si>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</si>
  <si>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</si>
  <si>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Javier Tong, Chef</t>
  </si>
  <si>
    <t>MERMA</t>
  </si>
  <si>
    <t>g</t>
  </si>
  <si>
    <t>FAS</t>
  </si>
  <si>
    <t>Unidad</t>
  </si>
  <si>
    <t>min</t>
  </si>
  <si>
    <t>MP10002</t>
  </si>
  <si>
    <t>AREA QUE PRODUCE:</t>
  </si>
  <si>
    <t xml:space="preserve">AREA QUE EMPACA: </t>
  </si>
  <si>
    <t>Empaque</t>
  </si>
  <si>
    <t>CANTIDAD DE PORCIONES OBTENIDAS</t>
  </si>
  <si>
    <t>PESO DE CADA PORCIÓN</t>
  </si>
  <si>
    <t>porc</t>
  </si>
  <si>
    <t>Esteban Cartin, Gte Manufactura</t>
  </si>
  <si>
    <t>SERVICIOS DE PASTELERIA S.A.</t>
  </si>
  <si>
    <t>CÓDIGO:</t>
  </si>
  <si>
    <t>REVISIÓN:</t>
  </si>
  <si>
    <t>FECHA DE APROBACIÓN:</t>
  </si>
  <si>
    <t>Elaborado</t>
  </si>
  <si>
    <t>Aprobado</t>
  </si>
  <si>
    <t># Código Netsuite</t>
  </si>
  <si>
    <t>Medida alternativa</t>
  </si>
  <si>
    <t>Ensamble</t>
  </si>
  <si>
    <t>Decoración</t>
  </si>
  <si>
    <t>Tiempo de Horneo:</t>
  </si>
  <si>
    <t>Horno:</t>
  </si>
  <si>
    <t>Temperatura de Horneo:</t>
  </si>
  <si>
    <t>Otros</t>
  </si>
  <si>
    <t>PROCEDIMIENTO DE PREPARACION DE LA  RECETA</t>
  </si>
  <si>
    <t>CONTROL DE CAMBIOS</t>
  </si>
  <si>
    <t>Batidos</t>
  </si>
  <si>
    <t>MP10360</t>
  </si>
  <si>
    <t>Sirope Karo Dark</t>
  </si>
  <si>
    <t>MP10504</t>
  </si>
  <si>
    <t>Sirope Maple</t>
  </si>
  <si>
    <t>Aceite Capullo Rbd</t>
  </si>
  <si>
    <t>MP10096</t>
  </si>
  <si>
    <t>Canela En Polvo</t>
  </si>
  <si>
    <t>NUEVO</t>
  </si>
  <si>
    <t>AVENA INTEGRAL</t>
  </si>
  <si>
    <t>MP10591</t>
  </si>
  <si>
    <t>Almendra Entera</t>
  </si>
  <si>
    <t>MP10562</t>
  </si>
  <si>
    <t>Pecana Entera</t>
  </si>
  <si>
    <t>ARANDANOS DESHIDRATADOS</t>
  </si>
  <si>
    <t>EM10018</t>
  </si>
  <si>
    <t>Papel Mantequilla</t>
  </si>
  <si>
    <t>ud</t>
  </si>
  <si>
    <t>1.- Tostar la avena previamente.</t>
  </si>
  <si>
    <t>2.- Mezclar todos los ingredientes y distribuir en una bandeja con el papel mantequilla.</t>
  </si>
  <si>
    <t xml:space="preserve">3.- Llevar al horno a 180ºC por alrededor de 15 minutos. </t>
  </si>
  <si>
    <t>GRANOLA SPOON</t>
  </si>
  <si>
    <t>EM10037</t>
  </si>
  <si>
    <t>Bolsa 8X12 Transparente</t>
  </si>
  <si>
    <t xml:space="preserve">ud </t>
  </si>
  <si>
    <t>EM10002</t>
  </si>
  <si>
    <t>ETIQ.BLANCA 1 1/4 * 3/4</t>
  </si>
  <si>
    <t>CEMUSA</t>
  </si>
  <si>
    <t>EM10004</t>
  </si>
  <si>
    <t>ETIQ.FECHA VENCIMIENTO BLANCO (ROLLO)</t>
  </si>
  <si>
    <t>Juan Pablo Brenes, Chef</t>
  </si>
  <si>
    <t>BOLSA KRAFT PEQUEÑA</t>
  </si>
  <si>
    <t>BOLSA KRAFT GRANDE</t>
  </si>
  <si>
    <t>2.- Etiquetar</t>
  </si>
  <si>
    <t>1.- Empacar 100g en la bolsa kraft pequeña y cerrar.</t>
  </si>
  <si>
    <t>1.- Empacar 500g en la bolsa kraft grande y cerrar.</t>
  </si>
  <si>
    <t>MP10689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</si>
  <si>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</si>
  <si>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</si>
  <si>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</si>
  <si>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</si>
  <si>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</si>
  <si>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</si>
  <si>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</si>
  <si>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</si>
  <si>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</si>
  <si>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</si>
  <si>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</si>
  <si>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</si>
  <si>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</si>
  <si>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</si>
  <si>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</si>
  <si>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</si>
  <si>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</si>
  <si>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</si>
  <si>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</si>
  <si>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</si>
  <si>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</si>
  <si>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</si>
  <si>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</si>
  <si>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</si>
  <si>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</si>
  <si>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</si>
  <si>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</si>
  <si>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</si>
  <si>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</si>
  <si>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</si>
  <si>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</si>
  <si>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</si>
  <si>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</si>
  <si>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</si>
  <si>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</si>
  <si>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</si>
  <si>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</si>
  <si>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</si>
  <si>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</si>
  <si>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</si>
  <si>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</si>
  <si>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</si>
  <si>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</si>
  <si>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</si>
  <si>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</si>
  <si>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</si>
  <si>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</si>
  <si>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</si>
  <si>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</si>
  <si>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</si>
  <si>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</si>
  <si>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</si>
  <si>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</si>
  <si>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>UND</t>
  </si>
  <si>
    <t>MP10775</t>
  </si>
  <si>
    <t>SE00727 Granola Spoon</t>
  </si>
  <si>
    <t>SE00727</t>
  </si>
  <si>
    <t>EM10453</t>
  </si>
  <si>
    <t>EM10454</t>
  </si>
  <si>
    <t>PTL00251 -20100202 Empaque granola Spoon 100g</t>
  </si>
  <si>
    <t>PTL00252 -20100203   Empaque granola Spoon 500g</t>
  </si>
  <si>
    <t>1.- Empacar 400g en la bolsa kraft grande y cerrar.</t>
  </si>
  <si>
    <t>PTL00252-20100203  Empaque granola Spoon 400g</t>
  </si>
  <si>
    <t>01</t>
  </si>
  <si>
    <t>ESP-RE-BAS-082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</si>
</sst>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0.0"/>
    <numFmt numFmtId="165" formatCode="0.00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</numFmts>
  <fonts count="54" x14ac:knownFonts="1">
    <font>
      <sz val="10"/>
      <name val="Arial"/>
    </font>
    <font>
      <b/>
      <sz val="14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b/>
      <i/>
      <sz val="12"/>
      <name val="Arial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Century Gothic"/>
      <family val="2"/>
    </font>
    <font>
      <sz val="10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1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sz val="12"/>
      <color rgb="FFFF0000"/>
      <name val="Arial"/>
      <family val="2"/>
    </font>
    <font>
      <b/>
      <i/>
      <sz val="1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4" fillId="0" borderId="0"/>
    <xf numFmtId="0" fontId="3" fillId="0" borderId="0"/>
    <xf numFmtId="0" fontId="3" fillId="0" borderId="0"/>
    <xf numFmtId="9" fontId="4" fillId="0" borderId="0" applyFont="0" applyFill="0" applyBorder="0" applyAlignment="0" applyProtection="0"/>
    <xf numFmtId="0" fontId="4" fillId="0" borderId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398">
    <xf numFmtId="0" fontId="0" fillId="0" borderId="0" xfId="0"/>
    <xf numFmtId="1" fontId="9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 wrapText="1"/>
    </xf>
    <xf numFmtId="16" fontId="9" fillId="4" borderId="1" xfId="0" applyNumberFormat="1" applyFont="1" applyFill="1" applyBorder="1" applyAlignment="1">
      <alignment horizontal="center"/>
    </xf>
    <xf numFmtId="1" fontId="9" fillId="4" borderId="1" xfId="0" applyNumberFormat="1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16" fontId="9" fillId="4" borderId="5" xfId="0" applyNumberFormat="1" applyFont="1" applyFill="1" applyBorder="1" applyAlignment="1">
      <alignment horizontal="center"/>
    </xf>
    <xf numFmtId="1" fontId="9" fillId="4" borderId="5" xfId="0" applyNumberFormat="1" applyFont="1" applyFill="1" applyBorder="1" applyAlignment="1">
      <alignment horizontal="center"/>
    </xf>
    <xf numFmtId="1" fontId="9" fillId="0" borderId="5" xfId="0" applyNumberFormat="1" applyFont="1" applyBorder="1" applyAlignment="1">
      <alignment horizontal="center" wrapText="1"/>
    </xf>
    <xf numFmtId="0" fontId="4" fillId="2" borderId="6" xfId="2" applyFont="1" applyFill="1" applyBorder="1" applyAlignment="1">
      <alignment horizontal="left"/>
    </xf>
    <xf numFmtId="0" fontId="4" fillId="0" borderId="0" xfId="1"/>
    <xf numFmtId="0" fontId="4" fillId="0" borderId="1" xfId="1" applyBorder="1" applyAlignment="1">
      <alignment horizontal="center"/>
    </xf>
    <xf numFmtId="0" fontId="14" fillId="2" borderId="9" xfId="2" applyFont="1" applyFill="1" applyBorder="1" applyAlignment="1">
      <alignment horizontal="right"/>
    </xf>
    <xf numFmtId="0" fontId="14" fillId="2" borderId="1" xfId="2" applyFont="1" applyFill="1" applyBorder="1" applyAlignment="1">
      <alignment horizontal="right"/>
    </xf>
    <xf numFmtId="49" fontId="12" fillId="2" borderId="10" xfId="2" applyNumberFormat="1" applyFont="1" applyFill="1" applyBorder="1" applyAlignment="1">
      <alignment horizontal="center"/>
    </xf>
    <xf numFmtId="0" fontId="12" fillId="2" borderId="5" xfId="2" applyFont="1" applyFill="1" applyBorder="1" applyAlignment="1">
      <alignment horizontal="right"/>
    </xf>
    <xf numFmtId="0" fontId="12" fillId="2" borderId="1" xfId="2" applyFont="1" applyFill="1" applyBorder="1" applyAlignment="1">
      <alignment horizontal="right"/>
    </xf>
    <xf numFmtId="14" fontId="11" fillId="2" borderId="0" xfId="3" applyNumberFormat="1" applyFont="1" applyFill="1" applyAlignment="1">
      <alignment horizontal="center" vertical="center" wrapText="1"/>
    </xf>
    <xf numFmtId="0" fontId="14" fillId="3" borderId="6" xfId="1" applyFont="1" applyFill="1" applyBorder="1" applyAlignment="1">
      <alignment horizontal="center" vertical="center" wrapText="1"/>
    </xf>
    <xf numFmtId="1" fontId="14" fillId="3" borderId="7" xfId="1" applyNumberFormat="1" applyFont="1" applyFill="1" applyBorder="1" applyAlignment="1">
      <alignment horizontal="center"/>
    </xf>
    <xf numFmtId="1" fontId="14" fillId="3" borderId="7" xfId="1" applyNumberFormat="1" applyFont="1" applyFill="1" applyBorder="1" applyAlignment="1">
      <alignment horizontal="center" wrapText="1"/>
    </xf>
    <xf numFmtId="0" fontId="14" fillId="3" borderId="8" xfId="1" applyFont="1" applyFill="1" applyBorder="1" applyAlignment="1">
      <alignment horizontal="center"/>
    </xf>
    <xf numFmtId="0" fontId="8" fillId="0" borderId="44" xfId="1" applyFont="1" applyBorder="1" applyAlignment="1">
      <alignment horizontal="center" vertical="center"/>
    </xf>
    <xf numFmtId="0" fontId="8" fillId="0" borderId="21" xfId="1" applyFont="1" applyBorder="1" applyAlignment="1">
      <alignment horizontal="center" vertical="center"/>
    </xf>
    <xf numFmtId="0" fontId="15" fillId="0" borderId="1" xfId="1" applyFont="1" applyBorder="1" applyAlignment="1">
      <alignment vertical="center"/>
    </xf>
    <xf numFmtId="0" fontId="8" fillId="0" borderId="1" xfId="1" applyFont="1" applyBorder="1" applyAlignment="1">
      <alignment horizontal="center" vertical="center"/>
    </xf>
    <xf numFmtId="1" fontId="8" fillId="0" borderId="1" xfId="1" applyNumberFormat="1" applyFont="1" applyBorder="1" applyAlignment="1">
      <alignment horizontal="center"/>
    </xf>
    <xf numFmtId="1" fontId="8" fillId="0" borderId="1" xfId="1" applyNumberFormat="1" applyFont="1" applyBorder="1" applyAlignment="1">
      <alignment horizontal="center" wrapText="1"/>
    </xf>
    <xf numFmtId="0" fontId="9" fillId="0" borderId="10" xfId="1" applyFont="1" applyBorder="1" applyAlignment="1">
      <alignment horizontal="center"/>
    </xf>
    <xf numFmtId="0" fontId="12" fillId="0" borderId="1" xfId="0" quotePrefix="1" applyFont="1" applyBorder="1" applyAlignment="1">
      <alignment horizontal="center"/>
    </xf>
    <xf numFmtId="0" fontId="12" fillId="0" borderId="1" xfId="0" quotePrefix="1" applyFont="1" applyBorder="1"/>
    <xf numFmtId="16" fontId="9" fillId="0" borderId="1" xfId="0" applyNumberFormat="1" applyFont="1" applyBorder="1" applyAlignment="1">
      <alignment horizontal="center"/>
    </xf>
    <xf numFmtId="0" fontId="0" fillId="4" borderId="1" xfId="0" applyFill="1" applyBorder="1"/>
    <xf numFmtId="1" fontId="9" fillId="0" borderId="1" xfId="1" applyNumberFormat="1" applyFont="1" applyBorder="1" applyAlignment="1">
      <alignment horizontal="center"/>
    </xf>
    <xf numFmtId="1" fontId="9" fillId="0" borderId="1" xfId="1" applyNumberFormat="1" applyFont="1" applyBorder="1" applyAlignment="1">
      <alignment horizontal="center" wrapText="1"/>
    </xf>
    <xf numFmtId="49" fontId="9" fillId="0" borderId="44" xfId="1" applyNumberFormat="1" applyFont="1" applyBorder="1" applyAlignment="1">
      <alignment horizontal="center"/>
    </xf>
    <xf numFmtId="49" fontId="9" fillId="0" borderId="21" xfId="1" applyNumberFormat="1" applyFont="1" applyBorder="1" applyAlignment="1">
      <alignment horizontal="center"/>
    </xf>
    <xf numFmtId="0" fontId="7" fillId="4" borderId="1" xfId="1" applyFont="1" applyFill="1" applyBorder="1" applyAlignment="1">
      <alignment horizontal="left"/>
    </xf>
    <xf numFmtId="0" fontId="9" fillId="0" borderId="1" xfId="1" applyFont="1" applyBorder="1" applyAlignment="1">
      <alignment horizontal="center"/>
    </xf>
    <xf numFmtId="164" fontId="9" fillId="0" borderId="1" xfId="1" applyNumberFormat="1" applyFont="1" applyBorder="1" applyAlignment="1">
      <alignment horizontal="center"/>
    </xf>
    <xf numFmtId="0" fontId="4" fillId="0" borderId="44" xfId="5" applyBorder="1" applyAlignment="1">
      <alignment horizontal="center"/>
    </xf>
    <xf numFmtId="0" fontId="4" fillId="4" borderId="1" xfId="5" applyFill="1" applyBorder="1"/>
    <xf numFmtId="16" fontId="9" fillId="0" borderId="1" xfId="5" applyNumberFormat="1" applyFont="1" applyBorder="1" applyAlignment="1">
      <alignment horizontal="center"/>
    </xf>
    <xf numFmtId="1" fontId="9" fillId="0" borderId="1" xfId="5" applyNumberFormat="1" applyFont="1" applyBorder="1" applyAlignment="1">
      <alignment horizontal="center"/>
    </xf>
    <xf numFmtId="1" fontId="9" fillId="0" borderId="1" xfId="5" applyNumberFormat="1" applyFont="1" applyBorder="1" applyAlignment="1">
      <alignment horizontal="center" wrapText="1"/>
    </xf>
    <xf numFmtId="49" fontId="8" fillId="0" borderId="19" xfId="1" applyNumberFormat="1" applyFont="1" applyBorder="1" applyAlignment="1">
      <alignment horizontal="center"/>
    </xf>
    <xf numFmtId="49" fontId="8" fillId="0" borderId="20" xfId="1" applyNumberFormat="1" applyFont="1" applyBorder="1" applyAlignment="1">
      <alignment horizontal="center"/>
    </xf>
    <xf numFmtId="0" fontId="16" fillId="4" borderId="1" xfId="1" applyFont="1" applyFill="1" applyBorder="1" applyAlignment="1">
      <alignment vertical="center"/>
    </xf>
    <xf numFmtId="0" fontId="8" fillId="0" borderId="2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49" fontId="2" fillId="0" borderId="1" xfId="1" applyNumberFormat="1" applyFont="1" applyBorder="1"/>
    <xf numFmtId="49" fontId="17" fillId="2" borderId="18" xfId="1" applyNumberFormat="1" applyFont="1" applyFill="1" applyBorder="1" applyAlignment="1">
      <alignment horizontal="center" vertical="center"/>
    </xf>
    <xf numFmtId="49" fontId="17" fillId="2" borderId="0" xfId="1" applyNumberFormat="1" applyFont="1" applyFill="1" applyAlignment="1">
      <alignment horizontal="center" vertical="center"/>
    </xf>
    <xf numFmtId="0" fontId="12" fillId="2" borderId="0" xfId="1" applyFont="1" applyFill="1"/>
    <xf numFmtId="1" fontId="12" fillId="2" borderId="0" xfId="1" applyNumberFormat="1" applyFont="1" applyFill="1" applyAlignment="1">
      <alignment horizontal="center"/>
    </xf>
    <xf numFmtId="165" fontId="12" fillId="2" borderId="0" xfId="1" applyNumberFormat="1" applyFont="1" applyFill="1" applyAlignment="1">
      <alignment horizontal="center" wrapText="1"/>
    </xf>
    <xf numFmtId="0" fontId="12" fillId="2" borderId="12" xfId="1" applyFont="1" applyFill="1" applyBorder="1" applyAlignment="1">
      <alignment horizontal="center"/>
    </xf>
    <xf numFmtId="0" fontId="12" fillId="2" borderId="0" xfId="1" applyFont="1" applyFill="1" applyAlignment="1">
      <alignment horizontal="left" indent="1"/>
    </xf>
    <xf numFmtId="0" fontId="12" fillId="3" borderId="2" xfId="1" applyFont="1" applyFill="1" applyBorder="1" applyAlignment="1">
      <alignment horizontal="center"/>
    </xf>
    <xf numFmtId="0" fontId="12" fillId="3" borderId="3" xfId="1" applyFont="1" applyFill="1" applyBorder="1" applyAlignment="1">
      <alignment horizontal="center"/>
    </xf>
    <xf numFmtId="0" fontId="12" fillId="3" borderId="3" xfId="1" applyFont="1" applyFill="1" applyBorder="1"/>
    <xf numFmtId="0" fontId="14" fillId="3" borderId="3" xfId="1" applyFont="1" applyFill="1" applyBorder="1" applyAlignment="1">
      <alignment horizontal="center"/>
    </xf>
    <xf numFmtId="1" fontId="14" fillId="3" borderId="3" xfId="1" applyNumberFormat="1" applyFont="1" applyFill="1" applyBorder="1" applyAlignment="1">
      <alignment horizontal="center"/>
    </xf>
    <xf numFmtId="165" fontId="12" fillId="3" borderId="3" xfId="1" applyNumberFormat="1" applyFont="1" applyFill="1" applyBorder="1" applyAlignment="1">
      <alignment horizontal="center" wrapText="1"/>
    </xf>
    <xf numFmtId="0" fontId="12" fillId="3" borderId="4" xfId="1" applyFont="1" applyFill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9" fontId="12" fillId="2" borderId="0" xfId="4" applyFont="1" applyFill="1"/>
    <xf numFmtId="1" fontId="4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0" fillId="0" borderId="1" xfId="0" applyBorder="1" applyAlignment="1">
      <alignment horizontal="left"/>
    </xf>
    <xf numFmtId="0" fontId="3" fillId="0" borderId="5" xfId="0" applyFont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19" fillId="8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3" fontId="19" fillId="0" borderId="1" xfId="6" applyFont="1" applyFill="1" applyBorder="1" applyAlignment="1">
      <alignment horizontal="center" vertical="center"/>
    </xf>
    <xf numFmtId="43" fontId="19" fillId="0" borderId="0" xfId="6" applyFont="1" applyFill="1" applyBorder="1" applyAlignment="1">
      <alignment horizontal="center" vertical="center"/>
    </xf>
    <xf numFmtId="43" fontId="21" fillId="0" borderId="0" xfId="6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167" fontId="24" fillId="0" borderId="0" xfId="0" applyNumberFormat="1" applyFont="1" applyAlignment="1">
      <alignment horizontal="center" vertical="center" wrapText="1"/>
    </xf>
    <xf numFmtId="0" fontId="19" fillId="9" borderId="46" xfId="0" applyFont="1" applyFill="1" applyBorder="1" applyAlignment="1">
      <alignment horizontal="center" vertical="center"/>
    </xf>
    <xf numFmtId="0" fontId="19" fillId="9" borderId="47" xfId="0" applyFont="1" applyFill="1" applyBorder="1" applyAlignment="1">
      <alignment horizontal="center" vertical="center"/>
    </xf>
    <xf numFmtId="0" fontId="19" fillId="9" borderId="47" xfId="0" applyFont="1" applyFill="1" applyBorder="1" applyAlignment="1">
      <alignment horizontal="center" vertical="center" wrapText="1"/>
    </xf>
    <xf numFmtId="0" fontId="19" fillId="9" borderId="48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2" fontId="25" fillId="0" borderId="0" xfId="0" applyNumberFormat="1" applyFont="1" applyAlignment="1">
      <alignment horizontal="center"/>
    </xf>
    <xf numFmtId="4" fontId="25" fillId="0" borderId="0" xfId="7" applyNumberFormat="1" applyFont="1" applyFill="1" applyAlignment="1">
      <alignment horizontal="center" vertical="center"/>
    </xf>
    <xf numFmtId="4" fontId="19" fillId="0" borderId="0" xfId="7" applyNumberFormat="1" applyFont="1" applyFill="1" applyAlignment="1">
      <alignment horizontal="center" vertical="center"/>
    </xf>
    <xf numFmtId="10" fontId="19" fillId="0" borderId="0" xfId="4" applyNumberFormat="1" applyFont="1" applyFill="1" applyAlignment="1">
      <alignment vertical="center"/>
    </xf>
    <xf numFmtId="49" fontId="19" fillId="0" borderId="0" xfId="0" applyNumberFormat="1" applyFont="1" applyAlignment="1">
      <alignment horizontal="center" vertical="center"/>
    </xf>
    <xf numFmtId="10" fontId="20" fillId="0" borderId="0" xfId="4" applyNumberFormat="1" applyFont="1" applyFill="1" applyAlignment="1">
      <alignment vertical="center"/>
    </xf>
    <xf numFmtId="0" fontId="2" fillId="0" borderId="0" xfId="0" applyFont="1"/>
    <xf numFmtId="49" fontId="19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43" fontId="2" fillId="0" borderId="0" xfId="6" applyFont="1" applyFill="1" applyAlignment="1">
      <alignment vertical="center"/>
    </xf>
    <xf numFmtId="49" fontId="26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9" fillId="0" borderId="0" xfId="0" applyFont="1" applyAlignment="1">
      <alignment horizontal="right" vertical="center"/>
    </xf>
    <xf numFmtId="4" fontId="19" fillId="0" borderId="0" xfId="6" applyNumberFormat="1" applyFont="1" applyFill="1" applyAlignment="1">
      <alignment vertical="center"/>
    </xf>
    <xf numFmtId="43" fontId="27" fillId="0" borderId="0" xfId="6" applyFont="1" applyFill="1" applyAlignment="1">
      <alignment horizontal="center" vertical="center"/>
    </xf>
    <xf numFmtId="10" fontId="20" fillId="9" borderId="49" xfId="4" applyNumberFormat="1" applyFont="1" applyFill="1" applyBorder="1" applyAlignment="1">
      <alignment vertical="center"/>
    </xf>
    <xf numFmtId="0" fontId="2" fillId="9" borderId="3" xfId="0" applyFont="1" applyFill="1" applyBorder="1" applyAlignment="1">
      <alignment vertical="center"/>
    </xf>
    <xf numFmtId="0" fontId="2" fillId="9" borderId="49" xfId="0" applyFont="1" applyFill="1" applyBorder="1" applyAlignment="1">
      <alignment vertical="center"/>
    </xf>
    <xf numFmtId="43" fontId="27" fillId="9" borderId="50" xfId="6" applyFont="1" applyFill="1" applyBorder="1" applyAlignment="1">
      <alignment horizontal="center" vertical="center"/>
    </xf>
    <xf numFmtId="43" fontId="29" fillId="0" borderId="0" xfId="6" applyFont="1" applyFill="1" applyBorder="1" applyAlignment="1">
      <alignment horizontal="right"/>
    </xf>
    <xf numFmtId="0" fontId="2" fillId="9" borderId="50" xfId="0" applyFont="1" applyFill="1" applyBorder="1" applyAlignment="1">
      <alignment vertical="center"/>
    </xf>
    <xf numFmtId="10" fontId="20" fillId="9" borderId="50" xfId="4" applyNumberFormat="1" applyFont="1" applyFill="1" applyBorder="1" applyAlignment="1">
      <alignment vertical="center"/>
    </xf>
    <xf numFmtId="0" fontId="28" fillId="0" borderId="0" xfId="0" applyFont="1" applyAlignment="1">
      <alignment horizontal="right"/>
    </xf>
    <xf numFmtId="0" fontId="28" fillId="0" borderId="0" xfId="0" applyFont="1"/>
    <xf numFmtId="9" fontId="28" fillId="0" borderId="0" xfId="0" applyNumberFormat="1" applyFont="1"/>
    <xf numFmtId="9" fontId="30" fillId="0" borderId="0" xfId="4" applyFont="1" applyFill="1" applyAlignment="1">
      <alignment horizontal="center"/>
    </xf>
    <xf numFmtId="0" fontId="27" fillId="0" borderId="0" xfId="0" applyFont="1" applyAlignment="1">
      <alignment horizontal="right" vertical="center"/>
    </xf>
    <xf numFmtId="4" fontId="27" fillId="0" borderId="0" xfId="6" applyNumberFormat="1" applyFont="1" applyFill="1" applyAlignment="1">
      <alignment vertical="center"/>
    </xf>
    <xf numFmtId="4" fontId="27" fillId="0" borderId="0" xfId="7" applyNumberFormat="1" applyFont="1" applyAlignment="1">
      <alignment horizontal="center" vertical="center"/>
    </xf>
    <xf numFmtId="0" fontId="31" fillId="0" borderId="0" xfId="0" applyFont="1" applyAlignment="1">
      <alignment horizontal="right"/>
    </xf>
    <xf numFmtId="0" fontId="32" fillId="0" borderId="0" xfId="0" applyFont="1" applyAlignment="1">
      <alignment horizontal="right"/>
    </xf>
    <xf numFmtId="0" fontId="32" fillId="0" borderId="12" xfId="0" applyFont="1" applyBorder="1" applyAlignment="1">
      <alignment horizontal="right"/>
    </xf>
    <xf numFmtId="43" fontId="33" fillId="10" borderId="51" xfId="6" applyFont="1" applyFill="1" applyBorder="1" applyAlignment="1">
      <alignment horizontal="right"/>
    </xf>
    <xf numFmtId="43" fontId="33" fillId="0" borderId="0" xfId="6" applyFont="1" applyFill="1" applyBorder="1" applyAlignment="1">
      <alignment horizontal="right"/>
    </xf>
    <xf numFmtId="43" fontId="19" fillId="0" borderId="1" xfId="6" applyFont="1" applyFill="1" applyBorder="1" applyAlignment="1">
      <alignment vertical="center"/>
    </xf>
    <xf numFmtId="0" fontId="34" fillId="0" borderId="0" xfId="0" applyFont="1" applyAlignment="1">
      <alignment horizontal="left" vertical="center"/>
    </xf>
    <xf numFmtId="4" fontId="27" fillId="0" borderId="0" xfId="7" applyNumberFormat="1" applyFont="1" applyFill="1" applyAlignment="1">
      <alignment horizontal="center" vertical="center"/>
    </xf>
    <xf numFmtId="10" fontId="35" fillId="0" borderId="0" xfId="4" applyNumberFormat="1" applyFont="1" applyFill="1" applyAlignment="1">
      <alignment horizontal="right"/>
    </xf>
    <xf numFmtId="169" fontId="19" fillId="9" borderId="1" xfId="6" applyNumberFormat="1" applyFont="1" applyFill="1" applyBorder="1" applyAlignment="1">
      <alignment vertical="center"/>
    </xf>
    <xf numFmtId="4" fontId="2" fillId="0" borderId="0" xfId="0" applyNumberFormat="1" applyFont="1" applyAlignment="1">
      <alignment horizontal="center" vertical="center"/>
    </xf>
    <xf numFmtId="43" fontId="19" fillId="11" borderId="1" xfId="6" applyFont="1" applyFill="1" applyBorder="1" applyAlignment="1">
      <alignment vertical="center"/>
    </xf>
    <xf numFmtId="166" fontId="36" fillId="0" borderId="0" xfId="0" applyNumberFormat="1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4" fontId="19" fillId="0" borderId="0" xfId="0" applyNumberFormat="1" applyFont="1" applyAlignment="1">
      <alignment horizontal="center" vertical="center"/>
    </xf>
    <xf numFmtId="0" fontId="20" fillId="9" borderId="52" xfId="0" applyFont="1" applyFill="1" applyBorder="1" applyAlignment="1">
      <alignment vertical="center"/>
    </xf>
    <xf numFmtId="0" fontId="38" fillId="0" borderId="0" xfId="0" applyFont="1" applyAlignment="1">
      <alignment vertical="center"/>
    </xf>
    <xf numFmtId="2" fontId="35" fillId="0" borderId="0" xfId="6" applyNumberFormat="1" applyFont="1" applyFill="1" applyBorder="1" applyAlignment="1">
      <alignment horizontal="center"/>
    </xf>
    <xf numFmtId="2" fontId="32" fillId="0" borderId="0" xfId="6" applyNumberFormat="1" applyFont="1" applyFill="1" applyBorder="1" applyAlignment="1">
      <alignment horizontal="center"/>
    </xf>
    <xf numFmtId="0" fontId="2" fillId="9" borderId="52" xfId="0" applyFont="1" applyFill="1" applyBorder="1" applyAlignment="1">
      <alignment vertical="center"/>
    </xf>
    <xf numFmtId="10" fontId="2" fillId="0" borderId="0" xfId="4" applyNumberFormat="1" applyFont="1" applyFill="1" applyAlignment="1">
      <alignment vertical="center"/>
    </xf>
    <xf numFmtId="4" fontId="2" fillId="0" borderId="0" xfId="6" applyNumberFormat="1" applyFont="1" applyFill="1" applyAlignment="1">
      <alignment vertical="center"/>
    </xf>
    <xf numFmtId="43" fontId="33" fillId="9" borderId="3" xfId="6" applyFont="1" applyFill="1" applyBorder="1" applyAlignment="1">
      <alignment horizontal="right"/>
    </xf>
    <xf numFmtId="0" fontId="19" fillId="9" borderId="4" xfId="0" applyFont="1" applyFill="1" applyBorder="1" applyAlignment="1">
      <alignment horizontal="right" vertical="center"/>
    </xf>
    <xf numFmtId="10" fontId="39" fillId="0" borderId="0" xfId="6" applyNumberFormat="1" applyFont="1" applyFill="1" applyAlignment="1">
      <alignment vertical="center"/>
    </xf>
    <xf numFmtId="10" fontId="20" fillId="0" borderId="0" xfId="4" applyNumberFormat="1" applyFont="1" applyFill="1" applyBorder="1" applyAlignment="1">
      <alignment vertical="center"/>
    </xf>
    <xf numFmtId="166" fontId="40" fillId="0" borderId="0" xfId="0" applyNumberFormat="1" applyFont="1" applyAlignment="1">
      <alignment horizontal="center" vertical="center"/>
    </xf>
    <xf numFmtId="0" fontId="2" fillId="4" borderId="51" xfId="0" applyFont="1" applyFill="1" applyBorder="1" applyAlignment="1">
      <alignment horizontal="center" vertical="center"/>
    </xf>
    <xf numFmtId="43" fontId="41" fillId="0" borderId="0" xfId="6" applyFont="1" applyFill="1" applyAlignment="1">
      <alignment vertical="center"/>
    </xf>
    <xf numFmtId="4" fontId="42" fillId="0" borderId="0" xfId="7" applyNumberFormat="1" applyFont="1" applyFill="1" applyAlignment="1">
      <alignment horizontal="center" vertical="center" wrapText="1"/>
    </xf>
    <xf numFmtId="9" fontId="2" fillId="0" borderId="0" xfId="6" applyNumberFormat="1" applyFont="1" applyFill="1" applyAlignment="1">
      <alignment vertical="center"/>
    </xf>
    <xf numFmtId="0" fontId="2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/>
    </xf>
    <xf numFmtId="4" fontId="26" fillId="0" borderId="0" xfId="6" applyNumberFormat="1" applyFont="1" applyFill="1" applyAlignment="1">
      <alignment vertical="center"/>
    </xf>
    <xf numFmtId="4" fontId="19" fillId="13" borderId="51" xfId="6" applyNumberFormat="1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43" fontId="43" fillId="0" borderId="0" xfId="6" applyFont="1" applyFill="1" applyAlignment="1">
      <alignment vertical="center"/>
    </xf>
    <xf numFmtId="9" fontId="43" fillId="0" borderId="0" xfId="6" applyNumberFormat="1" applyFont="1" applyFill="1" applyAlignment="1">
      <alignment vertical="center"/>
    </xf>
    <xf numFmtId="4" fontId="19" fillId="0" borderId="0" xfId="6" applyNumberFormat="1" applyFont="1" applyFill="1" applyAlignment="1">
      <alignment horizontal="center" vertical="center"/>
    </xf>
    <xf numFmtId="10" fontId="36" fillId="0" borderId="0" xfId="4" applyNumberFormat="1" applyFont="1" applyFill="1" applyAlignment="1">
      <alignment vertical="center"/>
    </xf>
    <xf numFmtId="43" fontId="36" fillId="0" borderId="0" xfId="6" applyFont="1" applyFill="1" applyBorder="1" applyAlignment="1">
      <alignment vertical="center"/>
    </xf>
    <xf numFmtId="4" fontId="2" fillId="0" borderId="0" xfId="0" applyNumberFormat="1" applyFont="1" applyAlignment="1">
      <alignment horizontal="center"/>
    </xf>
    <xf numFmtId="43" fontId="2" fillId="0" borderId="0" xfId="6" applyFont="1" applyFill="1" applyBorder="1"/>
    <xf numFmtId="10" fontId="36" fillId="0" borderId="0" xfId="4" applyNumberFormat="1" applyFont="1" applyFill="1" applyBorder="1" applyAlignment="1">
      <alignment vertical="center"/>
    </xf>
    <xf numFmtId="0" fontId="36" fillId="0" borderId="0" xfId="0" applyFont="1" applyAlignment="1">
      <alignment horizontal="right"/>
    </xf>
    <xf numFmtId="43" fontId="2" fillId="0" borderId="0" xfId="6" applyFont="1" applyFill="1" applyBorder="1" applyAlignment="1">
      <alignment horizontal="center"/>
    </xf>
    <xf numFmtId="9" fontId="46" fillId="0" borderId="0" xfId="0" applyNumberFormat="1" applyFont="1" applyAlignment="1">
      <alignment horizontal="left"/>
    </xf>
    <xf numFmtId="4" fontId="19" fillId="0" borderId="0" xfId="0" applyNumberFormat="1" applyFont="1" applyAlignment="1">
      <alignment horizontal="center"/>
    </xf>
    <xf numFmtId="166" fontId="19" fillId="0" borderId="0" xfId="0" applyNumberFormat="1" applyFont="1"/>
    <xf numFmtId="0" fontId="4" fillId="0" borderId="0" xfId="0" applyFont="1" applyAlignment="1">
      <alignment horizontal="center"/>
    </xf>
    <xf numFmtId="0" fontId="4" fillId="7" borderId="0" xfId="0" applyFont="1" applyFill="1" applyAlignment="1">
      <alignment horizontal="center"/>
    </xf>
    <xf numFmtId="0" fontId="4" fillId="0" borderId="0" xfId="0" applyFont="1"/>
    <xf numFmtId="43" fontId="0" fillId="0" borderId="0" xfId="6" applyFont="1"/>
    <xf numFmtId="14" fontId="12" fillId="2" borderId="39" xfId="2" applyNumberFormat="1" applyFont="1" applyFill="1" applyBorder="1" applyAlignment="1">
      <alignment horizontal="center" vertical="center" wrapText="1"/>
    </xf>
    <xf numFmtId="14" fontId="12" fillId="2" borderId="42" xfId="2" applyNumberFormat="1" applyFont="1" applyFill="1" applyBorder="1" applyAlignment="1">
      <alignment horizontal="center" vertical="center" wrapText="1"/>
    </xf>
    <xf numFmtId="14" fontId="12" fillId="2" borderId="43" xfId="2" applyNumberFormat="1" applyFont="1" applyFill="1" applyBorder="1" applyAlignment="1">
      <alignment horizontal="center" vertical="center" wrapText="1"/>
    </xf>
    <xf numFmtId="0" fontId="12" fillId="2" borderId="40" xfId="2" applyFont="1" applyFill="1" applyBorder="1" applyAlignment="1">
      <alignment horizontal="left"/>
    </xf>
    <xf numFmtId="0" fontId="12" fillId="2" borderId="26" xfId="2" applyFont="1" applyFill="1" applyBorder="1" applyAlignment="1">
      <alignment horizontal="left"/>
    </xf>
    <xf numFmtId="0" fontId="12" fillId="2" borderId="41" xfId="2" applyFont="1" applyFill="1" applyBorder="1" applyAlignment="1">
      <alignment horizontal="left"/>
    </xf>
    <xf numFmtId="0" fontId="12" fillId="2" borderId="22" xfId="2" applyFont="1" applyFill="1" applyBorder="1" applyAlignment="1">
      <alignment horizontal="left"/>
    </xf>
    <xf numFmtId="0" fontId="12" fillId="2" borderId="20" xfId="2" applyFont="1" applyFill="1" applyBorder="1" applyAlignment="1">
      <alignment horizontal="left"/>
    </xf>
    <xf numFmtId="0" fontId="12" fillId="2" borderId="21" xfId="2" applyFont="1" applyFill="1" applyBorder="1" applyAlignment="1">
      <alignment horizontal="left"/>
    </xf>
    <xf numFmtId="0" fontId="12" fillId="2" borderId="33" xfId="2" applyFont="1" applyFill="1" applyBorder="1" applyAlignment="1">
      <alignment horizontal="center"/>
    </xf>
    <xf numFmtId="0" fontId="12" fillId="2" borderId="36" xfId="2" applyFont="1" applyFill="1" applyBorder="1" applyAlignment="1">
      <alignment horizontal="center"/>
    </xf>
    <xf numFmtId="0" fontId="12" fillId="2" borderId="18" xfId="2" applyFont="1" applyFill="1" applyBorder="1" applyAlignment="1">
      <alignment horizontal="center"/>
    </xf>
    <xf numFmtId="0" fontId="12" fillId="2" borderId="0" xfId="2" applyFont="1" applyFill="1" applyAlignment="1">
      <alignment horizontal="center"/>
    </xf>
    <xf numFmtId="0" fontId="12" fillId="2" borderId="29" xfId="2" applyFont="1" applyFill="1" applyBorder="1" applyAlignment="1">
      <alignment horizontal="center"/>
    </xf>
    <xf numFmtId="0" fontId="12" fillId="2" borderId="30" xfId="2" applyFont="1" applyFill="1" applyBorder="1" applyAlignment="1">
      <alignment horizontal="center"/>
    </xf>
    <xf numFmtId="0" fontId="13" fillId="2" borderId="9" xfId="2" applyFont="1" applyFill="1" applyBorder="1" applyAlignment="1">
      <alignment horizontal="center"/>
    </xf>
    <xf numFmtId="0" fontId="13" fillId="2" borderId="37" xfId="2" applyFont="1" applyFill="1" applyBorder="1" applyAlignment="1">
      <alignment horizontal="center"/>
    </xf>
    <xf numFmtId="0" fontId="6" fillId="5" borderId="22" xfId="2" applyFont="1" applyFill="1" applyBorder="1" applyAlignment="1">
      <alignment horizontal="center" vertical="center" wrapText="1"/>
    </xf>
    <xf numFmtId="0" fontId="6" fillId="5" borderId="20" xfId="2" applyFont="1" applyFill="1" applyBorder="1" applyAlignment="1">
      <alignment horizontal="center" vertical="center" wrapText="1"/>
    </xf>
    <xf numFmtId="0" fontId="6" fillId="5" borderId="21" xfId="2" applyFont="1" applyFill="1" applyBorder="1" applyAlignment="1">
      <alignment horizontal="center" vertical="center" wrapText="1"/>
    </xf>
    <xf numFmtId="0" fontId="14" fillId="2" borderId="38" xfId="2" applyFont="1" applyFill="1" applyBorder="1" applyAlignment="1">
      <alignment horizontal="right" vertical="top" wrapText="1"/>
    </xf>
    <xf numFmtId="0" fontId="14" fillId="2" borderId="34" xfId="2" applyFont="1" applyFill="1" applyBorder="1" applyAlignment="1">
      <alignment horizontal="right" vertical="top" wrapText="1"/>
    </xf>
    <xf numFmtId="0" fontId="14" fillId="2" borderId="35" xfId="2" applyFont="1" applyFill="1" applyBorder="1" applyAlignment="1">
      <alignment horizontal="right" vertical="top" wrapText="1"/>
    </xf>
    <xf numFmtId="0" fontId="1" fillId="2" borderId="0" xfId="3" applyFont="1" applyFill="1" applyAlignment="1">
      <alignment horizontal="right"/>
    </xf>
    <xf numFmtId="0" fontId="11" fillId="2" borderId="11" xfId="3" applyFont="1" applyFill="1" applyBorder="1" applyAlignment="1">
      <alignment horizontal="center"/>
    </xf>
    <xf numFmtId="0" fontId="1" fillId="2" borderId="0" xfId="3" applyFont="1" applyFill="1"/>
    <xf numFmtId="0" fontId="14" fillId="3" borderId="32" xfId="1" applyFont="1" applyFill="1" applyBorder="1" applyAlignment="1">
      <alignment horizontal="center" vertical="center"/>
    </xf>
    <xf numFmtId="0" fontId="14" fillId="3" borderId="14" xfId="1" applyFont="1" applyFill="1" applyBorder="1" applyAlignment="1">
      <alignment horizontal="center" vertical="center"/>
    </xf>
    <xf numFmtId="0" fontId="14" fillId="3" borderId="32" xfId="1" applyFont="1" applyFill="1" applyBorder="1" applyAlignment="1">
      <alignment horizontal="center" vertical="center" wrapText="1"/>
    </xf>
    <xf numFmtId="0" fontId="14" fillId="3" borderId="14" xfId="1" applyFont="1" applyFill="1" applyBorder="1" applyAlignment="1">
      <alignment horizontal="center" vertical="center" wrapText="1"/>
    </xf>
    <xf numFmtId="0" fontId="14" fillId="3" borderId="9" xfId="1" applyFont="1" applyFill="1" applyBorder="1" applyAlignment="1">
      <alignment horizontal="center" vertical="center"/>
    </xf>
    <xf numFmtId="0" fontId="14" fillId="3" borderId="7" xfId="1" applyFont="1" applyFill="1" applyBorder="1" applyAlignment="1">
      <alignment horizontal="center" vertical="center"/>
    </xf>
    <xf numFmtId="0" fontId="14" fillId="0" borderId="29" xfId="1" applyFont="1" applyBorder="1" applyAlignment="1">
      <alignment horizontal="right"/>
    </xf>
    <xf numFmtId="0" fontId="14" fillId="0" borderId="30" xfId="1" applyFont="1" applyBorder="1" applyAlignment="1">
      <alignment horizontal="right"/>
    </xf>
    <xf numFmtId="0" fontId="14" fillId="0" borderId="31" xfId="1" applyFont="1" applyBorder="1" applyAlignment="1">
      <alignment horizontal="right"/>
    </xf>
    <xf numFmtId="165" fontId="12" fillId="0" borderId="5" xfId="1" applyNumberFormat="1" applyFont="1" applyBorder="1" applyAlignment="1">
      <alignment horizontal="right"/>
    </xf>
    <xf numFmtId="0" fontId="12" fillId="2" borderId="13" xfId="1" applyFont="1" applyFill="1" applyBorder="1" applyAlignment="1">
      <alignment horizontal="center"/>
    </xf>
    <xf numFmtId="0" fontId="12" fillId="2" borderId="28" xfId="1" applyFont="1" applyFill="1" applyBorder="1" applyAlignment="1">
      <alignment horizontal="center"/>
    </xf>
    <xf numFmtId="0" fontId="14" fillId="0" borderId="19" xfId="1" applyFont="1" applyBorder="1" applyAlignment="1">
      <alignment horizontal="right"/>
    </xf>
    <xf numFmtId="0" fontId="14" fillId="0" borderId="20" xfId="1" applyFont="1" applyBorder="1" applyAlignment="1">
      <alignment horizontal="right"/>
    </xf>
    <xf numFmtId="0" fontId="14" fillId="0" borderId="21" xfId="1" applyFont="1" applyBorder="1" applyAlignment="1">
      <alignment horizontal="right"/>
    </xf>
    <xf numFmtId="0" fontId="12" fillId="0" borderId="1" xfId="1" applyFont="1" applyBorder="1" applyAlignment="1">
      <alignment horizontal="right"/>
    </xf>
    <xf numFmtId="165" fontId="12" fillId="0" borderId="22" xfId="1" applyNumberFormat="1" applyFont="1" applyBorder="1" applyAlignment="1">
      <alignment horizontal="center"/>
    </xf>
    <xf numFmtId="165" fontId="12" fillId="0" borderId="23" xfId="1" applyNumberFormat="1" applyFont="1" applyBorder="1" applyAlignment="1">
      <alignment horizontal="center"/>
    </xf>
    <xf numFmtId="0" fontId="9" fillId="0" borderId="19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0" fontId="9" fillId="0" borderId="23" xfId="0" applyFont="1" applyBorder="1" applyAlignment="1">
      <alignment horizontal="left"/>
    </xf>
    <xf numFmtId="165" fontId="12" fillId="0" borderId="22" xfId="1" applyNumberFormat="1" applyFont="1" applyBorder="1" applyAlignment="1">
      <alignment horizontal="right" wrapText="1"/>
    </xf>
    <xf numFmtId="165" fontId="12" fillId="0" borderId="21" xfId="1" applyNumberFormat="1" applyFont="1" applyBorder="1" applyAlignment="1">
      <alignment horizontal="right" wrapText="1"/>
    </xf>
    <xf numFmtId="0" fontId="14" fillId="0" borderId="14" xfId="1" applyFont="1" applyBorder="1" applyAlignment="1">
      <alignment horizontal="right"/>
    </xf>
    <xf numFmtId="0" fontId="14" fillId="0" borderId="15" xfId="1" applyFont="1" applyBorder="1" applyAlignment="1">
      <alignment horizontal="right"/>
    </xf>
    <xf numFmtId="0" fontId="14" fillId="0" borderId="7" xfId="1" applyFont="1" applyBorder="1" applyAlignment="1">
      <alignment horizontal="right"/>
    </xf>
    <xf numFmtId="0" fontId="12" fillId="0" borderId="7" xfId="1" applyFont="1" applyBorder="1" applyAlignment="1">
      <alignment horizontal="right"/>
    </xf>
    <xf numFmtId="165" fontId="12" fillId="0" borderId="16" xfId="1" applyNumberFormat="1" applyFont="1" applyBorder="1" applyAlignment="1">
      <alignment horizontal="center"/>
    </xf>
    <xf numFmtId="165" fontId="12" fillId="0" borderId="17" xfId="1" applyNumberFormat="1" applyFont="1" applyBorder="1" applyAlignment="1">
      <alignment horizontal="center"/>
    </xf>
    <xf numFmtId="0" fontId="14" fillId="3" borderId="2" xfId="1" applyFont="1" applyFill="1" applyBorder="1" applyAlignment="1">
      <alignment horizontal="left"/>
    </xf>
    <xf numFmtId="0" fontId="14" fillId="3" borderId="3" xfId="1" applyFont="1" applyFill="1" applyBorder="1" applyAlignment="1">
      <alignment horizontal="left"/>
    </xf>
    <xf numFmtId="0" fontId="14" fillId="3" borderId="4" xfId="1" applyFont="1" applyFill="1" applyBorder="1" applyAlignment="1">
      <alignment horizontal="left"/>
    </xf>
    <xf numFmtId="0" fontId="9" fillId="0" borderId="25" xfId="0" applyFont="1" applyBorder="1" applyAlignment="1">
      <alignment horizontal="left"/>
    </xf>
    <xf numFmtId="0" fontId="9" fillId="0" borderId="26" xfId="0" applyFont="1" applyBorder="1" applyAlignment="1">
      <alignment horizontal="left"/>
    </xf>
    <xf numFmtId="0" fontId="9" fillId="0" borderId="27" xfId="0" applyFont="1" applyBorder="1" applyAlignment="1">
      <alignment horizontal="left"/>
    </xf>
    <xf numFmtId="0" fontId="12" fillId="2" borderId="24" xfId="2" applyFont="1" applyFill="1" applyBorder="1" applyAlignment="1">
      <alignment horizontal="left"/>
    </xf>
    <xf numFmtId="0" fontId="12" fillId="2" borderId="0" xfId="2" applyFont="1" applyFill="1" applyAlignment="1">
      <alignment horizontal="left"/>
    </xf>
    <xf numFmtId="0" fontId="12" fillId="0" borderId="44" xfId="1" applyFont="1" applyBorder="1" applyAlignment="1">
      <alignment horizontal="left" wrapText="1"/>
    </xf>
    <xf numFmtId="0" fontId="12" fillId="0" borderId="21" xfId="1" applyFont="1" applyBorder="1" applyAlignment="1">
      <alignment horizontal="left" wrapText="1"/>
    </xf>
    <xf numFmtId="0" fontId="12" fillId="0" borderId="1" xfId="1" applyFont="1" applyBorder="1" applyAlignment="1">
      <alignment horizontal="left" wrapText="1"/>
    </xf>
    <xf numFmtId="0" fontId="12" fillId="0" borderId="10" xfId="1" applyFont="1" applyBorder="1" applyAlignment="1">
      <alignment horizontal="left" wrapText="1"/>
    </xf>
    <xf numFmtId="0" fontId="12" fillId="0" borderId="14" xfId="1" applyFont="1" applyBorder="1" applyAlignment="1">
      <alignment horizontal="left"/>
    </xf>
    <xf numFmtId="0" fontId="12" fillId="0" borderId="15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0" fontId="12" fillId="0" borderId="8" xfId="1" applyFont="1" applyBorder="1" applyAlignment="1">
      <alignment horizontal="left"/>
    </xf>
    <xf numFmtId="0" fontId="14" fillId="6" borderId="45" xfId="2" applyFont="1" applyFill="1" applyBorder="1" applyAlignment="1">
      <alignment horizontal="center"/>
    </xf>
    <xf numFmtId="0" fontId="14" fillId="6" borderId="36" xfId="2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right" vertical="center" wrapText="1"/>
    </xf>
    <xf numFmtId="0" fontId="36" fillId="0" borderId="1" xfId="0" applyFont="1" applyBorder="1" applyAlignment="1">
      <alignment horizontal="right" vertical="center"/>
    </xf>
    <xf numFmtId="0" fontId="37" fillId="0" borderId="18" xfId="0" applyFont="1" applyBorder="1" applyAlignment="1">
      <alignment horizontal="right"/>
    </xf>
    <xf numFmtId="0" fontId="37" fillId="0" borderId="0" xfId="0" applyFont="1" applyAlignment="1">
      <alignment horizontal="right"/>
    </xf>
    <xf numFmtId="0" fontId="37" fillId="0" borderId="12" xfId="0" applyFont="1" applyBorder="1" applyAlignment="1">
      <alignment horizontal="right"/>
    </xf>
    <xf numFmtId="0" fontId="19" fillId="0" borderId="0" xfId="0" applyFont="1" applyAlignment="1">
      <alignment horizontal="right" vertical="center"/>
    </xf>
    <xf numFmtId="0" fontId="28" fillId="0" borderId="33" xfId="0" applyFont="1" applyBorder="1" applyAlignment="1">
      <alignment horizontal="right"/>
    </xf>
    <xf numFmtId="0" fontId="28" fillId="0" borderId="36" xfId="0" applyFont="1" applyBorder="1" applyAlignment="1">
      <alignment horizontal="right"/>
    </xf>
    <xf numFmtId="0" fontId="2" fillId="0" borderId="1" xfId="0" applyFont="1" applyBorder="1" applyAlignment="1">
      <alignment horizontal="right" vertical="center"/>
    </xf>
    <xf numFmtId="0" fontId="28" fillId="0" borderId="0" xfId="0" applyFont="1" applyAlignment="1">
      <alignment horizontal="right"/>
    </xf>
    <xf numFmtId="0" fontId="27" fillId="0" borderId="0" xfId="0" applyFont="1" applyAlignment="1">
      <alignment horizontal="center" vertical="center"/>
    </xf>
    <xf numFmtId="0" fontId="44" fillId="0" borderId="2" xfId="0" applyFont="1" applyBorder="1" applyAlignment="1">
      <alignment horizontal="right" vertical="center"/>
    </xf>
    <xf numFmtId="0" fontId="44" fillId="0" borderId="3" xfId="0" applyFont="1" applyBorder="1" applyAlignment="1">
      <alignment horizontal="right" vertical="center"/>
    </xf>
    <xf numFmtId="0" fontId="44" fillId="0" borderId="4" xfId="0" applyFont="1" applyBorder="1" applyAlignment="1">
      <alignment horizontal="right" vertical="center"/>
    </xf>
    <xf numFmtId="0" fontId="45" fillId="0" borderId="0" xfId="0" applyFont="1" applyAlignment="1">
      <alignment horizontal="right"/>
    </xf>
    <xf numFmtId="0" fontId="35" fillId="0" borderId="11" xfId="0" applyFont="1" applyBorder="1" applyAlignment="1">
      <alignment horizontal="right"/>
    </xf>
    <xf numFmtId="0" fontId="27" fillId="0" borderId="0" xfId="0" applyFont="1" applyAlignment="1">
      <alignment horizontal="right" vertical="center"/>
    </xf>
    <xf numFmtId="0" fontId="33" fillId="9" borderId="2" xfId="0" applyFont="1" applyFill="1" applyBorder="1" applyAlignment="1">
      <alignment horizontal="right"/>
    </xf>
    <xf numFmtId="0" fontId="33" fillId="9" borderId="3" xfId="0" applyFont="1" applyFill="1" applyBorder="1" applyAlignment="1">
      <alignment horizontal="right"/>
    </xf>
    <xf numFmtId="0" fontId="2" fillId="0" borderId="0" xfId="0" applyFont="1" applyAlignment="1">
      <alignment horizontal="right" vertical="center"/>
    </xf>
    <xf numFmtId="0" fontId="19" fillId="0" borderId="11" xfId="0" applyFont="1" applyBorder="1" applyAlignment="1">
      <alignment horizontal="right" vertical="center"/>
    </xf>
    <xf numFmtId="0" fontId="19" fillId="0" borderId="53" xfId="0" applyFont="1" applyBorder="1" applyAlignment="1">
      <alignment horizontal="right" vertical="center"/>
    </xf>
    <xf numFmtId="0" fontId="19" fillId="12" borderId="2" xfId="0" applyFont="1" applyFill="1" applyBorder="1" applyAlignment="1">
      <alignment horizontal="right" vertical="center"/>
    </xf>
    <xf numFmtId="0" fontId="19" fillId="12" borderId="3" xfId="0" applyFont="1" applyFill="1" applyBorder="1" applyAlignment="1">
      <alignment horizontal="right" vertical="center"/>
    </xf>
    <xf numFmtId="0" fontId="19" fillId="12" borderId="4" xfId="0" applyFont="1" applyFill="1" applyBorder="1" applyAlignment="1">
      <alignment horizontal="right" vertical="center"/>
    </xf>
    <xf numFmtId="4" fontId="42" fillId="0" borderId="0" xfId="7" applyNumberFormat="1" applyFont="1" applyFill="1" applyAlignment="1">
      <alignment horizontal="center" vertical="center" wrapText="1"/>
    </xf>
    <xf numFmtId="0" fontId="48" fillId="0" borderId="44" xfId="1" applyFont="1" applyBorder="1" applyAlignment="1">
      <alignment horizontal="center" vertical="center"/>
    </xf>
    <xf numFmtId="0" fontId="48" fillId="0" borderId="21" xfId="1" applyFont="1" applyBorder="1" applyAlignment="1">
      <alignment horizontal="center" vertical="center"/>
    </xf>
    <xf numFmtId="0" fontId="49" fillId="0" borderId="1" xfId="1" applyFont="1" applyBorder="1" applyAlignment="1">
      <alignment vertical="center"/>
    </xf>
    <xf numFmtId="0" fontId="48" fillId="0" borderId="1" xfId="1" applyFont="1" applyBorder="1" applyAlignment="1">
      <alignment horizontal="center" vertical="center"/>
    </xf>
    <xf numFmtId="1" fontId="48" fillId="0" borderId="1" xfId="1" applyNumberFormat="1" applyFont="1" applyBorder="1" applyAlignment="1">
      <alignment horizontal="center"/>
    </xf>
    <xf numFmtId="1" fontId="48" fillId="0" borderId="1" xfId="1" applyNumberFormat="1" applyFont="1" applyBorder="1" applyAlignment="1">
      <alignment horizontal="center" wrapText="1"/>
    </xf>
    <xf numFmtId="0" fontId="50" fillId="0" borderId="10" xfId="1" applyFont="1" applyBorder="1" applyAlignment="1">
      <alignment horizontal="center"/>
    </xf>
    <xf numFmtId="16" fontId="50" fillId="4" borderId="5" xfId="0" applyNumberFormat="1" applyFont="1" applyFill="1" applyBorder="1" applyAlignment="1">
      <alignment horizontal="center"/>
    </xf>
    <xf numFmtId="1" fontId="50" fillId="4" borderId="5" xfId="0" applyNumberFormat="1" applyFont="1" applyFill="1" applyBorder="1" applyAlignment="1">
      <alignment horizontal="center"/>
    </xf>
    <xf numFmtId="1" fontId="50" fillId="0" borderId="5" xfId="0" applyNumberFormat="1" applyFont="1" applyBorder="1" applyAlignment="1">
      <alignment horizontal="center" wrapText="1"/>
    </xf>
    <xf numFmtId="0" fontId="50" fillId="0" borderId="1" xfId="0" applyFont="1" applyBorder="1" applyAlignment="1">
      <alignment horizontal="center" vertical="center"/>
    </xf>
    <xf numFmtId="16" fontId="50" fillId="4" borderId="1" xfId="0" applyNumberFormat="1" applyFont="1" applyFill="1" applyBorder="1" applyAlignment="1">
      <alignment horizontal="center"/>
    </xf>
    <xf numFmtId="1" fontId="50" fillId="4" borderId="1" xfId="0" applyNumberFormat="1" applyFont="1" applyFill="1" applyBorder="1" applyAlignment="1">
      <alignment horizontal="center"/>
    </xf>
    <xf numFmtId="49" fontId="50" fillId="0" borderId="44" xfId="1" applyNumberFormat="1" applyFont="1" applyBorder="1" applyAlignment="1">
      <alignment horizontal="center"/>
    </xf>
    <xf numFmtId="0" fontId="48" fillId="4" borderId="1" xfId="1" applyFont="1" applyFill="1" applyBorder="1" applyAlignment="1">
      <alignment horizontal="left"/>
    </xf>
    <xf numFmtId="0" fontId="50" fillId="0" borderId="1" xfId="1" applyFont="1" applyBorder="1" applyAlignment="1">
      <alignment horizontal="center"/>
    </xf>
    <xf numFmtId="164" fontId="50" fillId="0" borderId="1" xfId="1" applyNumberFormat="1" applyFont="1" applyBorder="1" applyAlignment="1">
      <alignment horizontal="center"/>
    </xf>
    <xf numFmtId="1" fontId="50" fillId="0" borderId="1" xfId="1" applyNumberFormat="1" applyFont="1" applyBorder="1" applyAlignment="1">
      <alignment horizontal="center" wrapText="1"/>
    </xf>
    <xf numFmtId="0" fontId="50" fillId="4" borderId="1" xfId="5" applyFont="1" applyFill="1" applyBorder="1"/>
    <xf numFmtId="16" fontId="50" fillId="0" borderId="1" xfId="5" applyNumberFormat="1" applyFont="1" applyBorder="1" applyAlignment="1">
      <alignment horizontal="center"/>
    </xf>
    <xf numFmtId="1" fontId="50" fillId="0" borderId="1" xfId="1" applyNumberFormat="1" applyFont="1" applyBorder="1" applyAlignment="1">
      <alignment horizontal="center"/>
    </xf>
    <xf numFmtId="0" fontId="50" fillId="0" borderId="1" xfId="0" applyFont="1" applyBorder="1" applyAlignment="1">
      <alignment horizontal="center"/>
    </xf>
    <xf numFmtId="0" fontId="50" fillId="4" borderId="1" xfId="0" applyFont="1" applyFill="1" applyBorder="1"/>
    <xf numFmtId="16" fontId="50" fillId="0" borderId="1" xfId="0" applyNumberFormat="1" applyFont="1" applyBorder="1" applyAlignment="1">
      <alignment horizontal="center"/>
    </xf>
    <xf numFmtId="1" fontId="50" fillId="0" borderId="1" xfId="5" applyNumberFormat="1" applyFont="1" applyBorder="1" applyAlignment="1">
      <alignment horizontal="center"/>
    </xf>
    <xf numFmtId="1" fontId="50" fillId="0" borderId="1" xfId="5" applyNumberFormat="1" applyFont="1" applyBorder="1" applyAlignment="1">
      <alignment horizontal="center" wrapText="1"/>
    </xf>
    <xf numFmtId="49" fontId="48" fillId="0" borderId="19" xfId="1" applyNumberFormat="1" applyFont="1" applyBorder="1" applyAlignment="1">
      <alignment horizontal="center"/>
    </xf>
    <xf numFmtId="49" fontId="48" fillId="0" borderId="20" xfId="1" applyNumberFormat="1" applyFont="1" applyBorder="1" applyAlignment="1">
      <alignment horizontal="center"/>
    </xf>
    <xf numFmtId="0" fontId="49" fillId="4" borderId="1" xfId="1" applyFont="1" applyFill="1" applyBorder="1" applyAlignment="1">
      <alignment vertical="center"/>
    </xf>
    <xf numFmtId="0" fontId="48" fillId="0" borderId="21" xfId="1" applyFont="1" applyBorder="1" applyAlignment="1">
      <alignment horizontal="center"/>
    </xf>
    <xf numFmtId="0" fontId="50" fillId="7" borderId="0" xfId="0" applyFont="1" applyFill="1" applyAlignment="1">
      <alignment horizontal="center"/>
    </xf>
    <xf numFmtId="0" fontId="50" fillId="7" borderId="0" xfId="0" applyFont="1" applyFill="1"/>
    <xf numFmtId="0" fontId="50" fillId="0" borderId="1" xfId="0" applyFont="1" applyBorder="1" applyAlignment="1">
      <alignment horizontal="left"/>
    </xf>
    <xf numFmtId="0" fontId="50" fillId="0" borderId="5" xfId="0" applyFont="1" applyBorder="1" applyAlignment="1">
      <alignment horizontal="center"/>
    </xf>
    <xf numFmtId="1" fontId="50" fillId="0" borderId="1" xfId="0" applyNumberFormat="1" applyFont="1" applyBorder="1" applyAlignment="1">
      <alignment horizontal="center" wrapText="1"/>
    </xf>
    <xf numFmtId="49" fontId="51" fillId="2" borderId="18" xfId="1" applyNumberFormat="1" applyFont="1" applyFill="1" applyBorder="1" applyAlignment="1">
      <alignment horizontal="center" vertical="center"/>
    </xf>
    <xf numFmtId="49" fontId="51" fillId="2" borderId="0" xfId="1" applyNumberFormat="1" applyFont="1" applyFill="1" applyAlignment="1">
      <alignment horizontal="center" vertical="center"/>
    </xf>
    <xf numFmtId="0" fontId="50" fillId="2" borderId="0" xfId="1" applyFont="1" applyFill="1"/>
    <xf numFmtId="1" fontId="50" fillId="2" borderId="0" xfId="1" applyNumberFormat="1" applyFont="1" applyFill="1" applyAlignment="1">
      <alignment horizontal="center"/>
    </xf>
    <xf numFmtId="165" fontId="50" fillId="2" borderId="0" xfId="1" applyNumberFormat="1" applyFont="1" applyFill="1" applyAlignment="1">
      <alignment horizontal="center" wrapText="1"/>
    </xf>
    <xf numFmtId="0" fontId="50" fillId="2" borderId="12" xfId="1" applyFont="1" applyFill="1" applyBorder="1" applyAlignment="1">
      <alignment horizontal="center"/>
    </xf>
    <xf numFmtId="0" fontId="50" fillId="3" borderId="2" xfId="1" applyFont="1" applyFill="1" applyBorder="1" applyAlignment="1">
      <alignment horizontal="center"/>
    </xf>
    <xf numFmtId="0" fontId="50" fillId="3" borderId="3" xfId="1" applyFont="1" applyFill="1" applyBorder="1" applyAlignment="1">
      <alignment horizontal="center"/>
    </xf>
    <xf numFmtId="0" fontId="50" fillId="3" borderId="3" xfId="1" applyFont="1" applyFill="1" applyBorder="1"/>
    <xf numFmtId="0" fontId="48" fillId="3" borderId="3" xfId="1" applyFont="1" applyFill="1" applyBorder="1" applyAlignment="1">
      <alignment horizontal="center"/>
    </xf>
    <xf numFmtId="1" fontId="48" fillId="3" borderId="3" xfId="1" applyNumberFormat="1" applyFont="1" applyFill="1" applyBorder="1" applyAlignment="1">
      <alignment horizontal="center"/>
    </xf>
    <xf numFmtId="165" fontId="50" fillId="3" borderId="3" xfId="1" applyNumberFormat="1" applyFont="1" applyFill="1" applyBorder="1" applyAlignment="1">
      <alignment horizontal="center" wrapText="1"/>
    </xf>
    <xf numFmtId="0" fontId="50" fillId="3" borderId="4" xfId="1" applyFont="1" applyFill="1" applyBorder="1" applyAlignment="1">
      <alignment horizontal="center"/>
    </xf>
    <xf numFmtId="0" fontId="48" fillId="0" borderId="29" xfId="1" applyFont="1" applyBorder="1" applyAlignment="1">
      <alignment horizontal="right"/>
    </xf>
    <xf numFmtId="0" fontId="48" fillId="0" borderId="30" xfId="1" applyFont="1" applyBorder="1" applyAlignment="1">
      <alignment horizontal="right"/>
    </xf>
    <xf numFmtId="0" fontId="48" fillId="0" borderId="31" xfId="1" applyFont="1" applyBorder="1" applyAlignment="1">
      <alignment horizontal="right"/>
    </xf>
    <xf numFmtId="1" fontId="50" fillId="0" borderId="5" xfId="0" applyNumberFormat="1" applyFont="1" applyBorder="1" applyAlignment="1">
      <alignment horizontal="center"/>
    </xf>
    <xf numFmtId="0" fontId="50" fillId="0" borderId="13" xfId="0" applyFont="1" applyBorder="1" applyAlignment="1">
      <alignment horizontal="center"/>
    </xf>
    <xf numFmtId="165" fontId="50" fillId="0" borderId="5" xfId="1" applyNumberFormat="1" applyFont="1" applyBorder="1" applyAlignment="1">
      <alignment horizontal="right"/>
    </xf>
    <xf numFmtId="0" fontId="50" fillId="2" borderId="13" xfId="1" applyFont="1" applyFill="1" applyBorder="1" applyAlignment="1">
      <alignment horizontal="center"/>
    </xf>
    <xf numFmtId="0" fontId="50" fillId="2" borderId="28" xfId="1" applyFont="1" applyFill="1" applyBorder="1" applyAlignment="1">
      <alignment horizontal="center"/>
    </xf>
    <xf numFmtId="0" fontId="48" fillId="0" borderId="19" xfId="1" applyFont="1" applyBorder="1" applyAlignment="1">
      <alignment horizontal="right"/>
    </xf>
    <xf numFmtId="0" fontId="48" fillId="0" borderId="20" xfId="1" applyFont="1" applyBorder="1" applyAlignment="1">
      <alignment horizontal="right"/>
    </xf>
    <xf numFmtId="0" fontId="48" fillId="0" borderId="21" xfId="1" applyFont="1" applyBorder="1" applyAlignment="1">
      <alignment horizontal="right"/>
    </xf>
    <xf numFmtId="0" fontId="48" fillId="0" borderId="1" xfId="0" applyFont="1" applyBorder="1" applyAlignment="1">
      <alignment horizontal="center"/>
    </xf>
    <xf numFmtId="0" fontId="50" fillId="0" borderId="1" xfId="1" applyFont="1" applyBorder="1" applyAlignment="1">
      <alignment horizontal="right"/>
    </xf>
    <xf numFmtId="165" fontId="50" fillId="0" borderId="22" xfId="1" applyNumberFormat="1" applyFont="1" applyBorder="1" applyAlignment="1">
      <alignment horizontal="center"/>
    </xf>
    <xf numFmtId="165" fontId="50" fillId="0" borderId="23" xfId="1" applyNumberFormat="1" applyFont="1" applyBorder="1" applyAlignment="1">
      <alignment horizontal="center"/>
    </xf>
    <xf numFmtId="1" fontId="50" fillId="0" borderId="1" xfId="0" applyNumberFormat="1" applyFont="1" applyBorder="1" applyAlignment="1">
      <alignment horizontal="center"/>
    </xf>
    <xf numFmtId="165" fontId="50" fillId="0" borderId="22" xfId="1" applyNumberFormat="1" applyFont="1" applyBorder="1" applyAlignment="1">
      <alignment horizontal="right" wrapText="1"/>
    </xf>
    <xf numFmtId="165" fontId="50" fillId="0" borderId="21" xfId="1" applyNumberFormat="1" applyFont="1" applyBorder="1" applyAlignment="1">
      <alignment horizontal="right" wrapText="1"/>
    </xf>
    <xf numFmtId="0" fontId="48" fillId="0" borderId="14" xfId="1" applyFont="1" applyBorder="1" applyAlignment="1">
      <alignment horizontal="right"/>
    </xf>
    <xf numFmtId="0" fontId="48" fillId="0" borderId="15" xfId="1" applyFont="1" applyBorder="1" applyAlignment="1">
      <alignment horizontal="right"/>
    </xf>
    <xf numFmtId="0" fontId="48" fillId="0" borderId="7" xfId="1" applyFont="1" applyBorder="1" applyAlignment="1">
      <alignment horizontal="right"/>
    </xf>
    <xf numFmtId="1" fontId="50" fillId="0" borderId="7" xfId="0" applyNumberFormat="1" applyFont="1" applyBorder="1" applyAlignment="1">
      <alignment horizontal="center"/>
    </xf>
    <xf numFmtId="0" fontId="50" fillId="0" borderId="7" xfId="0" applyFont="1" applyBorder="1" applyAlignment="1">
      <alignment horizontal="center"/>
    </xf>
    <xf numFmtId="0" fontId="50" fillId="0" borderId="7" xfId="1" applyFont="1" applyBorder="1" applyAlignment="1">
      <alignment horizontal="right"/>
    </xf>
    <xf numFmtId="165" fontId="50" fillId="0" borderId="16" xfId="1" applyNumberFormat="1" applyFont="1" applyBorder="1" applyAlignment="1">
      <alignment horizontal="center"/>
    </xf>
    <xf numFmtId="165" fontId="50" fillId="0" borderId="17" xfId="1" applyNumberFormat="1" applyFont="1" applyBorder="1" applyAlignment="1">
      <alignment horizontal="center"/>
    </xf>
    <xf numFmtId="0" fontId="50" fillId="0" borderId="25" xfId="0" applyFont="1" applyBorder="1" applyAlignment="1">
      <alignment horizontal="left"/>
    </xf>
    <xf numFmtId="0" fontId="50" fillId="0" borderId="26" xfId="0" applyFont="1" applyBorder="1" applyAlignment="1">
      <alignment horizontal="left"/>
    </xf>
    <xf numFmtId="0" fontId="50" fillId="0" borderId="27" xfId="0" applyFont="1" applyBorder="1" applyAlignment="1">
      <alignment horizontal="left"/>
    </xf>
    <xf numFmtId="0" fontId="50" fillId="0" borderId="19" xfId="0" applyFont="1" applyBorder="1" applyAlignment="1">
      <alignment horizontal="left"/>
    </xf>
    <xf numFmtId="0" fontId="50" fillId="0" borderId="20" xfId="0" applyFont="1" applyBorder="1" applyAlignment="1">
      <alignment horizontal="left"/>
    </xf>
    <xf numFmtId="0" fontId="50" fillId="0" borderId="23" xfId="0" applyFont="1" applyBorder="1" applyAlignment="1">
      <alignment horizontal="left"/>
    </xf>
    <xf numFmtId="0" fontId="50" fillId="0" borderId="44" xfId="1" applyFont="1" applyBorder="1" applyAlignment="1">
      <alignment horizontal="left" wrapText="1"/>
    </xf>
    <xf numFmtId="0" fontId="50" fillId="0" borderId="21" xfId="1" applyFont="1" applyBorder="1" applyAlignment="1">
      <alignment horizontal="left" wrapText="1"/>
    </xf>
    <xf numFmtId="0" fontId="50" fillId="0" borderId="1" xfId="1" applyFont="1" applyBorder="1" applyAlignment="1">
      <alignment horizontal="left" wrapText="1"/>
    </xf>
    <xf numFmtId="0" fontId="50" fillId="0" borderId="10" xfId="1" applyFont="1" applyBorder="1" applyAlignment="1">
      <alignment horizontal="left" wrapText="1"/>
    </xf>
    <xf numFmtId="0" fontId="50" fillId="0" borderId="14" xfId="1" applyFont="1" applyBorder="1" applyAlignment="1">
      <alignment horizontal="left"/>
    </xf>
    <xf numFmtId="0" fontId="50" fillId="0" borderId="15" xfId="1" applyFont="1" applyBorder="1" applyAlignment="1">
      <alignment horizontal="left"/>
    </xf>
    <xf numFmtId="0" fontId="50" fillId="0" borderId="7" xfId="1" applyFont="1" applyBorder="1" applyAlignment="1">
      <alignment horizontal="left"/>
    </xf>
    <xf numFmtId="0" fontId="50" fillId="0" borderId="8" xfId="1" applyFont="1" applyBorder="1" applyAlignment="1">
      <alignment horizontal="left"/>
    </xf>
    <xf numFmtId="0" fontId="48" fillId="6" borderId="45" xfId="2" applyFont="1" applyFill="1" applyBorder="1" applyAlignment="1">
      <alignment horizontal="center"/>
    </xf>
    <xf numFmtId="0" fontId="48" fillId="6" borderId="36" xfId="2" applyFont="1" applyFill="1" applyBorder="1" applyAlignment="1">
      <alignment horizontal="center"/>
    </xf>
    <xf numFmtId="0" fontId="52" fillId="2" borderId="11" xfId="3" applyFont="1" applyFill="1" applyBorder="1" applyAlignment="1">
      <alignment horizontal="center"/>
    </xf>
    <xf numFmtId="14" fontId="52" fillId="2" borderId="0" xfId="3" applyNumberFormat="1" applyFont="1" applyFill="1" applyAlignment="1">
      <alignment horizontal="center" vertical="center" wrapText="1"/>
    </xf>
    <xf numFmtId="0" fontId="50" fillId="0" borderId="13" xfId="0" applyFont="1" applyBorder="1" applyAlignment="1">
      <alignment horizontal="center" vertical="center"/>
    </xf>
    <xf numFmtId="0" fontId="50" fillId="0" borderId="22" xfId="0" applyFont="1" applyBorder="1" applyAlignment="1">
      <alignment horizontal="center" vertical="center"/>
    </xf>
    <xf numFmtId="49" fontId="50" fillId="0" borderId="19" xfId="1" applyNumberFormat="1" applyFont="1" applyBorder="1" applyAlignment="1">
      <alignment horizontal="center"/>
    </xf>
    <xf numFmtId="0" fontId="50" fillId="0" borderId="19" xfId="5" applyFont="1" applyBorder="1" applyAlignment="1">
      <alignment horizontal="center"/>
    </xf>
    <xf numFmtId="0" fontId="50" fillId="0" borderId="22" xfId="0" applyFont="1" applyBorder="1" applyAlignment="1">
      <alignment horizontal="center"/>
    </xf>
    <xf numFmtId="0" fontId="50" fillId="0" borderId="1" xfId="0" applyFont="1" applyBorder="1"/>
    <xf numFmtId="49" fontId="50" fillId="0" borderId="1" xfId="1" applyNumberFormat="1" applyFont="1" applyBorder="1" applyAlignment="1">
      <alignment horizontal="center"/>
    </xf>
    <xf numFmtId="49" fontId="48" fillId="0" borderId="1" xfId="1" applyNumberFormat="1" applyFont="1" applyBorder="1" applyAlignment="1">
      <alignment horizontal="center"/>
    </xf>
    <xf numFmtId="0" fontId="48" fillId="3" borderId="2" xfId="1" applyFont="1" applyFill="1" applyBorder="1" applyAlignment="1">
      <alignment horizontal="center"/>
    </xf>
    <xf numFmtId="0" fontId="48" fillId="3" borderId="3" xfId="1" applyFont="1" applyFill="1" applyBorder="1" applyAlignment="1">
      <alignment horizontal="center"/>
    </xf>
    <xf numFmtId="0" fontId="48" fillId="3" borderId="4" xfId="1" applyFont="1" applyFill="1" applyBorder="1" applyAlignment="1">
      <alignment horizontal="center"/>
    </xf>
    <xf numFmtId="0" fontId="50" fillId="2" borderId="1" xfId="2" applyFont="1" applyFill="1" applyBorder="1" applyAlignment="1">
      <alignment horizontal="left"/>
    </xf>
    <xf numFmtId="0" fontId="53" fillId="5" borderId="22" xfId="2" applyFont="1" applyFill="1" applyBorder="1" applyAlignment="1">
      <alignment horizontal="center" vertical="center" wrapText="1"/>
    </xf>
    <xf numFmtId="0" fontId="53" fillId="5" borderId="20" xfId="2" applyFont="1" applyFill="1" applyBorder="1" applyAlignment="1">
      <alignment horizontal="center" vertical="center" wrapText="1"/>
    </xf>
    <xf numFmtId="0" fontId="53" fillId="5" borderId="21" xfId="2" applyFont="1" applyFill="1" applyBorder="1" applyAlignment="1">
      <alignment horizontal="center" vertical="center" wrapText="1"/>
    </xf>
    <xf numFmtId="0" fontId="47" fillId="2" borderId="6" xfId="2" applyFont="1" applyFill="1" applyBorder="1" applyAlignment="1">
      <alignment horizontal="left"/>
    </xf>
  </cellXfs>
  <cellStyles count="10">
    <cellStyle name="Millares" xfId="6" builtinId="3"/>
    <cellStyle name="Millares [0]" xfId="7" builtinId="6"/>
    <cellStyle name="Millares [0] 2" xfId="9" xr:uid="{A3E9C447-8B73-4423-A74E-1315F1BD6866}"/>
    <cellStyle name="Millares 2" xfId="8" xr:uid="{2922C8EA-0AA1-46F0-9769-0441C3321201}"/>
    <cellStyle name="Normal" xfId="0" builtinId="0"/>
    <cellStyle name="Normal 2" xfId="1" xr:uid="{47AFD4BF-E8D0-46CC-8F26-A95B05F23C42}"/>
    <cellStyle name="Normal 3 2" xfId="5" xr:uid="{3053ED13-D66C-4494-AD99-B4DB362EAB14}"/>
    <cellStyle name="Normal_CRITERIOS DE EVALUACION PT DE GB" xfId="2" xr:uid="{C321C8D9-4675-44D8-826A-863A081F21E3}"/>
    <cellStyle name="Normal_CRITERIOS DE EVALUACION PT DE GB 2" xfId="3" xr:uid="{ED0CD91E-E502-4F39-B197-627448B2429B}"/>
    <cellStyle name="Porcentaje 2 2" xfId="4" xr:uid="{36489C85-710C-4C54-BBDB-5DFE5578157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649605</xdr:colOff>
      <xdr:row>4</xdr:row>
      <xdr:rowOff>85725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4FABE620-BB10-4B05-84A2-7AB24323F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47625"/>
          <a:ext cx="136398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1</xdr:col>
      <xdr:colOff>687705</xdr:colOff>
      <xdr:row>5</xdr:row>
      <xdr:rowOff>200025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824A539F-6F76-4F12-92FF-AD64E3F48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136398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1028700</xdr:colOff>
      <xdr:row>0</xdr:row>
      <xdr:rowOff>106680</xdr:rowOff>
    </xdr:from>
    <xdr:to>
      <xdr:col>25</xdr:col>
      <xdr:colOff>198730</xdr:colOff>
      <xdr:row>50</xdr:row>
      <xdr:rowOff>107086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096495-A7CD-445E-A6CE-F6E298423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16540" y="106680"/>
          <a:ext cx="7033870" cy="46867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649605</xdr:colOff>
      <xdr:row>6</xdr:row>
      <xdr:rowOff>9525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9C216E11-2235-4018-B604-A3303E489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47625"/>
          <a:ext cx="136398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102395</xdr:rowOff>
    </xdr:from>
    <xdr:to>
      <xdr:col>1</xdr:col>
      <xdr:colOff>1012031</xdr:colOff>
      <xdr:row>3</xdr:row>
      <xdr:rowOff>157412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6160EE08-C686-45CF-8529-9666FE7CD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02395"/>
          <a:ext cx="1631156" cy="7574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1028700</xdr:colOff>
      <xdr:row>0</xdr:row>
      <xdr:rowOff>106680</xdr:rowOff>
    </xdr:from>
    <xdr:to>
      <xdr:col>25</xdr:col>
      <xdr:colOff>198730</xdr:colOff>
      <xdr:row>17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92FD4F-BF3F-4236-AB5D-59293D5E6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16540" y="106680"/>
          <a:ext cx="7033870" cy="468670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>
            <v>1000</v>
          </cell>
          <cell r="L11" t="e">
            <v>#DIV/0!</v>
          </cell>
          <cell r="M11" t="str">
            <v>Gramos</v>
          </cell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 t="str">
            <v>Gramos</v>
          </cell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 t="str">
            <v>Gramos</v>
          </cell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 t="str">
            <v>Gramos</v>
          </cell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 t="str">
            <v>Gramos</v>
          </cell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 t="str">
            <v>Gramos</v>
          </cell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 t="str">
            <v>Gramos</v>
          </cell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 t="str">
            <v>Gramos</v>
          </cell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 t="str">
            <v>Gramos</v>
          </cell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 t="str">
            <v>Gramos</v>
          </cell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 t="str">
            <v>Gramos</v>
          </cell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 t="str">
            <v>Gramos</v>
          </cell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 t="str">
            <v>Gramos</v>
          </cell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 t="str">
            <v>Gramos</v>
          </cell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 t="str">
            <v>Und</v>
          </cell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 t="str">
            <v>Und</v>
          </cell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 t="str">
            <v>Und</v>
          </cell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 t="str">
            <v>Und</v>
          </cell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 t="str">
            <v>Und</v>
          </cell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 t="str">
            <v>Und</v>
          </cell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 t="str">
            <v>und</v>
          </cell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>
            <v>10000</v>
          </cell>
          <cell r="L163" t="e">
            <v>#DIV/0!</v>
          </cell>
          <cell r="M163" t="str">
            <v>Cm</v>
          </cell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 t="str">
            <v>Gramos</v>
          </cell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 t="str">
            <v>Gramos</v>
          </cell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 t="str">
            <v>Mililitros</v>
          </cell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 t="str">
            <v>Und</v>
          </cell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 t="str">
            <v>Gramos</v>
          </cell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>
            <v>681</v>
          </cell>
          <cell r="L183" t="e">
            <v>#DIV/0!</v>
          </cell>
          <cell r="M183" t="str">
            <v>Gramos</v>
          </cell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 t="str">
            <v>Gramos</v>
          </cell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 t="str">
            <v>Gramos</v>
          </cell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 t="str">
            <v>Gramos</v>
          </cell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 t="str">
            <v>Mililitros</v>
          </cell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 t="str">
            <v>Gramos</v>
          </cell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 t="str">
            <v>Gramos</v>
          </cell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 t="str">
            <v>Gramos</v>
          </cell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 t="str">
            <v>Gramos</v>
          </cell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>
            <v>1000</v>
          </cell>
          <cell r="L219" t="e">
            <v>#DIV/0!</v>
          </cell>
          <cell r="M219" t="str">
            <v>Gramos</v>
          </cell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 t="str">
            <v>Gramos</v>
          </cell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 t="str">
            <v>Gramos</v>
          </cell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 t="str">
            <v>Gramos</v>
          </cell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 t="str">
            <v>Und</v>
          </cell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>
            <v>25000</v>
          </cell>
          <cell r="L240" t="e">
            <v>#DIV/0!</v>
          </cell>
          <cell r="M240" t="str">
            <v>Gramos</v>
          </cell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 t="str">
            <v>Gramos</v>
          </cell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 t="str">
            <v>Gramos</v>
          </cell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 t="str">
            <v>Gramos</v>
          </cell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>
            <v>25000</v>
          </cell>
          <cell r="L260" t="e">
            <v>#DIV/0!</v>
          </cell>
          <cell r="M260" t="str">
            <v>Gramos</v>
          </cell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 t="str">
            <v>Und</v>
          </cell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>
            <v>125</v>
          </cell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 t="str">
            <v>Und</v>
          </cell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 t="str">
            <v>Und</v>
          </cell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 t="str">
            <v>Und</v>
          </cell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>
            <v>500</v>
          </cell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 t="str">
            <v>Gramos</v>
          </cell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 t="str">
            <v>Und</v>
          </cell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 t="str">
            <v>Und</v>
          </cell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 t="str">
            <v>Und</v>
          </cell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 t="str">
            <v>Gramos</v>
          </cell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 t="str">
            <v>Und</v>
          </cell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 t="str">
            <v>Und</v>
          </cell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 t="str">
            <v>Und</v>
          </cell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 t="str">
            <v>Und</v>
          </cell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 t="str">
            <v>Und</v>
          </cell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 t="str">
            <v>Und</v>
          </cell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 t="str">
            <v>Und</v>
          </cell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 t="str">
            <v>Und</v>
          </cell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 t="str">
            <v>Und</v>
          </cell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 t="str">
            <v>Und</v>
          </cell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 t="str">
            <v>Und</v>
          </cell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 t="str">
            <v>Und</v>
          </cell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 t="str">
            <v>Und</v>
          </cell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 t="str">
            <v>Und</v>
          </cell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 t="str">
            <v>Und</v>
          </cell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 t="str">
            <v>Und</v>
          </cell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 t="str">
            <v>Und</v>
          </cell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 t="str">
            <v>Gramos</v>
          </cell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 t="str">
            <v>Gramos</v>
          </cell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 t="str">
            <v>Gramos</v>
          </cell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 t="str">
            <v>Gramos</v>
          </cell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 t="str">
            <v>Mililitros</v>
          </cell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 t="str">
            <v>Gramos</v>
          </cell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 t="str">
            <v>UND</v>
          </cell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 t="str">
            <v>UND</v>
          </cell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 t="str">
            <v>Mililitros</v>
          </cell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 t="str">
            <v>Gramos</v>
          </cell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>
            <v>1820</v>
          </cell>
          <cell r="L362" t="e">
            <v>#DIV/0!</v>
          </cell>
          <cell r="M362" t="str">
            <v>Gramos</v>
          </cell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>
            <v>3140</v>
          </cell>
          <cell r="L364" t="e">
            <v>#DIV/0!</v>
          </cell>
          <cell r="M364" t="str">
            <v>Gramos</v>
          </cell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 t="str">
            <v>Gramos</v>
          </cell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 t="str">
            <v>Mililitros</v>
          </cell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 t="str">
            <v>und</v>
          </cell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 t="str">
            <v>Gramos</v>
          </cell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>
            <v>1800</v>
          </cell>
          <cell r="L373" t="e">
            <v>#DIV/0!</v>
          </cell>
          <cell r="M373" t="str">
            <v>Gramos</v>
          </cell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 t="str">
            <v>Gramos</v>
          </cell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>
            <v>12000</v>
          </cell>
          <cell r="L378" t="e">
            <v>#DIV/0!</v>
          </cell>
          <cell r="M378" t="str">
            <v>Gramos</v>
          </cell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 t="str">
            <v>Gramos</v>
          </cell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 t="str">
            <v>Gramos</v>
          </cell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 t="str">
            <v>Gramos</v>
          </cell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 t="str">
            <v>und</v>
          </cell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 t="str">
            <v>Gramos</v>
          </cell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 t="str">
            <v>Gramos</v>
          </cell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 t="str">
            <v>Gramos</v>
          </cell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 t="str">
            <v>Gramos</v>
          </cell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 t="str">
            <v>Gramos</v>
          </cell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 t="str">
            <v>Gramos</v>
          </cell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 t="str">
            <v>Gramos</v>
          </cell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 t="str">
            <v>Gramos</v>
          </cell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>
            <v>1000</v>
          </cell>
          <cell r="L399" t="e">
            <v>#DIV/0!</v>
          </cell>
          <cell r="M399" t="str">
            <v>Gramos</v>
          </cell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 t="str">
            <v>Gramos</v>
          </cell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 t="str">
            <v>Gramos</v>
          </cell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 t="str">
            <v>Gramos</v>
          </cell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 t="str">
            <v>Mililitros</v>
          </cell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>
            <v>5000</v>
          </cell>
          <cell r="L405" t="e">
            <v>#DIV/0!</v>
          </cell>
          <cell r="M405" t="str">
            <v>Mililitros</v>
          </cell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 t="str">
            <v>Gramos</v>
          </cell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 t="str">
            <v>Gramos</v>
          </cell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>
            <v>2500</v>
          </cell>
          <cell r="L409" t="e">
            <v>#DIV/0!</v>
          </cell>
          <cell r="M409" t="str">
            <v>Gramos</v>
          </cell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>
            <v>2500</v>
          </cell>
          <cell r="L410" t="e">
            <v>#DIV/0!</v>
          </cell>
          <cell r="M410" t="str">
            <v>Gramos</v>
          </cell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 t="str">
            <v>Gramos</v>
          </cell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 t="str">
            <v>Gramos</v>
          </cell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>
            <v>1000</v>
          </cell>
          <cell r="L415" t="e">
            <v>#DIV/0!</v>
          </cell>
          <cell r="M415" t="str">
            <v>Gramos</v>
          </cell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 t="str">
            <v>Gramos</v>
          </cell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 t="str">
            <v>Gramos</v>
          </cell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 t="str">
            <v>Mililitros</v>
          </cell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>
            <v>3785</v>
          </cell>
          <cell r="L421" t="e">
            <v>#DIV/0!</v>
          </cell>
          <cell r="M421" t="str">
            <v>Gramos</v>
          </cell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 t="str">
            <v>Gramos</v>
          </cell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 t="str">
            <v>Gramos</v>
          </cell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>
            <v>2000</v>
          </cell>
          <cell r="L426" t="e">
            <v>#DIV/0!</v>
          </cell>
          <cell r="M426" t="str">
            <v>Gramos</v>
          </cell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 t="str">
            <v>Mililitros</v>
          </cell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 t="str">
            <v>Mililitros</v>
          </cell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>
            <v>25000</v>
          </cell>
          <cell r="L433" t="e">
            <v>#DIV/0!</v>
          </cell>
          <cell r="M433" t="str">
            <v>Mililitros</v>
          </cell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 t="str">
            <v>Gramos</v>
          </cell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 t="str">
            <v>Gramos</v>
          </cell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 t="str">
            <v>Unidad</v>
          </cell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 t="str">
            <v>Unidad</v>
          </cell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 t="str">
            <v>Gramos</v>
          </cell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 t="str">
            <v>Gramos</v>
          </cell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 t="str">
            <v>Gramos</v>
          </cell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 t="str">
            <v>Gramos</v>
          </cell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 t="str">
            <v>Mililitros</v>
          </cell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 t="str">
            <v>10100270</v>
          </cell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 t="str">
            <v>Mililitros</v>
          </cell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 t="str">
            <v>Mililitros</v>
          </cell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 t="str">
            <v>Mililitros</v>
          </cell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 t="str">
            <v>Unidad</v>
          </cell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 t="str">
            <v>Gramos</v>
          </cell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 t="str">
            <v>Mililitros</v>
          </cell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>
            <v>800</v>
          </cell>
          <cell r="L458" t="e">
            <v>#DIV/0!</v>
          </cell>
          <cell r="M458" t="str">
            <v>Mililitros</v>
          </cell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>
            <v>800</v>
          </cell>
          <cell r="L459" t="e">
            <v>#DIV/0!</v>
          </cell>
          <cell r="M459" t="str">
            <v>Mililitros</v>
          </cell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>
            <v>3785</v>
          </cell>
          <cell r="L460" t="e">
            <v>#DIV/0!</v>
          </cell>
          <cell r="M460" t="str">
            <v>Gramos</v>
          </cell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>
            <v>3785</v>
          </cell>
          <cell r="L461" t="e">
            <v>#DIV/0!</v>
          </cell>
          <cell r="M461" t="str">
            <v>Mililitros</v>
          </cell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>
            <v>1000</v>
          </cell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>
            <v>1</v>
          </cell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>
            <v>1</v>
          </cell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>
            <v>1</v>
          </cell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 t="str">
            <v>Mililitros</v>
          </cell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 t="str">
            <v>Gramos</v>
          </cell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 t="str">
            <v>Gramos</v>
          </cell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 t="str">
            <v>Gramos</v>
          </cell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 t="str">
            <v>Gramos</v>
          </cell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 t="str">
            <v>Gramos</v>
          </cell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 t="str">
            <v>Gramos</v>
          </cell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 t="str">
            <v>Gramos</v>
          </cell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 t="str">
            <v>Gramos</v>
          </cell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 t="str">
            <v>Gramos</v>
          </cell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>
            <v>215</v>
          </cell>
          <cell r="L509" t="e">
            <v>#DIV/0!</v>
          </cell>
          <cell r="M509" t="str">
            <v>Und</v>
          </cell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 t="str">
            <v>Gramos</v>
          </cell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 t="str">
            <v>Und</v>
          </cell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 t="str">
            <v>Und</v>
          </cell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>
            <v>1500</v>
          </cell>
          <cell r="L516" t="e">
            <v>#DIV/0!</v>
          </cell>
          <cell r="M516" t="str">
            <v>Mililitros</v>
          </cell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 t="str">
            <v>Gramos</v>
          </cell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 t="str">
            <v>Gramos</v>
          </cell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 t="str">
            <v>Gramos</v>
          </cell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 t="str">
            <v>Gramos</v>
          </cell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 t="str">
            <v>Gramos</v>
          </cell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 t="str">
            <v>Gramos</v>
          </cell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 t="str">
            <v>Gramos</v>
          </cell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 t="str">
            <v>Gramos</v>
          </cell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 t="str">
            <v>Gramos</v>
          </cell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 t="str">
            <v>Gramos</v>
          </cell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 t="str">
            <v>Gramos</v>
          </cell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 t="str">
            <v>Gramos</v>
          </cell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 t="str">
            <v>Gramos</v>
          </cell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 t="str">
            <v>Gramos</v>
          </cell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 t="str">
            <v>Gramos</v>
          </cell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 t="str">
            <v>Gramos</v>
          </cell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>
            <v>25000</v>
          </cell>
          <cell r="L558" t="e">
            <v>#DIV/0!</v>
          </cell>
          <cell r="M558" t="str">
            <v>Gramos</v>
          </cell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 t="str">
            <v>Gramos</v>
          </cell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 t="str">
            <v>Gramos</v>
          </cell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 t="str">
            <v>Gramos</v>
          </cell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 t="str">
            <v>Gramos</v>
          </cell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 t="str">
            <v>Gramos</v>
          </cell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 t="str">
            <v>Gramos</v>
          </cell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 t="str">
            <v>Gramos</v>
          </cell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 t="str">
            <v>Gramos</v>
          </cell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 t="str">
            <v>Gramos</v>
          </cell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 t="str">
            <v>Gramos</v>
          </cell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 t="str">
            <v>Gramos</v>
          </cell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 t="str">
            <v>Gramos</v>
          </cell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 t="str">
            <v>Gramos</v>
          </cell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>
            <v>1000</v>
          </cell>
          <cell r="L593" t="e">
            <v>#DIV/0!</v>
          </cell>
          <cell r="M593" t="str">
            <v>Mililitros</v>
          </cell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 t="str">
            <v>Mililitros</v>
          </cell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 t="str">
            <v>Und</v>
          </cell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>
            <v>250</v>
          </cell>
          <cell r="L596" t="e">
            <v>#DIV/0!</v>
          </cell>
          <cell r="M596" t="str">
            <v>Gramos</v>
          </cell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 t="str">
            <v>Gramos</v>
          </cell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>
            <v>20</v>
          </cell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>
            <v>20</v>
          </cell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>
            <v>5000</v>
          </cell>
          <cell r="L601" t="e">
            <v>#DIV/0!</v>
          </cell>
          <cell r="M601" t="str">
            <v>Gramos</v>
          </cell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 t="str">
            <v>Gramos</v>
          </cell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>
            <v>1000</v>
          </cell>
          <cell r="L603" t="e">
            <v>#DIV/0!</v>
          </cell>
          <cell r="M603" t="str">
            <v>Gramos</v>
          </cell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>
            <v>1000</v>
          </cell>
          <cell r="L604" t="e">
            <v>#DIV/0!</v>
          </cell>
          <cell r="M604" t="str">
            <v>Gramos</v>
          </cell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>
            <v>454</v>
          </cell>
          <cell r="L605" t="e">
            <v>#DIV/0!</v>
          </cell>
          <cell r="M605" t="str">
            <v>Gramos</v>
          </cell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>
            <v>1000</v>
          </cell>
          <cell r="L606" t="e">
            <v>#DIV/0!</v>
          </cell>
          <cell r="M606" t="str">
            <v>Mililitros</v>
          </cell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>
            <v>1000</v>
          </cell>
          <cell r="L607" t="e">
            <v>#DIV/0!</v>
          </cell>
          <cell r="M607" t="str">
            <v>Mililitros</v>
          </cell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 t="str">
            <v>50100037</v>
          </cell>
          <cell r="E618" t="str">
            <v>EMPAQUES PLANTA</v>
          </cell>
          <cell r="F618" t="str">
            <v>1 CAJA</v>
          </cell>
          <cell r="G618">
            <v>500</v>
          </cell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 t="str">
            <v>Und</v>
          </cell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 t="str">
            <v>Und</v>
          </cell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 t="str">
            <v>Und</v>
          </cell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 t="str">
            <v>Und</v>
          </cell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 t="str">
            <v>Und</v>
          </cell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>
            <v>1</v>
          </cell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 t="str">
            <v>Und</v>
          </cell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 t="str">
            <v>Und</v>
          </cell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 t="str">
            <v>Und</v>
          </cell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>
            <v>500</v>
          </cell>
          <cell r="L636" t="e">
            <v>#DIV/0!</v>
          </cell>
          <cell r="M636" t="str">
            <v>Und</v>
          </cell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 t="str">
            <v>Und</v>
          </cell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 t="str">
            <v>Und</v>
          </cell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 t="str">
            <v>Und</v>
          </cell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 t="str">
            <v>Und</v>
          </cell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 t="str">
            <v>Und</v>
          </cell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 t="str">
            <v>Und</v>
          </cell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 t="str">
            <v>Und</v>
          </cell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 t="str">
            <v>Und</v>
          </cell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 t="str">
            <v>Und</v>
          </cell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 t="str">
            <v>Und</v>
          </cell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 t="str">
            <v>Und</v>
          </cell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 t="str">
            <v>Und</v>
          </cell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 t="str">
            <v>Und</v>
          </cell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 t="str">
            <v>Und</v>
          </cell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 t="str">
            <v>Und</v>
          </cell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 t="str">
            <v>Und</v>
          </cell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 t="str">
            <v>Und</v>
          </cell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>
            <v>100</v>
          </cell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>
            <v>50</v>
          </cell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>
            <v>100</v>
          </cell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>
            <v>1</v>
          </cell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>
            <v>45000</v>
          </cell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 t="str">
            <v>Und</v>
          </cell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 t="str">
            <v>Und</v>
          </cell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 t="str">
            <v>Und</v>
          </cell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 t="str">
            <v>Und</v>
          </cell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 t="str">
            <v>Und</v>
          </cell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 t="str">
            <v>Und</v>
          </cell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 t="str">
            <v>Und</v>
          </cell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 t="str">
            <v>Und</v>
          </cell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>
            <v>500</v>
          </cell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 t="str">
            <v>Und</v>
          </cell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 t="str">
            <v>Und</v>
          </cell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 t="str">
            <v>Und</v>
          </cell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 t="str">
            <v>Mililitros</v>
          </cell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 t="str">
            <v>Mililitros</v>
          </cell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 t="str">
            <v>Mililitros</v>
          </cell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>
            <v>930</v>
          </cell>
          <cell r="L708" t="e">
            <v>#DIV/0!</v>
          </cell>
          <cell r="M708" t="str">
            <v>Mililitros</v>
          </cell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>
            <v>3785</v>
          </cell>
          <cell r="L709" t="e">
            <v>#DIV/0!</v>
          </cell>
          <cell r="M709" t="str">
            <v>Mililitros</v>
          </cell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>
            <v>510</v>
          </cell>
          <cell r="L711" t="e">
            <v>#DIV/0!</v>
          </cell>
          <cell r="M711" t="str">
            <v>Mililitros</v>
          </cell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>
            <v>300</v>
          </cell>
          <cell r="L714" t="e">
            <v>#DIV/0!</v>
          </cell>
          <cell r="M714" t="str">
            <v>Gramos</v>
          </cell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>
            <v>750</v>
          </cell>
          <cell r="L716" t="e">
            <v>#DIV/0!</v>
          </cell>
          <cell r="M716" t="str">
            <v>Mililitros</v>
          </cell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>
            <v>1000</v>
          </cell>
          <cell r="L717" t="e">
            <v>#DIV/0!</v>
          </cell>
          <cell r="M717" t="str">
            <v>Gramos</v>
          </cell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 t="str">
            <v>Gramos</v>
          </cell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 t="str">
            <v>Gramos</v>
          </cell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 t="str">
            <v>Gramos</v>
          </cell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 t="str">
            <v>Gramos</v>
          </cell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 t="str">
            <v>Gramos</v>
          </cell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 t="str">
            <v>Gramos</v>
          </cell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 t="str">
            <v>Gramos</v>
          </cell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 t="str">
            <v>Gramos</v>
          </cell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 t="str">
            <v>Gramos</v>
          </cell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 t="str">
            <v>Gramos</v>
          </cell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 t="str">
            <v>Gramos</v>
          </cell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 t="str">
            <v>Gramos</v>
          </cell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 t="str">
            <v>Gramos</v>
          </cell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>
            <v>1000</v>
          </cell>
          <cell r="L757" t="e">
            <v>#DIV/0!</v>
          </cell>
          <cell r="M757" t="str">
            <v>Gramos</v>
          </cell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 t="str">
            <v>Gramos</v>
          </cell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 t="str">
            <v>Gramos</v>
          </cell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>
            <v>150</v>
          </cell>
          <cell r="L761" t="e">
            <v>#DIV/0!</v>
          </cell>
          <cell r="M761" t="str">
            <v>Gramos</v>
          </cell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>
            <v>566</v>
          </cell>
          <cell r="L762" t="e">
            <v>#DIV/0!</v>
          </cell>
          <cell r="M762" t="str">
            <v>Gramos</v>
          </cell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>
            <v>150</v>
          </cell>
          <cell r="L763" t="e">
            <v>#DIV/0!</v>
          </cell>
          <cell r="M763" t="str">
            <v>Gramos</v>
          </cell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 t="str">
            <v>Gramos</v>
          </cell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>
            <v>126</v>
          </cell>
          <cell r="L765" t="e">
            <v>#DIV/0!</v>
          </cell>
          <cell r="M765" t="str">
            <v>Gramos</v>
          </cell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>
            <v>6</v>
          </cell>
          <cell r="L766" t="e">
            <v>#DIV/0!</v>
          </cell>
          <cell r="M766" t="str">
            <v>Gramos</v>
          </cell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>
            <v>126</v>
          </cell>
          <cell r="L767" t="e">
            <v>#DIV/0!</v>
          </cell>
          <cell r="M767" t="str">
            <v>Gramos</v>
          </cell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>
            <v>12000</v>
          </cell>
          <cell r="L768" t="e">
            <v>#DIV/0!</v>
          </cell>
          <cell r="M768" t="str">
            <v>Mililitros</v>
          </cell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>
            <v>4000</v>
          </cell>
          <cell r="L769" t="e">
            <v>#DIV/0!</v>
          </cell>
          <cell r="M769" t="str">
            <v>Gramos</v>
          </cell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 t="str">
            <v>Gramos</v>
          </cell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 t="str">
            <v>Gramos</v>
          </cell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>
            <v>1</v>
          </cell>
          <cell r="L779" t="e">
            <v>#DIV/0!</v>
          </cell>
          <cell r="M779" t="str">
            <v>Gramos</v>
          </cell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 t="str">
            <v>Centimetros</v>
          </cell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 t="str">
            <v>Centimetros</v>
          </cell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 t="str">
            <v>906000010</v>
          </cell>
          <cell r="E785" t="str">
            <v>ASEO</v>
          </cell>
          <cell r="F785" t="str">
            <v>1 CAJA</v>
          </cell>
          <cell r="G785">
            <v>500</v>
          </cell>
          <cell r="H785" t="str">
            <v>13/06/2020</v>
          </cell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 t="str">
            <v>516000002</v>
          </cell>
          <cell r="E786" t="str">
            <v>MATERIAS PRIMAS PLANTA</v>
          </cell>
          <cell r="F786" t="str">
            <v>LITRO</v>
          </cell>
          <cell r="G786">
            <v>500</v>
          </cell>
          <cell r="H786" t="str">
            <v>26/12/2019</v>
          </cell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 t="str">
            <v>906000010</v>
          </cell>
          <cell r="E787" t="str">
            <v>MANO OBRA</v>
          </cell>
          <cell r="F787" t="str">
            <v>Minuto</v>
          </cell>
          <cell r="G787">
            <v>500</v>
          </cell>
          <cell r="H787" t="str">
            <v>13/06/2020</v>
          </cell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 t="str">
            <v>401000002</v>
          </cell>
          <cell r="E788" t="str">
            <v>EMPAQUES PLANTA</v>
          </cell>
          <cell r="F788" t="str">
            <v>UND</v>
          </cell>
          <cell r="G788">
            <v>500</v>
          </cell>
          <cell r="H788" t="str">
            <v>04/05/2020</v>
          </cell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 t="str">
            <v>401000003</v>
          </cell>
          <cell r="E789" t="str">
            <v>MATERIAS PRIMAS PLANTA</v>
          </cell>
          <cell r="F789" t="str">
            <v>UND</v>
          </cell>
          <cell r="G789">
            <v>500</v>
          </cell>
          <cell r="H789" t="str">
            <v>23/03/2020</v>
          </cell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 t="str">
            <v>401000004</v>
          </cell>
          <cell r="E790" t="str">
            <v>MATERIAS PRIMAS PLANTA</v>
          </cell>
          <cell r="F790" t="str">
            <v>UND</v>
          </cell>
          <cell r="G790">
            <v>500</v>
          </cell>
          <cell r="H790" t="str">
            <v>27/01/2020</v>
          </cell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 t="str">
            <v>401000005</v>
          </cell>
          <cell r="E791" t="str">
            <v>MATERIAS PRIMAS PLANTA</v>
          </cell>
          <cell r="F791" t="str">
            <v>UND</v>
          </cell>
          <cell r="G791">
            <v>500</v>
          </cell>
          <cell r="H791" t="str">
            <v>07/02/2020</v>
          </cell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 t="str">
            <v>401000006</v>
          </cell>
          <cell r="E792" t="str">
            <v>MATERIAS PRIMAS PLANTA</v>
          </cell>
          <cell r="F792" t="str">
            <v>PAQUETE</v>
          </cell>
          <cell r="G792">
            <v>500</v>
          </cell>
          <cell r="H792" t="str">
            <v>27/01/2020</v>
          </cell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 t="str">
            <v>503000036</v>
          </cell>
          <cell r="E793" t="str">
            <v>EMPAQUES PLANTA</v>
          </cell>
          <cell r="F793" t="str">
            <v>rollo</v>
          </cell>
          <cell r="G793">
            <v>500</v>
          </cell>
          <cell r="H793" t="str">
            <v>21/03/2020</v>
          </cell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 t="str">
            <v>EMPAQUES PLANTA</v>
          </cell>
          <cell r="F794" t="str">
            <v>rollo</v>
          </cell>
          <cell r="G794">
            <v>500</v>
          </cell>
          <cell r="H794" t="str">
            <v>17/03/2020</v>
          </cell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 t="str">
            <v>MATERIAS PRIMAS PLANTA</v>
          </cell>
          <cell r="F795" t="str">
            <v>PAQUETE</v>
          </cell>
          <cell r="G795">
            <v>500</v>
          </cell>
          <cell r="H795" t="str">
            <v>28/01/2020</v>
          </cell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 t="str">
            <v>EMPAQUES PLANTA</v>
          </cell>
          <cell r="F796" t="str">
            <v xml:space="preserve">1 UND </v>
          </cell>
          <cell r="G796">
            <v>500</v>
          </cell>
          <cell r="H796" t="str">
            <v>28/01/2020</v>
          </cell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 t="str">
            <v>EMPAQUES PLANTA</v>
          </cell>
          <cell r="F797" t="str">
            <v>1 UND</v>
          </cell>
          <cell r="G797">
            <v>500</v>
          </cell>
          <cell r="H797" t="str">
            <v>28/01/2020</v>
          </cell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 t="str">
            <v>EMPAQUES PLANTA</v>
          </cell>
          <cell r="F798" t="str">
            <v>1 UND</v>
          </cell>
          <cell r="G798">
            <v>500</v>
          </cell>
          <cell r="H798" t="str">
            <v>12/06/2020</v>
          </cell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 t="str">
            <v>EMPAQUES PLANTA</v>
          </cell>
          <cell r="F799" t="str">
            <v>1 UND</v>
          </cell>
          <cell r="G799">
            <v>500</v>
          </cell>
          <cell r="H799" t="str">
            <v>12/06/2020</v>
          </cell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 t="str">
            <v>EMPAQUES PLANTA</v>
          </cell>
          <cell r="F800" t="str">
            <v>1 PAQUETE</v>
          </cell>
          <cell r="G800">
            <v>500</v>
          </cell>
          <cell r="H800" t="str">
            <v>22/02/2020</v>
          </cell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 t="str">
            <v>EMPAQUES PLANTA</v>
          </cell>
          <cell r="F801" t="str">
            <v>1 UND</v>
          </cell>
          <cell r="G801">
            <v>500</v>
          </cell>
          <cell r="H801" t="str">
            <v>26/12/2019</v>
          </cell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 t="str">
            <v>MATERIAS PRIMAS PLANTA</v>
          </cell>
          <cell r="F802" t="str">
            <v>1 SACO</v>
          </cell>
          <cell r="G802">
            <v>500</v>
          </cell>
          <cell r="H802" t="str">
            <v>13/06/2020</v>
          </cell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 t="str">
            <v>MATERIAS PRIMAS PLANTA</v>
          </cell>
          <cell r="F803" t="str">
            <v>1 CAJA</v>
          </cell>
          <cell r="G803">
            <v>500</v>
          </cell>
          <cell r="H803" t="str">
            <v>27/01/2020</v>
          </cell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 t="str">
            <v>ASEO</v>
          </cell>
          <cell r="F804" t="str">
            <v>1 CAJA</v>
          </cell>
          <cell r="G804">
            <v>500</v>
          </cell>
          <cell r="H804" t="str">
            <v>07/02/2020</v>
          </cell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 t="str">
            <v>MATERIAS PRIMAS PLANTA</v>
          </cell>
          <cell r="F805" t="str">
            <v>LITRO</v>
          </cell>
          <cell r="G805">
            <v>500</v>
          </cell>
          <cell r="H805" t="str">
            <v>27/01/2020</v>
          </cell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 t="str">
            <v>MANO OBRA</v>
          </cell>
          <cell r="F806" t="str">
            <v>Minuto</v>
          </cell>
          <cell r="G806">
            <v>500</v>
          </cell>
          <cell r="H806" t="str">
            <v>21/03/2020</v>
          </cell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 t="str">
            <v>EMPAQUES PLANTA</v>
          </cell>
          <cell r="F807" t="str">
            <v>UND</v>
          </cell>
          <cell r="G807">
            <v>500</v>
          </cell>
          <cell r="H807" t="str">
            <v>17/03/2020</v>
          </cell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 t="str">
            <v>MATERIAS PRIMAS PLANTA</v>
          </cell>
          <cell r="F808" t="str">
            <v>1 UND</v>
          </cell>
          <cell r="G808">
            <v>500</v>
          </cell>
          <cell r="H808" t="str">
            <v>28/01/2020</v>
          </cell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 t="str">
            <v>MATERIAS PRIMAS PLANTA</v>
          </cell>
          <cell r="F809" t="str">
            <v>UND</v>
          </cell>
          <cell r="G809">
            <v>500</v>
          </cell>
          <cell r="H809" t="str">
            <v>28/01/2020</v>
          </cell>
          <cell r="I809">
            <v>83</v>
          </cell>
          <cell r="J809">
            <v>0</v>
          </cell>
          <cell r="K809">
            <v>4500</v>
          </cell>
          <cell r="L809">
            <v>0</v>
          </cell>
          <cell r="M809" t="str">
            <v>Und</v>
          </cell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 t="str">
            <v>EMPAQUES PLANTA</v>
          </cell>
          <cell r="F810" t="str">
            <v>CAJA</v>
          </cell>
          <cell r="G810">
            <v>500</v>
          </cell>
          <cell r="H810" t="str">
            <v>28/01/2020</v>
          </cell>
          <cell r="I810">
            <v>20298</v>
          </cell>
          <cell r="J810">
            <v>0</v>
          </cell>
          <cell r="K810">
            <v>4500</v>
          </cell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 t="str">
            <v>MATERIAS PRIMAS PLANTA</v>
          </cell>
          <cell r="F811" t="str">
            <v>PAQUETE</v>
          </cell>
          <cell r="G811">
            <v>500</v>
          </cell>
          <cell r="H811" t="str">
            <v>12/06/2020</v>
          </cell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 t="str">
            <v>MATERIAS PRIMAS PLANTA</v>
          </cell>
          <cell r="F812" t="str">
            <v>UND</v>
          </cell>
          <cell r="G812">
            <v>500</v>
          </cell>
          <cell r="H812" t="str">
            <v>12/06/2020</v>
          </cell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 t="str">
            <v>MATERIAS PRIMAS PLANTA</v>
          </cell>
          <cell r="F813" t="str">
            <v>PAQUETE</v>
          </cell>
          <cell r="G813">
            <v>500</v>
          </cell>
          <cell r="H813" t="str">
            <v>22/02/2020</v>
          </cell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 t="str">
            <v>EMPAQUES PLANTA</v>
          </cell>
          <cell r="F814" t="str">
            <v>1 UND</v>
          </cell>
          <cell r="G814">
            <v>500</v>
          </cell>
          <cell r="H814" t="str">
            <v>26/12/2019</v>
          </cell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 t="str">
            <v>MATERIAS PRIMAS PLANTA</v>
          </cell>
          <cell r="F815" t="str">
            <v>1 SACO</v>
          </cell>
          <cell r="G815">
            <v>500</v>
          </cell>
          <cell r="H815" t="str">
            <v>13/06/2020</v>
          </cell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 t="str">
            <v>MATERIAS PRIMAS PLANTA</v>
          </cell>
          <cell r="F816" t="str">
            <v>1 CAJA</v>
          </cell>
          <cell r="G816">
            <v>500</v>
          </cell>
          <cell r="H816" t="str">
            <v>27/01/2020</v>
          </cell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 t="str">
            <v>ASEO</v>
          </cell>
          <cell r="F817" t="str">
            <v>1 CAJA</v>
          </cell>
          <cell r="G817">
            <v>500</v>
          </cell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 t="str">
            <v>MATERIAS PRIMAS PLANTA</v>
          </cell>
          <cell r="F818" t="str">
            <v>LITRO</v>
          </cell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 t="str">
            <v>MANO OBRA</v>
          </cell>
          <cell r="F819" t="str">
            <v>Minuto</v>
          </cell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 t="str">
            <v>EMPAQUES PLANTA</v>
          </cell>
          <cell r="F820" t="str">
            <v>UND</v>
          </cell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 t="str">
            <v>MATERIAS PRIMAS PLANTA</v>
          </cell>
          <cell r="F821" t="str">
            <v>UND</v>
          </cell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 t="str">
            <v>MATERIAS PRIMAS PLANTA</v>
          </cell>
          <cell r="F822" t="str">
            <v>UND</v>
          </cell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655.14477173718615</v>
          </cell>
          <cell r="H362">
            <v>655.14477173718615</v>
          </cell>
          <cell r="I362">
            <v>10.917717961890375</v>
          </cell>
          <cell r="J362">
            <v>10.917717961890375</v>
          </cell>
          <cell r="K362">
            <v>127.93610666011948</v>
          </cell>
          <cell r="L362">
            <v>127.93610666011948</v>
          </cell>
          <cell r="M362">
            <v>793.99859635919597</v>
          </cell>
        </row>
        <row r="363">
          <cell r="A363" t="str">
            <v>907000251</v>
          </cell>
          <cell r="B363" t="str">
            <v>Rosquete Vainilla Pastelero Real 550g</v>
          </cell>
          <cell r="C363">
            <v>0</v>
          </cell>
          <cell r="D363">
            <v>0</v>
          </cell>
          <cell r="E363" t="str">
            <v>Und</v>
          </cell>
          <cell r="F363" t="str">
            <v>Und</v>
          </cell>
          <cell r="G363">
            <v>570.67868233671038</v>
          </cell>
          <cell r="H363">
            <v>570.67868233671038</v>
          </cell>
          <cell r="I363">
            <v>27.589509639969808</v>
          </cell>
          <cell r="J363">
            <v>27.589509639969808</v>
          </cell>
          <cell r="K363">
            <v>125.82975090721573</v>
          </cell>
          <cell r="L363">
            <v>125.82975090721573</v>
          </cell>
          <cell r="M363">
            <v>724.09794288389594</v>
          </cell>
        </row>
        <row r="364">
          <cell r="A364" t="str">
            <v>907000255</v>
          </cell>
          <cell r="B364" t="str">
            <v/>
          </cell>
          <cell r="C364" t="str">
            <v/>
          </cell>
          <cell r="D364" t="str">
            <v/>
          </cell>
          <cell r="E364" t="str">
            <v>Und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82">
          <cell r="G382" t="str">
            <v xml:space="preserve"> </v>
          </cell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806A-BA25-4194-9286-D23825764380}">
  <dimension ref="A1:M41"/>
  <sheetViews>
    <sheetView topLeftCell="A3" zoomScaleNormal="100" zoomScaleSheetLayoutView="100" workbookViewId="0">
      <selection activeCell="C22" sqref="C22"/>
    </sheetView>
  </sheetViews>
  <sheetFormatPr baseColWidth="10" defaultRowHeight="12.75" x14ac:dyDescent="0.2"/>
  <cols>
    <col min="3" max="3" width="31.140625" customWidth="1"/>
    <col min="4" max="4" width="16" customWidth="1"/>
    <col min="8" max="8" width="21.7109375" customWidth="1"/>
    <col min="9" max="9" width="17.42578125" bestFit="1" customWidth="1"/>
  </cols>
  <sheetData>
    <row r="1" spans="1:11" ht="15" x14ac:dyDescent="0.2">
      <c r="A1" s="195"/>
      <c r="B1" s="196"/>
      <c r="C1" s="201" t="s">
        <v>25</v>
      </c>
      <c r="D1" s="201"/>
      <c r="E1" s="201"/>
      <c r="F1" s="201"/>
      <c r="G1" s="201"/>
      <c r="H1" s="15" t="s">
        <v>26</v>
      </c>
      <c r="I1" s="12"/>
    </row>
    <row r="2" spans="1:11" ht="15.75" x14ac:dyDescent="0.25">
      <c r="A2" s="197"/>
      <c r="B2" s="198"/>
      <c r="C2" s="202" t="s">
        <v>0</v>
      </c>
      <c r="D2" s="202"/>
      <c r="E2" s="202"/>
      <c r="F2" s="202"/>
      <c r="G2" s="202"/>
      <c r="H2" s="16" t="s">
        <v>27</v>
      </c>
      <c r="I2" s="17"/>
    </row>
    <row r="3" spans="1:11" ht="15.75" thickBot="1" x14ac:dyDescent="0.25">
      <c r="A3" s="197"/>
      <c r="B3" s="198"/>
      <c r="C3" s="203" t="s">
        <v>133</v>
      </c>
      <c r="D3" s="204"/>
      <c r="E3" s="204"/>
      <c r="F3" s="204"/>
      <c r="G3" s="205"/>
      <c r="H3" s="206" t="s">
        <v>28</v>
      </c>
      <c r="I3" s="186"/>
    </row>
    <row r="4" spans="1:11" ht="13.5" x14ac:dyDescent="0.25">
      <c r="A4" s="197"/>
      <c r="B4" s="198"/>
      <c r="C4" s="18" t="s">
        <v>29</v>
      </c>
      <c r="D4" s="189" t="s">
        <v>71</v>
      </c>
      <c r="E4" s="190"/>
      <c r="F4" s="190"/>
      <c r="G4" s="191"/>
      <c r="H4" s="207"/>
      <c r="I4" s="187"/>
    </row>
    <row r="5" spans="1:11" ht="14.25" thickBot="1" x14ac:dyDescent="0.3">
      <c r="A5" s="199"/>
      <c r="B5" s="200"/>
      <c r="C5" s="19" t="s">
        <v>30</v>
      </c>
      <c r="D5" s="192" t="s">
        <v>24</v>
      </c>
      <c r="E5" s="193"/>
      <c r="F5" s="193"/>
      <c r="G5" s="194"/>
      <c r="H5" s="208"/>
      <c r="I5" s="188"/>
    </row>
    <row r="6" spans="1:11" ht="18.75" thickBot="1" x14ac:dyDescent="0.3">
      <c r="A6" s="209" t="s">
        <v>18</v>
      </c>
      <c r="B6" s="209"/>
      <c r="C6" s="209"/>
      <c r="D6" s="210" t="s">
        <v>41</v>
      </c>
      <c r="E6" s="210"/>
      <c r="F6" s="210"/>
      <c r="G6" s="211" t="s">
        <v>19</v>
      </c>
      <c r="H6" s="211"/>
      <c r="I6" s="20" t="s">
        <v>20</v>
      </c>
    </row>
    <row r="7" spans="1:11" ht="25.5" x14ac:dyDescent="0.2">
      <c r="A7" s="212" t="s">
        <v>1</v>
      </c>
      <c r="B7" s="214" t="s">
        <v>31</v>
      </c>
      <c r="C7" s="216" t="s">
        <v>2</v>
      </c>
      <c r="D7" s="216" t="s">
        <v>3</v>
      </c>
      <c r="E7" s="216" t="s">
        <v>4</v>
      </c>
      <c r="F7" s="216"/>
      <c r="G7" s="216" t="s">
        <v>32</v>
      </c>
      <c r="H7" s="216"/>
      <c r="I7" s="21" t="s">
        <v>5</v>
      </c>
    </row>
    <row r="8" spans="1:11" ht="26.25" thickBot="1" x14ac:dyDescent="0.25">
      <c r="A8" s="213"/>
      <c r="B8" s="215"/>
      <c r="C8" s="217"/>
      <c r="D8" s="217"/>
      <c r="E8" s="22" t="s">
        <v>6</v>
      </c>
      <c r="F8" s="23" t="s">
        <v>7</v>
      </c>
      <c r="G8" s="22" t="s">
        <v>6</v>
      </c>
      <c r="H8" s="23" t="s">
        <v>7</v>
      </c>
      <c r="I8" s="24" t="s">
        <v>8</v>
      </c>
    </row>
    <row r="9" spans="1:11" ht="15" x14ac:dyDescent="0.25">
      <c r="A9" s="25"/>
      <c r="B9" s="26"/>
      <c r="C9" s="27" t="s">
        <v>33</v>
      </c>
      <c r="D9" s="28"/>
      <c r="E9" s="29"/>
      <c r="F9" s="30"/>
      <c r="G9" s="29"/>
      <c r="H9" s="30"/>
      <c r="I9" s="31"/>
    </row>
    <row r="10" spans="1:11" ht="15" x14ac:dyDescent="0.25">
      <c r="A10" s="8"/>
      <c r="B10" s="182" t="s">
        <v>42</v>
      </c>
      <c r="C10" t="s">
        <v>43</v>
      </c>
      <c r="D10" s="9"/>
      <c r="E10" s="10">
        <v>120</v>
      </c>
      <c r="F10" s="11" t="s">
        <v>13</v>
      </c>
      <c r="G10" s="29"/>
      <c r="H10" s="30"/>
      <c r="I10" s="31"/>
      <c r="J10">
        <f>+E10/$D$27</f>
        <v>0.25</v>
      </c>
      <c r="K10" s="185">
        <f>+J10*1000</f>
        <v>250</v>
      </c>
    </row>
    <row r="11" spans="1:11" ht="15" x14ac:dyDescent="0.25">
      <c r="A11" s="6"/>
      <c r="B11" s="79" t="s">
        <v>44</v>
      </c>
      <c r="C11" t="s">
        <v>45</v>
      </c>
      <c r="D11" s="3"/>
      <c r="E11" s="4">
        <v>60</v>
      </c>
      <c r="F11" s="11" t="s">
        <v>13</v>
      </c>
      <c r="G11" s="29"/>
      <c r="H11" s="30"/>
      <c r="I11" s="31"/>
      <c r="J11">
        <f t="shared" ref="J11:J17" si="0">+E11/$D$27</f>
        <v>0.125</v>
      </c>
      <c r="K11" s="185">
        <f>+J11*1000</f>
        <v>125</v>
      </c>
    </row>
    <row r="12" spans="1:11" ht="15" x14ac:dyDescent="0.25">
      <c r="A12" s="6"/>
      <c r="B12" s="79" t="s">
        <v>17</v>
      </c>
      <c r="C12" s="184" t="s">
        <v>46</v>
      </c>
      <c r="D12" s="3"/>
      <c r="E12" s="4">
        <v>15</v>
      </c>
      <c r="F12" s="11" t="s">
        <v>13</v>
      </c>
      <c r="G12" s="29"/>
      <c r="H12" s="30"/>
      <c r="I12" s="31"/>
      <c r="J12">
        <f t="shared" si="0"/>
        <v>3.125E-2</v>
      </c>
      <c r="K12" s="185">
        <f t="shared" ref="K12:K17" si="1">+J12*1000</f>
        <v>31.25</v>
      </c>
    </row>
    <row r="13" spans="1:11" ht="15" x14ac:dyDescent="0.25">
      <c r="A13" s="6"/>
      <c r="B13" s="79" t="s">
        <v>47</v>
      </c>
      <c r="C13" t="s">
        <v>48</v>
      </c>
      <c r="D13" s="3"/>
      <c r="E13" s="4">
        <v>1</v>
      </c>
      <c r="F13" s="11" t="s">
        <v>13</v>
      </c>
      <c r="G13" s="29"/>
      <c r="H13" s="30"/>
      <c r="I13" s="31"/>
      <c r="J13">
        <f t="shared" si="0"/>
        <v>2.0833333333333333E-3</v>
      </c>
      <c r="K13" s="185">
        <f t="shared" si="1"/>
        <v>2.0833333333333335</v>
      </c>
    </row>
    <row r="14" spans="1:11" ht="15" x14ac:dyDescent="0.25">
      <c r="A14" s="7"/>
      <c r="B14" s="76" t="s">
        <v>132</v>
      </c>
      <c r="C14" s="77" t="s">
        <v>50</v>
      </c>
      <c r="D14" s="3"/>
      <c r="E14" s="4">
        <v>200</v>
      </c>
      <c r="F14" s="11" t="s">
        <v>13</v>
      </c>
      <c r="G14" s="29"/>
      <c r="H14" s="30"/>
      <c r="I14" s="31"/>
      <c r="J14">
        <f t="shared" si="0"/>
        <v>0.41666666666666669</v>
      </c>
      <c r="K14" s="185">
        <f t="shared" si="1"/>
        <v>416.66666666666669</v>
      </c>
    </row>
    <row r="15" spans="1:11" ht="15" x14ac:dyDescent="0.25">
      <c r="A15" s="7"/>
      <c r="B15" s="79" t="s">
        <v>51</v>
      </c>
      <c r="C15" t="s">
        <v>52</v>
      </c>
      <c r="D15" s="3"/>
      <c r="E15" s="4">
        <v>50</v>
      </c>
      <c r="F15" s="11" t="s">
        <v>13</v>
      </c>
      <c r="G15" s="29"/>
      <c r="H15" s="30"/>
      <c r="I15" s="31"/>
      <c r="J15">
        <f t="shared" si="0"/>
        <v>0.10416666666666667</v>
      </c>
      <c r="K15" s="185">
        <f t="shared" si="1"/>
        <v>104.16666666666667</v>
      </c>
    </row>
    <row r="16" spans="1:11" ht="15" x14ac:dyDescent="0.25">
      <c r="A16" s="6"/>
      <c r="B16" s="79" t="s">
        <v>53</v>
      </c>
      <c r="C16" t="s">
        <v>54</v>
      </c>
      <c r="D16" s="5"/>
      <c r="E16" s="4">
        <v>50</v>
      </c>
      <c r="F16" s="11" t="s">
        <v>13</v>
      </c>
      <c r="G16" s="29"/>
      <c r="H16" s="30"/>
      <c r="I16" s="31"/>
      <c r="J16">
        <f t="shared" si="0"/>
        <v>0.10416666666666667</v>
      </c>
      <c r="K16" s="185">
        <f t="shared" si="1"/>
        <v>104.16666666666667</v>
      </c>
    </row>
    <row r="17" spans="1:13" ht="15" x14ac:dyDescent="0.25">
      <c r="A17" s="6"/>
      <c r="B17" s="84" t="s">
        <v>77</v>
      </c>
      <c r="C17" s="78" t="s">
        <v>55</v>
      </c>
      <c r="D17" s="3"/>
      <c r="E17" s="4">
        <v>50</v>
      </c>
      <c r="F17" s="11" t="s">
        <v>13</v>
      </c>
      <c r="G17" s="29"/>
      <c r="H17" s="30"/>
      <c r="I17" s="31"/>
      <c r="J17">
        <f t="shared" si="0"/>
        <v>0.10416666666666667</v>
      </c>
      <c r="K17" s="185">
        <f t="shared" si="1"/>
        <v>104.16666666666667</v>
      </c>
    </row>
    <row r="18" spans="1:13" ht="15" x14ac:dyDescent="0.25">
      <c r="A18" s="32"/>
      <c r="B18" s="7"/>
      <c r="C18" s="33"/>
      <c r="D18" s="34"/>
      <c r="E18" s="1"/>
      <c r="F18" s="2"/>
      <c r="G18" s="29"/>
      <c r="H18" s="30"/>
      <c r="I18" s="31"/>
    </row>
    <row r="19" spans="1:13" ht="15.75" x14ac:dyDescent="0.25">
      <c r="A19" s="38"/>
      <c r="B19" s="39"/>
      <c r="C19" s="40" t="s">
        <v>34</v>
      </c>
      <c r="D19" s="41"/>
      <c r="E19" s="42"/>
      <c r="F19" s="37"/>
      <c r="G19" s="29"/>
      <c r="H19" s="30"/>
      <c r="I19" s="31"/>
    </row>
    <row r="20" spans="1:13" ht="15" x14ac:dyDescent="0.25">
      <c r="A20" s="43"/>
      <c r="B20" s="14"/>
      <c r="C20" s="44"/>
      <c r="D20" s="45"/>
      <c r="E20" s="36"/>
      <c r="F20" s="37"/>
      <c r="G20" s="29"/>
      <c r="H20" s="30"/>
      <c r="I20" s="31"/>
    </row>
    <row r="21" spans="1:13" ht="15" x14ac:dyDescent="0.25">
      <c r="A21" s="7"/>
      <c r="B21" s="7"/>
      <c r="C21" s="35"/>
      <c r="D21" s="34"/>
      <c r="E21" s="46"/>
      <c r="F21" s="47"/>
      <c r="G21" s="29"/>
      <c r="H21" s="30"/>
      <c r="I21" s="31"/>
    </row>
    <row r="22" spans="1:13" ht="15.75" x14ac:dyDescent="0.25">
      <c r="A22" s="48"/>
      <c r="B22" s="49"/>
      <c r="C22" s="50" t="s">
        <v>20</v>
      </c>
      <c r="D22" s="51"/>
      <c r="E22" s="29"/>
      <c r="F22" s="30"/>
      <c r="G22" s="29"/>
      <c r="H22" s="30"/>
      <c r="I22" s="31"/>
    </row>
    <row r="23" spans="1:13" ht="15" x14ac:dyDescent="0.25">
      <c r="A23" s="6"/>
      <c r="B23" t="s">
        <v>56</v>
      </c>
      <c r="C23" t="s">
        <v>57</v>
      </c>
      <c r="D23" s="3"/>
      <c r="E23" s="4">
        <v>1</v>
      </c>
      <c r="F23" s="2" t="s">
        <v>58</v>
      </c>
      <c r="G23" s="29"/>
      <c r="H23" s="30"/>
      <c r="I23" s="31"/>
      <c r="J23">
        <f>+E23/D27</f>
        <v>2.0833333333333333E-3</v>
      </c>
      <c r="K23">
        <f>+J23*1000</f>
        <v>2.0833333333333335</v>
      </c>
    </row>
    <row r="24" spans="1:13" ht="15.75" x14ac:dyDescent="0.25">
      <c r="A24" s="38"/>
      <c r="B24" s="39"/>
      <c r="C24" s="53"/>
      <c r="D24" s="41"/>
      <c r="E24" s="41"/>
      <c r="F24" s="37"/>
      <c r="G24" s="52"/>
      <c r="H24" s="52"/>
      <c r="I24" s="31"/>
    </row>
    <row r="25" spans="1:13" ht="14.25" thickBot="1" x14ac:dyDescent="0.3">
      <c r="A25" s="54"/>
      <c r="B25" s="55"/>
      <c r="C25" s="56"/>
      <c r="D25" s="56"/>
      <c r="E25" s="57"/>
      <c r="F25" s="58"/>
      <c r="G25" s="56"/>
      <c r="H25" s="56"/>
      <c r="I25" s="59"/>
      <c r="J25" s="13"/>
      <c r="K25" s="13"/>
      <c r="L25" s="60"/>
      <c r="M25" s="13"/>
    </row>
    <row r="26" spans="1:13" ht="14.25" thickBot="1" x14ac:dyDescent="0.3">
      <c r="A26" s="61"/>
      <c r="B26" s="62"/>
      <c r="C26" s="63"/>
      <c r="D26" s="64" t="s">
        <v>6</v>
      </c>
      <c r="E26" s="65" t="s">
        <v>15</v>
      </c>
      <c r="F26" s="66"/>
      <c r="G26" s="63"/>
      <c r="H26" s="63"/>
      <c r="I26" s="67"/>
      <c r="J26" s="13"/>
      <c r="K26" s="13"/>
      <c r="L26" s="60"/>
      <c r="M26" s="13"/>
    </row>
    <row r="27" spans="1:13" ht="13.5" x14ac:dyDescent="0.25">
      <c r="A27" s="218" t="s">
        <v>10</v>
      </c>
      <c r="B27" s="219"/>
      <c r="C27" s="220"/>
      <c r="D27" s="68">
        <v>480</v>
      </c>
      <c r="E27" s="69" t="s">
        <v>13</v>
      </c>
      <c r="F27" s="221" t="s">
        <v>35</v>
      </c>
      <c r="G27" s="221"/>
      <c r="H27" s="222"/>
      <c r="I27" s="223"/>
      <c r="J27" s="13"/>
      <c r="K27" s="13"/>
      <c r="L27" s="60"/>
      <c r="M27" s="13"/>
    </row>
    <row r="28" spans="1:13" ht="13.5" x14ac:dyDescent="0.25">
      <c r="A28" s="224" t="s">
        <v>9</v>
      </c>
      <c r="B28" s="225"/>
      <c r="C28" s="226"/>
      <c r="D28" s="70">
        <v>5</v>
      </c>
      <c r="E28" s="71" t="s">
        <v>16</v>
      </c>
      <c r="F28" s="227" t="s">
        <v>36</v>
      </c>
      <c r="G28" s="227"/>
      <c r="H28" s="228"/>
      <c r="I28" s="229"/>
      <c r="J28" s="13"/>
      <c r="K28" s="13"/>
      <c r="L28" s="60"/>
      <c r="M28" s="13"/>
    </row>
    <row r="29" spans="1:13" ht="13.5" x14ac:dyDescent="0.25">
      <c r="A29" s="224" t="s">
        <v>21</v>
      </c>
      <c r="B29" s="225"/>
      <c r="C29" s="226"/>
      <c r="D29" s="71">
        <v>1</v>
      </c>
      <c r="E29" s="71" t="s">
        <v>23</v>
      </c>
      <c r="F29" s="227" t="s">
        <v>37</v>
      </c>
      <c r="G29" s="227"/>
      <c r="H29" s="228"/>
      <c r="I29" s="229"/>
      <c r="J29" s="13"/>
      <c r="K29" s="13"/>
      <c r="L29" s="60"/>
      <c r="M29" s="13"/>
    </row>
    <row r="30" spans="1:13" ht="13.5" x14ac:dyDescent="0.25">
      <c r="A30" s="224" t="s">
        <v>22</v>
      </c>
      <c r="B30" s="225"/>
      <c r="C30" s="226"/>
      <c r="D30" s="72">
        <v>480</v>
      </c>
      <c r="E30" s="71" t="s">
        <v>13</v>
      </c>
      <c r="F30" s="233" t="s">
        <v>38</v>
      </c>
      <c r="G30" s="234"/>
      <c r="H30" s="228"/>
      <c r="I30" s="229"/>
      <c r="J30" s="13"/>
      <c r="K30" s="13"/>
      <c r="L30" s="60"/>
      <c r="M30" s="73"/>
    </row>
    <row r="31" spans="1:13" ht="14.25" thickBot="1" x14ac:dyDescent="0.3">
      <c r="A31" s="235" t="s">
        <v>12</v>
      </c>
      <c r="B31" s="236"/>
      <c r="C31" s="237"/>
      <c r="D31" s="74">
        <f>SUM(E10:E17)-D27</f>
        <v>66</v>
      </c>
      <c r="E31" s="75" t="s">
        <v>13</v>
      </c>
      <c r="F31" s="238"/>
      <c r="G31" s="238"/>
      <c r="H31" s="239"/>
      <c r="I31" s="240"/>
      <c r="J31" s="56"/>
      <c r="K31" s="56"/>
      <c r="L31" s="60"/>
      <c r="M31" s="56"/>
    </row>
    <row r="32" spans="1:13" ht="13.5" thickBot="1" x14ac:dyDescent="0.25">
      <c r="A32" s="241" t="s">
        <v>39</v>
      </c>
      <c r="B32" s="242"/>
      <c r="C32" s="242"/>
      <c r="D32" s="242"/>
      <c r="E32" s="242"/>
      <c r="F32" s="242"/>
      <c r="G32" s="242"/>
      <c r="H32" s="242"/>
      <c r="I32" s="243"/>
      <c r="J32" s="13"/>
      <c r="K32" s="13"/>
      <c r="L32" s="13"/>
      <c r="M32" s="13"/>
    </row>
    <row r="33" spans="1:13" ht="15" x14ac:dyDescent="0.25">
      <c r="A33" s="244" t="s">
        <v>59</v>
      </c>
      <c r="B33" s="245"/>
      <c r="C33" s="245"/>
      <c r="D33" s="245"/>
      <c r="E33" s="245"/>
      <c r="F33" s="245"/>
      <c r="G33" s="245"/>
      <c r="H33" s="245"/>
      <c r="I33" s="246"/>
      <c r="J33" s="13"/>
      <c r="K33" s="13"/>
      <c r="L33" s="13"/>
      <c r="M33" s="13"/>
    </row>
    <row r="34" spans="1:13" ht="15" x14ac:dyDescent="0.25">
      <c r="A34" s="230" t="s">
        <v>60</v>
      </c>
      <c r="B34" s="231"/>
      <c r="C34" s="231"/>
      <c r="D34" s="231"/>
      <c r="E34" s="231"/>
      <c r="F34" s="231"/>
      <c r="G34" s="231"/>
      <c r="H34" s="231"/>
      <c r="I34" s="232"/>
      <c r="J34" s="13"/>
      <c r="K34" s="13"/>
      <c r="L34" s="13"/>
      <c r="M34" s="13"/>
    </row>
    <row r="35" spans="1:13" ht="15" x14ac:dyDescent="0.25">
      <c r="A35" s="230" t="s">
        <v>61</v>
      </c>
      <c r="B35" s="231"/>
      <c r="C35" s="231"/>
      <c r="D35" s="231"/>
      <c r="E35" s="231"/>
      <c r="F35" s="231"/>
      <c r="G35" s="231"/>
      <c r="H35" s="231"/>
      <c r="I35" s="232"/>
      <c r="J35" s="13"/>
      <c r="K35" s="13"/>
      <c r="L35" s="13"/>
      <c r="M35" s="13"/>
    </row>
    <row r="36" spans="1:13" ht="15" x14ac:dyDescent="0.25">
      <c r="A36" s="230"/>
      <c r="B36" s="231"/>
      <c r="C36" s="231"/>
      <c r="D36" s="231"/>
      <c r="E36" s="231"/>
      <c r="F36" s="231"/>
      <c r="G36" s="231"/>
      <c r="H36" s="231"/>
      <c r="I36" s="232"/>
      <c r="J36" s="13"/>
      <c r="K36" s="13"/>
      <c r="L36" s="13"/>
      <c r="M36" s="13"/>
    </row>
    <row r="37" spans="1:13" ht="13.5" x14ac:dyDescent="0.25">
      <c r="A37" s="249"/>
      <c r="B37" s="250"/>
      <c r="C37" s="251"/>
      <c r="D37" s="251"/>
      <c r="E37" s="251"/>
      <c r="F37" s="251"/>
      <c r="G37" s="251"/>
      <c r="H37" s="251"/>
      <c r="I37" s="252"/>
      <c r="J37" s="13"/>
      <c r="K37" s="13"/>
      <c r="L37" s="13"/>
      <c r="M37" s="13"/>
    </row>
    <row r="38" spans="1:13" ht="14.25" thickBot="1" x14ac:dyDescent="0.3">
      <c r="A38" s="253"/>
      <c r="B38" s="254"/>
      <c r="C38" s="255"/>
      <c r="D38" s="255"/>
      <c r="E38" s="255"/>
      <c r="F38" s="255"/>
      <c r="G38" s="255"/>
      <c r="H38" s="255"/>
      <c r="I38" s="256"/>
      <c r="J38" s="13"/>
      <c r="K38" s="13"/>
      <c r="L38" s="13"/>
      <c r="M38" s="13"/>
    </row>
    <row r="39" spans="1:13" x14ac:dyDescent="0.2">
      <c r="A39" s="257" t="s">
        <v>40</v>
      </c>
      <c r="B39" s="258"/>
      <c r="C39" s="258"/>
      <c r="D39" s="258"/>
      <c r="E39" s="258"/>
      <c r="F39" s="258"/>
      <c r="G39" s="258"/>
      <c r="H39" s="258"/>
      <c r="I39" s="258"/>
      <c r="J39" s="13"/>
      <c r="K39" s="13"/>
      <c r="L39" s="13"/>
      <c r="M39" s="13"/>
    </row>
    <row r="40" spans="1:13" ht="13.5" x14ac:dyDescent="0.25">
      <c r="A40" s="247"/>
      <c r="B40" s="248"/>
      <c r="C40" s="248"/>
      <c r="D40" s="248"/>
      <c r="E40" s="248"/>
      <c r="F40" s="248"/>
      <c r="G40" s="248"/>
      <c r="H40" s="248"/>
      <c r="I40" s="248"/>
      <c r="J40" s="13"/>
      <c r="K40" s="13"/>
      <c r="L40" s="13"/>
      <c r="M40" s="13"/>
    </row>
    <row r="41" spans="1:13" ht="13.5" x14ac:dyDescent="0.25">
      <c r="A41" s="247"/>
      <c r="B41" s="248"/>
      <c r="C41" s="248"/>
      <c r="D41" s="248"/>
      <c r="E41" s="248"/>
      <c r="F41" s="248"/>
      <c r="G41" s="248"/>
      <c r="H41" s="248"/>
      <c r="I41" s="248"/>
    </row>
  </sheetData>
  <mergeCells count="42">
    <mergeCell ref="A41:I41"/>
    <mergeCell ref="A35:I35"/>
    <mergeCell ref="A36:I36"/>
    <mergeCell ref="A37:I37"/>
    <mergeCell ref="A38:I38"/>
    <mergeCell ref="A39:I39"/>
    <mergeCell ref="A40:I40"/>
    <mergeCell ref="A34:I34"/>
    <mergeCell ref="A29:C29"/>
    <mergeCell ref="F29:G29"/>
    <mergeCell ref="H29:I29"/>
    <mergeCell ref="A30:C30"/>
    <mergeCell ref="F30:G30"/>
    <mergeCell ref="H30:I30"/>
    <mergeCell ref="A31:C31"/>
    <mergeCell ref="F31:G31"/>
    <mergeCell ref="H31:I31"/>
    <mergeCell ref="A32:I32"/>
    <mergeCell ref="A33:I33"/>
    <mergeCell ref="A27:C27"/>
    <mergeCell ref="F27:G27"/>
    <mergeCell ref="H27:I27"/>
    <mergeCell ref="A28:C28"/>
    <mergeCell ref="F28:G28"/>
    <mergeCell ref="H28:I2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52" orientation="portrait" r:id="rId1"/>
  <colBreaks count="1" manualBreakCount="1">
    <brk id="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6BC56-07E7-456A-A8AB-9D20897E8BD2}">
  <dimension ref="A1:Q93"/>
  <sheetViews>
    <sheetView topLeftCell="A53" workbookViewId="0">
      <selection activeCell="D62" sqref="D62"/>
    </sheetView>
  </sheetViews>
  <sheetFormatPr baseColWidth="10" defaultColWidth="8.42578125" defaultRowHeight="12.75" x14ac:dyDescent="0.2"/>
  <cols>
    <col min="1" max="1" width="10" style="90" bestFit="1" customWidth="1"/>
    <col min="2" max="2" width="44.28515625" style="90" bestFit="1" customWidth="1"/>
    <col min="3" max="3" width="10.42578125" style="90" bestFit="1" customWidth="1"/>
    <col min="4" max="4" width="10.42578125" style="90" customWidth="1"/>
    <col min="5" max="5" width="11" style="90" customWidth="1"/>
    <col min="6" max="6" width="9.5703125" style="90" bestFit="1" customWidth="1"/>
    <col min="7" max="7" width="10.85546875" style="172" customWidth="1"/>
    <col min="8" max="8" width="10.42578125" style="163" bestFit="1" customWidth="1"/>
    <col min="9" max="9" width="4.5703125" style="163" customWidth="1"/>
    <col min="10" max="10" width="1.85546875" style="89" customWidth="1"/>
    <col min="11" max="11" width="7" style="90" bestFit="1" customWidth="1"/>
    <col min="12" max="12" width="6.28515625" style="90" customWidth="1"/>
    <col min="13" max="13" width="20.42578125" style="90" customWidth="1"/>
    <col min="14" max="14" width="6.42578125" style="90" bestFit="1" customWidth="1"/>
    <col min="15" max="16" width="8.42578125" style="90"/>
    <col min="17" max="17" width="3.28515625" style="90" customWidth="1"/>
    <col min="18" max="16384" width="8.42578125" style="90"/>
  </cols>
  <sheetData>
    <row r="1" spans="1:10" ht="27.75" customHeight="1" x14ac:dyDescent="0.2">
      <c r="A1" s="85"/>
      <c r="B1" s="85"/>
      <c r="C1" s="85"/>
      <c r="D1" s="85"/>
      <c r="E1" s="86" t="s">
        <v>78</v>
      </c>
      <c r="F1" s="87" t="s">
        <v>79</v>
      </c>
      <c r="G1" s="87" t="s">
        <v>80</v>
      </c>
      <c r="H1" s="87" t="s">
        <v>81</v>
      </c>
      <c r="I1" s="88"/>
    </row>
    <row r="2" spans="1:10" ht="30.75" customHeight="1" x14ac:dyDescent="0.2">
      <c r="A2" s="85"/>
      <c r="B2" s="85"/>
      <c r="C2" s="85"/>
      <c r="D2" s="85"/>
      <c r="E2" s="91">
        <f>IFERROR(O64,"")</f>
        <v>51162.3</v>
      </c>
      <c r="F2" s="91">
        <f>IFERROR(H55,"")</f>
        <v>48327.3</v>
      </c>
      <c r="G2" s="91">
        <f>IFERROR(H56,"")</f>
        <v>435</v>
      </c>
      <c r="H2" s="91">
        <f>IFERROR(H58,"")</f>
        <v>1155</v>
      </c>
      <c r="I2" s="92"/>
    </row>
    <row r="3" spans="1:10" ht="15" customHeight="1" x14ac:dyDescent="0.2">
      <c r="A3" s="85"/>
      <c r="B3" s="85"/>
      <c r="C3" s="85"/>
      <c r="D3" s="85"/>
      <c r="E3" s="85"/>
      <c r="F3" s="93"/>
      <c r="G3" s="93"/>
      <c r="H3" s="93"/>
      <c r="I3" s="93"/>
    </row>
    <row r="4" spans="1:10" ht="24.75" customHeight="1" thickBot="1" x14ac:dyDescent="0.25">
      <c r="A4" s="260"/>
      <c r="B4" s="260"/>
      <c r="C4" s="260"/>
      <c r="D4" s="260"/>
      <c r="E4" s="260"/>
      <c r="F4" s="260"/>
      <c r="G4" s="260"/>
      <c r="H4" s="260"/>
      <c r="I4" s="94"/>
    </row>
    <row r="5" spans="1:10" ht="19.5" customHeight="1" thickBot="1" x14ac:dyDescent="0.25">
      <c r="A5" s="261" t="s">
        <v>82</v>
      </c>
      <c r="B5" s="262"/>
      <c r="C5" s="262"/>
      <c r="D5" s="262"/>
      <c r="E5" s="262"/>
      <c r="F5" s="262"/>
      <c r="G5" s="262"/>
      <c r="H5" s="263"/>
      <c r="I5" s="95"/>
    </row>
    <row r="6" spans="1:10" ht="19.5" thickBot="1" x14ac:dyDescent="0.25">
      <c r="A6" s="95"/>
      <c r="B6" s="95"/>
      <c r="C6" s="95"/>
      <c r="D6" s="95"/>
      <c r="E6" s="95"/>
      <c r="F6" s="264" t="s">
        <v>83</v>
      </c>
      <c r="G6" s="264"/>
      <c r="H6" s="96">
        <f ca="1">TODAY()</f>
        <v>45891</v>
      </c>
      <c r="I6" s="96"/>
    </row>
    <row r="7" spans="1:10" ht="26.25" thickBot="1" x14ac:dyDescent="0.25">
      <c r="A7" s="97" t="s">
        <v>84</v>
      </c>
      <c r="B7" s="98" t="s">
        <v>85</v>
      </c>
      <c r="C7" s="98" t="s">
        <v>84</v>
      </c>
      <c r="D7" s="99" t="s">
        <v>86</v>
      </c>
      <c r="E7" s="99" t="s">
        <v>87</v>
      </c>
      <c r="F7" s="99" t="s">
        <v>88</v>
      </c>
      <c r="G7" s="99" t="s">
        <v>89</v>
      </c>
      <c r="H7" s="100" t="s">
        <v>90</v>
      </c>
      <c r="I7" s="101"/>
    </row>
    <row r="8" spans="1:10" ht="13.5" x14ac:dyDescent="0.25">
      <c r="A8" s="102">
        <v>3600</v>
      </c>
      <c r="B8" s="90" t="s">
        <v>43</v>
      </c>
      <c r="C8" s="103">
        <f>+A8</f>
        <v>3600</v>
      </c>
      <c r="D8" s="104" t="s">
        <v>130</v>
      </c>
      <c r="E8" s="104">
        <v>2.7</v>
      </c>
      <c r="F8" s="104">
        <f>IFERROR(C8*E8,"")</f>
        <v>9720</v>
      </c>
      <c r="G8" s="105">
        <f>IFERROR(F8/$F$68,"")</f>
        <v>0.19102329647016067</v>
      </c>
      <c r="H8" s="106" t="s">
        <v>42</v>
      </c>
      <c r="I8" s="106"/>
      <c r="J8" s="107"/>
    </row>
    <row r="9" spans="1:10" ht="13.5" x14ac:dyDescent="0.25">
      <c r="A9" s="102">
        <v>1800</v>
      </c>
      <c r="B9" s="90" t="s">
        <v>45</v>
      </c>
      <c r="C9" s="103">
        <f t="shared" ref="C9:C16" si="0">+A9</f>
        <v>1800</v>
      </c>
      <c r="D9" s="104" t="s">
        <v>130</v>
      </c>
      <c r="E9" s="104">
        <v>3.33</v>
      </c>
      <c r="F9" s="104">
        <f t="shared" ref="F9:F16" si="1">IFERROR(C9*E9,"")</f>
        <v>5994</v>
      </c>
      <c r="G9" s="105">
        <f>IFERROR(F9/$F$68,"")</f>
        <v>0.11779769948993241</v>
      </c>
      <c r="H9" s="106" t="s">
        <v>44</v>
      </c>
      <c r="I9" s="106"/>
      <c r="J9" s="107"/>
    </row>
    <row r="10" spans="1:10" ht="13.5" x14ac:dyDescent="0.25">
      <c r="A10" s="102">
        <v>450</v>
      </c>
      <c r="B10" s="90" t="s">
        <v>46</v>
      </c>
      <c r="C10" s="103">
        <f t="shared" si="0"/>
        <v>450</v>
      </c>
      <c r="D10" s="104" t="s">
        <v>130</v>
      </c>
      <c r="E10" s="104">
        <v>0.89</v>
      </c>
      <c r="F10" s="104">
        <f t="shared" si="1"/>
        <v>400.5</v>
      </c>
      <c r="G10" s="105">
        <f>IFERROR(F10/$F$68,"")</f>
        <v>7.87086730826125E-3</v>
      </c>
      <c r="H10" s="106" t="s">
        <v>17</v>
      </c>
      <c r="I10" s="106"/>
      <c r="J10" s="107"/>
    </row>
    <row r="11" spans="1:10" ht="13.5" x14ac:dyDescent="0.25">
      <c r="A11" s="102">
        <v>30</v>
      </c>
      <c r="B11" s="90" t="s">
        <v>48</v>
      </c>
      <c r="C11" s="103">
        <f t="shared" si="0"/>
        <v>30</v>
      </c>
      <c r="D11" s="104" t="s">
        <v>130</v>
      </c>
      <c r="E11" s="104">
        <v>7.76</v>
      </c>
      <c r="F11" s="104">
        <f t="shared" si="1"/>
        <v>232.79999999999998</v>
      </c>
      <c r="G11" s="105">
        <f>IFERROR(F11/$F$68,"")</f>
        <v>4.5751258660754529E-3</v>
      </c>
      <c r="H11" s="106" t="s">
        <v>47</v>
      </c>
      <c r="I11" s="106"/>
      <c r="J11" s="107"/>
    </row>
    <row r="12" spans="1:10" ht="13.5" x14ac:dyDescent="0.25">
      <c r="A12" s="102">
        <v>6000</v>
      </c>
      <c r="B12" s="90" t="s">
        <v>50</v>
      </c>
      <c r="C12" s="103">
        <f t="shared" ref="C12:C13" si="2">+A12</f>
        <v>6000</v>
      </c>
      <c r="D12" s="104" t="s">
        <v>130</v>
      </c>
      <c r="E12" s="104">
        <v>0.8</v>
      </c>
      <c r="F12" s="104">
        <f t="shared" ref="F12:F13" si="3">IFERROR(C12*E12,"")</f>
        <v>4800</v>
      </c>
      <c r="G12" s="105">
        <f t="shared" ref="G12:G13" si="4">IFERROR(F12/$F$68,"")</f>
        <v>9.4332492084029954E-2</v>
      </c>
      <c r="H12" s="106" t="s">
        <v>49</v>
      </c>
      <c r="I12" s="106"/>
      <c r="J12" s="107"/>
    </row>
    <row r="13" spans="1:10" ht="13.5" x14ac:dyDescent="0.25">
      <c r="A13" s="102">
        <v>1500</v>
      </c>
      <c r="B13" s="90" t="s">
        <v>52</v>
      </c>
      <c r="C13" s="103">
        <f t="shared" si="2"/>
        <v>1500</v>
      </c>
      <c r="D13" s="104" t="s">
        <v>130</v>
      </c>
      <c r="E13" s="104">
        <v>5</v>
      </c>
      <c r="F13" s="104">
        <f t="shared" si="3"/>
        <v>7500</v>
      </c>
      <c r="G13" s="105">
        <f t="shared" si="4"/>
        <v>0.14739451888129682</v>
      </c>
      <c r="H13" s="106" t="s">
        <v>51</v>
      </c>
      <c r="I13" s="106"/>
      <c r="J13" s="107"/>
    </row>
    <row r="14" spans="1:10" ht="13.5" x14ac:dyDescent="0.25">
      <c r="A14" s="102">
        <v>1500</v>
      </c>
      <c r="B14" s="90" t="s">
        <v>54</v>
      </c>
      <c r="C14" s="103">
        <f t="shared" si="0"/>
        <v>1500</v>
      </c>
      <c r="D14" s="104" t="s">
        <v>130</v>
      </c>
      <c r="E14" s="104">
        <v>8.3800000000000008</v>
      </c>
      <c r="F14" s="104">
        <f t="shared" si="1"/>
        <v>12570.000000000002</v>
      </c>
      <c r="G14" s="105">
        <f>IFERROR(F14/$F$68,"")</f>
        <v>0.24703321364505348</v>
      </c>
      <c r="H14" s="106" t="s">
        <v>53</v>
      </c>
      <c r="I14" s="106"/>
      <c r="J14" s="107"/>
    </row>
    <row r="15" spans="1:10" ht="13.5" x14ac:dyDescent="0.25">
      <c r="A15" s="102">
        <v>1500</v>
      </c>
      <c r="B15" s="90" t="s">
        <v>55</v>
      </c>
      <c r="C15" s="103">
        <f t="shared" si="0"/>
        <v>1500</v>
      </c>
      <c r="D15" s="104" t="s">
        <v>130</v>
      </c>
      <c r="E15" s="104">
        <v>4.74</v>
      </c>
      <c r="F15" s="104">
        <f t="shared" si="1"/>
        <v>7110</v>
      </c>
      <c r="G15" s="105">
        <f>IFERROR(F15/$F$68,"")</f>
        <v>0.13973000389946938</v>
      </c>
      <c r="H15" s="106" t="s">
        <v>77</v>
      </c>
      <c r="I15" s="106"/>
      <c r="J15" s="107"/>
    </row>
    <row r="16" spans="1:10" ht="13.5" x14ac:dyDescent="0.25">
      <c r="A16" s="102"/>
      <c r="B16" s="90" t="str">
        <f>IFERROR(VLOOKUP(H16,'[1]Consolidado MP Planta'!$A$2:$M$823,3,0),"")</f>
        <v/>
      </c>
      <c r="C16" s="103">
        <f t="shared" si="0"/>
        <v>0</v>
      </c>
      <c r="D16" s="104" t="str">
        <f>IFERROR(VLOOKUP(H16,'[1]Consolidado MP Planta'!$A$2:$M$823,13,0),"")</f>
        <v/>
      </c>
      <c r="E16" s="104" t="str">
        <f>IFERROR(VLOOKUP(H16,'[1]Consolidado MP Planta'!$A$2:$M$823,12,0),"")</f>
        <v/>
      </c>
      <c r="F16" s="104" t="str">
        <f t="shared" si="1"/>
        <v/>
      </c>
      <c r="G16" s="105" t="str">
        <f>IFERROR(F16/$F$68,"")</f>
        <v/>
      </c>
      <c r="H16" s="106"/>
      <c r="I16" s="106"/>
      <c r="J16" s="107"/>
    </row>
    <row r="17" spans="1:12" ht="14.25" thickBot="1" x14ac:dyDescent="0.3">
      <c r="A17" s="102"/>
      <c r="B17" s="90" t="str">
        <f>IFERROR(VLOOKUP(H17,[2]Hoja2!$A$2:$G$589,2,0),"")</f>
        <v/>
      </c>
      <c r="C17" s="103"/>
      <c r="D17" s="104"/>
      <c r="E17" s="104"/>
      <c r="F17" s="104"/>
      <c r="G17" s="105"/>
      <c r="H17" s="106"/>
      <c r="I17" s="106"/>
      <c r="J17" s="107"/>
    </row>
    <row r="18" spans="1:12" ht="26.25" hidden="1" thickBot="1" x14ac:dyDescent="0.25">
      <c r="A18" s="97" t="s">
        <v>84</v>
      </c>
      <c r="B18" s="98" t="s">
        <v>91</v>
      </c>
      <c r="C18" s="98" t="s">
        <v>84</v>
      </c>
      <c r="D18" s="99" t="s">
        <v>86</v>
      </c>
      <c r="E18" s="99" t="s">
        <v>87</v>
      </c>
      <c r="F18" s="99" t="s">
        <v>88</v>
      </c>
      <c r="G18" s="99" t="s">
        <v>89</v>
      </c>
      <c r="H18" s="100" t="s">
        <v>90</v>
      </c>
      <c r="I18" s="101"/>
      <c r="J18" s="107"/>
    </row>
    <row r="19" spans="1:12" ht="13.5" hidden="1" x14ac:dyDescent="0.25">
      <c r="A19" s="102"/>
      <c r="B19" s="90" t="str">
        <f>IFERROR(VLOOKUP(H19,[1]SEMIELABORADOS!$A$2:$M$6000,2,0),"")</f>
        <v/>
      </c>
      <c r="C19" s="103">
        <f>+A19</f>
        <v>0</v>
      </c>
      <c r="D19" s="103" t="str">
        <f>IFERROR(VLOOKUP(H19,[1]SEMIELABORADOS!$A$2:$M$6000,6,0),"")</f>
        <v/>
      </c>
      <c r="E19" s="104" t="str">
        <f>IFERROR(VLOOKUP(H19,[1]SEMIELABORADOS!$A$2:$H$65536,8,0),"")</f>
        <v/>
      </c>
      <c r="F19" s="104" t="str">
        <f>IFERROR(E19*C19,"")</f>
        <v/>
      </c>
      <c r="G19" s="105" t="str">
        <f t="shared" ref="G19:G26" si="5">IFERROR(F19/$F$68,"")</f>
        <v/>
      </c>
      <c r="H19" s="106"/>
      <c r="I19" s="106"/>
      <c r="J19" s="107"/>
    </row>
    <row r="20" spans="1:12" ht="13.5" hidden="1" x14ac:dyDescent="0.25">
      <c r="A20" s="102"/>
      <c r="B20" s="90" t="str">
        <f>IFERROR(VLOOKUP(H20,[1]SEMIELABORADOS!$A$2:$M$6000,2,0),"")</f>
        <v/>
      </c>
      <c r="C20" s="103">
        <f t="shared" ref="C20:C26" si="6">+A20</f>
        <v>0</v>
      </c>
      <c r="D20" s="103" t="str">
        <f>IFERROR(VLOOKUP(H20,[1]SEMIELABORADOS!$A$2:$M$6000,6,0),"")</f>
        <v/>
      </c>
      <c r="E20" s="104" t="str">
        <f>IFERROR(VLOOKUP(H20,[1]SEMIELABORADOS!$A$2:$H$65536,8,0),"")</f>
        <v/>
      </c>
      <c r="F20" s="104" t="str">
        <f t="shared" ref="F20:F26" si="7">IFERROR(E20*C20,"")</f>
        <v/>
      </c>
      <c r="G20" s="105" t="str">
        <f t="shared" si="5"/>
        <v/>
      </c>
      <c r="H20" s="106"/>
      <c r="I20" s="106"/>
      <c r="J20" s="107"/>
    </row>
    <row r="21" spans="1:12" ht="13.5" hidden="1" x14ac:dyDescent="0.25">
      <c r="A21" s="102"/>
      <c r="B21" s="90" t="str">
        <f>IFERROR(VLOOKUP(H21,[1]SEMIELABORADOS!$A$2:$M$6000,2,0),"")</f>
        <v/>
      </c>
      <c r="C21" s="103">
        <f>+A21</f>
        <v>0</v>
      </c>
      <c r="D21" s="103" t="str">
        <f>IFERROR(VLOOKUP(H21,[1]SEMIELABORADOS!$A$2:$M$6000,6,0),"")</f>
        <v/>
      </c>
      <c r="E21" s="104" t="str">
        <f>IFERROR(VLOOKUP(H21,[1]SEMIELABORADOS!$A$2:$H$65536,8,0),"")</f>
        <v/>
      </c>
      <c r="F21" s="104" t="str">
        <f>IFERROR(E21*C21,"")</f>
        <v/>
      </c>
      <c r="G21" s="105" t="str">
        <f t="shared" si="5"/>
        <v/>
      </c>
      <c r="H21" s="106"/>
      <c r="I21" s="106"/>
      <c r="J21" s="107"/>
    </row>
    <row r="22" spans="1:12" ht="13.5" hidden="1" x14ac:dyDescent="0.25">
      <c r="A22" s="102"/>
      <c r="B22" s="90" t="str">
        <f>IFERROR(VLOOKUP(H22,[1]SEMIELABORADOS!$A$2:$M$6000,2,0),"")</f>
        <v/>
      </c>
      <c r="C22" s="103">
        <f>+A22</f>
        <v>0</v>
      </c>
      <c r="D22" s="103" t="str">
        <f>IFERROR(VLOOKUP(H22,[1]SEMIELABORADOS!$A$2:$M$6000,6,0),"")</f>
        <v/>
      </c>
      <c r="E22" s="104" t="str">
        <f>IFERROR(VLOOKUP(H22,[1]SEMIELABORADOS!$A$2:$H$65536,8,0),"")</f>
        <v/>
      </c>
      <c r="F22" s="104" t="str">
        <f>IFERROR(E22*C22,"")</f>
        <v/>
      </c>
      <c r="G22" s="105" t="str">
        <f t="shared" si="5"/>
        <v/>
      </c>
      <c r="H22" s="106"/>
      <c r="I22" s="106"/>
      <c r="J22" s="107"/>
    </row>
    <row r="23" spans="1:12" ht="13.5" hidden="1" x14ac:dyDescent="0.25">
      <c r="A23" s="102"/>
      <c r="B23" s="90" t="str">
        <f>IFERROR(VLOOKUP(H23,[1]SEMIELABORADOS!$A$2:$M$6000,2,0),"")</f>
        <v/>
      </c>
      <c r="C23" s="103">
        <f>+A23</f>
        <v>0</v>
      </c>
      <c r="D23" s="103" t="str">
        <f>IFERROR(VLOOKUP(H23,[1]SEMIELABORADOS!$A$2:$M$6000,6,0),"")</f>
        <v/>
      </c>
      <c r="E23" s="104" t="str">
        <f>IFERROR(VLOOKUP(H23,[1]SEMIELABORADOS!$A$2:$H$65536,8,0),"")</f>
        <v/>
      </c>
      <c r="F23" s="104" t="str">
        <f>IFERROR(E23*C23,"")</f>
        <v/>
      </c>
      <c r="G23" s="105" t="str">
        <f t="shared" si="5"/>
        <v/>
      </c>
      <c r="H23" s="106"/>
      <c r="I23" s="106"/>
      <c r="J23" s="107"/>
    </row>
    <row r="24" spans="1:12" ht="13.5" hidden="1" x14ac:dyDescent="0.25">
      <c r="A24" s="102"/>
      <c r="B24" s="90" t="str">
        <f>IFERROR(VLOOKUP(H24,[1]SEMIELABORADOS!$A$2:$M$6000,2,0),"")</f>
        <v/>
      </c>
      <c r="C24" s="103">
        <f t="shared" si="6"/>
        <v>0</v>
      </c>
      <c r="D24" s="103" t="str">
        <f>IFERROR(VLOOKUP(H24,[1]SEMIELABORADOS!$A$2:$M$6000,6,0),"")</f>
        <v/>
      </c>
      <c r="E24" s="104" t="str">
        <f>IFERROR(VLOOKUP(H24,[1]SEMIELABORADOS!$A$2:$H$65536,8,0),"")</f>
        <v/>
      </c>
      <c r="F24" s="104" t="str">
        <f t="shared" si="7"/>
        <v/>
      </c>
      <c r="G24" s="105" t="str">
        <f t="shared" si="5"/>
        <v/>
      </c>
      <c r="H24" s="106"/>
      <c r="I24" s="106"/>
      <c r="J24" s="107"/>
    </row>
    <row r="25" spans="1:12" ht="13.5" hidden="1" x14ac:dyDescent="0.25">
      <c r="A25" s="102"/>
      <c r="B25" s="90" t="str">
        <f>IFERROR(VLOOKUP(H25,[1]SEMIELABORADOS!$A$2:$M$6000,2,0),"")</f>
        <v/>
      </c>
      <c r="C25" s="103">
        <f t="shared" si="6"/>
        <v>0</v>
      </c>
      <c r="D25" s="103" t="str">
        <f>IFERROR(VLOOKUP(H25,[1]SEMIELABORADOS!$A$2:$M$6000,6,0),"")</f>
        <v/>
      </c>
      <c r="E25" s="104" t="str">
        <f>IFERROR(VLOOKUP(H25,[1]SEMIELABORADOS!$A$2:$H$65536,8,0),"")</f>
        <v/>
      </c>
      <c r="F25" s="104" t="str">
        <f t="shared" si="7"/>
        <v/>
      </c>
      <c r="G25" s="105" t="str">
        <f t="shared" si="5"/>
        <v/>
      </c>
      <c r="H25" s="106"/>
      <c r="I25" s="106"/>
      <c r="J25" s="107"/>
    </row>
    <row r="26" spans="1:12" ht="13.5" hidden="1" x14ac:dyDescent="0.25">
      <c r="A26" s="102"/>
      <c r="B26" s="90" t="str">
        <f>IFERROR(VLOOKUP(H26,[1]SEMIELABORADOS!$A$2:$M$6000,2,0),"")</f>
        <v/>
      </c>
      <c r="C26" s="103">
        <f t="shared" si="6"/>
        <v>0</v>
      </c>
      <c r="D26" s="103" t="str">
        <f>IFERROR(VLOOKUP(H26,[1]SEMIELABORADOS!$A$2:$M$6000,6,0),"")</f>
        <v/>
      </c>
      <c r="E26" s="104" t="str">
        <f>IFERROR(VLOOKUP(H26,[1]SEMIELABORADOS!$A$2:$H$65536,8,0),"")</f>
        <v/>
      </c>
      <c r="F26" s="104" t="str">
        <f t="shared" si="7"/>
        <v/>
      </c>
      <c r="G26" s="105" t="str">
        <f t="shared" si="5"/>
        <v/>
      </c>
      <c r="H26" s="106"/>
      <c r="I26" s="106"/>
      <c r="J26" s="107"/>
    </row>
    <row r="27" spans="1:12" ht="14.25" hidden="1" thickBot="1" x14ac:dyDescent="0.3">
      <c r="A27" s="102"/>
      <c r="C27" s="103"/>
      <c r="D27" s="103"/>
      <c r="E27" s="104"/>
      <c r="F27" s="104"/>
      <c r="G27" s="105"/>
      <c r="H27" s="106"/>
      <c r="I27" s="106"/>
      <c r="J27" s="107"/>
    </row>
    <row r="28" spans="1:12" ht="26.25" thickBot="1" x14ac:dyDescent="0.25">
      <c r="A28" s="97" t="s">
        <v>84</v>
      </c>
      <c r="B28" s="98" t="s">
        <v>92</v>
      </c>
      <c r="C28" s="98" t="s">
        <v>84</v>
      </c>
      <c r="D28" s="99" t="s">
        <v>86</v>
      </c>
      <c r="E28" s="99" t="s">
        <v>87</v>
      </c>
      <c r="F28" s="99" t="s">
        <v>88</v>
      </c>
      <c r="G28" s="99" t="s">
        <v>89</v>
      </c>
      <c r="H28" s="100" t="s">
        <v>90</v>
      </c>
      <c r="I28" s="101"/>
    </row>
    <row r="29" spans="1:12" ht="13.5" x14ac:dyDescent="0.25">
      <c r="A29" s="102">
        <v>10</v>
      </c>
      <c r="B29" t="s">
        <v>57</v>
      </c>
      <c r="C29" s="103">
        <f t="shared" ref="C29:C34" si="8">+A29</f>
        <v>10</v>
      </c>
      <c r="D29" s="104" t="s">
        <v>131</v>
      </c>
      <c r="E29" s="104">
        <v>43.5</v>
      </c>
      <c r="F29" s="104">
        <f t="shared" ref="F29:F34" si="9">IFERROR(C29*E29,"")</f>
        <v>435</v>
      </c>
      <c r="G29" s="105">
        <f t="shared" ref="G29:G34" si="10">IFERROR(F29/$F$68,"")</f>
        <v>8.548882095115215E-3</v>
      </c>
      <c r="H29" s="109" t="s">
        <v>56</v>
      </c>
      <c r="I29" s="109"/>
      <c r="J29" s="107"/>
      <c r="K29" s="259"/>
      <c r="L29" s="259"/>
    </row>
    <row r="30" spans="1:12" ht="13.5" hidden="1" x14ac:dyDescent="0.25">
      <c r="A30" s="102"/>
      <c r="B30" s="108" t="str">
        <f>IFERROR(VLOOKUP(H30,'[1]Consolidado MP Planta'!$A$2:$M$823,3,0),"")</f>
        <v/>
      </c>
      <c r="C30" s="103">
        <f t="shared" si="8"/>
        <v>0</v>
      </c>
      <c r="D30" s="104" t="str">
        <f>IFERROR(VLOOKUP(H30,'[1]Consolidado MP Planta'!$A$2:$M$823,13,0),"")</f>
        <v/>
      </c>
      <c r="E30" s="104" t="str">
        <f>IFERROR(VLOOKUP(H30,'[1]Consolidado MP Planta'!$A$2:$M$823,12,0),"")</f>
        <v/>
      </c>
      <c r="F30" s="104" t="str">
        <f t="shared" si="9"/>
        <v/>
      </c>
      <c r="G30" s="105" t="str">
        <f t="shared" si="10"/>
        <v/>
      </c>
      <c r="H30" s="109"/>
      <c r="I30" s="109"/>
      <c r="J30" s="107"/>
      <c r="K30" s="259"/>
      <c r="L30" s="259"/>
    </row>
    <row r="31" spans="1:12" ht="13.5" hidden="1" x14ac:dyDescent="0.25">
      <c r="A31" s="102"/>
      <c r="B31" s="108" t="str">
        <f>IFERROR(VLOOKUP(H31,'[1]Consolidado MP Planta'!$A$2:$M$823,3,0),"")</f>
        <v/>
      </c>
      <c r="C31" s="103">
        <f t="shared" si="8"/>
        <v>0</v>
      </c>
      <c r="D31" s="104" t="str">
        <f>IFERROR(VLOOKUP(H31,'[1]Consolidado MP Planta'!$A$2:$M$823,13,0),"")</f>
        <v/>
      </c>
      <c r="E31" s="104" t="str">
        <f>IFERROR(VLOOKUP(H31,'[1]Consolidado MP Planta'!$A$2:$M$823,12,0),"")</f>
        <v/>
      </c>
      <c r="F31" s="104" t="str">
        <f t="shared" si="9"/>
        <v/>
      </c>
      <c r="G31" s="105" t="str">
        <f t="shared" si="10"/>
        <v/>
      </c>
      <c r="H31" s="109"/>
      <c r="I31" s="109"/>
      <c r="J31" s="107"/>
      <c r="K31" s="259"/>
      <c r="L31" s="259"/>
    </row>
    <row r="32" spans="1:12" ht="13.5" hidden="1" x14ac:dyDescent="0.25">
      <c r="A32" s="102"/>
      <c r="B32" s="108" t="str">
        <f>IFERROR(VLOOKUP(H32,'[1]Consolidado MP Planta'!$A$2:$M$823,3,0),"")</f>
        <v/>
      </c>
      <c r="C32" s="103">
        <f t="shared" si="8"/>
        <v>0</v>
      </c>
      <c r="D32" s="104" t="str">
        <f>IFERROR(VLOOKUP(H32,'[1]Consolidado MP Planta'!$A$2:$M$823,13,0),"")</f>
        <v/>
      </c>
      <c r="E32" s="104" t="str">
        <f>IFERROR(VLOOKUP(H32,'[1]Consolidado MP Planta'!$A$2:$M$823,12,0),"")</f>
        <v/>
      </c>
      <c r="F32" s="104" t="str">
        <f t="shared" si="9"/>
        <v/>
      </c>
      <c r="G32" s="105" t="str">
        <f t="shared" si="10"/>
        <v/>
      </c>
      <c r="H32" s="109"/>
      <c r="I32" s="109"/>
      <c r="J32" s="107"/>
      <c r="K32" s="259"/>
      <c r="L32" s="259"/>
    </row>
    <row r="33" spans="1:13" ht="13.5" hidden="1" x14ac:dyDescent="0.25">
      <c r="A33" s="102"/>
      <c r="B33" s="108" t="str">
        <f>IFERROR(VLOOKUP(H33,'[1]Consolidado MP Planta'!$A$2:$M$823,3,0),"")</f>
        <v/>
      </c>
      <c r="C33" s="103">
        <f t="shared" si="8"/>
        <v>0</v>
      </c>
      <c r="D33" s="104" t="str">
        <f>IFERROR(VLOOKUP(H33,'[1]Consolidado MP Planta'!$A$2:$M$823,13,0),"")</f>
        <v/>
      </c>
      <c r="E33" s="104" t="str">
        <f>IFERROR(VLOOKUP(H33,'[1]Consolidado MP Planta'!$A$2:$M$823,12,0),"")</f>
        <v/>
      </c>
      <c r="F33" s="104" t="str">
        <f t="shared" si="9"/>
        <v/>
      </c>
      <c r="G33" s="105" t="str">
        <f t="shared" si="10"/>
        <v/>
      </c>
      <c r="H33" s="109"/>
      <c r="I33" s="109"/>
      <c r="J33" s="107"/>
      <c r="K33" s="110"/>
      <c r="L33" s="111"/>
    </row>
    <row r="34" spans="1:13" ht="13.5" hidden="1" x14ac:dyDescent="0.25">
      <c r="A34" s="102"/>
      <c r="B34" s="108" t="str">
        <f>IFERROR(VLOOKUP(H34,'[1]Consolidado MP Planta'!$A$2:$M$823,3,0),"")</f>
        <v/>
      </c>
      <c r="C34" s="103">
        <f t="shared" si="8"/>
        <v>0</v>
      </c>
      <c r="D34" s="104" t="str">
        <f>IFERROR(VLOOKUP(H34,'[1]Consolidado MP Planta'!$A$2:$M$823,13,0),"")</f>
        <v/>
      </c>
      <c r="E34" s="104" t="str">
        <f>IFERROR(VLOOKUP(H34,'[1]Consolidado MP Planta'!$A$2:$M$823,12,0),"")</f>
        <v/>
      </c>
      <c r="F34" s="104" t="str">
        <f t="shared" si="9"/>
        <v/>
      </c>
      <c r="G34" s="105" t="str">
        <f t="shared" si="10"/>
        <v/>
      </c>
      <c r="H34" s="109"/>
      <c r="I34" s="109"/>
      <c r="J34" s="107"/>
    </row>
    <row r="35" spans="1:13" ht="14.25" thickBot="1" x14ac:dyDescent="0.3">
      <c r="A35" s="102"/>
      <c r="B35" s="108"/>
      <c r="C35" s="103"/>
      <c r="D35" s="104"/>
      <c r="E35" s="104"/>
      <c r="F35" s="104"/>
      <c r="G35" s="105"/>
      <c r="H35" s="109"/>
      <c r="I35" s="109"/>
      <c r="J35" s="107"/>
    </row>
    <row r="36" spans="1:13" ht="26.25" hidden="1" thickBot="1" x14ac:dyDescent="0.25">
      <c r="A36" s="97" t="s">
        <v>84</v>
      </c>
      <c r="B36" s="98" t="s">
        <v>93</v>
      </c>
      <c r="C36" s="98" t="s">
        <v>84</v>
      </c>
      <c r="D36" s="99" t="s">
        <v>86</v>
      </c>
      <c r="E36" s="99" t="s">
        <v>87</v>
      </c>
      <c r="F36" s="99" t="s">
        <v>88</v>
      </c>
      <c r="G36" s="99" t="s">
        <v>89</v>
      </c>
      <c r="H36" s="100" t="s">
        <v>90</v>
      </c>
      <c r="I36" s="109"/>
      <c r="J36" s="107"/>
    </row>
    <row r="37" spans="1:13" ht="13.5" hidden="1" x14ac:dyDescent="0.25">
      <c r="A37" s="102">
        <f>+A19</f>
        <v>0</v>
      </c>
      <c r="B37" s="108" t="str">
        <f>IFERROR(VLOOKUP(H37,[1]SEMIELABORADOS!$A$2:$M$6000,2,0),"")</f>
        <v/>
      </c>
      <c r="C37" s="103">
        <f>+A37</f>
        <v>0</v>
      </c>
      <c r="D37" s="104" t="str">
        <f>IFERROR(VLOOKUP(H37,[1]SEMIELABORADOS!$A$2:$M$6000,6,0),"")</f>
        <v/>
      </c>
      <c r="E37" s="104" t="str">
        <f>IFERROR(VLOOKUP(H37,[1]SEMIELABORADOS!$A$2:$M$65536,10,0),"")</f>
        <v/>
      </c>
      <c r="F37" s="104" t="str">
        <f>IFERROR(E37*C37,"")</f>
        <v/>
      </c>
      <c r="G37" s="105" t="str">
        <f t="shared" ref="G37:G43" si="11">IFERROR(F37/$F$68,"")</f>
        <v/>
      </c>
      <c r="H37" s="109"/>
      <c r="I37" s="109"/>
      <c r="J37" s="107"/>
    </row>
    <row r="38" spans="1:13" ht="13.5" hidden="1" x14ac:dyDescent="0.25">
      <c r="A38" s="102">
        <f t="shared" ref="A38:A43" si="12">+A20</f>
        <v>0</v>
      </c>
      <c r="B38" s="108" t="str">
        <f>IFERROR(VLOOKUP(H38,[1]SEMIELABORADOS!$A$2:$M$6000,2,0),"")</f>
        <v/>
      </c>
      <c r="C38" s="103">
        <f t="shared" ref="C38:C43" si="13">+A38</f>
        <v>0</v>
      </c>
      <c r="D38" s="104" t="str">
        <f>IFERROR(VLOOKUP(H38,[1]SEMIELABORADOS!$A$2:$M$6000,6,0),"")</f>
        <v/>
      </c>
      <c r="E38" s="104" t="str">
        <f>IFERROR(VLOOKUP(H38,[1]SEMIELABORADOS!$A$2:$M$65536,10,0),"")</f>
        <v/>
      </c>
      <c r="F38" s="104" t="str">
        <f t="shared" ref="F38:F43" si="14">IFERROR(E38*C38,"")</f>
        <v/>
      </c>
      <c r="G38" s="105" t="str">
        <f t="shared" si="11"/>
        <v/>
      </c>
      <c r="H38" s="109"/>
      <c r="I38" s="109"/>
      <c r="J38" s="107"/>
    </row>
    <row r="39" spans="1:13" ht="13.5" hidden="1" x14ac:dyDescent="0.25">
      <c r="A39" s="102">
        <f t="shared" si="12"/>
        <v>0</v>
      </c>
      <c r="B39" s="108" t="str">
        <f>IFERROR(VLOOKUP(H39,[1]SEMIELABORADOS!$A$2:$M$6000,2,0),"")</f>
        <v/>
      </c>
      <c r="C39" s="103">
        <f t="shared" si="13"/>
        <v>0</v>
      </c>
      <c r="D39" s="104" t="str">
        <f>IFERROR(VLOOKUP(H39,[1]SEMIELABORADOS!$A$2:$M$6000,6,0),"")</f>
        <v/>
      </c>
      <c r="E39" s="104" t="str">
        <f>IFERROR(VLOOKUP(H39,[1]SEMIELABORADOS!$A$2:$M$65536,10,0),"")</f>
        <v/>
      </c>
      <c r="F39" s="104" t="str">
        <f t="shared" si="14"/>
        <v/>
      </c>
      <c r="G39" s="105" t="str">
        <f t="shared" si="11"/>
        <v/>
      </c>
      <c r="H39" s="109"/>
      <c r="I39" s="109"/>
      <c r="J39" s="107"/>
    </row>
    <row r="40" spans="1:13" ht="13.5" hidden="1" x14ac:dyDescent="0.25">
      <c r="A40" s="102">
        <f t="shared" si="12"/>
        <v>0</v>
      </c>
      <c r="B40" s="108" t="str">
        <f>IFERROR(VLOOKUP(H40,[1]SEMIELABORADOS!$A$2:$M$6000,2,0),"")</f>
        <v/>
      </c>
      <c r="C40" s="103">
        <f>+A40</f>
        <v>0</v>
      </c>
      <c r="D40" s="104" t="str">
        <f>IFERROR(VLOOKUP(H40,[1]SEMIELABORADOS!$A$2:$M$6000,6,0),"")</f>
        <v/>
      </c>
      <c r="E40" s="104" t="str">
        <f>IFERROR(VLOOKUP(H40,[1]SEMIELABORADOS!$A$2:$M$65536,10,0),"")</f>
        <v/>
      </c>
      <c r="F40" s="104" t="str">
        <f>IFERROR(E40*C40,"")</f>
        <v/>
      </c>
      <c r="G40" s="105" t="str">
        <f t="shared" si="11"/>
        <v/>
      </c>
      <c r="H40" s="109"/>
      <c r="I40" s="109"/>
      <c r="J40" s="107"/>
    </row>
    <row r="41" spans="1:13" ht="13.5" hidden="1" x14ac:dyDescent="0.25">
      <c r="A41" s="102">
        <f t="shared" si="12"/>
        <v>0</v>
      </c>
      <c r="B41" s="108" t="str">
        <f>IFERROR(VLOOKUP(H41,[1]SEMIELABORADOS!$A$2:$M$6000,2,0),"")</f>
        <v/>
      </c>
      <c r="C41" s="103">
        <f>+A41</f>
        <v>0</v>
      </c>
      <c r="D41" s="104" t="str">
        <f>IFERROR(VLOOKUP(H41,[1]SEMIELABORADOS!$A$2:$M$6000,6,0),"")</f>
        <v/>
      </c>
      <c r="E41" s="104" t="str">
        <f>IFERROR(VLOOKUP(H41,[1]SEMIELABORADOS!$A$2:$M$65536,10,0),"")</f>
        <v/>
      </c>
      <c r="F41" s="104" t="str">
        <f>IFERROR(E41*C41,"")</f>
        <v/>
      </c>
      <c r="G41" s="105" t="str">
        <f t="shared" si="11"/>
        <v/>
      </c>
      <c r="H41" s="109"/>
      <c r="I41" s="109"/>
      <c r="J41" s="107"/>
    </row>
    <row r="42" spans="1:13" ht="13.5" hidden="1" x14ac:dyDescent="0.25">
      <c r="A42" s="102">
        <f t="shared" si="12"/>
        <v>0</v>
      </c>
      <c r="B42" s="108" t="str">
        <f>IFERROR(VLOOKUP(H42,[1]SEMIELABORADOS!$A$2:$M$6000,2,0),"")</f>
        <v/>
      </c>
      <c r="C42" s="103">
        <f t="shared" si="13"/>
        <v>0</v>
      </c>
      <c r="D42" s="104" t="str">
        <f>IFERROR(VLOOKUP(H42,[1]SEMIELABORADOS!$A$2:$M$6000,6,0),"")</f>
        <v/>
      </c>
      <c r="E42" s="104" t="str">
        <f>IFERROR(VLOOKUP(H42,[1]SEMIELABORADOS!$A$2:$M$65536,10,0),"")</f>
        <v/>
      </c>
      <c r="F42" s="104" t="str">
        <f t="shared" si="14"/>
        <v/>
      </c>
      <c r="G42" s="105" t="str">
        <f t="shared" si="11"/>
        <v/>
      </c>
      <c r="H42" s="109"/>
      <c r="I42" s="109"/>
      <c r="J42" s="107"/>
    </row>
    <row r="43" spans="1:13" ht="13.5" hidden="1" x14ac:dyDescent="0.25">
      <c r="A43" s="102">
        <f t="shared" si="12"/>
        <v>0</v>
      </c>
      <c r="B43" s="108" t="str">
        <f>IFERROR(VLOOKUP(H43,[1]SEMIELABORADOS!$A$2:$M$6000,2,0),"")</f>
        <v/>
      </c>
      <c r="C43" s="103">
        <f t="shared" si="13"/>
        <v>0</v>
      </c>
      <c r="D43" s="104" t="str">
        <f>IFERROR(VLOOKUP(H43,[1]SEMIELABORADOS!$A$2:$M$6000,6,0),"")</f>
        <v/>
      </c>
      <c r="E43" s="104" t="str">
        <f>IFERROR(VLOOKUP(H43,[1]SEMIELABORADOS!$A$2:$M$65536,10,0),"")</f>
        <v/>
      </c>
      <c r="F43" s="104" t="str">
        <f t="shared" si="14"/>
        <v/>
      </c>
      <c r="G43" s="105" t="str">
        <f t="shared" si="11"/>
        <v/>
      </c>
      <c r="H43" s="109"/>
      <c r="I43" s="109"/>
      <c r="J43" s="107"/>
    </row>
    <row r="44" spans="1:13" ht="14.25" hidden="1" thickBot="1" x14ac:dyDescent="0.3">
      <c r="A44" s="102"/>
      <c r="B44" s="108"/>
      <c r="C44" s="103"/>
      <c r="D44" s="104"/>
      <c r="E44" s="104"/>
      <c r="F44" s="104"/>
      <c r="G44" s="105"/>
      <c r="H44" s="109"/>
      <c r="I44" s="109"/>
      <c r="J44" s="107"/>
    </row>
    <row r="45" spans="1:13" ht="26.25" thickBot="1" x14ac:dyDescent="0.25">
      <c r="A45" s="97" t="s">
        <v>84</v>
      </c>
      <c r="B45" s="98" t="s">
        <v>94</v>
      </c>
      <c r="C45" s="98" t="s">
        <v>84</v>
      </c>
      <c r="D45" s="99" t="s">
        <v>86</v>
      </c>
      <c r="E45" s="99" t="s">
        <v>87</v>
      </c>
      <c r="F45" s="99" t="s">
        <v>88</v>
      </c>
      <c r="G45" s="99" t="s">
        <v>89</v>
      </c>
      <c r="H45" s="100" t="s">
        <v>90</v>
      </c>
      <c r="I45" s="101"/>
      <c r="J45" s="107"/>
    </row>
    <row r="46" spans="1:13" ht="13.5" hidden="1" x14ac:dyDescent="0.25">
      <c r="A46" s="102">
        <f>+A37</f>
        <v>0</v>
      </c>
      <c r="B46" s="108" t="str">
        <f>IFERROR(VLOOKUP(H46,[1]SEMIELABORADOS!$A$2:$M$6000,2,0),"")</f>
        <v/>
      </c>
      <c r="C46" s="103">
        <f>+A46</f>
        <v>0</v>
      </c>
      <c r="D46" s="104" t="str">
        <f>IFERROR(VLOOKUP(H46,[1]SEMIELABORADOS!$A$2:$M$6000,6,0),"")</f>
        <v/>
      </c>
      <c r="E46" s="104" t="str">
        <f>IFERROR(VLOOKUP(H46,[1]SEMIELABORADOS!$A$2:$M$65536,12,0),"")</f>
        <v/>
      </c>
      <c r="F46" s="104" t="str">
        <f>IFERROR(E46*C46,"")</f>
        <v/>
      </c>
      <c r="G46" s="105" t="str">
        <f>IFERROR(F46/$F$68,"")</f>
        <v/>
      </c>
      <c r="H46" s="109"/>
      <c r="I46" s="101"/>
      <c r="J46" s="107"/>
    </row>
    <row r="47" spans="1:13" ht="13.5" hidden="1" x14ac:dyDescent="0.25">
      <c r="A47" s="102">
        <f t="shared" ref="A47:A52" si="15">+A38</f>
        <v>0</v>
      </c>
      <c r="B47" s="108" t="str">
        <f>IFERROR(VLOOKUP(H47,[1]SEMIELABORADOS!$A$2:$M$6000,2,0),"")</f>
        <v/>
      </c>
      <c r="C47" s="103">
        <f t="shared" ref="C47:C52" si="16">+A47</f>
        <v>0</v>
      </c>
      <c r="D47" s="104" t="str">
        <f>IFERROR(VLOOKUP(H47,[1]SEMIELABORADOS!$A$2:$M$6000,6,0),"")</f>
        <v/>
      </c>
      <c r="E47" s="104" t="str">
        <f>IFERROR(VLOOKUP(H47,[1]SEMIELABORADOS!$A$2:$M$65536,12,0),"")</f>
        <v/>
      </c>
      <c r="F47" s="104" t="str">
        <f t="shared" ref="F47:F52" si="17">IFERROR(E47*C47,"")</f>
        <v/>
      </c>
      <c r="G47" s="105" t="str">
        <f t="shared" ref="G47:G52" si="18">IFERROR(F47/$F$68,"")</f>
        <v/>
      </c>
      <c r="H47" s="109"/>
      <c r="I47" s="101"/>
      <c r="J47" s="107"/>
      <c r="M47" s="112"/>
    </row>
    <row r="48" spans="1:13" ht="13.5" hidden="1" x14ac:dyDescent="0.25">
      <c r="A48" s="102">
        <f t="shared" si="15"/>
        <v>0</v>
      </c>
      <c r="B48" s="108" t="str">
        <f>IFERROR(VLOOKUP(H48,[1]SEMIELABORADOS!$A$2:$M$6000,2,0),"")</f>
        <v/>
      </c>
      <c r="C48" s="103">
        <f t="shared" si="16"/>
        <v>0</v>
      </c>
      <c r="D48" s="104" t="str">
        <f>IFERROR(VLOOKUP(H48,[1]SEMIELABORADOS!$A$2:$M$6000,6,0),"")</f>
        <v/>
      </c>
      <c r="E48" s="104" t="str">
        <f>IFERROR(VLOOKUP(H48,[1]SEMIELABORADOS!$A$2:$M$65536,12,0),"")</f>
        <v/>
      </c>
      <c r="F48" s="104" t="str">
        <f t="shared" si="17"/>
        <v/>
      </c>
      <c r="G48" s="105" t="str">
        <f t="shared" si="18"/>
        <v/>
      </c>
      <c r="H48" s="109"/>
      <c r="I48" s="101"/>
      <c r="J48" s="107"/>
    </row>
    <row r="49" spans="1:17" ht="13.5" hidden="1" x14ac:dyDescent="0.25">
      <c r="A49" s="102">
        <f t="shared" si="15"/>
        <v>0</v>
      </c>
      <c r="B49" s="108" t="str">
        <f>IFERROR(VLOOKUP(H49,[1]SEMIELABORADOS!$A$2:$M$6000,2,0),"")</f>
        <v/>
      </c>
      <c r="C49" s="103">
        <f t="shared" si="16"/>
        <v>0</v>
      </c>
      <c r="D49" s="104" t="str">
        <f>IFERROR(VLOOKUP(H49,[1]SEMIELABORADOS!$A$2:$M$6000,6,0),"")</f>
        <v/>
      </c>
      <c r="E49" s="104" t="str">
        <f>IFERROR(VLOOKUP(H49,[1]SEMIELABORADOS!$A$2:$M$65536,12,0),"")</f>
        <v/>
      </c>
      <c r="F49" s="104" t="str">
        <f t="shared" si="17"/>
        <v/>
      </c>
      <c r="G49" s="105" t="str">
        <f t="shared" si="18"/>
        <v/>
      </c>
      <c r="H49" s="109"/>
      <c r="I49" s="101"/>
      <c r="J49" s="107"/>
    </row>
    <row r="50" spans="1:17" ht="13.5" hidden="1" x14ac:dyDescent="0.25">
      <c r="A50" s="102">
        <f t="shared" si="15"/>
        <v>0</v>
      </c>
      <c r="B50" s="108" t="str">
        <f>IFERROR(VLOOKUP(H50,[1]SEMIELABORADOS!$A$2:$M$6000,2,0),"")</f>
        <v/>
      </c>
      <c r="C50" s="103">
        <f t="shared" si="16"/>
        <v>0</v>
      </c>
      <c r="D50" s="104" t="str">
        <f>IFERROR(VLOOKUP(H50,[1]SEMIELABORADOS!$A$2:$M$6000,6,0),"")</f>
        <v/>
      </c>
      <c r="E50" s="104" t="str">
        <f>IFERROR(VLOOKUP(H50,[1]SEMIELABORADOS!$A$2:$M$65536,12,0),"")</f>
        <v/>
      </c>
      <c r="F50" s="104" t="str">
        <f t="shared" si="17"/>
        <v/>
      </c>
      <c r="G50" s="105" t="str">
        <f t="shared" si="18"/>
        <v/>
      </c>
      <c r="H50" s="109"/>
      <c r="I50" s="101"/>
      <c r="J50" s="107"/>
    </row>
    <row r="51" spans="1:17" ht="13.5" hidden="1" x14ac:dyDescent="0.25">
      <c r="A51" s="102">
        <f t="shared" si="15"/>
        <v>0</v>
      </c>
      <c r="B51" s="108" t="str">
        <f>IFERROR(VLOOKUP(H51,[1]SEMIELABORADOS!$A$2:$M$6000,2,0),"")</f>
        <v/>
      </c>
      <c r="C51" s="103">
        <f t="shared" si="16"/>
        <v>0</v>
      </c>
      <c r="D51" s="104" t="str">
        <f>IFERROR(VLOOKUP(H51,[1]SEMIELABORADOS!$A$2:$M$6000,6,0),"")</f>
        <v/>
      </c>
      <c r="E51" s="104" t="str">
        <f>IFERROR(VLOOKUP(H51,[1]SEMIELABORADOS!$A$2:$M$65536,12,0),"")</f>
        <v/>
      </c>
      <c r="F51" s="104" t="str">
        <f t="shared" si="17"/>
        <v/>
      </c>
      <c r="G51" s="105" t="str">
        <f t="shared" si="18"/>
        <v/>
      </c>
      <c r="H51" s="109"/>
      <c r="I51" s="101"/>
      <c r="J51" s="107"/>
    </row>
    <row r="52" spans="1:17" ht="13.5" hidden="1" x14ac:dyDescent="0.25">
      <c r="A52" s="102">
        <f t="shared" si="15"/>
        <v>0</v>
      </c>
      <c r="B52" s="108" t="str">
        <f>IFERROR(VLOOKUP(H52,[1]SEMIELABORADOS!$A$2:$M$6000,2,0),"")</f>
        <v/>
      </c>
      <c r="C52" s="103">
        <f t="shared" si="16"/>
        <v>0</v>
      </c>
      <c r="D52" s="104" t="str">
        <f>IFERROR(VLOOKUP(H52,[1]SEMIELABORADOS!$A$2:$M$6000,6,0),"")</f>
        <v/>
      </c>
      <c r="E52" s="104" t="str">
        <f>IFERROR(VLOOKUP(H52,[1]SEMIELABORADOS!$A$2:$M$65536,12,0),"")</f>
        <v/>
      </c>
      <c r="F52" s="104" t="str">
        <f t="shared" si="17"/>
        <v/>
      </c>
      <c r="G52" s="105" t="str">
        <f t="shared" si="18"/>
        <v/>
      </c>
      <c r="H52" s="108"/>
      <c r="I52" s="101"/>
      <c r="J52" s="107"/>
    </row>
    <row r="53" spans="1:17" ht="13.5" x14ac:dyDescent="0.25">
      <c r="A53" s="102">
        <v>1</v>
      </c>
      <c r="B53" s="108" t="s">
        <v>95</v>
      </c>
      <c r="C53" s="103">
        <f>+A53</f>
        <v>1</v>
      </c>
      <c r="D53" s="103" t="s">
        <v>96</v>
      </c>
      <c r="E53" s="104">
        <f>+F67</f>
        <v>1155</v>
      </c>
      <c r="F53" s="104">
        <f>IFERROR(C53*E53,"")</f>
        <v>1155</v>
      </c>
      <c r="G53" s="105">
        <f>IFERROR(F53/$F$68,"")</f>
        <v>2.2698755907719709E-2</v>
      </c>
      <c r="H53" s="113"/>
      <c r="I53" s="113"/>
      <c r="J53" s="107"/>
    </row>
    <row r="54" spans="1:17" ht="14.25" thickBot="1" x14ac:dyDescent="0.3">
      <c r="A54" s="102"/>
      <c r="B54" s="108"/>
      <c r="C54" s="103"/>
      <c r="D54" s="103"/>
      <c r="E54" s="104"/>
      <c r="F54" s="104"/>
      <c r="G54" s="105"/>
      <c r="H54" s="113"/>
      <c r="I54" s="113"/>
      <c r="J54" s="107"/>
    </row>
    <row r="55" spans="1:17" ht="13.5" thickBot="1" x14ac:dyDescent="0.25">
      <c r="A55" s="114"/>
      <c r="B55" s="269" t="s">
        <v>97</v>
      </c>
      <c r="C55" s="269"/>
      <c r="D55" s="269"/>
      <c r="E55" s="269"/>
      <c r="F55" s="116">
        <f>SUM(F8:F16,F19:F26)</f>
        <v>48327.3</v>
      </c>
      <c r="G55" s="105">
        <f>+F55/$F$68</f>
        <v>0.94975721764427945</v>
      </c>
      <c r="H55" s="117">
        <f>+F55/$D$62</f>
        <v>48327.3</v>
      </c>
      <c r="I55" s="117"/>
      <c r="J55" s="118"/>
      <c r="K55" s="119"/>
      <c r="L55" s="119"/>
      <c r="M55" s="119"/>
      <c r="N55" s="119"/>
      <c r="O55" s="119"/>
      <c r="P55" s="119"/>
      <c r="Q55" s="120"/>
    </row>
    <row r="56" spans="1:17" x14ac:dyDescent="0.2">
      <c r="A56" s="114"/>
      <c r="B56" s="269" t="s">
        <v>98</v>
      </c>
      <c r="C56" s="269"/>
      <c r="D56" s="269"/>
      <c r="E56" s="269"/>
      <c r="F56" s="116">
        <f>SUM(F29:F34,F37:F43)</f>
        <v>435</v>
      </c>
      <c r="G56" s="105">
        <f>+F56/$F$68</f>
        <v>8.548882095115215E-3</v>
      </c>
      <c r="H56" s="117">
        <f>+F56/$D$62</f>
        <v>435</v>
      </c>
      <c r="I56" s="117"/>
      <c r="J56" s="121"/>
      <c r="K56" s="270" t="s">
        <v>99</v>
      </c>
      <c r="L56" s="271"/>
      <c r="M56" s="271"/>
      <c r="N56" s="271"/>
      <c r="O56" s="122">
        <f>+F57</f>
        <v>48762.3</v>
      </c>
      <c r="P56" s="122"/>
      <c r="Q56" s="123"/>
    </row>
    <row r="57" spans="1:17" x14ac:dyDescent="0.2">
      <c r="A57" s="114"/>
      <c r="B57" s="269" t="s">
        <v>100</v>
      </c>
      <c r="C57" s="269"/>
      <c r="D57" s="269"/>
      <c r="E57" s="269"/>
      <c r="F57" s="116">
        <f>+F55+F56</f>
        <v>48762.3</v>
      </c>
      <c r="G57" s="105">
        <f>+F57/$F$68</f>
        <v>0.95830609973939462</v>
      </c>
      <c r="H57" s="117">
        <f>+F57/$D$62</f>
        <v>48762.3</v>
      </c>
      <c r="I57" s="117"/>
      <c r="J57" s="124"/>
      <c r="K57" s="125"/>
      <c r="M57" s="126" t="s">
        <v>101</v>
      </c>
      <c r="N57" s="127"/>
      <c r="O57" s="122">
        <f>+H58</f>
        <v>1155</v>
      </c>
      <c r="P57" s="122"/>
      <c r="Q57" s="123"/>
    </row>
    <row r="58" spans="1:17" ht="13.5" thickBot="1" x14ac:dyDescent="0.25">
      <c r="A58" s="114"/>
      <c r="B58" s="115"/>
      <c r="C58" s="269" t="s">
        <v>102</v>
      </c>
      <c r="D58" s="269"/>
      <c r="E58" s="269"/>
      <c r="F58" s="116">
        <f>SUM(F46:F53)</f>
        <v>1155</v>
      </c>
      <c r="G58" s="105">
        <f>+F58/$F$68</f>
        <v>2.2698755907719709E-2</v>
      </c>
      <c r="H58" s="117">
        <f>+F58/$D$62</f>
        <v>1155</v>
      </c>
      <c r="I58" s="117"/>
      <c r="J58" s="124"/>
      <c r="K58" s="125"/>
      <c r="L58" s="125"/>
      <c r="M58" s="125" t="s">
        <v>103</v>
      </c>
      <c r="N58" s="128"/>
      <c r="O58" s="122">
        <f>O56*N58</f>
        <v>0</v>
      </c>
      <c r="P58" s="122"/>
      <c r="Q58" s="123"/>
    </row>
    <row r="59" spans="1:17" ht="13.5" thickBot="1" x14ac:dyDescent="0.25">
      <c r="A59" s="114"/>
      <c r="B59" s="129"/>
      <c r="C59" s="129"/>
      <c r="D59" s="129"/>
      <c r="E59" s="129"/>
      <c r="F59" s="130"/>
      <c r="G59" s="105"/>
      <c r="H59" s="131"/>
      <c r="I59" s="117"/>
      <c r="J59" s="124"/>
      <c r="K59" s="132"/>
      <c r="M59" s="133" t="s">
        <v>104</v>
      </c>
      <c r="N59" s="134"/>
      <c r="O59" s="135">
        <f>SUM(O56:O58)</f>
        <v>49917.3</v>
      </c>
      <c r="P59" s="136"/>
      <c r="Q59" s="123"/>
    </row>
    <row r="60" spans="1:17" x14ac:dyDescent="0.2">
      <c r="B60" s="272" t="s">
        <v>105</v>
      </c>
      <c r="C60" s="272"/>
      <c r="D60" s="137">
        <v>14400</v>
      </c>
      <c r="E60" s="138"/>
      <c r="G60" s="105"/>
      <c r="H60" s="131">
        <f>+H58/77</f>
        <v>15</v>
      </c>
      <c r="I60" s="139"/>
      <c r="J60" s="124"/>
      <c r="K60" s="132"/>
      <c r="L60" s="125"/>
      <c r="M60" s="125" t="s">
        <v>106</v>
      </c>
      <c r="N60" s="140"/>
      <c r="O60" s="122">
        <f>+H61</f>
        <v>1245</v>
      </c>
      <c r="P60" s="122"/>
      <c r="Q60" s="123"/>
    </row>
    <row r="61" spans="1:17" x14ac:dyDescent="0.2">
      <c r="B61" s="272" t="s">
        <v>107</v>
      </c>
      <c r="C61" s="272"/>
      <c r="D61" s="141">
        <v>14400</v>
      </c>
      <c r="E61" s="138"/>
      <c r="G61" s="105"/>
      <c r="H61" s="131">
        <f>+H60*83</f>
        <v>1245</v>
      </c>
      <c r="I61" s="139"/>
      <c r="J61" s="124"/>
      <c r="K61" s="132"/>
      <c r="L61" s="125"/>
      <c r="M61" s="273" t="s">
        <v>104</v>
      </c>
      <c r="N61" s="273"/>
      <c r="O61" s="122">
        <f>SUM(O59:O60)</f>
        <v>51162.3</v>
      </c>
      <c r="P61" s="122"/>
      <c r="Q61" s="123"/>
    </row>
    <row r="62" spans="1:17" ht="13.5" thickBot="1" x14ac:dyDescent="0.25">
      <c r="B62" s="265" t="s">
        <v>108</v>
      </c>
      <c r="C62" s="265"/>
      <c r="D62" s="137">
        <f>+D60/D61</f>
        <v>1</v>
      </c>
      <c r="E62" s="138"/>
      <c r="F62" s="142"/>
      <c r="G62" s="105"/>
      <c r="H62" s="131"/>
      <c r="I62" s="139"/>
      <c r="J62" s="124"/>
      <c r="K62" s="132"/>
      <c r="L62" s="273"/>
      <c r="M62" s="273"/>
      <c r="N62" s="140"/>
      <c r="O62" s="122">
        <f>+O61*N62</f>
        <v>0</v>
      </c>
      <c r="P62" s="122"/>
      <c r="Q62" s="123"/>
    </row>
    <row r="63" spans="1:17" ht="13.5" thickBot="1" x14ac:dyDescent="0.25">
      <c r="B63" s="265" t="s">
        <v>109</v>
      </c>
      <c r="C63" s="265"/>
      <c r="D63" s="143"/>
      <c r="E63" s="138"/>
      <c r="F63" s="142"/>
      <c r="G63" s="105"/>
      <c r="H63" s="131"/>
      <c r="I63" s="139"/>
      <c r="J63" s="124"/>
      <c r="K63" s="266" t="s">
        <v>110</v>
      </c>
      <c r="L63" s="267"/>
      <c r="M63" s="267"/>
      <c r="N63" s="268"/>
      <c r="O63" s="135">
        <f>SUM(O61:O62)</f>
        <v>51162.3</v>
      </c>
      <c r="P63" s="144" t="s">
        <v>111</v>
      </c>
      <c r="Q63" s="123"/>
    </row>
    <row r="64" spans="1:17" ht="13.5" thickBot="1" x14ac:dyDescent="0.25">
      <c r="C64" s="114" t="s">
        <v>112</v>
      </c>
      <c r="D64" s="145"/>
      <c r="E64" s="88" t="s">
        <v>113</v>
      </c>
      <c r="F64" s="146" t="s">
        <v>114</v>
      </c>
      <c r="G64" s="105"/>
      <c r="H64" s="131"/>
      <c r="I64" s="139"/>
      <c r="J64" s="147"/>
      <c r="K64" s="148"/>
      <c r="L64" s="279" t="s">
        <v>115</v>
      </c>
      <c r="M64" s="279"/>
      <c r="N64" s="279"/>
      <c r="O64" s="149">
        <f>+O63/D62</f>
        <v>51162.3</v>
      </c>
      <c r="P64" s="150">
        <f>+O64/D61</f>
        <v>3.5529375000000001</v>
      </c>
      <c r="Q64" s="151"/>
    </row>
    <row r="65" spans="2:16" ht="13.5" thickBot="1" x14ac:dyDescent="0.25">
      <c r="B65" s="280" t="s">
        <v>100</v>
      </c>
      <c r="C65" s="280"/>
      <c r="D65" s="280"/>
      <c r="E65" s="152">
        <f>+F65/F65</f>
        <v>1</v>
      </c>
      <c r="F65" s="153">
        <f>SUM(F57)</f>
        <v>48762.3</v>
      </c>
      <c r="G65" s="105">
        <f>+F65/$F$68</f>
        <v>0.95830609973939462</v>
      </c>
      <c r="H65" s="131"/>
      <c r="I65" s="139"/>
      <c r="K65" s="281"/>
      <c r="L65" s="282"/>
      <c r="M65" s="282"/>
      <c r="N65" s="282"/>
      <c r="O65" s="154"/>
      <c r="P65" s="155"/>
    </row>
    <row r="66" spans="2:16" ht="13.5" thickBot="1" x14ac:dyDescent="0.25">
      <c r="B66" s="283" t="s">
        <v>116</v>
      </c>
      <c r="C66" s="283"/>
      <c r="D66" s="283"/>
      <c r="E66" s="156">
        <v>0.02</v>
      </c>
      <c r="F66" s="153">
        <f>+F55*E66</f>
        <v>966.54600000000005</v>
      </c>
      <c r="G66" s="105">
        <f>+F66/$F$68</f>
        <v>1.8995144352885587E-2</v>
      </c>
      <c r="H66" s="117"/>
      <c r="I66" s="139"/>
      <c r="J66" s="157"/>
      <c r="O66" s="158"/>
      <c r="P66" s="115"/>
    </row>
    <row r="67" spans="2:16" ht="13.5" thickBot="1" x14ac:dyDescent="0.25">
      <c r="B67" s="284" t="s">
        <v>117</v>
      </c>
      <c r="C67" s="285"/>
      <c r="D67" s="159">
        <v>15</v>
      </c>
      <c r="E67" s="160">
        <v>77</v>
      </c>
      <c r="F67" s="153">
        <f>+E67*D67</f>
        <v>1155</v>
      </c>
      <c r="G67" s="105">
        <f>+F67/$F$68</f>
        <v>2.2698755907719709E-2</v>
      </c>
      <c r="H67" s="117"/>
      <c r="I67" s="117"/>
      <c r="J67" s="107"/>
    </row>
    <row r="68" spans="2:16" ht="13.5" thickBot="1" x14ac:dyDescent="0.25">
      <c r="B68" s="286" t="s">
        <v>118</v>
      </c>
      <c r="C68" s="287"/>
      <c r="D68" s="287"/>
      <c r="E68" s="288"/>
      <c r="F68" s="130">
        <f>SUM(F65:F67)</f>
        <v>50883.846000000005</v>
      </c>
      <c r="G68" s="105">
        <f>+F68/$F$68</f>
        <v>1</v>
      </c>
      <c r="H68" s="289"/>
      <c r="I68" s="117"/>
      <c r="J68" s="107"/>
      <c r="M68" s="90" t="s">
        <v>119</v>
      </c>
    </row>
    <row r="69" spans="2:16" x14ac:dyDescent="0.2">
      <c r="C69" s="112"/>
      <c r="D69" s="112"/>
      <c r="E69" s="162"/>
      <c r="F69" s="153"/>
      <c r="G69" s="105"/>
      <c r="H69" s="289"/>
      <c r="I69" s="161"/>
      <c r="J69" s="90"/>
      <c r="M69" s="90" t="s">
        <v>120</v>
      </c>
    </row>
    <row r="70" spans="2:16" ht="13.5" thickBot="1" x14ac:dyDescent="0.25">
      <c r="B70" s="274" t="s">
        <v>121</v>
      </c>
      <c r="C70" s="274"/>
      <c r="D70" s="274"/>
      <c r="E70" s="274"/>
      <c r="F70" s="274"/>
      <c r="G70" s="105"/>
      <c r="H70" s="164"/>
      <c r="I70" s="161"/>
      <c r="J70" s="90"/>
      <c r="M70" s="90" t="s">
        <v>122</v>
      </c>
    </row>
    <row r="71" spans="2:16" ht="13.5" thickBot="1" x14ac:dyDescent="0.25">
      <c r="B71" s="165" t="s">
        <v>123</v>
      </c>
      <c r="C71" s="166">
        <f>+F55</f>
        <v>48327.3</v>
      </c>
      <c r="D71" s="166">
        <f>+D60</f>
        <v>14400</v>
      </c>
      <c r="E71" s="167">
        <f>+C71/D71</f>
        <v>3.3560625000000002</v>
      </c>
      <c r="F71" s="105"/>
      <c r="G71" s="164"/>
      <c r="H71" s="107"/>
      <c r="I71" s="164"/>
      <c r="J71" s="90"/>
    </row>
    <row r="72" spans="2:16" x14ac:dyDescent="0.2">
      <c r="B72" s="168"/>
      <c r="C72" s="169"/>
      <c r="D72" s="170"/>
      <c r="E72" s="153"/>
      <c r="F72" s="105"/>
      <c r="G72" s="164"/>
      <c r="H72" s="107"/>
      <c r="I72" s="107"/>
      <c r="J72" s="90"/>
    </row>
    <row r="73" spans="2:16" x14ac:dyDescent="0.2">
      <c r="B73" s="165" t="s">
        <v>124</v>
      </c>
      <c r="C73" s="166">
        <f>SUM(F65:F66)</f>
        <v>49728.846000000005</v>
      </c>
      <c r="D73" s="166">
        <f>+D60</f>
        <v>14400</v>
      </c>
      <c r="E73" s="171">
        <f>+C73/D73</f>
        <v>3.4533920833333336</v>
      </c>
      <c r="F73" s="105"/>
      <c r="G73" s="164"/>
      <c r="H73" s="107"/>
      <c r="I73" s="107"/>
      <c r="J73" s="90"/>
    </row>
    <row r="74" spans="2:16" x14ac:dyDescent="0.2">
      <c r="B74" s="165"/>
      <c r="C74" s="166"/>
      <c r="D74" s="166"/>
      <c r="E74" s="171"/>
      <c r="F74" s="105"/>
      <c r="G74" s="164"/>
      <c r="H74" s="107"/>
      <c r="I74" s="107"/>
      <c r="J74" s="90"/>
    </row>
    <row r="75" spans="2:16" ht="13.5" thickBot="1" x14ac:dyDescent="0.25">
      <c r="B75" s="165" t="s">
        <v>125</v>
      </c>
      <c r="C75" s="166">
        <f>+F67</f>
        <v>1155</v>
      </c>
      <c r="D75" s="166">
        <f>+D60</f>
        <v>14400</v>
      </c>
      <c r="E75" s="171">
        <f>+C75/D75</f>
        <v>8.020833333333334E-2</v>
      </c>
      <c r="F75" s="105"/>
      <c r="G75" s="164"/>
      <c r="H75" s="107"/>
      <c r="I75" s="107"/>
      <c r="J75" s="90"/>
    </row>
    <row r="76" spans="2:16" ht="13.5" thickBot="1" x14ac:dyDescent="0.25">
      <c r="B76" s="165" t="s">
        <v>126</v>
      </c>
      <c r="C76" s="166">
        <f>+F58</f>
        <v>1155</v>
      </c>
      <c r="D76" s="166">
        <f>+D75</f>
        <v>14400</v>
      </c>
      <c r="E76" s="167">
        <f>+C76/D76</f>
        <v>8.020833333333334E-2</v>
      </c>
      <c r="F76" s="105"/>
      <c r="G76" s="164"/>
      <c r="H76" s="107"/>
      <c r="I76" s="107"/>
      <c r="J76" s="90"/>
    </row>
    <row r="77" spans="2:16" ht="13.5" thickBot="1" x14ac:dyDescent="0.25">
      <c r="B77" s="129"/>
      <c r="C77" s="130"/>
      <c r="D77" s="130"/>
      <c r="E77" s="171"/>
      <c r="F77" s="105"/>
      <c r="G77" s="164"/>
      <c r="H77" s="107"/>
      <c r="I77" s="107"/>
      <c r="J77" s="90"/>
    </row>
    <row r="78" spans="2:16" ht="13.5" thickBot="1" x14ac:dyDescent="0.25">
      <c r="B78" s="165" t="s">
        <v>127</v>
      </c>
      <c r="C78" s="166">
        <f>+F56</f>
        <v>435</v>
      </c>
      <c r="D78" s="166">
        <f>+D76</f>
        <v>14400</v>
      </c>
      <c r="E78" s="167">
        <f>+C78/D78</f>
        <v>3.0208333333333334E-2</v>
      </c>
      <c r="F78" s="105"/>
      <c r="G78" s="164"/>
      <c r="H78" s="107"/>
      <c r="I78" s="107"/>
      <c r="J78" s="107"/>
    </row>
    <row r="79" spans="2:16" ht="13.5" thickBot="1" x14ac:dyDescent="0.25">
      <c r="B79" s="129"/>
      <c r="C79" s="130"/>
      <c r="D79" s="130"/>
      <c r="E79" s="171"/>
      <c r="F79" s="105"/>
      <c r="G79" s="164"/>
      <c r="H79" s="107"/>
      <c r="I79" s="107"/>
    </row>
    <row r="80" spans="2:16" ht="13.5" thickBot="1" x14ac:dyDescent="0.25">
      <c r="B80" s="275" t="s">
        <v>128</v>
      </c>
      <c r="C80" s="276"/>
      <c r="D80" s="277"/>
      <c r="E80" s="167">
        <f>+E71+E76</f>
        <v>3.4362708333333334</v>
      </c>
      <c r="G80" s="105"/>
      <c r="H80" s="164"/>
      <c r="I80" s="107"/>
      <c r="J80" s="171"/>
    </row>
    <row r="81" spans="1:10" x14ac:dyDescent="0.2">
      <c r="I81" s="164"/>
      <c r="J81" s="90"/>
    </row>
    <row r="82" spans="1:10" ht="13.5" thickBot="1" x14ac:dyDescent="0.25">
      <c r="B82" s="274" t="s">
        <v>129</v>
      </c>
      <c r="C82" s="274"/>
      <c r="D82" s="274"/>
      <c r="E82" s="274"/>
      <c r="F82" s="274"/>
      <c r="G82" s="105"/>
      <c r="H82" s="164"/>
      <c r="J82" s="90"/>
    </row>
    <row r="83" spans="1:10" ht="13.5" thickBot="1" x14ac:dyDescent="0.25">
      <c r="B83" s="165" t="s">
        <v>123</v>
      </c>
      <c r="C83" s="166">
        <f>+C71</f>
        <v>48327.3</v>
      </c>
      <c r="D83" s="166">
        <f>+D62</f>
        <v>1</v>
      </c>
      <c r="E83" s="167">
        <f>+C83/D83</f>
        <v>48327.3</v>
      </c>
      <c r="F83" s="105"/>
      <c r="G83" s="164"/>
      <c r="H83" s="107"/>
      <c r="I83" s="164"/>
      <c r="J83" s="90"/>
    </row>
    <row r="84" spans="1:10" x14ac:dyDescent="0.2">
      <c r="B84" s="168"/>
      <c r="C84" s="169"/>
      <c r="D84" s="170"/>
      <c r="E84" s="153"/>
      <c r="F84" s="105"/>
      <c r="G84" s="164"/>
      <c r="H84" s="107"/>
      <c r="I84" s="107"/>
      <c r="J84" s="90"/>
    </row>
    <row r="85" spans="1:10" x14ac:dyDescent="0.2">
      <c r="B85" s="165" t="s">
        <v>124</v>
      </c>
      <c r="C85" s="166">
        <f>+C73</f>
        <v>49728.846000000005</v>
      </c>
      <c r="D85" s="166">
        <f>+D62</f>
        <v>1</v>
      </c>
      <c r="E85" s="171">
        <f>+C85/D85</f>
        <v>49728.846000000005</v>
      </c>
      <c r="F85" s="105"/>
      <c r="G85" s="164"/>
      <c r="H85" s="107"/>
      <c r="I85" s="107"/>
      <c r="J85" s="90"/>
    </row>
    <row r="86" spans="1:10" x14ac:dyDescent="0.2">
      <c r="B86" s="165"/>
      <c r="C86" s="166"/>
      <c r="D86" s="166"/>
      <c r="E86" s="171"/>
      <c r="F86" s="105"/>
      <c r="G86" s="164"/>
      <c r="H86" s="107"/>
      <c r="I86" s="107"/>
      <c r="J86" s="90"/>
    </row>
    <row r="87" spans="1:10" ht="13.5" thickBot="1" x14ac:dyDescent="0.25">
      <c r="B87" s="165" t="s">
        <v>126</v>
      </c>
      <c r="C87" s="166">
        <f>+C75</f>
        <v>1155</v>
      </c>
      <c r="D87" s="166">
        <f>+D62</f>
        <v>1</v>
      </c>
      <c r="E87" s="171">
        <f>+C87/D87</f>
        <v>1155</v>
      </c>
      <c r="F87" s="173"/>
      <c r="G87" s="163"/>
      <c r="H87" s="89"/>
      <c r="I87" s="107"/>
    </row>
    <row r="88" spans="1:10" ht="13.5" thickBot="1" x14ac:dyDescent="0.25">
      <c r="B88" s="165" t="s">
        <v>126</v>
      </c>
      <c r="C88" s="166">
        <f>+C76</f>
        <v>1155</v>
      </c>
      <c r="D88" s="166">
        <f>+D87</f>
        <v>1</v>
      </c>
      <c r="E88" s="167">
        <f>+C88/D88</f>
        <v>1155</v>
      </c>
      <c r="F88" s="172"/>
      <c r="G88" s="163"/>
      <c r="H88" s="89"/>
      <c r="I88" s="89"/>
    </row>
    <row r="89" spans="1:10" x14ac:dyDescent="0.2">
      <c r="I89" s="89"/>
    </row>
    <row r="90" spans="1:10" x14ac:dyDescent="0.2">
      <c r="A90" s="278"/>
      <c r="B90" s="278"/>
      <c r="C90" s="174"/>
      <c r="D90" s="174"/>
      <c r="E90" s="175"/>
      <c r="G90" s="176"/>
    </row>
    <row r="91" spans="1:10" x14ac:dyDescent="0.2">
      <c r="A91" s="108"/>
      <c r="B91" s="177"/>
      <c r="C91" s="178"/>
      <c r="D91" s="178"/>
      <c r="E91" s="179"/>
      <c r="G91" s="176"/>
    </row>
    <row r="92" spans="1:10" x14ac:dyDescent="0.2">
      <c r="A92" s="108"/>
      <c r="B92" s="177"/>
      <c r="C92" s="180"/>
      <c r="D92" s="180"/>
      <c r="E92" s="108"/>
      <c r="G92" s="176"/>
    </row>
    <row r="93" spans="1:10" x14ac:dyDescent="0.2">
      <c r="A93" s="108"/>
      <c r="B93" s="177"/>
      <c r="C93" s="181"/>
      <c r="D93" s="181"/>
      <c r="E93" s="108"/>
      <c r="G93" s="176"/>
    </row>
  </sheetData>
  <mergeCells count="30">
    <mergeCell ref="B70:F70"/>
    <mergeCell ref="B80:D80"/>
    <mergeCell ref="B82:F82"/>
    <mergeCell ref="A90:B90"/>
    <mergeCell ref="L64:N64"/>
    <mergeCell ref="B65:D65"/>
    <mergeCell ref="K65:N65"/>
    <mergeCell ref="B66:D66"/>
    <mergeCell ref="B67:C67"/>
    <mergeCell ref="B68:E68"/>
    <mergeCell ref="H68:H69"/>
    <mergeCell ref="B63:C63"/>
    <mergeCell ref="K63:N63"/>
    <mergeCell ref="K32:L32"/>
    <mergeCell ref="B55:E55"/>
    <mergeCell ref="B56:E56"/>
    <mergeCell ref="K56:N56"/>
    <mergeCell ref="B57:E57"/>
    <mergeCell ref="C58:E58"/>
    <mergeCell ref="B60:C60"/>
    <mergeCell ref="B61:C61"/>
    <mergeCell ref="M61:N61"/>
    <mergeCell ref="B62:C62"/>
    <mergeCell ref="L62:M62"/>
    <mergeCell ref="K31:L31"/>
    <mergeCell ref="A4:H4"/>
    <mergeCell ref="A5:H5"/>
    <mergeCell ref="F6:G6"/>
    <mergeCell ref="K29:L29"/>
    <mergeCell ref="K30:L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1AB2F-9808-437C-A29A-2B4141642A69}">
  <dimension ref="A1:Q91"/>
  <sheetViews>
    <sheetView topLeftCell="A16" workbookViewId="0">
      <selection activeCell="L42" sqref="L42"/>
    </sheetView>
  </sheetViews>
  <sheetFormatPr baseColWidth="10" defaultColWidth="8.42578125" defaultRowHeight="12.75" x14ac:dyDescent="0.2"/>
  <cols>
    <col min="1" max="1" width="10" style="90" bestFit="1" customWidth="1"/>
    <col min="2" max="2" width="44.28515625" style="90" bestFit="1" customWidth="1"/>
    <col min="3" max="3" width="10.42578125" style="90" bestFit="1" customWidth="1"/>
    <col min="4" max="4" width="10.42578125" style="90" customWidth="1"/>
    <col min="5" max="5" width="11" style="90" customWidth="1"/>
    <col min="6" max="6" width="9.5703125" style="90" bestFit="1" customWidth="1"/>
    <col min="7" max="7" width="10.85546875" style="172" customWidth="1"/>
    <col min="8" max="8" width="10.42578125" style="163" bestFit="1" customWidth="1"/>
    <col min="9" max="9" width="4.5703125" style="163" customWidth="1"/>
    <col min="10" max="10" width="1.85546875" style="89" customWidth="1"/>
    <col min="11" max="11" width="7" style="90" bestFit="1" customWidth="1"/>
    <col min="12" max="12" width="6.28515625" style="90" customWidth="1"/>
    <col min="13" max="13" width="20.42578125" style="90" customWidth="1"/>
    <col min="14" max="14" width="6.42578125" style="90" bestFit="1" customWidth="1"/>
    <col min="15" max="16" width="8.42578125" style="90"/>
    <col min="17" max="17" width="3.28515625" style="90" customWidth="1"/>
    <col min="18" max="16384" width="8.42578125" style="90"/>
  </cols>
  <sheetData>
    <row r="1" spans="1:10" ht="27.75" customHeight="1" x14ac:dyDescent="0.2">
      <c r="A1" s="85"/>
      <c r="B1" s="85"/>
      <c r="C1" s="85"/>
      <c r="D1" s="85"/>
      <c r="E1" s="86" t="s">
        <v>78</v>
      </c>
      <c r="F1" s="87" t="s">
        <v>79</v>
      </c>
      <c r="G1" s="87" t="s">
        <v>80</v>
      </c>
      <c r="H1" s="87" t="s">
        <v>81</v>
      </c>
      <c r="I1" s="88"/>
    </row>
    <row r="2" spans="1:10" ht="30.75" customHeight="1" x14ac:dyDescent="0.2">
      <c r="A2" s="85"/>
      <c r="B2" s="85"/>
      <c r="C2" s="85"/>
      <c r="D2" s="85"/>
      <c r="E2" s="91">
        <f>IFERROR(O62,"")</f>
        <v>1241.74125</v>
      </c>
      <c r="F2" s="91">
        <f>IFERROR(H53,"")</f>
        <v>1006.81875</v>
      </c>
      <c r="G2" s="91">
        <f>IFERROR(H54,"")</f>
        <v>24.922499999999999</v>
      </c>
      <c r="H2" s="91">
        <f>IFERROR(H56,"")</f>
        <v>101.0625</v>
      </c>
      <c r="I2" s="92"/>
    </row>
    <row r="3" spans="1:10" ht="15" customHeight="1" x14ac:dyDescent="0.2">
      <c r="A3" s="85"/>
      <c r="B3" s="85"/>
      <c r="C3" s="85"/>
      <c r="D3" s="85"/>
      <c r="E3" s="85"/>
      <c r="F3" s="93"/>
      <c r="G3" s="93"/>
      <c r="H3" s="93"/>
      <c r="I3" s="93"/>
    </row>
    <row r="4" spans="1:10" ht="24.75" customHeight="1" thickBot="1" x14ac:dyDescent="0.25">
      <c r="A4" s="260"/>
      <c r="B4" s="260"/>
      <c r="C4" s="260"/>
      <c r="D4" s="260"/>
      <c r="E4" s="260"/>
      <c r="F4" s="260"/>
      <c r="G4" s="260"/>
      <c r="H4" s="260"/>
      <c r="I4" s="94"/>
    </row>
    <row r="5" spans="1:10" ht="19.5" customHeight="1" thickBot="1" x14ac:dyDescent="0.25">
      <c r="A5" s="261" t="s">
        <v>82</v>
      </c>
      <c r="B5" s="262"/>
      <c r="C5" s="262"/>
      <c r="D5" s="262"/>
      <c r="E5" s="262"/>
      <c r="F5" s="262"/>
      <c r="G5" s="262"/>
      <c r="H5" s="263"/>
      <c r="I5" s="95"/>
    </row>
    <row r="6" spans="1:10" ht="19.5" thickBot="1" x14ac:dyDescent="0.25">
      <c r="A6" s="95"/>
      <c r="B6" s="95"/>
      <c r="C6" s="95"/>
      <c r="D6" s="95"/>
      <c r="E6" s="95"/>
      <c r="F6" s="264" t="s">
        <v>83</v>
      </c>
      <c r="G6" s="264"/>
      <c r="H6" s="96">
        <f ca="1">TODAY()</f>
        <v>45891</v>
      </c>
      <c r="I6" s="96"/>
    </row>
    <row r="7" spans="1:10" ht="26.25" hidden="1" thickBot="1" x14ac:dyDescent="0.25">
      <c r="A7" s="97" t="s">
        <v>84</v>
      </c>
      <c r="B7" s="98" t="s">
        <v>85</v>
      </c>
      <c r="C7" s="98" t="s">
        <v>84</v>
      </c>
      <c r="D7" s="99" t="s">
        <v>86</v>
      </c>
      <c r="E7" s="99" t="s">
        <v>87</v>
      </c>
      <c r="F7" s="99" t="s">
        <v>88</v>
      </c>
      <c r="G7" s="99" t="s">
        <v>89</v>
      </c>
      <c r="H7" s="100" t="s">
        <v>90</v>
      </c>
      <c r="I7" s="101"/>
    </row>
    <row r="8" spans="1:10" ht="13.5" hidden="1" x14ac:dyDescent="0.25">
      <c r="A8" s="102"/>
      <c r="B8" s="90" t="str">
        <f>IFERROR(VLOOKUP(H8,'[1]Consolidado MP Planta'!$A$2:$M$823,3,0),"")</f>
        <v/>
      </c>
      <c r="C8" s="103">
        <f>+A8</f>
        <v>0</v>
      </c>
      <c r="D8" s="104" t="str">
        <f>IFERROR(VLOOKUP(H8,'[1]Consolidado MP Planta'!$A$2:$M$823,13,0),"")</f>
        <v/>
      </c>
      <c r="E8" s="104" t="str">
        <f>IFERROR(VLOOKUP(H8,'[1]Consolidado MP Planta'!$A$2:$M$823,12,0),"")</f>
        <v/>
      </c>
      <c r="F8" s="104" t="str">
        <f>IFERROR(C8*E8,"")</f>
        <v/>
      </c>
      <c r="G8" s="105" t="str">
        <f t="shared" ref="G8:G14" si="0">IFERROR(F8/$F$66,"")</f>
        <v/>
      </c>
      <c r="H8" s="106"/>
      <c r="I8" s="106"/>
      <c r="J8" s="107"/>
    </row>
    <row r="9" spans="1:10" ht="13.5" hidden="1" x14ac:dyDescent="0.25">
      <c r="A9" s="102"/>
      <c r="B9" s="90" t="str">
        <f>IFERROR(VLOOKUP(H9,'[1]Consolidado MP Planta'!$A$2:$M$823,3,0),"")</f>
        <v/>
      </c>
      <c r="C9" s="103">
        <f t="shared" ref="C9:C14" si="1">+A9</f>
        <v>0</v>
      </c>
      <c r="D9" s="104" t="str">
        <f>IFERROR(VLOOKUP(H9,'[1]Consolidado MP Planta'!$A$2:$M$823,13,0),"")</f>
        <v/>
      </c>
      <c r="E9" s="104" t="str">
        <f>IFERROR(VLOOKUP(H9,'[1]Consolidado MP Planta'!$A$2:$M$823,12,0),"")</f>
        <v/>
      </c>
      <c r="F9" s="104" t="str">
        <f t="shared" ref="F9:F14" si="2">IFERROR(C9*E9,"")</f>
        <v/>
      </c>
      <c r="G9" s="105" t="str">
        <f t="shared" si="0"/>
        <v/>
      </c>
      <c r="H9" s="106"/>
      <c r="I9" s="106"/>
      <c r="J9" s="107"/>
    </row>
    <row r="10" spans="1:10" ht="13.5" hidden="1" x14ac:dyDescent="0.25">
      <c r="A10" s="102"/>
      <c r="B10" s="90" t="str">
        <f>IFERROR(VLOOKUP(H10,'[1]Consolidado MP Planta'!$A$2:$M$823,3,0),"")</f>
        <v/>
      </c>
      <c r="C10" s="103">
        <f t="shared" si="1"/>
        <v>0</v>
      </c>
      <c r="D10" s="104" t="str">
        <f>IFERROR(VLOOKUP(H10,'[1]Consolidado MP Planta'!$A$2:$M$823,13,0),"")</f>
        <v/>
      </c>
      <c r="E10" s="104" t="str">
        <f>IFERROR(VLOOKUP(H10,'[1]Consolidado MP Planta'!$A$2:$M$823,12,0),"")</f>
        <v/>
      </c>
      <c r="F10" s="104" t="str">
        <f t="shared" si="2"/>
        <v/>
      </c>
      <c r="G10" s="105" t="str">
        <f t="shared" si="0"/>
        <v/>
      </c>
      <c r="H10" s="106"/>
      <c r="I10" s="106"/>
      <c r="J10" s="107"/>
    </row>
    <row r="11" spans="1:10" ht="13.5" hidden="1" x14ac:dyDescent="0.25">
      <c r="A11" s="102"/>
      <c r="B11" s="90" t="str">
        <f>IFERROR(VLOOKUP(H11,'[1]Consolidado MP Planta'!$A$2:$M$823,3,0),"")</f>
        <v/>
      </c>
      <c r="C11" s="103">
        <f t="shared" si="1"/>
        <v>0</v>
      </c>
      <c r="D11" s="104" t="str">
        <f>IFERROR(VLOOKUP(H11,'[1]Consolidado MP Planta'!$A$2:$M$823,13,0),"")</f>
        <v/>
      </c>
      <c r="E11" s="104" t="str">
        <f>IFERROR(VLOOKUP(H11,'[1]Consolidado MP Planta'!$A$2:$M$823,12,0),"")</f>
        <v/>
      </c>
      <c r="F11" s="104" t="str">
        <f t="shared" si="2"/>
        <v/>
      </c>
      <c r="G11" s="105" t="str">
        <f t="shared" si="0"/>
        <v/>
      </c>
      <c r="H11" s="106"/>
      <c r="I11" s="106"/>
      <c r="J11" s="107"/>
    </row>
    <row r="12" spans="1:10" ht="13.5" hidden="1" x14ac:dyDescent="0.25">
      <c r="A12" s="102"/>
      <c r="B12" s="90" t="str">
        <f>IFERROR(VLOOKUP(H12,'[1]Consolidado MP Planta'!$A$2:$M$823,3,0),"")</f>
        <v/>
      </c>
      <c r="C12" s="103">
        <f t="shared" si="1"/>
        <v>0</v>
      </c>
      <c r="D12" s="104" t="str">
        <f>IFERROR(VLOOKUP(H12,'[1]Consolidado MP Planta'!$A$2:$M$823,13,0),"")</f>
        <v/>
      </c>
      <c r="E12" s="104" t="str">
        <f>IFERROR(VLOOKUP(H12,'[1]Consolidado MP Planta'!$A$2:$M$823,12,0),"")</f>
        <v/>
      </c>
      <c r="F12" s="104" t="str">
        <f t="shared" si="2"/>
        <v/>
      </c>
      <c r="G12" s="105" t="str">
        <f t="shared" si="0"/>
        <v/>
      </c>
      <c r="H12" s="106"/>
      <c r="I12" s="106"/>
      <c r="J12" s="107"/>
    </row>
    <row r="13" spans="1:10" ht="13.5" hidden="1" x14ac:dyDescent="0.25">
      <c r="A13" s="102"/>
      <c r="B13" s="90" t="str">
        <f>IFERROR(VLOOKUP(H13,'[1]Consolidado MP Planta'!$A$2:$M$823,3,0),"")</f>
        <v/>
      </c>
      <c r="C13" s="103">
        <f t="shared" si="1"/>
        <v>0</v>
      </c>
      <c r="D13" s="104" t="str">
        <f>IFERROR(VLOOKUP(H13,'[1]Consolidado MP Planta'!$A$2:$M$823,13,0),"")</f>
        <v/>
      </c>
      <c r="E13" s="104" t="str">
        <f>IFERROR(VLOOKUP(H13,'[1]Consolidado MP Planta'!$A$2:$M$823,12,0),"")</f>
        <v/>
      </c>
      <c r="F13" s="104" t="str">
        <f t="shared" si="2"/>
        <v/>
      </c>
      <c r="G13" s="105" t="str">
        <f t="shared" si="0"/>
        <v/>
      </c>
      <c r="H13" s="106"/>
      <c r="I13" s="106"/>
      <c r="J13" s="107"/>
    </row>
    <row r="14" spans="1:10" ht="13.5" hidden="1" x14ac:dyDescent="0.25">
      <c r="A14" s="102"/>
      <c r="B14" s="90" t="str">
        <f>IFERROR(VLOOKUP(H14,'[1]Consolidado MP Planta'!$A$2:$M$823,3,0),"")</f>
        <v/>
      </c>
      <c r="C14" s="103">
        <f t="shared" si="1"/>
        <v>0</v>
      </c>
      <c r="D14" s="104" t="str">
        <f>IFERROR(VLOOKUP(H14,'[1]Consolidado MP Planta'!$A$2:$M$823,13,0),"")</f>
        <v/>
      </c>
      <c r="E14" s="104" t="str">
        <f>IFERROR(VLOOKUP(H14,'[1]Consolidado MP Planta'!$A$2:$M$823,12,0),"")</f>
        <v/>
      </c>
      <c r="F14" s="104" t="str">
        <f t="shared" si="2"/>
        <v/>
      </c>
      <c r="G14" s="105" t="str">
        <f t="shared" si="0"/>
        <v/>
      </c>
      <c r="H14" s="106"/>
      <c r="I14" s="106"/>
      <c r="J14" s="107"/>
    </row>
    <row r="15" spans="1:10" ht="14.25" hidden="1" thickBot="1" x14ac:dyDescent="0.3">
      <c r="A15" s="102"/>
      <c r="B15" s="90" t="str">
        <f>IFERROR(VLOOKUP(H15,[2]Hoja2!$A$2:$G$589,2,0),"")</f>
        <v/>
      </c>
      <c r="C15" s="103"/>
      <c r="D15" s="104"/>
      <c r="E15" s="104"/>
      <c r="F15" s="104"/>
      <c r="G15" s="105"/>
      <c r="H15" s="106"/>
      <c r="I15" s="106"/>
      <c r="J15" s="107"/>
    </row>
    <row r="16" spans="1:10" ht="26.25" thickBot="1" x14ac:dyDescent="0.25">
      <c r="A16" s="97" t="s">
        <v>84</v>
      </c>
      <c r="B16" s="98" t="s">
        <v>91</v>
      </c>
      <c r="C16" s="98" t="s">
        <v>84</v>
      </c>
      <c r="D16" s="99" t="s">
        <v>86</v>
      </c>
      <c r="E16" s="99" t="s">
        <v>87</v>
      </c>
      <c r="F16" s="99" t="s">
        <v>88</v>
      </c>
      <c r="G16" s="99" t="s">
        <v>89</v>
      </c>
      <c r="H16" s="100" t="s">
        <v>90</v>
      </c>
      <c r="I16" s="101"/>
      <c r="J16" s="107"/>
    </row>
    <row r="17" spans="1:13" ht="13.5" x14ac:dyDescent="0.25">
      <c r="A17" s="102">
        <v>300</v>
      </c>
      <c r="B17" s="90" t="s">
        <v>62</v>
      </c>
      <c r="C17" s="103">
        <f>+A17</f>
        <v>300</v>
      </c>
      <c r="D17" s="103" t="s">
        <v>130</v>
      </c>
      <c r="E17" s="104">
        <f>+'Costo Granola '!E71</f>
        <v>3.3560625000000002</v>
      </c>
      <c r="F17" s="104">
        <f>IFERROR(E17*C17,"")</f>
        <v>1006.81875</v>
      </c>
      <c r="G17" s="105">
        <f t="shared" ref="G17:G24" si="3">IFERROR(F17/$F$66,"")</f>
        <v>0.89187590196058675</v>
      </c>
      <c r="H17" s="106"/>
      <c r="I17" s="106"/>
      <c r="J17" s="107"/>
    </row>
    <row r="18" spans="1:13" ht="13.5" hidden="1" x14ac:dyDescent="0.25">
      <c r="A18" s="102"/>
      <c r="B18" s="90" t="str">
        <f>IFERROR(VLOOKUP(H18,[1]SEMIELABORADOS!$A$2:$M$6000,2,0),"")</f>
        <v/>
      </c>
      <c r="C18" s="103">
        <f t="shared" ref="C18:C24" si="4">+A18</f>
        <v>0</v>
      </c>
      <c r="D18" s="103" t="str">
        <f>IFERROR(VLOOKUP(H18,[1]SEMIELABORADOS!$A$2:$M$6000,6,0),"")</f>
        <v/>
      </c>
      <c r="E18" s="104" t="str">
        <f>IFERROR(VLOOKUP(H18,[1]SEMIELABORADOS!$A$2:$H$65536,8,0),"")</f>
        <v/>
      </c>
      <c r="F18" s="104" t="str">
        <f t="shared" ref="F18:F24" si="5">IFERROR(E18*C18,"")</f>
        <v/>
      </c>
      <c r="G18" s="105" t="str">
        <f t="shared" si="3"/>
        <v/>
      </c>
      <c r="H18" s="106"/>
      <c r="I18" s="106"/>
      <c r="J18" s="107"/>
    </row>
    <row r="19" spans="1:13" ht="13.5" hidden="1" x14ac:dyDescent="0.25">
      <c r="A19" s="102"/>
      <c r="B19" s="90" t="str">
        <f>IFERROR(VLOOKUP(H19,[1]SEMIELABORADOS!$A$2:$M$6000,2,0),"")</f>
        <v/>
      </c>
      <c r="C19" s="103">
        <f>+A19</f>
        <v>0</v>
      </c>
      <c r="D19" s="103" t="str">
        <f>IFERROR(VLOOKUP(H19,[1]SEMIELABORADOS!$A$2:$M$6000,6,0),"")</f>
        <v/>
      </c>
      <c r="E19" s="104" t="str">
        <f>IFERROR(VLOOKUP(H19,[1]SEMIELABORADOS!$A$2:$H$65536,8,0),"")</f>
        <v/>
      </c>
      <c r="F19" s="104" t="str">
        <f>IFERROR(E19*C19,"")</f>
        <v/>
      </c>
      <c r="G19" s="105" t="str">
        <f t="shared" si="3"/>
        <v/>
      </c>
      <c r="H19" s="106"/>
      <c r="I19" s="106"/>
      <c r="J19" s="107"/>
    </row>
    <row r="20" spans="1:13" ht="13.5" hidden="1" x14ac:dyDescent="0.25">
      <c r="A20" s="102"/>
      <c r="B20" s="90" t="str">
        <f>IFERROR(VLOOKUP(H20,[1]SEMIELABORADOS!$A$2:$M$6000,2,0),"")</f>
        <v/>
      </c>
      <c r="C20" s="103">
        <f>+A20</f>
        <v>0</v>
      </c>
      <c r="D20" s="103" t="str">
        <f>IFERROR(VLOOKUP(H20,[1]SEMIELABORADOS!$A$2:$M$6000,6,0),"")</f>
        <v/>
      </c>
      <c r="E20" s="104" t="str">
        <f>IFERROR(VLOOKUP(H20,[1]SEMIELABORADOS!$A$2:$H$65536,8,0),"")</f>
        <v/>
      </c>
      <c r="F20" s="104" t="str">
        <f>IFERROR(E20*C20,"")</f>
        <v/>
      </c>
      <c r="G20" s="105" t="str">
        <f t="shared" si="3"/>
        <v/>
      </c>
      <c r="H20" s="106"/>
      <c r="I20" s="106"/>
      <c r="J20" s="107"/>
    </row>
    <row r="21" spans="1:13" ht="13.5" hidden="1" x14ac:dyDescent="0.25">
      <c r="A21" s="102"/>
      <c r="B21" s="90" t="str">
        <f>IFERROR(VLOOKUP(H21,[1]SEMIELABORADOS!$A$2:$M$6000,2,0),"")</f>
        <v/>
      </c>
      <c r="C21" s="103">
        <f>+A21</f>
        <v>0</v>
      </c>
      <c r="D21" s="103" t="str">
        <f>IFERROR(VLOOKUP(H21,[1]SEMIELABORADOS!$A$2:$M$6000,6,0),"")</f>
        <v/>
      </c>
      <c r="E21" s="104" t="str">
        <f>IFERROR(VLOOKUP(H21,[1]SEMIELABORADOS!$A$2:$H$65536,8,0),"")</f>
        <v/>
      </c>
      <c r="F21" s="104" t="str">
        <f>IFERROR(E21*C21,"")</f>
        <v/>
      </c>
      <c r="G21" s="105" t="str">
        <f t="shared" si="3"/>
        <v/>
      </c>
      <c r="H21" s="106"/>
      <c r="I21" s="106"/>
      <c r="J21" s="107"/>
    </row>
    <row r="22" spans="1:13" ht="13.5" hidden="1" x14ac:dyDescent="0.25">
      <c r="A22" s="102"/>
      <c r="B22" s="90" t="str">
        <f>IFERROR(VLOOKUP(H22,[1]SEMIELABORADOS!$A$2:$M$6000,2,0),"")</f>
        <v/>
      </c>
      <c r="C22" s="103">
        <f t="shared" si="4"/>
        <v>0</v>
      </c>
      <c r="D22" s="103" t="str">
        <f>IFERROR(VLOOKUP(H22,[1]SEMIELABORADOS!$A$2:$M$6000,6,0),"")</f>
        <v/>
      </c>
      <c r="E22" s="104" t="str">
        <f>IFERROR(VLOOKUP(H22,[1]SEMIELABORADOS!$A$2:$H$65536,8,0),"")</f>
        <v/>
      </c>
      <c r="F22" s="104" t="str">
        <f t="shared" si="5"/>
        <v/>
      </c>
      <c r="G22" s="105" t="str">
        <f t="shared" si="3"/>
        <v/>
      </c>
      <c r="H22" s="106"/>
      <c r="I22" s="106"/>
      <c r="J22" s="107"/>
    </row>
    <row r="23" spans="1:13" ht="13.5" hidden="1" x14ac:dyDescent="0.25">
      <c r="A23" s="102"/>
      <c r="B23" s="90" t="str">
        <f>IFERROR(VLOOKUP(H23,[1]SEMIELABORADOS!$A$2:$M$6000,2,0),"")</f>
        <v/>
      </c>
      <c r="C23" s="103">
        <f t="shared" si="4"/>
        <v>0</v>
      </c>
      <c r="D23" s="103" t="str">
        <f>IFERROR(VLOOKUP(H23,[1]SEMIELABORADOS!$A$2:$M$6000,6,0),"")</f>
        <v/>
      </c>
      <c r="E23" s="104" t="str">
        <f>IFERROR(VLOOKUP(H23,[1]SEMIELABORADOS!$A$2:$H$65536,8,0),"")</f>
        <v/>
      </c>
      <c r="F23" s="104" t="str">
        <f t="shared" si="5"/>
        <v/>
      </c>
      <c r="G23" s="105" t="str">
        <f t="shared" si="3"/>
        <v/>
      </c>
      <c r="H23" s="106"/>
      <c r="I23" s="106"/>
      <c r="J23" s="107"/>
    </row>
    <row r="24" spans="1:13" ht="13.5" hidden="1" x14ac:dyDescent="0.25">
      <c r="A24" s="102"/>
      <c r="B24" s="90" t="str">
        <f>IFERROR(VLOOKUP(H24,[1]SEMIELABORADOS!$A$2:$M$6000,2,0),"")</f>
        <v/>
      </c>
      <c r="C24" s="103">
        <f t="shared" si="4"/>
        <v>0</v>
      </c>
      <c r="D24" s="103" t="str">
        <f>IFERROR(VLOOKUP(H24,[1]SEMIELABORADOS!$A$2:$M$6000,6,0),"")</f>
        <v/>
      </c>
      <c r="E24" s="104" t="str">
        <f>IFERROR(VLOOKUP(H24,[1]SEMIELABORADOS!$A$2:$H$65536,8,0),"")</f>
        <v/>
      </c>
      <c r="F24" s="104" t="str">
        <f t="shared" si="5"/>
        <v/>
      </c>
      <c r="G24" s="105" t="str">
        <f t="shared" si="3"/>
        <v/>
      </c>
      <c r="H24" s="106"/>
      <c r="I24" s="106"/>
      <c r="J24" s="107"/>
    </row>
    <row r="25" spans="1:13" ht="14.25" thickBot="1" x14ac:dyDescent="0.3">
      <c r="A25" s="102"/>
      <c r="C25" s="103"/>
      <c r="D25" s="103"/>
      <c r="E25" s="104"/>
      <c r="F25" s="104"/>
      <c r="G25" s="105"/>
      <c r="H25" s="106"/>
      <c r="I25" s="106"/>
      <c r="J25" s="107"/>
    </row>
    <row r="26" spans="1:13" ht="26.25" thickBot="1" x14ac:dyDescent="0.25">
      <c r="A26" s="97" t="s">
        <v>84</v>
      </c>
      <c r="B26" s="98" t="s">
        <v>92</v>
      </c>
      <c r="C26" s="98" t="s">
        <v>84</v>
      </c>
      <c r="D26" s="99" t="s">
        <v>86</v>
      </c>
      <c r="E26" s="99" t="s">
        <v>87</v>
      </c>
      <c r="F26" s="99" t="s">
        <v>88</v>
      </c>
      <c r="G26" s="99" t="s">
        <v>89</v>
      </c>
      <c r="H26" s="100" t="s">
        <v>90</v>
      </c>
      <c r="I26" s="101"/>
    </row>
    <row r="27" spans="1:13" ht="13.5" x14ac:dyDescent="0.25">
      <c r="A27" s="102">
        <v>1</v>
      </c>
      <c r="B27" s="108" t="s">
        <v>64</v>
      </c>
      <c r="C27" s="103">
        <f t="shared" ref="C27:C32" si="6">+A27</f>
        <v>1</v>
      </c>
      <c r="D27" s="104" t="s">
        <v>131</v>
      </c>
      <c r="E27" s="104">
        <v>15</v>
      </c>
      <c r="F27" s="104">
        <f t="shared" ref="F27:F32" si="7">IFERROR(C27*E27,"")</f>
        <v>15</v>
      </c>
      <c r="G27" s="105">
        <f t="shared" ref="G27:G32" si="8">IFERROR(F27/$F$66,"")</f>
        <v>1.3287534155883371E-2</v>
      </c>
      <c r="H27" s="109" t="s">
        <v>63</v>
      </c>
      <c r="I27" s="109"/>
      <c r="J27" s="107"/>
      <c r="K27" s="259"/>
      <c r="L27" s="259"/>
      <c r="M27" s="90">
        <v>2.2000000000000002</v>
      </c>
    </row>
    <row r="28" spans="1:13" ht="13.5" x14ac:dyDescent="0.25">
      <c r="A28" s="102">
        <v>1</v>
      </c>
      <c r="B28" s="108" t="s">
        <v>67</v>
      </c>
      <c r="C28" s="103">
        <f t="shared" si="6"/>
        <v>1</v>
      </c>
      <c r="D28" s="104" t="s">
        <v>131</v>
      </c>
      <c r="E28" s="104">
        <v>0.57999999999999996</v>
      </c>
      <c r="F28" s="104">
        <f t="shared" si="7"/>
        <v>0.57999999999999996</v>
      </c>
      <c r="G28" s="105">
        <f t="shared" si="8"/>
        <v>5.1378465402749025E-4</v>
      </c>
      <c r="H28" s="109" t="s">
        <v>66</v>
      </c>
      <c r="I28" s="109"/>
      <c r="J28" s="107"/>
      <c r="K28" s="259"/>
      <c r="L28" s="259"/>
    </row>
    <row r="29" spans="1:13" ht="13.5" x14ac:dyDescent="0.25">
      <c r="A29" s="102">
        <v>1</v>
      </c>
      <c r="B29" s="108" t="s">
        <v>70</v>
      </c>
      <c r="C29" s="103">
        <f t="shared" si="6"/>
        <v>1</v>
      </c>
      <c r="D29" s="104" t="s">
        <v>131</v>
      </c>
      <c r="E29" s="104">
        <v>0.28000000000000003</v>
      </c>
      <c r="F29" s="104">
        <f t="shared" si="7"/>
        <v>0.28000000000000003</v>
      </c>
      <c r="G29" s="105">
        <f t="shared" si="8"/>
        <v>2.4803397090982296E-4</v>
      </c>
      <c r="H29" s="109" t="s">
        <v>69</v>
      </c>
      <c r="I29" s="109"/>
      <c r="J29" s="107"/>
      <c r="K29" s="259"/>
      <c r="L29" s="259"/>
    </row>
    <row r="30" spans="1:13" ht="13.5" hidden="1" x14ac:dyDescent="0.25">
      <c r="A30" s="102"/>
      <c r="B30" s="108" t="str">
        <f>IFERROR(VLOOKUP(H30,'[1]Consolidado MP Planta'!$A$2:$M$823,3,0),"")</f>
        <v/>
      </c>
      <c r="C30" s="103">
        <f t="shared" si="6"/>
        <v>0</v>
      </c>
      <c r="D30" s="104" t="str">
        <f>IFERROR(VLOOKUP(H30,'[1]Consolidado MP Planta'!$A$2:$M$823,13,0),"")</f>
        <v/>
      </c>
      <c r="E30" s="104" t="str">
        <f>IFERROR(VLOOKUP(H30,'[1]Consolidado MP Planta'!$A$2:$M$823,12,0),"")</f>
        <v/>
      </c>
      <c r="F30" s="104" t="str">
        <f t="shared" si="7"/>
        <v/>
      </c>
      <c r="G30" s="105" t="str">
        <f t="shared" si="8"/>
        <v/>
      </c>
      <c r="H30" s="109"/>
      <c r="I30" s="109"/>
      <c r="J30" s="107"/>
      <c r="K30" s="259"/>
      <c r="L30" s="259"/>
    </row>
    <row r="31" spans="1:13" ht="13.5" hidden="1" x14ac:dyDescent="0.25">
      <c r="A31" s="102"/>
      <c r="B31" s="108" t="str">
        <f>IFERROR(VLOOKUP(H31,'[1]Consolidado MP Planta'!$A$2:$M$823,3,0),"")</f>
        <v/>
      </c>
      <c r="C31" s="103">
        <f t="shared" si="6"/>
        <v>0</v>
      </c>
      <c r="D31" s="104" t="str">
        <f>IFERROR(VLOOKUP(H31,'[1]Consolidado MP Planta'!$A$2:$M$823,13,0),"")</f>
        <v/>
      </c>
      <c r="E31" s="104" t="str">
        <f>IFERROR(VLOOKUP(H31,'[1]Consolidado MP Planta'!$A$2:$M$823,12,0),"")</f>
        <v/>
      </c>
      <c r="F31" s="104" t="str">
        <f t="shared" si="7"/>
        <v/>
      </c>
      <c r="G31" s="105" t="str">
        <f t="shared" si="8"/>
        <v/>
      </c>
      <c r="H31" s="109"/>
      <c r="I31" s="109"/>
      <c r="J31" s="107"/>
      <c r="K31" s="110"/>
      <c r="L31" s="111"/>
    </row>
    <row r="32" spans="1:13" ht="13.5" hidden="1" x14ac:dyDescent="0.25">
      <c r="A32" s="102"/>
      <c r="B32" s="108" t="str">
        <f>IFERROR(VLOOKUP(H32,'[1]Consolidado MP Planta'!$A$2:$M$823,3,0),"")</f>
        <v/>
      </c>
      <c r="C32" s="103">
        <f t="shared" si="6"/>
        <v>0</v>
      </c>
      <c r="D32" s="104" t="str">
        <f>IFERROR(VLOOKUP(H32,'[1]Consolidado MP Planta'!$A$2:$M$823,13,0),"")</f>
        <v/>
      </c>
      <c r="E32" s="104" t="str">
        <f>IFERROR(VLOOKUP(H32,'[1]Consolidado MP Planta'!$A$2:$M$823,12,0),"")</f>
        <v/>
      </c>
      <c r="F32" s="104" t="str">
        <f t="shared" si="7"/>
        <v/>
      </c>
      <c r="G32" s="105" t="str">
        <f t="shared" si="8"/>
        <v/>
      </c>
      <c r="H32" s="109"/>
      <c r="I32" s="109"/>
      <c r="J32" s="107"/>
    </row>
    <row r="33" spans="1:13" ht="14.25" thickBot="1" x14ac:dyDescent="0.3">
      <c r="A33" s="102"/>
      <c r="B33" s="108"/>
      <c r="C33" s="103"/>
      <c r="D33" s="104"/>
      <c r="E33" s="104"/>
      <c r="F33" s="104"/>
      <c r="G33" s="105"/>
      <c r="H33" s="109"/>
      <c r="I33" s="109"/>
      <c r="J33" s="107"/>
    </row>
    <row r="34" spans="1:13" ht="26.25" thickBot="1" x14ac:dyDescent="0.25">
      <c r="A34" s="97" t="s">
        <v>84</v>
      </c>
      <c r="B34" s="98" t="s">
        <v>93</v>
      </c>
      <c r="C34" s="98" t="s">
        <v>84</v>
      </c>
      <c r="D34" s="99" t="s">
        <v>86</v>
      </c>
      <c r="E34" s="99" t="s">
        <v>87</v>
      </c>
      <c r="F34" s="99" t="s">
        <v>88</v>
      </c>
      <c r="G34" s="99" t="s">
        <v>89</v>
      </c>
      <c r="H34" s="100" t="s">
        <v>90</v>
      </c>
      <c r="I34" s="109"/>
      <c r="J34" s="107"/>
    </row>
    <row r="35" spans="1:13" ht="13.5" x14ac:dyDescent="0.25">
      <c r="A35" s="102">
        <f>+A17</f>
        <v>300</v>
      </c>
      <c r="B35" s="90" t="s">
        <v>62</v>
      </c>
      <c r="C35" s="103">
        <f>+A35</f>
        <v>300</v>
      </c>
      <c r="D35" s="104" t="s">
        <v>130</v>
      </c>
      <c r="E35" s="104">
        <f>+'Costo Granola '!E78</f>
        <v>3.0208333333333334E-2</v>
      </c>
      <c r="F35" s="104">
        <f>IFERROR(E35*C35,"")</f>
        <v>9.0625</v>
      </c>
      <c r="G35" s="105">
        <f t="shared" ref="G35:G41" si="9">IFERROR(F35/$F$66,"")</f>
        <v>8.0278852191795359E-3</v>
      </c>
      <c r="H35" s="109"/>
      <c r="I35" s="109"/>
      <c r="J35" s="107"/>
    </row>
    <row r="36" spans="1:13" ht="13.5" hidden="1" x14ac:dyDescent="0.25">
      <c r="A36" s="102">
        <f t="shared" ref="A36:A41" si="10">+A18</f>
        <v>0</v>
      </c>
      <c r="B36" s="108" t="str">
        <f>IFERROR(VLOOKUP(H36,[1]SEMIELABORADOS!$A$2:$M$6000,2,0),"")</f>
        <v/>
      </c>
      <c r="C36" s="103">
        <f t="shared" ref="C36:C41" si="11">+A36</f>
        <v>0</v>
      </c>
      <c r="D36" s="104" t="str">
        <f>IFERROR(VLOOKUP(H36,[1]SEMIELABORADOS!$A$2:$M$6000,6,0),"")</f>
        <v/>
      </c>
      <c r="E36" s="104" t="str">
        <f>IFERROR(VLOOKUP(H36,[1]SEMIELABORADOS!$A$2:$M$65536,10,0),"")</f>
        <v/>
      </c>
      <c r="F36" s="104" t="str">
        <f t="shared" ref="F36:F41" si="12">IFERROR(E36*C36,"")</f>
        <v/>
      </c>
      <c r="G36" s="105" t="str">
        <f t="shared" si="9"/>
        <v/>
      </c>
      <c r="H36" s="109"/>
      <c r="I36" s="109"/>
      <c r="J36" s="107"/>
    </row>
    <row r="37" spans="1:13" ht="13.5" hidden="1" x14ac:dyDescent="0.25">
      <c r="A37" s="102">
        <f t="shared" si="10"/>
        <v>0</v>
      </c>
      <c r="B37" s="108" t="str">
        <f>IFERROR(VLOOKUP(H37,[1]SEMIELABORADOS!$A$2:$M$6000,2,0),"")</f>
        <v/>
      </c>
      <c r="C37" s="103">
        <f t="shared" si="11"/>
        <v>0</v>
      </c>
      <c r="D37" s="104" t="str">
        <f>IFERROR(VLOOKUP(H37,[1]SEMIELABORADOS!$A$2:$M$6000,6,0),"")</f>
        <v/>
      </c>
      <c r="E37" s="104" t="str">
        <f>IFERROR(VLOOKUP(H37,[1]SEMIELABORADOS!$A$2:$M$65536,10,0),"")</f>
        <v/>
      </c>
      <c r="F37" s="104" t="str">
        <f t="shared" si="12"/>
        <v/>
      </c>
      <c r="G37" s="105" t="str">
        <f t="shared" si="9"/>
        <v/>
      </c>
      <c r="H37" s="109"/>
      <c r="I37" s="109"/>
      <c r="J37" s="107"/>
    </row>
    <row r="38" spans="1:13" ht="13.5" hidden="1" x14ac:dyDescent="0.25">
      <c r="A38" s="102">
        <f t="shared" si="10"/>
        <v>0</v>
      </c>
      <c r="B38" s="108" t="str">
        <f>IFERROR(VLOOKUP(H38,[1]SEMIELABORADOS!$A$2:$M$6000,2,0),"")</f>
        <v/>
      </c>
      <c r="C38" s="103">
        <f>+A38</f>
        <v>0</v>
      </c>
      <c r="D38" s="104" t="str">
        <f>IFERROR(VLOOKUP(H38,[1]SEMIELABORADOS!$A$2:$M$6000,6,0),"")</f>
        <v/>
      </c>
      <c r="E38" s="104" t="str">
        <f>IFERROR(VLOOKUP(H38,[1]SEMIELABORADOS!$A$2:$M$65536,10,0),"")</f>
        <v/>
      </c>
      <c r="F38" s="104" t="str">
        <f>IFERROR(E38*C38,"")</f>
        <v/>
      </c>
      <c r="G38" s="105" t="str">
        <f t="shared" si="9"/>
        <v/>
      </c>
      <c r="H38" s="109"/>
      <c r="I38" s="109"/>
      <c r="J38" s="107"/>
    </row>
    <row r="39" spans="1:13" ht="13.5" hidden="1" x14ac:dyDescent="0.25">
      <c r="A39" s="102">
        <f t="shared" si="10"/>
        <v>0</v>
      </c>
      <c r="B39" s="108" t="str">
        <f>IFERROR(VLOOKUP(H39,[1]SEMIELABORADOS!$A$2:$M$6000,2,0),"")</f>
        <v/>
      </c>
      <c r="C39" s="103">
        <f>+A39</f>
        <v>0</v>
      </c>
      <c r="D39" s="104" t="str">
        <f>IFERROR(VLOOKUP(H39,[1]SEMIELABORADOS!$A$2:$M$6000,6,0),"")</f>
        <v/>
      </c>
      <c r="E39" s="104" t="str">
        <f>IFERROR(VLOOKUP(H39,[1]SEMIELABORADOS!$A$2:$M$65536,10,0),"")</f>
        <v/>
      </c>
      <c r="F39" s="104" t="str">
        <f>IFERROR(E39*C39,"")</f>
        <v/>
      </c>
      <c r="G39" s="105" t="str">
        <f t="shared" si="9"/>
        <v/>
      </c>
      <c r="H39" s="109"/>
      <c r="I39" s="109"/>
      <c r="J39" s="107"/>
    </row>
    <row r="40" spans="1:13" ht="13.5" hidden="1" x14ac:dyDescent="0.25">
      <c r="A40" s="102">
        <f t="shared" si="10"/>
        <v>0</v>
      </c>
      <c r="B40" s="108" t="str">
        <f>IFERROR(VLOOKUP(H40,[1]SEMIELABORADOS!$A$2:$M$6000,2,0),"")</f>
        <v/>
      </c>
      <c r="C40" s="103">
        <f t="shared" si="11"/>
        <v>0</v>
      </c>
      <c r="D40" s="104" t="str">
        <f>IFERROR(VLOOKUP(H40,[1]SEMIELABORADOS!$A$2:$M$6000,6,0),"")</f>
        <v/>
      </c>
      <c r="E40" s="104" t="str">
        <f>IFERROR(VLOOKUP(H40,[1]SEMIELABORADOS!$A$2:$M$65536,10,0),"")</f>
        <v/>
      </c>
      <c r="F40" s="104" t="str">
        <f t="shared" si="12"/>
        <v/>
      </c>
      <c r="G40" s="105" t="str">
        <f t="shared" si="9"/>
        <v/>
      </c>
      <c r="H40" s="109"/>
      <c r="I40" s="109"/>
      <c r="J40" s="107"/>
    </row>
    <row r="41" spans="1:13" ht="13.5" hidden="1" x14ac:dyDescent="0.25">
      <c r="A41" s="102">
        <f t="shared" si="10"/>
        <v>0</v>
      </c>
      <c r="B41" s="108" t="str">
        <f>IFERROR(VLOOKUP(H41,[1]SEMIELABORADOS!$A$2:$M$6000,2,0),"")</f>
        <v/>
      </c>
      <c r="C41" s="103">
        <f t="shared" si="11"/>
        <v>0</v>
      </c>
      <c r="D41" s="104" t="str">
        <f>IFERROR(VLOOKUP(H41,[1]SEMIELABORADOS!$A$2:$M$6000,6,0),"")</f>
        <v/>
      </c>
      <c r="E41" s="104" t="str">
        <f>IFERROR(VLOOKUP(H41,[1]SEMIELABORADOS!$A$2:$M$65536,10,0),"")</f>
        <v/>
      </c>
      <c r="F41" s="104" t="str">
        <f t="shared" si="12"/>
        <v/>
      </c>
      <c r="G41" s="105" t="str">
        <f t="shared" si="9"/>
        <v/>
      </c>
      <c r="H41" s="109"/>
      <c r="I41" s="109"/>
      <c r="J41" s="107"/>
    </row>
    <row r="42" spans="1:13" ht="14.25" thickBot="1" x14ac:dyDescent="0.3">
      <c r="A42" s="102"/>
      <c r="B42" s="108"/>
      <c r="C42" s="103"/>
      <c r="D42" s="104"/>
      <c r="E42" s="104"/>
      <c r="F42" s="104"/>
      <c r="G42" s="105"/>
      <c r="H42" s="109"/>
      <c r="I42" s="109"/>
      <c r="J42" s="107"/>
    </row>
    <row r="43" spans="1:13" ht="26.25" thickBot="1" x14ac:dyDescent="0.25">
      <c r="A43" s="97" t="s">
        <v>84</v>
      </c>
      <c r="B43" s="98" t="s">
        <v>94</v>
      </c>
      <c r="C43" s="98" t="s">
        <v>84</v>
      </c>
      <c r="D43" s="99" t="s">
        <v>86</v>
      </c>
      <c r="E43" s="99" t="s">
        <v>87</v>
      </c>
      <c r="F43" s="99" t="s">
        <v>88</v>
      </c>
      <c r="G43" s="99" t="s">
        <v>89</v>
      </c>
      <c r="H43" s="100" t="s">
        <v>90</v>
      </c>
      <c r="I43" s="101"/>
      <c r="J43" s="107"/>
    </row>
    <row r="44" spans="1:13" ht="13.5" x14ac:dyDescent="0.25">
      <c r="A44" s="102">
        <f>+A35</f>
        <v>300</v>
      </c>
      <c r="B44" s="90" t="s">
        <v>62</v>
      </c>
      <c r="C44" s="103">
        <f>+A44</f>
        <v>300</v>
      </c>
      <c r="D44" s="104" t="s">
        <v>130</v>
      </c>
      <c r="E44" s="104">
        <f>+'Costo Granola '!E76</f>
        <v>8.020833333333334E-2</v>
      </c>
      <c r="F44" s="104">
        <f>IFERROR(E44*C44,"")</f>
        <v>24.062500000000004</v>
      </c>
      <c r="G44" s="105">
        <f>IFERROR(F44/$F$66,"")</f>
        <v>2.131541937506291E-2</v>
      </c>
      <c r="H44" s="109"/>
      <c r="I44" s="101"/>
      <c r="J44" s="107"/>
    </row>
    <row r="45" spans="1:13" ht="13.5" hidden="1" x14ac:dyDescent="0.25">
      <c r="A45" s="102">
        <f t="shared" ref="A45:A50" si="13">+A36</f>
        <v>0</v>
      </c>
      <c r="B45" s="108" t="str">
        <f>IFERROR(VLOOKUP(H45,[1]SEMIELABORADOS!$A$2:$M$6000,2,0),"")</f>
        <v/>
      </c>
      <c r="C45" s="103">
        <f t="shared" ref="C45:C50" si="14">+A45</f>
        <v>0</v>
      </c>
      <c r="D45" s="104" t="str">
        <f>IFERROR(VLOOKUP(H45,[1]SEMIELABORADOS!$A$2:$M$6000,6,0),"")</f>
        <v/>
      </c>
      <c r="E45" s="104" t="str">
        <f>IFERROR(VLOOKUP(H45,[1]SEMIELABORADOS!$A$2:$M$65536,12,0),"")</f>
        <v/>
      </c>
      <c r="F45" s="104" t="str">
        <f t="shared" ref="F45:F50" si="15">IFERROR(E45*C45,"")</f>
        <v/>
      </c>
      <c r="G45" s="105" t="str">
        <f t="shared" ref="G45:G50" si="16">IFERROR(F45/$F$66,"")</f>
        <v/>
      </c>
      <c r="H45" s="109"/>
      <c r="I45" s="101"/>
      <c r="J45" s="107"/>
      <c r="M45" s="112"/>
    </row>
    <row r="46" spans="1:13" ht="13.5" hidden="1" x14ac:dyDescent="0.25">
      <c r="A46" s="102">
        <f t="shared" si="13"/>
        <v>0</v>
      </c>
      <c r="B46" s="108" t="str">
        <f>IFERROR(VLOOKUP(H46,[1]SEMIELABORADOS!$A$2:$M$6000,2,0),"")</f>
        <v/>
      </c>
      <c r="C46" s="103">
        <f t="shared" si="14"/>
        <v>0</v>
      </c>
      <c r="D46" s="104" t="str">
        <f>IFERROR(VLOOKUP(H46,[1]SEMIELABORADOS!$A$2:$M$6000,6,0),"")</f>
        <v/>
      </c>
      <c r="E46" s="104" t="str">
        <f>IFERROR(VLOOKUP(H46,[1]SEMIELABORADOS!$A$2:$M$65536,12,0),"")</f>
        <v/>
      </c>
      <c r="F46" s="104" t="str">
        <f t="shared" si="15"/>
        <v/>
      </c>
      <c r="G46" s="105" t="str">
        <f t="shared" si="16"/>
        <v/>
      </c>
      <c r="H46" s="109"/>
      <c r="I46" s="101"/>
      <c r="J46" s="107"/>
    </row>
    <row r="47" spans="1:13" ht="13.5" hidden="1" x14ac:dyDescent="0.25">
      <c r="A47" s="102">
        <f t="shared" si="13"/>
        <v>0</v>
      </c>
      <c r="B47" s="108" t="str">
        <f>IFERROR(VLOOKUP(H47,[1]SEMIELABORADOS!$A$2:$M$6000,2,0),"")</f>
        <v/>
      </c>
      <c r="C47" s="103">
        <f t="shared" si="14"/>
        <v>0</v>
      </c>
      <c r="D47" s="104" t="str">
        <f>IFERROR(VLOOKUP(H47,[1]SEMIELABORADOS!$A$2:$M$6000,6,0),"")</f>
        <v/>
      </c>
      <c r="E47" s="104" t="str">
        <f>IFERROR(VLOOKUP(H47,[1]SEMIELABORADOS!$A$2:$M$65536,12,0),"")</f>
        <v/>
      </c>
      <c r="F47" s="104" t="str">
        <f t="shared" si="15"/>
        <v/>
      </c>
      <c r="G47" s="105" t="str">
        <f t="shared" si="16"/>
        <v/>
      </c>
      <c r="H47" s="109"/>
      <c r="I47" s="101"/>
      <c r="J47" s="107"/>
    </row>
    <row r="48" spans="1:13" ht="13.5" hidden="1" x14ac:dyDescent="0.25">
      <c r="A48" s="102">
        <f t="shared" si="13"/>
        <v>0</v>
      </c>
      <c r="B48" s="108" t="str">
        <f>IFERROR(VLOOKUP(H48,[1]SEMIELABORADOS!$A$2:$M$6000,2,0),"")</f>
        <v/>
      </c>
      <c r="C48" s="103">
        <f t="shared" si="14"/>
        <v>0</v>
      </c>
      <c r="D48" s="104" t="str">
        <f>IFERROR(VLOOKUP(H48,[1]SEMIELABORADOS!$A$2:$M$6000,6,0),"")</f>
        <v/>
      </c>
      <c r="E48" s="104" t="str">
        <f>IFERROR(VLOOKUP(H48,[1]SEMIELABORADOS!$A$2:$M$65536,12,0),"")</f>
        <v/>
      </c>
      <c r="F48" s="104" t="str">
        <f t="shared" si="15"/>
        <v/>
      </c>
      <c r="G48" s="105" t="str">
        <f t="shared" si="16"/>
        <v/>
      </c>
      <c r="H48" s="109"/>
      <c r="I48" s="101"/>
      <c r="J48" s="107"/>
    </row>
    <row r="49" spans="1:17" ht="13.5" hidden="1" x14ac:dyDescent="0.25">
      <c r="A49" s="102">
        <f t="shared" si="13"/>
        <v>0</v>
      </c>
      <c r="B49" s="108" t="str">
        <f>IFERROR(VLOOKUP(H49,[1]SEMIELABORADOS!$A$2:$M$6000,2,0),"")</f>
        <v/>
      </c>
      <c r="C49" s="103">
        <f t="shared" si="14"/>
        <v>0</v>
      </c>
      <c r="D49" s="104" t="str">
        <f>IFERROR(VLOOKUP(H49,[1]SEMIELABORADOS!$A$2:$M$6000,6,0),"")</f>
        <v/>
      </c>
      <c r="E49" s="104" t="str">
        <f>IFERROR(VLOOKUP(H49,[1]SEMIELABORADOS!$A$2:$M$65536,12,0),"")</f>
        <v/>
      </c>
      <c r="F49" s="104" t="str">
        <f t="shared" si="15"/>
        <v/>
      </c>
      <c r="G49" s="105" t="str">
        <f t="shared" si="16"/>
        <v/>
      </c>
      <c r="H49" s="109"/>
      <c r="I49" s="101"/>
      <c r="J49" s="107"/>
    </row>
    <row r="50" spans="1:17" ht="13.5" hidden="1" x14ac:dyDescent="0.25">
      <c r="A50" s="102">
        <f t="shared" si="13"/>
        <v>0</v>
      </c>
      <c r="B50" s="108" t="str">
        <f>IFERROR(VLOOKUP(H50,[1]SEMIELABORADOS!$A$2:$M$6000,2,0),"")</f>
        <v/>
      </c>
      <c r="C50" s="103">
        <f t="shared" si="14"/>
        <v>0</v>
      </c>
      <c r="D50" s="104" t="str">
        <f>IFERROR(VLOOKUP(H50,[1]SEMIELABORADOS!$A$2:$M$6000,6,0),"")</f>
        <v/>
      </c>
      <c r="E50" s="104" t="str">
        <f>IFERROR(VLOOKUP(H50,[1]SEMIELABORADOS!$A$2:$M$65536,12,0),"")</f>
        <v/>
      </c>
      <c r="F50" s="104" t="str">
        <f t="shared" si="15"/>
        <v/>
      </c>
      <c r="G50" s="105" t="str">
        <f t="shared" si="16"/>
        <v/>
      </c>
      <c r="H50" s="108"/>
      <c r="I50" s="101"/>
      <c r="J50" s="107"/>
    </row>
    <row r="51" spans="1:17" ht="13.5" x14ac:dyDescent="0.25">
      <c r="A51" s="102">
        <v>1</v>
      </c>
      <c r="B51" s="108" t="s">
        <v>95</v>
      </c>
      <c r="C51" s="103">
        <f>+A51</f>
        <v>1</v>
      </c>
      <c r="D51" s="103" t="s">
        <v>96</v>
      </c>
      <c r="E51" s="104">
        <f>+F65</f>
        <v>77</v>
      </c>
      <c r="F51" s="104">
        <f>IFERROR(C51*E51,"")</f>
        <v>77</v>
      </c>
      <c r="G51" s="105">
        <f>IFERROR(F51/$F$66,"")</f>
        <v>6.8209342000201303E-2</v>
      </c>
      <c r="H51" s="113"/>
      <c r="I51" s="113"/>
      <c r="J51" s="107"/>
    </row>
    <row r="52" spans="1:17" ht="14.25" thickBot="1" x14ac:dyDescent="0.3">
      <c r="A52" s="102"/>
      <c r="B52" s="108"/>
      <c r="C52" s="103"/>
      <c r="D52" s="103"/>
      <c r="E52" s="104"/>
      <c r="F52" s="104"/>
      <c r="G52" s="105"/>
      <c r="H52" s="113"/>
      <c r="I52" s="113"/>
      <c r="J52" s="107"/>
    </row>
    <row r="53" spans="1:17" ht="13.5" thickBot="1" x14ac:dyDescent="0.25">
      <c r="A53" s="114"/>
      <c r="B53" s="269" t="s">
        <v>97</v>
      </c>
      <c r="C53" s="269"/>
      <c r="D53" s="269"/>
      <c r="E53" s="269"/>
      <c r="F53" s="116">
        <f>SUM(F8:F14,F17:F24)</f>
        <v>1006.81875</v>
      </c>
      <c r="G53" s="105">
        <f>+F53/$F$66</f>
        <v>0.89187590196058675</v>
      </c>
      <c r="H53" s="117">
        <f>+F53/$D$60</f>
        <v>1006.81875</v>
      </c>
      <c r="I53" s="117"/>
      <c r="J53" s="118"/>
      <c r="K53" s="119"/>
      <c r="L53" s="119"/>
      <c r="M53" s="119"/>
      <c r="N53" s="119"/>
      <c r="O53" s="119"/>
      <c r="P53" s="119"/>
      <c r="Q53" s="120"/>
    </row>
    <row r="54" spans="1:17" x14ac:dyDescent="0.2">
      <c r="A54" s="114"/>
      <c r="B54" s="269" t="s">
        <v>98</v>
      </c>
      <c r="C54" s="269"/>
      <c r="D54" s="269"/>
      <c r="E54" s="269"/>
      <c r="F54" s="116">
        <f>SUM(F27:F32,F35:F41)</f>
        <v>24.922499999999999</v>
      </c>
      <c r="G54" s="105">
        <f>+F54/$F$66</f>
        <v>2.2077238000000221E-2</v>
      </c>
      <c r="H54" s="117">
        <f>+F54/$D$60</f>
        <v>24.922499999999999</v>
      </c>
      <c r="I54" s="117"/>
      <c r="J54" s="121"/>
      <c r="K54" s="270" t="s">
        <v>99</v>
      </c>
      <c r="L54" s="271"/>
      <c r="M54" s="271"/>
      <c r="N54" s="271"/>
      <c r="O54" s="122">
        <f>+F55</f>
        <v>1031.74125</v>
      </c>
      <c r="P54" s="122"/>
      <c r="Q54" s="123"/>
    </row>
    <row r="55" spans="1:17" x14ac:dyDescent="0.2">
      <c r="A55" s="114"/>
      <c r="B55" s="269" t="s">
        <v>100</v>
      </c>
      <c r="C55" s="269"/>
      <c r="D55" s="269"/>
      <c r="E55" s="269"/>
      <c r="F55" s="116">
        <f>+F53+F54</f>
        <v>1031.74125</v>
      </c>
      <c r="G55" s="105">
        <f>+F55/$F$66</f>
        <v>0.91395313996058691</v>
      </c>
      <c r="H55" s="117">
        <f>+F55/$D$60</f>
        <v>1031.74125</v>
      </c>
      <c r="I55" s="117"/>
      <c r="J55" s="124"/>
      <c r="K55" s="125"/>
      <c r="M55" s="126" t="s">
        <v>101</v>
      </c>
      <c r="N55" s="127"/>
      <c r="O55" s="122">
        <f>+H56</f>
        <v>101.0625</v>
      </c>
      <c r="P55" s="122"/>
      <c r="Q55" s="123"/>
    </row>
    <row r="56" spans="1:17" ht="13.5" thickBot="1" x14ac:dyDescent="0.25">
      <c r="A56" s="114"/>
      <c r="B56" s="115"/>
      <c r="C56" s="269" t="s">
        <v>102</v>
      </c>
      <c r="D56" s="269"/>
      <c r="E56" s="269"/>
      <c r="F56" s="116">
        <f>SUM(F44:F51)</f>
        <v>101.0625</v>
      </c>
      <c r="G56" s="105">
        <f>+F56/$F$66</f>
        <v>8.9524761375264203E-2</v>
      </c>
      <c r="H56" s="117">
        <f>+F56/$D$60</f>
        <v>101.0625</v>
      </c>
      <c r="I56" s="117"/>
      <c r="J56" s="124"/>
      <c r="K56" s="125"/>
      <c r="L56" s="125"/>
      <c r="M56" s="125" t="s">
        <v>103</v>
      </c>
      <c r="N56" s="128"/>
      <c r="O56" s="122">
        <f>O54*N56</f>
        <v>0</v>
      </c>
      <c r="P56" s="122"/>
      <c r="Q56" s="123"/>
    </row>
    <row r="57" spans="1:17" ht="13.5" thickBot="1" x14ac:dyDescent="0.25">
      <c r="A57" s="114"/>
      <c r="B57" s="129"/>
      <c r="C57" s="129"/>
      <c r="D57" s="129"/>
      <c r="E57" s="129"/>
      <c r="F57" s="130"/>
      <c r="G57" s="105"/>
      <c r="H57" s="131"/>
      <c r="I57" s="117"/>
      <c r="J57" s="124"/>
      <c r="K57" s="132"/>
      <c r="M57" s="133" t="s">
        <v>104</v>
      </c>
      <c r="N57" s="134"/>
      <c r="O57" s="135">
        <f>SUM(O54:O56)</f>
        <v>1132.80375</v>
      </c>
      <c r="P57" s="136"/>
      <c r="Q57" s="123"/>
    </row>
    <row r="58" spans="1:17" x14ac:dyDescent="0.2">
      <c r="B58" s="272" t="s">
        <v>105</v>
      </c>
      <c r="C58" s="272"/>
      <c r="D58" s="137">
        <v>300</v>
      </c>
      <c r="E58" s="138"/>
      <c r="G58" s="105"/>
      <c r="H58" s="131">
        <f>+H56/77</f>
        <v>1.3125</v>
      </c>
      <c r="I58" s="139"/>
      <c r="J58" s="124"/>
      <c r="K58" s="132"/>
      <c r="L58" s="125"/>
      <c r="M58" s="125" t="s">
        <v>106</v>
      </c>
      <c r="N58" s="140"/>
      <c r="O58" s="122">
        <f>+H59</f>
        <v>108.9375</v>
      </c>
      <c r="P58" s="122"/>
      <c r="Q58" s="123"/>
    </row>
    <row r="59" spans="1:17" x14ac:dyDescent="0.2">
      <c r="B59" s="272" t="s">
        <v>107</v>
      </c>
      <c r="C59" s="272"/>
      <c r="D59" s="141">
        <v>300</v>
      </c>
      <c r="E59" s="138"/>
      <c r="G59" s="105"/>
      <c r="H59" s="131">
        <f>+H58*83</f>
        <v>108.9375</v>
      </c>
      <c r="I59" s="139"/>
      <c r="J59" s="124"/>
      <c r="K59" s="132"/>
      <c r="L59" s="125"/>
      <c r="M59" s="273" t="s">
        <v>104</v>
      </c>
      <c r="N59" s="273"/>
      <c r="O59" s="122">
        <f>SUM(O57:O58)</f>
        <v>1241.74125</v>
      </c>
      <c r="P59" s="122"/>
      <c r="Q59" s="123"/>
    </row>
    <row r="60" spans="1:17" ht="13.5" thickBot="1" x14ac:dyDescent="0.25">
      <c r="B60" s="265" t="s">
        <v>108</v>
      </c>
      <c r="C60" s="265"/>
      <c r="D60" s="137">
        <f>+D58/D59</f>
        <v>1</v>
      </c>
      <c r="E60" s="138"/>
      <c r="F60" s="142"/>
      <c r="G60" s="105"/>
      <c r="H60" s="131"/>
      <c r="I60" s="139"/>
      <c r="J60" s="124"/>
      <c r="K60" s="132"/>
      <c r="L60" s="273"/>
      <c r="M60" s="273"/>
      <c r="N60" s="140"/>
      <c r="O60" s="122">
        <f>+O59*N60</f>
        <v>0</v>
      </c>
      <c r="P60" s="122"/>
      <c r="Q60" s="123"/>
    </row>
    <row r="61" spans="1:17" ht="13.5" thickBot="1" x14ac:dyDescent="0.25">
      <c r="B61" s="265" t="s">
        <v>109</v>
      </c>
      <c r="C61" s="265"/>
      <c r="D61" s="143"/>
      <c r="E61" s="138"/>
      <c r="F61" s="142"/>
      <c r="G61" s="105"/>
      <c r="H61" s="131"/>
      <c r="I61" s="139"/>
      <c r="J61" s="124"/>
      <c r="K61" s="266" t="s">
        <v>110</v>
      </c>
      <c r="L61" s="267"/>
      <c r="M61" s="267"/>
      <c r="N61" s="268"/>
      <c r="O61" s="135">
        <f>SUM(O59:O60)</f>
        <v>1241.74125</v>
      </c>
      <c r="P61" s="144" t="s">
        <v>111</v>
      </c>
      <c r="Q61" s="123"/>
    </row>
    <row r="62" spans="1:17" ht="13.5" thickBot="1" x14ac:dyDescent="0.25">
      <c r="C62" s="114" t="s">
        <v>112</v>
      </c>
      <c r="D62" s="145"/>
      <c r="E62" s="88" t="s">
        <v>113</v>
      </c>
      <c r="F62" s="146" t="s">
        <v>114</v>
      </c>
      <c r="G62" s="105"/>
      <c r="H62" s="131"/>
      <c r="I62" s="139"/>
      <c r="J62" s="147"/>
      <c r="K62" s="148"/>
      <c r="L62" s="279" t="s">
        <v>115</v>
      </c>
      <c r="M62" s="279"/>
      <c r="N62" s="279"/>
      <c r="O62" s="149">
        <f>+O61/D60</f>
        <v>1241.74125</v>
      </c>
      <c r="P62" s="150">
        <f>+O62/D59</f>
        <v>4.1391375000000004</v>
      </c>
      <c r="Q62" s="151"/>
    </row>
    <row r="63" spans="1:17" ht="13.5" thickBot="1" x14ac:dyDescent="0.25">
      <c r="B63" s="280" t="s">
        <v>100</v>
      </c>
      <c r="C63" s="280"/>
      <c r="D63" s="280"/>
      <c r="E63" s="152">
        <f>+F63/F63</f>
        <v>1</v>
      </c>
      <c r="F63" s="153">
        <f>SUM(F55)</f>
        <v>1031.74125</v>
      </c>
      <c r="G63" s="105">
        <f>+F63/$F$66</f>
        <v>0.91395313996058691</v>
      </c>
      <c r="H63" s="131"/>
      <c r="I63" s="139"/>
      <c r="K63" s="281"/>
      <c r="L63" s="282"/>
      <c r="M63" s="282"/>
      <c r="N63" s="282"/>
      <c r="O63" s="154"/>
      <c r="P63" s="155"/>
    </row>
    <row r="64" spans="1:17" ht="13.5" thickBot="1" x14ac:dyDescent="0.25">
      <c r="B64" s="283" t="s">
        <v>116</v>
      </c>
      <c r="C64" s="283"/>
      <c r="D64" s="283"/>
      <c r="E64" s="156">
        <v>0.02</v>
      </c>
      <c r="F64" s="153">
        <f>+F53*E64</f>
        <v>20.136375000000001</v>
      </c>
      <c r="G64" s="105">
        <f>+F64/$F$66</f>
        <v>1.7837518039211735E-2</v>
      </c>
      <c r="H64" s="117"/>
      <c r="I64" s="139"/>
      <c r="J64" s="157"/>
      <c r="O64" s="158"/>
      <c r="P64" s="115"/>
    </row>
    <row r="65" spans="2:13" ht="13.5" thickBot="1" x14ac:dyDescent="0.25">
      <c r="B65" s="284" t="s">
        <v>117</v>
      </c>
      <c r="C65" s="285"/>
      <c r="D65" s="159">
        <v>1</v>
      </c>
      <c r="E65" s="160">
        <v>77</v>
      </c>
      <c r="F65" s="153">
        <f>+E65*D65</f>
        <v>77</v>
      </c>
      <c r="G65" s="105">
        <f>+F65/$F$66</f>
        <v>6.8209342000201303E-2</v>
      </c>
      <c r="H65" s="117"/>
      <c r="I65" s="117"/>
      <c r="J65" s="107"/>
    </row>
    <row r="66" spans="2:13" ht="13.5" thickBot="1" x14ac:dyDescent="0.25">
      <c r="B66" s="286" t="s">
        <v>118</v>
      </c>
      <c r="C66" s="287"/>
      <c r="D66" s="287"/>
      <c r="E66" s="288"/>
      <c r="F66" s="130">
        <f>SUM(F63:F65)</f>
        <v>1128.8776250000001</v>
      </c>
      <c r="G66" s="105">
        <f>+F66/$F$66</f>
        <v>1</v>
      </c>
      <c r="H66" s="289"/>
      <c r="I66" s="117"/>
      <c r="J66" s="107"/>
      <c r="M66" s="90" t="s">
        <v>119</v>
      </c>
    </row>
    <row r="67" spans="2:13" x14ac:dyDescent="0.2">
      <c r="C67" s="112"/>
      <c r="D67" s="112"/>
      <c r="E67" s="162"/>
      <c r="F67" s="153"/>
      <c r="G67" s="105"/>
      <c r="H67" s="289"/>
      <c r="I67" s="161"/>
      <c r="J67" s="90"/>
      <c r="M67" s="90" t="s">
        <v>120</v>
      </c>
    </row>
    <row r="68" spans="2:13" ht="13.5" thickBot="1" x14ac:dyDescent="0.25">
      <c r="B68" s="274" t="s">
        <v>121</v>
      </c>
      <c r="C68" s="274"/>
      <c r="D68" s="274"/>
      <c r="E68" s="274"/>
      <c r="F68" s="274"/>
      <c r="G68" s="105"/>
      <c r="H68" s="164"/>
      <c r="I68" s="161"/>
      <c r="J68" s="90"/>
      <c r="M68" s="90" t="s">
        <v>122</v>
      </c>
    </row>
    <row r="69" spans="2:13" ht="13.5" thickBot="1" x14ac:dyDescent="0.25">
      <c r="B69" s="165" t="s">
        <v>123</v>
      </c>
      <c r="C69" s="166">
        <f>+F53</f>
        <v>1006.81875</v>
      </c>
      <c r="D69" s="166">
        <f>+D58</f>
        <v>300</v>
      </c>
      <c r="E69" s="167">
        <f>+C69/D69</f>
        <v>3.3560625000000002</v>
      </c>
      <c r="F69" s="105"/>
      <c r="G69" s="164"/>
      <c r="H69" s="107"/>
      <c r="I69" s="164"/>
      <c r="J69" s="90"/>
    </row>
    <row r="70" spans="2:13" x14ac:dyDescent="0.2">
      <c r="B70" s="168"/>
      <c r="C70" s="169"/>
      <c r="D70" s="170"/>
      <c r="E70" s="153"/>
      <c r="F70" s="105"/>
      <c r="G70" s="164"/>
      <c r="H70" s="107"/>
      <c r="I70" s="107"/>
      <c r="J70" s="90"/>
    </row>
    <row r="71" spans="2:13" x14ac:dyDescent="0.2">
      <c r="B71" s="165" t="s">
        <v>124</v>
      </c>
      <c r="C71" s="166">
        <f>SUM(F63:F64)</f>
        <v>1051.8776250000001</v>
      </c>
      <c r="D71" s="166">
        <f>+D58</f>
        <v>300</v>
      </c>
      <c r="E71" s="171">
        <f>+C71/D71</f>
        <v>3.5062587500000002</v>
      </c>
      <c r="F71" s="105"/>
      <c r="G71" s="164"/>
      <c r="H71" s="107"/>
      <c r="I71" s="107"/>
      <c r="J71" s="90"/>
    </row>
    <row r="72" spans="2:13" x14ac:dyDescent="0.2">
      <c r="B72" s="165"/>
      <c r="C72" s="166"/>
      <c r="D72" s="166"/>
      <c r="E72" s="171"/>
      <c r="F72" s="105"/>
      <c r="G72" s="164"/>
      <c r="H72" s="107"/>
      <c r="I72" s="107"/>
      <c r="J72" s="90"/>
    </row>
    <row r="73" spans="2:13" ht="13.5" thickBot="1" x14ac:dyDescent="0.25">
      <c r="B73" s="165" t="s">
        <v>125</v>
      </c>
      <c r="C73" s="166">
        <f>+F65</f>
        <v>77</v>
      </c>
      <c r="D73" s="166">
        <f>+D58</f>
        <v>300</v>
      </c>
      <c r="E73" s="171">
        <f>+C73/D73</f>
        <v>0.25666666666666665</v>
      </c>
      <c r="F73" s="105"/>
      <c r="G73" s="164"/>
      <c r="H73" s="107"/>
      <c r="I73" s="107"/>
      <c r="J73" s="90"/>
    </row>
    <row r="74" spans="2:13" ht="13.5" thickBot="1" x14ac:dyDescent="0.25">
      <c r="B74" s="165" t="s">
        <v>126</v>
      </c>
      <c r="C74" s="166">
        <f>+F56</f>
        <v>101.0625</v>
      </c>
      <c r="D74" s="166">
        <f>+D73</f>
        <v>300</v>
      </c>
      <c r="E74" s="167">
        <f>+C74/D74</f>
        <v>0.33687499999999998</v>
      </c>
      <c r="F74" s="105"/>
      <c r="G74" s="164"/>
      <c r="H74" s="107"/>
      <c r="I74" s="107"/>
      <c r="J74" s="90"/>
    </row>
    <row r="75" spans="2:13" ht="13.5" thickBot="1" x14ac:dyDescent="0.25">
      <c r="B75" s="129"/>
      <c r="C75" s="130"/>
      <c r="D75" s="130"/>
      <c r="E75" s="171"/>
      <c r="F75" s="105"/>
      <c r="G75" s="164"/>
      <c r="H75" s="107"/>
      <c r="I75" s="107"/>
      <c r="J75" s="90"/>
    </row>
    <row r="76" spans="2:13" ht="13.5" thickBot="1" x14ac:dyDescent="0.25">
      <c r="B76" s="165" t="s">
        <v>127</v>
      </c>
      <c r="C76" s="166">
        <f>+F54</f>
        <v>24.922499999999999</v>
      </c>
      <c r="D76" s="166">
        <f>+D74</f>
        <v>300</v>
      </c>
      <c r="E76" s="167">
        <f>+C76/D76</f>
        <v>8.3074999999999996E-2</v>
      </c>
      <c r="F76" s="105"/>
      <c r="G76" s="164"/>
      <c r="H76" s="107"/>
      <c r="I76" s="107"/>
      <c r="J76" s="107"/>
    </row>
    <row r="77" spans="2:13" ht="13.5" thickBot="1" x14ac:dyDescent="0.25">
      <c r="B77" s="129"/>
      <c r="C77" s="130"/>
      <c r="D77" s="130"/>
      <c r="E77" s="171"/>
      <c r="F77" s="105"/>
      <c r="G77" s="164"/>
      <c r="H77" s="107"/>
      <c r="I77" s="107"/>
    </row>
    <row r="78" spans="2:13" ht="13.5" thickBot="1" x14ac:dyDescent="0.25">
      <c r="B78" s="275" t="s">
        <v>128</v>
      </c>
      <c r="C78" s="276"/>
      <c r="D78" s="277"/>
      <c r="E78" s="167">
        <f>+E69+E74</f>
        <v>3.6929375000000002</v>
      </c>
      <c r="G78" s="105"/>
      <c r="H78" s="164"/>
      <c r="I78" s="107"/>
      <c r="J78" s="171"/>
    </row>
    <row r="79" spans="2:13" x14ac:dyDescent="0.2">
      <c r="I79" s="164"/>
      <c r="J79" s="90"/>
    </row>
    <row r="80" spans="2:13" ht="13.5" thickBot="1" x14ac:dyDescent="0.25">
      <c r="B80" s="274" t="s">
        <v>129</v>
      </c>
      <c r="C80" s="274"/>
      <c r="D80" s="274"/>
      <c r="E80" s="274"/>
      <c r="F80" s="274"/>
      <c r="G80" s="105"/>
      <c r="H80" s="164"/>
      <c r="J80" s="90"/>
    </row>
    <row r="81" spans="1:10" ht="13.5" thickBot="1" x14ac:dyDescent="0.25">
      <c r="B81" s="165" t="s">
        <v>123</v>
      </c>
      <c r="C81" s="166">
        <f>+C69</f>
        <v>1006.81875</v>
      </c>
      <c r="D81" s="166">
        <f>+D60</f>
        <v>1</v>
      </c>
      <c r="E81" s="167">
        <f>+C81/D81</f>
        <v>1006.81875</v>
      </c>
      <c r="F81" s="105"/>
      <c r="G81" s="164"/>
      <c r="H81" s="107"/>
      <c r="I81" s="164"/>
      <c r="J81" s="90"/>
    </row>
    <row r="82" spans="1:10" x14ac:dyDescent="0.2">
      <c r="B82" s="168"/>
      <c r="C82" s="169"/>
      <c r="D82" s="170"/>
      <c r="E82" s="153"/>
      <c r="F82" s="105"/>
      <c r="G82" s="164"/>
      <c r="H82" s="107"/>
      <c r="I82" s="107"/>
      <c r="J82" s="90"/>
    </row>
    <row r="83" spans="1:10" x14ac:dyDescent="0.2">
      <c r="B83" s="165" t="s">
        <v>124</v>
      </c>
      <c r="C83" s="166">
        <f>+C71</f>
        <v>1051.8776250000001</v>
      </c>
      <c r="D83" s="166">
        <f>+D60</f>
        <v>1</v>
      </c>
      <c r="E83" s="171">
        <f>+C83/D83</f>
        <v>1051.8776250000001</v>
      </c>
      <c r="F83" s="105"/>
      <c r="G83" s="164"/>
      <c r="H83" s="107"/>
      <c r="I83" s="107"/>
      <c r="J83" s="90"/>
    </row>
    <row r="84" spans="1:10" x14ac:dyDescent="0.2">
      <c r="B84" s="165"/>
      <c r="C84" s="166"/>
      <c r="D84" s="166"/>
      <c r="E84" s="171"/>
      <c r="F84" s="105"/>
      <c r="G84" s="164"/>
      <c r="H84" s="107"/>
      <c r="I84" s="107"/>
      <c r="J84" s="90"/>
    </row>
    <row r="85" spans="1:10" ht="13.5" thickBot="1" x14ac:dyDescent="0.25">
      <c r="B85" s="165" t="s">
        <v>126</v>
      </c>
      <c r="C85" s="166">
        <f>+C73</f>
        <v>77</v>
      </c>
      <c r="D85" s="166">
        <f>+D60</f>
        <v>1</v>
      </c>
      <c r="E85" s="171">
        <f>+C85/D85</f>
        <v>77</v>
      </c>
      <c r="F85" s="173"/>
      <c r="G85" s="163"/>
      <c r="H85" s="89"/>
      <c r="I85" s="107"/>
    </row>
    <row r="86" spans="1:10" ht="13.5" thickBot="1" x14ac:dyDescent="0.25">
      <c r="B86" s="165" t="s">
        <v>126</v>
      </c>
      <c r="C86" s="166">
        <f>+C74</f>
        <v>101.0625</v>
      </c>
      <c r="D86" s="166">
        <f>+D85</f>
        <v>1</v>
      </c>
      <c r="E86" s="167">
        <f>+C86/D86</f>
        <v>101.0625</v>
      </c>
      <c r="F86" s="172"/>
      <c r="G86" s="163"/>
      <c r="H86" s="89"/>
      <c r="I86" s="89"/>
    </row>
    <row r="87" spans="1:10" x14ac:dyDescent="0.2">
      <c r="I87" s="89"/>
    </row>
    <row r="88" spans="1:10" x14ac:dyDescent="0.2">
      <c r="A88" s="278"/>
      <c r="B88" s="278"/>
      <c r="C88" s="174"/>
      <c r="D88" s="174"/>
      <c r="E88" s="175"/>
      <c r="G88" s="176"/>
    </row>
    <row r="89" spans="1:10" x14ac:dyDescent="0.2">
      <c r="A89" s="108"/>
      <c r="B89" s="177"/>
      <c r="C89" s="178"/>
      <c r="D89" s="178"/>
      <c r="E89" s="179"/>
      <c r="G89" s="176"/>
    </row>
    <row r="90" spans="1:10" x14ac:dyDescent="0.2">
      <c r="A90" s="108"/>
      <c r="B90" s="177"/>
      <c r="C90" s="180"/>
      <c r="D90" s="180"/>
      <c r="E90" s="108"/>
      <c r="G90" s="176"/>
    </row>
    <row r="91" spans="1:10" x14ac:dyDescent="0.2">
      <c r="A91" s="108"/>
      <c r="B91" s="177"/>
      <c r="C91" s="181"/>
      <c r="D91" s="181"/>
      <c r="E91" s="108"/>
      <c r="G91" s="176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E2F85-6E23-4550-AA33-66F7C1FCC6AF}">
  <dimension ref="A1:I36"/>
  <sheetViews>
    <sheetView topLeftCell="A9" workbookViewId="0">
      <selection activeCell="K19" sqref="K19"/>
    </sheetView>
  </sheetViews>
  <sheetFormatPr baseColWidth="10" defaultRowHeight="12.75" x14ac:dyDescent="0.2"/>
  <cols>
    <col min="3" max="3" width="28.140625" customWidth="1"/>
  </cols>
  <sheetData>
    <row r="1" spans="1:9" ht="15" x14ac:dyDescent="0.2">
      <c r="A1" s="195"/>
      <c r="B1" s="196"/>
      <c r="C1" s="201" t="s">
        <v>25</v>
      </c>
      <c r="D1" s="201"/>
      <c r="E1" s="201"/>
      <c r="F1" s="201"/>
      <c r="G1" s="201"/>
      <c r="H1" s="15" t="s">
        <v>26</v>
      </c>
      <c r="I1" s="12"/>
    </row>
    <row r="2" spans="1:9" ht="15.75" x14ac:dyDescent="0.25">
      <c r="A2" s="197"/>
      <c r="B2" s="198"/>
      <c r="C2" s="202" t="s">
        <v>0</v>
      </c>
      <c r="D2" s="202"/>
      <c r="E2" s="202"/>
      <c r="F2" s="202"/>
      <c r="G2" s="202"/>
      <c r="H2" s="16" t="s">
        <v>27</v>
      </c>
      <c r="I2" s="17"/>
    </row>
    <row r="3" spans="1:9" ht="15.75" thickBot="1" x14ac:dyDescent="0.25">
      <c r="A3" s="197"/>
      <c r="B3" s="198"/>
      <c r="C3" s="203" t="s">
        <v>137</v>
      </c>
      <c r="D3" s="204"/>
      <c r="E3" s="204"/>
      <c r="F3" s="204"/>
      <c r="G3" s="205"/>
      <c r="H3" s="206" t="s">
        <v>28</v>
      </c>
      <c r="I3" s="186"/>
    </row>
    <row r="4" spans="1:9" ht="13.5" x14ac:dyDescent="0.25">
      <c r="A4" s="197"/>
      <c r="B4" s="198"/>
      <c r="C4" s="18" t="s">
        <v>29</v>
      </c>
      <c r="D4" s="189" t="s">
        <v>11</v>
      </c>
      <c r="E4" s="190"/>
      <c r="F4" s="190"/>
      <c r="G4" s="191"/>
      <c r="H4" s="207"/>
      <c r="I4" s="187"/>
    </row>
    <row r="5" spans="1:9" ht="14.25" thickBot="1" x14ac:dyDescent="0.3">
      <c r="A5" s="199"/>
      <c r="B5" s="200"/>
      <c r="C5" s="19" t="s">
        <v>30</v>
      </c>
      <c r="D5" s="192" t="s">
        <v>24</v>
      </c>
      <c r="E5" s="193"/>
      <c r="F5" s="193"/>
      <c r="G5" s="194"/>
      <c r="H5" s="208"/>
      <c r="I5" s="188"/>
    </row>
    <row r="6" spans="1:9" ht="18.75" thickBot="1" x14ac:dyDescent="0.3">
      <c r="A6" s="209" t="s">
        <v>18</v>
      </c>
      <c r="B6" s="209"/>
      <c r="C6" s="209"/>
      <c r="D6" s="210" t="s">
        <v>20</v>
      </c>
      <c r="E6" s="210"/>
      <c r="F6" s="210"/>
      <c r="G6" s="211" t="s">
        <v>19</v>
      </c>
      <c r="H6" s="211"/>
      <c r="I6" s="20" t="s">
        <v>20</v>
      </c>
    </row>
    <row r="7" spans="1:9" ht="25.5" x14ac:dyDescent="0.2">
      <c r="A7" s="212" t="s">
        <v>1</v>
      </c>
      <c r="B7" s="214" t="s">
        <v>31</v>
      </c>
      <c r="C7" s="216" t="s">
        <v>2</v>
      </c>
      <c r="D7" s="216" t="s">
        <v>3</v>
      </c>
      <c r="E7" s="216" t="s">
        <v>4</v>
      </c>
      <c r="F7" s="216"/>
      <c r="G7" s="216" t="s">
        <v>32</v>
      </c>
      <c r="H7" s="216"/>
      <c r="I7" s="21" t="s">
        <v>5</v>
      </c>
    </row>
    <row r="8" spans="1:9" ht="26.25" thickBot="1" x14ac:dyDescent="0.25">
      <c r="A8" s="213"/>
      <c r="B8" s="215"/>
      <c r="C8" s="217"/>
      <c r="D8" s="217"/>
      <c r="E8" s="22" t="s">
        <v>6</v>
      </c>
      <c r="F8" s="23" t="s">
        <v>7</v>
      </c>
      <c r="G8" s="22" t="s">
        <v>6</v>
      </c>
      <c r="H8" s="23" t="s">
        <v>7</v>
      </c>
      <c r="I8" s="24" t="s">
        <v>8</v>
      </c>
    </row>
    <row r="9" spans="1:9" ht="15" x14ac:dyDescent="0.25">
      <c r="A9" s="25"/>
      <c r="B9" s="26"/>
      <c r="C9" s="27" t="s">
        <v>33</v>
      </c>
      <c r="D9" s="28"/>
      <c r="E9" s="29"/>
      <c r="F9" s="30"/>
      <c r="G9" s="29"/>
      <c r="H9" s="30"/>
      <c r="I9" s="31"/>
    </row>
    <row r="10" spans="1:9" ht="15" x14ac:dyDescent="0.25">
      <c r="A10" s="8"/>
      <c r="B10" s="80" t="s">
        <v>134</v>
      </c>
      <c r="C10" s="81" t="s">
        <v>62</v>
      </c>
      <c r="D10" s="9" t="s">
        <v>14</v>
      </c>
      <c r="E10" s="10">
        <v>100</v>
      </c>
      <c r="F10" s="11" t="s">
        <v>13</v>
      </c>
      <c r="G10" s="29"/>
      <c r="H10" s="30"/>
      <c r="I10" s="31"/>
    </row>
    <row r="11" spans="1:9" ht="15" x14ac:dyDescent="0.25">
      <c r="A11" s="6"/>
      <c r="B11" s="79"/>
      <c r="D11" s="3"/>
      <c r="E11" s="4"/>
      <c r="F11" s="11"/>
      <c r="G11" s="29"/>
      <c r="H11" s="30"/>
      <c r="I11" s="31"/>
    </row>
    <row r="12" spans="1:9" ht="15" x14ac:dyDescent="0.25">
      <c r="A12" s="32"/>
      <c r="B12" s="7"/>
      <c r="C12" s="33"/>
      <c r="D12" s="34"/>
      <c r="E12" s="1"/>
      <c r="F12" s="2"/>
      <c r="G12" s="29"/>
      <c r="H12" s="30"/>
      <c r="I12" s="31"/>
    </row>
    <row r="13" spans="1:9" ht="15.75" x14ac:dyDescent="0.25">
      <c r="A13" s="38"/>
      <c r="B13" s="39"/>
      <c r="C13" s="40" t="s">
        <v>34</v>
      </c>
      <c r="D13" s="41"/>
      <c r="E13" s="42"/>
      <c r="F13" s="37"/>
      <c r="G13" s="29"/>
      <c r="H13" s="30"/>
      <c r="I13" s="31"/>
    </row>
    <row r="14" spans="1:9" ht="15" x14ac:dyDescent="0.25">
      <c r="A14" s="43"/>
      <c r="B14" s="14"/>
      <c r="C14" s="44"/>
      <c r="D14" s="45"/>
      <c r="E14" s="36"/>
      <c r="F14" s="37"/>
      <c r="G14" s="29"/>
      <c r="H14" s="30"/>
      <c r="I14" s="31"/>
    </row>
    <row r="15" spans="1:9" ht="15" x14ac:dyDescent="0.25">
      <c r="A15" s="7"/>
      <c r="B15" s="7"/>
      <c r="C15" s="35"/>
      <c r="D15" s="34"/>
      <c r="E15" s="46"/>
      <c r="F15" s="47"/>
      <c r="G15" s="29"/>
      <c r="H15" s="30"/>
      <c r="I15" s="31"/>
    </row>
    <row r="16" spans="1:9" ht="15.75" x14ac:dyDescent="0.25">
      <c r="A16" s="48"/>
      <c r="B16" s="49"/>
      <c r="C16" s="50" t="s">
        <v>20</v>
      </c>
      <c r="D16" s="51"/>
      <c r="E16" s="29"/>
      <c r="F16" s="30"/>
      <c r="G16" s="29"/>
      <c r="H16" s="30"/>
      <c r="I16" s="31"/>
    </row>
    <row r="17" spans="1:9" ht="15" x14ac:dyDescent="0.25">
      <c r="A17" s="49"/>
      <c r="B17" s="183" t="s">
        <v>135</v>
      </c>
      <c r="C17" s="81" t="s">
        <v>72</v>
      </c>
      <c r="D17" s="3"/>
      <c r="E17" s="4">
        <v>1</v>
      </c>
      <c r="F17" s="11" t="s">
        <v>65</v>
      </c>
      <c r="G17" s="29"/>
      <c r="H17" s="30"/>
      <c r="I17" s="31"/>
    </row>
    <row r="18" spans="1:9" ht="15.75" x14ac:dyDescent="0.25">
      <c r="A18" s="6"/>
      <c r="B18" s="7" t="s">
        <v>66</v>
      </c>
      <c r="C18" s="82" t="s">
        <v>67</v>
      </c>
      <c r="D18" s="83" t="s">
        <v>68</v>
      </c>
      <c r="E18" s="83">
        <v>1</v>
      </c>
      <c r="F18" s="2"/>
      <c r="G18" s="29"/>
      <c r="H18" s="30"/>
      <c r="I18" s="31"/>
    </row>
    <row r="19" spans="1:9" ht="15.75" x14ac:dyDescent="0.25">
      <c r="A19" s="38"/>
      <c r="B19" s="7" t="s">
        <v>69</v>
      </c>
      <c r="C19" s="7" t="s">
        <v>70</v>
      </c>
      <c r="D19" s="83" t="s">
        <v>68</v>
      </c>
      <c r="E19" s="83">
        <v>1</v>
      </c>
      <c r="F19" s="37"/>
      <c r="G19" s="52"/>
      <c r="H19" s="52"/>
      <c r="I19" s="31"/>
    </row>
    <row r="20" spans="1:9" ht="14.25" thickBot="1" x14ac:dyDescent="0.3">
      <c r="A20" s="54"/>
      <c r="B20" s="55"/>
      <c r="C20" s="56"/>
      <c r="D20" s="56"/>
      <c r="E20" s="57"/>
      <c r="F20" s="58"/>
      <c r="G20" s="56"/>
      <c r="H20" s="56"/>
      <c r="I20" s="59"/>
    </row>
    <row r="21" spans="1:9" ht="14.25" thickBot="1" x14ac:dyDescent="0.3">
      <c r="A21" s="61"/>
      <c r="B21" s="62"/>
      <c r="C21" s="63"/>
      <c r="D21" s="64" t="s">
        <v>6</v>
      </c>
      <c r="E21" s="65" t="s">
        <v>15</v>
      </c>
      <c r="F21" s="66"/>
      <c r="G21" s="63"/>
      <c r="H21" s="63"/>
      <c r="I21" s="67"/>
    </row>
    <row r="22" spans="1:9" ht="13.5" x14ac:dyDescent="0.25">
      <c r="A22" s="218" t="s">
        <v>10</v>
      </c>
      <c r="B22" s="219"/>
      <c r="C22" s="220"/>
      <c r="D22" s="68">
        <v>100</v>
      </c>
      <c r="E22" s="69" t="s">
        <v>13</v>
      </c>
      <c r="F22" s="221" t="s">
        <v>35</v>
      </c>
      <c r="G22" s="221"/>
      <c r="H22" s="222"/>
      <c r="I22" s="223"/>
    </row>
    <row r="23" spans="1:9" ht="13.5" x14ac:dyDescent="0.25">
      <c r="A23" s="224" t="s">
        <v>9</v>
      </c>
      <c r="B23" s="225"/>
      <c r="C23" s="226"/>
      <c r="D23" s="70">
        <v>1</v>
      </c>
      <c r="E23" s="71" t="s">
        <v>16</v>
      </c>
      <c r="F23" s="227" t="s">
        <v>36</v>
      </c>
      <c r="G23" s="227"/>
      <c r="H23" s="228"/>
      <c r="I23" s="229"/>
    </row>
    <row r="24" spans="1:9" ht="13.5" x14ac:dyDescent="0.25">
      <c r="A24" s="224" t="s">
        <v>21</v>
      </c>
      <c r="B24" s="225"/>
      <c r="C24" s="226"/>
      <c r="D24" s="71">
        <v>1</v>
      </c>
      <c r="E24" s="71" t="s">
        <v>23</v>
      </c>
      <c r="F24" s="227" t="s">
        <v>37</v>
      </c>
      <c r="G24" s="227"/>
      <c r="H24" s="228"/>
      <c r="I24" s="229"/>
    </row>
    <row r="25" spans="1:9" ht="13.5" x14ac:dyDescent="0.25">
      <c r="A25" s="224" t="s">
        <v>22</v>
      </c>
      <c r="B25" s="225"/>
      <c r="C25" s="226"/>
      <c r="D25" s="72">
        <v>100</v>
      </c>
      <c r="E25" s="71" t="s">
        <v>13</v>
      </c>
      <c r="F25" s="233" t="s">
        <v>38</v>
      </c>
      <c r="G25" s="234"/>
      <c r="H25" s="228"/>
      <c r="I25" s="229"/>
    </row>
    <row r="26" spans="1:9" ht="14.25" thickBot="1" x14ac:dyDescent="0.3">
      <c r="A26" s="235" t="s">
        <v>12</v>
      </c>
      <c r="B26" s="236"/>
      <c r="C26" s="237"/>
      <c r="D26" s="74">
        <f>SUM(E10:E11)-D22</f>
        <v>0</v>
      </c>
      <c r="E26" s="75" t="s">
        <v>13</v>
      </c>
      <c r="F26" s="238"/>
      <c r="G26" s="238"/>
      <c r="H26" s="239"/>
      <c r="I26" s="240"/>
    </row>
    <row r="27" spans="1:9" ht="13.5" thickBot="1" x14ac:dyDescent="0.25">
      <c r="A27" s="241" t="s">
        <v>39</v>
      </c>
      <c r="B27" s="242"/>
      <c r="C27" s="242"/>
      <c r="D27" s="242"/>
      <c r="E27" s="242"/>
      <c r="F27" s="242"/>
      <c r="G27" s="242"/>
      <c r="H27" s="242"/>
      <c r="I27" s="243"/>
    </row>
    <row r="28" spans="1:9" ht="15" x14ac:dyDescent="0.25">
      <c r="A28" s="244" t="s">
        <v>75</v>
      </c>
      <c r="B28" s="245"/>
      <c r="C28" s="245"/>
      <c r="D28" s="245"/>
      <c r="E28" s="245"/>
      <c r="F28" s="245"/>
      <c r="G28" s="245"/>
      <c r="H28" s="245"/>
      <c r="I28" s="246"/>
    </row>
    <row r="29" spans="1:9" ht="15" x14ac:dyDescent="0.25">
      <c r="A29" s="230" t="s">
        <v>74</v>
      </c>
      <c r="B29" s="231"/>
      <c r="C29" s="231"/>
      <c r="D29" s="231"/>
      <c r="E29" s="231"/>
      <c r="F29" s="231"/>
      <c r="G29" s="231"/>
      <c r="H29" s="231"/>
      <c r="I29" s="232"/>
    </row>
    <row r="30" spans="1:9" ht="15" x14ac:dyDescent="0.25">
      <c r="A30" s="230"/>
      <c r="B30" s="231"/>
      <c r="C30" s="231"/>
      <c r="D30" s="231"/>
      <c r="E30" s="231"/>
      <c r="F30" s="231"/>
      <c r="G30" s="231"/>
      <c r="H30" s="231"/>
      <c r="I30" s="232"/>
    </row>
    <row r="31" spans="1:9" ht="15" x14ac:dyDescent="0.25">
      <c r="A31" s="230"/>
      <c r="B31" s="231"/>
      <c r="C31" s="231"/>
      <c r="D31" s="231"/>
      <c r="E31" s="231"/>
      <c r="F31" s="231"/>
      <c r="G31" s="231"/>
      <c r="H31" s="231"/>
      <c r="I31" s="232"/>
    </row>
    <row r="32" spans="1:9" ht="13.5" x14ac:dyDescent="0.25">
      <c r="A32" s="249"/>
      <c r="B32" s="250"/>
      <c r="C32" s="251"/>
      <c r="D32" s="251"/>
      <c r="E32" s="251"/>
      <c r="F32" s="251"/>
      <c r="G32" s="251"/>
      <c r="H32" s="251"/>
      <c r="I32" s="252"/>
    </row>
    <row r="33" spans="1:9" ht="14.25" thickBot="1" x14ac:dyDescent="0.3">
      <c r="A33" s="253"/>
      <c r="B33" s="254"/>
      <c r="C33" s="255"/>
      <c r="D33" s="255"/>
      <c r="E33" s="255"/>
      <c r="F33" s="255"/>
      <c r="G33" s="255"/>
      <c r="H33" s="255"/>
      <c r="I33" s="256"/>
    </row>
    <row r="34" spans="1:9" x14ac:dyDescent="0.2">
      <c r="A34" s="257" t="s">
        <v>40</v>
      </c>
      <c r="B34" s="258"/>
      <c r="C34" s="258"/>
      <c r="D34" s="258"/>
      <c r="E34" s="258"/>
      <c r="F34" s="258"/>
      <c r="G34" s="258"/>
      <c r="H34" s="258"/>
      <c r="I34" s="258"/>
    </row>
    <row r="35" spans="1:9" ht="13.5" x14ac:dyDescent="0.25">
      <c r="A35" s="247"/>
      <c r="B35" s="248"/>
      <c r="C35" s="248"/>
      <c r="D35" s="248"/>
      <c r="E35" s="248"/>
      <c r="F35" s="248"/>
      <c r="G35" s="248"/>
      <c r="H35" s="248"/>
      <c r="I35" s="248"/>
    </row>
    <row r="36" spans="1:9" ht="13.5" x14ac:dyDescent="0.25">
      <c r="A36" s="247"/>
      <c r="B36" s="248"/>
      <c r="C36" s="248"/>
      <c r="D36" s="248"/>
      <c r="E36" s="248"/>
      <c r="F36" s="248"/>
      <c r="G36" s="248"/>
      <c r="H36" s="248"/>
      <c r="I36" s="248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2:C22"/>
    <mergeCell ref="F22:G22"/>
    <mergeCell ref="H22:I22"/>
    <mergeCell ref="A23:C23"/>
    <mergeCell ref="F23:G23"/>
    <mergeCell ref="H23:I23"/>
    <mergeCell ref="A29:I29"/>
    <mergeCell ref="A24:C24"/>
    <mergeCell ref="F24:G24"/>
    <mergeCell ref="H24:I24"/>
    <mergeCell ref="A25:C25"/>
    <mergeCell ref="F25:G25"/>
    <mergeCell ref="H25:I25"/>
    <mergeCell ref="A26:C26"/>
    <mergeCell ref="F26:G26"/>
    <mergeCell ref="H26:I26"/>
    <mergeCell ref="A27:I27"/>
    <mergeCell ref="A28:I28"/>
    <mergeCell ref="A36:I36"/>
    <mergeCell ref="A30:I30"/>
    <mergeCell ref="A31:I31"/>
    <mergeCell ref="A32:I32"/>
    <mergeCell ref="A33:I33"/>
    <mergeCell ref="A34:I34"/>
    <mergeCell ref="A35:I3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31E93-E7AA-429F-BA28-BDF57A15F2C1}">
  <dimension ref="A1:AA91"/>
  <sheetViews>
    <sheetView topLeftCell="A34" workbookViewId="0">
      <selection activeCell="D60" sqref="D60"/>
    </sheetView>
  </sheetViews>
  <sheetFormatPr baseColWidth="10" defaultColWidth="8.42578125" defaultRowHeight="12.75" x14ac:dyDescent="0.2"/>
  <cols>
    <col min="1" max="1" width="10" style="90" bestFit="1" customWidth="1"/>
    <col min="2" max="2" width="44.28515625" style="90" bestFit="1" customWidth="1"/>
    <col min="3" max="3" width="10.42578125" style="90" bestFit="1" customWidth="1"/>
    <col min="4" max="4" width="10.42578125" style="90" customWidth="1"/>
    <col min="5" max="5" width="11" style="90" customWidth="1"/>
    <col min="6" max="6" width="9.5703125" style="90" bestFit="1" customWidth="1"/>
    <col min="7" max="7" width="10.85546875" style="172" customWidth="1"/>
    <col min="8" max="8" width="10.42578125" style="163" bestFit="1" customWidth="1"/>
    <col min="9" max="9" width="4.5703125" style="163" customWidth="1"/>
    <col min="10" max="10" width="1.85546875" style="89" customWidth="1"/>
    <col min="11" max="11" width="7" style="90" bestFit="1" customWidth="1"/>
    <col min="12" max="12" width="6.28515625" style="90" customWidth="1"/>
    <col min="13" max="13" width="20.42578125" style="90" customWidth="1"/>
    <col min="14" max="14" width="6.42578125" style="90" bestFit="1" customWidth="1"/>
    <col min="15" max="16" width="8.42578125" style="90"/>
    <col min="17" max="17" width="3.28515625" style="90" customWidth="1"/>
    <col min="18" max="16384" width="8.42578125" style="90"/>
  </cols>
  <sheetData>
    <row r="1" spans="1:10" ht="27.75" customHeight="1" x14ac:dyDescent="0.2">
      <c r="A1" s="85"/>
      <c r="B1" s="85"/>
      <c r="C1" s="85"/>
      <c r="D1" s="85"/>
      <c r="E1" s="86" t="s">
        <v>78</v>
      </c>
      <c r="F1" s="87" t="s">
        <v>79</v>
      </c>
      <c r="G1" s="87" t="s">
        <v>80</v>
      </c>
      <c r="H1" s="87" t="s">
        <v>81</v>
      </c>
      <c r="I1" s="88"/>
    </row>
    <row r="2" spans="1:10" ht="30.75" customHeight="1" x14ac:dyDescent="0.2">
      <c r="A2" s="85"/>
      <c r="B2" s="85"/>
      <c r="C2" s="85"/>
      <c r="D2" s="85"/>
      <c r="E2" s="91">
        <f>IFERROR(O62,"")</f>
        <v>605.25375000000008</v>
      </c>
      <c r="F2" s="91">
        <f>IFERROR(H53,"")</f>
        <v>335.60625000000005</v>
      </c>
      <c r="G2" s="91">
        <f>IFERROR(H54,"")</f>
        <v>92.980833333333322</v>
      </c>
      <c r="H2" s="91">
        <f>IFERROR(H56,"")</f>
        <v>85.020833333333329</v>
      </c>
      <c r="I2" s="92"/>
    </row>
    <row r="3" spans="1:10" ht="15" customHeight="1" x14ac:dyDescent="0.2">
      <c r="A3" s="85"/>
      <c r="B3" s="85"/>
      <c r="C3" s="85"/>
      <c r="D3" s="85"/>
      <c r="E3" s="85"/>
      <c r="F3" s="93"/>
      <c r="G3" s="93"/>
      <c r="H3" s="93"/>
      <c r="I3" s="93"/>
    </row>
    <row r="4" spans="1:10" ht="24.75" customHeight="1" thickBot="1" x14ac:dyDescent="0.25">
      <c r="A4" s="260"/>
      <c r="B4" s="260"/>
      <c r="C4" s="260"/>
      <c r="D4" s="260"/>
      <c r="E4" s="260"/>
      <c r="F4" s="260"/>
      <c r="G4" s="260"/>
      <c r="H4" s="260"/>
      <c r="I4" s="94"/>
    </row>
    <row r="5" spans="1:10" ht="19.5" customHeight="1" thickBot="1" x14ac:dyDescent="0.25">
      <c r="A5" s="261" t="s">
        <v>82</v>
      </c>
      <c r="B5" s="262"/>
      <c r="C5" s="262"/>
      <c r="D5" s="262"/>
      <c r="E5" s="262"/>
      <c r="F5" s="262"/>
      <c r="G5" s="262"/>
      <c r="H5" s="263"/>
      <c r="I5" s="95"/>
    </row>
    <row r="6" spans="1:10" ht="19.5" thickBot="1" x14ac:dyDescent="0.25">
      <c r="A6" s="95"/>
      <c r="B6" s="95"/>
      <c r="C6" s="95"/>
      <c r="D6" s="95"/>
      <c r="E6" s="95"/>
      <c r="F6" s="264" t="s">
        <v>83</v>
      </c>
      <c r="G6" s="264"/>
      <c r="H6" s="96">
        <f ca="1">TODAY()</f>
        <v>45891</v>
      </c>
      <c r="I6" s="96"/>
    </row>
    <row r="7" spans="1:10" ht="26.25" hidden="1" thickBot="1" x14ac:dyDescent="0.25">
      <c r="A7" s="97" t="s">
        <v>84</v>
      </c>
      <c r="B7" s="98" t="s">
        <v>85</v>
      </c>
      <c r="C7" s="98" t="s">
        <v>84</v>
      </c>
      <c r="D7" s="99" t="s">
        <v>86</v>
      </c>
      <c r="E7" s="99" t="s">
        <v>87</v>
      </c>
      <c r="F7" s="99" t="s">
        <v>88</v>
      </c>
      <c r="G7" s="99" t="s">
        <v>89</v>
      </c>
      <c r="H7" s="100" t="s">
        <v>90</v>
      </c>
      <c r="I7" s="101"/>
    </row>
    <row r="8" spans="1:10" ht="14.25" hidden="1" thickBot="1" x14ac:dyDescent="0.3">
      <c r="A8" s="102"/>
      <c r="B8" s="90" t="str">
        <f>IFERROR(VLOOKUP(H8,'[1]Consolidado MP Planta'!$A$2:$M$823,3,0),"")</f>
        <v/>
      </c>
      <c r="C8" s="103">
        <f>+A8</f>
        <v>0</v>
      </c>
      <c r="D8" s="104" t="str">
        <f>IFERROR(VLOOKUP(H8,'[1]Consolidado MP Planta'!$A$2:$M$823,13,0),"")</f>
        <v/>
      </c>
      <c r="E8" s="104" t="str">
        <f>IFERROR(VLOOKUP(H8,'[1]Consolidado MP Planta'!$A$2:$M$823,12,0),"")</f>
        <v/>
      </c>
      <c r="F8" s="104" t="str">
        <f>IFERROR(C8*E8,"")</f>
        <v/>
      </c>
      <c r="G8" s="105" t="str">
        <f t="shared" ref="G8:G14" si="0">IFERROR(F8/$F$66,"")</f>
        <v/>
      </c>
      <c r="H8" s="106"/>
      <c r="I8" s="106"/>
      <c r="J8" s="107"/>
    </row>
    <row r="9" spans="1:10" ht="14.25" hidden="1" thickBot="1" x14ac:dyDescent="0.3">
      <c r="A9" s="102"/>
      <c r="B9" s="90" t="str">
        <f>IFERROR(VLOOKUP(H9,'[1]Consolidado MP Planta'!$A$2:$M$823,3,0),"")</f>
        <v/>
      </c>
      <c r="C9" s="103">
        <f t="shared" ref="C9:C14" si="1">+A9</f>
        <v>0</v>
      </c>
      <c r="D9" s="104" t="str">
        <f>IFERROR(VLOOKUP(H9,'[1]Consolidado MP Planta'!$A$2:$M$823,13,0),"")</f>
        <v/>
      </c>
      <c r="E9" s="104" t="str">
        <f>IFERROR(VLOOKUP(H9,'[1]Consolidado MP Planta'!$A$2:$M$823,12,0),"")</f>
        <v/>
      </c>
      <c r="F9" s="104" t="str">
        <f t="shared" ref="F9:F14" si="2">IFERROR(C9*E9,"")</f>
        <v/>
      </c>
      <c r="G9" s="105" t="str">
        <f t="shared" si="0"/>
        <v/>
      </c>
      <c r="H9" s="106"/>
      <c r="I9" s="106"/>
      <c r="J9" s="107"/>
    </row>
    <row r="10" spans="1:10" ht="14.25" hidden="1" thickBot="1" x14ac:dyDescent="0.3">
      <c r="A10" s="102"/>
      <c r="B10" s="90" t="str">
        <f>IFERROR(VLOOKUP(H10,'[1]Consolidado MP Planta'!$A$2:$M$823,3,0),"")</f>
        <v/>
      </c>
      <c r="C10" s="103">
        <f t="shared" si="1"/>
        <v>0</v>
      </c>
      <c r="D10" s="104" t="str">
        <f>IFERROR(VLOOKUP(H10,'[1]Consolidado MP Planta'!$A$2:$M$823,13,0),"")</f>
        <v/>
      </c>
      <c r="E10" s="104" t="str">
        <f>IFERROR(VLOOKUP(H10,'[1]Consolidado MP Planta'!$A$2:$M$823,12,0),"")</f>
        <v/>
      </c>
      <c r="F10" s="104" t="str">
        <f t="shared" si="2"/>
        <v/>
      </c>
      <c r="G10" s="105" t="str">
        <f t="shared" si="0"/>
        <v/>
      </c>
      <c r="H10" s="106"/>
      <c r="I10" s="106"/>
      <c r="J10" s="107"/>
    </row>
    <row r="11" spans="1:10" ht="14.25" hidden="1" thickBot="1" x14ac:dyDescent="0.3">
      <c r="A11" s="102"/>
      <c r="B11" s="90" t="str">
        <f>IFERROR(VLOOKUP(H11,'[1]Consolidado MP Planta'!$A$2:$M$823,3,0),"")</f>
        <v/>
      </c>
      <c r="C11" s="103">
        <f t="shared" si="1"/>
        <v>0</v>
      </c>
      <c r="D11" s="104" t="str">
        <f>IFERROR(VLOOKUP(H11,'[1]Consolidado MP Planta'!$A$2:$M$823,13,0),"")</f>
        <v/>
      </c>
      <c r="E11" s="104" t="str">
        <f>IFERROR(VLOOKUP(H11,'[1]Consolidado MP Planta'!$A$2:$M$823,12,0),"")</f>
        <v/>
      </c>
      <c r="F11" s="104" t="str">
        <f t="shared" si="2"/>
        <v/>
      </c>
      <c r="G11" s="105" t="str">
        <f t="shared" si="0"/>
        <v/>
      </c>
      <c r="H11" s="106"/>
      <c r="I11" s="106"/>
      <c r="J11" s="107"/>
    </row>
    <row r="12" spans="1:10" ht="14.25" hidden="1" thickBot="1" x14ac:dyDescent="0.3">
      <c r="A12" s="102"/>
      <c r="B12" s="90" t="str">
        <f>IFERROR(VLOOKUP(H12,'[1]Consolidado MP Planta'!$A$2:$M$823,3,0),"")</f>
        <v/>
      </c>
      <c r="C12" s="103">
        <f t="shared" si="1"/>
        <v>0</v>
      </c>
      <c r="D12" s="104" t="str">
        <f>IFERROR(VLOOKUP(H12,'[1]Consolidado MP Planta'!$A$2:$M$823,13,0),"")</f>
        <v/>
      </c>
      <c r="E12" s="104" t="str">
        <f>IFERROR(VLOOKUP(H12,'[1]Consolidado MP Planta'!$A$2:$M$823,12,0),"")</f>
        <v/>
      </c>
      <c r="F12" s="104" t="str">
        <f t="shared" si="2"/>
        <v/>
      </c>
      <c r="G12" s="105" t="str">
        <f t="shared" si="0"/>
        <v/>
      </c>
      <c r="H12" s="106"/>
      <c r="I12" s="106"/>
      <c r="J12" s="107"/>
    </row>
    <row r="13" spans="1:10" ht="14.25" hidden="1" thickBot="1" x14ac:dyDescent="0.3">
      <c r="A13" s="102"/>
      <c r="B13" s="90" t="str">
        <f>IFERROR(VLOOKUP(H13,'[1]Consolidado MP Planta'!$A$2:$M$823,3,0),"")</f>
        <v/>
      </c>
      <c r="C13" s="103">
        <f t="shared" si="1"/>
        <v>0</v>
      </c>
      <c r="D13" s="104" t="str">
        <f>IFERROR(VLOOKUP(H13,'[1]Consolidado MP Planta'!$A$2:$M$823,13,0),"")</f>
        <v/>
      </c>
      <c r="E13" s="104" t="str">
        <f>IFERROR(VLOOKUP(H13,'[1]Consolidado MP Planta'!$A$2:$M$823,12,0),"")</f>
        <v/>
      </c>
      <c r="F13" s="104" t="str">
        <f t="shared" si="2"/>
        <v/>
      </c>
      <c r="G13" s="105" t="str">
        <f t="shared" si="0"/>
        <v/>
      </c>
      <c r="H13" s="106"/>
      <c r="I13" s="106"/>
      <c r="J13" s="107"/>
    </row>
    <row r="14" spans="1:10" ht="14.25" hidden="1" thickBot="1" x14ac:dyDescent="0.3">
      <c r="A14" s="102"/>
      <c r="B14" s="90" t="str">
        <f>IFERROR(VLOOKUP(H14,'[1]Consolidado MP Planta'!$A$2:$M$823,3,0),"")</f>
        <v/>
      </c>
      <c r="C14" s="103">
        <f t="shared" si="1"/>
        <v>0</v>
      </c>
      <c r="D14" s="104" t="str">
        <f>IFERROR(VLOOKUP(H14,'[1]Consolidado MP Planta'!$A$2:$M$823,13,0),"")</f>
        <v/>
      </c>
      <c r="E14" s="104" t="str">
        <f>IFERROR(VLOOKUP(H14,'[1]Consolidado MP Planta'!$A$2:$M$823,12,0),"")</f>
        <v/>
      </c>
      <c r="F14" s="104" t="str">
        <f t="shared" si="2"/>
        <v/>
      </c>
      <c r="G14" s="105" t="str">
        <f t="shared" si="0"/>
        <v/>
      </c>
      <c r="H14" s="106"/>
      <c r="I14" s="106"/>
      <c r="J14" s="107"/>
    </row>
    <row r="15" spans="1:10" ht="14.25" hidden="1" thickBot="1" x14ac:dyDescent="0.3">
      <c r="A15" s="102"/>
      <c r="B15" s="90" t="str">
        <f>IFERROR(VLOOKUP(H15,[2]Hoja2!$A$2:$G$589,2,0),"")</f>
        <v/>
      </c>
      <c r="C15" s="103"/>
      <c r="D15" s="104"/>
      <c r="E15" s="104"/>
      <c r="F15" s="104"/>
      <c r="G15" s="105"/>
      <c r="H15" s="106"/>
      <c r="I15" s="106"/>
      <c r="J15" s="107"/>
    </row>
    <row r="16" spans="1:10" ht="26.25" thickBot="1" x14ac:dyDescent="0.25">
      <c r="A16" s="97" t="s">
        <v>84</v>
      </c>
      <c r="B16" s="98" t="s">
        <v>91</v>
      </c>
      <c r="C16" s="98" t="s">
        <v>84</v>
      </c>
      <c r="D16" s="99" t="s">
        <v>86</v>
      </c>
      <c r="E16" s="99" t="s">
        <v>87</v>
      </c>
      <c r="F16" s="99" t="s">
        <v>88</v>
      </c>
      <c r="G16" s="99" t="s">
        <v>89</v>
      </c>
      <c r="H16" s="100" t="s">
        <v>90</v>
      </c>
      <c r="I16" s="101"/>
      <c r="J16" s="107"/>
    </row>
    <row r="17" spans="1:27" ht="13.5" x14ac:dyDescent="0.25">
      <c r="A17" s="102">
        <v>100</v>
      </c>
      <c r="B17" s="90" t="s">
        <v>62</v>
      </c>
      <c r="C17" s="103">
        <f>+A17</f>
        <v>100</v>
      </c>
      <c r="D17" s="103" t="s">
        <v>130</v>
      </c>
      <c r="E17" s="104">
        <f>+'Costo Granola '!E71</f>
        <v>3.3560625000000002</v>
      </c>
      <c r="F17" s="104">
        <f>IFERROR(E17*C17,"")</f>
        <v>335.60625000000005</v>
      </c>
      <c r="G17" s="105">
        <f t="shared" ref="G17:G24" si="3">IFERROR(F17/$F$66,"")</f>
        <v>0.65509812340298212</v>
      </c>
      <c r="H17" s="106"/>
      <c r="I17" s="106"/>
      <c r="J17" s="107"/>
    </row>
    <row r="18" spans="1:27" ht="13.5" hidden="1" x14ac:dyDescent="0.25">
      <c r="A18" s="102"/>
      <c r="B18" s="90" t="str">
        <f>IFERROR(VLOOKUP(H18,[1]SEMIELABORADOS!$A$2:$M$6000,2,0),"")</f>
        <v/>
      </c>
      <c r="C18" s="103">
        <f t="shared" ref="C18:C24" si="4">+A18</f>
        <v>0</v>
      </c>
      <c r="D18" s="103" t="str">
        <f>IFERROR(VLOOKUP(H18,[1]SEMIELABORADOS!$A$2:$M$6000,6,0),"")</f>
        <v/>
      </c>
      <c r="E18" s="104" t="str">
        <f>IFERROR(VLOOKUP(H18,[1]SEMIELABORADOS!$A$2:$H$65536,8,0),"")</f>
        <v/>
      </c>
      <c r="F18" s="104" t="str">
        <f t="shared" ref="F18:F24" si="5">IFERROR(E18*C18,"")</f>
        <v/>
      </c>
      <c r="G18" s="105" t="str">
        <f t="shared" si="3"/>
        <v/>
      </c>
      <c r="H18" s="106"/>
      <c r="I18" s="106"/>
      <c r="J18" s="107"/>
    </row>
    <row r="19" spans="1:27" ht="13.5" hidden="1" x14ac:dyDescent="0.25">
      <c r="A19" s="102"/>
      <c r="B19" s="90" t="str">
        <f>IFERROR(VLOOKUP(H19,[1]SEMIELABORADOS!$A$2:$M$6000,2,0),"")</f>
        <v/>
      </c>
      <c r="C19" s="103">
        <f>+A19</f>
        <v>0</v>
      </c>
      <c r="D19" s="103" t="str">
        <f>IFERROR(VLOOKUP(H19,[1]SEMIELABORADOS!$A$2:$M$6000,6,0),"")</f>
        <v/>
      </c>
      <c r="E19" s="104" t="str">
        <f>IFERROR(VLOOKUP(H19,[1]SEMIELABORADOS!$A$2:$H$65536,8,0),"")</f>
        <v/>
      </c>
      <c r="F19" s="104" t="str">
        <f>IFERROR(E19*C19,"")</f>
        <v/>
      </c>
      <c r="G19" s="105" t="str">
        <f t="shared" si="3"/>
        <v/>
      </c>
      <c r="H19" s="106"/>
      <c r="I19" s="106"/>
      <c r="J19" s="107"/>
    </row>
    <row r="20" spans="1:27" ht="13.5" hidden="1" x14ac:dyDescent="0.25">
      <c r="A20" s="102"/>
      <c r="B20" s="90" t="str">
        <f>IFERROR(VLOOKUP(H20,[1]SEMIELABORADOS!$A$2:$M$6000,2,0),"")</f>
        <v/>
      </c>
      <c r="C20" s="103">
        <f>+A20</f>
        <v>0</v>
      </c>
      <c r="D20" s="103" t="str">
        <f>IFERROR(VLOOKUP(H20,[1]SEMIELABORADOS!$A$2:$M$6000,6,0),"")</f>
        <v/>
      </c>
      <c r="E20" s="104" t="str">
        <f>IFERROR(VLOOKUP(H20,[1]SEMIELABORADOS!$A$2:$H$65536,8,0),"")</f>
        <v/>
      </c>
      <c r="F20" s="104" t="str">
        <f>IFERROR(E20*C20,"")</f>
        <v/>
      </c>
      <c r="G20" s="105" t="str">
        <f t="shared" si="3"/>
        <v/>
      </c>
      <c r="H20" s="106"/>
      <c r="I20" s="106"/>
      <c r="J20" s="107"/>
    </row>
    <row r="21" spans="1:27" ht="13.5" hidden="1" x14ac:dyDescent="0.25">
      <c r="A21" s="102"/>
      <c r="B21" s="90" t="str">
        <f>IFERROR(VLOOKUP(H21,[1]SEMIELABORADOS!$A$2:$M$6000,2,0),"")</f>
        <v/>
      </c>
      <c r="C21" s="103">
        <f>+A21</f>
        <v>0</v>
      </c>
      <c r="D21" s="103" t="str">
        <f>IFERROR(VLOOKUP(H21,[1]SEMIELABORADOS!$A$2:$M$6000,6,0),"")</f>
        <v/>
      </c>
      <c r="E21" s="104" t="str">
        <f>IFERROR(VLOOKUP(H21,[1]SEMIELABORADOS!$A$2:$H$65536,8,0),"")</f>
        <v/>
      </c>
      <c r="F21" s="104" t="str">
        <f>IFERROR(E21*C21,"")</f>
        <v/>
      </c>
      <c r="G21" s="105" t="str">
        <f t="shared" si="3"/>
        <v/>
      </c>
      <c r="H21" s="106"/>
      <c r="I21" s="106"/>
      <c r="J21" s="107"/>
    </row>
    <row r="22" spans="1:27" ht="13.5" hidden="1" x14ac:dyDescent="0.25">
      <c r="A22" s="102"/>
      <c r="B22" s="90" t="str">
        <f>IFERROR(VLOOKUP(H22,[1]SEMIELABORADOS!$A$2:$M$6000,2,0),"")</f>
        <v/>
      </c>
      <c r="C22" s="103">
        <f t="shared" si="4"/>
        <v>0</v>
      </c>
      <c r="D22" s="103" t="str">
        <f>IFERROR(VLOOKUP(H22,[1]SEMIELABORADOS!$A$2:$M$6000,6,0),"")</f>
        <v/>
      </c>
      <c r="E22" s="104" t="str">
        <f>IFERROR(VLOOKUP(H22,[1]SEMIELABORADOS!$A$2:$H$65536,8,0),"")</f>
        <v/>
      </c>
      <c r="F22" s="104" t="str">
        <f t="shared" si="5"/>
        <v/>
      </c>
      <c r="G22" s="105" t="str">
        <f t="shared" si="3"/>
        <v/>
      </c>
      <c r="H22" s="106"/>
      <c r="I22" s="106"/>
      <c r="J22" s="107"/>
    </row>
    <row r="23" spans="1:27" ht="13.5" hidden="1" x14ac:dyDescent="0.25">
      <c r="A23" s="102"/>
      <c r="B23" s="90" t="str">
        <f>IFERROR(VLOOKUP(H23,[1]SEMIELABORADOS!$A$2:$M$6000,2,0),"")</f>
        <v/>
      </c>
      <c r="C23" s="103">
        <f t="shared" si="4"/>
        <v>0</v>
      </c>
      <c r="D23" s="103" t="str">
        <f>IFERROR(VLOOKUP(H23,[1]SEMIELABORADOS!$A$2:$M$6000,6,0),"")</f>
        <v/>
      </c>
      <c r="E23" s="104" t="str">
        <f>IFERROR(VLOOKUP(H23,[1]SEMIELABORADOS!$A$2:$H$65536,8,0),"")</f>
        <v/>
      </c>
      <c r="F23" s="104" t="str">
        <f t="shared" si="5"/>
        <v/>
      </c>
      <c r="G23" s="105" t="str">
        <f t="shared" si="3"/>
        <v/>
      </c>
      <c r="H23" s="106"/>
      <c r="I23" s="106"/>
      <c r="J23" s="107"/>
    </row>
    <row r="24" spans="1:27" ht="13.5" hidden="1" x14ac:dyDescent="0.25">
      <c r="A24" s="102"/>
      <c r="B24" s="90" t="str">
        <f>IFERROR(VLOOKUP(H24,[1]SEMIELABORADOS!$A$2:$M$6000,2,0),"")</f>
        <v/>
      </c>
      <c r="C24" s="103">
        <f t="shared" si="4"/>
        <v>0</v>
      </c>
      <c r="D24" s="103" t="str">
        <f>IFERROR(VLOOKUP(H24,[1]SEMIELABORADOS!$A$2:$M$6000,6,0),"")</f>
        <v/>
      </c>
      <c r="E24" s="104" t="str">
        <f>IFERROR(VLOOKUP(H24,[1]SEMIELABORADOS!$A$2:$H$65536,8,0),"")</f>
        <v/>
      </c>
      <c r="F24" s="104" t="str">
        <f t="shared" si="5"/>
        <v/>
      </c>
      <c r="G24" s="105" t="str">
        <f t="shared" si="3"/>
        <v/>
      </c>
      <c r="H24" s="106"/>
      <c r="I24" s="106"/>
      <c r="J24" s="107"/>
    </row>
    <row r="25" spans="1:27" ht="14.25" thickBot="1" x14ac:dyDescent="0.3">
      <c r="A25" s="102"/>
      <c r="C25" s="103"/>
      <c r="D25" s="103"/>
      <c r="E25" s="104"/>
      <c r="F25" s="104"/>
      <c r="G25" s="105"/>
      <c r="H25" s="106"/>
      <c r="I25" s="106"/>
      <c r="J25" s="107"/>
    </row>
    <row r="26" spans="1:27" ht="26.25" thickBot="1" x14ac:dyDescent="0.25">
      <c r="A26" s="97" t="s">
        <v>84</v>
      </c>
      <c r="B26" s="98" t="s">
        <v>92</v>
      </c>
      <c r="C26" s="98" t="s">
        <v>84</v>
      </c>
      <c r="D26" s="99" t="s">
        <v>86</v>
      </c>
      <c r="E26" s="99" t="s">
        <v>87</v>
      </c>
      <c r="F26" s="99" t="s">
        <v>88</v>
      </c>
      <c r="G26" s="99" t="s">
        <v>89</v>
      </c>
      <c r="H26" s="100" t="s">
        <v>90</v>
      </c>
      <c r="I26" s="101"/>
    </row>
    <row r="27" spans="1:27" ht="13.5" x14ac:dyDescent="0.25">
      <c r="A27" s="102">
        <v>1</v>
      </c>
      <c r="B27" s="108" t="s">
        <v>72</v>
      </c>
      <c r="C27" s="103">
        <f t="shared" ref="C27:C32" si="6">+A27</f>
        <v>1</v>
      </c>
      <c r="D27" s="104" t="s">
        <v>131</v>
      </c>
      <c r="E27" s="104">
        <v>89.1</v>
      </c>
      <c r="F27" s="104">
        <f t="shared" ref="F27:F32" si="7">IFERROR(C27*E27,"")</f>
        <v>89.1</v>
      </c>
      <c r="G27" s="105">
        <f t="shared" ref="G27:G32" si="8">IFERROR(F27/$F$66,"")</f>
        <v>0.17392179911788203</v>
      </c>
      <c r="H27" s="109" t="s">
        <v>63</v>
      </c>
      <c r="I27" s="109"/>
      <c r="J27" s="107"/>
      <c r="K27" s="259"/>
      <c r="L27" s="259"/>
      <c r="M27" s="90">
        <v>2.2000000000000002</v>
      </c>
    </row>
    <row r="28" spans="1:27" ht="13.5" x14ac:dyDescent="0.25">
      <c r="A28" s="102">
        <v>1</v>
      </c>
      <c r="B28" s="108" t="s">
        <v>67</v>
      </c>
      <c r="C28" s="103">
        <f t="shared" si="6"/>
        <v>1</v>
      </c>
      <c r="D28" s="104" t="s">
        <v>131</v>
      </c>
      <c r="E28" s="104">
        <v>0.57999999999999996</v>
      </c>
      <c r="F28" s="104">
        <f t="shared" si="7"/>
        <v>0.57999999999999996</v>
      </c>
      <c r="G28" s="105">
        <f t="shared" si="8"/>
        <v>1.1321508809020379E-3</v>
      </c>
      <c r="H28" s="109" t="s">
        <v>66</v>
      </c>
      <c r="I28" s="109"/>
      <c r="J28" s="107"/>
      <c r="K28" s="259"/>
      <c r="L28" s="259"/>
    </row>
    <row r="29" spans="1:27" ht="13.5" x14ac:dyDescent="0.25">
      <c r="A29" s="102">
        <v>1</v>
      </c>
      <c r="B29" s="108" t="s">
        <v>70</v>
      </c>
      <c r="C29" s="103">
        <f t="shared" si="6"/>
        <v>1</v>
      </c>
      <c r="D29" s="104" t="s">
        <v>131</v>
      </c>
      <c r="E29" s="104">
        <v>0.28000000000000003</v>
      </c>
      <c r="F29" s="104">
        <f t="shared" si="7"/>
        <v>0.28000000000000003</v>
      </c>
      <c r="G29" s="105">
        <f t="shared" si="8"/>
        <v>5.4655559767684595E-4</v>
      </c>
      <c r="H29" s="109" t="s">
        <v>69</v>
      </c>
      <c r="I29" s="109"/>
      <c r="J29" s="107"/>
      <c r="K29" s="259"/>
      <c r="L29" s="259"/>
      <c r="AA29" s="90">
        <f>8910/100</f>
        <v>89.1</v>
      </c>
    </row>
    <row r="30" spans="1:27" ht="13.5" hidden="1" x14ac:dyDescent="0.25">
      <c r="A30" s="102"/>
      <c r="B30" s="108" t="str">
        <f>IFERROR(VLOOKUP(H30,'[1]Consolidado MP Planta'!$A$2:$M$823,3,0),"")</f>
        <v/>
      </c>
      <c r="C30" s="103">
        <f t="shared" si="6"/>
        <v>0</v>
      </c>
      <c r="D30" s="104" t="str">
        <f>IFERROR(VLOOKUP(H30,'[1]Consolidado MP Planta'!$A$2:$M$823,13,0),"")</f>
        <v/>
      </c>
      <c r="E30" s="104" t="str">
        <f>IFERROR(VLOOKUP(H30,'[1]Consolidado MP Planta'!$A$2:$M$823,12,0),"")</f>
        <v/>
      </c>
      <c r="F30" s="104" t="str">
        <f t="shared" si="7"/>
        <v/>
      </c>
      <c r="G30" s="105" t="str">
        <f t="shared" si="8"/>
        <v/>
      </c>
      <c r="H30" s="109"/>
      <c r="I30" s="109"/>
      <c r="J30" s="107"/>
      <c r="K30" s="259"/>
      <c r="L30" s="259"/>
    </row>
    <row r="31" spans="1:27" ht="13.5" hidden="1" x14ac:dyDescent="0.25">
      <c r="A31" s="102"/>
      <c r="B31" s="108" t="str">
        <f>IFERROR(VLOOKUP(H31,'[1]Consolidado MP Planta'!$A$2:$M$823,3,0),"")</f>
        <v/>
      </c>
      <c r="C31" s="103">
        <f t="shared" si="6"/>
        <v>0</v>
      </c>
      <c r="D31" s="104" t="str">
        <f>IFERROR(VLOOKUP(H31,'[1]Consolidado MP Planta'!$A$2:$M$823,13,0),"")</f>
        <v/>
      </c>
      <c r="E31" s="104" t="str">
        <f>IFERROR(VLOOKUP(H31,'[1]Consolidado MP Planta'!$A$2:$M$823,12,0),"")</f>
        <v/>
      </c>
      <c r="F31" s="104" t="str">
        <f t="shared" si="7"/>
        <v/>
      </c>
      <c r="G31" s="105" t="str">
        <f t="shared" si="8"/>
        <v/>
      </c>
      <c r="H31" s="109"/>
      <c r="I31" s="109"/>
      <c r="J31" s="107"/>
      <c r="K31" s="110"/>
      <c r="L31" s="111"/>
    </row>
    <row r="32" spans="1:27" ht="13.5" hidden="1" x14ac:dyDescent="0.25">
      <c r="A32" s="102"/>
      <c r="B32" s="108" t="str">
        <f>IFERROR(VLOOKUP(H32,'[1]Consolidado MP Planta'!$A$2:$M$823,3,0),"")</f>
        <v/>
      </c>
      <c r="C32" s="103">
        <f t="shared" si="6"/>
        <v>0</v>
      </c>
      <c r="D32" s="104" t="str">
        <f>IFERROR(VLOOKUP(H32,'[1]Consolidado MP Planta'!$A$2:$M$823,13,0),"")</f>
        <v/>
      </c>
      <c r="E32" s="104" t="str">
        <f>IFERROR(VLOOKUP(H32,'[1]Consolidado MP Planta'!$A$2:$M$823,12,0),"")</f>
        <v/>
      </c>
      <c r="F32" s="104" t="str">
        <f t="shared" si="7"/>
        <v/>
      </c>
      <c r="G32" s="105" t="str">
        <f t="shared" si="8"/>
        <v/>
      </c>
      <c r="H32" s="109"/>
      <c r="I32" s="109"/>
      <c r="J32" s="107"/>
    </row>
    <row r="33" spans="1:13" ht="14.25" thickBot="1" x14ac:dyDescent="0.3">
      <c r="A33" s="102"/>
      <c r="B33" s="108"/>
      <c r="C33" s="103"/>
      <c r="D33" s="104"/>
      <c r="E33" s="104"/>
      <c r="F33" s="104"/>
      <c r="G33" s="105"/>
      <c r="H33" s="109"/>
      <c r="I33" s="109"/>
      <c r="J33" s="107"/>
    </row>
    <row r="34" spans="1:13" ht="26.25" thickBot="1" x14ac:dyDescent="0.25">
      <c r="A34" s="97" t="s">
        <v>84</v>
      </c>
      <c r="B34" s="98" t="s">
        <v>93</v>
      </c>
      <c r="C34" s="98" t="s">
        <v>84</v>
      </c>
      <c r="D34" s="99" t="s">
        <v>86</v>
      </c>
      <c r="E34" s="99" t="s">
        <v>87</v>
      </c>
      <c r="F34" s="99" t="s">
        <v>88</v>
      </c>
      <c r="G34" s="99" t="s">
        <v>89</v>
      </c>
      <c r="H34" s="100" t="s">
        <v>90</v>
      </c>
      <c r="I34" s="109"/>
      <c r="J34" s="107"/>
    </row>
    <row r="35" spans="1:13" ht="13.5" x14ac:dyDescent="0.25">
      <c r="A35" s="102">
        <f>+A17</f>
        <v>100</v>
      </c>
      <c r="B35" s="90" t="s">
        <v>62</v>
      </c>
      <c r="C35" s="103">
        <f>+A35</f>
        <v>100</v>
      </c>
      <c r="D35" s="104" t="s">
        <v>130</v>
      </c>
      <c r="E35" s="104">
        <f>+'Costo Granola '!E78</f>
        <v>3.0208333333333334E-2</v>
      </c>
      <c r="F35" s="104">
        <f>IFERROR(E35*C35,"")</f>
        <v>3.0208333333333335</v>
      </c>
      <c r="G35" s="105">
        <f t="shared" ref="G35:G41" si="9">IFERROR(F35/$F$66,"")</f>
        <v>5.8966191713647814E-3</v>
      </c>
      <c r="H35" s="109"/>
      <c r="I35" s="109"/>
      <c r="J35" s="107"/>
    </row>
    <row r="36" spans="1:13" ht="13.5" hidden="1" x14ac:dyDescent="0.25">
      <c r="A36" s="102">
        <f t="shared" ref="A36:A41" si="10">+A18</f>
        <v>0</v>
      </c>
      <c r="B36" s="108" t="str">
        <f>IFERROR(VLOOKUP(H36,[1]SEMIELABORADOS!$A$2:$M$6000,2,0),"")</f>
        <v/>
      </c>
      <c r="C36" s="103">
        <f t="shared" ref="C36:C41" si="11">+A36</f>
        <v>0</v>
      </c>
      <c r="D36" s="104" t="str">
        <f>IFERROR(VLOOKUP(H36,[1]SEMIELABORADOS!$A$2:$M$6000,6,0),"")</f>
        <v/>
      </c>
      <c r="E36" s="104" t="str">
        <f>IFERROR(VLOOKUP(H36,[1]SEMIELABORADOS!$A$2:$M$65536,10,0),"")</f>
        <v/>
      </c>
      <c r="F36" s="104" t="str">
        <f t="shared" ref="F36:F41" si="12">IFERROR(E36*C36,"")</f>
        <v/>
      </c>
      <c r="G36" s="105" t="str">
        <f t="shared" si="9"/>
        <v/>
      </c>
      <c r="H36" s="109"/>
      <c r="I36" s="109"/>
      <c r="J36" s="107"/>
    </row>
    <row r="37" spans="1:13" ht="13.5" hidden="1" x14ac:dyDescent="0.25">
      <c r="A37" s="102">
        <f t="shared" si="10"/>
        <v>0</v>
      </c>
      <c r="B37" s="108" t="str">
        <f>IFERROR(VLOOKUP(H37,[1]SEMIELABORADOS!$A$2:$M$6000,2,0),"")</f>
        <v/>
      </c>
      <c r="C37" s="103">
        <f t="shared" si="11"/>
        <v>0</v>
      </c>
      <c r="D37" s="104" t="str">
        <f>IFERROR(VLOOKUP(H37,[1]SEMIELABORADOS!$A$2:$M$6000,6,0),"")</f>
        <v/>
      </c>
      <c r="E37" s="104" t="str">
        <f>IFERROR(VLOOKUP(H37,[1]SEMIELABORADOS!$A$2:$M$65536,10,0),"")</f>
        <v/>
      </c>
      <c r="F37" s="104" t="str">
        <f t="shared" si="12"/>
        <v/>
      </c>
      <c r="G37" s="105" t="str">
        <f t="shared" si="9"/>
        <v/>
      </c>
      <c r="H37" s="109"/>
      <c r="I37" s="109"/>
      <c r="J37" s="107"/>
    </row>
    <row r="38" spans="1:13" ht="13.5" hidden="1" x14ac:dyDescent="0.25">
      <c r="A38" s="102">
        <f t="shared" si="10"/>
        <v>0</v>
      </c>
      <c r="B38" s="108" t="str">
        <f>IFERROR(VLOOKUP(H38,[1]SEMIELABORADOS!$A$2:$M$6000,2,0),"")</f>
        <v/>
      </c>
      <c r="C38" s="103">
        <f>+A38</f>
        <v>0</v>
      </c>
      <c r="D38" s="104" t="str">
        <f>IFERROR(VLOOKUP(H38,[1]SEMIELABORADOS!$A$2:$M$6000,6,0),"")</f>
        <v/>
      </c>
      <c r="E38" s="104" t="str">
        <f>IFERROR(VLOOKUP(H38,[1]SEMIELABORADOS!$A$2:$M$65536,10,0),"")</f>
        <v/>
      </c>
      <c r="F38" s="104" t="str">
        <f>IFERROR(E38*C38,"")</f>
        <v/>
      </c>
      <c r="G38" s="105" t="str">
        <f t="shared" si="9"/>
        <v/>
      </c>
      <c r="H38" s="109"/>
      <c r="I38" s="109"/>
      <c r="J38" s="107"/>
    </row>
    <row r="39" spans="1:13" ht="13.5" hidden="1" x14ac:dyDescent="0.25">
      <c r="A39" s="102">
        <f t="shared" si="10"/>
        <v>0</v>
      </c>
      <c r="B39" s="108" t="str">
        <f>IFERROR(VLOOKUP(H39,[1]SEMIELABORADOS!$A$2:$M$6000,2,0),"")</f>
        <v/>
      </c>
      <c r="C39" s="103">
        <f>+A39</f>
        <v>0</v>
      </c>
      <c r="D39" s="104" t="str">
        <f>IFERROR(VLOOKUP(H39,[1]SEMIELABORADOS!$A$2:$M$6000,6,0),"")</f>
        <v/>
      </c>
      <c r="E39" s="104" t="str">
        <f>IFERROR(VLOOKUP(H39,[1]SEMIELABORADOS!$A$2:$M$65536,10,0),"")</f>
        <v/>
      </c>
      <c r="F39" s="104" t="str">
        <f>IFERROR(E39*C39,"")</f>
        <v/>
      </c>
      <c r="G39" s="105" t="str">
        <f t="shared" si="9"/>
        <v/>
      </c>
      <c r="H39" s="109"/>
      <c r="I39" s="109"/>
      <c r="J39" s="107"/>
    </row>
    <row r="40" spans="1:13" ht="13.5" hidden="1" x14ac:dyDescent="0.25">
      <c r="A40" s="102">
        <f t="shared" si="10"/>
        <v>0</v>
      </c>
      <c r="B40" s="108" t="str">
        <f>IFERROR(VLOOKUP(H40,[1]SEMIELABORADOS!$A$2:$M$6000,2,0),"")</f>
        <v/>
      </c>
      <c r="C40" s="103">
        <f t="shared" si="11"/>
        <v>0</v>
      </c>
      <c r="D40" s="104" t="str">
        <f>IFERROR(VLOOKUP(H40,[1]SEMIELABORADOS!$A$2:$M$6000,6,0),"")</f>
        <v/>
      </c>
      <c r="E40" s="104" t="str">
        <f>IFERROR(VLOOKUP(H40,[1]SEMIELABORADOS!$A$2:$M$65536,10,0),"")</f>
        <v/>
      </c>
      <c r="F40" s="104" t="str">
        <f t="shared" si="12"/>
        <v/>
      </c>
      <c r="G40" s="105" t="str">
        <f t="shared" si="9"/>
        <v/>
      </c>
      <c r="H40" s="109"/>
      <c r="I40" s="109"/>
      <c r="J40" s="107"/>
    </row>
    <row r="41" spans="1:13" ht="13.5" hidden="1" x14ac:dyDescent="0.25">
      <c r="A41" s="102">
        <f t="shared" si="10"/>
        <v>0</v>
      </c>
      <c r="B41" s="108" t="str">
        <f>IFERROR(VLOOKUP(H41,[1]SEMIELABORADOS!$A$2:$M$6000,2,0),"")</f>
        <v/>
      </c>
      <c r="C41" s="103">
        <f t="shared" si="11"/>
        <v>0</v>
      </c>
      <c r="D41" s="104" t="str">
        <f>IFERROR(VLOOKUP(H41,[1]SEMIELABORADOS!$A$2:$M$6000,6,0),"")</f>
        <v/>
      </c>
      <c r="E41" s="104" t="str">
        <f>IFERROR(VLOOKUP(H41,[1]SEMIELABORADOS!$A$2:$M$65536,10,0),"")</f>
        <v/>
      </c>
      <c r="F41" s="104" t="str">
        <f t="shared" si="12"/>
        <v/>
      </c>
      <c r="G41" s="105" t="str">
        <f t="shared" si="9"/>
        <v/>
      </c>
      <c r="H41" s="109"/>
      <c r="I41" s="109"/>
      <c r="J41" s="107"/>
    </row>
    <row r="42" spans="1:13" ht="14.25" thickBot="1" x14ac:dyDescent="0.3">
      <c r="A42" s="102"/>
      <c r="B42" s="108"/>
      <c r="C42" s="103"/>
      <c r="D42" s="104"/>
      <c r="E42" s="104"/>
      <c r="F42" s="104"/>
      <c r="G42" s="105"/>
      <c r="H42" s="109"/>
      <c r="I42" s="109"/>
      <c r="J42" s="107"/>
    </row>
    <row r="43" spans="1:13" ht="26.25" thickBot="1" x14ac:dyDescent="0.25">
      <c r="A43" s="97" t="s">
        <v>84</v>
      </c>
      <c r="B43" s="98" t="s">
        <v>94</v>
      </c>
      <c r="C43" s="98" t="s">
        <v>84</v>
      </c>
      <c r="D43" s="99" t="s">
        <v>86</v>
      </c>
      <c r="E43" s="99" t="s">
        <v>87</v>
      </c>
      <c r="F43" s="99" t="s">
        <v>88</v>
      </c>
      <c r="G43" s="99" t="s">
        <v>89</v>
      </c>
      <c r="H43" s="100" t="s">
        <v>90</v>
      </c>
      <c r="I43" s="101"/>
      <c r="J43" s="107"/>
    </row>
    <row r="44" spans="1:13" ht="13.5" x14ac:dyDescent="0.25">
      <c r="A44" s="102">
        <f>+A35</f>
        <v>100</v>
      </c>
      <c r="B44" s="90" t="s">
        <v>62</v>
      </c>
      <c r="C44" s="103">
        <f>+A44</f>
        <v>100</v>
      </c>
      <c r="D44" s="104" t="s">
        <v>130</v>
      </c>
      <c r="E44" s="104">
        <f>+'Costo Granola '!E76</f>
        <v>8.020833333333334E-2</v>
      </c>
      <c r="F44" s="104">
        <f>IFERROR(E44*C44,"")</f>
        <v>8.0208333333333339</v>
      </c>
      <c r="G44" s="105">
        <f>IFERROR(F44/$F$66,"")</f>
        <v>1.5656540558451316E-2</v>
      </c>
      <c r="H44" s="109"/>
      <c r="I44" s="101"/>
      <c r="J44" s="107"/>
    </row>
    <row r="45" spans="1:13" ht="13.5" hidden="1" x14ac:dyDescent="0.25">
      <c r="A45" s="102">
        <f t="shared" ref="A45:A50" si="13">+A36</f>
        <v>0</v>
      </c>
      <c r="B45" s="108" t="str">
        <f>IFERROR(VLOOKUP(H45,[1]SEMIELABORADOS!$A$2:$M$6000,2,0),"")</f>
        <v/>
      </c>
      <c r="C45" s="103">
        <f t="shared" ref="C45:C50" si="14">+A45</f>
        <v>0</v>
      </c>
      <c r="D45" s="104" t="str">
        <f>IFERROR(VLOOKUP(H45,[1]SEMIELABORADOS!$A$2:$M$6000,6,0),"")</f>
        <v/>
      </c>
      <c r="E45" s="104" t="str">
        <f>IFERROR(VLOOKUP(H45,[1]SEMIELABORADOS!$A$2:$M$65536,12,0),"")</f>
        <v/>
      </c>
      <c r="F45" s="104" t="str">
        <f t="shared" ref="F45:F50" si="15">IFERROR(E45*C45,"")</f>
        <v/>
      </c>
      <c r="G45" s="105" t="str">
        <f t="shared" ref="G45:G50" si="16">IFERROR(F45/$F$66,"")</f>
        <v/>
      </c>
      <c r="H45" s="109"/>
      <c r="I45" s="101"/>
      <c r="J45" s="107"/>
      <c r="M45" s="112"/>
    </row>
    <row r="46" spans="1:13" ht="13.5" hidden="1" x14ac:dyDescent="0.25">
      <c r="A46" s="102">
        <f t="shared" si="13"/>
        <v>0</v>
      </c>
      <c r="B46" s="108" t="str">
        <f>IFERROR(VLOOKUP(H46,[1]SEMIELABORADOS!$A$2:$M$6000,2,0),"")</f>
        <v/>
      </c>
      <c r="C46" s="103">
        <f t="shared" si="14"/>
        <v>0</v>
      </c>
      <c r="D46" s="104" t="str">
        <f>IFERROR(VLOOKUP(H46,[1]SEMIELABORADOS!$A$2:$M$6000,6,0),"")</f>
        <v/>
      </c>
      <c r="E46" s="104" t="str">
        <f>IFERROR(VLOOKUP(H46,[1]SEMIELABORADOS!$A$2:$M$65536,12,0),"")</f>
        <v/>
      </c>
      <c r="F46" s="104" t="str">
        <f t="shared" si="15"/>
        <v/>
      </c>
      <c r="G46" s="105" t="str">
        <f t="shared" si="16"/>
        <v/>
      </c>
      <c r="H46" s="109"/>
      <c r="I46" s="101"/>
      <c r="J46" s="107"/>
    </row>
    <row r="47" spans="1:13" ht="13.5" hidden="1" x14ac:dyDescent="0.25">
      <c r="A47" s="102">
        <f t="shared" si="13"/>
        <v>0</v>
      </c>
      <c r="B47" s="108" t="str">
        <f>IFERROR(VLOOKUP(H47,[1]SEMIELABORADOS!$A$2:$M$6000,2,0),"")</f>
        <v/>
      </c>
      <c r="C47" s="103">
        <f t="shared" si="14"/>
        <v>0</v>
      </c>
      <c r="D47" s="104" t="str">
        <f>IFERROR(VLOOKUP(H47,[1]SEMIELABORADOS!$A$2:$M$6000,6,0),"")</f>
        <v/>
      </c>
      <c r="E47" s="104" t="str">
        <f>IFERROR(VLOOKUP(H47,[1]SEMIELABORADOS!$A$2:$M$65536,12,0),"")</f>
        <v/>
      </c>
      <c r="F47" s="104" t="str">
        <f t="shared" si="15"/>
        <v/>
      </c>
      <c r="G47" s="105" t="str">
        <f t="shared" si="16"/>
        <v/>
      </c>
      <c r="H47" s="109"/>
      <c r="I47" s="101"/>
      <c r="J47" s="107"/>
    </row>
    <row r="48" spans="1:13" ht="13.5" hidden="1" x14ac:dyDescent="0.25">
      <c r="A48" s="102">
        <f t="shared" si="13"/>
        <v>0</v>
      </c>
      <c r="B48" s="108" t="str">
        <f>IFERROR(VLOOKUP(H48,[1]SEMIELABORADOS!$A$2:$M$6000,2,0),"")</f>
        <v/>
      </c>
      <c r="C48" s="103">
        <f t="shared" si="14"/>
        <v>0</v>
      </c>
      <c r="D48" s="104" t="str">
        <f>IFERROR(VLOOKUP(H48,[1]SEMIELABORADOS!$A$2:$M$6000,6,0),"")</f>
        <v/>
      </c>
      <c r="E48" s="104" t="str">
        <f>IFERROR(VLOOKUP(H48,[1]SEMIELABORADOS!$A$2:$M$65536,12,0),"")</f>
        <v/>
      </c>
      <c r="F48" s="104" t="str">
        <f t="shared" si="15"/>
        <v/>
      </c>
      <c r="G48" s="105" t="str">
        <f t="shared" si="16"/>
        <v/>
      </c>
      <c r="H48" s="109"/>
      <c r="I48" s="101"/>
      <c r="J48" s="107"/>
    </row>
    <row r="49" spans="1:17" ht="13.5" hidden="1" x14ac:dyDescent="0.25">
      <c r="A49" s="102">
        <f t="shared" si="13"/>
        <v>0</v>
      </c>
      <c r="B49" s="108" t="str">
        <f>IFERROR(VLOOKUP(H49,[1]SEMIELABORADOS!$A$2:$M$6000,2,0),"")</f>
        <v/>
      </c>
      <c r="C49" s="103">
        <f t="shared" si="14"/>
        <v>0</v>
      </c>
      <c r="D49" s="104" t="str">
        <f>IFERROR(VLOOKUP(H49,[1]SEMIELABORADOS!$A$2:$M$6000,6,0),"")</f>
        <v/>
      </c>
      <c r="E49" s="104" t="str">
        <f>IFERROR(VLOOKUP(H49,[1]SEMIELABORADOS!$A$2:$M$65536,12,0),"")</f>
        <v/>
      </c>
      <c r="F49" s="104" t="str">
        <f t="shared" si="15"/>
        <v/>
      </c>
      <c r="G49" s="105" t="str">
        <f t="shared" si="16"/>
        <v/>
      </c>
      <c r="H49" s="109"/>
      <c r="I49" s="101"/>
      <c r="J49" s="107"/>
    </row>
    <row r="50" spans="1:17" ht="13.5" hidden="1" x14ac:dyDescent="0.25">
      <c r="A50" s="102">
        <f t="shared" si="13"/>
        <v>0</v>
      </c>
      <c r="B50" s="108" t="str">
        <f>IFERROR(VLOOKUP(H50,[1]SEMIELABORADOS!$A$2:$M$6000,2,0),"")</f>
        <v/>
      </c>
      <c r="C50" s="103">
        <f t="shared" si="14"/>
        <v>0</v>
      </c>
      <c r="D50" s="104" t="str">
        <f>IFERROR(VLOOKUP(H50,[1]SEMIELABORADOS!$A$2:$M$6000,6,0),"")</f>
        <v/>
      </c>
      <c r="E50" s="104" t="str">
        <f>IFERROR(VLOOKUP(H50,[1]SEMIELABORADOS!$A$2:$M$65536,12,0),"")</f>
        <v/>
      </c>
      <c r="F50" s="104" t="str">
        <f t="shared" si="15"/>
        <v/>
      </c>
      <c r="G50" s="105" t="str">
        <f t="shared" si="16"/>
        <v/>
      </c>
      <c r="H50" s="108"/>
      <c r="I50" s="101"/>
      <c r="J50" s="107"/>
    </row>
    <row r="51" spans="1:17" ht="13.5" x14ac:dyDescent="0.25">
      <c r="A51" s="102">
        <v>1</v>
      </c>
      <c r="B51" s="108" t="s">
        <v>95</v>
      </c>
      <c r="C51" s="103">
        <f>+A51</f>
        <v>1</v>
      </c>
      <c r="D51" s="103" t="s">
        <v>96</v>
      </c>
      <c r="E51" s="104">
        <f>+F65</f>
        <v>77</v>
      </c>
      <c r="F51" s="104">
        <f>IFERROR(C51*E51,"")</f>
        <v>77</v>
      </c>
      <c r="G51" s="105">
        <f>IFERROR(F51/$F$66,"")</f>
        <v>0.15030278936113262</v>
      </c>
      <c r="H51" s="113"/>
      <c r="I51" s="113"/>
      <c r="J51" s="107"/>
    </row>
    <row r="52" spans="1:17" ht="14.25" thickBot="1" x14ac:dyDescent="0.3">
      <c r="A52" s="102"/>
      <c r="B52" s="108"/>
      <c r="C52" s="103"/>
      <c r="D52" s="103"/>
      <c r="E52" s="104"/>
      <c r="F52" s="104"/>
      <c r="G52" s="105"/>
      <c r="H52" s="113"/>
      <c r="I52" s="113"/>
      <c r="J52" s="107"/>
    </row>
    <row r="53" spans="1:17" ht="13.5" thickBot="1" x14ac:dyDescent="0.25">
      <c r="A53" s="114"/>
      <c r="B53" s="269" t="s">
        <v>97</v>
      </c>
      <c r="C53" s="269"/>
      <c r="D53" s="269"/>
      <c r="E53" s="269"/>
      <c r="F53" s="116">
        <f>SUM(F8:F14,F17:F24)</f>
        <v>335.60625000000005</v>
      </c>
      <c r="G53" s="105">
        <f>+F53/$F$66</f>
        <v>0.65509812340298212</v>
      </c>
      <c r="H53" s="117">
        <f>+F53/$D$60</f>
        <v>335.60625000000005</v>
      </c>
      <c r="I53" s="117"/>
      <c r="J53" s="118"/>
      <c r="K53" s="119"/>
      <c r="L53" s="119"/>
      <c r="M53" s="119"/>
      <c r="N53" s="119"/>
      <c r="O53" s="119"/>
      <c r="P53" s="119"/>
      <c r="Q53" s="120"/>
    </row>
    <row r="54" spans="1:17" x14ac:dyDescent="0.2">
      <c r="A54" s="114"/>
      <c r="B54" s="269" t="s">
        <v>98</v>
      </c>
      <c r="C54" s="269"/>
      <c r="D54" s="269"/>
      <c r="E54" s="269"/>
      <c r="F54" s="116">
        <f>SUM(F27:F32,F35:F41)</f>
        <v>92.980833333333322</v>
      </c>
      <c r="G54" s="105">
        <f>+F54/$F$66</f>
        <v>0.18149712476782567</v>
      </c>
      <c r="H54" s="117">
        <f>+F54/$D$60</f>
        <v>92.980833333333322</v>
      </c>
      <c r="I54" s="117"/>
      <c r="J54" s="121"/>
      <c r="K54" s="270" t="s">
        <v>99</v>
      </c>
      <c r="L54" s="271"/>
      <c r="M54" s="271"/>
      <c r="N54" s="271"/>
      <c r="O54" s="122">
        <f>+F55</f>
        <v>428.58708333333334</v>
      </c>
      <c r="P54" s="122"/>
      <c r="Q54" s="123"/>
    </row>
    <row r="55" spans="1:17" x14ac:dyDescent="0.2">
      <c r="A55" s="114"/>
      <c r="B55" s="269" t="s">
        <v>100</v>
      </c>
      <c r="C55" s="269"/>
      <c r="D55" s="269"/>
      <c r="E55" s="269"/>
      <c r="F55" s="116">
        <f>+F53+F54</f>
        <v>428.58708333333334</v>
      </c>
      <c r="G55" s="105">
        <f>+F55/$F$66</f>
        <v>0.83659524817080766</v>
      </c>
      <c r="H55" s="117">
        <f>+F55/$D$60</f>
        <v>428.58708333333334</v>
      </c>
      <c r="I55" s="117"/>
      <c r="J55" s="124"/>
      <c r="K55" s="125"/>
      <c r="M55" s="126" t="s">
        <v>101</v>
      </c>
      <c r="N55" s="127"/>
      <c r="O55" s="122">
        <f>+H56</f>
        <v>85.020833333333329</v>
      </c>
      <c r="P55" s="122"/>
      <c r="Q55" s="123"/>
    </row>
    <row r="56" spans="1:17" ht="13.5" thickBot="1" x14ac:dyDescent="0.25">
      <c r="A56" s="114"/>
      <c r="B56" s="115"/>
      <c r="C56" s="269" t="s">
        <v>102</v>
      </c>
      <c r="D56" s="269"/>
      <c r="E56" s="269"/>
      <c r="F56" s="116">
        <f>SUM(F44:F51)</f>
        <v>85.020833333333329</v>
      </c>
      <c r="G56" s="105">
        <f>+F56/$F$66</f>
        <v>0.16595932991958393</v>
      </c>
      <c r="H56" s="117">
        <f>+F56/$D$60</f>
        <v>85.020833333333329</v>
      </c>
      <c r="I56" s="117"/>
      <c r="J56" s="124"/>
      <c r="K56" s="125"/>
      <c r="L56" s="125"/>
      <c r="M56" s="125" t="s">
        <v>103</v>
      </c>
      <c r="N56" s="128"/>
      <c r="O56" s="122">
        <f>O54*N56</f>
        <v>0</v>
      </c>
      <c r="P56" s="122"/>
      <c r="Q56" s="123"/>
    </row>
    <row r="57" spans="1:17" ht="13.5" thickBot="1" x14ac:dyDescent="0.25">
      <c r="A57" s="114"/>
      <c r="B57" s="129"/>
      <c r="C57" s="129"/>
      <c r="D57" s="129"/>
      <c r="E57" s="129"/>
      <c r="F57" s="130"/>
      <c r="G57" s="105"/>
      <c r="H57" s="131"/>
      <c r="I57" s="117"/>
      <c r="J57" s="124"/>
      <c r="K57" s="132"/>
      <c r="M57" s="133" t="s">
        <v>104</v>
      </c>
      <c r="N57" s="134"/>
      <c r="O57" s="135">
        <f>SUM(O54:O56)</f>
        <v>513.60791666666671</v>
      </c>
      <c r="P57" s="136"/>
      <c r="Q57" s="123"/>
    </row>
    <row r="58" spans="1:17" x14ac:dyDescent="0.2">
      <c r="B58" s="272" t="s">
        <v>105</v>
      </c>
      <c r="C58" s="272"/>
      <c r="D58" s="137">
        <v>100</v>
      </c>
      <c r="E58" s="138"/>
      <c r="G58" s="105"/>
      <c r="H58" s="131">
        <f>+H56/77</f>
        <v>1.1041666666666665</v>
      </c>
      <c r="I58" s="139"/>
      <c r="J58" s="124"/>
      <c r="K58" s="132"/>
      <c r="L58" s="125"/>
      <c r="M58" s="125" t="s">
        <v>106</v>
      </c>
      <c r="N58" s="140"/>
      <c r="O58" s="122">
        <f>+H59</f>
        <v>91.645833333333314</v>
      </c>
      <c r="P58" s="122"/>
      <c r="Q58" s="123"/>
    </row>
    <row r="59" spans="1:17" x14ac:dyDescent="0.2">
      <c r="B59" s="272" t="s">
        <v>107</v>
      </c>
      <c r="C59" s="272"/>
      <c r="D59" s="141">
        <v>100</v>
      </c>
      <c r="E59" s="138"/>
      <c r="G59" s="105"/>
      <c r="H59" s="131">
        <f>+H58*83</f>
        <v>91.645833333333314</v>
      </c>
      <c r="I59" s="139"/>
      <c r="J59" s="124"/>
      <c r="K59" s="132"/>
      <c r="L59" s="125"/>
      <c r="M59" s="273" t="s">
        <v>104</v>
      </c>
      <c r="N59" s="273"/>
      <c r="O59" s="122">
        <f>SUM(O57:O58)</f>
        <v>605.25375000000008</v>
      </c>
      <c r="P59" s="122"/>
      <c r="Q59" s="123"/>
    </row>
    <row r="60" spans="1:17" ht="13.5" thickBot="1" x14ac:dyDescent="0.25">
      <c r="B60" s="265" t="s">
        <v>108</v>
      </c>
      <c r="C60" s="265"/>
      <c r="D60" s="137">
        <f>+D58/D59</f>
        <v>1</v>
      </c>
      <c r="E60" s="138"/>
      <c r="F60" s="142"/>
      <c r="G60" s="105"/>
      <c r="H60" s="131"/>
      <c r="I60" s="139"/>
      <c r="J60" s="124"/>
      <c r="K60" s="132"/>
      <c r="L60" s="273"/>
      <c r="M60" s="273"/>
      <c r="N60" s="140"/>
      <c r="O60" s="122">
        <f>+O59*N60</f>
        <v>0</v>
      </c>
      <c r="P60" s="122"/>
      <c r="Q60" s="123"/>
    </row>
    <row r="61" spans="1:17" ht="13.5" thickBot="1" x14ac:dyDescent="0.25">
      <c r="B61" s="265" t="s">
        <v>109</v>
      </c>
      <c r="C61" s="265"/>
      <c r="D61" s="143"/>
      <c r="E61" s="138"/>
      <c r="F61" s="142"/>
      <c r="G61" s="105"/>
      <c r="H61" s="131"/>
      <c r="I61" s="139"/>
      <c r="J61" s="124"/>
      <c r="K61" s="266" t="s">
        <v>110</v>
      </c>
      <c r="L61" s="267"/>
      <c r="M61" s="267"/>
      <c r="N61" s="268"/>
      <c r="O61" s="135">
        <f>SUM(O59:O60)</f>
        <v>605.25375000000008</v>
      </c>
      <c r="P61" s="144" t="s">
        <v>111</v>
      </c>
      <c r="Q61" s="123"/>
    </row>
    <row r="62" spans="1:17" ht="13.5" thickBot="1" x14ac:dyDescent="0.25">
      <c r="C62" s="114" t="s">
        <v>112</v>
      </c>
      <c r="D62" s="145"/>
      <c r="E62" s="88" t="s">
        <v>113</v>
      </c>
      <c r="F62" s="146" t="s">
        <v>114</v>
      </c>
      <c r="G62" s="105"/>
      <c r="H62" s="131"/>
      <c r="I62" s="139"/>
      <c r="J62" s="147"/>
      <c r="K62" s="148"/>
      <c r="L62" s="279" t="s">
        <v>115</v>
      </c>
      <c r="M62" s="279"/>
      <c r="N62" s="279"/>
      <c r="O62" s="149">
        <f>+O61/D60</f>
        <v>605.25375000000008</v>
      </c>
      <c r="P62" s="150">
        <f>+O62/D59</f>
        <v>6.0525375000000006</v>
      </c>
      <c r="Q62" s="151"/>
    </row>
    <row r="63" spans="1:17" ht="13.5" thickBot="1" x14ac:dyDescent="0.25">
      <c r="B63" s="280" t="s">
        <v>100</v>
      </c>
      <c r="C63" s="280"/>
      <c r="D63" s="280"/>
      <c r="E63" s="152">
        <f>+F63/F63</f>
        <v>1</v>
      </c>
      <c r="F63" s="153">
        <f>SUM(F55)</f>
        <v>428.58708333333334</v>
      </c>
      <c r="G63" s="105">
        <f>+F63/$F$66</f>
        <v>0.83659524817080766</v>
      </c>
      <c r="H63" s="131"/>
      <c r="I63" s="139"/>
      <c r="K63" s="281"/>
      <c r="L63" s="282"/>
      <c r="M63" s="282"/>
      <c r="N63" s="282"/>
      <c r="O63" s="154"/>
      <c r="P63" s="155"/>
    </row>
    <row r="64" spans="1:17" ht="13.5" thickBot="1" x14ac:dyDescent="0.25">
      <c r="B64" s="283" t="s">
        <v>116</v>
      </c>
      <c r="C64" s="283"/>
      <c r="D64" s="283"/>
      <c r="E64" s="156">
        <v>0.02</v>
      </c>
      <c r="F64" s="153">
        <f>+F53*E64</f>
        <v>6.7121250000000012</v>
      </c>
      <c r="G64" s="105">
        <f>+F64/$F$66</f>
        <v>1.3101962468059643E-2</v>
      </c>
      <c r="H64" s="117"/>
      <c r="I64" s="139"/>
      <c r="J64" s="157"/>
      <c r="O64" s="158"/>
      <c r="P64" s="115"/>
    </row>
    <row r="65" spans="2:13" ht="13.5" thickBot="1" x14ac:dyDescent="0.25">
      <c r="B65" s="284" t="s">
        <v>117</v>
      </c>
      <c r="C65" s="285"/>
      <c r="D65" s="159">
        <v>1</v>
      </c>
      <c r="E65" s="160">
        <v>77</v>
      </c>
      <c r="F65" s="153">
        <f>+E65*D65</f>
        <v>77</v>
      </c>
      <c r="G65" s="105">
        <f>+F65/$F$66</f>
        <v>0.15030278936113262</v>
      </c>
      <c r="H65" s="117"/>
      <c r="I65" s="117"/>
      <c r="J65" s="107"/>
    </row>
    <row r="66" spans="2:13" ht="13.5" thickBot="1" x14ac:dyDescent="0.25">
      <c r="B66" s="286" t="s">
        <v>118</v>
      </c>
      <c r="C66" s="287"/>
      <c r="D66" s="287"/>
      <c r="E66" s="288"/>
      <c r="F66" s="130">
        <f>SUM(F63:F65)</f>
        <v>512.29920833333335</v>
      </c>
      <c r="G66" s="105">
        <f>+F66/$F$66</f>
        <v>1</v>
      </c>
      <c r="H66" s="289"/>
      <c r="I66" s="117"/>
      <c r="J66" s="107"/>
      <c r="M66" s="90" t="s">
        <v>119</v>
      </c>
    </row>
    <row r="67" spans="2:13" x14ac:dyDescent="0.2">
      <c r="C67" s="112"/>
      <c r="D67" s="112"/>
      <c r="E67" s="162"/>
      <c r="F67" s="153"/>
      <c r="G67" s="105"/>
      <c r="H67" s="289"/>
      <c r="I67" s="161"/>
      <c r="J67" s="90"/>
      <c r="M67" s="90" t="s">
        <v>120</v>
      </c>
    </row>
    <row r="68" spans="2:13" ht="13.5" thickBot="1" x14ac:dyDescent="0.25">
      <c r="B68" s="274" t="s">
        <v>121</v>
      </c>
      <c r="C68" s="274"/>
      <c r="D68" s="274"/>
      <c r="E68" s="274"/>
      <c r="F68" s="274"/>
      <c r="G68" s="105"/>
      <c r="H68" s="164"/>
      <c r="I68" s="161"/>
      <c r="J68" s="90"/>
      <c r="M68" s="90" t="s">
        <v>122</v>
      </c>
    </row>
    <row r="69" spans="2:13" ht="13.5" thickBot="1" x14ac:dyDescent="0.25">
      <c r="B69" s="165" t="s">
        <v>123</v>
      </c>
      <c r="C69" s="166">
        <f>+F53</f>
        <v>335.60625000000005</v>
      </c>
      <c r="D69" s="166">
        <f>+D58</f>
        <v>100</v>
      </c>
      <c r="E69" s="167">
        <f>+C69/D69</f>
        <v>3.3560625000000006</v>
      </c>
      <c r="F69" s="105"/>
      <c r="G69" s="164"/>
      <c r="H69" s="107"/>
      <c r="I69" s="164"/>
      <c r="J69" s="90"/>
    </row>
    <row r="70" spans="2:13" x14ac:dyDescent="0.2">
      <c r="B70" s="168"/>
      <c r="C70" s="169"/>
      <c r="D70" s="170"/>
      <c r="E70" s="153"/>
      <c r="F70" s="105"/>
      <c r="G70" s="164"/>
      <c r="H70" s="107"/>
      <c r="I70" s="107"/>
      <c r="J70" s="90"/>
    </row>
    <row r="71" spans="2:13" x14ac:dyDescent="0.2">
      <c r="B71" s="165" t="s">
        <v>124</v>
      </c>
      <c r="C71" s="166">
        <f>SUM(F63:F64)</f>
        <v>435.29920833333335</v>
      </c>
      <c r="D71" s="166">
        <f>+D58</f>
        <v>100</v>
      </c>
      <c r="E71" s="171">
        <f>+C71/D71</f>
        <v>4.3529920833333335</v>
      </c>
      <c r="F71" s="105"/>
      <c r="G71" s="164"/>
      <c r="H71" s="107"/>
      <c r="I71" s="107"/>
      <c r="J71" s="90"/>
    </row>
    <row r="72" spans="2:13" x14ac:dyDescent="0.2">
      <c r="B72" s="165"/>
      <c r="C72" s="166"/>
      <c r="D72" s="166"/>
      <c r="E72" s="171"/>
      <c r="F72" s="105"/>
      <c r="G72" s="164"/>
      <c r="H72" s="107"/>
      <c r="I72" s="107"/>
      <c r="J72" s="90"/>
    </row>
    <row r="73" spans="2:13" ht="13.5" thickBot="1" x14ac:dyDescent="0.25">
      <c r="B73" s="165" t="s">
        <v>125</v>
      </c>
      <c r="C73" s="166">
        <f>+F65</f>
        <v>77</v>
      </c>
      <c r="D73" s="166">
        <f>+D58</f>
        <v>100</v>
      </c>
      <c r="E73" s="171">
        <f>+C73/D73</f>
        <v>0.77</v>
      </c>
      <c r="F73" s="105"/>
      <c r="G73" s="164"/>
      <c r="H73" s="107"/>
      <c r="I73" s="107"/>
      <c r="J73" s="90"/>
    </row>
    <row r="74" spans="2:13" ht="13.5" thickBot="1" x14ac:dyDescent="0.25">
      <c r="B74" s="165" t="s">
        <v>126</v>
      </c>
      <c r="C74" s="166">
        <f>+F56</f>
        <v>85.020833333333329</v>
      </c>
      <c r="D74" s="166">
        <f>+D73</f>
        <v>100</v>
      </c>
      <c r="E74" s="167">
        <f>+C74/D74</f>
        <v>0.85020833333333323</v>
      </c>
      <c r="F74" s="105"/>
      <c r="G74" s="164"/>
      <c r="H74" s="107"/>
      <c r="I74" s="107"/>
      <c r="J74" s="90"/>
    </row>
    <row r="75" spans="2:13" ht="13.5" thickBot="1" x14ac:dyDescent="0.25">
      <c r="B75" s="129"/>
      <c r="C75" s="130"/>
      <c r="D75" s="130"/>
      <c r="E75" s="171"/>
      <c r="F75" s="105"/>
      <c r="G75" s="164"/>
      <c r="H75" s="107"/>
      <c r="I75" s="107"/>
      <c r="J75" s="90"/>
    </row>
    <row r="76" spans="2:13" ht="13.5" thickBot="1" x14ac:dyDescent="0.25">
      <c r="B76" s="165" t="s">
        <v>127</v>
      </c>
      <c r="C76" s="166">
        <f>+F54</f>
        <v>92.980833333333322</v>
      </c>
      <c r="D76" s="166">
        <f>+D74</f>
        <v>100</v>
      </c>
      <c r="E76" s="167">
        <f>+C76/D76</f>
        <v>0.92980833333333324</v>
      </c>
      <c r="F76" s="105"/>
      <c r="G76" s="164"/>
      <c r="H76" s="107"/>
      <c r="I76" s="107"/>
      <c r="J76" s="107"/>
    </row>
    <row r="77" spans="2:13" ht="13.5" thickBot="1" x14ac:dyDescent="0.25">
      <c r="B77" s="129"/>
      <c r="C77" s="130"/>
      <c r="D77" s="130"/>
      <c r="E77" s="171"/>
      <c r="F77" s="105"/>
      <c r="G77" s="164"/>
      <c r="H77" s="107"/>
      <c r="I77" s="107"/>
    </row>
    <row r="78" spans="2:13" ht="13.5" thickBot="1" x14ac:dyDescent="0.25">
      <c r="B78" s="275" t="s">
        <v>128</v>
      </c>
      <c r="C78" s="276"/>
      <c r="D78" s="277"/>
      <c r="E78" s="167">
        <f>+E69+E74</f>
        <v>4.2062708333333338</v>
      </c>
      <c r="G78" s="105"/>
      <c r="H78" s="164"/>
      <c r="I78" s="107"/>
      <c r="J78" s="171"/>
    </row>
    <row r="79" spans="2:13" x14ac:dyDescent="0.2">
      <c r="I79" s="164"/>
      <c r="J79" s="90"/>
    </row>
    <row r="80" spans="2:13" ht="13.5" thickBot="1" x14ac:dyDescent="0.25">
      <c r="B80" s="274" t="s">
        <v>129</v>
      </c>
      <c r="C80" s="274"/>
      <c r="D80" s="274"/>
      <c r="E80" s="274"/>
      <c r="F80" s="274"/>
      <c r="G80" s="105"/>
      <c r="H80" s="164"/>
      <c r="J80" s="90"/>
    </row>
    <row r="81" spans="1:10" ht="13.5" thickBot="1" x14ac:dyDescent="0.25">
      <c r="B81" s="165" t="s">
        <v>123</v>
      </c>
      <c r="C81" s="166">
        <f>+C69</f>
        <v>335.60625000000005</v>
      </c>
      <c r="D81" s="166">
        <f>+D60</f>
        <v>1</v>
      </c>
      <c r="E81" s="167">
        <f>+C81/D81</f>
        <v>335.60625000000005</v>
      </c>
      <c r="F81" s="105"/>
      <c r="G81" s="164"/>
      <c r="H81" s="107"/>
      <c r="I81" s="164"/>
      <c r="J81" s="90"/>
    </row>
    <row r="82" spans="1:10" x14ac:dyDescent="0.2">
      <c r="B82" s="168"/>
      <c r="C82" s="169"/>
      <c r="D82" s="170"/>
      <c r="E82" s="153"/>
      <c r="F82" s="105"/>
      <c r="G82" s="164"/>
      <c r="H82" s="107"/>
      <c r="I82" s="107"/>
      <c r="J82" s="90"/>
    </row>
    <row r="83" spans="1:10" x14ac:dyDescent="0.2">
      <c r="B83" s="165" t="s">
        <v>124</v>
      </c>
      <c r="C83" s="166">
        <f>+C71</f>
        <v>435.29920833333335</v>
      </c>
      <c r="D83" s="166">
        <f>+D60</f>
        <v>1</v>
      </c>
      <c r="E83" s="171">
        <f>+C83/D83</f>
        <v>435.29920833333335</v>
      </c>
      <c r="F83" s="105"/>
      <c r="G83" s="164"/>
      <c r="H83" s="107"/>
      <c r="I83" s="107"/>
      <c r="J83" s="90"/>
    </row>
    <row r="84" spans="1:10" x14ac:dyDescent="0.2">
      <c r="B84" s="165"/>
      <c r="C84" s="166"/>
      <c r="D84" s="166"/>
      <c r="E84" s="171"/>
      <c r="F84" s="105"/>
      <c r="G84" s="164"/>
      <c r="H84" s="107"/>
      <c r="I84" s="107"/>
      <c r="J84" s="90"/>
    </row>
    <row r="85" spans="1:10" ht="13.5" thickBot="1" x14ac:dyDescent="0.25">
      <c r="B85" s="165" t="s">
        <v>126</v>
      </c>
      <c r="C85" s="166">
        <f>+C73</f>
        <v>77</v>
      </c>
      <c r="D85" s="166">
        <f>+D60</f>
        <v>1</v>
      </c>
      <c r="E85" s="171">
        <f>+C85/D85</f>
        <v>77</v>
      </c>
      <c r="F85" s="173"/>
      <c r="G85" s="163"/>
      <c r="H85" s="89"/>
      <c r="I85" s="107"/>
    </row>
    <row r="86" spans="1:10" ht="13.5" thickBot="1" x14ac:dyDescent="0.25">
      <c r="B86" s="165" t="s">
        <v>126</v>
      </c>
      <c r="C86" s="166">
        <f>+C74</f>
        <v>85.020833333333329</v>
      </c>
      <c r="D86" s="166">
        <f>+D85</f>
        <v>1</v>
      </c>
      <c r="E86" s="167">
        <f>+C86/D86</f>
        <v>85.020833333333329</v>
      </c>
      <c r="F86" s="172"/>
      <c r="G86" s="163"/>
      <c r="H86" s="89"/>
      <c r="I86" s="89"/>
    </row>
    <row r="87" spans="1:10" x14ac:dyDescent="0.2">
      <c r="I87" s="89"/>
    </row>
    <row r="88" spans="1:10" x14ac:dyDescent="0.2">
      <c r="A88" s="278"/>
      <c r="B88" s="278"/>
      <c r="C88" s="174"/>
      <c r="D88" s="174"/>
      <c r="E88" s="175"/>
      <c r="G88" s="176"/>
    </row>
    <row r="89" spans="1:10" x14ac:dyDescent="0.2">
      <c r="A89" s="108"/>
      <c r="B89" s="177"/>
      <c r="C89" s="178"/>
      <c r="D89" s="178"/>
      <c r="E89" s="179"/>
      <c r="G89" s="176"/>
    </row>
    <row r="90" spans="1:10" x14ac:dyDescent="0.2">
      <c r="A90" s="108"/>
      <c r="B90" s="177"/>
      <c r="C90" s="180"/>
      <c r="D90" s="180"/>
      <c r="E90" s="108"/>
      <c r="G90" s="176"/>
    </row>
    <row r="91" spans="1:10" x14ac:dyDescent="0.2">
      <c r="A91" s="108"/>
      <c r="B91" s="177"/>
      <c r="C91" s="181"/>
      <c r="D91" s="181"/>
      <c r="E91" s="108"/>
      <c r="G91" s="176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DAC10-FCDE-428B-95D4-BF66180E11A3}">
  <dimension ref="A1:I35"/>
  <sheetViews>
    <sheetView workbookViewId="0">
      <selection activeCell="B16" sqref="B16"/>
    </sheetView>
  </sheetViews>
  <sheetFormatPr baseColWidth="10" defaultRowHeight="12.75" x14ac:dyDescent="0.2"/>
  <cols>
    <col min="3" max="3" width="31.140625" customWidth="1"/>
  </cols>
  <sheetData>
    <row r="1" spans="1:9" ht="15" x14ac:dyDescent="0.2">
      <c r="A1" s="195"/>
      <c r="B1" s="196"/>
      <c r="C1" s="201" t="s">
        <v>25</v>
      </c>
      <c r="D1" s="201"/>
      <c r="E1" s="201"/>
      <c r="F1" s="201"/>
      <c r="G1" s="201"/>
      <c r="H1" s="15" t="s">
        <v>26</v>
      </c>
      <c r="I1" s="12"/>
    </row>
    <row r="2" spans="1:9" ht="15.75" x14ac:dyDescent="0.25">
      <c r="A2" s="197"/>
      <c r="B2" s="198"/>
      <c r="C2" s="202" t="s">
        <v>0</v>
      </c>
      <c r="D2" s="202"/>
      <c r="E2" s="202"/>
      <c r="F2" s="202"/>
      <c r="G2" s="202"/>
      <c r="H2" s="16" t="s">
        <v>27</v>
      </c>
      <c r="I2" s="17"/>
    </row>
    <row r="3" spans="1:9" ht="15.75" thickBot="1" x14ac:dyDescent="0.25">
      <c r="A3" s="197"/>
      <c r="B3" s="198"/>
      <c r="C3" s="203" t="s">
        <v>138</v>
      </c>
      <c r="D3" s="204"/>
      <c r="E3" s="204"/>
      <c r="F3" s="204"/>
      <c r="G3" s="205"/>
      <c r="H3" s="206" t="s">
        <v>28</v>
      </c>
      <c r="I3" s="186"/>
    </row>
    <row r="4" spans="1:9" ht="13.5" x14ac:dyDescent="0.25">
      <c r="A4" s="197"/>
      <c r="B4" s="198"/>
      <c r="C4" s="18" t="s">
        <v>29</v>
      </c>
      <c r="D4" s="189" t="s">
        <v>11</v>
      </c>
      <c r="E4" s="190"/>
      <c r="F4" s="190"/>
      <c r="G4" s="191"/>
      <c r="H4" s="207"/>
      <c r="I4" s="187"/>
    </row>
    <row r="5" spans="1:9" ht="14.25" thickBot="1" x14ac:dyDescent="0.3">
      <c r="A5" s="199"/>
      <c r="B5" s="200"/>
      <c r="C5" s="19" t="s">
        <v>30</v>
      </c>
      <c r="D5" s="192" t="s">
        <v>24</v>
      </c>
      <c r="E5" s="193"/>
      <c r="F5" s="193"/>
      <c r="G5" s="194"/>
      <c r="H5" s="208"/>
      <c r="I5" s="188"/>
    </row>
    <row r="6" spans="1:9" ht="18.75" thickBot="1" x14ac:dyDescent="0.3">
      <c r="A6" s="209" t="s">
        <v>18</v>
      </c>
      <c r="B6" s="209"/>
      <c r="C6" s="209"/>
      <c r="D6" s="210" t="s">
        <v>41</v>
      </c>
      <c r="E6" s="210"/>
      <c r="F6" s="210"/>
      <c r="G6" s="211" t="s">
        <v>19</v>
      </c>
      <c r="H6" s="211"/>
      <c r="I6" s="20" t="s">
        <v>20</v>
      </c>
    </row>
    <row r="7" spans="1:9" ht="25.5" x14ac:dyDescent="0.2">
      <c r="A7" s="212" t="s">
        <v>1</v>
      </c>
      <c r="B7" s="214" t="s">
        <v>31</v>
      </c>
      <c r="C7" s="216" t="s">
        <v>2</v>
      </c>
      <c r="D7" s="216" t="s">
        <v>3</v>
      </c>
      <c r="E7" s="216" t="s">
        <v>4</v>
      </c>
      <c r="F7" s="216"/>
      <c r="G7" s="216" t="s">
        <v>32</v>
      </c>
      <c r="H7" s="216"/>
      <c r="I7" s="21" t="s">
        <v>5</v>
      </c>
    </row>
    <row r="8" spans="1:9" ht="26.25" thickBot="1" x14ac:dyDescent="0.25">
      <c r="A8" s="213"/>
      <c r="B8" s="215"/>
      <c r="C8" s="217"/>
      <c r="D8" s="217"/>
      <c r="E8" s="22" t="s">
        <v>6</v>
      </c>
      <c r="F8" s="23" t="s">
        <v>7</v>
      </c>
      <c r="G8" s="22" t="s">
        <v>6</v>
      </c>
      <c r="H8" s="23" t="s">
        <v>7</v>
      </c>
      <c r="I8" s="24" t="s">
        <v>8</v>
      </c>
    </row>
    <row r="9" spans="1:9" ht="15" x14ac:dyDescent="0.25">
      <c r="A9" s="25"/>
      <c r="B9" s="26"/>
      <c r="C9" s="27" t="s">
        <v>33</v>
      </c>
      <c r="D9" s="28"/>
      <c r="E9" s="29"/>
      <c r="F9" s="30"/>
      <c r="G9" s="29"/>
      <c r="H9" s="30"/>
      <c r="I9" s="31"/>
    </row>
    <row r="10" spans="1:9" ht="15" x14ac:dyDescent="0.25">
      <c r="A10" s="8"/>
      <c r="B10" s="79" t="s">
        <v>134</v>
      </c>
      <c r="C10" t="s">
        <v>62</v>
      </c>
      <c r="D10" s="9" t="s">
        <v>14</v>
      </c>
      <c r="E10" s="10">
        <v>500</v>
      </c>
      <c r="F10" s="11" t="s">
        <v>13</v>
      </c>
      <c r="G10" s="29"/>
      <c r="H10" s="30"/>
      <c r="I10" s="31"/>
    </row>
    <row r="11" spans="1:9" ht="15" x14ac:dyDescent="0.25">
      <c r="A11" s="6"/>
      <c r="B11" s="79"/>
      <c r="D11" s="3"/>
      <c r="E11" s="4"/>
      <c r="F11" s="11"/>
      <c r="G11" s="29"/>
      <c r="H11" s="30"/>
      <c r="I11" s="31"/>
    </row>
    <row r="12" spans="1:9" ht="15.75" x14ac:dyDescent="0.25">
      <c r="A12" s="38"/>
      <c r="B12" s="39"/>
      <c r="C12" s="40" t="s">
        <v>34</v>
      </c>
      <c r="D12" s="41"/>
      <c r="E12" s="42"/>
      <c r="F12" s="37"/>
      <c r="G12" s="29"/>
      <c r="H12" s="30"/>
      <c r="I12" s="31"/>
    </row>
    <row r="13" spans="1:9" ht="15" x14ac:dyDescent="0.25">
      <c r="A13" s="43"/>
      <c r="B13" s="14"/>
      <c r="C13" s="44"/>
      <c r="D13" s="45"/>
      <c r="E13" s="36"/>
      <c r="F13" s="37"/>
      <c r="G13" s="29"/>
      <c r="H13" s="30"/>
      <c r="I13" s="31"/>
    </row>
    <row r="14" spans="1:9" ht="15" x14ac:dyDescent="0.25">
      <c r="A14" s="7"/>
      <c r="B14" s="7"/>
      <c r="C14" s="35"/>
      <c r="D14" s="34"/>
      <c r="E14" s="46"/>
      <c r="F14" s="47"/>
      <c r="G14" s="29"/>
      <c r="H14" s="30"/>
      <c r="I14" s="31"/>
    </row>
    <row r="15" spans="1:9" ht="15.75" x14ac:dyDescent="0.25">
      <c r="A15" s="48"/>
      <c r="B15" s="49"/>
      <c r="C15" s="50" t="s">
        <v>20</v>
      </c>
      <c r="D15" s="51"/>
      <c r="E15" s="29"/>
      <c r="F15" s="30"/>
      <c r="G15" s="29"/>
      <c r="H15" s="30"/>
      <c r="I15" s="31"/>
    </row>
    <row r="16" spans="1:9" ht="15" x14ac:dyDescent="0.25">
      <c r="A16" s="49"/>
      <c r="B16" s="183" t="s">
        <v>136</v>
      </c>
      <c r="C16" s="81" t="s">
        <v>73</v>
      </c>
      <c r="D16" s="3"/>
      <c r="E16" s="4">
        <v>1</v>
      </c>
      <c r="F16" s="11" t="s">
        <v>65</v>
      </c>
      <c r="G16" s="29"/>
      <c r="H16" s="30"/>
      <c r="I16" s="31"/>
    </row>
    <row r="17" spans="1:9" ht="15.75" x14ac:dyDescent="0.25">
      <c r="A17" s="6"/>
      <c r="B17" s="7" t="s">
        <v>66</v>
      </c>
      <c r="C17" s="82" t="s">
        <v>67</v>
      </c>
      <c r="D17" s="83" t="s">
        <v>68</v>
      </c>
      <c r="E17" s="83">
        <v>1</v>
      </c>
      <c r="F17" s="2"/>
      <c r="G17" s="29"/>
      <c r="H17" s="30"/>
      <c r="I17" s="31"/>
    </row>
    <row r="18" spans="1:9" ht="15.75" x14ac:dyDescent="0.25">
      <c r="A18" s="38"/>
      <c r="B18" s="7" t="s">
        <v>69</v>
      </c>
      <c r="C18" s="7" t="s">
        <v>70</v>
      </c>
      <c r="D18" s="83" t="s">
        <v>68</v>
      </c>
      <c r="E18" s="83">
        <v>1</v>
      </c>
      <c r="F18" s="37"/>
      <c r="G18" s="52"/>
      <c r="H18" s="52"/>
      <c r="I18" s="31"/>
    </row>
    <row r="19" spans="1:9" ht="14.25" thickBot="1" x14ac:dyDescent="0.3">
      <c r="A19" s="54"/>
      <c r="B19" s="55"/>
      <c r="C19" s="56"/>
      <c r="D19" s="56"/>
      <c r="E19" s="57"/>
      <c r="F19" s="58"/>
      <c r="G19" s="56"/>
      <c r="H19" s="56"/>
      <c r="I19" s="59"/>
    </row>
    <row r="20" spans="1:9" ht="14.25" thickBot="1" x14ac:dyDescent="0.3">
      <c r="A20" s="61"/>
      <c r="B20" s="62"/>
      <c r="C20" s="63"/>
      <c r="D20" s="64" t="s">
        <v>6</v>
      </c>
      <c r="E20" s="65" t="s">
        <v>15</v>
      </c>
      <c r="F20" s="66"/>
      <c r="G20" s="63"/>
      <c r="H20" s="63"/>
      <c r="I20" s="67"/>
    </row>
    <row r="21" spans="1:9" ht="13.5" x14ac:dyDescent="0.25">
      <c r="A21" s="218" t="s">
        <v>10</v>
      </c>
      <c r="B21" s="219"/>
      <c r="C21" s="220"/>
      <c r="D21" s="68">
        <v>500</v>
      </c>
      <c r="E21" s="69" t="s">
        <v>13</v>
      </c>
      <c r="F21" s="221" t="s">
        <v>35</v>
      </c>
      <c r="G21" s="221"/>
      <c r="H21" s="222"/>
      <c r="I21" s="223"/>
    </row>
    <row r="22" spans="1:9" ht="13.5" x14ac:dyDescent="0.25">
      <c r="A22" s="224" t="s">
        <v>9</v>
      </c>
      <c r="B22" s="225"/>
      <c r="C22" s="226"/>
      <c r="D22" s="70">
        <v>1</v>
      </c>
      <c r="E22" s="71" t="s">
        <v>16</v>
      </c>
      <c r="F22" s="227" t="s">
        <v>36</v>
      </c>
      <c r="G22" s="227"/>
      <c r="H22" s="228"/>
      <c r="I22" s="229"/>
    </row>
    <row r="23" spans="1:9" ht="13.5" x14ac:dyDescent="0.25">
      <c r="A23" s="224" t="s">
        <v>21</v>
      </c>
      <c r="B23" s="225"/>
      <c r="C23" s="226"/>
      <c r="D23" s="71">
        <v>1</v>
      </c>
      <c r="E23" s="71" t="s">
        <v>23</v>
      </c>
      <c r="F23" s="227" t="s">
        <v>37</v>
      </c>
      <c r="G23" s="227"/>
      <c r="H23" s="228"/>
      <c r="I23" s="229"/>
    </row>
    <row r="24" spans="1:9" ht="13.5" x14ac:dyDescent="0.25">
      <c r="A24" s="224" t="s">
        <v>22</v>
      </c>
      <c r="B24" s="225"/>
      <c r="C24" s="226"/>
      <c r="D24" s="72">
        <v>500</v>
      </c>
      <c r="E24" s="71" t="s">
        <v>13</v>
      </c>
      <c r="F24" s="233" t="s">
        <v>38</v>
      </c>
      <c r="G24" s="234"/>
      <c r="H24" s="228"/>
      <c r="I24" s="229"/>
    </row>
    <row r="25" spans="1:9" ht="14.25" thickBot="1" x14ac:dyDescent="0.3">
      <c r="A25" s="235" t="s">
        <v>12</v>
      </c>
      <c r="B25" s="236"/>
      <c r="C25" s="237"/>
      <c r="D25" s="74">
        <f>SUM(E10:E11)-D21</f>
        <v>0</v>
      </c>
      <c r="E25" s="75" t="s">
        <v>13</v>
      </c>
      <c r="F25" s="238"/>
      <c r="G25" s="238"/>
      <c r="H25" s="239"/>
      <c r="I25" s="240"/>
    </row>
    <row r="26" spans="1:9" ht="13.5" thickBot="1" x14ac:dyDescent="0.25">
      <c r="A26" s="241" t="s">
        <v>39</v>
      </c>
      <c r="B26" s="242"/>
      <c r="C26" s="242"/>
      <c r="D26" s="242"/>
      <c r="E26" s="242"/>
      <c r="F26" s="242"/>
      <c r="G26" s="242"/>
      <c r="H26" s="242"/>
      <c r="I26" s="243"/>
    </row>
    <row r="27" spans="1:9" ht="15" x14ac:dyDescent="0.25">
      <c r="A27" s="244" t="s">
        <v>76</v>
      </c>
      <c r="B27" s="245"/>
      <c r="C27" s="245"/>
      <c r="D27" s="245"/>
      <c r="E27" s="245"/>
      <c r="F27" s="245"/>
      <c r="G27" s="245"/>
      <c r="H27" s="245"/>
      <c r="I27" s="246"/>
    </row>
    <row r="28" spans="1:9" ht="15" x14ac:dyDescent="0.25">
      <c r="A28" s="230" t="s">
        <v>74</v>
      </c>
      <c r="B28" s="231"/>
      <c r="C28" s="231"/>
      <c r="D28" s="231"/>
      <c r="E28" s="231"/>
      <c r="F28" s="231"/>
      <c r="G28" s="231"/>
      <c r="H28" s="231"/>
      <c r="I28" s="232"/>
    </row>
    <row r="29" spans="1:9" ht="15" x14ac:dyDescent="0.25">
      <c r="A29" s="230"/>
      <c r="B29" s="231"/>
      <c r="C29" s="231"/>
      <c r="D29" s="231"/>
      <c r="E29" s="231"/>
      <c r="F29" s="231"/>
      <c r="G29" s="231"/>
      <c r="H29" s="231"/>
      <c r="I29" s="232"/>
    </row>
    <row r="30" spans="1:9" ht="15" x14ac:dyDescent="0.25">
      <c r="A30" s="230"/>
      <c r="B30" s="231"/>
      <c r="C30" s="231"/>
      <c r="D30" s="231"/>
      <c r="E30" s="231"/>
      <c r="F30" s="231"/>
      <c r="G30" s="231"/>
      <c r="H30" s="231"/>
      <c r="I30" s="232"/>
    </row>
    <row r="31" spans="1:9" ht="13.5" x14ac:dyDescent="0.25">
      <c r="A31" s="249"/>
      <c r="B31" s="250"/>
      <c r="C31" s="251"/>
      <c r="D31" s="251"/>
      <c r="E31" s="251"/>
      <c r="F31" s="251"/>
      <c r="G31" s="251"/>
      <c r="H31" s="251"/>
      <c r="I31" s="252"/>
    </row>
    <row r="32" spans="1:9" ht="14.25" thickBot="1" x14ac:dyDescent="0.3">
      <c r="A32" s="253"/>
      <c r="B32" s="254"/>
      <c r="C32" s="255"/>
      <c r="D32" s="255"/>
      <c r="E32" s="255"/>
      <c r="F32" s="255"/>
      <c r="G32" s="255"/>
      <c r="H32" s="255"/>
      <c r="I32" s="256"/>
    </row>
    <row r="33" spans="1:9" x14ac:dyDescent="0.2">
      <c r="A33" s="257" t="s">
        <v>40</v>
      </c>
      <c r="B33" s="258"/>
      <c r="C33" s="258"/>
      <c r="D33" s="258"/>
      <c r="E33" s="258"/>
      <c r="F33" s="258"/>
      <c r="G33" s="258"/>
      <c r="H33" s="258"/>
      <c r="I33" s="258"/>
    </row>
    <row r="34" spans="1:9" ht="13.5" x14ac:dyDescent="0.25">
      <c r="A34" s="247"/>
      <c r="B34" s="248"/>
      <c r="C34" s="248"/>
      <c r="D34" s="248"/>
      <c r="E34" s="248"/>
      <c r="F34" s="248"/>
      <c r="G34" s="248"/>
      <c r="H34" s="248"/>
      <c r="I34" s="248"/>
    </row>
    <row r="35" spans="1:9" ht="13.5" x14ac:dyDescent="0.25">
      <c r="A35" s="247"/>
      <c r="B35" s="248"/>
      <c r="C35" s="248"/>
      <c r="D35" s="248"/>
      <c r="E35" s="248"/>
      <c r="F35" s="248"/>
      <c r="G35" s="248"/>
      <c r="H35" s="248"/>
      <c r="I35" s="248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1:C21"/>
    <mergeCell ref="F21:G21"/>
    <mergeCell ref="H21:I21"/>
    <mergeCell ref="A22:C22"/>
    <mergeCell ref="F22:G22"/>
    <mergeCell ref="H22:I22"/>
    <mergeCell ref="A28:I28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26:I26"/>
    <mergeCell ref="A27:I27"/>
    <mergeCell ref="A35:I35"/>
    <mergeCell ref="A29:I29"/>
    <mergeCell ref="A30:I30"/>
    <mergeCell ref="A31:I31"/>
    <mergeCell ref="A32:I32"/>
    <mergeCell ref="A33:I33"/>
    <mergeCell ref="A34:I3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177AC-59B1-43C9-87E4-F8800BE49F7D}">
  <sheetPr>
    <pageSetUpPr fitToPage="1"/>
  </sheetPr>
  <dimension ref="A1:I35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2" max="2" width="17.140625" customWidth="1"/>
    <col min="3" max="3" width="66.7109375" customWidth="1"/>
    <col min="4" max="4" width="14.140625" bestFit="1" customWidth="1"/>
    <col min="7" max="7" width="21.85546875" customWidth="1"/>
    <col min="8" max="8" width="14.85546875" customWidth="1"/>
    <col min="9" max="9" width="18.42578125" customWidth="1"/>
  </cols>
  <sheetData>
    <row r="1" spans="1:9" ht="15" x14ac:dyDescent="0.2">
      <c r="A1" s="195"/>
      <c r="B1" s="196"/>
      <c r="C1" s="201" t="s">
        <v>25</v>
      </c>
      <c r="D1" s="201"/>
      <c r="E1" s="201"/>
      <c r="F1" s="201"/>
      <c r="G1" s="201"/>
      <c r="H1" s="15" t="s">
        <v>26</v>
      </c>
      <c r="I1" s="397" t="s">
        <v>142</v>
      </c>
    </row>
    <row r="2" spans="1:9" ht="15.75" x14ac:dyDescent="0.25">
      <c r="A2" s="197"/>
      <c r="B2" s="198"/>
      <c r="C2" s="202" t="s">
        <v>0</v>
      </c>
      <c r="D2" s="202"/>
      <c r="E2" s="202"/>
      <c r="F2" s="202"/>
      <c r="G2" s="202"/>
      <c r="H2" s="16" t="s">
        <v>27</v>
      </c>
      <c r="I2" s="17" t="s">
        <v>141</v>
      </c>
    </row>
    <row r="3" spans="1:9" ht="24" thickBot="1" x14ac:dyDescent="0.25">
      <c r="A3" s="197"/>
      <c r="B3" s="198"/>
      <c r="C3" s="394" t="s">
        <v>140</v>
      </c>
      <c r="D3" s="395"/>
      <c r="E3" s="395"/>
      <c r="F3" s="395"/>
      <c r="G3" s="396"/>
      <c r="H3" s="206" t="s">
        <v>28</v>
      </c>
      <c r="I3" s="186">
        <v>45891</v>
      </c>
    </row>
    <row r="4" spans="1:9" ht="13.5" x14ac:dyDescent="0.25">
      <c r="A4" s="197"/>
      <c r="B4" s="198"/>
      <c r="C4" s="18" t="s">
        <v>29</v>
      </c>
      <c r="D4" s="189" t="s">
        <v>11</v>
      </c>
      <c r="E4" s="190"/>
      <c r="F4" s="190"/>
      <c r="G4" s="191"/>
      <c r="H4" s="207"/>
      <c r="I4" s="187"/>
    </row>
    <row r="5" spans="1:9" ht="14.25" thickBot="1" x14ac:dyDescent="0.3">
      <c r="A5" s="199"/>
      <c r="B5" s="200"/>
      <c r="C5" s="19" t="s">
        <v>30</v>
      </c>
      <c r="D5" s="192" t="s">
        <v>24</v>
      </c>
      <c r="E5" s="193"/>
      <c r="F5" s="193"/>
      <c r="G5" s="194"/>
      <c r="H5" s="208"/>
      <c r="I5" s="188"/>
    </row>
    <row r="6" spans="1:9" ht="18.75" thickBot="1" x14ac:dyDescent="0.3">
      <c r="A6" s="209" t="s">
        <v>18</v>
      </c>
      <c r="B6" s="209"/>
      <c r="C6" s="209"/>
      <c r="D6" s="380" t="s">
        <v>41</v>
      </c>
      <c r="E6" s="380"/>
      <c r="F6" s="380"/>
      <c r="G6" s="211" t="s">
        <v>19</v>
      </c>
      <c r="H6" s="211"/>
      <c r="I6" s="381" t="s">
        <v>41</v>
      </c>
    </row>
    <row r="7" spans="1:9" ht="25.5" x14ac:dyDescent="0.2">
      <c r="A7" s="212" t="s">
        <v>1</v>
      </c>
      <c r="B7" s="214" t="s">
        <v>31</v>
      </c>
      <c r="C7" s="216" t="s">
        <v>2</v>
      </c>
      <c r="D7" s="216" t="s">
        <v>3</v>
      </c>
      <c r="E7" s="216" t="s">
        <v>4</v>
      </c>
      <c r="F7" s="216"/>
      <c r="G7" s="216" t="s">
        <v>32</v>
      </c>
      <c r="H7" s="216"/>
      <c r="I7" s="21" t="s">
        <v>5</v>
      </c>
    </row>
    <row r="8" spans="1:9" ht="26.25" thickBot="1" x14ac:dyDescent="0.25">
      <c r="A8" s="213"/>
      <c r="B8" s="215"/>
      <c r="C8" s="217"/>
      <c r="D8" s="217"/>
      <c r="E8" s="22" t="s">
        <v>6</v>
      </c>
      <c r="F8" s="23" t="s">
        <v>7</v>
      </c>
      <c r="G8" s="22" t="s">
        <v>6</v>
      </c>
      <c r="H8" s="23" t="s">
        <v>7</v>
      </c>
      <c r="I8" s="24" t="s">
        <v>8</v>
      </c>
    </row>
    <row r="9" spans="1:9" ht="20.25" x14ac:dyDescent="0.3">
      <c r="A9" s="290"/>
      <c r="B9" s="291"/>
      <c r="C9" s="292" t="s">
        <v>33</v>
      </c>
      <c r="D9" s="293"/>
      <c r="E9" s="294"/>
      <c r="F9" s="295"/>
      <c r="G9" s="294"/>
      <c r="H9" s="295"/>
      <c r="I9" s="296"/>
    </row>
    <row r="10" spans="1:9" ht="20.25" x14ac:dyDescent="0.3">
      <c r="A10" s="382"/>
      <c r="B10" s="311" t="s">
        <v>134</v>
      </c>
      <c r="C10" s="387" t="s">
        <v>62</v>
      </c>
      <c r="D10" s="297" t="s">
        <v>14</v>
      </c>
      <c r="E10" s="298">
        <v>400</v>
      </c>
      <c r="F10" s="299" t="s">
        <v>13</v>
      </c>
      <c r="G10" s="294"/>
      <c r="H10" s="295"/>
      <c r="I10" s="296"/>
    </row>
    <row r="11" spans="1:9" ht="20.25" x14ac:dyDescent="0.3">
      <c r="A11" s="383"/>
      <c r="B11" s="311"/>
      <c r="C11" s="387"/>
      <c r="D11" s="301"/>
      <c r="E11" s="302"/>
      <c r="F11" s="299"/>
      <c r="G11" s="294"/>
      <c r="H11" s="295"/>
      <c r="I11" s="296"/>
    </row>
    <row r="12" spans="1:9" ht="20.25" x14ac:dyDescent="0.3">
      <c r="A12" s="384"/>
      <c r="B12" s="388"/>
      <c r="C12" s="304" t="s">
        <v>34</v>
      </c>
      <c r="D12" s="305"/>
      <c r="E12" s="306"/>
      <c r="F12" s="307"/>
      <c r="G12" s="294"/>
      <c r="H12" s="295"/>
      <c r="I12" s="296"/>
    </row>
    <row r="13" spans="1:9" ht="20.25" x14ac:dyDescent="0.3">
      <c r="A13" s="385"/>
      <c r="B13" s="305"/>
      <c r="C13" s="308"/>
      <c r="D13" s="309"/>
      <c r="E13" s="310"/>
      <c r="F13" s="307"/>
      <c r="G13" s="294"/>
      <c r="H13" s="295"/>
      <c r="I13" s="296"/>
    </row>
    <row r="14" spans="1:9" ht="20.25" x14ac:dyDescent="0.3">
      <c r="A14" s="386"/>
      <c r="B14" s="311"/>
      <c r="C14" s="312"/>
      <c r="D14" s="313"/>
      <c r="E14" s="314"/>
      <c r="F14" s="315"/>
      <c r="G14" s="294"/>
      <c r="H14" s="295"/>
      <c r="I14" s="296"/>
    </row>
    <row r="15" spans="1:9" ht="20.25" x14ac:dyDescent="0.3">
      <c r="A15" s="316"/>
      <c r="B15" s="389"/>
      <c r="C15" s="318" t="s">
        <v>20</v>
      </c>
      <c r="D15" s="319"/>
      <c r="E15" s="294"/>
      <c r="F15" s="295"/>
      <c r="G15" s="294"/>
      <c r="H15" s="295"/>
      <c r="I15" s="296"/>
    </row>
    <row r="16" spans="1:9" ht="20.25" x14ac:dyDescent="0.3">
      <c r="A16" s="317"/>
      <c r="B16" s="320" t="s">
        <v>136</v>
      </c>
      <c r="C16" s="321" t="s">
        <v>73</v>
      </c>
      <c r="D16" s="301"/>
      <c r="E16" s="302">
        <v>1</v>
      </c>
      <c r="F16" s="299" t="s">
        <v>65</v>
      </c>
      <c r="G16" s="294"/>
      <c r="H16" s="295"/>
      <c r="I16" s="296"/>
    </row>
    <row r="17" spans="1:9" ht="20.25" x14ac:dyDescent="0.3">
      <c r="A17" s="300"/>
      <c r="B17" s="311" t="s">
        <v>66</v>
      </c>
      <c r="C17" s="322" t="s">
        <v>67</v>
      </c>
      <c r="D17" s="323" t="s">
        <v>68</v>
      </c>
      <c r="E17" s="323">
        <v>1</v>
      </c>
      <c r="F17" s="324"/>
      <c r="G17" s="294"/>
      <c r="H17" s="295"/>
      <c r="I17" s="296"/>
    </row>
    <row r="18" spans="1:9" ht="20.25" x14ac:dyDescent="0.3">
      <c r="A18" s="303"/>
      <c r="B18" s="311" t="s">
        <v>69</v>
      </c>
      <c r="C18" s="311" t="s">
        <v>70</v>
      </c>
      <c r="D18" s="323" t="s">
        <v>68</v>
      </c>
      <c r="E18" s="323">
        <v>1</v>
      </c>
      <c r="F18" s="307"/>
      <c r="G18" s="305"/>
      <c r="H18" s="305"/>
      <c r="I18" s="296"/>
    </row>
    <row r="19" spans="1:9" ht="21" thickBot="1" x14ac:dyDescent="0.35">
      <c r="A19" s="325"/>
      <c r="B19" s="326"/>
      <c r="C19" s="327"/>
      <c r="D19" s="327"/>
      <c r="E19" s="328"/>
      <c r="F19" s="329"/>
      <c r="G19" s="327"/>
      <c r="H19" s="327"/>
      <c r="I19" s="330"/>
    </row>
    <row r="20" spans="1:9" ht="21" thickBot="1" x14ac:dyDescent="0.35">
      <c r="A20" s="331"/>
      <c r="B20" s="332"/>
      <c r="C20" s="333"/>
      <c r="D20" s="334" t="s">
        <v>6</v>
      </c>
      <c r="E20" s="335" t="s">
        <v>15</v>
      </c>
      <c r="F20" s="336"/>
      <c r="G20" s="333"/>
      <c r="H20" s="333"/>
      <c r="I20" s="337"/>
    </row>
    <row r="21" spans="1:9" ht="20.25" x14ac:dyDescent="0.3">
      <c r="A21" s="338" t="s">
        <v>10</v>
      </c>
      <c r="B21" s="339"/>
      <c r="C21" s="340"/>
      <c r="D21" s="341">
        <v>400</v>
      </c>
      <c r="E21" s="342" t="s">
        <v>13</v>
      </c>
      <c r="F21" s="343" t="s">
        <v>35</v>
      </c>
      <c r="G21" s="343"/>
      <c r="H21" s="344"/>
      <c r="I21" s="345"/>
    </row>
    <row r="22" spans="1:9" ht="20.25" x14ac:dyDescent="0.3">
      <c r="A22" s="346" t="s">
        <v>9</v>
      </c>
      <c r="B22" s="347"/>
      <c r="C22" s="348"/>
      <c r="D22" s="349">
        <v>1</v>
      </c>
      <c r="E22" s="311" t="s">
        <v>16</v>
      </c>
      <c r="F22" s="350" t="s">
        <v>36</v>
      </c>
      <c r="G22" s="350"/>
      <c r="H22" s="351"/>
      <c r="I22" s="352"/>
    </row>
    <row r="23" spans="1:9" ht="20.25" x14ac:dyDescent="0.3">
      <c r="A23" s="346" t="s">
        <v>21</v>
      </c>
      <c r="B23" s="347"/>
      <c r="C23" s="348"/>
      <c r="D23" s="311">
        <v>1</v>
      </c>
      <c r="E23" s="311" t="s">
        <v>23</v>
      </c>
      <c r="F23" s="350" t="s">
        <v>37</v>
      </c>
      <c r="G23" s="350"/>
      <c r="H23" s="351"/>
      <c r="I23" s="352"/>
    </row>
    <row r="24" spans="1:9" ht="20.25" x14ac:dyDescent="0.3">
      <c r="A24" s="346" t="s">
        <v>22</v>
      </c>
      <c r="B24" s="347"/>
      <c r="C24" s="348"/>
      <c r="D24" s="353">
        <v>400</v>
      </c>
      <c r="E24" s="311" t="s">
        <v>13</v>
      </c>
      <c r="F24" s="354" t="s">
        <v>38</v>
      </c>
      <c r="G24" s="355"/>
      <c r="H24" s="351"/>
      <c r="I24" s="352"/>
    </row>
    <row r="25" spans="1:9" ht="21" thickBot="1" x14ac:dyDescent="0.35">
      <c r="A25" s="356" t="s">
        <v>12</v>
      </c>
      <c r="B25" s="357"/>
      <c r="C25" s="358"/>
      <c r="D25" s="359">
        <f>SUM(E10:E11)-D21</f>
        <v>0</v>
      </c>
      <c r="E25" s="360" t="s">
        <v>13</v>
      </c>
      <c r="F25" s="361"/>
      <c r="G25" s="361"/>
      <c r="H25" s="362"/>
      <c r="I25" s="363"/>
    </row>
    <row r="26" spans="1:9" ht="21" thickBot="1" x14ac:dyDescent="0.35">
      <c r="A26" s="390" t="s">
        <v>39</v>
      </c>
      <c r="B26" s="391"/>
      <c r="C26" s="391"/>
      <c r="D26" s="391"/>
      <c r="E26" s="391"/>
      <c r="F26" s="391"/>
      <c r="G26" s="391"/>
      <c r="H26" s="391"/>
      <c r="I26" s="392"/>
    </row>
    <row r="27" spans="1:9" ht="20.25" x14ac:dyDescent="0.3">
      <c r="A27" s="364" t="s">
        <v>139</v>
      </c>
      <c r="B27" s="365"/>
      <c r="C27" s="365"/>
      <c r="D27" s="365"/>
      <c r="E27" s="365"/>
      <c r="F27" s="365"/>
      <c r="G27" s="365"/>
      <c r="H27" s="365"/>
      <c r="I27" s="366"/>
    </row>
    <row r="28" spans="1:9" ht="20.25" x14ac:dyDescent="0.3">
      <c r="A28" s="367" t="s">
        <v>74</v>
      </c>
      <c r="B28" s="368"/>
      <c r="C28" s="368"/>
      <c r="D28" s="368"/>
      <c r="E28" s="368"/>
      <c r="F28" s="368"/>
      <c r="G28" s="368"/>
      <c r="H28" s="368"/>
      <c r="I28" s="369"/>
    </row>
    <row r="29" spans="1:9" ht="20.25" x14ac:dyDescent="0.3">
      <c r="A29" s="367"/>
      <c r="B29" s="368"/>
      <c r="C29" s="368"/>
      <c r="D29" s="368"/>
      <c r="E29" s="368"/>
      <c r="F29" s="368"/>
      <c r="G29" s="368"/>
      <c r="H29" s="368"/>
      <c r="I29" s="369"/>
    </row>
    <row r="30" spans="1:9" ht="20.25" x14ac:dyDescent="0.3">
      <c r="A30" s="367"/>
      <c r="B30" s="368"/>
      <c r="C30" s="368"/>
      <c r="D30" s="368"/>
      <c r="E30" s="368"/>
      <c r="F30" s="368"/>
      <c r="G30" s="368"/>
      <c r="H30" s="368"/>
      <c r="I30" s="369"/>
    </row>
    <row r="31" spans="1:9" ht="20.25" x14ac:dyDescent="0.3">
      <c r="A31" s="370"/>
      <c r="B31" s="371"/>
      <c r="C31" s="372"/>
      <c r="D31" s="372"/>
      <c r="E31" s="372"/>
      <c r="F31" s="372"/>
      <c r="G31" s="372"/>
      <c r="H31" s="372"/>
      <c r="I31" s="373"/>
    </row>
    <row r="32" spans="1:9" ht="21" thickBot="1" x14ac:dyDescent="0.35">
      <c r="A32" s="374"/>
      <c r="B32" s="375"/>
      <c r="C32" s="376"/>
      <c r="D32" s="376"/>
      <c r="E32" s="376"/>
      <c r="F32" s="376"/>
      <c r="G32" s="376"/>
      <c r="H32" s="376"/>
      <c r="I32" s="377"/>
    </row>
    <row r="33" spans="1:9" ht="20.25" x14ac:dyDescent="0.3">
      <c r="A33" s="378" t="s">
        <v>40</v>
      </c>
      <c r="B33" s="379"/>
      <c r="C33" s="379"/>
      <c r="D33" s="379"/>
      <c r="E33" s="379"/>
      <c r="F33" s="379"/>
      <c r="G33" s="379"/>
      <c r="H33" s="379"/>
      <c r="I33" s="379"/>
    </row>
    <row r="34" spans="1:9" ht="20.25" x14ac:dyDescent="0.3">
      <c r="A34" s="393"/>
      <c r="B34" s="393"/>
      <c r="C34" s="393"/>
      <c r="D34" s="393"/>
      <c r="E34" s="393"/>
      <c r="F34" s="393"/>
      <c r="G34" s="393"/>
      <c r="H34" s="393"/>
      <c r="I34" s="393"/>
    </row>
    <row r="35" spans="1:9" ht="20.25" x14ac:dyDescent="0.3">
      <c r="A35" s="393"/>
      <c r="B35" s="393"/>
      <c r="C35" s="393"/>
      <c r="D35" s="393"/>
      <c r="E35" s="393"/>
      <c r="F35" s="393"/>
      <c r="G35" s="393"/>
      <c r="H35" s="393"/>
      <c r="I35" s="393"/>
    </row>
  </sheetData>
  <mergeCells count="42">
    <mergeCell ref="A35:I35"/>
    <mergeCell ref="A29:I29"/>
    <mergeCell ref="A30:I30"/>
    <mergeCell ref="A31:I31"/>
    <mergeCell ref="A32:I32"/>
    <mergeCell ref="A33:I33"/>
    <mergeCell ref="A34:I34"/>
    <mergeCell ref="A28:I28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26:I26"/>
    <mergeCell ref="A27:I27"/>
    <mergeCell ref="A21:C21"/>
    <mergeCell ref="F21:G21"/>
    <mergeCell ref="H21:I21"/>
    <mergeCell ref="A22:C22"/>
    <mergeCell ref="F22:G22"/>
    <mergeCell ref="H22:I2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F6BEA-E483-44DB-9C05-02F99B0F2ABE}">
  <dimension ref="A1:AA91"/>
  <sheetViews>
    <sheetView workbookViewId="0">
      <selection activeCell="H59" sqref="H59"/>
    </sheetView>
  </sheetViews>
  <sheetFormatPr baseColWidth="10" defaultColWidth="8.42578125" defaultRowHeight="12.75" x14ac:dyDescent="0.2"/>
  <cols>
    <col min="1" max="1" width="10" style="90" bestFit="1" customWidth="1"/>
    <col min="2" max="2" width="44.28515625" style="90" bestFit="1" customWidth="1"/>
    <col min="3" max="3" width="10.42578125" style="90" bestFit="1" customWidth="1"/>
    <col min="4" max="4" width="10.42578125" style="90" customWidth="1"/>
    <col min="5" max="5" width="11" style="90" customWidth="1"/>
    <col min="6" max="6" width="9.5703125" style="90" bestFit="1" customWidth="1"/>
    <col min="7" max="7" width="10.85546875" style="172" customWidth="1"/>
    <col min="8" max="8" width="10.42578125" style="163" bestFit="1" customWidth="1"/>
    <col min="9" max="9" width="4.5703125" style="163" customWidth="1"/>
    <col min="10" max="10" width="1.85546875" style="89" customWidth="1"/>
    <col min="11" max="11" width="7" style="90" bestFit="1" customWidth="1"/>
    <col min="12" max="12" width="6.28515625" style="90" customWidth="1"/>
    <col min="13" max="13" width="20.42578125" style="90" customWidth="1"/>
    <col min="14" max="14" width="6.42578125" style="90" bestFit="1" customWidth="1"/>
    <col min="15" max="16" width="8.42578125" style="90"/>
    <col min="17" max="17" width="3.28515625" style="90" customWidth="1"/>
    <col min="18" max="16384" width="8.42578125" style="90"/>
  </cols>
  <sheetData>
    <row r="1" spans="1:10" ht="27.75" customHeight="1" x14ac:dyDescent="0.2">
      <c r="A1" s="85"/>
      <c r="B1" s="85"/>
      <c r="C1" s="85"/>
      <c r="D1" s="85"/>
      <c r="E1" s="86" t="s">
        <v>78</v>
      </c>
      <c r="F1" s="87" t="s">
        <v>79</v>
      </c>
      <c r="G1" s="87" t="s">
        <v>80</v>
      </c>
      <c r="H1" s="87" t="s">
        <v>81</v>
      </c>
      <c r="I1" s="88"/>
    </row>
    <row r="2" spans="1:10" ht="30.75" customHeight="1" x14ac:dyDescent="0.2">
      <c r="A2" s="85"/>
      <c r="B2" s="85"/>
      <c r="C2" s="85"/>
      <c r="D2" s="85"/>
      <c r="E2" s="91">
        <f>IFERROR(O62,"")</f>
        <v>1724.175</v>
      </c>
      <c r="F2" s="91">
        <f>IFERROR(H53,"")</f>
        <v>1342.4250000000002</v>
      </c>
      <c r="G2" s="91">
        <f>IFERROR(H54,"")</f>
        <v>155.08333333333334</v>
      </c>
      <c r="H2" s="91">
        <f>IFERROR(H56,"")</f>
        <v>109.08333333333334</v>
      </c>
      <c r="I2" s="92"/>
    </row>
    <row r="3" spans="1:10" ht="15" customHeight="1" x14ac:dyDescent="0.2">
      <c r="A3" s="85"/>
      <c r="B3" s="85"/>
      <c r="C3" s="85"/>
      <c r="D3" s="85"/>
      <c r="E3" s="85"/>
      <c r="F3" s="93"/>
      <c r="G3" s="93"/>
      <c r="H3" s="93"/>
      <c r="I3" s="93"/>
    </row>
    <row r="4" spans="1:10" ht="24.75" customHeight="1" thickBot="1" x14ac:dyDescent="0.25">
      <c r="A4" s="260"/>
      <c r="B4" s="260"/>
      <c r="C4" s="260"/>
      <c r="D4" s="260"/>
      <c r="E4" s="260"/>
      <c r="F4" s="260"/>
      <c r="G4" s="260"/>
      <c r="H4" s="260"/>
      <c r="I4" s="94"/>
    </row>
    <row r="5" spans="1:10" ht="19.5" customHeight="1" thickBot="1" x14ac:dyDescent="0.25">
      <c r="A5" s="261" t="s">
        <v>82</v>
      </c>
      <c r="B5" s="262"/>
      <c r="C5" s="262"/>
      <c r="D5" s="262"/>
      <c r="E5" s="262"/>
      <c r="F5" s="262"/>
      <c r="G5" s="262"/>
      <c r="H5" s="263"/>
      <c r="I5" s="95"/>
    </row>
    <row r="6" spans="1:10" ht="19.5" thickBot="1" x14ac:dyDescent="0.25">
      <c r="A6" s="95"/>
      <c r="B6" s="95"/>
      <c r="C6" s="95"/>
      <c r="D6" s="95"/>
      <c r="E6" s="95"/>
      <c r="F6" s="264" t="s">
        <v>83</v>
      </c>
      <c r="G6" s="264"/>
      <c r="H6" s="96">
        <f ca="1">TODAY()</f>
        <v>45891</v>
      </c>
      <c r="I6" s="96"/>
    </row>
    <row r="7" spans="1:10" ht="26.25" hidden="1" thickBot="1" x14ac:dyDescent="0.25">
      <c r="A7" s="97" t="s">
        <v>84</v>
      </c>
      <c r="B7" s="98" t="s">
        <v>85</v>
      </c>
      <c r="C7" s="98" t="s">
        <v>84</v>
      </c>
      <c r="D7" s="99" t="s">
        <v>86</v>
      </c>
      <c r="E7" s="99" t="s">
        <v>87</v>
      </c>
      <c r="F7" s="99" t="s">
        <v>88</v>
      </c>
      <c r="G7" s="99" t="s">
        <v>89</v>
      </c>
      <c r="H7" s="100" t="s">
        <v>90</v>
      </c>
      <c r="I7" s="101"/>
    </row>
    <row r="8" spans="1:10" ht="14.25" hidden="1" thickBot="1" x14ac:dyDescent="0.3">
      <c r="A8" s="102"/>
      <c r="B8" s="90" t="str">
        <f>IFERROR(VLOOKUP(H8,'[1]Consolidado MP Planta'!$A$2:$M$823,3,0),"")</f>
        <v/>
      </c>
      <c r="C8" s="103">
        <f>+A8</f>
        <v>0</v>
      </c>
      <c r="D8" s="104" t="str">
        <f>IFERROR(VLOOKUP(H8,'[1]Consolidado MP Planta'!$A$2:$M$823,13,0),"")</f>
        <v/>
      </c>
      <c r="E8" s="104" t="str">
        <f>IFERROR(VLOOKUP(H8,'[1]Consolidado MP Planta'!$A$2:$M$823,12,0),"")</f>
        <v/>
      </c>
      <c r="F8" s="104" t="str">
        <f>IFERROR(C8*E8,"")</f>
        <v/>
      </c>
      <c r="G8" s="105" t="str">
        <f t="shared" ref="G8:G14" si="0">IFERROR(F8/$F$66,"")</f>
        <v/>
      </c>
      <c r="H8" s="106"/>
      <c r="I8" s="106"/>
      <c r="J8" s="107"/>
    </row>
    <row r="9" spans="1:10" ht="14.25" hidden="1" thickBot="1" x14ac:dyDescent="0.3">
      <c r="A9" s="102"/>
      <c r="B9" s="90" t="str">
        <f>IFERROR(VLOOKUP(H9,'[1]Consolidado MP Planta'!$A$2:$M$823,3,0),"")</f>
        <v/>
      </c>
      <c r="C9" s="103">
        <f t="shared" ref="C9:C14" si="1">+A9</f>
        <v>0</v>
      </c>
      <c r="D9" s="104" t="str">
        <f>IFERROR(VLOOKUP(H9,'[1]Consolidado MP Planta'!$A$2:$M$823,13,0),"")</f>
        <v/>
      </c>
      <c r="E9" s="104" t="str">
        <f>IFERROR(VLOOKUP(H9,'[1]Consolidado MP Planta'!$A$2:$M$823,12,0),"")</f>
        <v/>
      </c>
      <c r="F9" s="104" t="str">
        <f t="shared" ref="F9:F14" si="2">IFERROR(C9*E9,"")</f>
        <v/>
      </c>
      <c r="G9" s="105" t="str">
        <f t="shared" si="0"/>
        <v/>
      </c>
      <c r="H9" s="106"/>
      <c r="I9" s="106"/>
      <c r="J9" s="107"/>
    </row>
    <row r="10" spans="1:10" ht="14.25" hidden="1" thickBot="1" x14ac:dyDescent="0.3">
      <c r="A10" s="102"/>
      <c r="B10" s="90" t="str">
        <f>IFERROR(VLOOKUP(H10,'[1]Consolidado MP Planta'!$A$2:$M$823,3,0),"")</f>
        <v/>
      </c>
      <c r="C10" s="103">
        <f t="shared" si="1"/>
        <v>0</v>
      </c>
      <c r="D10" s="104" t="str">
        <f>IFERROR(VLOOKUP(H10,'[1]Consolidado MP Planta'!$A$2:$M$823,13,0),"")</f>
        <v/>
      </c>
      <c r="E10" s="104" t="str">
        <f>IFERROR(VLOOKUP(H10,'[1]Consolidado MP Planta'!$A$2:$M$823,12,0),"")</f>
        <v/>
      </c>
      <c r="F10" s="104" t="str">
        <f t="shared" si="2"/>
        <v/>
      </c>
      <c r="G10" s="105" t="str">
        <f t="shared" si="0"/>
        <v/>
      </c>
      <c r="H10" s="106"/>
      <c r="I10" s="106"/>
      <c r="J10" s="107"/>
    </row>
    <row r="11" spans="1:10" ht="14.25" hidden="1" thickBot="1" x14ac:dyDescent="0.3">
      <c r="A11" s="102"/>
      <c r="B11" s="90" t="str">
        <f>IFERROR(VLOOKUP(H11,'[1]Consolidado MP Planta'!$A$2:$M$823,3,0),"")</f>
        <v/>
      </c>
      <c r="C11" s="103">
        <f t="shared" si="1"/>
        <v>0</v>
      </c>
      <c r="D11" s="104" t="str">
        <f>IFERROR(VLOOKUP(H11,'[1]Consolidado MP Planta'!$A$2:$M$823,13,0),"")</f>
        <v/>
      </c>
      <c r="E11" s="104" t="str">
        <f>IFERROR(VLOOKUP(H11,'[1]Consolidado MP Planta'!$A$2:$M$823,12,0),"")</f>
        <v/>
      </c>
      <c r="F11" s="104" t="str">
        <f t="shared" si="2"/>
        <v/>
      </c>
      <c r="G11" s="105" t="str">
        <f t="shared" si="0"/>
        <v/>
      </c>
      <c r="H11" s="106"/>
      <c r="I11" s="106"/>
      <c r="J11" s="107"/>
    </row>
    <row r="12" spans="1:10" ht="14.25" hidden="1" thickBot="1" x14ac:dyDescent="0.3">
      <c r="A12" s="102"/>
      <c r="B12" s="90" t="str">
        <f>IFERROR(VLOOKUP(H12,'[1]Consolidado MP Planta'!$A$2:$M$823,3,0),"")</f>
        <v/>
      </c>
      <c r="C12" s="103">
        <f t="shared" si="1"/>
        <v>0</v>
      </c>
      <c r="D12" s="104" t="str">
        <f>IFERROR(VLOOKUP(H12,'[1]Consolidado MP Planta'!$A$2:$M$823,13,0),"")</f>
        <v/>
      </c>
      <c r="E12" s="104" t="str">
        <f>IFERROR(VLOOKUP(H12,'[1]Consolidado MP Planta'!$A$2:$M$823,12,0),"")</f>
        <v/>
      </c>
      <c r="F12" s="104" t="str">
        <f t="shared" si="2"/>
        <v/>
      </c>
      <c r="G12" s="105" t="str">
        <f t="shared" si="0"/>
        <v/>
      </c>
      <c r="H12" s="106"/>
      <c r="I12" s="106"/>
      <c r="J12" s="107"/>
    </row>
    <row r="13" spans="1:10" ht="14.25" hidden="1" thickBot="1" x14ac:dyDescent="0.3">
      <c r="A13" s="102"/>
      <c r="B13" s="90" t="str">
        <f>IFERROR(VLOOKUP(H13,'[1]Consolidado MP Planta'!$A$2:$M$823,3,0),"")</f>
        <v/>
      </c>
      <c r="C13" s="103">
        <f t="shared" si="1"/>
        <v>0</v>
      </c>
      <c r="D13" s="104" t="str">
        <f>IFERROR(VLOOKUP(H13,'[1]Consolidado MP Planta'!$A$2:$M$823,13,0),"")</f>
        <v/>
      </c>
      <c r="E13" s="104" t="str">
        <f>IFERROR(VLOOKUP(H13,'[1]Consolidado MP Planta'!$A$2:$M$823,12,0),"")</f>
        <v/>
      </c>
      <c r="F13" s="104" t="str">
        <f t="shared" si="2"/>
        <v/>
      </c>
      <c r="G13" s="105" t="str">
        <f t="shared" si="0"/>
        <v/>
      </c>
      <c r="H13" s="106"/>
      <c r="I13" s="106"/>
      <c r="J13" s="107"/>
    </row>
    <row r="14" spans="1:10" ht="14.25" hidden="1" thickBot="1" x14ac:dyDescent="0.3">
      <c r="A14" s="102"/>
      <c r="B14" s="90" t="str">
        <f>IFERROR(VLOOKUP(H14,'[1]Consolidado MP Planta'!$A$2:$M$823,3,0),"")</f>
        <v/>
      </c>
      <c r="C14" s="103">
        <f t="shared" si="1"/>
        <v>0</v>
      </c>
      <c r="D14" s="104" t="str">
        <f>IFERROR(VLOOKUP(H14,'[1]Consolidado MP Planta'!$A$2:$M$823,13,0),"")</f>
        <v/>
      </c>
      <c r="E14" s="104" t="str">
        <f>IFERROR(VLOOKUP(H14,'[1]Consolidado MP Planta'!$A$2:$M$823,12,0),"")</f>
        <v/>
      </c>
      <c r="F14" s="104" t="str">
        <f t="shared" si="2"/>
        <v/>
      </c>
      <c r="G14" s="105" t="str">
        <f t="shared" si="0"/>
        <v/>
      </c>
      <c r="H14" s="106"/>
      <c r="I14" s="106"/>
      <c r="J14" s="107"/>
    </row>
    <row r="15" spans="1:10" ht="14.25" hidden="1" thickBot="1" x14ac:dyDescent="0.3">
      <c r="A15" s="102"/>
      <c r="B15" s="90" t="str">
        <f>IFERROR(VLOOKUP(H15,[2]Hoja2!$A$2:$G$589,2,0),"")</f>
        <v/>
      </c>
      <c r="C15" s="103"/>
      <c r="D15" s="104"/>
      <c r="E15" s="104"/>
      <c r="F15" s="104"/>
      <c r="G15" s="105"/>
      <c r="H15" s="106"/>
      <c r="I15" s="106"/>
      <c r="J15" s="107"/>
    </row>
    <row r="16" spans="1:10" ht="26.25" thickBot="1" x14ac:dyDescent="0.25">
      <c r="A16" s="97" t="s">
        <v>84</v>
      </c>
      <c r="B16" s="98" t="s">
        <v>91</v>
      </c>
      <c r="C16" s="98" t="s">
        <v>84</v>
      </c>
      <c r="D16" s="99" t="s">
        <v>86</v>
      </c>
      <c r="E16" s="99" t="s">
        <v>87</v>
      </c>
      <c r="F16" s="99" t="s">
        <v>88</v>
      </c>
      <c r="G16" s="99" t="s">
        <v>89</v>
      </c>
      <c r="H16" s="100" t="s">
        <v>90</v>
      </c>
      <c r="I16" s="101"/>
      <c r="J16" s="107"/>
    </row>
    <row r="17" spans="1:27" ht="13.5" x14ac:dyDescent="0.25">
      <c r="A17" s="102">
        <v>400</v>
      </c>
      <c r="B17" s="90" t="s">
        <v>62</v>
      </c>
      <c r="C17" s="103">
        <f>+A17</f>
        <v>400</v>
      </c>
      <c r="D17" s="103" t="s">
        <v>130</v>
      </c>
      <c r="E17" s="104">
        <f>+'Costo Granola '!E71</f>
        <v>3.3560625000000002</v>
      </c>
      <c r="F17" s="104">
        <f>IFERROR(E17*C17,"")</f>
        <v>1342.4250000000002</v>
      </c>
      <c r="G17" s="105">
        <f t="shared" ref="G17:G24" si="3">IFERROR(F17/$F$66,"")</f>
        <v>0.83830472512840937</v>
      </c>
      <c r="H17" s="106"/>
      <c r="I17" s="106"/>
      <c r="J17" s="107"/>
    </row>
    <row r="18" spans="1:27" ht="13.5" hidden="1" x14ac:dyDescent="0.25">
      <c r="A18" s="102"/>
      <c r="B18" s="90" t="str">
        <f>IFERROR(VLOOKUP(H18,[1]SEMIELABORADOS!$A$2:$M$6000,2,0),"")</f>
        <v/>
      </c>
      <c r="C18" s="103">
        <f t="shared" ref="C18:C24" si="4">+A18</f>
        <v>0</v>
      </c>
      <c r="D18" s="103" t="str">
        <f>IFERROR(VLOOKUP(H18,[1]SEMIELABORADOS!$A$2:$M$6000,6,0),"")</f>
        <v/>
      </c>
      <c r="E18" s="104" t="str">
        <f>IFERROR(VLOOKUP(H18,[1]SEMIELABORADOS!$A$2:$H$65536,8,0),"")</f>
        <v/>
      </c>
      <c r="F18" s="104" t="str">
        <f t="shared" ref="F18:F24" si="5">IFERROR(E18*C18,"")</f>
        <v/>
      </c>
      <c r="G18" s="105" t="str">
        <f t="shared" si="3"/>
        <v/>
      </c>
      <c r="H18" s="106"/>
      <c r="I18" s="106"/>
      <c r="J18" s="107"/>
    </row>
    <row r="19" spans="1:27" ht="13.5" hidden="1" x14ac:dyDescent="0.25">
      <c r="A19" s="102"/>
      <c r="B19" s="90" t="str">
        <f>IFERROR(VLOOKUP(H19,[1]SEMIELABORADOS!$A$2:$M$6000,2,0),"")</f>
        <v/>
      </c>
      <c r="C19" s="103">
        <f>+A19</f>
        <v>0</v>
      </c>
      <c r="D19" s="103" t="str">
        <f>IFERROR(VLOOKUP(H19,[1]SEMIELABORADOS!$A$2:$M$6000,6,0),"")</f>
        <v/>
      </c>
      <c r="E19" s="104" t="str">
        <f>IFERROR(VLOOKUP(H19,[1]SEMIELABORADOS!$A$2:$H$65536,8,0),"")</f>
        <v/>
      </c>
      <c r="F19" s="104" t="str">
        <f>IFERROR(E19*C19,"")</f>
        <v/>
      </c>
      <c r="G19" s="105" t="str">
        <f t="shared" si="3"/>
        <v/>
      </c>
      <c r="H19" s="106"/>
      <c r="I19" s="106"/>
      <c r="J19" s="107"/>
    </row>
    <row r="20" spans="1:27" ht="13.5" hidden="1" x14ac:dyDescent="0.25">
      <c r="A20" s="102"/>
      <c r="B20" s="90" t="str">
        <f>IFERROR(VLOOKUP(H20,[1]SEMIELABORADOS!$A$2:$M$6000,2,0),"")</f>
        <v/>
      </c>
      <c r="C20" s="103">
        <f>+A20</f>
        <v>0</v>
      </c>
      <c r="D20" s="103" t="str">
        <f>IFERROR(VLOOKUP(H20,[1]SEMIELABORADOS!$A$2:$M$6000,6,0),"")</f>
        <v/>
      </c>
      <c r="E20" s="104" t="str">
        <f>IFERROR(VLOOKUP(H20,[1]SEMIELABORADOS!$A$2:$H$65536,8,0),"")</f>
        <v/>
      </c>
      <c r="F20" s="104" t="str">
        <f>IFERROR(E20*C20,"")</f>
        <v/>
      </c>
      <c r="G20" s="105" t="str">
        <f t="shared" si="3"/>
        <v/>
      </c>
      <c r="H20" s="106"/>
      <c r="I20" s="106"/>
      <c r="J20" s="107"/>
    </row>
    <row r="21" spans="1:27" ht="13.5" hidden="1" x14ac:dyDescent="0.25">
      <c r="A21" s="102"/>
      <c r="B21" s="90" t="str">
        <f>IFERROR(VLOOKUP(H21,[1]SEMIELABORADOS!$A$2:$M$6000,2,0),"")</f>
        <v/>
      </c>
      <c r="C21" s="103">
        <f>+A21</f>
        <v>0</v>
      </c>
      <c r="D21" s="103" t="str">
        <f>IFERROR(VLOOKUP(H21,[1]SEMIELABORADOS!$A$2:$M$6000,6,0),"")</f>
        <v/>
      </c>
      <c r="E21" s="104" t="str">
        <f>IFERROR(VLOOKUP(H21,[1]SEMIELABORADOS!$A$2:$H$65536,8,0),"")</f>
        <v/>
      </c>
      <c r="F21" s="104" t="str">
        <f>IFERROR(E21*C21,"")</f>
        <v/>
      </c>
      <c r="G21" s="105" t="str">
        <f t="shared" si="3"/>
        <v/>
      </c>
      <c r="H21" s="106"/>
      <c r="I21" s="106"/>
      <c r="J21" s="107"/>
    </row>
    <row r="22" spans="1:27" ht="13.5" hidden="1" x14ac:dyDescent="0.25">
      <c r="A22" s="102"/>
      <c r="B22" s="90" t="str">
        <f>IFERROR(VLOOKUP(H22,[1]SEMIELABORADOS!$A$2:$M$6000,2,0),"")</f>
        <v/>
      </c>
      <c r="C22" s="103">
        <f t="shared" si="4"/>
        <v>0</v>
      </c>
      <c r="D22" s="103" t="str">
        <f>IFERROR(VLOOKUP(H22,[1]SEMIELABORADOS!$A$2:$M$6000,6,0),"")</f>
        <v/>
      </c>
      <c r="E22" s="104" t="str">
        <f>IFERROR(VLOOKUP(H22,[1]SEMIELABORADOS!$A$2:$H$65536,8,0),"")</f>
        <v/>
      </c>
      <c r="F22" s="104" t="str">
        <f t="shared" si="5"/>
        <v/>
      </c>
      <c r="G22" s="105" t="str">
        <f t="shared" si="3"/>
        <v/>
      </c>
      <c r="H22" s="106"/>
      <c r="I22" s="106"/>
      <c r="J22" s="107"/>
    </row>
    <row r="23" spans="1:27" ht="13.5" hidden="1" x14ac:dyDescent="0.25">
      <c r="A23" s="102"/>
      <c r="B23" s="90" t="str">
        <f>IFERROR(VLOOKUP(H23,[1]SEMIELABORADOS!$A$2:$M$6000,2,0),"")</f>
        <v/>
      </c>
      <c r="C23" s="103">
        <f t="shared" si="4"/>
        <v>0</v>
      </c>
      <c r="D23" s="103" t="str">
        <f>IFERROR(VLOOKUP(H23,[1]SEMIELABORADOS!$A$2:$M$6000,6,0),"")</f>
        <v/>
      </c>
      <c r="E23" s="104" t="str">
        <f>IFERROR(VLOOKUP(H23,[1]SEMIELABORADOS!$A$2:$H$65536,8,0),"")</f>
        <v/>
      </c>
      <c r="F23" s="104" t="str">
        <f t="shared" si="5"/>
        <v/>
      </c>
      <c r="G23" s="105" t="str">
        <f t="shared" si="3"/>
        <v/>
      </c>
      <c r="H23" s="106"/>
      <c r="I23" s="106"/>
      <c r="J23" s="107"/>
    </row>
    <row r="24" spans="1:27" ht="13.5" hidden="1" x14ac:dyDescent="0.25">
      <c r="A24" s="102"/>
      <c r="B24" s="90" t="str">
        <f>IFERROR(VLOOKUP(H24,[1]SEMIELABORADOS!$A$2:$M$6000,2,0),"")</f>
        <v/>
      </c>
      <c r="C24" s="103">
        <f t="shared" si="4"/>
        <v>0</v>
      </c>
      <c r="D24" s="103" t="str">
        <f>IFERROR(VLOOKUP(H24,[1]SEMIELABORADOS!$A$2:$M$6000,6,0),"")</f>
        <v/>
      </c>
      <c r="E24" s="104" t="str">
        <f>IFERROR(VLOOKUP(H24,[1]SEMIELABORADOS!$A$2:$H$65536,8,0),"")</f>
        <v/>
      </c>
      <c r="F24" s="104" t="str">
        <f t="shared" si="5"/>
        <v/>
      </c>
      <c r="G24" s="105" t="str">
        <f t="shared" si="3"/>
        <v/>
      </c>
      <c r="H24" s="106"/>
      <c r="I24" s="106"/>
      <c r="J24" s="107"/>
    </row>
    <row r="25" spans="1:27" ht="14.25" thickBot="1" x14ac:dyDescent="0.3">
      <c r="A25" s="102"/>
      <c r="C25" s="103"/>
      <c r="D25" s="103"/>
      <c r="E25" s="104"/>
      <c r="F25" s="104"/>
      <c r="G25" s="105"/>
      <c r="H25" s="106"/>
      <c r="I25" s="106"/>
      <c r="J25" s="107"/>
    </row>
    <row r="26" spans="1:27" ht="26.25" thickBot="1" x14ac:dyDescent="0.25">
      <c r="A26" s="97" t="s">
        <v>84</v>
      </c>
      <c r="B26" s="98" t="s">
        <v>92</v>
      </c>
      <c r="C26" s="98" t="s">
        <v>84</v>
      </c>
      <c r="D26" s="99" t="s">
        <v>86</v>
      </c>
      <c r="E26" s="99" t="s">
        <v>87</v>
      </c>
      <c r="F26" s="99" t="s">
        <v>88</v>
      </c>
      <c r="G26" s="99" t="s">
        <v>89</v>
      </c>
      <c r="H26" s="100" t="s">
        <v>90</v>
      </c>
      <c r="I26" s="101"/>
    </row>
    <row r="27" spans="1:27" ht="13.5" x14ac:dyDescent="0.25">
      <c r="A27" s="102">
        <v>1</v>
      </c>
      <c r="B27" s="108" t="s">
        <v>73</v>
      </c>
      <c r="C27" s="103">
        <f t="shared" ref="C27:C32" si="6">+A27</f>
        <v>1</v>
      </c>
      <c r="D27" s="104" t="s">
        <v>131</v>
      </c>
      <c r="E27" s="104">
        <v>142.13999999999999</v>
      </c>
      <c r="F27" s="104">
        <f t="shared" ref="F27:F32" si="7">IFERROR(C27*E27,"")</f>
        <v>142.13999999999999</v>
      </c>
      <c r="G27" s="105">
        <f t="shared" ref="G27:G32" si="8">IFERROR(F27/$F$66,"")</f>
        <v>8.8762227781628081E-2</v>
      </c>
      <c r="H27" s="109" t="s">
        <v>63</v>
      </c>
      <c r="I27" s="109"/>
      <c r="J27" s="107"/>
      <c r="K27" s="259"/>
      <c r="L27" s="259"/>
      <c r="M27" s="90">
        <v>2.2000000000000002</v>
      </c>
      <c r="X27" s="90">
        <f>14214/100</f>
        <v>142.13999999999999</v>
      </c>
    </row>
    <row r="28" spans="1:27" ht="13.5" x14ac:dyDescent="0.25">
      <c r="A28" s="102">
        <v>1</v>
      </c>
      <c r="B28" s="108" t="s">
        <v>67</v>
      </c>
      <c r="C28" s="103">
        <f t="shared" si="6"/>
        <v>1</v>
      </c>
      <c r="D28" s="104" t="s">
        <v>131</v>
      </c>
      <c r="E28" s="104">
        <v>0.57999999999999996</v>
      </c>
      <c r="F28" s="104">
        <f t="shared" si="7"/>
        <v>0.57999999999999996</v>
      </c>
      <c r="G28" s="105">
        <f t="shared" si="8"/>
        <v>3.6219285291504356E-4</v>
      </c>
      <c r="H28" s="109" t="s">
        <v>66</v>
      </c>
      <c r="I28" s="109"/>
      <c r="J28" s="107"/>
      <c r="K28" s="259"/>
      <c r="L28" s="259"/>
    </row>
    <row r="29" spans="1:27" ht="13.5" x14ac:dyDescent="0.25">
      <c r="A29" s="102">
        <v>1</v>
      </c>
      <c r="B29" s="108" t="s">
        <v>70</v>
      </c>
      <c r="C29" s="103">
        <f t="shared" si="6"/>
        <v>1</v>
      </c>
      <c r="D29" s="104" t="s">
        <v>131</v>
      </c>
      <c r="E29" s="104">
        <v>0.28000000000000003</v>
      </c>
      <c r="F29" s="104">
        <f t="shared" si="7"/>
        <v>0.28000000000000003</v>
      </c>
      <c r="G29" s="105">
        <f t="shared" si="8"/>
        <v>1.7485172209691759E-4</v>
      </c>
      <c r="H29" s="109" t="s">
        <v>69</v>
      </c>
      <c r="I29" s="109"/>
      <c r="J29" s="107"/>
      <c r="K29" s="259"/>
      <c r="L29" s="259"/>
      <c r="AA29" s="90">
        <f>8910/100</f>
        <v>89.1</v>
      </c>
    </row>
    <row r="30" spans="1:27" ht="13.5" hidden="1" x14ac:dyDescent="0.25">
      <c r="A30" s="102"/>
      <c r="B30" s="108" t="str">
        <f>IFERROR(VLOOKUP(H30,'[1]Consolidado MP Planta'!$A$2:$M$823,3,0),"")</f>
        <v/>
      </c>
      <c r="C30" s="103">
        <f t="shared" si="6"/>
        <v>0</v>
      </c>
      <c r="D30" s="104" t="str">
        <f>IFERROR(VLOOKUP(H30,'[1]Consolidado MP Planta'!$A$2:$M$823,13,0),"")</f>
        <v/>
      </c>
      <c r="E30" s="104" t="str">
        <f>IFERROR(VLOOKUP(H30,'[1]Consolidado MP Planta'!$A$2:$M$823,12,0),"")</f>
        <v/>
      </c>
      <c r="F30" s="104" t="str">
        <f t="shared" si="7"/>
        <v/>
      </c>
      <c r="G30" s="105" t="str">
        <f t="shared" si="8"/>
        <v/>
      </c>
      <c r="H30" s="109"/>
      <c r="I30" s="109"/>
      <c r="J30" s="107"/>
      <c r="K30" s="259"/>
      <c r="L30" s="259"/>
    </row>
    <row r="31" spans="1:27" ht="13.5" hidden="1" x14ac:dyDescent="0.25">
      <c r="A31" s="102"/>
      <c r="B31" s="108" t="str">
        <f>IFERROR(VLOOKUP(H31,'[1]Consolidado MP Planta'!$A$2:$M$823,3,0),"")</f>
        <v/>
      </c>
      <c r="C31" s="103">
        <f t="shared" si="6"/>
        <v>0</v>
      </c>
      <c r="D31" s="104" t="str">
        <f>IFERROR(VLOOKUP(H31,'[1]Consolidado MP Planta'!$A$2:$M$823,13,0),"")</f>
        <v/>
      </c>
      <c r="E31" s="104" t="str">
        <f>IFERROR(VLOOKUP(H31,'[1]Consolidado MP Planta'!$A$2:$M$823,12,0),"")</f>
        <v/>
      </c>
      <c r="F31" s="104" t="str">
        <f t="shared" si="7"/>
        <v/>
      </c>
      <c r="G31" s="105" t="str">
        <f t="shared" si="8"/>
        <v/>
      </c>
      <c r="H31" s="109"/>
      <c r="I31" s="109"/>
      <c r="J31" s="107"/>
      <c r="K31" s="110"/>
      <c r="L31" s="111"/>
    </row>
    <row r="32" spans="1:27" ht="13.5" hidden="1" x14ac:dyDescent="0.25">
      <c r="A32" s="102"/>
      <c r="B32" s="108" t="str">
        <f>IFERROR(VLOOKUP(H32,'[1]Consolidado MP Planta'!$A$2:$M$823,3,0),"")</f>
        <v/>
      </c>
      <c r="C32" s="103">
        <f t="shared" si="6"/>
        <v>0</v>
      </c>
      <c r="D32" s="104" t="str">
        <f>IFERROR(VLOOKUP(H32,'[1]Consolidado MP Planta'!$A$2:$M$823,13,0),"")</f>
        <v/>
      </c>
      <c r="E32" s="104" t="str">
        <f>IFERROR(VLOOKUP(H32,'[1]Consolidado MP Planta'!$A$2:$M$823,12,0),"")</f>
        <v/>
      </c>
      <c r="F32" s="104" t="str">
        <f t="shared" si="7"/>
        <v/>
      </c>
      <c r="G32" s="105" t="str">
        <f t="shared" si="8"/>
        <v/>
      </c>
      <c r="H32" s="109"/>
      <c r="I32" s="109"/>
      <c r="J32" s="107"/>
    </row>
    <row r="33" spans="1:13" ht="14.25" thickBot="1" x14ac:dyDescent="0.3">
      <c r="A33" s="102"/>
      <c r="B33" s="108"/>
      <c r="C33" s="103"/>
      <c r="D33" s="104"/>
      <c r="E33" s="104"/>
      <c r="F33" s="104"/>
      <c r="G33" s="105"/>
      <c r="H33" s="109"/>
      <c r="I33" s="109"/>
      <c r="J33" s="107"/>
    </row>
    <row r="34" spans="1:13" ht="26.25" thickBot="1" x14ac:dyDescent="0.25">
      <c r="A34" s="97" t="s">
        <v>84</v>
      </c>
      <c r="B34" s="98" t="s">
        <v>93</v>
      </c>
      <c r="C34" s="98" t="s">
        <v>84</v>
      </c>
      <c r="D34" s="99" t="s">
        <v>86</v>
      </c>
      <c r="E34" s="99" t="s">
        <v>87</v>
      </c>
      <c r="F34" s="99" t="s">
        <v>88</v>
      </c>
      <c r="G34" s="99" t="s">
        <v>89</v>
      </c>
      <c r="H34" s="100" t="s">
        <v>90</v>
      </c>
      <c r="I34" s="109"/>
      <c r="J34" s="107"/>
    </row>
    <row r="35" spans="1:13" ht="13.5" x14ac:dyDescent="0.25">
      <c r="A35" s="102">
        <f>+A17</f>
        <v>400</v>
      </c>
      <c r="B35" s="90" t="s">
        <v>62</v>
      </c>
      <c r="C35" s="103">
        <f>+A35</f>
        <v>400</v>
      </c>
      <c r="D35" s="104" t="s">
        <v>130</v>
      </c>
      <c r="E35" s="104">
        <f>+'Costo Granola '!E78</f>
        <v>3.0208333333333334E-2</v>
      </c>
      <c r="F35" s="104">
        <f>IFERROR(E35*C35,"")</f>
        <v>12.083333333333334</v>
      </c>
      <c r="G35" s="105">
        <f t="shared" ref="G35:G41" si="9">IFERROR(F35/$F$66,"")</f>
        <v>7.5456844357300748E-3</v>
      </c>
      <c r="H35" s="109"/>
      <c r="I35" s="109"/>
      <c r="J35" s="107"/>
    </row>
    <row r="36" spans="1:13" ht="13.5" hidden="1" x14ac:dyDescent="0.25">
      <c r="A36" s="102">
        <f t="shared" ref="A36:A41" si="10">+A18</f>
        <v>0</v>
      </c>
      <c r="B36" s="108" t="str">
        <f>IFERROR(VLOOKUP(H36,[1]SEMIELABORADOS!$A$2:$M$6000,2,0),"")</f>
        <v/>
      </c>
      <c r="C36" s="103">
        <f t="shared" ref="C36:C41" si="11">+A36</f>
        <v>0</v>
      </c>
      <c r="D36" s="104" t="str">
        <f>IFERROR(VLOOKUP(H36,[1]SEMIELABORADOS!$A$2:$M$6000,6,0),"")</f>
        <v/>
      </c>
      <c r="E36" s="104" t="str">
        <f>IFERROR(VLOOKUP(H36,[1]SEMIELABORADOS!$A$2:$M$65536,10,0),"")</f>
        <v/>
      </c>
      <c r="F36" s="104" t="str">
        <f t="shared" ref="F36:F41" si="12">IFERROR(E36*C36,"")</f>
        <v/>
      </c>
      <c r="G36" s="105" t="str">
        <f t="shared" si="9"/>
        <v/>
      </c>
      <c r="H36" s="109"/>
      <c r="I36" s="109"/>
      <c r="J36" s="107"/>
    </row>
    <row r="37" spans="1:13" ht="13.5" hidden="1" x14ac:dyDescent="0.25">
      <c r="A37" s="102">
        <f t="shared" si="10"/>
        <v>0</v>
      </c>
      <c r="B37" s="108" t="str">
        <f>IFERROR(VLOOKUP(H37,[1]SEMIELABORADOS!$A$2:$M$6000,2,0),"")</f>
        <v/>
      </c>
      <c r="C37" s="103">
        <f t="shared" si="11"/>
        <v>0</v>
      </c>
      <c r="D37" s="104" t="str">
        <f>IFERROR(VLOOKUP(H37,[1]SEMIELABORADOS!$A$2:$M$6000,6,0),"")</f>
        <v/>
      </c>
      <c r="E37" s="104" t="str">
        <f>IFERROR(VLOOKUP(H37,[1]SEMIELABORADOS!$A$2:$M$65536,10,0),"")</f>
        <v/>
      </c>
      <c r="F37" s="104" t="str">
        <f t="shared" si="12"/>
        <v/>
      </c>
      <c r="G37" s="105" t="str">
        <f t="shared" si="9"/>
        <v/>
      </c>
      <c r="H37" s="109"/>
      <c r="I37" s="109"/>
      <c r="J37" s="107"/>
    </row>
    <row r="38" spans="1:13" ht="13.5" hidden="1" x14ac:dyDescent="0.25">
      <c r="A38" s="102">
        <f t="shared" si="10"/>
        <v>0</v>
      </c>
      <c r="B38" s="108" t="str">
        <f>IFERROR(VLOOKUP(H38,[1]SEMIELABORADOS!$A$2:$M$6000,2,0),"")</f>
        <v/>
      </c>
      <c r="C38" s="103">
        <f>+A38</f>
        <v>0</v>
      </c>
      <c r="D38" s="104" t="str">
        <f>IFERROR(VLOOKUP(H38,[1]SEMIELABORADOS!$A$2:$M$6000,6,0),"")</f>
        <v/>
      </c>
      <c r="E38" s="104" t="str">
        <f>IFERROR(VLOOKUP(H38,[1]SEMIELABORADOS!$A$2:$M$65536,10,0),"")</f>
        <v/>
      </c>
      <c r="F38" s="104" t="str">
        <f>IFERROR(E38*C38,"")</f>
        <v/>
      </c>
      <c r="G38" s="105" t="str">
        <f t="shared" si="9"/>
        <v/>
      </c>
      <c r="H38" s="109"/>
      <c r="I38" s="109"/>
      <c r="J38" s="107"/>
    </row>
    <row r="39" spans="1:13" ht="13.5" hidden="1" x14ac:dyDescent="0.25">
      <c r="A39" s="102">
        <f t="shared" si="10"/>
        <v>0</v>
      </c>
      <c r="B39" s="108" t="str">
        <f>IFERROR(VLOOKUP(H39,[1]SEMIELABORADOS!$A$2:$M$6000,2,0),"")</f>
        <v/>
      </c>
      <c r="C39" s="103">
        <f>+A39</f>
        <v>0</v>
      </c>
      <c r="D39" s="104" t="str">
        <f>IFERROR(VLOOKUP(H39,[1]SEMIELABORADOS!$A$2:$M$6000,6,0),"")</f>
        <v/>
      </c>
      <c r="E39" s="104" t="str">
        <f>IFERROR(VLOOKUP(H39,[1]SEMIELABORADOS!$A$2:$M$65536,10,0),"")</f>
        <v/>
      </c>
      <c r="F39" s="104" t="str">
        <f>IFERROR(E39*C39,"")</f>
        <v/>
      </c>
      <c r="G39" s="105" t="str">
        <f t="shared" si="9"/>
        <v/>
      </c>
      <c r="H39" s="109"/>
      <c r="I39" s="109"/>
      <c r="J39" s="107"/>
    </row>
    <row r="40" spans="1:13" ht="13.5" hidden="1" x14ac:dyDescent="0.25">
      <c r="A40" s="102">
        <f t="shared" si="10"/>
        <v>0</v>
      </c>
      <c r="B40" s="108" t="str">
        <f>IFERROR(VLOOKUP(H40,[1]SEMIELABORADOS!$A$2:$M$6000,2,0),"")</f>
        <v/>
      </c>
      <c r="C40" s="103">
        <f t="shared" si="11"/>
        <v>0</v>
      </c>
      <c r="D40" s="104" t="str">
        <f>IFERROR(VLOOKUP(H40,[1]SEMIELABORADOS!$A$2:$M$6000,6,0),"")</f>
        <v/>
      </c>
      <c r="E40" s="104" t="str">
        <f>IFERROR(VLOOKUP(H40,[1]SEMIELABORADOS!$A$2:$M$65536,10,0),"")</f>
        <v/>
      </c>
      <c r="F40" s="104" t="str">
        <f t="shared" si="12"/>
        <v/>
      </c>
      <c r="G40" s="105" t="str">
        <f t="shared" si="9"/>
        <v/>
      </c>
      <c r="H40" s="109"/>
      <c r="I40" s="109"/>
      <c r="J40" s="107"/>
    </row>
    <row r="41" spans="1:13" ht="13.5" hidden="1" x14ac:dyDescent="0.25">
      <c r="A41" s="102">
        <f t="shared" si="10"/>
        <v>0</v>
      </c>
      <c r="B41" s="108" t="str">
        <f>IFERROR(VLOOKUP(H41,[1]SEMIELABORADOS!$A$2:$M$6000,2,0),"")</f>
        <v/>
      </c>
      <c r="C41" s="103">
        <f t="shared" si="11"/>
        <v>0</v>
      </c>
      <c r="D41" s="104" t="str">
        <f>IFERROR(VLOOKUP(H41,[1]SEMIELABORADOS!$A$2:$M$6000,6,0),"")</f>
        <v/>
      </c>
      <c r="E41" s="104" t="str">
        <f>IFERROR(VLOOKUP(H41,[1]SEMIELABORADOS!$A$2:$M$65536,10,0),"")</f>
        <v/>
      </c>
      <c r="F41" s="104" t="str">
        <f t="shared" si="12"/>
        <v/>
      </c>
      <c r="G41" s="105" t="str">
        <f t="shared" si="9"/>
        <v/>
      </c>
      <c r="H41" s="109"/>
      <c r="I41" s="109"/>
      <c r="J41" s="107"/>
    </row>
    <row r="42" spans="1:13" ht="14.25" thickBot="1" x14ac:dyDescent="0.3">
      <c r="A42" s="102"/>
      <c r="B42" s="108"/>
      <c r="C42" s="103"/>
      <c r="D42" s="104"/>
      <c r="E42" s="104"/>
      <c r="F42" s="104"/>
      <c r="G42" s="105"/>
      <c r="H42" s="109"/>
      <c r="I42" s="109"/>
      <c r="J42" s="107"/>
    </row>
    <row r="43" spans="1:13" ht="26.25" thickBot="1" x14ac:dyDescent="0.25">
      <c r="A43" s="97" t="s">
        <v>84</v>
      </c>
      <c r="B43" s="98" t="s">
        <v>94</v>
      </c>
      <c r="C43" s="98" t="s">
        <v>84</v>
      </c>
      <c r="D43" s="99" t="s">
        <v>86</v>
      </c>
      <c r="E43" s="99" t="s">
        <v>87</v>
      </c>
      <c r="F43" s="99" t="s">
        <v>88</v>
      </c>
      <c r="G43" s="99" t="s">
        <v>89</v>
      </c>
      <c r="H43" s="100" t="s">
        <v>90</v>
      </c>
      <c r="I43" s="101"/>
      <c r="J43" s="107"/>
    </row>
    <row r="44" spans="1:13" ht="13.5" x14ac:dyDescent="0.25">
      <c r="A44" s="102">
        <f>+A35</f>
        <v>400</v>
      </c>
      <c r="B44" s="90" t="s">
        <v>62</v>
      </c>
      <c r="C44" s="103">
        <f>+A44</f>
        <v>400</v>
      </c>
      <c r="D44" s="104" t="s">
        <v>130</v>
      </c>
      <c r="E44" s="104">
        <f>+'Costo Granola '!E76</f>
        <v>8.020833333333334E-2</v>
      </c>
      <c r="F44" s="104">
        <f>IFERROR(E44*C44,"")</f>
        <v>32.083333333333336</v>
      </c>
      <c r="G44" s="105">
        <f>IFERROR(F44/$F$66,"")</f>
        <v>2.0035093156938476E-2</v>
      </c>
      <c r="H44" s="109"/>
      <c r="I44" s="101"/>
      <c r="J44" s="107"/>
    </row>
    <row r="45" spans="1:13" ht="13.5" hidden="1" x14ac:dyDescent="0.25">
      <c r="A45" s="102">
        <f t="shared" ref="A45:A50" si="13">+A36</f>
        <v>0</v>
      </c>
      <c r="B45" s="108" t="str">
        <f>IFERROR(VLOOKUP(H45,[1]SEMIELABORADOS!$A$2:$M$6000,2,0),"")</f>
        <v/>
      </c>
      <c r="C45" s="103">
        <f t="shared" ref="C45:C50" si="14">+A45</f>
        <v>0</v>
      </c>
      <c r="D45" s="104" t="str">
        <f>IFERROR(VLOOKUP(H45,[1]SEMIELABORADOS!$A$2:$M$6000,6,0),"")</f>
        <v/>
      </c>
      <c r="E45" s="104" t="str">
        <f>IFERROR(VLOOKUP(H45,[1]SEMIELABORADOS!$A$2:$M$65536,12,0),"")</f>
        <v/>
      </c>
      <c r="F45" s="104" t="str">
        <f t="shared" ref="F45:F50" si="15">IFERROR(E45*C45,"")</f>
        <v/>
      </c>
      <c r="G45" s="105" t="str">
        <f t="shared" ref="G45:G50" si="16">IFERROR(F45/$F$66,"")</f>
        <v/>
      </c>
      <c r="H45" s="109"/>
      <c r="I45" s="101"/>
      <c r="J45" s="107"/>
      <c r="M45" s="112"/>
    </row>
    <row r="46" spans="1:13" ht="13.5" hidden="1" x14ac:dyDescent="0.25">
      <c r="A46" s="102">
        <f t="shared" si="13"/>
        <v>0</v>
      </c>
      <c r="B46" s="108" t="str">
        <f>IFERROR(VLOOKUP(H46,[1]SEMIELABORADOS!$A$2:$M$6000,2,0),"")</f>
        <v/>
      </c>
      <c r="C46" s="103">
        <f t="shared" si="14"/>
        <v>0</v>
      </c>
      <c r="D46" s="104" t="str">
        <f>IFERROR(VLOOKUP(H46,[1]SEMIELABORADOS!$A$2:$M$6000,6,0),"")</f>
        <v/>
      </c>
      <c r="E46" s="104" t="str">
        <f>IFERROR(VLOOKUP(H46,[1]SEMIELABORADOS!$A$2:$M$65536,12,0),"")</f>
        <v/>
      </c>
      <c r="F46" s="104" t="str">
        <f t="shared" si="15"/>
        <v/>
      </c>
      <c r="G46" s="105" t="str">
        <f t="shared" si="16"/>
        <v/>
      </c>
      <c r="H46" s="109"/>
      <c r="I46" s="101"/>
      <c r="J46" s="107"/>
    </row>
    <row r="47" spans="1:13" ht="13.5" hidden="1" x14ac:dyDescent="0.25">
      <c r="A47" s="102">
        <f t="shared" si="13"/>
        <v>0</v>
      </c>
      <c r="B47" s="108" t="str">
        <f>IFERROR(VLOOKUP(H47,[1]SEMIELABORADOS!$A$2:$M$6000,2,0),"")</f>
        <v/>
      </c>
      <c r="C47" s="103">
        <f t="shared" si="14"/>
        <v>0</v>
      </c>
      <c r="D47" s="104" t="str">
        <f>IFERROR(VLOOKUP(H47,[1]SEMIELABORADOS!$A$2:$M$6000,6,0),"")</f>
        <v/>
      </c>
      <c r="E47" s="104" t="str">
        <f>IFERROR(VLOOKUP(H47,[1]SEMIELABORADOS!$A$2:$M$65536,12,0),"")</f>
        <v/>
      </c>
      <c r="F47" s="104" t="str">
        <f t="shared" si="15"/>
        <v/>
      </c>
      <c r="G47" s="105" t="str">
        <f t="shared" si="16"/>
        <v/>
      </c>
      <c r="H47" s="109"/>
      <c r="I47" s="101"/>
      <c r="J47" s="107"/>
    </row>
    <row r="48" spans="1:13" ht="13.5" hidden="1" x14ac:dyDescent="0.25">
      <c r="A48" s="102">
        <f t="shared" si="13"/>
        <v>0</v>
      </c>
      <c r="B48" s="108" t="str">
        <f>IFERROR(VLOOKUP(H48,[1]SEMIELABORADOS!$A$2:$M$6000,2,0),"")</f>
        <v/>
      </c>
      <c r="C48" s="103">
        <f t="shared" si="14"/>
        <v>0</v>
      </c>
      <c r="D48" s="104" t="str">
        <f>IFERROR(VLOOKUP(H48,[1]SEMIELABORADOS!$A$2:$M$6000,6,0),"")</f>
        <v/>
      </c>
      <c r="E48" s="104" t="str">
        <f>IFERROR(VLOOKUP(H48,[1]SEMIELABORADOS!$A$2:$M$65536,12,0),"")</f>
        <v/>
      </c>
      <c r="F48" s="104" t="str">
        <f t="shared" si="15"/>
        <v/>
      </c>
      <c r="G48" s="105" t="str">
        <f t="shared" si="16"/>
        <v/>
      </c>
      <c r="H48" s="109"/>
      <c r="I48" s="101"/>
      <c r="J48" s="107"/>
    </row>
    <row r="49" spans="1:17" ht="13.5" hidden="1" x14ac:dyDescent="0.25">
      <c r="A49" s="102">
        <f t="shared" si="13"/>
        <v>0</v>
      </c>
      <c r="B49" s="108" t="str">
        <f>IFERROR(VLOOKUP(H49,[1]SEMIELABORADOS!$A$2:$M$6000,2,0),"")</f>
        <v/>
      </c>
      <c r="C49" s="103">
        <f t="shared" si="14"/>
        <v>0</v>
      </c>
      <c r="D49" s="104" t="str">
        <f>IFERROR(VLOOKUP(H49,[1]SEMIELABORADOS!$A$2:$M$6000,6,0),"")</f>
        <v/>
      </c>
      <c r="E49" s="104" t="str">
        <f>IFERROR(VLOOKUP(H49,[1]SEMIELABORADOS!$A$2:$M$65536,12,0),"")</f>
        <v/>
      </c>
      <c r="F49" s="104" t="str">
        <f t="shared" si="15"/>
        <v/>
      </c>
      <c r="G49" s="105" t="str">
        <f t="shared" si="16"/>
        <v/>
      </c>
      <c r="H49" s="109"/>
      <c r="I49" s="101"/>
      <c r="J49" s="107"/>
    </row>
    <row r="50" spans="1:17" ht="13.5" hidden="1" x14ac:dyDescent="0.25">
      <c r="A50" s="102">
        <f t="shared" si="13"/>
        <v>0</v>
      </c>
      <c r="B50" s="108" t="str">
        <f>IFERROR(VLOOKUP(H50,[1]SEMIELABORADOS!$A$2:$M$6000,2,0),"")</f>
        <v/>
      </c>
      <c r="C50" s="103">
        <f t="shared" si="14"/>
        <v>0</v>
      </c>
      <c r="D50" s="104" t="str">
        <f>IFERROR(VLOOKUP(H50,[1]SEMIELABORADOS!$A$2:$M$6000,6,0),"")</f>
        <v/>
      </c>
      <c r="E50" s="104" t="str">
        <f>IFERROR(VLOOKUP(H50,[1]SEMIELABORADOS!$A$2:$M$65536,12,0),"")</f>
        <v/>
      </c>
      <c r="F50" s="104" t="str">
        <f t="shared" si="15"/>
        <v/>
      </c>
      <c r="G50" s="105" t="str">
        <f t="shared" si="16"/>
        <v/>
      </c>
      <c r="H50" s="108"/>
      <c r="I50" s="101"/>
      <c r="J50" s="107"/>
    </row>
    <row r="51" spans="1:17" ht="13.5" x14ac:dyDescent="0.25">
      <c r="A51" s="102">
        <v>1</v>
      </c>
      <c r="B51" s="108" t="s">
        <v>95</v>
      </c>
      <c r="C51" s="103">
        <f>+A51</f>
        <v>1</v>
      </c>
      <c r="D51" s="103" t="s">
        <v>96</v>
      </c>
      <c r="E51" s="104">
        <f>+F65</f>
        <v>77</v>
      </c>
      <c r="F51" s="104">
        <f>IFERROR(C51*E51,"")</f>
        <v>77</v>
      </c>
      <c r="G51" s="105">
        <f>IFERROR(F51/$F$66,"")</f>
        <v>4.8084223576652339E-2</v>
      </c>
      <c r="H51" s="113"/>
      <c r="I51" s="113"/>
      <c r="J51" s="107"/>
    </row>
    <row r="52" spans="1:17" ht="14.25" thickBot="1" x14ac:dyDescent="0.3">
      <c r="A52" s="102"/>
      <c r="B52" s="108"/>
      <c r="C52" s="103"/>
      <c r="D52" s="103"/>
      <c r="E52" s="104"/>
      <c r="F52" s="104"/>
      <c r="G52" s="105"/>
      <c r="H52" s="113"/>
      <c r="I52" s="113"/>
      <c r="J52" s="107"/>
    </row>
    <row r="53" spans="1:17" ht="13.5" thickBot="1" x14ac:dyDescent="0.25">
      <c r="A53" s="114"/>
      <c r="B53" s="269" t="s">
        <v>97</v>
      </c>
      <c r="C53" s="269"/>
      <c r="D53" s="269"/>
      <c r="E53" s="269"/>
      <c r="F53" s="116">
        <f>SUM(F8:F14,F17:F24)</f>
        <v>1342.4250000000002</v>
      </c>
      <c r="G53" s="105">
        <f>+F53/$F$66</f>
        <v>0.83830472512840937</v>
      </c>
      <c r="H53" s="117">
        <f>+F53/$D$60</f>
        <v>1342.4250000000002</v>
      </c>
      <c r="I53" s="117"/>
      <c r="J53" s="118"/>
      <c r="K53" s="119"/>
      <c r="L53" s="119"/>
      <c r="M53" s="119"/>
      <c r="N53" s="119"/>
      <c r="O53" s="119"/>
      <c r="P53" s="119"/>
      <c r="Q53" s="120"/>
    </row>
    <row r="54" spans="1:17" x14ac:dyDescent="0.2">
      <c r="A54" s="114"/>
      <c r="B54" s="269" t="s">
        <v>98</v>
      </c>
      <c r="C54" s="269"/>
      <c r="D54" s="269"/>
      <c r="E54" s="269"/>
      <c r="F54" s="116">
        <f>SUM(F27:F32,F35:F41)</f>
        <v>155.08333333333334</v>
      </c>
      <c r="G54" s="105">
        <f>+F54/$F$66</f>
        <v>9.6844956792370138E-2</v>
      </c>
      <c r="H54" s="117">
        <f>+F54/$D$60</f>
        <v>155.08333333333334</v>
      </c>
      <c r="I54" s="117"/>
      <c r="J54" s="121"/>
      <c r="K54" s="270" t="s">
        <v>99</v>
      </c>
      <c r="L54" s="271"/>
      <c r="M54" s="271"/>
      <c r="N54" s="271"/>
      <c r="O54" s="122">
        <f>+F55</f>
        <v>1497.5083333333334</v>
      </c>
      <c r="P54" s="122"/>
      <c r="Q54" s="123"/>
    </row>
    <row r="55" spans="1:17" x14ac:dyDescent="0.2">
      <c r="A55" s="114"/>
      <c r="B55" s="269" t="s">
        <v>100</v>
      </c>
      <c r="C55" s="269"/>
      <c r="D55" s="269"/>
      <c r="E55" s="269"/>
      <c r="F55" s="116">
        <f>+F53+F54</f>
        <v>1497.5083333333334</v>
      </c>
      <c r="G55" s="105">
        <f>+F55/$F$66</f>
        <v>0.93514968192077941</v>
      </c>
      <c r="H55" s="117">
        <f>+F55/$D$60</f>
        <v>1497.5083333333334</v>
      </c>
      <c r="I55" s="117"/>
      <c r="J55" s="124"/>
      <c r="K55" s="125"/>
      <c r="M55" s="126" t="s">
        <v>101</v>
      </c>
      <c r="N55" s="127"/>
      <c r="O55" s="122">
        <f>+H56</f>
        <v>109.08333333333334</v>
      </c>
      <c r="P55" s="122"/>
      <c r="Q55" s="123"/>
    </row>
    <row r="56" spans="1:17" ht="13.5" thickBot="1" x14ac:dyDescent="0.25">
      <c r="A56" s="114"/>
      <c r="B56" s="115"/>
      <c r="C56" s="269" t="s">
        <v>102</v>
      </c>
      <c r="D56" s="269"/>
      <c r="E56" s="269"/>
      <c r="F56" s="116">
        <f>SUM(F44:F51)</f>
        <v>109.08333333333334</v>
      </c>
      <c r="G56" s="105">
        <f>+F56/$F$66</f>
        <v>6.8119316733590812E-2</v>
      </c>
      <c r="H56" s="117">
        <f>+F56/$D$60</f>
        <v>109.08333333333334</v>
      </c>
      <c r="I56" s="117"/>
      <c r="J56" s="124"/>
      <c r="K56" s="125"/>
      <c r="L56" s="125"/>
      <c r="M56" s="125" t="s">
        <v>103</v>
      </c>
      <c r="N56" s="128"/>
      <c r="O56" s="122">
        <f>O54*N56</f>
        <v>0</v>
      </c>
      <c r="P56" s="122"/>
      <c r="Q56" s="123"/>
    </row>
    <row r="57" spans="1:17" ht="13.5" thickBot="1" x14ac:dyDescent="0.25">
      <c r="A57" s="114"/>
      <c r="B57" s="129"/>
      <c r="C57" s="129"/>
      <c r="D57" s="129"/>
      <c r="E57" s="129"/>
      <c r="F57" s="130"/>
      <c r="G57" s="105"/>
      <c r="H57" s="131"/>
      <c r="I57" s="117"/>
      <c r="J57" s="124"/>
      <c r="K57" s="132"/>
      <c r="M57" s="133" t="s">
        <v>104</v>
      </c>
      <c r="N57" s="134"/>
      <c r="O57" s="135">
        <f>SUM(O54:O56)</f>
        <v>1606.5916666666667</v>
      </c>
      <c r="P57" s="136"/>
      <c r="Q57" s="123"/>
    </row>
    <row r="58" spans="1:17" x14ac:dyDescent="0.2">
      <c r="B58" s="272" t="s">
        <v>105</v>
      </c>
      <c r="C58" s="272"/>
      <c r="D58" s="137">
        <v>400</v>
      </c>
      <c r="E58" s="138"/>
      <c r="G58" s="105"/>
      <c r="H58" s="131">
        <f>+H56/77</f>
        <v>1.4166666666666667</v>
      </c>
      <c r="I58" s="139"/>
      <c r="J58" s="124"/>
      <c r="K58" s="132"/>
      <c r="L58" s="125"/>
      <c r="M58" s="125" t="s">
        <v>106</v>
      </c>
      <c r="N58" s="140"/>
      <c r="O58" s="122">
        <f>+H59</f>
        <v>117.58333333333334</v>
      </c>
      <c r="P58" s="122"/>
      <c r="Q58" s="123"/>
    </row>
    <row r="59" spans="1:17" x14ac:dyDescent="0.2">
      <c r="B59" s="272" t="s">
        <v>107</v>
      </c>
      <c r="C59" s="272"/>
      <c r="D59" s="141">
        <v>400</v>
      </c>
      <c r="E59" s="138"/>
      <c r="G59" s="105"/>
      <c r="H59" s="131">
        <f>+H58*83</f>
        <v>117.58333333333334</v>
      </c>
      <c r="I59" s="139"/>
      <c r="J59" s="124"/>
      <c r="K59" s="132"/>
      <c r="L59" s="125"/>
      <c r="M59" s="273" t="s">
        <v>104</v>
      </c>
      <c r="N59" s="273"/>
      <c r="O59" s="122">
        <f>SUM(O57:O58)</f>
        <v>1724.175</v>
      </c>
      <c r="P59" s="122"/>
      <c r="Q59" s="123"/>
    </row>
    <row r="60" spans="1:17" ht="13.5" thickBot="1" x14ac:dyDescent="0.25">
      <c r="B60" s="265" t="s">
        <v>108</v>
      </c>
      <c r="C60" s="265"/>
      <c r="D60" s="137">
        <f>+D58/D59</f>
        <v>1</v>
      </c>
      <c r="E60" s="138"/>
      <c r="F60" s="142"/>
      <c r="G60" s="105"/>
      <c r="H60" s="131"/>
      <c r="I60" s="139"/>
      <c r="J60" s="124"/>
      <c r="K60" s="132"/>
      <c r="L60" s="273"/>
      <c r="M60" s="273"/>
      <c r="N60" s="140"/>
      <c r="O60" s="122">
        <f>+O59*N60</f>
        <v>0</v>
      </c>
      <c r="P60" s="122"/>
      <c r="Q60" s="123"/>
    </row>
    <row r="61" spans="1:17" ht="13.5" thickBot="1" x14ac:dyDescent="0.25">
      <c r="B61" s="265" t="s">
        <v>109</v>
      </c>
      <c r="C61" s="265"/>
      <c r="D61" s="143"/>
      <c r="E61" s="138"/>
      <c r="F61" s="142"/>
      <c r="G61" s="105"/>
      <c r="H61" s="131"/>
      <c r="I61" s="139"/>
      <c r="J61" s="124"/>
      <c r="K61" s="266" t="s">
        <v>110</v>
      </c>
      <c r="L61" s="267"/>
      <c r="M61" s="267"/>
      <c r="N61" s="268"/>
      <c r="O61" s="135">
        <f>SUM(O59:O60)</f>
        <v>1724.175</v>
      </c>
      <c r="P61" s="144" t="s">
        <v>111</v>
      </c>
      <c r="Q61" s="123"/>
    </row>
    <row r="62" spans="1:17" ht="13.5" thickBot="1" x14ac:dyDescent="0.25">
      <c r="C62" s="114" t="s">
        <v>112</v>
      </c>
      <c r="D62" s="145"/>
      <c r="E62" s="88" t="s">
        <v>113</v>
      </c>
      <c r="F62" s="146" t="s">
        <v>114</v>
      </c>
      <c r="G62" s="105"/>
      <c r="H62" s="131"/>
      <c r="I62" s="139"/>
      <c r="J62" s="147"/>
      <c r="K62" s="148"/>
      <c r="L62" s="279" t="s">
        <v>115</v>
      </c>
      <c r="M62" s="279"/>
      <c r="N62" s="279"/>
      <c r="O62" s="149">
        <f>+O61/D60</f>
        <v>1724.175</v>
      </c>
      <c r="P62" s="150">
        <f>+O62/D59</f>
        <v>4.3104374999999999</v>
      </c>
      <c r="Q62" s="151"/>
    </row>
    <row r="63" spans="1:17" ht="13.5" thickBot="1" x14ac:dyDescent="0.25">
      <c r="B63" s="280" t="s">
        <v>100</v>
      </c>
      <c r="C63" s="280"/>
      <c r="D63" s="280"/>
      <c r="E63" s="152">
        <f>+F63/F63</f>
        <v>1</v>
      </c>
      <c r="F63" s="153">
        <f>SUM(F55)</f>
        <v>1497.5083333333334</v>
      </c>
      <c r="G63" s="105">
        <f>+F63/$F$66</f>
        <v>0.93514968192077941</v>
      </c>
      <c r="H63" s="131"/>
      <c r="I63" s="139"/>
      <c r="K63" s="281"/>
      <c r="L63" s="282"/>
      <c r="M63" s="282"/>
      <c r="N63" s="282"/>
      <c r="O63" s="154"/>
      <c r="P63" s="155"/>
    </row>
    <row r="64" spans="1:17" ht="13.5" thickBot="1" x14ac:dyDescent="0.25">
      <c r="B64" s="283" t="s">
        <v>116</v>
      </c>
      <c r="C64" s="283"/>
      <c r="D64" s="283"/>
      <c r="E64" s="156">
        <v>0.02</v>
      </c>
      <c r="F64" s="153">
        <f>+F53*E64</f>
        <v>26.848500000000005</v>
      </c>
      <c r="G64" s="105">
        <f>+F64/$F$66</f>
        <v>1.6766094502568187E-2</v>
      </c>
      <c r="H64" s="117"/>
      <c r="I64" s="139"/>
      <c r="J64" s="157"/>
      <c r="O64" s="158"/>
      <c r="P64" s="115"/>
    </row>
    <row r="65" spans="2:13" ht="13.5" thickBot="1" x14ac:dyDescent="0.25">
      <c r="B65" s="284" t="s">
        <v>117</v>
      </c>
      <c r="C65" s="285"/>
      <c r="D65" s="159">
        <v>1</v>
      </c>
      <c r="E65" s="160">
        <v>77</v>
      </c>
      <c r="F65" s="153">
        <f>+E65*D65</f>
        <v>77</v>
      </c>
      <c r="G65" s="105">
        <f>+F65/$F$66</f>
        <v>4.8084223576652339E-2</v>
      </c>
      <c r="H65" s="117"/>
      <c r="I65" s="117"/>
      <c r="J65" s="107"/>
    </row>
    <row r="66" spans="2:13" ht="13.5" thickBot="1" x14ac:dyDescent="0.25">
      <c r="B66" s="286" t="s">
        <v>118</v>
      </c>
      <c r="C66" s="287"/>
      <c r="D66" s="287"/>
      <c r="E66" s="288"/>
      <c r="F66" s="130">
        <f>SUM(F63:F65)</f>
        <v>1601.3568333333335</v>
      </c>
      <c r="G66" s="105">
        <f>+F66/$F$66</f>
        <v>1</v>
      </c>
      <c r="H66" s="289"/>
      <c r="I66" s="117"/>
      <c r="J66" s="107"/>
      <c r="M66" s="90" t="s">
        <v>119</v>
      </c>
    </row>
    <row r="67" spans="2:13" x14ac:dyDescent="0.2">
      <c r="C67" s="112"/>
      <c r="D67" s="112"/>
      <c r="E67" s="162"/>
      <c r="F67" s="153"/>
      <c r="G67" s="105"/>
      <c r="H67" s="289"/>
      <c r="I67" s="161"/>
      <c r="J67" s="90"/>
      <c r="M67" s="90" t="s">
        <v>120</v>
      </c>
    </row>
    <row r="68" spans="2:13" ht="13.5" thickBot="1" x14ac:dyDescent="0.25">
      <c r="B68" s="274" t="s">
        <v>121</v>
      </c>
      <c r="C68" s="274"/>
      <c r="D68" s="274"/>
      <c r="E68" s="274"/>
      <c r="F68" s="274"/>
      <c r="G68" s="105"/>
      <c r="H68" s="164"/>
      <c r="I68" s="161"/>
      <c r="J68" s="90"/>
      <c r="M68" s="90" t="s">
        <v>122</v>
      </c>
    </row>
    <row r="69" spans="2:13" ht="13.5" thickBot="1" x14ac:dyDescent="0.25">
      <c r="B69" s="165" t="s">
        <v>123</v>
      </c>
      <c r="C69" s="166">
        <f>+F53</f>
        <v>1342.4250000000002</v>
      </c>
      <c r="D69" s="166">
        <f>+D58</f>
        <v>400</v>
      </c>
      <c r="E69" s="167">
        <f>+C69/D69</f>
        <v>3.3560625000000006</v>
      </c>
      <c r="F69" s="105"/>
      <c r="G69" s="164"/>
      <c r="H69" s="107"/>
      <c r="I69" s="164"/>
      <c r="J69" s="90"/>
    </row>
    <row r="70" spans="2:13" x14ac:dyDescent="0.2">
      <c r="B70" s="168"/>
      <c r="C70" s="169"/>
      <c r="D70" s="170"/>
      <c r="E70" s="153"/>
      <c r="F70" s="105"/>
      <c r="G70" s="164"/>
      <c r="H70" s="107"/>
      <c r="I70" s="107"/>
      <c r="J70" s="90"/>
    </row>
    <row r="71" spans="2:13" x14ac:dyDescent="0.2">
      <c r="B71" s="165" t="s">
        <v>124</v>
      </c>
      <c r="C71" s="166">
        <f>SUM(F63:F64)</f>
        <v>1524.3568333333335</v>
      </c>
      <c r="D71" s="166">
        <f>+D58</f>
        <v>400</v>
      </c>
      <c r="E71" s="171">
        <f>+C71/D71</f>
        <v>3.810892083333334</v>
      </c>
      <c r="F71" s="105"/>
      <c r="G71" s="164"/>
      <c r="H71" s="107"/>
      <c r="I71" s="107"/>
      <c r="J71" s="90"/>
    </row>
    <row r="72" spans="2:13" x14ac:dyDescent="0.2">
      <c r="B72" s="165"/>
      <c r="C72" s="166"/>
      <c r="D72" s="166"/>
      <c r="E72" s="171"/>
      <c r="F72" s="105"/>
      <c r="G72" s="164"/>
      <c r="H72" s="107"/>
      <c r="I72" s="107"/>
      <c r="J72" s="90"/>
    </row>
    <row r="73" spans="2:13" ht="13.5" thickBot="1" x14ac:dyDescent="0.25">
      <c r="B73" s="165" t="s">
        <v>125</v>
      </c>
      <c r="C73" s="166">
        <f>+F65</f>
        <v>77</v>
      </c>
      <c r="D73" s="166">
        <f>+D58</f>
        <v>400</v>
      </c>
      <c r="E73" s="171">
        <f>+C73/D73</f>
        <v>0.1925</v>
      </c>
      <c r="F73" s="105"/>
      <c r="G73" s="164"/>
      <c r="H73" s="107"/>
      <c r="I73" s="107"/>
      <c r="J73" s="90"/>
    </row>
    <row r="74" spans="2:13" ht="13.5" thickBot="1" x14ac:dyDescent="0.25">
      <c r="B74" s="165" t="s">
        <v>126</v>
      </c>
      <c r="C74" s="166">
        <f>+F56</f>
        <v>109.08333333333334</v>
      </c>
      <c r="D74" s="166">
        <f>+D73</f>
        <v>400</v>
      </c>
      <c r="E74" s="167">
        <f>+C74/D74</f>
        <v>0.27270833333333333</v>
      </c>
      <c r="F74" s="105"/>
      <c r="G74" s="164"/>
      <c r="H74" s="107"/>
      <c r="I74" s="107"/>
      <c r="J74" s="90"/>
    </row>
    <row r="75" spans="2:13" ht="13.5" thickBot="1" x14ac:dyDescent="0.25">
      <c r="B75" s="129"/>
      <c r="C75" s="130"/>
      <c r="D75" s="130"/>
      <c r="E75" s="171"/>
      <c r="F75" s="105"/>
      <c r="G75" s="164"/>
      <c r="H75" s="107"/>
      <c r="I75" s="107"/>
      <c r="J75" s="90"/>
    </row>
    <row r="76" spans="2:13" ht="13.5" thickBot="1" x14ac:dyDescent="0.25">
      <c r="B76" s="165" t="s">
        <v>127</v>
      </c>
      <c r="C76" s="166">
        <f>+F54</f>
        <v>155.08333333333334</v>
      </c>
      <c r="D76" s="166">
        <f>+D74</f>
        <v>400</v>
      </c>
      <c r="E76" s="167">
        <f>+C76/D76</f>
        <v>0.38770833333333338</v>
      </c>
      <c r="F76" s="105"/>
      <c r="G76" s="164"/>
      <c r="H76" s="107"/>
      <c r="I76" s="107"/>
      <c r="J76" s="107"/>
    </row>
    <row r="77" spans="2:13" ht="13.5" thickBot="1" x14ac:dyDescent="0.25">
      <c r="B77" s="129"/>
      <c r="C77" s="130"/>
      <c r="D77" s="130"/>
      <c r="E77" s="171"/>
      <c r="F77" s="105"/>
      <c r="G77" s="164"/>
      <c r="H77" s="107"/>
      <c r="I77" s="107"/>
    </row>
    <row r="78" spans="2:13" ht="13.5" thickBot="1" x14ac:dyDescent="0.25">
      <c r="B78" s="275" t="s">
        <v>128</v>
      </c>
      <c r="C78" s="276"/>
      <c r="D78" s="277"/>
      <c r="E78" s="167">
        <f>+E69+E74</f>
        <v>3.6287708333333342</v>
      </c>
      <c r="G78" s="105"/>
      <c r="H78" s="164"/>
      <c r="I78" s="107"/>
      <c r="J78" s="171"/>
    </row>
    <row r="79" spans="2:13" x14ac:dyDescent="0.2">
      <c r="I79" s="164"/>
      <c r="J79" s="90"/>
    </row>
    <row r="80" spans="2:13" ht="13.5" thickBot="1" x14ac:dyDescent="0.25">
      <c r="B80" s="274" t="s">
        <v>129</v>
      </c>
      <c r="C80" s="274"/>
      <c r="D80" s="274"/>
      <c r="E80" s="274"/>
      <c r="F80" s="274"/>
      <c r="G80" s="105"/>
      <c r="H80" s="164"/>
      <c r="J80" s="90"/>
    </row>
    <row r="81" spans="1:10" ht="13.5" thickBot="1" x14ac:dyDescent="0.25">
      <c r="B81" s="165" t="s">
        <v>123</v>
      </c>
      <c r="C81" s="166">
        <f>+C69</f>
        <v>1342.4250000000002</v>
      </c>
      <c r="D81" s="166">
        <f>+D60</f>
        <v>1</v>
      </c>
      <c r="E81" s="167">
        <f>+C81/D81</f>
        <v>1342.4250000000002</v>
      </c>
      <c r="F81" s="105"/>
      <c r="G81" s="164"/>
      <c r="H81" s="107"/>
      <c r="I81" s="164"/>
      <c r="J81" s="90"/>
    </row>
    <row r="82" spans="1:10" x14ac:dyDescent="0.2">
      <c r="B82" s="168"/>
      <c r="C82" s="169"/>
      <c r="D82" s="170"/>
      <c r="E82" s="153"/>
      <c r="F82" s="105"/>
      <c r="G82" s="164"/>
      <c r="H82" s="107"/>
      <c r="I82" s="107"/>
      <c r="J82" s="90"/>
    </row>
    <row r="83" spans="1:10" x14ac:dyDescent="0.2">
      <c r="B83" s="165" t="s">
        <v>124</v>
      </c>
      <c r="C83" s="166">
        <f>+C71</f>
        <v>1524.3568333333335</v>
      </c>
      <c r="D83" s="166">
        <f>+D60</f>
        <v>1</v>
      </c>
      <c r="E83" s="171">
        <f>+C83/D83</f>
        <v>1524.3568333333335</v>
      </c>
      <c r="F83" s="105"/>
      <c r="G83" s="164"/>
      <c r="H83" s="107"/>
      <c r="I83" s="107"/>
      <c r="J83" s="90"/>
    </row>
    <row r="84" spans="1:10" x14ac:dyDescent="0.2">
      <c r="B84" s="165"/>
      <c r="C84" s="166"/>
      <c r="D84" s="166"/>
      <c r="E84" s="171"/>
      <c r="F84" s="105"/>
      <c r="G84" s="164"/>
      <c r="H84" s="107"/>
      <c r="I84" s="107"/>
      <c r="J84" s="90"/>
    </row>
    <row r="85" spans="1:10" ht="13.5" thickBot="1" x14ac:dyDescent="0.25">
      <c r="B85" s="165" t="s">
        <v>126</v>
      </c>
      <c r="C85" s="166">
        <f>+C73</f>
        <v>77</v>
      </c>
      <c r="D85" s="166">
        <f>+D60</f>
        <v>1</v>
      </c>
      <c r="E85" s="171">
        <f>+C85/D85</f>
        <v>77</v>
      </c>
      <c r="F85" s="173"/>
      <c r="G85" s="163"/>
      <c r="H85" s="89"/>
      <c r="I85" s="107"/>
    </row>
    <row r="86" spans="1:10" ht="13.5" thickBot="1" x14ac:dyDescent="0.25">
      <c r="B86" s="165" t="s">
        <v>126</v>
      </c>
      <c r="C86" s="166">
        <f>+C74</f>
        <v>109.08333333333334</v>
      </c>
      <c r="D86" s="166">
        <f>+D85</f>
        <v>1</v>
      </c>
      <c r="E86" s="167">
        <f>+C86/D86</f>
        <v>109.08333333333334</v>
      </c>
      <c r="F86" s="172"/>
      <c r="G86" s="163"/>
      <c r="H86" s="89"/>
      <c r="I86" s="89"/>
    </row>
    <row r="87" spans="1:10" x14ac:dyDescent="0.2">
      <c r="I87" s="89"/>
    </row>
    <row r="88" spans="1:10" x14ac:dyDescent="0.2">
      <c r="A88" s="278"/>
      <c r="B88" s="278"/>
      <c r="C88" s="174"/>
      <c r="D88" s="174"/>
      <c r="E88" s="175"/>
      <c r="G88" s="176"/>
    </row>
    <row r="89" spans="1:10" x14ac:dyDescent="0.2">
      <c r="A89" s="108"/>
      <c r="B89" s="177"/>
      <c r="C89" s="178"/>
      <c r="D89" s="178"/>
      <c r="E89" s="179"/>
      <c r="G89" s="176"/>
    </row>
    <row r="90" spans="1:10" x14ac:dyDescent="0.2">
      <c r="A90" s="108"/>
      <c r="B90" s="177"/>
      <c r="C90" s="180"/>
      <c r="D90" s="180"/>
      <c r="E90" s="108"/>
      <c r="G90" s="176"/>
    </row>
    <row r="91" spans="1:10" x14ac:dyDescent="0.2">
      <c r="A91" s="108"/>
      <c r="B91" s="177"/>
      <c r="C91" s="181"/>
      <c r="D91" s="181"/>
      <c r="E91" s="108"/>
      <c r="G91" s="176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907E-944F-4C60-9F1B-4967E58A0D69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96BCB4-3CB9-48C0-9174-233E7BB8C10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E1267B63-153D-4CB6-8A95-D7A6E11EC3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908430-BD6A-464E-9445-66946D8CC31B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3AE028E6-2D45-48B7-BA6D-DAA8A935E1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Granola</vt:lpstr>
      <vt:lpstr>Costo Granola </vt:lpstr>
      <vt:lpstr>Costo Empaque 1</vt:lpstr>
      <vt:lpstr>Empaque 2</vt:lpstr>
      <vt:lpstr>Costo empaque 2</vt:lpstr>
      <vt:lpstr>Empaque 3</vt:lpstr>
      <vt:lpstr>Empaque 4</vt:lpstr>
      <vt:lpstr>Costo Empaque 4</vt:lpstr>
      <vt:lpstr>Hoja1</vt:lpstr>
      <vt:lpstr>Granola!Área_de_impresión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Allan Brenes</cp:lastModifiedBy>
  <cp:lastPrinted>2025-08-22T16:56:05Z</cp:lastPrinted>
  <dcterms:created xsi:type="dcterms:W3CDTF">2003-03-11T22:35:36Z</dcterms:created>
  <dcterms:modified xsi:type="dcterms:W3CDTF">2025-08-22T17:01:46Z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r8>97400</vt:r8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
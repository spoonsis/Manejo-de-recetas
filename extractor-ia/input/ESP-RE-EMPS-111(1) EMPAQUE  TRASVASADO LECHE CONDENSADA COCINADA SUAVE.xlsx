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6" documentId="8_{936012CB-8A11-4C37-8541-A219AA479ED7}" xr6:coauthVersionLast="47" xr6:coauthVersionMax="47" xr10:uidLastSave="{3A652BC6-39AA-45E1-88A8-261116078EB5}"/>
  <bookViews>
    <workbookView xWindow="-120" yWindow="-120" windowWidth="20730" windowHeight="11040" xr2:uid="{0AE05D20-A68A-49D4-8E15-600DFEB61BE7}"/>
  </bookViews>
  <sheets>
    <sheet name="Hoja1" sheetId="1" r:id="rId1"/>
  </sheets>
  <definedNames>
    <definedName name="_xlnm.Print_Area" localSheetId="0">Hoja1!$A$1:$I$32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8" i="1" l="1"/>
  <c r="J16" i="1"/>
  <c r="K16" i="1" s="1"/>
  <c r="J15" i="1"/>
  <c r="K15" i="1" s="1"/>
  <c r="G10" i="1"/>
  <c r="J10" i="1" s="1"/>
  <c r="K10" i="1" s="1"/>
</calcChain>
</file>

<file path=xl/sharedStrings.xml><?xml version="1.0" encoding="utf-8"?>
<sst xmlns="http://schemas.openxmlformats.org/spreadsheetml/2006/main" count="66" uniqueCount="57">
  <si>
    <t>SERVICIOS DE PASTELERIA S.A.</t>
  </si>
  <si>
    <t>CÓDIGO:</t>
  </si>
  <si>
    <t>ESPECIFICACION DE RECETA</t>
  </si>
  <si>
    <t>REVISIÓN:</t>
  </si>
  <si>
    <t>SE00826 EMPAQUE  TRASVASADO LECHE CONDENSADA COCINADA SUAVE</t>
  </si>
  <si>
    <t>FECHA DE APROBACIÓN:</t>
  </si>
  <si>
    <t>Elaborado</t>
  </si>
  <si>
    <t>Mariela Barrantes Sánchez, Chef</t>
  </si>
  <si>
    <t>Aprobado</t>
  </si>
  <si>
    <t>Esteban Cartin, Gte Manufactura</t>
  </si>
  <si>
    <t>AREA QUE PRODUCE:</t>
  </si>
  <si>
    <t>Cocina</t>
  </si>
  <si>
    <t xml:space="preserve">AREA QUE EMPACA: </t>
  </si>
  <si>
    <t xml:space="preserve"># Código </t>
  </si>
  <si>
    <t># Código Netsuite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</si>
  <si>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</si>
  <si>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</si>
  <si>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</si>
  <si>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</si>
  <si>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</si>
  <si>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</si>
  <si>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</si>
  <si>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</si>
  <si>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Ensamble</t>
  </si>
  <si>
    <t>PTL00140</t>
  </si>
  <si>
    <t>Leche Cond Cocinada Loc</t>
  </si>
  <si>
    <t>FAS</t>
  </si>
  <si>
    <t>Latas</t>
  </si>
  <si>
    <t>GRAMOS</t>
  </si>
  <si>
    <t>Decoración</t>
  </si>
  <si>
    <t/>
  </si>
  <si>
    <t>Empaque</t>
  </si>
  <si>
    <t>EM10011</t>
  </si>
  <si>
    <t>ETIQUETA BLANCA 2 5/8X1 15/16 (UND)</t>
  </si>
  <si>
    <t>ETIPLAST</t>
  </si>
  <si>
    <t>ud</t>
  </si>
  <si>
    <t>EM10307</t>
  </si>
  <si>
    <t>BOLSA MARMITA 14 x 20 (KILO)</t>
  </si>
  <si>
    <t>Unidad</t>
  </si>
  <si>
    <t>PESO TOTAL OBTENIDO</t>
  </si>
  <si>
    <t>g</t>
  </si>
  <si>
    <t>Tiempo de Horneo:</t>
  </si>
  <si>
    <t>TIEMPO TOTAL DE PREPARACION</t>
  </si>
  <si>
    <t>min</t>
  </si>
  <si>
    <t>Horno:</t>
  </si>
  <si>
    <t>CANTIDAD DE PORCIONES OBTENIDAS</t>
  </si>
  <si>
    <t>bolsas</t>
  </si>
  <si>
    <t>Temperatura de Horneo:</t>
  </si>
  <si>
    <t>PESO DE CADA PORCIÓN</t>
  </si>
  <si>
    <t>Otros</t>
  </si>
  <si>
    <t>MERMA</t>
  </si>
  <si>
    <t>PROCEDIMIENTO DE PREPARACION DE LA  RECETA</t>
  </si>
  <si>
    <t>1, Abril las latas de leche condensada y con ayuda de una espatula colocar el contenido en bolsas de 4 kg.</t>
  </si>
  <si>
    <t>2, hacer nudo y etiquetar</t>
  </si>
  <si>
    <t>CONTROL DE CAMBIOS</t>
  </si>
  <si>
    <t>01</t>
  </si>
  <si>
    <t>ESP-RE-EMPS-111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</si>
</sst>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b/>
      <sz val="14"/>
      <name val="Arial"/>
      <family val="2"/>
    </font>
    <font>
      <sz val="10"/>
      <color theme="1"/>
      <name val="Aptos Narrow"/>
      <family val="2"/>
      <scheme val="minor"/>
    </font>
    <font>
      <b/>
      <sz val="18"/>
      <name val="Century Gothic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2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6" fillId="0" borderId="0"/>
  </cellStyleXfs>
  <cellXfs count="136">
    <xf numFmtId="0" fontId="0" fillId="0" borderId="0" xfId="0"/>
    <xf numFmtId="0" fontId="5" fillId="2" borderId="3" xfId="1" applyFont="1" applyFill="1" applyBorder="1" applyAlignment="1">
      <alignment horizontal="right"/>
    </xf>
    <xf numFmtId="0" fontId="3" fillId="2" borderId="4" xfId="1" applyFont="1" applyFill="1" applyBorder="1" applyAlignment="1">
      <alignment horizontal="center"/>
    </xf>
    <xf numFmtId="0" fontId="5" fillId="2" borderId="7" xfId="1" applyFont="1" applyFill="1" applyBorder="1" applyAlignment="1">
      <alignment horizontal="right"/>
    </xf>
    <xf numFmtId="49" fontId="3" fillId="2" borderId="8" xfId="1" applyNumberFormat="1" applyFont="1" applyFill="1" applyBorder="1" applyAlignment="1">
      <alignment horizontal="center"/>
    </xf>
    <xf numFmtId="0" fontId="3" fillId="2" borderId="14" xfId="1" applyFont="1" applyFill="1" applyBorder="1" applyAlignment="1">
      <alignment horizontal="right"/>
    </xf>
    <xf numFmtId="0" fontId="3" fillId="2" borderId="7" xfId="1" applyFont="1" applyFill="1" applyBorder="1" applyAlignment="1">
      <alignment horizontal="right"/>
    </xf>
    <xf numFmtId="0" fontId="5" fillId="4" borderId="4" xfId="2" applyFont="1" applyFill="1" applyBorder="1" applyAlignment="1">
      <alignment horizontal="center" vertical="center" wrapText="1"/>
    </xf>
    <xf numFmtId="1" fontId="5" fillId="4" borderId="30" xfId="2" applyNumberFormat="1" applyFont="1" applyFill="1" applyBorder="1" applyAlignment="1">
      <alignment horizontal="center"/>
    </xf>
    <xf numFmtId="1" fontId="5" fillId="4" borderId="30" xfId="2" applyNumberFormat="1" applyFont="1" applyFill="1" applyBorder="1" applyAlignment="1">
      <alignment horizontal="center" wrapText="1"/>
    </xf>
    <xf numFmtId="0" fontId="5" fillId="4" borderId="31" xfId="2" applyFont="1" applyFill="1" applyBorder="1" applyAlignment="1">
      <alignment horizontal="center"/>
    </xf>
    <xf numFmtId="0" fontId="6" fillId="5" borderId="0" xfId="0" applyFont="1" applyFill="1"/>
    <xf numFmtId="0" fontId="8" fillId="5" borderId="0" xfId="0" applyFont="1" applyFill="1"/>
    <xf numFmtId="0" fontId="7" fillId="2" borderId="0" xfId="1" applyFont="1" applyFill="1" applyAlignment="1">
      <alignment horizontal="right"/>
    </xf>
    <xf numFmtId="0" fontId="7" fillId="2" borderId="0" xfId="1" applyFont="1" applyFill="1"/>
    <xf numFmtId="0" fontId="5" fillId="4" borderId="28" xfId="2" applyFont="1" applyFill="1" applyBorder="1" applyAlignment="1">
      <alignment horizontal="center" vertical="center"/>
    </xf>
    <xf numFmtId="0" fontId="5" fillId="4" borderId="29" xfId="2" applyFont="1" applyFill="1" applyBorder="1" applyAlignment="1">
      <alignment horizontal="center" vertical="center"/>
    </xf>
    <xf numFmtId="0" fontId="5" fillId="4" borderId="28" xfId="2" applyFont="1" applyFill="1" applyBorder="1" applyAlignment="1">
      <alignment horizontal="center" vertical="center" wrapText="1"/>
    </xf>
    <xf numFmtId="0" fontId="5" fillId="4" borderId="29" xfId="2" applyFont="1" applyFill="1" applyBorder="1" applyAlignment="1">
      <alignment horizontal="center" vertical="center" wrapText="1"/>
    </xf>
    <xf numFmtId="0" fontId="5" fillId="4" borderId="3" xfId="2" applyFont="1" applyFill="1" applyBorder="1" applyAlignment="1">
      <alignment horizontal="center" vertical="center"/>
    </xf>
    <xf numFmtId="0" fontId="5" fillId="4" borderId="30" xfId="2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3" fillId="2" borderId="5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3" fillId="2" borderId="20" xfId="1" applyFont="1" applyFill="1" applyBorder="1" applyAlignment="1">
      <alignment horizontal="center"/>
    </xf>
    <xf numFmtId="0" fontId="3" fillId="2" borderId="21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4" fillId="2" borderId="6" xfId="1" applyFont="1" applyFill="1" applyBorder="1" applyAlignment="1">
      <alignment horizontal="center"/>
    </xf>
    <xf numFmtId="0" fontId="5" fillId="2" borderId="12" xfId="1" applyFont="1" applyFill="1" applyBorder="1" applyAlignment="1">
      <alignment horizontal="right" vertical="top" wrapText="1"/>
    </xf>
    <xf numFmtId="0" fontId="5" fillId="2" borderId="18" xfId="1" applyFont="1" applyFill="1" applyBorder="1" applyAlignment="1">
      <alignment horizontal="right" vertical="top" wrapText="1"/>
    </xf>
    <xf numFmtId="0" fontId="5" fillId="2" borderId="25" xfId="1" applyFont="1" applyFill="1" applyBorder="1" applyAlignment="1">
      <alignment horizontal="right" vertical="top" wrapText="1"/>
    </xf>
    <xf numFmtId="14" fontId="3" fillId="2" borderId="13" xfId="1" applyNumberFormat="1" applyFont="1" applyFill="1" applyBorder="1" applyAlignment="1">
      <alignment horizontal="center" vertical="center" wrapText="1"/>
    </xf>
    <xf numFmtId="14" fontId="3" fillId="2" borderId="19" xfId="1" applyNumberFormat="1" applyFont="1" applyFill="1" applyBorder="1" applyAlignment="1">
      <alignment horizontal="center" vertical="center" wrapText="1"/>
    </xf>
    <xf numFmtId="14" fontId="3" fillId="2" borderId="26" xfId="1" applyNumberFormat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left"/>
    </xf>
    <xf numFmtId="0" fontId="6" fillId="2" borderId="16" xfId="1" applyFont="1" applyFill="1" applyBorder="1" applyAlignment="1">
      <alignment horizontal="left"/>
    </xf>
    <xf numFmtId="0" fontId="6" fillId="2" borderId="17" xfId="1" applyFont="1" applyFill="1" applyBorder="1" applyAlignment="1">
      <alignment horizontal="left"/>
    </xf>
    <xf numFmtId="0" fontId="6" fillId="2" borderId="22" xfId="1" applyFont="1" applyFill="1" applyBorder="1" applyAlignment="1">
      <alignment horizontal="left"/>
    </xf>
    <xf numFmtId="0" fontId="6" fillId="2" borderId="23" xfId="1" applyFont="1" applyFill="1" applyBorder="1" applyAlignment="1">
      <alignment horizontal="left"/>
    </xf>
    <xf numFmtId="0" fontId="6" fillId="2" borderId="24" xfId="1" applyFont="1" applyFill="1" applyBorder="1" applyAlignment="1">
      <alignment horizontal="left"/>
    </xf>
    <xf numFmtId="0" fontId="9" fillId="3" borderId="9" xfId="1" applyFont="1" applyFill="1" applyBorder="1" applyAlignment="1">
      <alignment horizontal="center" vertical="center" wrapText="1"/>
    </xf>
    <xf numFmtId="0" fontId="9" fillId="3" borderId="10" xfId="1" applyFont="1" applyFill="1" applyBorder="1" applyAlignment="1">
      <alignment horizontal="center" vertical="center" wrapText="1"/>
    </xf>
    <xf numFmtId="0" fontId="9" fillId="3" borderId="11" xfId="1" applyFont="1" applyFill="1" applyBorder="1" applyAlignment="1">
      <alignment horizontal="center" vertical="center" wrapText="1"/>
    </xf>
    <xf numFmtId="0" fontId="10" fillId="2" borderId="27" xfId="1" applyFont="1" applyFill="1" applyBorder="1" applyAlignment="1">
      <alignment horizontal="center"/>
    </xf>
    <xf numFmtId="14" fontId="10" fillId="2" borderId="0" xfId="1" applyNumberFormat="1" applyFont="1" applyFill="1" applyAlignment="1">
      <alignment horizontal="center" vertical="center" wrapText="1"/>
    </xf>
    <xf numFmtId="0" fontId="11" fillId="0" borderId="32" xfId="2" applyFont="1" applyBorder="1" applyAlignment="1">
      <alignment horizontal="center" vertical="center"/>
    </xf>
    <xf numFmtId="0" fontId="11" fillId="0" borderId="33" xfId="2" applyFont="1" applyBorder="1" applyAlignment="1">
      <alignment horizontal="center" vertical="center"/>
    </xf>
    <xf numFmtId="0" fontId="12" fillId="0" borderId="7" xfId="2" applyFont="1" applyBorder="1" applyAlignment="1">
      <alignment vertical="center"/>
    </xf>
    <xf numFmtId="0" fontId="11" fillId="0" borderId="7" xfId="2" applyFont="1" applyBorder="1" applyAlignment="1">
      <alignment horizontal="center" vertical="center"/>
    </xf>
    <xf numFmtId="1" fontId="11" fillId="0" borderId="7" xfId="2" applyNumberFormat="1" applyFont="1" applyBorder="1" applyAlignment="1">
      <alignment horizontal="center"/>
    </xf>
    <xf numFmtId="1" fontId="11" fillId="0" borderId="7" xfId="2" applyNumberFormat="1" applyFont="1" applyBorder="1" applyAlignment="1">
      <alignment horizontal="center" wrapText="1"/>
    </xf>
    <xf numFmtId="0" fontId="13" fillId="0" borderId="8" xfId="2" applyFont="1" applyBorder="1" applyAlignment="1">
      <alignment horizontal="center"/>
    </xf>
    <xf numFmtId="0" fontId="13" fillId="5" borderId="7" xfId="2" applyFont="1" applyFill="1" applyBorder="1" applyAlignment="1">
      <alignment horizontal="center"/>
    </xf>
    <xf numFmtId="0" fontId="14" fillId="5" borderId="7" xfId="0" applyFont="1" applyFill="1" applyBorder="1" applyAlignment="1">
      <alignment horizontal="center"/>
    </xf>
    <xf numFmtId="0" fontId="14" fillId="5" borderId="0" xfId="0" applyFont="1" applyFill="1"/>
    <xf numFmtId="0" fontId="13" fillId="5" borderId="14" xfId="2" applyFont="1" applyFill="1" applyBorder="1" applyAlignment="1">
      <alignment horizontal="center"/>
    </xf>
    <xf numFmtId="0" fontId="14" fillId="0" borderId="7" xfId="3" applyFont="1" applyBorder="1" applyAlignment="1">
      <alignment horizontal="center"/>
    </xf>
    <xf numFmtId="1" fontId="13" fillId="0" borderId="7" xfId="2" applyNumberFormat="1" applyFont="1" applyBorder="1" applyAlignment="1">
      <alignment horizontal="center" wrapText="1"/>
    </xf>
    <xf numFmtId="0" fontId="11" fillId="5" borderId="7" xfId="2" applyFont="1" applyFill="1" applyBorder="1" applyAlignment="1">
      <alignment horizontal="center"/>
    </xf>
    <xf numFmtId="0" fontId="13" fillId="0" borderId="14" xfId="0" applyFont="1" applyBorder="1" applyAlignment="1">
      <alignment horizontal="center"/>
    </xf>
    <xf numFmtId="164" fontId="13" fillId="0" borderId="14" xfId="0" applyNumberFormat="1" applyFont="1" applyBorder="1" applyAlignment="1">
      <alignment horizontal="center" wrapText="1"/>
    </xf>
    <xf numFmtId="0" fontId="13" fillId="0" borderId="14" xfId="2" applyFont="1" applyBorder="1" applyAlignment="1">
      <alignment horizontal="center"/>
    </xf>
    <xf numFmtId="1" fontId="13" fillId="0" borderId="7" xfId="2" applyNumberFormat="1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4" fillId="5" borderId="7" xfId="0" applyFont="1" applyFill="1" applyBorder="1"/>
    <xf numFmtId="49" fontId="13" fillId="0" borderId="32" xfId="2" applyNumberFormat="1" applyFont="1" applyBorder="1" applyAlignment="1">
      <alignment horizontal="center"/>
    </xf>
    <xf numFmtId="49" fontId="13" fillId="0" borderId="33" xfId="2" applyNumberFormat="1" applyFont="1" applyBorder="1" applyAlignment="1">
      <alignment horizontal="center"/>
    </xf>
    <xf numFmtId="0" fontId="11" fillId="5" borderId="7" xfId="2" applyFont="1" applyFill="1" applyBorder="1" applyAlignment="1">
      <alignment horizontal="left"/>
    </xf>
    <xf numFmtId="0" fontId="13" fillId="0" borderId="7" xfId="2" applyFont="1" applyBorder="1" applyAlignment="1">
      <alignment horizontal="center"/>
    </xf>
    <xf numFmtId="165" fontId="13" fillId="0" borderId="7" xfId="2" applyNumberFormat="1" applyFont="1" applyBorder="1" applyAlignment="1">
      <alignment horizontal="center"/>
    </xf>
    <xf numFmtId="16" fontId="13" fillId="0" borderId="7" xfId="0" applyNumberFormat="1" applyFont="1" applyBorder="1" applyAlignment="1">
      <alignment horizontal="center"/>
    </xf>
    <xf numFmtId="1" fontId="13" fillId="0" borderId="7" xfId="6" applyNumberFormat="1" applyFont="1" applyBorder="1" applyAlignment="1">
      <alignment horizontal="center"/>
    </xf>
    <xf numFmtId="1" fontId="13" fillId="0" borderId="7" xfId="6" applyNumberFormat="1" applyFont="1" applyBorder="1" applyAlignment="1">
      <alignment horizontal="center" wrapText="1"/>
    </xf>
    <xf numFmtId="0" fontId="12" fillId="5" borderId="7" xfId="2" applyFont="1" applyFill="1" applyBorder="1" applyAlignment="1">
      <alignment vertical="center"/>
    </xf>
    <xf numFmtId="0" fontId="11" fillId="0" borderId="33" xfId="2" applyFont="1" applyBorder="1" applyAlignment="1">
      <alignment horizontal="center"/>
    </xf>
    <xf numFmtId="0" fontId="14" fillId="0" borderId="7" xfId="0" applyFont="1" applyBorder="1" applyAlignment="1">
      <alignment horizontal="center" vertical="center"/>
    </xf>
    <xf numFmtId="16" fontId="13" fillId="0" borderId="7" xfId="2" applyNumberFormat="1" applyFont="1" applyBorder="1" applyAlignment="1">
      <alignment horizontal="center"/>
    </xf>
    <xf numFmtId="16" fontId="13" fillId="0" borderId="33" xfId="0" applyNumberFormat="1" applyFont="1" applyBorder="1" applyAlignment="1">
      <alignment horizontal="center"/>
    </xf>
    <xf numFmtId="1" fontId="13" fillId="0" borderId="14" xfId="0" applyNumberFormat="1" applyFont="1" applyBorder="1" applyAlignment="1">
      <alignment horizontal="center"/>
    </xf>
    <xf numFmtId="2" fontId="13" fillId="0" borderId="7" xfId="2" applyNumberFormat="1" applyFont="1" applyBorder="1" applyAlignment="1">
      <alignment horizontal="center"/>
    </xf>
    <xf numFmtId="49" fontId="13" fillId="0" borderId="7" xfId="2" applyNumberFormat="1" applyFont="1" applyBorder="1"/>
    <xf numFmtId="49" fontId="15" fillId="2" borderId="5" xfId="2" applyNumberFormat="1" applyFont="1" applyFill="1" applyBorder="1" applyAlignment="1">
      <alignment horizontal="center" vertical="center"/>
    </xf>
    <xf numFmtId="49" fontId="15" fillId="2" borderId="0" xfId="2" applyNumberFormat="1" applyFont="1" applyFill="1" applyAlignment="1">
      <alignment horizontal="center" vertical="center"/>
    </xf>
    <xf numFmtId="0" fontId="13" fillId="2" borderId="0" xfId="2" applyFont="1" applyFill="1"/>
    <xf numFmtId="1" fontId="13" fillId="2" borderId="0" xfId="2" applyNumberFormat="1" applyFont="1" applyFill="1" applyAlignment="1">
      <alignment horizontal="center"/>
    </xf>
    <xf numFmtId="166" fontId="13" fillId="2" borderId="0" xfId="2" applyNumberFormat="1" applyFont="1" applyFill="1" applyAlignment="1">
      <alignment horizontal="center" wrapText="1"/>
    </xf>
    <xf numFmtId="0" fontId="13" fillId="2" borderId="36" xfId="2" applyFont="1" applyFill="1" applyBorder="1" applyAlignment="1">
      <alignment horizontal="center"/>
    </xf>
    <xf numFmtId="0" fontId="13" fillId="4" borderId="9" xfId="2" applyFont="1" applyFill="1" applyBorder="1" applyAlignment="1">
      <alignment horizontal="center"/>
    </xf>
    <xf numFmtId="0" fontId="13" fillId="4" borderId="10" xfId="2" applyFont="1" applyFill="1" applyBorder="1" applyAlignment="1">
      <alignment horizontal="center"/>
    </xf>
    <xf numFmtId="0" fontId="13" fillId="4" borderId="10" xfId="2" applyFont="1" applyFill="1" applyBorder="1"/>
    <xf numFmtId="0" fontId="11" fillId="4" borderId="10" xfId="2" applyFont="1" applyFill="1" applyBorder="1" applyAlignment="1">
      <alignment horizontal="center"/>
    </xf>
    <xf numFmtId="1" fontId="11" fillId="4" borderId="10" xfId="2" applyNumberFormat="1" applyFont="1" applyFill="1" applyBorder="1" applyAlignment="1">
      <alignment horizontal="center"/>
    </xf>
    <xf numFmtId="166" fontId="13" fillId="4" borderId="10" xfId="2" applyNumberFormat="1" applyFont="1" applyFill="1" applyBorder="1" applyAlignment="1">
      <alignment horizontal="center" wrapText="1"/>
    </xf>
    <xf numFmtId="0" fontId="13" fillId="4" borderId="11" xfId="2" applyFont="1" applyFill="1" applyBorder="1" applyAlignment="1">
      <alignment horizontal="center"/>
    </xf>
    <xf numFmtId="0" fontId="11" fillId="0" borderId="20" xfId="2" applyFont="1" applyBorder="1" applyAlignment="1">
      <alignment horizontal="right"/>
    </xf>
    <xf numFmtId="0" fontId="11" fillId="0" borderId="21" xfId="2" applyFont="1" applyBorder="1" applyAlignment="1">
      <alignment horizontal="right"/>
    </xf>
    <xf numFmtId="0" fontId="11" fillId="0" borderId="37" xfId="2" applyFont="1" applyBorder="1" applyAlignment="1">
      <alignment horizontal="right"/>
    </xf>
    <xf numFmtId="0" fontId="13" fillId="0" borderId="38" xfId="0" applyFont="1" applyBorder="1" applyAlignment="1">
      <alignment horizontal="center"/>
    </xf>
    <xf numFmtId="166" fontId="13" fillId="0" borderId="14" xfId="2" applyNumberFormat="1" applyFont="1" applyBorder="1" applyAlignment="1">
      <alignment horizontal="right"/>
    </xf>
    <xf numFmtId="0" fontId="13" fillId="2" borderId="38" xfId="2" applyFont="1" applyFill="1" applyBorder="1" applyAlignment="1">
      <alignment horizontal="center"/>
    </xf>
    <xf numFmtId="0" fontId="13" fillId="2" borderId="39" xfId="2" applyFont="1" applyFill="1" applyBorder="1" applyAlignment="1">
      <alignment horizontal="center"/>
    </xf>
    <xf numFmtId="0" fontId="11" fillId="0" borderId="34" xfId="2" applyFont="1" applyBorder="1" applyAlignment="1">
      <alignment horizontal="right"/>
    </xf>
    <xf numFmtId="0" fontId="11" fillId="0" borderId="35" xfId="2" applyFont="1" applyBorder="1" applyAlignment="1">
      <alignment horizontal="right"/>
    </xf>
    <xf numFmtId="0" fontId="11" fillId="0" borderId="33" xfId="2" applyFont="1" applyBorder="1" applyAlignment="1">
      <alignment horizontal="right"/>
    </xf>
    <xf numFmtId="0" fontId="11" fillId="0" borderId="7" xfId="0" applyFont="1" applyBorder="1" applyAlignment="1">
      <alignment horizontal="center"/>
    </xf>
    <xf numFmtId="0" fontId="13" fillId="0" borderId="7" xfId="2" applyFont="1" applyBorder="1" applyAlignment="1">
      <alignment horizontal="right"/>
    </xf>
    <xf numFmtId="166" fontId="13" fillId="0" borderId="40" xfId="2" applyNumberFormat="1" applyFont="1" applyBorder="1" applyAlignment="1">
      <alignment horizontal="center"/>
    </xf>
    <xf numFmtId="166" fontId="13" fillId="0" borderId="41" xfId="2" applyNumberFormat="1" applyFont="1" applyBorder="1" applyAlignment="1">
      <alignment horizontal="center"/>
    </xf>
    <xf numFmtId="166" fontId="13" fillId="0" borderId="40" xfId="2" applyNumberFormat="1" applyFont="1" applyBorder="1" applyAlignment="1">
      <alignment horizontal="right" wrapText="1"/>
    </xf>
    <xf numFmtId="166" fontId="13" fillId="0" borderId="33" xfId="2" applyNumberFormat="1" applyFont="1" applyBorder="1" applyAlignment="1">
      <alignment horizontal="right" wrapText="1"/>
    </xf>
    <xf numFmtId="0" fontId="11" fillId="0" borderId="29" xfId="2" applyFont="1" applyBorder="1" applyAlignment="1">
      <alignment horizontal="right"/>
    </xf>
    <xf numFmtId="0" fontId="11" fillId="0" borderId="24" xfId="2" applyFont="1" applyBorder="1" applyAlignment="1">
      <alignment horizontal="right"/>
    </xf>
    <xf numFmtId="0" fontId="11" fillId="0" borderId="30" xfId="2" applyFont="1" applyBorder="1" applyAlignment="1">
      <alignment horizontal="right"/>
    </xf>
    <xf numFmtId="1" fontId="13" fillId="0" borderId="30" xfId="0" applyNumberFormat="1" applyFont="1" applyBorder="1" applyAlignment="1">
      <alignment horizontal="center"/>
    </xf>
    <xf numFmtId="0" fontId="13" fillId="0" borderId="30" xfId="0" applyFont="1" applyBorder="1" applyAlignment="1">
      <alignment horizontal="center"/>
    </xf>
    <xf numFmtId="0" fontId="13" fillId="0" borderId="30" xfId="2" applyFont="1" applyBorder="1" applyAlignment="1">
      <alignment horizontal="right"/>
    </xf>
    <xf numFmtId="166" fontId="13" fillId="0" borderId="22" xfId="2" applyNumberFormat="1" applyFont="1" applyBorder="1" applyAlignment="1">
      <alignment horizontal="center"/>
    </xf>
    <xf numFmtId="166" fontId="13" fillId="0" borderId="42" xfId="2" applyNumberFormat="1" applyFont="1" applyBorder="1" applyAlignment="1">
      <alignment horizontal="center"/>
    </xf>
    <xf numFmtId="0" fontId="13" fillId="0" borderId="32" xfId="2" applyFont="1" applyBorder="1" applyAlignment="1">
      <alignment horizontal="left"/>
    </xf>
    <xf numFmtId="0" fontId="13" fillId="0" borderId="33" xfId="2" applyFont="1" applyBorder="1" applyAlignment="1">
      <alignment horizontal="left"/>
    </xf>
    <xf numFmtId="0" fontId="13" fillId="0" borderId="7" xfId="2" applyFont="1" applyBorder="1" applyAlignment="1">
      <alignment horizontal="left"/>
    </xf>
    <xf numFmtId="0" fontId="13" fillId="0" borderId="8" xfId="2" applyFont="1" applyBorder="1" applyAlignment="1">
      <alignment horizontal="left"/>
    </xf>
    <xf numFmtId="0" fontId="13" fillId="0" borderId="34" xfId="2" applyFont="1" applyBorder="1" applyAlignment="1">
      <alignment horizontal="left" wrapText="1"/>
    </xf>
    <xf numFmtId="0" fontId="13" fillId="0" borderId="35" xfId="2" applyFont="1" applyBorder="1" applyAlignment="1">
      <alignment horizontal="left" wrapText="1"/>
    </xf>
    <xf numFmtId="0" fontId="13" fillId="0" borderId="41" xfId="2" applyFont="1" applyBorder="1" applyAlignment="1">
      <alignment horizontal="left" wrapText="1"/>
    </xf>
    <xf numFmtId="0" fontId="11" fillId="4" borderId="9" xfId="2" applyFont="1" applyFill="1" applyBorder="1" applyAlignment="1">
      <alignment horizontal="center"/>
    </xf>
    <xf numFmtId="0" fontId="11" fillId="4" borderId="10" xfId="2" applyFont="1" applyFill="1" applyBorder="1" applyAlignment="1">
      <alignment horizontal="center"/>
    </xf>
    <xf numFmtId="0" fontId="11" fillId="4" borderId="11" xfId="2" applyFont="1" applyFill="1" applyBorder="1" applyAlignment="1">
      <alignment horizontal="center"/>
    </xf>
    <xf numFmtId="0" fontId="13" fillId="0" borderId="43" xfId="2" applyFont="1" applyBorder="1" applyAlignment="1">
      <alignment horizontal="left"/>
    </xf>
    <xf numFmtId="0" fontId="13" fillId="0" borderId="44" xfId="2" applyFont="1" applyBorder="1" applyAlignment="1">
      <alignment horizontal="left"/>
    </xf>
    <xf numFmtId="0" fontId="13" fillId="0" borderId="45" xfId="2" applyFont="1" applyBorder="1" applyAlignment="1">
      <alignment horizontal="left"/>
    </xf>
    <xf numFmtId="0" fontId="11" fillId="6" borderId="7" xfId="1" applyFont="1" applyFill="1" applyBorder="1" applyAlignment="1">
      <alignment horizontal="center"/>
    </xf>
    <xf numFmtId="0" fontId="13" fillId="2" borderId="7" xfId="1" applyFont="1" applyFill="1" applyBorder="1" applyAlignment="1">
      <alignment horizontal="left"/>
    </xf>
    <xf numFmtId="49" fontId="11" fillId="0" borderId="7" xfId="2" applyNumberFormat="1" applyFont="1" applyBorder="1" applyAlignment="1">
      <alignment horizontal="center"/>
    </xf>
  </cellXfs>
  <cellStyles count="7">
    <cellStyle name="Normal" xfId="0" builtinId="0"/>
    <cellStyle name="Normal 2" xfId="2" xr:uid="{9BDC364A-DC0F-48F4-A91D-1C89EAE6989C}"/>
    <cellStyle name="Normal 3" xfId="4" xr:uid="{E1EA71C7-FCD0-41B4-99CF-4F9DA30EC05F}"/>
    <cellStyle name="Normal 3 2" xfId="6" xr:uid="{FF03946E-F82C-4414-BB2E-521CCEEA271B}"/>
    <cellStyle name="Normal 4" xfId="5" xr:uid="{425BF226-AF52-42A9-8FBC-E6A0DB581513}"/>
    <cellStyle name="Normal 5" xfId="3" xr:uid="{29CA6C8E-D218-4BB0-B28D-7D1536E662B9}"/>
    <cellStyle name="Normal_CRITERIOS DE EVALUACION PT DE GB 2" xfId="1" xr:uid="{56046E7D-B74B-42E9-8809-C51E574E20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59532</xdr:colOff>
      <xdr:row>0</xdr:row>
      <xdr:rowOff>71437</xdr:rowOff>
    </xdr:from>
    <xdr:ext cx="2083434" cy="1012031"/>
    <xdr:pic>
      <xdr:nvPicPr>
        <xdr:cNvPr id="2" name="Imagen 1">
          <a:extLst>
            <a:ext uri="{FF2B5EF4-FFF2-40B4-BE49-F238E27FC236}">
              <a16:creationId xmlns:a16="http://schemas.microsoft.com/office/drawing/2014/main" id="{F1BB1774-D23F-4AE5-9FEA-F27C7A44F315}"/>
            </a:ext>
            <a:ext uri="{147F2762-F138-4A5C-976F-8EAC2B608ADB}">
              <a16:predDERef xmlns:a16="http://schemas.microsoft.com/office/drawing/2014/main" pred="{143920BB-F21E-48BE-855C-7525E5747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32" y="71437"/>
          <a:ext cx="2083434" cy="101203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C5E86-6BD0-4DA6-AA35-4FC71242F409}">
  <sheetPr>
    <pageSetUpPr fitToPage="1"/>
  </sheetPr>
  <dimension ref="A1:K32"/>
  <sheetViews>
    <sheetView tabSelected="1" zoomScale="80" zoomScaleNormal="80" workbookViewId="0">
      <selection activeCell="C11" sqref="C11"/>
    </sheetView>
  </sheetViews>
  <sheetFormatPr baseColWidth="10" defaultRowHeight="15" x14ac:dyDescent="0.25"/>
  <cols>
    <col min="1" max="1" width="15" bestFit="1" customWidth="1"/>
    <col min="2" max="2" width="17.7109375" bestFit="1" customWidth="1"/>
    <col min="3" max="3" width="58.85546875" customWidth="1"/>
    <col min="4" max="4" width="17.7109375" customWidth="1"/>
    <col min="5" max="5" width="13.140625" customWidth="1"/>
    <col min="6" max="6" width="13.28515625" customWidth="1"/>
    <col min="7" max="7" width="21" customWidth="1"/>
    <col min="8" max="8" width="15.7109375" customWidth="1"/>
    <col min="9" max="9" width="17.85546875" customWidth="1"/>
  </cols>
  <sheetData>
    <row r="1" spans="1:11" ht="15.75" x14ac:dyDescent="0.25">
      <c r="A1" s="21"/>
      <c r="B1" s="22"/>
      <c r="C1" s="27" t="s">
        <v>0</v>
      </c>
      <c r="D1" s="27"/>
      <c r="E1" s="27"/>
      <c r="F1" s="27"/>
      <c r="G1" s="27"/>
      <c r="H1" s="1" t="s">
        <v>1</v>
      </c>
      <c r="I1" s="2" t="s">
        <v>56</v>
      </c>
    </row>
    <row r="2" spans="1:11" ht="16.5" thickBot="1" x14ac:dyDescent="0.3">
      <c r="A2" s="23"/>
      <c r="B2" s="24"/>
      <c r="C2" s="28" t="s">
        <v>2</v>
      </c>
      <c r="D2" s="28"/>
      <c r="E2" s="28"/>
      <c r="F2" s="28"/>
      <c r="G2" s="28"/>
      <c r="H2" s="3" t="s">
        <v>3</v>
      </c>
      <c r="I2" s="4" t="s">
        <v>55</v>
      </c>
    </row>
    <row r="3" spans="1:11" ht="30.75" customHeight="1" thickBot="1" x14ac:dyDescent="0.3">
      <c r="A3" s="23"/>
      <c r="B3" s="24"/>
      <c r="C3" s="41" t="s">
        <v>4</v>
      </c>
      <c r="D3" s="42"/>
      <c r="E3" s="42"/>
      <c r="F3" s="42"/>
      <c r="G3" s="43"/>
      <c r="H3" s="29" t="s">
        <v>5</v>
      </c>
      <c r="I3" s="32">
        <v>46080</v>
      </c>
    </row>
    <row r="4" spans="1:11" x14ac:dyDescent="0.25">
      <c r="A4" s="23"/>
      <c r="B4" s="24"/>
      <c r="C4" s="5" t="s">
        <v>6</v>
      </c>
      <c r="D4" s="35" t="s">
        <v>7</v>
      </c>
      <c r="E4" s="36"/>
      <c r="F4" s="36"/>
      <c r="G4" s="37"/>
      <c r="H4" s="30"/>
      <c r="I4" s="33"/>
    </row>
    <row r="5" spans="1:11" ht="15.75" thickBot="1" x14ac:dyDescent="0.3">
      <c r="A5" s="25"/>
      <c r="B5" s="26"/>
      <c r="C5" s="6" t="s">
        <v>8</v>
      </c>
      <c r="D5" s="38" t="s">
        <v>9</v>
      </c>
      <c r="E5" s="39"/>
      <c r="F5" s="39"/>
      <c r="G5" s="40"/>
      <c r="H5" s="31"/>
      <c r="I5" s="34"/>
    </row>
    <row r="6" spans="1:11" ht="18.75" thickBot="1" x14ac:dyDescent="0.3">
      <c r="A6" s="13" t="s">
        <v>10</v>
      </c>
      <c r="B6" s="13"/>
      <c r="C6" s="13"/>
      <c r="D6" s="44" t="s">
        <v>11</v>
      </c>
      <c r="E6" s="44"/>
      <c r="F6" s="44"/>
      <c r="G6" s="14" t="s">
        <v>12</v>
      </c>
      <c r="H6" s="14"/>
      <c r="I6" s="45" t="s">
        <v>31</v>
      </c>
    </row>
    <row r="7" spans="1:11" ht="32.25" customHeight="1" x14ac:dyDescent="0.25">
      <c r="A7" s="15" t="s">
        <v>13</v>
      </c>
      <c r="B7" s="17" t="s">
        <v>14</v>
      </c>
      <c r="C7" s="19" t="s">
        <v>15</v>
      </c>
      <c r="D7" s="19" t="s">
        <v>16</v>
      </c>
      <c r="E7" s="19" t="s">
        <v>17</v>
      </c>
      <c r="F7" s="19"/>
      <c r="G7" s="19" t="s">
        <v>18</v>
      </c>
      <c r="H7" s="19"/>
      <c r="I7" s="7" t="s">
        <v>19</v>
      </c>
    </row>
    <row r="8" spans="1:11" ht="27" thickBot="1" x14ac:dyDescent="0.3">
      <c r="A8" s="16"/>
      <c r="B8" s="18"/>
      <c r="C8" s="20"/>
      <c r="D8" s="20"/>
      <c r="E8" s="8" t="s">
        <v>20</v>
      </c>
      <c r="F8" s="9" t="s">
        <v>21</v>
      </c>
      <c r="G8" s="8" t="s">
        <v>20</v>
      </c>
      <c r="H8" s="9" t="s">
        <v>21</v>
      </c>
      <c r="I8" s="10" t="s">
        <v>22</v>
      </c>
    </row>
    <row r="9" spans="1:11" ht="20.25" x14ac:dyDescent="0.3">
      <c r="A9" s="46"/>
      <c r="B9" s="47"/>
      <c r="C9" s="48" t="s">
        <v>23</v>
      </c>
      <c r="D9" s="49"/>
      <c r="E9" s="50"/>
      <c r="F9" s="51"/>
      <c r="G9" s="50"/>
      <c r="H9" s="51"/>
      <c r="I9" s="52"/>
    </row>
    <row r="10" spans="1:11" s="12" customFormat="1" ht="20.25" x14ac:dyDescent="0.3">
      <c r="A10" s="53"/>
      <c r="B10" s="54" t="s">
        <v>24</v>
      </c>
      <c r="C10" s="55" t="s">
        <v>25</v>
      </c>
      <c r="D10" s="56" t="s">
        <v>26</v>
      </c>
      <c r="E10" s="57">
        <v>43</v>
      </c>
      <c r="F10" s="58" t="s">
        <v>27</v>
      </c>
      <c r="G10" s="57">
        <f>+E10*395</f>
        <v>16985</v>
      </c>
      <c r="H10" s="57" t="s">
        <v>28</v>
      </c>
      <c r="I10" s="59"/>
      <c r="J10" s="11">
        <f>+G10/$D$20</f>
        <v>1.0615625</v>
      </c>
      <c r="K10" s="12">
        <f>+J10*1000</f>
        <v>1061.5625</v>
      </c>
    </row>
    <row r="11" spans="1:11" ht="20.25" x14ac:dyDescent="0.3">
      <c r="A11" s="65"/>
      <c r="B11" s="65"/>
      <c r="C11" s="66"/>
      <c r="D11" s="63"/>
      <c r="E11" s="63"/>
      <c r="F11" s="58"/>
      <c r="G11" s="50"/>
      <c r="H11" s="62"/>
      <c r="I11" s="52"/>
    </row>
    <row r="12" spans="1:11" ht="20.25" x14ac:dyDescent="0.3">
      <c r="A12" s="67"/>
      <c r="B12" s="68"/>
      <c r="C12" s="69" t="s">
        <v>29</v>
      </c>
      <c r="D12" s="70" t="s">
        <v>30</v>
      </c>
      <c r="E12" s="71"/>
      <c r="F12" s="58"/>
      <c r="G12" s="50"/>
      <c r="H12" s="62"/>
      <c r="I12" s="52"/>
    </row>
    <row r="13" spans="1:11" ht="20.25" x14ac:dyDescent="0.3">
      <c r="A13" s="65"/>
      <c r="B13" s="65"/>
      <c r="C13" s="66"/>
      <c r="D13" s="72" t="s">
        <v>30</v>
      </c>
      <c r="E13" s="73"/>
      <c r="F13" s="74"/>
      <c r="G13" s="50"/>
      <c r="H13" s="62"/>
      <c r="I13" s="52"/>
    </row>
    <row r="14" spans="1:11" ht="20.25" x14ac:dyDescent="0.3">
      <c r="A14" s="135"/>
      <c r="B14" s="135"/>
      <c r="C14" s="75" t="s">
        <v>31</v>
      </c>
      <c r="D14" s="76" t="s">
        <v>30</v>
      </c>
      <c r="E14" s="50"/>
      <c r="F14" s="51"/>
      <c r="G14" s="50"/>
      <c r="H14" s="62"/>
      <c r="I14" s="52"/>
    </row>
    <row r="15" spans="1:11" ht="20.25" x14ac:dyDescent="0.3">
      <c r="A15" s="77">
        <v>702123</v>
      </c>
      <c r="B15" s="77" t="s">
        <v>32</v>
      </c>
      <c r="C15" s="77" t="s">
        <v>33</v>
      </c>
      <c r="D15" s="78" t="s">
        <v>34</v>
      </c>
      <c r="E15" s="63">
        <v>4</v>
      </c>
      <c r="F15" s="57" t="s">
        <v>35</v>
      </c>
      <c r="G15" s="61"/>
      <c r="H15" s="62"/>
      <c r="I15" s="52"/>
      <c r="J15">
        <f>+E15/$D$20</f>
        <v>2.5000000000000001E-4</v>
      </c>
      <c r="K15">
        <f>+J15*1000</f>
        <v>0.25</v>
      </c>
    </row>
    <row r="16" spans="1:11" ht="20.25" x14ac:dyDescent="0.3">
      <c r="A16" s="77">
        <v>51600050</v>
      </c>
      <c r="B16" s="77" t="s">
        <v>36</v>
      </c>
      <c r="C16" s="77" t="s">
        <v>37</v>
      </c>
      <c r="D16" s="79"/>
      <c r="E16" s="80">
        <v>4</v>
      </c>
      <c r="F16" s="60" t="s">
        <v>35</v>
      </c>
      <c r="G16" s="81"/>
      <c r="H16" s="62"/>
      <c r="I16" s="52"/>
      <c r="J16">
        <f>+E16/D20</f>
        <v>2.5000000000000001E-4</v>
      </c>
      <c r="K16">
        <f>+J16*15</f>
        <v>3.7499999999999999E-3</v>
      </c>
    </row>
    <row r="17" spans="1:9" ht="20.25" x14ac:dyDescent="0.3">
      <c r="A17" s="67"/>
      <c r="B17" s="68"/>
      <c r="C17" s="82"/>
      <c r="D17" s="70"/>
      <c r="E17" s="70"/>
      <c r="F17" s="58"/>
      <c r="G17" s="70"/>
      <c r="H17" s="70"/>
      <c r="I17" s="52"/>
    </row>
    <row r="18" spans="1:9" ht="21" thickBot="1" x14ac:dyDescent="0.35">
      <c r="A18" s="83"/>
      <c r="B18" s="84"/>
      <c r="C18" s="85"/>
      <c r="D18" s="85"/>
      <c r="E18" s="86"/>
      <c r="F18" s="87"/>
      <c r="G18" s="85"/>
      <c r="H18" s="85"/>
      <c r="I18" s="88"/>
    </row>
    <row r="19" spans="1:9" ht="21" thickBot="1" x14ac:dyDescent="0.35">
      <c r="A19" s="89"/>
      <c r="B19" s="90"/>
      <c r="C19" s="91"/>
      <c r="D19" s="92" t="s">
        <v>20</v>
      </c>
      <c r="E19" s="93" t="s">
        <v>38</v>
      </c>
      <c r="F19" s="94"/>
      <c r="G19" s="91"/>
      <c r="H19" s="91"/>
      <c r="I19" s="95"/>
    </row>
    <row r="20" spans="1:9" ht="20.25" x14ac:dyDescent="0.3">
      <c r="A20" s="96" t="s">
        <v>39</v>
      </c>
      <c r="B20" s="97"/>
      <c r="C20" s="98"/>
      <c r="D20" s="80">
        <v>16000</v>
      </c>
      <c r="E20" s="99" t="s">
        <v>40</v>
      </c>
      <c r="F20" s="100" t="s">
        <v>41</v>
      </c>
      <c r="G20" s="100"/>
      <c r="H20" s="101"/>
      <c r="I20" s="102"/>
    </row>
    <row r="21" spans="1:9" ht="20.25" x14ac:dyDescent="0.3">
      <c r="A21" s="103" t="s">
        <v>42</v>
      </c>
      <c r="B21" s="104"/>
      <c r="C21" s="105"/>
      <c r="D21" s="106">
        <v>15</v>
      </c>
      <c r="E21" s="64" t="s">
        <v>43</v>
      </c>
      <c r="F21" s="107" t="s">
        <v>44</v>
      </c>
      <c r="G21" s="107"/>
      <c r="H21" s="108"/>
      <c r="I21" s="109"/>
    </row>
    <row r="22" spans="1:9" ht="20.25" x14ac:dyDescent="0.3">
      <c r="A22" s="103" t="s">
        <v>45</v>
      </c>
      <c r="B22" s="104"/>
      <c r="C22" s="105"/>
      <c r="D22" s="64">
        <v>4</v>
      </c>
      <c r="E22" s="64" t="s">
        <v>46</v>
      </c>
      <c r="F22" s="107" t="s">
        <v>47</v>
      </c>
      <c r="G22" s="107"/>
      <c r="H22" s="108"/>
      <c r="I22" s="109"/>
    </row>
    <row r="23" spans="1:9" ht="20.25" x14ac:dyDescent="0.3">
      <c r="A23" s="103" t="s">
        <v>48</v>
      </c>
      <c r="B23" s="104"/>
      <c r="C23" s="105"/>
      <c r="D23" s="64">
        <v>4000</v>
      </c>
      <c r="E23" s="64" t="s">
        <v>40</v>
      </c>
      <c r="F23" s="110" t="s">
        <v>49</v>
      </c>
      <c r="G23" s="111"/>
      <c r="H23" s="108"/>
      <c r="I23" s="109"/>
    </row>
    <row r="24" spans="1:9" ht="21" thickBot="1" x14ac:dyDescent="0.35">
      <c r="A24" s="112" t="s">
        <v>50</v>
      </c>
      <c r="B24" s="113"/>
      <c r="C24" s="114"/>
      <c r="D24" s="115">
        <v>985</v>
      </c>
      <c r="E24" s="116" t="s">
        <v>40</v>
      </c>
      <c r="F24" s="117"/>
      <c r="G24" s="117"/>
      <c r="H24" s="118"/>
      <c r="I24" s="119"/>
    </row>
    <row r="25" spans="1:9" ht="21" thickBot="1" x14ac:dyDescent="0.35">
      <c r="A25" s="127" t="s">
        <v>51</v>
      </c>
      <c r="B25" s="128"/>
      <c r="C25" s="128"/>
      <c r="D25" s="128"/>
      <c r="E25" s="128"/>
      <c r="F25" s="128"/>
      <c r="G25" s="128"/>
      <c r="H25" s="128"/>
      <c r="I25" s="129"/>
    </row>
    <row r="26" spans="1:9" ht="20.25" x14ac:dyDescent="0.3">
      <c r="A26" s="120" t="s">
        <v>52</v>
      </c>
      <c r="B26" s="121"/>
      <c r="C26" s="122"/>
      <c r="D26" s="122"/>
      <c r="E26" s="122"/>
      <c r="F26" s="122"/>
      <c r="G26" s="122"/>
      <c r="H26" s="122"/>
      <c r="I26" s="123"/>
    </row>
    <row r="27" spans="1:9" ht="20.25" x14ac:dyDescent="0.3">
      <c r="A27" s="120" t="s">
        <v>53</v>
      </c>
      <c r="B27" s="121"/>
      <c r="C27" s="122"/>
      <c r="D27" s="122"/>
      <c r="E27" s="122"/>
      <c r="F27" s="122"/>
      <c r="G27" s="122"/>
      <c r="H27" s="122"/>
      <c r="I27" s="123"/>
    </row>
    <row r="28" spans="1:9" ht="20.25" x14ac:dyDescent="0.3">
      <c r="A28" s="124">
        <f>D21/D20</f>
        <v>9.3749999999999997E-4</v>
      </c>
      <c r="B28" s="125"/>
      <c r="C28" s="125"/>
      <c r="D28" s="125"/>
      <c r="E28" s="125"/>
      <c r="F28" s="125"/>
      <c r="G28" s="125"/>
      <c r="H28" s="125"/>
      <c r="I28" s="126"/>
    </row>
    <row r="29" spans="1:9" ht="20.25" x14ac:dyDescent="0.3">
      <c r="A29" s="130"/>
      <c r="B29" s="131"/>
      <c r="C29" s="131"/>
      <c r="D29" s="131"/>
      <c r="E29" s="131"/>
      <c r="F29" s="131"/>
      <c r="G29" s="131"/>
      <c r="H29" s="131"/>
      <c r="I29" s="132"/>
    </row>
    <row r="30" spans="1:9" ht="20.25" x14ac:dyDescent="0.3">
      <c r="A30" s="133" t="s">
        <v>54</v>
      </c>
      <c r="B30" s="133"/>
      <c r="C30" s="133"/>
      <c r="D30" s="133"/>
      <c r="E30" s="133"/>
      <c r="F30" s="133"/>
      <c r="G30" s="133"/>
      <c r="H30" s="133"/>
      <c r="I30" s="133"/>
    </row>
    <row r="31" spans="1:9" ht="20.25" x14ac:dyDescent="0.3">
      <c r="A31" s="134"/>
      <c r="B31" s="134"/>
      <c r="C31" s="134"/>
      <c r="D31" s="134"/>
      <c r="E31" s="134"/>
      <c r="F31" s="134"/>
      <c r="G31" s="134"/>
      <c r="H31" s="134"/>
      <c r="I31" s="134"/>
    </row>
    <row r="32" spans="1:9" ht="20.25" x14ac:dyDescent="0.3">
      <c r="A32" s="134"/>
      <c r="B32" s="134"/>
      <c r="C32" s="134"/>
      <c r="D32" s="134"/>
      <c r="E32" s="134"/>
      <c r="F32" s="134"/>
      <c r="G32" s="134"/>
      <c r="H32" s="134"/>
      <c r="I32" s="134"/>
    </row>
  </sheetData>
  <mergeCells count="40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0:C20"/>
    <mergeCell ref="F20:G20"/>
    <mergeCell ref="H20:I20"/>
    <mergeCell ref="A21:C21"/>
    <mergeCell ref="F21:G21"/>
    <mergeCell ref="H21:I21"/>
    <mergeCell ref="A22:C22"/>
    <mergeCell ref="F22:G22"/>
    <mergeCell ref="H22:I22"/>
    <mergeCell ref="A23:C23"/>
    <mergeCell ref="F23:G23"/>
    <mergeCell ref="H23:I23"/>
    <mergeCell ref="A24:C24"/>
    <mergeCell ref="F24:G24"/>
    <mergeCell ref="H24:I24"/>
    <mergeCell ref="A25:I25"/>
    <mergeCell ref="A26:I26"/>
    <mergeCell ref="A27:I27"/>
    <mergeCell ref="A28:I28"/>
    <mergeCell ref="A29:I29"/>
    <mergeCell ref="A30:I30"/>
    <mergeCell ref="A31:I31"/>
    <mergeCell ref="A32:I32"/>
  </mergeCells>
  <pageMargins left="0.25" right="0.25" top="0.75" bottom="0.75" header="0.3" footer="0.3"/>
  <pageSetup scale="53" orientation="portrait" r:id="rId1"/>
  <colBreaks count="1" manualBreakCount="1">
    <brk id="9" max="31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6E7C14FB-9F0E-451B-81A7-009FA372923A}"/>
</file>

<file path=customXml/itemProps2.xml><?xml version="1.0" encoding="utf-8"?>
<ds:datastoreItem xmlns:ds="http://schemas.openxmlformats.org/officeDocument/2006/customXml" ds:itemID="{6B736450-F3E7-4AE1-B00D-460BC8CB2DB1}"/>
</file>

<file path=customXml/itemProps3.xml><?xml version="1.0" encoding="utf-8"?>
<ds:datastoreItem xmlns:ds="http://schemas.openxmlformats.org/officeDocument/2006/customXml" ds:itemID="{70C67306-BD86-4021-BB9F-EAAAE4CB73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Ramirez</dc:creator>
  <cp:lastModifiedBy>Allan Brenes</cp:lastModifiedBy>
  <cp:lastPrinted>2026-02-27T15:20:48Z</cp:lastPrinted>
  <dcterms:created xsi:type="dcterms:W3CDTF">2026-02-24T22:25:15Z</dcterms:created>
  <dcterms:modified xsi:type="dcterms:W3CDTF">2026-02-27T15:21:43Z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0x0101005C97FB89D0086C4984F8F1A28A5D30F9</vt:lpwstr>
  </property>
</Properties>
</file>
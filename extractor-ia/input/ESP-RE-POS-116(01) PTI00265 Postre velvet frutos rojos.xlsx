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2F522C41-DAAB-488D-BD0F-E40E88E68D1F}" xr6:coauthVersionLast="47" xr6:coauthVersionMax="47" xr10:uidLastSave="{5F0EB504-3638-4B40-BDCE-3F841EE45F51}"/>
  <bookViews>
    <workbookView xWindow="-120" yWindow="-120" windowWidth="20730" windowHeight="11040" tabRatio="868" firstSheet="7" activeTab="7" xr2:uid="{C9E15B74-726B-477E-BB07-60066F9D1626}"/>
  </bookViews>
  <sheets>
    <sheet name="Relleno Framb y arand" sheetId="11" state="hidden" r:id="rId1"/>
    <sheet name="Batido" sheetId="2" state="hidden" r:id="rId2"/>
    <sheet name="Costo Batido" sheetId="6" state="hidden" r:id="rId3"/>
    <sheet name="Rosquete" sheetId="3" state="hidden" r:id="rId4"/>
    <sheet name="Costo Rosquete" sheetId="7" state="hidden" r:id="rId5"/>
    <sheet name="Crema Chantilly " sheetId="10" state="hidden" r:id="rId6"/>
    <sheet name="costo Mouse Queso" sheetId="8" state="hidden" r:id="rId7"/>
    <sheet name="Ensamble" sheetId="4" r:id="rId8"/>
    <sheet name="Costo Ensamble" sheetId="9" state="hidden" r:id="rId9"/>
  </sheets>
  <externalReferences>
    <externalReference r:id="rId10"/>
    <externalReference r:id="rId11"/>
  </externalReferences>
  <definedNames>
    <definedName name="_xlnm.Print_Area" localSheetId="7">Ensamble!$A$1:$I$40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9" l="1"/>
  <c r="F51" i="9"/>
  <c r="E51" i="9"/>
  <c r="T30" i="9"/>
  <c r="M50" i="6" l="1"/>
  <c r="D73" i="9" l="1"/>
  <c r="D74" i="9" s="1"/>
  <c r="D76" i="9" s="1"/>
  <c r="D71" i="9"/>
  <c r="D69" i="9"/>
  <c r="C73" i="9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1" i="9"/>
  <c r="D41" i="9"/>
  <c r="B41" i="9"/>
  <c r="A41" i="9"/>
  <c r="A50" i="9" s="1"/>
  <c r="C50" i="9" s="1"/>
  <c r="E40" i="9"/>
  <c r="D40" i="9"/>
  <c r="B40" i="9"/>
  <c r="A40" i="9"/>
  <c r="C40" i="9" s="1"/>
  <c r="E39" i="9"/>
  <c r="D39" i="9"/>
  <c r="B39" i="9"/>
  <c r="A39" i="9"/>
  <c r="C39" i="9" s="1"/>
  <c r="E38" i="9"/>
  <c r="D38" i="9"/>
  <c r="B38" i="9"/>
  <c r="A38" i="9"/>
  <c r="C38" i="9" s="1"/>
  <c r="C37" i="9"/>
  <c r="A37" i="9"/>
  <c r="A46" i="9" s="1"/>
  <c r="C46" i="9" s="1"/>
  <c r="A36" i="9"/>
  <c r="A45" i="9" s="1"/>
  <c r="C45" i="9" s="1"/>
  <c r="C35" i="9"/>
  <c r="A35" i="9"/>
  <c r="A44" i="9" s="1"/>
  <c r="C44" i="9" s="1"/>
  <c r="F32" i="9"/>
  <c r="C32" i="9"/>
  <c r="C31" i="9"/>
  <c r="F30" i="9"/>
  <c r="C30" i="9"/>
  <c r="C29" i="9"/>
  <c r="C28" i="9"/>
  <c r="C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C19" i="9"/>
  <c r="C18" i="9"/>
  <c r="C17" i="9"/>
  <c r="B15" i="9"/>
  <c r="E14" i="9"/>
  <c r="D14" i="9"/>
  <c r="C14" i="9"/>
  <c r="B14" i="9"/>
  <c r="E13" i="9"/>
  <c r="F13" i="9" s="1"/>
  <c r="D13" i="9"/>
  <c r="C13" i="9"/>
  <c r="B13" i="9"/>
  <c r="E12" i="9"/>
  <c r="F12" i="9" s="1"/>
  <c r="D12" i="9"/>
  <c r="C12" i="9"/>
  <c r="B12" i="9"/>
  <c r="E11" i="9"/>
  <c r="F11" i="9" s="1"/>
  <c r="D11" i="9"/>
  <c r="C11" i="9"/>
  <c r="B11" i="9"/>
  <c r="E10" i="9"/>
  <c r="F10" i="9" s="1"/>
  <c r="D10" i="9"/>
  <c r="C10" i="9"/>
  <c r="B10" i="9"/>
  <c r="E9" i="9"/>
  <c r="F9" i="9" s="1"/>
  <c r="D9" i="9"/>
  <c r="C9" i="9"/>
  <c r="B9" i="9"/>
  <c r="C8" i="9"/>
  <c r="H6" i="9"/>
  <c r="D70" i="8"/>
  <c r="D71" i="8" s="1"/>
  <c r="D73" i="8" s="1"/>
  <c r="D68" i="8"/>
  <c r="D66" i="8"/>
  <c r="F62" i="8"/>
  <c r="E48" i="8" s="1"/>
  <c r="D57" i="8"/>
  <c r="D82" i="8" s="1"/>
  <c r="D83" i="8" s="1"/>
  <c r="C48" i="8"/>
  <c r="E47" i="8"/>
  <c r="D47" i="8"/>
  <c r="B47" i="8"/>
  <c r="E46" i="8"/>
  <c r="D46" i="8"/>
  <c r="B46" i="8"/>
  <c r="E45" i="8"/>
  <c r="D45" i="8"/>
  <c r="B45" i="8"/>
  <c r="E44" i="8"/>
  <c r="D44" i="8"/>
  <c r="B44" i="8"/>
  <c r="E43" i="8"/>
  <c r="D43" i="8"/>
  <c r="B43" i="8"/>
  <c r="E42" i="8"/>
  <c r="D42" i="8"/>
  <c r="B42" i="8"/>
  <c r="E38" i="8"/>
  <c r="D38" i="8"/>
  <c r="B38" i="8"/>
  <c r="A38" i="8"/>
  <c r="A47" i="8" s="1"/>
  <c r="C47" i="8" s="1"/>
  <c r="E37" i="8"/>
  <c r="D37" i="8"/>
  <c r="B37" i="8"/>
  <c r="A37" i="8"/>
  <c r="C37" i="8" s="1"/>
  <c r="E36" i="8"/>
  <c r="D36" i="8"/>
  <c r="B36" i="8"/>
  <c r="A36" i="8"/>
  <c r="C36" i="8" s="1"/>
  <c r="E35" i="8"/>
  <c r="D35" i="8"/>
  <c r="B35" i="8"/>
  <c r="A35" i="8"/>
  <c r="A44" i="8" s="1"/>
  <c r="C44" i="8" s="1"/>
  <c r="E34" i="8"/>
  <c r="D34" i="8"/>
  <c r="B34" i="8"/>
  <c r="A34" i="8"/>
  <c r="C34" i="8" s="1"/>
  <c r="E33" i="8"/>
  <c r="F33" i="8" s="1"/>
  <c r="D33" i="8"/>
  <c r="B33" i="8"/>
  <c r="A33" i="8"/>
  <c r="C33" i="8" s="1"/>
  <c r="A32" i="8"/>
  <c r="A41" i="8" s="1"/>
  <c r="C41" i="8" s="1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F25" i="8" s="1"/>
  <c r="D25" i="8"/>
  <c r="C25" i="8"/>
  <c r="B25" i="8"/>
  <c r="E24" i="8"/>
  <c r="D24" i="8"/>
  <c r="C24" i="8"/>
  <c r="B24" i="8"/>
  <c r="E21" i="8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E17" i="8"/>
  <c r="F17" i="8" s="1"/>
  <c r="D17" i="8"/>
  <c r="C17" i="8"/>
  <c r="B17" i="8"/>
  <c r="E16" i="8"/>
  <c r="F16" i="8" s="1"/>
  <c r="D16" i="8"/>
  <c r="C16" i="8"/>
  <c r="B16" i="8"/>
  <c r="E15" i="8"/>
  <c r="F15" i="8" s="1"/>
  <c r="D15" i="8"/>
  <c r="C15" i="8"/>
  <c r="B15" i="8"/>
  <c r="C14" i="8"/>
  <c r="B12" i="8"/>
  <c r="C11" i="8"/>
  <c r="C10" i="8"/>
  <c r="C9" i="8"/>
  <c r="C8" i="8"/>
  <c r="H6" i="8"/>
  <c r="D76" i="7"/>
  <c r="D74" i="7"/>
  <c r="D73" i="7"/>
  <c r="D71" i="7"/>
  <c r="D69" i="7"/>
  <c r="F65" i="7"/>
  <c r="C73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A45" i="7"/>
  <c r="C45" i="7" s="1"/>
  <c r="E41" i="7"/>
  <c r="D41" i="7"/>
  <c r="C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B37" i="7"/>
  <c r="A37" i="7"/>
  <c r="A46" i="7" s="1"/>
  <c r="C46" i="7" s="1"/>
  <c r="A36" i="7"/>
  <c r="C36" i="7" s="1"/>
  <c r="A35" i="7"/>
  <c r="C35" i="7" s="1"/>
  <c r="E32" i="7"/>
  <c r="F32" i="7" s="1"/>
  <c r="D32" i="7"/>
  <c r="C32" i="7"/>
  <c r="B32" i="7"/>
  <c r="E31" i="7"/>
  <c r="D31" i="7"/>
  <c r="C31" i="7"/>
  <c r="B31" i="7"/>
  <c r="E30" i="7"/>
  <c r="F30" i="7" s="1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C18" i="7"/>
  <c r="C17" i="7"/>
  <c r="B15" i="7"/>
  <c r="E14" i="7"/>
  <c r="F14" i="7" s="1"/>
  <c r="D14" i="7"/>
  <c r="C14" i="7"/>
  <c r="B14" i="7"/>
  <c r="E13" i="7"/>
  <c r="D13" i="7"/>
  <c r="C13" i="7"/>
  <c r="B13" i="7"/>
  <c r="E12" i="7"/>
  <c r="F12" i="7" s="1"/>
  <c r="D12" i="7"/>
  <c r="C12" i="7"/>
  <c r="B12" i="7"/>
  <c r="E11" i="7"/>
  <c r="F11" i="7" s="1"/>
  <c r="D11" i="7"/>
  <c r="C11" i="7"/>
  <c r="B11" i="7"/>
  <c r="E10" i="7"/>
  <c r="D10" i="7"/>
  <c r="C10" i="7"/>
  <c r="B10" i="7"/>
  <c r="E9" i="7"/>
  <c r="F9" i="7" s="1"/>
  <c r="D9" i="7"/>
  <c r="C9" i="7"/>
  <c r="B9" i="7"/>
  <c r="E8" i="7"/>
  <c r="F8" i="7" s="1"/>
  <c r="D8" i="7"/>
  <c r="C8" i="7"/>
  <c r="B8" i="7"/>
  <c r="H6" i="7"/>
  <c r="D72" i="6"/>
  <c r="D73" i="6" s="1"/>
  <c r="D75" i="6" s="1"/>
  <c r="D70" i="6"/>
  <c r="D68" i="6"/>
  <c r="F64" i="6"/>
  <c r="C72" i="6" s="1"/>
  <c r="D59" i="6"/>
  <c r="D82" i="6" s="1"/>
  <c r="C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4" i="6"/>
  <c r="D44" i="6"/>
  <c r="B44" i="6"/>
  <c r="E43" i="6"/>
  <c r="D43" i="6"/>
  <c r="B43" i="6"/>
  <c r="E40" i="6"/>
  <c r="D40" i="6"/>
  <c r="B40" i="6"/>
  <c r="A40" i="6"/>
  <c r="A49" i="6" s="1"/>
  <c r="C49" i="6" s="1"/>
  <c r="E39" i="6"/>
  <c r="F39" i="6" s="1"/>
  <c r="D39" i="6"/>
  <c r="B39" i="6"/>
  <c r="A39" i="6"/>
  <c r="C39" i="6" s="1"/>
  <c r="E38" i="6"/>
  <c r="D38" i="6"/>
  <c r="B38" i="6"/>
  <c r="A38" i="6"/>
  <c r="A47" i="6" s="1"/>
  <c r="C47" i="6" s="1"/>
  <c r="E37" i="6"/>
  <c r="D37" i="6"/>
  <c r="B37" i="6"/>
  <c r="A37" i="6"/>
  <c r="C37" i="6" s="1"/>
  <c r="E36" i="6"/>
  <c r="D36" i="6"/>
  <c r="B36" i="6"/>
  <c r="A36" i="6"/>
  <c r="A45" i="6" s="1"/>
  <c r="C45" i="6" s="1"/>
  <c r="E35" i="6"/>
  <c r="D35" i="6"/>
  <c r="B35" i="6"/>
  <c r="A35" i="6"/>
  <c r="C35" i="6" s="1"/>
  <c r="E34" i="6"/>
  <c r="F34" i="6" s="1"/>
  <c r="D34" i="6"/>
  <c r="B34" i="6"/>
  <c r="A34" i="6"/>
  <c r="C34" i="6" s="1"/>
  <c r="E31" i="6"/>
  <c r="F31" i="6" s="1"/>
  <c r="D31" i="6"/>
  <c r="C31" i="6"/>
  <c r="B31" i="6"/>
  <c r="E30" i="6"/>
  <c r="D30" i="6"/>
  <c r="C30" i="6"/>
  <c r="B30" i="6"/>
  <c r="E29" i="6"/>
  <c r="F29" i="6" s="1"/>
  <c r="D29" i="6"/>
  <c r="C29" i="6"/>
  <c r="B29" i="6"/>
  <c r="E28" i="6"/>
  <c r="F28" i="6" s="1"/>
  <c r="D28" i="6"/>
  <c r="C28" i="6"/>
  <c r="B28" i="6"/>
  <c r="E27" i="6"/>
  <c r="D27" i="6"/>
  <c r="C27" i="6"/>
  <c r="B27" i="6"/>
  <c r="E26" i="6"/>
  <c r="F26" i="6" s="1"/>
  <c r="D26" i="6"/>
  <c r="C26" i="6"/>
  <c r="B26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E17" i="6"/>
  <c r="F17" i="6" s="1"/>
  <c r="D17" i="6"/>
  <c r="C17" i="6"/>
  <c r="B17" i="6"/>
  <c r="E16" i="6"/>
  <c r="F16" i="6" s="1"/>
  <c r="D16" i="6"/>
  <c r="C16" i="6"/>
  <c r="B16" i="6"/>
  <c r="B14" i="6"/>
  <c r="E13" i="6"/>
  <c r="F13" i="6" s="1"/>
  <c r="D13" i="6"/>
  <c r="C13" i="6"/>
  <c r="B13" i="6"/>
  <c r="E12" i="6"/>
  <c r="D12" i="6"/>
  <c r="C12" i="6"/>
  <c r="B12" i="6"/>
  <c r="D11" i="6"/>
  <c r="C11" i="6"/>
  <c r="B11" i="6"/>
  <c r="D10" i="6"/>
  <c r="C10" i="6"/>
  <c r="B10" i="6"/>
  <c r="D9" i="6"/>
  <c r="C9" i="6"/>
  <c r="B9" i="6"/>
  <c r="C8" i="6"/>
  <c r="H6" i="6"/>
  <c r="F50" i="9" l="1"/>
  <c r="F41" i="9"/>
  <c r="C41" i="9"/>
  <c r="F39" i="9"/>
  <c r="F14" i="9"/>
  <c r="D81" i="9"/>
  <c r="F31" i="9"/>
  <c r="F29" i="9"/>
  <c r="F28" i="9"/>
  <c r="F27" i="9"/>
  <c r="F19" i="9"/>
  <c r="F37" i="9"/>
  <c r="F8" i="9"/>
  <c r="C36" i="9"/>
  <c r="F36" i="8"/>
  <c r="F47" i="8"/>
  <c r="F21" i="8"/>
  <c r="C38" i="8"/>
  <c r="F38" i="8" s="1"/>
  <c r="F27" i="8"/>
  <c r="F14" i="8"/>
  <c r="F31" i="7"/>
  <c r="F46" i="9"/>
  <c r="F13" i="7"/>
  <c r="F28" i="8"/>
  <c r="F40" i="9"/>
  <c r="F26" i="8"/>
  <c r="F29" i="8"/>
  <c r="F38" i="9"/>
  <c r="F41" i="8"/>
  <c r="F37" i="8"/>
  <c r="F34" i="8"/>
  <c r="F24" i="8"/>
  <c r="C70" i="8"/>
  <c r="C82" i="8" s="1"/>
  <c r="E82" i="8" s="1"/>
  <c r="F8" i="8"/>
  <c r="F10" i="8"/>
  <c r="C32" i="8"/>
  <c r="F32" i="8" s="1"/>
  <c r="C35" i="8"/>
  <c r="F35" i="8"/>
  <c r="F48" i="8"/>
  <c r="F9" i="8"/>
  <c r="F11" i="8"/>
  <c r="E51" i="7"/>
  <c r="F51" i="7"/>
  <c r="D81" i="7"/>
  <c r="F46" i="7"/>
  <c r="F40" i="7"/>
  <c r="F38" i="7"/>
  <c r="F41" i="7"/>
  <c r="C37" i="7"/>
  <c r="F37" i="7"/>
  <c r="F10" i="7"/>
  <c r="F29" i="7"/>
  <c r="F28" i="7"/>
  <c r="F27" i="7"/>
  <c r="F36" i="7"/>
  <c r="F45" i="7"/>
  <c r="F18" i="7"/>
  <c r="F45" i="6"/>
  <c r="F12" i="6"/>
  <c r="F27" i="6"/>
  <c r="C38" i="6"/>
  <c r="F38" i="6"/>
  <c r="F30" i="6"/>
  <c r="F9" i="6"/>
  <c r="C36" i="6"/>
  <c r="F36" i="6" s="1"/>
  <c r="D80" i="6"/>
  <c r="D84" i="6"/>
  <c r="D85" i="6" s="1"/>
  <c r="E50" i="6"/>
  <c r="F50" i="6" s="1"/>
  <c r="F11" i="6"/>
  <c r="F8" i="6"/>
  <c r="F10" i="6"/>
  <c r="F47" i="9"/>
  <c r="C85" i="9"/>
  <c r="E85" i="9" s="1"/>
  <c r="E73" i="9"/>
  <c r="A47" i="9"/>
  <c r="C47" i="9" s="1"/>
  <c r="A49" i="9"/>
  <c r="C49" i="9" s="1"/>
  <c r="F49" i="9" s="1"/>
  <c r="D83" i="9"/>
  <c r="A48" i="9"/>
  <c r="C48" i="9" s="1"/>
  <c r="F48" i="9" s="1"/>
  <c r="F44" i="8"/>
  <c r="A42" i="8"/>
  <c r="C42" i="8" s="1"/>
  <c r="F42" i="8" s="1"/>
  <c r="D78" i="8"/>
  <c r="A46" i="8"/>
  <c r="C46" i="8" s="1"/>
  <c r="F46" i="8" s="1"/>
  <c r="D80" i="8"/>
  <c r="A43" i="8"/>
  <c r="C43" i="8" s="1"/>
  <c r="F43" i="8" s="1"/>
  <c r="A45" i="8"/>
  <c r="C45" i="8" s="1"/>
  <c r="F45" i="8" s="1"/>
  <c r="F50" i="7"/>
  <c r="C85" i="7"/>
  <c r="E85" i="7" s="1"/>
  <c r="E73" i="7"/>
  <c r="F39" i="7"/>
  <c r="A47" i="7"/>
  <c r="C47" i="7" s="1"/>
  <c r="F47" i="7" s="1"/>
  <c r="A49" i="7"/>
  <c r="C49" i="7" s="1"/>
  <c r="F49" i="7" s="1"/>
  <c r="D83" i="7"/>
  <c r="A44" i="7"/>
  <c r="C44" i="7" s="1"/>
  <c r="A48" i="7"/>
  <c r="C48" i="7" s="1"/>
  <c r="F48" i="7" s="1"/>
  <c r="F49" i="6"/>
  <c r="F37" i="6"/>
  <c r="F35" i="6"/>
  <c r="C84" i="6"/>
  <c r="E72" i="6"/>
  <c r="F47" i="6"/>
  <c r="C40" i="6"/>
  <c r="F40" i="6" s="1"/>
  <c r="A44" i="6"/>
  <c r="C44" i="6" s="1"/>
  <c r="F44" i="6" s="1"/>
  <c r="A46" i="6"/>
  <c r="C46" i="6" s="1"/>
  <c r="F46" i="6" s="1"/>
  <c r="A48" i="6"/>
  <c r="C48" i="6" s="1"/>
  <c r="F48" i="6" s="1"/>
  <c r="A43" i="6"/>
  <c r="C43" i="6" s="1"/>
  <c r="F43" i="6" s="1"/>
  <c r="D31" i="4"/>
  <c r="F51" i="8" l="1"/>
  <c r="C73" i="8" s="1"/>
  <c r="E73" i="8" s="1"/>
  <c r="E36" i="9" s="1"/>
  <c r="F36" i="9" s="1"/>
  <c r="F50" i="8"/>
  <c r="C66" i="8" s="1"/>
  <c r="E70" i="8"/>
  <c r="F53" i="6"/>
  <c r="C75" i="6" s="1"/>
  <c r="E75" i="6" s="1"/>
  <c r="E35" i="7" s="1"/>
  <c r="F35" i="7" s="1"/>
  <c r="F54" i="7" s="1"/>
  <c r="E84" i="6"/>
  <c r="F52" i="6"/>
  <c r="C68" i="6" s="1"/>
  <c r="F53" i="8"/>
  <c r="F55" i="6"/>
  <c r="H51" i="8" l="1"/>
  <c r="G2" i="8" s="1"/>
  <c r="F52" i="8"/>
  <c r="H52" i="8" s="1"/>
  <c r="F61" i="8"/>
  <c r="H50" i="8"/>
  <c r="F2" i="8" s="1"/>
  <c r="H54" i="7"/>
  <c r="G2" i="7" s="1"/>
  <c r="C76" i="7"/>
  <c r="E76" i="7" s="1"/>
  <c r="E35" i="9" s="1"/>
  <c r="F35" i="9" s="1"/>
  <c r="F54" i="9" s="1"/>
  <c r="H54" i="9" s="1"/>
  <c r="G2" i="9" s="1"/>
  <c r="H53" i="6"/>
  <c r="G2" i="6" s="1"/>
  <c r="H52" i="6"/>
  <c r="F2" i="6" s="1"/>
  <c r="F63" i="6"/>
  <c r="F54" i="6"/>
  <c r="H54" i="6" s="1"/>
  <c r="H53" i="8"/>
  <c r="C71" i="8"/>
  <c r="E71" i="8" s="1"/>
  <c r="E66" i="8"/>
  <c r="E18" i="9" s="1"/>
  <c r="F18" i="9" s="1"/>
  <c r="C78" i="8"/>
  <c r="E78" i="8" s="1"/>
  <c r="E68" i="6"/>
  <c r="E17" i="7" s="1"/>
  <c r="F17" i="7" s="1"/>
  <c r="F53" i="7" s="1"/>
  <c r="C69" i="7" s="1"/>
  <c r="E69" i="7" s="1"/>
  <c r="C80" i="6"/>
  <c r="E80" i="6" s="1"/>
  <c r="H55" i="6"/>
  <c r="C73" i="6"/>
  <c r="C76" i="9" l="1"/>
  <c r="E76" i="9" s="1"/>
  <c r="F55" i="7"/>
  <c r="H55" i="7" s="1"/>
  <c r="C81" i="7"/>
  <c r="E81" i="7" s="1"/>
  <c r="H53" i="7"/>
  <c r="F64" i="7"/>
  <c r="F60" i="8"/>
  <c r="E60" i="8" s="1"/>
  <c r="O51" i="8"/>
  <c r="O53" i="8" s="1"/>
  <c r="F62" i="6"/>
  <c r="C70" i="6" s="1"/>
  <c r="O53" i="6"/>
  <c r="O55" i="6" s="1"/>
  <c r="C83" i="8"/>
  <c r="E83" i="8" s="1"/>
  <c r="O52" i="8"/>
  <c r="H55" i="8"/>
  <c r="H56" i="8" s="1"/>
  <c r="O55" i="8" s="1"/>
  <c r="H2" i="8"/>
  <c r="H2" i="6"/>
  <c r="O54" i="6"/>
  <c r="H57" i="6"/>
  <c r="H58" i="6" s="1"/>
  <c r="O57" i="6" s="1"/>
  <c r="C85" i="6"/>
  <c r="E85" i="6" s="1"/>
  <c r="E73" i="6"/>
  <c r="E44" i="7" s="1"/>
  <c r="F44" i="7" s="1"/>
  <c r="F56" i="7" s="1"/>
  <c r="E77" i="6" l="1"/>
  <c r="E75" i="8"/>
  <c r="E45" i="9"/>
  <c r="F45" i="9" s="1"/>
  <c r="F2" i="7"/>
  <c r="E17" i="9"/>
  <c r="F17" i="9" s="1"/>
  <c r="F53" i="9" s="1"/>
  <c r="F63" i="7"/>
  <c r="F66" i="7" s="1"/>
  <c r="O54" i="7"/>
  <c r="O56" i="7" s="1"/>
  <c r="H56" i="7"/>
  <c r="C74" i="7"/>
  <c r="O54" i="8"/>
  <c r="O56" i="8" s="1"/>
  <c r="C68" i="8"/>
  <c r="C80" i="8" s="1"/>
  <c r="E80" i="8" s="1"/>
  <c r="F63" i="8"/>
  <c r="G60" i="8" s="1"/>
  <c r="F65" i="6"/>
  <c r="G62" i="6" s="1"/>
  <c r="E62" i="6"/>
  <c r="O56" i="6"/>
  <c r="O58" i="6" s="1"/>
  <c r="C82" i="6"/>
  <c r="E82" i="6" s="1"/>
  <c r="E70" i="6"/>
  <c r="F64" i="9" l="1"/>
  <c r="H53" i="9"/>
  <c r="F2" i="9" s="1"/>
  <c r="C69" i="9"/>
  <c r="F55" i="9"/>
  <c r="G61" i="8"/>
  <c r="G10" i="8"/>
  <c r="G65" i="7"/>
  <c r="G40" i="7"/>
  <c r="G18" i="7"/>
  <c r="G54" i="7"/>
  <c r="G66" i="7"/>
  <c r="G53" i="7"/>
  <c r="G20" i="7"/>
  <c r="G24" i="7"/>
  <c r="G39" i="7"/>
  <c r="G21" i="7"/>
  <c r="G27" i="7"/>
  <c r="G50" i="7"/>
  <c r="G35" i="7"/>
  <c r="G41" i="7"/>
  <c r="G9" i="7"/>
  <c r="G36" i="7"/>
  <c r="G44" i="7"/>
  <c r="G46" i="7"/>
  <c r="G32" i="7"/>
  <c r="G37" i="7"/>
  <c r="G55" i="7"/>
  <c r="G14" i="7"/>
  <c r="G30" i="7"/>
  <c r="G12" i="7"/>
  <c r="G48" i="7"/>
  <c r="G11" i="7"/>
  <c r="G8" i="7"/>
  <c r="G19" i="7"/>
  <c r="G10" i="7"/>
  <c r="G28" i="7"/>
  <c r="G64" i="7"/>
  <c r="G23" i="7"/>
  <c r="G51" i="7"/>
  <c r="G56" i="7"/>
  <c r="G49" i="7"/>
  <c r="G31" i="7"/>
  <c r="G47" i="7"/>
  <c r="G45" i="7"/>
  <c r="G13" i="7"/>
  <c r="G38" i="7"/>
  <c r="G17" i="7"/>
  <c r="G29" i="7"/>
  <c r="E63" i="7"/>
  <c r="C71" i="7"/>
  <c r="C83" i="7" s="1"/>
  <c r="E83" i="7" s="1"/>
  <c r="G63" i="7"/>
  <c r="G22" i="7"/>
  <c r="G53" i="8"/>
  <c r="G11" i="6"/>
  <c r="G45" i="8"/>
  <c r="G19" i="6"/>
  <c r="G43" i="8"/>
  <c r="G47" i="8"/>
  <c r="G41" i="8"/>
  <c r="G62" i="8"/>
  <c r="G38" i="8"/>
  <c r="O57" i="8"/>
  <c r="O58" i="8" s="1"/>
  <c r="O59" i="8" s="1"/>
  <c r="G37" i="8"/>
  <c r="C86" i="7"/>
  <c r="E86" i="7" s="1"/>
  <c r="E74" i="7"/>
  <c r="G14" i="8"/>
  <c r="G8" i="8"/>
  <c r="E68" i="8"/>
  <c r="G18" i="8"/>
  <c r="G19" i="8"/>
  <c r="G36" i="8"/>
  <c r="G17" i="8"/>
  <c r="G15" i="8"/>
  <c r="G20" i="8"/>
  <c r="H2" i="7"/>
  <c r="H58" i="7"/>
  <c r="H59" i="7" s="1"/>
  <c r="O58" i="7" s="1"/>
  <c r="O55" i="7"/>
  <c r="O57" i="7" s="1"/>
  <c r="G26" i="8"/>
  <c r="G35" i="8"/>
  <c r="G48" i="8"/>
  <c r="G11" i="8"/>
  <c r="G33" i="8"/>
  <c r="G42" i="8"/>
  <c r="G25" i="8"/>
  <c r="G9" i="8"/>
  <c r="G63" i="8"/>
  <c r="G46" i="8"/>
  <c r="G32" i="8"/>
  <c r="G29" i="8"/>
  <c r="G52" i="8"/>
  <c r="G28" i="8"/>
  <c r="G21" i="8"/>
  <c r="G51" i="8"/>
  <c r="G16" i="8"/>
  <c r="G44" i="8"/>
  <c r="G34" i="8"/>
  <c r="G50" i="8"/>
  <c r="G24" i="8"/>
  <c r="G27" i="8"/>
  <c r="G46" i="6"/>
  <c r="G43" i="6"/>
  <c r="G37" i="6"/>
  <c r="G31" i="6"/>
  <c r="G47" i="6"/>
  <c r="G26" i="6"/>
  <c r="G8" i="6"/>
  <c r="G10" i="6"/>
  <c r="G21" i="6"/>
  <c r="G29" i="6"/>
  <c r="G52" i="6"/>
  <c r="G39" i="6"/>
  <c r="G28" i="6"/>
  <c r="G20" i="6"/>
  <c r="G18" i="6"/>
  <c r="G40" i="6"/>
  <c r="G55" i="6"/>
  <c r="G35" i="6"/>
  <c r="G23" i="6"/>
  <c r="G17" i="6"/>
  <c r="G54" i="6"/>
  <c r="G49" i="6"/>
  <c r="G50" i="6"/>
  <c r="G38" i="6"/>
  <c r="G63" i="6"/>
  <c r="G36" i="6"/>
  <c r="G22" i="6"/>
  <c r="G30" i="6"/>
  <c r="G53" i="6"/>
  <c r="G45" i="6"/>
  <c r="G9" i="6"/>
  <c r="G34" i="6"/>
  <c r="G44" i="6"/>
  <c r="G13" i="6"/>
  <c r="G27" i="6"/>
  <c r="G64" i="6"/>
  <c r="G48" i="6"/>
  <c r="G12" i="6"/>
  <c r="G16" i="6"/>
  <c r="G65" i="6"/>
  <c r="O59" i="6"/>
  <c r="O60" i="6" s="1"/>
  <c r="O61" i="6" s="1"/>
  <c r="E71" i="7" l="1"/>
  <c r="H55" i="9"/>
  <c r="F63" i="9"/>
  <c r="O54" i="9"/>
  <c r="C81" i="9"/>
  <c r="E81" i="9" s="1"/>
  <c r="E69" i="9"/>
  <c r="E78" i="7"/>
  <c r="E44" i="9"/>
  <c r="F44" i="9" s="1"/>
  <c r="P59" i="8"/>
  <c r="E2" i="8"/>
  <c r="O59" i="7"/>
  <c r="O60" i="7" s="1"/>
  <c r="P61" i="6"/>
  <c r="E2" i="6"/>
  <c r="F56" i="9" l="1"/>
  <c r="O56" i="9"/>
  <c r="C71" i="9"/>
  <c r="F66" i="9"/>
  <c r="E63" i="9"/>
  <c r="O61" i="7"/>
  <c r="O62" i="7" s="1"/>
  <c r="E2" i="7" s="1"/>
  <c r="P62" i="7" l="1"/>
  <c r="G63" i="9"/>
  <c r="G13" i="9"/>
  <c r="G45" i="9"/>
  <c r="G28" i="9"/>
  <c r="G32" i="9"/>
  <c r="G39" i="9"/>
  <c r="G38" i="9"/>
  <c r="G23" i="9"/>
  <c r="G40" i="9"/>
  <c r="G11" i="9"/>
  <c r="G51" i="9"/>
  <c r="G36" i="9"/>
  <c r="G12" i="9"/>
  <c r="G37" i="9"/>
  <c r="G54" i="9"/>
  <c r="G55" i="9"/>
  <c r="G35" i="9"/>
  <c r="G9" i="9"/>
  <c r="G17" i="9"/>
  <c r="G18" i="9"/>
  <c r="G65" i="9"/>
  <c r="G47" i="9"/>
  <c r="G21" i="9"/>
  <c r="G27" i="9"/>
  <c r="G66" i="9"/>
  <c r="G49" i="9"/>
  <c r="G46" i="9"/>
  <c r="G10" i="9"/>
  <c r="G14" i="9"/>
  <c r="G48" i="9"/>
  <c r="G50" i="9"/>
  <c r="G64" i="9"/>
  <c r="G31" i="9"/>
  <c r="G8" i="9"/>
  <c r="G41" i="9"/>
  <c r="G20" i="9"/>
  <c r="G24" i="9"/>
  <c r="G22" i="9"/>
  <c r="G53" i="9"/>
  <c r="G19" i="9"/>
  <c r="G29" i="9"/>
  <c r="G30" i="9"/>
  <c r="C83" i="9"/>
  <c r="E83" i="9" s="1"/>
  <c r="E71" i="9"/>
  <c r="G44" i="9"/>
  <c r="H56" i="9"/>
  <c r="C74" i="9"/>
  <c r="G56" i="9"/>
  <c r="C86" i="9" l="1"/>
  <c r="E86" i="9" s="1"/>
  <c r="E74" i="9"/>
  <c r="E78" i="9" s="1"/>
  <c r="O55" i="9"/>
  <c r="O57" i="9" s="1"/>
  <c r="H2" i="9"/>
  <c r="H58" i="9"/>
  <c r="H59" i="9" s="1"/>
  <c r="O58" i="9" s="1"/>
  <c r="O59" i="9" l="1"/>
  <c r="O60" i="9" l="1"/>
  <c r="O61" i="9" s="1"/>
  <c r="O62" i="9" s="1"/>
  <c r="E2" i="9" l="1"/>
  <c r="P62" i="9"/>
</calcChain>
</file>

<file path=xl/sharedStrings.xml><?xml version="1.0" encoding="utf-8"?>
<sst xmlns="http://schemas.openxmlformats.org/spreadsheetml/2006/main" count="862" uniqueCount="250">
  <si>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</si>
  <si>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</si>
  <si>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</si>
  <si>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</si>
  <si>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</si>
  <si>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</si>
  <si>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</si>
  <si>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</si>
  <si>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</si>
  <si>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</si>
  <si>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</si>
  <si>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</si>
  <si>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</si>
  <si>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</si>
  <si>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FAS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</si>
  <si>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</si>
  <si>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</si>
  <si>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</si>
  <si>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</si>
  <si>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</si>
  <si>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</si>
  <si>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</si>
  <si>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</si>
  <si>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</si>
  <si>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</si>
  <si>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</si>
  <si>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</si>
  <si>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</si>
  <si>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</si>
  <si>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</si>
  <si>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</si>
  <si>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</si>
  <si>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</si>
  <si>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</si>
  <si>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</si>
  <si>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Cocina</t>
  </si>
  <si>
    <t># Código Netsuite</t>
  </si>
  <si>
    <t>Empaque</t>
  </si>
  <si>
    <t>Tiempo de Horneo:</t>
  </si>
  <si>
    <t>CONTROL DE CAMBIOS</t>
  </si>
  <si>
    <t>Juan Pablo Brenes, Chef</t>
  </si>
  <si>
    <t>CEMUSA</t>
  </si>
  <si>
    <t>EM10002</t>
  </si>
  <si>
    <t>ETIQ.BLANCA 1 1/4 * 3/4</t>
  </si>
  <si>
    <t>ETIPLAST</t>
  </si>
  <si>
    <t>EM10004</t>
  </si>
  <si>
    <t>MP10627</t>
  </si>
  <si>
    <t xml:space="preserve">PREMEZCLA RED VELVET </t>
  </si>
  <si>
    <t>PURATOS</t>
  </si>
  <si>
    <t>AGUA POTABLE (PLANTA)</t>
  </si>
  <si>
    <t>MP10002</t>
  </si>
  <si>
    <t>ACEITE CAPULLO RBD (UND:17  L)</t>
  </si>
  <si>
    <t>CAPULLO</t>
  </si>
  <si>
    <t>MP10005</t>
  </si>
  <si>
    <t>HUEVO ENTERO PASTERI INNOVO (CAJA:10 K)</t>
  </si>
  <si>
    <t>INNOVO</t>
  </si>
  <si>
    <t>MP10008</t>
  </si>
  <si>
    <t>PRESERVANTE 1047S KILO</t>
  </si>
  <si>
    <t>Aseal</t>
  </si>
  <si>
    <t>1.- Colocar el huevo, agua y aceite en la batidora, añadir la pre mezcla y batir con paleta 1 minuto en velocidad 1.</t>
  </si>
  <si>
    <t>2.- Limpiar los bordes y batir 4 minutos en velocidad 2 (media).</t>
  </si>
  <si>
    <t>3.- Utilizar de inmediato.</t>
  </si>
  <si>
    <t>Control de cambios</t>
  </si>
  <si>
    <t>2: Actualizacion codigos Netsuit</t>
  </si>
  <si>
    <t xml:space="preserve">907000273 (SE00517) BATIDO RED VELVET				</t>
  </si>
  <si>
    <t xml:space="preserve">ESP-RE-BAS-193 </t>
  </si>
  <si>
    <t xml:space="preserve">907000333 (SE00519) Rosquete  Red Velvet 300g				</t>
  </si>
  <si>
    <t>ESP-RE-BAS-192</t>
  </si>
  <si>
    <t>SE00517</t>
  </si>
  <si>
    <t>BATIDO RED VELVET</t>
  </si>
  <si>
    <t>MEZCLA P/ENGRASE MOLDES KILO</t>
  </si>
  <si>
    <t>EMPAQUE</t>
  </si>
  <si>
    <t>AS00028</t>
  </si>
  <si>
    <t>BOLSA TRANSPARENTE 56X96X1.80 KILO</t>
  </si>
  <si>
    <t>Plasticos P</t>
  </si>
  <si>
    <t>ETIQ.FECHA VENCIMIENTO BLANCO (ROLLO)</t>
  </si>
  <si>
    <t>Etiplast</t>
  </si>
  <si>
    <t>ETIQ.BLANCA 1 1/4 * 3/4 (UND)</t>
  </si>
  <si>
    <t>Cemusa</t>
  </si>
  <si>
    <t xml:space="preserve">17 Minutos </t>
  </si>
  <si>
    <t>Vulcan</t>
  </si>
  <si>
    <t>160°C</t>
  </si>
  <si>
    <t>1.- Pesar 300g de mezcla en los moldes previamente engrasados.</t>
  </si>
  <si>
    <t>2.- Hornear en cualquiera de los Dicte a 175°C por 45 a 50 minutos.</t>
  </si>
  <si>
    <t xml:space="preserve">3.- Enfriar y empacar en lata, cubrir con bolsa y etiquetar con fecha de produccion. </t>
  </si>
  <si>
    <t>MP10046</t>
  </si>
  <si>
    <t>Queso Crema Panadero</t>
  </si>
  <si>
    <t>MP10239</t>
  </si>
  <si>
    <t>Limon En Polvo</t>
  </si>
  <si>
    <t>SE00010</t>
  </si>
  <si>
    <t>Crema Chantilly Blanca (Spoon-Ind)</t>
  </si>
  <si>
    <t>MP10050</t>
  </si>
  <si>
    <t>Leche Condensada</t>
  </si>
  <si>
    <t>MP10043</t>
  </si>
  <si>
    <t>Gelatina Pura</t>
  </si>
  <si>
    <t>Nestle</t>
  </si>
  <si>
    <t>SE00519</t>
  </si>
  <si>
    <t xml:space="preserve"> Rosquete  Red Velvet 300g		</t>
  </si>
  <si>
    <t>1/2 unidad</t>
  </si>
  <si>
    <t>MOUSSE QUESO VELVET</t>
  </si>
  <si>
    <t>MP10007</t>
  </si>
  <si>
    <t>Manjar Leche Condensada</t>
  </si>
  <si>
    <t>1/3 taza</t>
  </si>
  <si>
    <t>SE00541</t>
  </si>
  <si>
    <t>RELLENO FRAMBUESA Y ARANDANO</t>
  </si>
  <si>
    <t>fas</t>
  </si>
  <si>
    <t>Decoracion</t>
  </si>
  <si>
    <t>x</t>
  </si>
  <si>
    <t>Fas</t>
  </si>
  <si>
    <t>QUEQUERA 8 PEQUEÑA</t>
  </si>
  <si>
    <t>EM10248</t>
  </si>
  <si>
    <t>CINTA ADHESIVA TRANSPARENT 2*100 M (UND)</t>
  </si>
  <si>
    <t>MAYCA</t>
  </si>
  <si>
    <t>EM10124</t>
  </si>
  <si>
    <t>ETIQUETA BLANCA R-153 (UND)</t>
  </si>
  <si>
    <t>EM10011</t>
  </si>
  <si>
    <t>ETIQUETA BLANCA 2 5/8X1 15/16 (UND)</t>
  </si>
  <si>
    <t>ETIQUETA POSTRE</t>
  </si>
  <si>
    <t>cm</t>
  </si>
  <si>
    <t>1.- En el molde mini engrasado colocar el medio rosquete de velvet.</t>
  </si>
  <si>
    <t>3.- Desmoldar y decorar con colochos de manjar al borde y el relleno de frutos rojos al centro.</t>
  </si>
  <si>
    <t>4.-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</si>
  <si>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</si>
  <si>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</si>
  <si>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</si>
  <si>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</si>
  <si>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</si>
  <si>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</si>
  <si>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</si>
  <si>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</si>
  <si>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</si>
  <si>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</si>
  <si>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</si>
  <si>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</si>
  <si>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</si>
  <si>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</si>
  <si>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</si>
  <si>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</si>
  <si>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</si>
  <si>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</si>
  <si>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</si>
  <si>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</si>
  <si>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</si>
  <si>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</si>
  <si>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</si>
  <si>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</si>
  <si>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</si>
  <si>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</si>
  <si>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</si>
  <si>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</si>
  <si>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</si>
  <si>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</si>
  <si>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</si>
  <si>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</si>
  <si>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</si>
  <si>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</si>
  <si>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</si>
  <si>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</si>
  <si>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</si>
  <si>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</si>
  <si>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</si>
  <si>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</si>
  <si>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</si>
  <si>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</si>
  <si>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</si>
  <si>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</si>
  <si>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</si>
  <si>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</si>
  <si>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</si>
  <si>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</si>
  <si>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</si>
  <si>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</si>
  <si>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</si>
  <si>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512259</t>
  </si>
  <si>
    <t>10100050</t>
  </si>
  <si>
    <t>1210482</t>
  </si>
  <si>
    <t>1212410</t>
  </si>
  <si>
    <t>Gramos</t>
  </si>
  <si>
    <t>907000273</t>
  </si>
  <si>
    <t>1950928</t>
  </si>
  <si>
    <t>0702007</t>
  </si>
  <si>
    <t>0702069</t>
  </si>
  <si>
    <t xml:space="preserve">UND </t>
  </si>
  <si>
    <t>UND</t>
  </si>
  <si>
    <t>nuevo</t>
  </si>
  <si>
    <t xml:space="preserve">Se coloca precio de etiqueta postre día del padre </t>
  </si>
  <si>
    <t>ESP-RE-DES-018</t>
  </si>
  <si>
    <t>02</t>
  </si>
  <si>
    <t xml:space="preserve"> Crema Blanca Spoon (20800g)  SE00010</t>
  </si>
  <si>
    <t>Decoración</t>
  </si>
  <si>
    <t>Ensamble</t>
  </si>
  <si>
    <t>MP10047</t>
  </si>
  <si>
    <t>BETTERCREME SUPREMO (UND:4 K)</t>
  </si>
  <si>
    <t>RICHS</t>
  </si>
  <si>
    <t>MP10048</t>
  </si>
  <si>
    <t>CREMA PRESTIGE GRAND (UND:4 K)</t>
  </si>
  <si>
    <t>10415</t>
  </si>
  <si>
    <t>AYA</t>
  </si>
  <si>
    <t>PRESERVANTE 1047S (PAQ=5 KILO)</t>
  </si>
  <si>
    <t>ASEAL</t>
  </si>
  <si>
    <t>Etiplas</t>
  </si>
  <si>
    <t>Tanda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</si>
  <si>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</si>
  <si>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</si>
  <si>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</si>
  <si>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</si>
  <si>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</si>
  <si>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</si>
  <si>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ESP-RE-COCS-061</t>
  </si>
  <si>
    <t>01</t>
  </si>
  <si>
    <t>(SE00541) RELLENO ARANDANO FRAMBUESA</t>
  </si>
  <si>
    <t>MP10191</t>
  </si>
  <si>
    <t>FRESA CONGELADA BEGRO (PAQ:1 K)</t>
  </si>
  <si>
    <t>BEGRO</t>
  </si>
  <si>
    <t>MP10549</t>
  </si>
  <si>
    <t>MORA FRESCA (1 KG)</t>
  </si>
  <si>
    <t>MP10548</t>
  </si>
  <si>
    <t>ARANDANO CONGELADO (2.5 K)</t>
  </si>
  <si>
    <t>MP10687</t>
  </si>
  <si>
    <t>SMOOBEES BLUEBERRY 1 KG</t>
  </si>
  <si>
    <t>MP10547</t>
  </si>
  <si>
    <t>CONCENTRADO FRAMBUESA (946 ML)</t>
  </si>
  <si>
    <t>ISLAND OASIS</t>
  </si>
  <si>
    <t>SE00016</t>
  </si>
  <si>
    <t>AZUCAR BLANCO INDUSTRIAL KILO</t>
  </si>
  <si>
    <t>LIMON EN POLVO (BOLSA:1000G)</t>
  </si>
  <si>
    <t>MP10025</t>
  </si>
  <si>
    <t>PRESERVANTE 1017S (PAQ=5 KILO)</t>
  </si>
  <si>
    <t>AGUA</t>
  </si>
  <si>
    <t>MP10026</t>
  </si>
  <si>
    <t xml:space="preserve">ALMIDON MODIFICADO (SACO:25 K) </t>
  </si>
  <si>
    <t/>
  </si>
  <si>
    <t>EM10259</t>
  </si>
  <si>
    <t>PLASTICO  AUTOAD (UND: 18 * 2000 M)</t>
  </si>
  <si>
    <t>m</t>
  </si>
  <si>
    <t>1.- Colocar la fresa, mora, pulpa de frambuesa, azúcar, limon en polvo, y preservante.</t>
  </si>
  <si>
    <t>2.- Cocinar a fuego alto hasta hervir, mover cada 5 minutos para evitar que el relleno se pegue en el fondo de la olla.</t>
  </si>
  <si>
    <t>3.- Una vez que el relleno este hirviendo agregar el almidon disuelto en el agua. Y los smoobies</t>
  </si>
  <si>
    <t>4.- Hervir hasta que el relleno este bien espeso y con la textura deseada.</t>
  </si>
  <si>
    <t>5.- Enfriar y colocar en baldes, cubir con plastico y rotular.</t>
  </si>
  <si>
    <t>PTI00265 Postre velvet frutos rojos</t>
  </si>
  <si>
    <t>EM10455</t>
  </si>
  <si>
    <t>QUEQUERA REDONDA CON BASE 7 ALTA</t>
  </si>
  <si>
    <t>SE00769</t>
  </si>
  <si>
    <t>POSTRES</t>
  </si>
  <si>
    <t xml:space="preserve">Rosquete  Red Velvet 300g		</t>
  </si>
  <si>
    <t>ESP-RE-POS-116</t>
  </si>
  <si>
    <t>Boquilla 805</t>
  </si>
  <si>
    <t>1/2 taza</t>
  </si>
  <si>
    <t>2.- Luego colocar 1/3 taza de manjar y 1/3 taza de relleno frutos rojos, y por ultimo 280g de mousse 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</si>
</sst>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  <numFmt numFmtId="171" formatCode="0.0000"/>
  </numFmts>
  <fonts count="76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color rgb="FF000000"/>
      <name val="Century Gothic"/>
      <family val="2"/>
    </font>
    <font>
      <sz val="9"/>
      <name val="Arial"/>
      <family val="2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2"/>
      <color indexed="8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Century Gothic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2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2" fillId="0" borderId="0"/>
    <xf numFmtId="0" fontId="22" fillId="0" borderId="0"/>
  </cellStyleXfs>
  <cellXfs count="744">
    <xf numFmtId="0" fontId="0" fillId="0" borderId="0" xfId="0"/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3" fillId="2" borderId="17" xfId="4" applyFont="1" applyFill="1" applyBorder="1" applyAlignment="1">
      <alignment horizontal="right"/>
    </xf>
    <xf numFmtId="0" fontId="3" fillId="2" borderId="13" xfId="4" applyFont="1" applyFill="1" applyBorder="1" applyAlignment="1">
      <alignment horizontal="right"/>
    </xf>
    <xf numFmtId="0" fontId="1" fillId="2" borderId="9" xfId="4" applyFont="1" applyFill="1" applyBorder="1" applyAlignment="1">
      <alignment horizontal="right"/>
    </xf>
    <xf numFmtId="0" fontId="1" fillId="2" borderId="13" xfId="4" applyFont="1" applyFill="1" applyBorder="1" applyAlignment="1">
      <alignment horizontal="right"/>
    </xf>
    <xf numFmtId="14" fontId="10" fillId="2" borderId="0" xfId="4" applyNumberFormat="1" applyFont="1" applyFill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1" fontId="11" fillId="0" borderId="13" xfId="3" applyNumberFormat="1" applyFont="1" applyBorder="1" applyAlignment="1">
      <alignment horizontal="center"/>
    </xf>
    <xf numFmtId="1" fontId="11" fillId="0" borderId="13" xfId="3" applyNumberFormat="1" applyFont="1" applyBorder="1" applyAlignment="1">
      <alignment horizontal="center" wrapText="1"/>
    </xf>
    <xf numFmtId="0" fontId="12" fillId="0" borderId="12" xfId="3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12" fontId="1" fillId="0" borderId="9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" fontId="12" fillId="0" borderId="13" xfId="3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1" fillId="0" borderId="13" xfId="0" quotePrefix="1" applyFont="1" applyBorder="1"/>
    <xf numFmtId="49" fontId="4" fillId="2" borderId="21" xfId="3" applyNumberFormat="1" applyFont="1" applyFill="1" applyBorder="1" applyAlignment="1">
      <alignment horizontal="center" vertical="center"/>
    </xf>
    <xf numFmtId="49" fontId="4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20" xfId="3" applyFont="1" applyFill="1" applyBorder="1" applyAlignment="1">
      <alignment horizontal="center"/>
    </xf>
    <xf numFmtId="0" fontId="1" fillId="3" borderId="39" xfId="3" applyFont="1" applyFill="1" applyBorder="1" applyAlignment="1">
      <alignment horizontal="center"/>
    </xf>
    <xf numFmtId="0" fontId="1" fillId="3" borderId="40" xfId="3" applyFont="1" applyFill="1" applyBorder="1" applyAlignment="1">
      <alignment horizontal="center"/>
    </xf>
    <xf numFmtId="0" fontId="1" fillId="3" borderId="40" xfId="3" applyFont="1" applyFill="1" applyBorder="1"/>
    <xf numFmtId="0" fontId="3" fillId="3" borderId="40" xfId="3" applyFont="1" applyFill="1" applyBorder="1" applyAlignment="1">
      <alignment horizontal="center"/>
    </xf>
    <xf numFmtId="1" fontId="3" fillId="3" borderId="40" xfId="3" applyNumberFormat="1" applyFont="1" applyFill="1" applyBorder="1" applyAlignment="1">
      <alignment horizontal="center"/>
    </xf>
    <xf numFmtId="164" fontId="1" fillId="3" borderId="40" xfId="3" applyNumberFormat="1" applyFont="1" applyFill="1" applyBorder="1" applyAlignment="1">
      <alignment horizontal="center" wrapText="1"/>
    </xf>
    <xf numFmtId="0" fontId="1" fillId="3" borderId="41" xfId="3" applyFont="1" applyFill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6" fillId="0" borderId="0" xfId="0" applyFont="1"/>
    <xf numFmtId="0" fontId="17" fillId="0" borderId="9" xfId="0" applyFont="1" applyBorder="1"/>
    <xf numFmtId="0" fontId="1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17" fillId="0" borderId="13" xfId="0" applyFont="1" applyBorder="1" applyAlignment="1">
      <alignment horizontal="center"/>
    </xf>
    <xf numFmtId="0" fontId="17" fillId="0" borderId="13" xfId="0" applyFont="1" applyBorder="1"/>
    <xf numFmtId="0" fontId="18" fillId="0" borderId="13" xfId="0" applyFont="1" applyBorder="1" applyAlignment="1">
      <alignment horizontal="center" wrapText="1"/>
    </xf>
    <xf numFmtId="0" fontId="1" fillId="0" borderId="13" xfId="0" applyFont="1" applyBorder="1"/>
    <xf numFmtId="0" fontId="18" fillId="0" borderId="13" xfId="0" applyFont="1" applyBorder="1" applyAlignment="1">
      <alignment horizontal="center"/>
    </xf>
    <xf numFmtId="0" fontId="21" fillId="6" borderId="13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16" fillId="0" borderId="13" xfId="0" applyFont="1" applyBorder="1"/>
    <xf numFmtId="0" fontId="3" fillId="0" borderId="1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" fontId="0" fillId="0" borderId="0" xfId="0" applyNumberFormat="1"/>
    <xf numFmtId="0" fontId="23" fillId="9" borderId="0" xfId="0" applyFont="1" applyFill="1" applyAlignment="1">
      <alignment vertical="center"/>
    </xf>
    <xf numFmtId="0" fontId="15" fillId="10" borderId="13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3" fontId="15" fillId="0" borderId="13" xfId="7" applyFont="1" applyFill="1" applyBorder="1" applyAlignment="1">
      <alignment horizontal="center" vertical="center"/>
    </xf>
    <xf numFmtId="43" fontId="15" fillId="0" borderId="0" xfId="7" applyFont="1" applyFill="1" applyBorder="1" applyAlignment="1">
      <alignment horizontal="center" vertical="center"/>
    </xf>
    <xf numFmtId="43" fontId="25" fillId="0" borderId="0" xfId="7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6" fontId="28" fillId="0" borderId="0" xfId="0" applyNumberFormat="1" applyFont="1" applyAlignment="1">
      <alignment horizontal="center" vertical="center" wrapText="1"/>
    </xf>
    <xf numFmtId="0" fontId="15" fillId="11" borderId="48" xfId="0" applyFont="1" applyFill="1" applyBorder="1" applyAlignment="1">
      <alignment horizontal="center" vertical="center"/>
    </xf>
    <xf numFmtId="0" fontId="15" fillId="11" borderId="49" xfId="0" applyFont="1" applyFill="1" applyBorder="1" applyAlignment="1">
      <alignment horizontal="center" vertical="center"/>
    </xf>
    <xf numFmtId="0" fontId="15" fillId="11" borderId="49" xfId="0" applyFont="1" applyFill="1" applyBorder="1" applyAlignment="1">
      <alignment horizontal="center" vertical="center" wrapText="1"/>
    </xf>
    <xf numFmtId="0" fontId="15" fillId="11" borderId="5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4" fontId="29" fillId="0" borderId="0" xfId="8" applyNumberFormat="1" applyFont="1" applyFill="1" applyAlignment="1">
      <alignment horizontal="center" vertical="center"/>
    </xf>
    <xf numFmtId="4" fontId="15" fillId="0" borderId="0" xfId="8" applyNumberFormat="1" applyFont="1" applyFill="1" applyAlignment="1">
      <alignment horizontal="center" vertical="center"/>
    </xf>
    <xf numFmtId="10" fontId="15" fillId="0" borderId="0" xfId="2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24" fillId="0" borderId="0" xfId="2" applyNumberFormat="1" applyFont="1" applyFill="1" applyAlignment="1">
      <alignment vertical="center"/>
    </xf>
    <xf numFmtId="0" fontId="23" fillId="0" borderId="0" xfId="0" applyFont="1"/>
    <xf numFmtId="49" fontId="15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43" fontId="23" fillId="0" borderId="0" xfId="7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3" fontId="31" fillId="0" borderId="0" xfId="7" applyFont="1" applyFill="1" applyAlignment="1">
      <alignment horizontal="center" vertical="center"/>
    </xf>
    <xf numFmtId="10" fontId="24" fillId="11" borderId="51" xfId="2" applyNumberFormat="1" applyFont="1" applyFill="1" applyBorder="1" applyAlignment="1">
      <alignment vertical="center"/>
    </xf>
    <xf numFmtId="0" fontId="23" fillId="11" borderId="40" xfId="0" applyFont="1" applyFill="1" applyBorder="1" applyAlignment="1">
      <alignment vertical="center"/>
    </xf>
    <xf numFmtId="0" fontId="23" fillId="11" borderId="51" xfId="0" applyFont="1" applyFill="1" applyBorder="1" applyAlignment="1">
      <alignment vertical="center"/>
    </xf>
    <xf numFmtId="43" fontId="31" fillId="11" borderId="52" xfId="7" applyFont="1" applyFill="1" applyBorder="1" applyAlignment="1">
      <alignment horizontal="center" vertical="center"/>
    </xf>
    <xf numFmtId="43" fontId="33" fillId="0" borderId="0" xfId="7" applyFont="1" applyFill="1" applyBorder="1" applyAlignment="1">
      <alignment horizontal="right"/>
    </xf>
    <xf numFmtId="0" fontId="23" fillId="11" borderId="52" xfId="0" applyFont="1" applyFill="1" applyBorder="1" applyAlignment="1">
      <alignment vertical="center"/>
    </xf>
    <xf numFmtId="10" fontId="24" fillId="11" borderId="52" xfId="2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2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7" applyNumberFormat="1" applyFont="1" applyFill="1" applyAlignment="1">
      <alignment vertical="center"/>
    </xf>
    <xf numFmtId="4" fontId="31" fillId="0" borderId="0" xfId="8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20" xfId="0" applyFont="1" applyBorder="1" applyAlignment="1">
      <alignment horizontal="right"/>
    </xf>
    <xf numFmtId="43" fontId="37" fillId="4" borderId="53" xfId="7" applyFont="1" applyFill="1" applyBorder="1" applyAlignment="1">
      <alignment horizontal="right"/>
    </xf>
    <xf numFmtId="43" fontId="37" fillId="0" borderId="0" xfId="7" applyFont="1" applyFill="1" applyBorder="1" applyAlignment="1">
      <alignment horizontal="right"/>
    </xf>
    <xf numFmtId="43" fontId="15" fillId="0" borderId="13" xfId="7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8" applyNumberFormat="1" applyFont="1" applyFill="1" applyAlignment="1">
      <alignment horizontal="center" vertical="center"/>
    </xf>
    <xf numFmtId="10" fontId="39" fillId="0" borderId="0" xfId="2" applyNumberFormat="1" applyFont="1" applyFill="1" applyAlignment="1">
      <alignment horizontal="right"/>
    </xf>
    <xf numFmtId="168" fontId="15" fillId="11" borderId="13" xfId="7" applyNumberFormat="1" applyFont="1" applyFill="1" applyBorder="1" applyAlignment="1">
      <alignment vertical="center"/>
    </xf>
    <xf numFmtId="4" fontId="23" fillId="0" borderId="0" xfId="0" applyNumberFormat="1" applyFont="1" applyAlignment="1">
      <alignment horizontal="center" vertical="center"/>
    </xf>
    <xf numFmtId="43" fontId="15" fillId="12" borderId="13" xfId="7" applyFont="1" applyFill="1" applyBorder="1" applyAlignment="1">
      <alignment vertical="center"/>
    </xf>
    <xf numFmtId="165" fontId="40" fillId="0" borderId="0" xfId="0" applyNumberFormat="1" applyFont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24" fillId="11" borderId="54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7" applyNumberFormat="1" applyFont="1" applyFill="1" applyBorder="1" applyAlignment="1">
      <alignment horizontal="center"/>
    </xf>
    <xf numFmtId="2" fontId="36" fillId="0" borderId="0" xfId="7" applyNumberFormat="1" applyFont="1" applyFill="1" applyBorder="1" applyAlignment="1">
      <alignment horizontal="center"/>
    </xf>
    <xf numFmtId="0" fontId="23" fillId="11" borderId="54" xfId="0" applyFont="1" applyFill="1" applyBorder="1" applyAlignment="1">
      <alignment vertical="center"/>
    </xf>
    <xf numFmtId="10" fontId="23" fillId="0" borderId="0" xfId="2" applyNumberFormat="1" applyFont="1" applyFill="1" applyAlignment="1">
      <alignment vertical="center"/>
    </xf>
    <xf numFmtId="4" fontId="23" fillId="0" borderId="0" xfId="7" applyNumberFormat="1" applyFont="1" applyFill="1" applyAlignment="1">
      <alignment vertical="center"/>
    </xf>
    <xf numFmtId="43" fontId="37" fillId="11" borderId="40" xfId="7" applyFont="1" applyFill="1" applyBorder="1" applyAlignment="1">
      <alignment horizontal="right"/>
    </xf>
    <xf numFmtId="0" fontId="15" fillId="11" borderId="41" xfId="0" applyFont="1" applyFill="1" applyBorder="1" applyAlignment="1">
      <alignment horizontal="right" vertical="center"/>
    </xf>
    <xf numFmtId="10" fontId="43" fillId="0" borderId="0" xfId="7" applyNumberFormat="1" applyFont="1" applyFill="1" applyAlignment="1">
      <alignment vertical="center"/>
    </xf>
    <xf numFmtId="10" fontId="24" fillId="0" borderId="0" xfId="2" applyNumberFormat="1" applyFont="1" applyFill="1" applyBorder="1" applyAlignment="1">
      <alignment vertical="center"/>
    </xf>
    <xf numFmtId="165" fontId="44" fillId="0" borderId="0" xfId="0" applyNumberFormat="1" applyFont="1" applyAlignment="1">
      <alignment horizontal="center" vertical="center"/>
    </xf>
    <xf numFmtId="0" fontId="23" fillId="9" borderId="53" xfId="0" applyFont="1" applyFill="1" applyBorder="1" applyAlignment="1">
      <alignment horizontal="center" vertical="center"/>
    </xf>
    <xf numFmtId="43" fontId="45" fillId="0" borderId="0" xfId="7" applyFont="1" applyFill="1" applyAlignment="1">
      <alignment vertical="center"/>
    </xf>
    <xf numFmtId="4" fontId="46" fillId="0" borderId="0" xfId="8" applyNumberFormat="1" applyFont="1" applyFill="1" applyAlignment="1">
      <alignment horizontal="center" vertical="center" wrapText="1"/>
    </xf>
    <xf numFmtId="9" fontId="23" fillId="0" borderId="0" xfId="7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4" fontId="30" fillId="0" borderId="0" xfId="7" applyNumberFormat="1" applyFont="1" applyFill="1" applyAlignment="1">
      <alignment vertical="center"/>
    </xf>
    <xf numFmtId="4" fontId="15" fillId="14" borderId="53" xfId="7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7" applyFont="1" applyFill="1" applyAlignment="1">
      <alignment vertical="center"/>
    </xf>
    <xf numFmtId="9" fontId="47" fillId="0" borderId="0" xfId="7" applyNumberFormat="1" applyFont="1" applyFill="1" applyAlignment="1">
      <alignment vertical="center"/>
    </xf>
    <xf numFmtId="4" fontId="15" fillId="0" borderId="0" xfId="7" applyNumberFormat="1" applyFont="1" applyFill="1" applyAlignment="1">
      <alignment horizontal="center" vertical="center"/>
    </xf>
    <xf numFmtId="10" fontId="40" fillId="0" borderId="0" xfId="2" applyNumberFormat="1" applyFont="1" applyFill="1" applyAlignment="1">
      <alignment vertical="center"/>
    </xf>
    <xf numFmtId="43" fontId="40" fillId="0" borderId="0" xfId="7" applyFont="1" applyFill="1" applyBorder="1" applyAlignment="1">
      <alignment vertical="center"/>
    </xf>
    <xf numFmtId="4" fontId="23" fillId="0" borderId="0" xfId="0" applyNumberFormat="1" applyFont="1" applyAlignment="1">
      <alignment horizontal="center"/>
    </xf>
    <xf numFmtId="43" fontId="23" fillId="0" borderId="0" xfId="7" applyFont="1" applyFill="1" applyBorder="1"/>
    <xf numFmtId="10" fontId="40" fillId="0" borderId="0" xfId="2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23" fillId="0" borderId="0" xfId="7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5" fontId="15" fillId="0" borderId="0" xfId="0" applyNumberFormat="1" applyFont="1"/>
    <xf numFmtId="0" fontId="8" fillId="2" borderId="17" xfId="4" applyFont="1" applyFill="1" applyBorder="1" applyAlignment="1">
      <alignment horizontal="right"/>
    </xf>
    <xf numFmtId="0" fontId="19" fillId="2" borderId="16" xfId="4" applyFont="1" applyFill="1" applyBorder="1" applyAlignment="1">
      <alignment horizontal="center"/>
    </xf>
    <xf numFmtId="0" fontId="8" fillId="2" borderId="13" xfId="4" applyFont="1" applyFill="1" applyBorder="1" applyAlignment="1">
      <alignment horizontal="right"/>
    </xf>
    <xf numFmtId="49" fontId="19" fillId="2" borderId="12" xfId="4" applyNumberFormat="1" applyFont="1" applyFill="1" applyBorder="1" applyAlignment="1">
      <alignment horizontal="center"/>
    </xf>
    <xf numFmtId="0" fontId="19" fillId="2" borderId="9" xfId="4" applyFont="1" applyFill="1" applyBorder="1" applyAlignment="1">
      <alignment horizontal="right"/>
    </xf>
    <xf numFmtId="0" fontId="19" fillId="2" borderId="13" xfId="4" applyFont="1" applyFill="1" applyBorder="1" applyAlignment="1">
      <alignment horizontal="right"/>
    </xf>
    <xf numFmtId="14" fontId="52" fillId="2" borderId="0" xfId="4" applyNumberFormat="1" applyFont="1" applyFill="1" applyAlignment="1">
      <alignment horizontal="center" vertical="center" wrapText="1"/>
    </xf>
    <xf numFmtId="0" fontId="8" fillId="3" borderId="16" xfId="3" applyFont="1" applyFill="1" applyBorder="1" applyAlignment="1">
      <alignment horizontal="center" vertical="center" wrapText="1"/>
    </xf>
    <xf numFmtId="1" fontId="8" fillId="3" borderId="2" xfId="3" applyNumberFormat="1" applyFont="1" applyFill="1" applyBorder="1" applyAlignment="1">
      <alignment horizontal="center"/>
    </xf>
    <xf numFmtId="1" fontId="8" fillId="3" borderId="2" xfId="3" applyNumberFormat="1" applyFont="1" applyFill="1" applyBorder="1" applyAlignment="1">
      <alignment horizontal="center" wrapText="1"/>
    </xf>
    <xf numFmtId="0" fontId="8" fillId="3" borderId="1" xfId="3" applyFont="1" applyFill="1" applyBorder="1" applyAlignment="1">
      <alignment horizontal="center"/>
    </xf>
    <xf numFmtId="0" fontId="53" fillId="0" borderId="15" xfId="3" applyFont="1" applyBorder="1" applyAlignment="1">
      <alignment horizontal="center" vertical="center"/>
    </xf>
    <xf numFmtId="0" fontId="53" fillId="0" borderId="14" xfId="3" applyFont="1" applyBorder="1" applyAlignment="1">
      <alignment horizontal="center" vertical="center"/>
    </xf>
    <xf numFmtId="0" fontId="54" fillId="0" borderId="13" xfId="3" applyFont="1" applyBorder="1" applyAlignment="1">
      <alignment vertical="center"/>
    </xf>
    <xf numFmtId="0" fontId="53" fillId="0" borderId="13" xfId="3" applyFont="1" applyBorder="1" applyAlignment="1">
      <alignment horizontal="center" vertical="center"/>
    </xf>
    <xf numFmtId="1" fontId="53" fillId="0" borderId="13" xfId="3" applyNumberFormat="1" applyFont="1" applyBorder="1" applyAlignment="1">
      <alignment horizontal="center"/>
    </xf>
    <xf numFmtId="1" fontId="53" fillId="0" borderId="13" xfId="3" applyNumberFormat="1" applyFont="1" applyBorder="1" applyAlignment="1">
      <alignment horizontal="center" wrapText="1"/>
    </xf>
    <xf numFmtId="0" fontId="13" fillId="0" borderId="12" xfId="3" applyFont="1" applyBorder="1" applyAlignment="1">
      <alignment horizontal="center"/>
    </xf>
    <xf numFmtId="0" fontId="55" fillId="9" borderId="15" xfId="0" applyFont="1" applyFill="1" applyBorder="1" applyAlignment="1">
      <alignment horizontal="center"/>
    </xf>
    <xf numFmtId="0" fontId="55" fillId="9" borderId="13" xfId="0" applyFont="1" applyFill="1" applyBorder="1" applyAlignment="1">
      <alignment horizontal="center"/>
    </xf>
    <xf numFmtId="0" fontId="55" fillId="9" borderId="9" xfId="0" applyFont="1" applyFill="1" applyBorder="1"/>
    <xf numFmtId="0" fontId="19" fillId="9" borderId="14" xfId="0" applyFont="1" applyFill="1" applyBorder="1" applyAlignment="1">
      <alignment horizontal="center"/>
    </xf>
    <xf numFmtId="1" fontId="19" fillId="9" borderId="13" xfId="0" applyNumberFormat="1" applyFont="1" applyFill="1" applyBorder="1" applyAlignment="1">
      <alignment horizontal="center"/>
    </xf>
    <xf numFmtId="1" fontId="19" fillId="9" borderId="13" xfId="0" applyNumberFormat="1" applyFont="1" applyFill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12" fontId="19" fillId="0" borderId="9" xfId="0" applyNumberFormat="1" applyFont="1" applyBorder="1" applyAlignment="1">
      <alignment horizontal="center"/>
    </xf>
    <xf numFmtId="0" fontId="55" fillId="9" borderId="14" xfId="0" applyFont="1" applyFill="1" applyBorder="1" applyAlignment="1">
      <alignment horizontal="center"/>
    </xf>
    <xf numFmtId="0" fontId="55" fillId="9" borderId="13" xfId="0" applyFont="1" applyFill="1" applyBorder="1"/>
    <xf numFmtId="1" fontId="19" fillId="9" borderId="9" xfId="0" applyNumberFormat="1" applyFont="1" applyFill="1" applyBorder="1" applyAlignment="1">
      <alignment horizontal="center"/>
    </xf>
    <xf numFmtId="1" fontId="19" fillId="9" borderId="9" xfId="0" applyNumberFormat="1" applyFont="1" applyFill="1" applyBorder="1" applyAlignment="1">
      <alignment horizontal="center" wrapText="1"/>
    </xf>
    <xf numFmtId="0" fontId="19" fillId="0" borderId="13" xfId="0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0" fontId="56" fillId="0" borderId="13" xfId="0" applyFont="1" applyBorder="1" applyAlignment="1">
      <alignment horizontal="center" vertical="center"/>
    </xf>
    <xf numFmtId="0" fontId="56" fillId="6" borderId="13" xfId="0" applyFont="1" applyFill="1" applyBorder="1"/>
    <xf numFmtId="0" fontId="19" fillId="0" borderId="13" xfId="0" applyFont="1" applyBorder="1" applyAlignment="1">
      <alignment horizontal="center" wrapText="1"/>
    </xf>
    <xf numFmtId="0" fontId="56" fillId="6" borderId="0" xfId="0" applyFont="1" applyFill="1" applyAlignment="1">
      <alignment horizontal="center"/>
    </xf>
    <xf numFmtId="0" fontId="56" fillId="6" borderId="0" xfId="0" applyFont="1" applyFill="1"/>
    <xf numFmtId="0" fontId="8" fillId="6" borderId="13" xfId="0" applyFont="1" applyFill="1" applyBorder="1" applyAlignment="1">
      <alignment horizontal="left"/>
    </xf>
    <xf numFmtId="0" fontId="19" fillId="0" borderId="9" xfId="0" applyFont="1" applyBorder="1" applyAlignment="1">
      <alignment horizontal="center"/>
    </xf>
    <xf numFmtId="0" fontId="56" fillId="6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16" fontId="13" fillId="0" borderId="14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 wrapText="1"/>
    </xf>
    <xf numFmtId="49" fontId="13" fillId="0" borderId="15" xfId="3" applyNumberFormat="1" applyFont="1" applyBorder="1" applyAlignment="1">
      <alignment horizontal="center"/>
    </xf>
    <xf numFmtId="49" fontId="13" fillId="0" borderId="14" xfId="3" applyNumberFormat="1" applyFont="1" applyBorder="1" applyAlignment="1">
      <alignment horizontal="center"/>
    </xf>
    <xf numFmtId="0" fontId="53" fillId="9" borderId="13" xfId="3" applyFont="1" applyFill="1" applyBorder="1" applyAlignment="1">
      <alignment horizontal="left"/>
    </xf>
    <xf numFmtId="0" fontId="13" fillId="0" borderId="13" xfId="3" applyFont="1" applyBorder="1" applyAlignment="1">
      <alignment horizontal="center"/>
    </xf>
    <xf numFmtId="169" fontId="13" fillId="0" borderId="13" xfId="3" applyNumberFormat="1" applyFont="1" applyBorder="1" applyAlignment="1">
      <alignment horizontal="center"/>
    </xf>
    <xf numFmtId="1" fontId="13" fillId="0" borderId="13" xfId="3" applyNumberFormat="1" applyFont="1" applyBorder="1" applyAlignment="1">
      <alignment horizontal="center" wrapText="1"/>
    </xf>
    <xf numFmtId="0" fontId="55" fillId="9" borderId="10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1" fontId="19" fillId="9" borderId="13" xfId="3" applyNumberFormat="1" applyFont="1" applyFill="1" applyBorder="1" applyAlignment="1">
      <alignment horizontal="center"/>
    </xf>
    <xf numFmtId="1" fontId="19" fillId="9" borderId="13" xfId="3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16" fontId="19" fillId="9" borderId="13" xfId="0" applyNumberFormat="1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1" fontId="19" fillId="0" borderId="9" xfId="0" applyNumberFormat="1" applyFont="1" applyBorder="1" applyAlignment="1">
      <alignment horizontal="center" wrapText="1"/>
    </xf>
    <xf numFmtId="16" fontId="19" fillId="0" borderId="13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1" fontId="19" fillId="0" borderId="13" xfId="0" applyNumberFormat="1" applyFont="1" applyBorder="1" applyAlignment="1">
      <alignment horizontal="center" wrapText="1"/>
    </xf>
    <xf numFmtId="49" fontId="53" fillId="0" borderId="7" xfId="3" applyNumberFormat="1" applyFont="1" applyBorder="1" applyAlignment="1">
      <alignment horizontal="center"/>
    </xf>
    <xf numFmtId="49" fontId="53" fillId="0" borderId="6" xfId="3" applyNumberFormat="1" applyFont="1" applyBorder="1" applyAlignment="1">
      <alignment horizontal="center"/>
    </xf>
    <xf numFmtId="0" fontId="54" fillId="9" borderId="13" xfId="3" applyFont="1" applyFill="1" applyBorder="1" applyAlignment="1">
      <alignment vertical="center"/>
    </xf>
    <xf numFmtId="0" fontId="53" fillId="0" borderId="14" xfId="3" applyFont="1" applyBorder="1" applyAlignment="1">
      <alignment horizontal="center"/>
    </xf>
    <xf numFmtId="169" fontId="53" fillId="0" borderId="13" xfId="3" applyNumberFormat="1" applyFont="1" applyBorder="1" applyAlignment="1">
      <alignment horizontal="center"/>
    </xf>
    <xf numFmtId="49" fontId="13" fillId="0" borderId="13" xfId="3" applyNumberFormat="1" applyFont="1" applyBorder="1" applyAlignment="1">
      <alignment horizontal="center"/>
    </xf>
    <xf numFmtId="49" fontId="13" fillId="0" borderId="13" xfId="3" applyNumberFormat="1" applyFont="1" applyBorder="1"/>
    <xf numFmtId="16" fontId="13" fillId="0" borderId="13" xfId="3" applyNumberFormat="1" applyFont="1" applyBorder="1" applyAlignment="1">
      <alignment horizontal="center"/>
    </xf>
    <xf numFmtId="1" fontId="19" fillId="0" borderId="9" xfId="3" applyNumberFormat="1" applyFont="1" applyBorder="1" applyAlignment="1">
      <alignment horizontal="center"/>
    </xf>
    <xf numFmtId="0" fontId="19" fillId="0" borderId="9" xfId="3" applyFont="1" applyBorder="1" applyAlignment="1">
      <alignment horizontal="center"/>
    </xf>
    <xf numFmtId="170" fontId="8" fillId="9" borderId="13" xfId="7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13" fillId="0" borderId="46" xfId="0" applyFont="1" applyBorder="1" applyAlignment="1">
      <alignment horizontal="center"/>
    </xf>
    <xf numFmtId="0" fontId="13" fillId="0" borderId="13" xfId="0" applyFont="1" applyBorder="1" applyAlignment="1">
      <alignment horizontal="center" wrapText="1"/>
    </xf>
    <xf numFmtId="1" fontId="5" fillId="0" borderId="13" xfId="0" applyNumberFormat="1" applyFont="1" applyBorder="1" applyAlignment="1">
      <alignment horizontal="left" vertical="center"/>
    </xf>
    <xf numFmtId="12" fontId="13" fillId="0" borderId="13" xfId="3" applyNumberFormat="1" applyFont="1" applyBorder="1" applyAlignment="1">
      <alignment horizontal="center"/>
    </xf>
    <xf numFmtId="0" fontId="13" fillId="9" borderId="15" xfId="0" applyFont="1" applyFill="1" applyBorder="1" applyAlignment="1">
      <alignment horizontal="center"/>
    </xf>
    <xf numFmtId="0" fontId="57" fillId="9" borderId="0" xfId="0" applyFont="1" applyFill="1" applyAlignment="1">
      <alignment horizontal="center"/>
    </xf>
    <xf numFmtId="1" fontId="13" fillId="9" borderId="13" xfId="0" applyNumberFormat="1" applyFont="1" applyFill="1" applyBorder="1"/>
    <xf numFmtId="0" fontId="13" fillId="9" borderId="13" xfId="0" applyFont="1" applyFill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1" fontId="13" fillId="0" borderId="13" xfId="3" applyNumberFormat="1" applyFont="1" applyBorder="1" applyAlignment="1">
      <alignment horizontal="center"/>
    </xf>
    <xf numFmtId="49" fontId="58" fillId="2" borderId="21" xfId="3" applyNumberFormat="1" applyFont="1" applyFill="1" applyBorder="1" applyAlignment="1">
      <alignment horizontal="center" vertical="center"/>
    </xf>
    <xf numFmtId="49" fontId="58" fillId="2" borderId="0" xfId="3" applyNumberFormat="1" applyFont="1" applyFill="1" applyAlignment="1">
      <alignment horizontal="center" vertical="center"/>
    </xf>
    <xf numFmtId="0" fontId="19" fillId="2" borderId="0" xfId="3" applyFont="1" applyFill="1"/>
    <xf numFmtId="1" fontId="19" fillId="2" borderId="0" xfId="3" applyNumberFormat="1" applyFont="1" applyFill="1" applyAlignment="1">
      <alignment horizontal="center"/>
    </xf>
    <xf numFmtId="164" fontId="19" fillId="2" borderId="0" xfId="3" applyNumberFormat="1" applyFont="1" applyFill="1" applyAlignment="1">
      <alignment horizontal="center" wrapText="1"/>
    </xf>
    <xf numFmtId="0" fontId="19" fillId="2" borderId="20" xfId="3" applyFont="1" applyFill="1" applyBorder="1" applyAlignment="1">
      <alignment horizontal="center"/>
    </xf>
    <xf numFmtId="0" fontId="19" fillId="3" borderId="39" xfId="3" applyFont="1" applyFill="1" applyBorder="1" applyAlignment="1">
      <alignment horizontal="center"/>
    </xf>
    <xf numFmtId="0" fontId="19" fillId="3" borderId="40" xfId="3" applyFont="1" applyFill="1" applyBorder="1" applyAlignment="1">
      <alignment horizontal="center"/>
    </xf>
    <xf numFmtId="0" fontId="19" fillId="3" borderId="40" xfId="3" applyFont="1" applyFill="1" applyBorder="1"/>
    <xf numFmtId="0" fontId="8" fillId="3" borderId="40" xfId="3" applyFont="1" applyFill="1" applyBorder="1" applyAlignment="1">
      <alignment horizontal="center"/>
    </xf>
    <xf numFmtId="1" fontId="8" fillId="3" borderId="40" xfId="3" applyNumberFormat="1" applyFont="1" applyFill="1" applyBorder="1" applyAlignment="1">
      <alignment horizontal="center"/>
    </xf>
    <xf numFmtId="164" fontId="19" fillId="3" borderId="40" xfId="3" applyNumberFormat="1" applyFont="1" applyFill="1" applyBorder="1" applyAlignment="1">
      <alignment horizontal="center" wrapText="1"/>
    </xf>
    <xf numFmtId="0" fontId="19" fillId="3" borderId="41" xfId="3" applyFont="1" applyFill="1" applyBorder="1" applyAlignment="1">
      <alignment horizontal="center"/>
    </xf>
    <xf numFmtId="0" fontId="19" fillId="0" borderId="42" xfId="0" applyFont="1" applyBorder="1" applyAlignment="1">
      <alignment horizontal="center"/>
    </xf>
    <xf numFmtId="1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6" fillId="2" borderId="17" xfId="4" applyFont="1" applyFill="1" applyBorder="1" applyAlignment="1">
      <alignment horizontal="right"/>
    </xf>
    <xf numFmtId="0" fontId="60" fillId="2" borderId="16" xfId="4" applyFont="1" applyFill="1" applyBorder="1" applyAlignment="1">
      <alignment horizontal="center"/>
    </xf>
    <xf numFmtId="0" fontId="6" fillId="2" borderId="13" xfId="4" applyFont="1" applyFill="1" applyBorder="1" applyAlignment="1">
      <alignment horizontal="right"/>
    </xf>
    <xf numFmtId="49" fontId="59" fillId="2" borderId="12" xfId="4" applyNumberFormat="1" applyFont="1" applyFill="1" applyBorder="1" applyAlignment="1">
      <alignment horizontal="center"/>
    </xf>
    <xf numFmtId="0" fontId="59" fillId="2" borderId="9" xfId="4" applyFont="1" applyFill="1" applyBorder="1" applyAlignment="1">
      <alignment horizontal="right"/>
    </xf>
    <xf numFmtId="0" fontId="59" fillId="2" borderId="13" xfId="4" applyFont="1" applyFill="1" applyBorder="1" applyAlignment="1">
      <alignment horizontal="right"/>
    </xf>
    <xf numFmtId="14" fontId="62" fillId="2" borderId="0" xfId="4" applyNumberFormat="1" applyFont="1" applyFill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 wrapText="1"/>
    </xf>
    <xf numFmtId="1" fontId="6" fillId="3" borderId="2" xfId="3" applyNumberFormat="1" applyFont="1" applyFill="1" applyBorder="1" applyAlignment="1">
      <alignment horizontal="center"/>
    </xf>
    <xf numFmtId="1" fontId="6" fillId="3" borderId="2" xfId="3" applyNumberFormat="1" applyFont="1" applyFill="1" applyBorder="1" applyAlignment="1">
      <alignment horizontal="center" wrapText="1"/>
    </xf>
    <xf numFmtId="0" fontId="6" fillId="3" borderId="1" xfId="3" applyFont="1" applyFill="1" applyBorder="1" applyAlignment="1">
      <alignment horizontal="center"/>
    </xf>
    <xf numFmtId="0" fontId="63" fillId="0" borderId="15" xfId="3" applyFont="1" applyBorder="1" applyAlignment="1">
      <alignment horizontal="center" vertical="center"/>
    </xf>
    <xf numFmtId="0" fontId="63" fillId="0" borderId="14" xfId="3" applyFont="1" applyBorder="1" applyAlignment="1">
      <alignment horizontal="center" vertical="center"/>
    </xf>
    <xf numFmtId="0" fontId="64" fillId="0" borderId="13" xfId="3" applyFont="1" applyBorder="1" applyAlignment="1">
      <alignment vertical="center"/>
    </xf>
    <xf numFmtId="0" fontId="63" fillId="0" borderId="13" xfId="3" applyFont="1" applyBorder="1" applyAlignment="1">
      <alignment horizontal="center" vertical="center"/>
    </xf>
    <xf numFmtId="1" fontId="63" fillId="0" borderId="13" xfId="3" applyNumberFormat="1" applyFont="1" applyBorder="1" applyAlignment="1">
      <alignment horizontal="center"/>
    </xf>
    <xf numFmtId="1" fontId="63" fillId="0" borderId="13" xfId="3" applyNumberFormat="1" applyFont="1" applyBorder="1" applyAlignment="1">
      <alignment horizontal="center" wrapText="1"/>
    </xf>
    <xf numFmtId="0" fontId="65" fillId="0" borderId="12" xfId="3" applyFont="1" applyBorder="1" applyAlignment="1">
      <alignment horizontal="center"/>
    </xf>
    <xf numFmtId="0" fontId="60" fillId="9" borderId="15" xfId="3" applyFont="1" applyFill="1" applyBorder="1"/>
    <xf numFmtId="0" fontId="60" fillId="9" borderId="14" xfId="3" applyFont="1" applyFill="1" applyBorder="1" applyAlignment="1">
      <alignment horizontal="center"/>
    </xf>
    <xf numFmtId="0" fontId="60" fillId="9" borderId="13" xfId="3" applyFont="1" applyFill="1" applyBorder="1"/>
    <xf numFmtId="0" fontId="60" fillId="9" borderId="13" xfId="3" applyFont="1" applyFill="1" applyBorder="1" applyAlignment="1">
      <alignment horizontal="center"/>
    </xf>
    <xf numFmtId="0" fontId="60" fillId="0" borderId="13" xfId="3" applyFont="1" applyBorder="1" applyAlignment="1">
      <alignment horizontal="center"/>
    </xf>
    <xf numFmtId="0" fontId="66" fillId="0" borderId="13" xfId="9" applyFont="1" applyBorder="1" applyAlignment="1">
      <alignment horizontal="center"/>
    </xf>
    <xf numFmtId="0" fontId="60" fillId="0" borderId="13" xfId="9" applyFont="1" applyBorder="1" applyAlignment="1">
      <alignment horizontal="center"/>
    </xf>
    <xf numFmtId="0" fontId="60" fillId="9" borderId="9" xfId="3" applyFont="1" applyFill="1" applyBorder="1" applyAlignment="1">
      <alignment horizontal="center"/>
    </xf>
    <xf numFmtId="0" fontId="60" fillId="0" borderId="9" xfId="3" applyFont="1" applyBorder="1" applyAlignment="1">
      <alignment horizontal="center"/>
    </xf>
    <xf numFmtId="171" fontId="60" fillId="0" borderId="9" xfId="0" applyNumberFormat="1" applyFont="1" applyBorder="1" applyAlignment="1">
      <alignment horizontal="center" wrapText="1"/>
    </xf>
    <xf numFmtId="0" fontId="60" fillId="9" borderId="15" xfId="0" applyFont="1" applyFill="1" applyBorder="1" applyAlignment="1">
      <alignment horizontal="center"/>
    </xf>
    <xf numFmtId="0" fontId="60" fillId="9" borderId="14" xfId="0" applyFont="1" applyFill="1" applyBorder="1" applyAlignment="1">
      <alignment horizontal="center"/>
    </xf>
    <xf numFmtId="0" fontId="60" fillId="9" borderId="13" xfId="0" applyFont="1" applyFill="1" applyBorder="1"/>
    <xf numFmtId="0" fontId="60" fillId="0" borderId="0" xfId="0" applyFont="1"/>
    <xf numFmtId="0" fontId="60" fillId="9" borderId="15" xfId="3" applyFont="1" applyFill="1" applyBorder="1" applyAlignment="1">
      <alignment horizontal="right"/>
    </xf>
    <xf numFmtId="0" fontId="66" fillId="9" borderId="15" xfId="1" applyFont="1" applyFill="1" applyBorder="1" applyAlignment="1">
      <alignment horizontal="center"/>
    </xf>
    <xf numFmtId="0" fontId="66" fillId="9" borderId="14" xfId="1" applyFont="1" applyFill="1" applyBorder="1" applyAlignment="1">
      <alignment horizontal="center"/>
    </xf>
    <xf numFmtId="0" fontId="66" fillId="9" borderId="13" xfId="1" applyFont="1" applyFill="1" applyBorder="1"/>
    <xf numFmtId="0" fontId="66" fillId="0" borderId="13" xfId="1" applyFont="1" applyBorder="1" applyAlignment="1">
      <alignment horizontal="center" vertical="center"/>
    </xf>
    <xf numFmtId="1" fontId="60" fillId="0" borderId="13" xfId="3" applyNumberFormat="1" applyFont="1" applyBorder="1" applyAlignment="1">
      <alignment horizontal="center"/>
    </xf>
    <xf numFmtId="1" fontId="60" fillId="0" borderId="13" xfId="3" applyNumberFormat="1" applyFont="1" applyBorder="1" applyAlignment="1">
      <alignment horizontal="center" wrapText="1"/>
    </xf>
    <xf numFmtId="0" fontId="60" fillId="9" borderId="13" xfId="1" applyFont="1" applyFill="1" applyBorder="1"/>
    <xf numFmtId="1" fontId="60" fillId="0" borderId="9" xfId="0" applyNumberFormat="1" applyFont="1" applyBorder="1" applyAlignment="1">
      <alignment horizontal="center" wrapText="1"/>
    </xf>
    <xf numFmtId="49" fontId="65" fillId="0" borderId="15" xfId="10" applyNumberFormat="1" applyFont="1" applyBorder="1" applyAlignment="1">
      <alignment horizontal="center"/>
    </xf>
    <xf numFmtId="49" fontId="65" fillId="0" borderId="14" xfId="10" applyNumberFormat="1" applyFont="1" applyBorder="1" applyAlignment="1">
      <alignment horizontal="center"/>
    </xf>
    <xf numFmtId="49" fontId="65" fillId="0" borderId="13" xfId="10" applyNumberFormat="1" applyFont="1" applyBorder="1"/>
    <xf numFmtId="0" fontId="65" fillId="0" borderId="13" xfId="10" applyFont="1" applyBorder="1" applyAlignment="1">
      <alignment horizontal="center" vertical="center"/>
    </xf>
    <xf numFmtId="0" fontId="60" fillId="0" borderId="9" xfId="0" applyFont="1" applyBorder="1" applyAlignment="1">
      <alignment horizontal="center" vertical="center"/>
    </xf>
    <xf numFmtId="2" fontId="59" fillId="0" borderId="9" xfId="3" applyNumberFormat="1" applyFont="1" applyBorder="1" applyAlignment="1">
      <alignment horizontal="center"/>
    </xf>
    <xf numFmtId="0" fontId="60" fillId="0" borderId="0" xfId="0" applyFont="1" applyAlignment="1">
      <alignment horizontal="center"/>
    </xf>
    <xf numFmtId="1" fontId="65" fillId="0" borderId="13" xfId="3" applyNumberFormat="1" applyFont="1" applyBorder="1" applyAlignment="1">
      <alignment horizontal="center"/>
    </xf>
    <xf numFmtId="0" fontId="60" fillId="0" borderId="13" xfId="0" applyFont="1" applyBorder="1" applyAlignment="1">
      <alignment horizontal="center"/>
    </xf>
    <xf numFmtId="1" fontId="65" fillId="0" borderId="13" xfId="3" applyNumberFormat="1" applyFont="1" applyBorder="1" applyAlignment="1">
      <alignment horizontal="center" wrapText="1"/>
    </xf>
    <xf numFmtId="49" fontId="65" fillId="0" borderId="15" xfId="3" applyNumberFormat="1" applyFont="1" applyBorder="1" applyAlignment="1">
      <alignment horizontal="center"/>
    </xf>
    <xf numFmtId="49" fontId="65" fillId="0" borderId="14" xfId="3" applyNumberFormat="1" applyFont="1" applyBorder="1" applyAlignment="1">
      <alignment horizontal="center"/>
    </xf>
    <xf numFmtId="0" fontId="63" fillId="9" borderId="13" xfId="3" applyFont="1" applyFill="1" applyBorder="1" applyAlignment="1">
      <alignment horizontal="left"/>
    </xf>
    <xf numFmtId="0" fontId="65" fillId="0" borderId="13" xfId="3" applyFont="1" applyBorder="1" applyAlignment="1">
      <alignment horizontal="center"/>
    </xf>
    <xf numFmtId="169" fontId="65" fillId="0" borderId="13" xfId="3" applyNumberFormat="1" applyFont="1" applyBorder="1" applyAlignment="1">
      <alignment horizontal="center"/>
    </xf>
    <xf numFmtId="0" fontId="60" fillId="0" borderId="15" xfId="5" applyFont="1" applyBorder="1" applyAlignment="1">
      <alignment horizontal="center"/>
    </xf>
    <xf numFmtId="0" fontId="60" fillId="9" borderId="13" xfId="5" applyFont="1" applyFill="1" applyBorder="1"/>
    <xf numFmtId="16" fontId="65" fillId="0" borderId="13" xfId="5" applyNumberFormat="1" applyFont="1" applyBorder="1" applyAlignment="1">
      <alignment horizontal="center"/>
    </xf>
    <xf numFmtId="0" fontId="60" fillId="0" borderId="13" xfId="5" applyFont="1" applyBorder="1" applyAlignment="1">
      <alignment horizontal="center"/>
    </xf>
    <xf numFmtId="16" fontId="65" fillId="0" borderId="13" xfId="0" applyNumberFormat="1" applyFont="1" applyBorder="1" applyAlignment="1">
      <alignment horizontal="center"/>
    </xf>
    <xf numFmtId="1" fontId="65" fillId="0" borderId="13" xfId="5" applyNumberFormat="1" applyFont="1" applyBorder="1" applyAlignment="1">
      <alignment horizontal="center"/>
    </xf>
    <xf numFmtId="1" fontId="65" fillId="0" borderId="13" xfId="5" applyNumberFormat="1" applyFont="1" applyBorder="1" applyAlignment="1">
      <alignment horizontal="center" wrapText="1"/>
    </xf>
    <xf numFmtId="49" fontId="63" fillId="0" borderId="7" xfId="3" applyNumberFormat="1" applyFont="1" applyBorder="1" applyAlignment="1">
      <alignment horizontal="center"/>
    </xf>
    <xf numFmtId="49" fontId="63" fillId="0" borderId="6" xfId="3" applyNumberFormat="1" applyFont="1" applyBorder="1" applyAlignment="1">
      <alignment horizontal="center"/>
    </xf>
    <xf numFmtId="0" fontId="64" fillId="9" borderId="13" xfId="3" applyFont="1" applyFill="1" applyBorder="1" applyAlignment="1">
      <alignment vertical="center"/>
    </xf>
    <xf numFmtId="0" fontId="63" fillId="0" borderId="14" xfId="3" applyFont="1" applyBorder="1" applyAlignment="1">
      <alignment horizontal="center"/>
    </xf>
    <xf numFmtId="0" fontId="67" fillId="9" borderId="15" xfId="3" applyFont="1" applyFill="1" applyBorder="1" applyAlignment="1">
      <alignment horizontal="center"/>
    </xf>
    <xf numFmtId="0" fontId="67" fillId="9" borderId="14" xfId="3" applyFont="1" applyFill="1" applyBorder="1" applyAlignment="1">
      <alignment horizontal="center"/>
    </xf>
    <xf numFmtId="0" fontId="59" fillId="9" borderId="13" xfId="3" applyFont="1" applyFill="1" applyBorder="1" applyAlignment="1">
      <alignment horizontal="left"/>
    </xf>
    <xf numFmtId="0" fontId="59" fillId="0" borderId="13" xfId="3" applyFont="1" applyBorder="1" applyAlignment="1">
      <alignment horizontal="center" vertical="center"/>
    </xf>
    <xf numFmtId="1" fontId="59" fillId="0" borderId="13" xfId="3" applyNumberFormat="1" applyFont="1" applyBorder="1" applyAlignment="1">
      <alignment horizontal="center" vertical="center"/>
    </xf>
    <xf numFmtId="1" fontId="59" fillId="0" borderId="13" xfId="3" applyNumberFormat="1" applyFont="1" applyBorder="1" applyAlignment="1">
      <alignment horizontal="center" vertical="center" wrapText="1"/>
    </xf>
    <xf numFmtId="2" fontId="65" fillId="0" borderId="13" xfId="3" applyNumberFormat="1" applyFont="1" applyBorder="1" applyAlignment="1">
      <alignment horizontal="center"/>
    </xf>
    <xf numFmtId="0" fontId="66" fillId="0" borderId="15" xfId="1" applyFont="1" applyBorder="1" applyAlignment="1">
      <alignment horizontal="center"/>
    </xf>
    <xf numFmtId="0" fontId="60" fillId="0" borderId="14" xfId="1" applyFont="1" applyBorder="1" applyAlignment="1">
      <alignment horizontal="center"/>
    </xf>
    <xf numFmtId="0" fontId="66" fillId="0" borderId="13" xfId="1" applyFont="1" applyBorder="1"/>
    <xf numFmtId="1" fontId="65" fillId="0" borderId="13" xfId="0" applyNumberFormat="1" applyFont="1" applyBorder="1" applyAlignment="1">
      <alignment horizontal="center"/>
    </xf>
    <xf numFmtId="1" fontId="65" fillId="0" borderId="13" xfId="0" applyNumberFormat="1" applyFont="1" applyBorder="1" applyAlignment="1">
      <alignment horizontal="center" wrapText="1"/>
    </xf>
    <xf numFmtId="0" fontId="60" fillId="9" borderId="13" xfId="0" applyFont="1" applyFill="1" applyBorder="1" applyAlignment="1">
      <alignment horizontal="center"/>
    </xf>
    <xf numFmtId="49" fontId="65" fillId="9" borderId="15" xfId="3" applyNumberFormat="1" applyFont="1" applyFill="1" applyBorder="1" applyAlignment="1">
      <alignment horizontal="center"/>
    </xf>
    <xf numFmtId="49" fontId="65" fillId="9" borderId="14" xfId="3" applyNumberFormat="1" applyFont="1" applyFill="1" applyBorder="1" applyAlignment="1">
      <alignment horizontal="center"/>
    </xf>
    <xf numFmtId="49" fontId="65" fillId="9" borderId="13" xfId="3" applyNumberFormat="1" applyFont="1" applyFill="1" applyBorder="1"/>
    <xf numFmtId="12" fontId="65" fillId="0" borderId="13" xfId="3" applyNumberFormat="1" applyFont="1" applyBorder="1" applyAlignment="1">
      <alignment horizontal="center"/>
    </xf>
    <xf numFmtId="49" fontId="65" fillId="0" borderId="13" xfId="3" applyNumberFormat="1" applyFont="1" applyBorder="1"/>
    <xf numFmtId="49" fontId="68" fillId="2" borderId="21" xfId="3" applyNumberFormat="1" applyFont="1" applyFill="1" applyBorder="1" applyAlignment="1">
      <alignment horizontal="center" vertical="center"/>
    </xf>
    <xf numFmtId="49" fontId="68" fillId="2" borderId="0" xfId="3" applyNumberFormat="1" applyFont="1" applyFill="1" applyAlignment="1">
      <alignment horizontal="center" vertical="center"/>
    </xf>
    <xf numFmtId="0" fontId="59" fillId="2" borderId="0" xfId="3" applyFont="1" applyFill="1"/>
    <xf numFmtId="1" fontId="59" fillId="2" borderId="0" xfId="3" applyNumberFormat="1" applyFont="1" applyFill="1" applyAlignment="1">
      <alignment horizontal="center"/>
    </xf>
    <xf numFmtId="164" fontId="59" fillId="2" borderId="0" xfId="3" applyNumberFormat="1" applyFont="1" applyFill="1" applyAlignment="1">
      <alignment horizontal="center" wrapText="1"/>
    </xf>
    <xf numFmtId="0" fontId="59" fillId="2" borderId="20" xfId="3" applyFont="1" applyFill="1" applyBorder="1" applyAlignment="1">
      <alignment horizontal="center"/>
    </xf>
    <xf numFmtId="0" fontId="59" fillId="3" borderId="39" xfId="3" applyFont="1" applyFill="1" applyBorder="1" applyAlignment="1">
      <alignment horizontal="center"/>
    </xf>
    <xf numFmtId="0" fontId="59" fillId="3" borderId="40" xfId="3" applyFont="1" applyFill="1" applyBorder="1" applyAlignment="1">
      <alignment horizontal="center"/>
    </xf>
    <xf numFmtId="0" fontId="59" fillId="3" borderId="40" xfId="3" applyFont="1" applyFill="1" applyBorder="1"/>
    <xf numFmtId="0" fontId="6" fillId="3" borderId="40" xfId="3" applyFont="1" applyFill="1" applyBorder="1" applyAlignment="1">
      <alignment horizontal="center"/>
    </xf>
    <xf numFmtId="1" fontId="6" fillId="3" borderId="40" xfId="3" applyNumberFormat="1" applyFont="1" applyFill="1" applyBorder="1" applyAlignment="1">
      <alignment horizontal="center"/>
    </xf>
    <xf numFmtId="164" fontId="59" fillId="3" borderId="40" xfId="3" applyNumberFormat="1" applyFont="1" applyFill="1" applyBorder="1" applyAlignment="1">
      <alignment horizontal="center" wrapText="1"/>
    </xf>
    <xf numFmtId="0" fontId="59" fillId="3" borderId="41" xfId="3" applyFont="1" applyFill="1" applyBorder="1" applyAlignment="1">
      <alignment horizontal="center"/>
    </xf>
    <xf numFmtId="1" fontId="60" fillId="0" borderId="9" xfId="0" applyNumberFormat="1" applyFont="1" applyBorder="1" applyAlignment="1">
      <alignment horizontal="center"/>
    </xf>
    <xf numFmtId="0" fontId="60" fillId="0" borderId="4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60" fillId="0" borderId="2" xfId="0" applyNumberFormat="1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5" fillId="0" borderId="6" xfId="0" applyFont="1" applyBorder="1" applyAlignment="1">
      <alignment horizontal="left"/>
    </xf>
    <xf numFmtId="1" fontId="69" fillId="0" borderId="13" xfId="3" applyNumberFormat="1" applyFont="1" applyBorder="1" applyAlignment="1">
      <alignment horizontal="center"/>
    </xf>
    <xf numFmtId="1" fontId="69" fillId="0" borderId="13" xfId="3" applyNumberFormat="1" applyFont="1" applyBorder="1" applyAlignment="1">
      <alignment horizontal="center" wrapText="1"/>
    </xf>
    <xf numFmtId="0" fontId="71" fillId="0" borderId="12" xfId="3" applyFont="1" applyBorder="1" applyAlignment="1">
      <alignment horizontal="center"/>
    </xf>
    <xf numFmtId="0" fontId="71" fillId="0" borderId="13" xfId="0" applyFont="1" applyBorder="1" applyAlignment="1">
      <alignment horizontal="center" vertical="center"/>
    </xf>
    <xf numFmtId="1" fontId="71" fillId="0" borderId="13" xfId="0" applyNumberFormat="1" applyFont="1" applyBorder="1" applyAlignment="1">
      <alignment horizontal="center" vertical="center"/>
    </xf>
    <xf numFmtId="1" fontId="71" fillId="0" borderId="13" xfId="0" applyNumberFormat="1" applyFont="1" applyBorder="1" applyAlignment="1">
      <alignment horizontal="center" vertical="center" wrapText="1"/>
    </xf>
    <xf numFmtId="0" fontId="71" fillId="0" borderId="9" xfId="0" applyFont="1" applyBorder="1" applyAlignment="1">
      <alignment horizontal="center" wrapText="1"/>
    </xf>
    <xf numFmtId="12" fontId="71" fillId="0" borderId="9" xfId="0" applyNumberFormat="1" applyFont="1" applyBorder="1" applyAlignment="1">
      <alignment horizontal="center"/>
    </xf>
    <xf numFmtId="0" fontId="71" fillId="0" borderId="6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1" fillId="0" borderId="13" xfId="0" applyFont="1" applyBorder="1" applyAlignment="1">
      <alignment horizontal="center"/>
    </xf>
    <xf numFmtId="1" fontId="71" fillId="0" borderId="13" xfId="3" applyNumberFormat="1" applyFont="1" applyBorder="1" applyAlignment="1">
      <alignment horizontal="center"/>
    </xf>
    <xf numFmtId="49" fontId="72" fillId="2" borderId="21" xfId="3" applyNumberFormat="1" applyFont="1" applyFill="1" applyBorder="1" applyAlignment="1">
      <alignment horizontal="center" vertical="center"/>
    </xf>
    <xf numFmtId="49" fontId="72" fillId="2" borderId="0" xfId="3" applyNumberFormat="1" applyFont="1" applyFill="1" applyAlignment="1">
      <alignment horizontal="center" vertical="center"/>
    </xf>
    <xf numFmtId="0" fontId="71" fillId="2" borderId="0" xfId="3" applyFont="1" applyFill="1"/>
    <xf numFmtId="1" fontId="71" fillId="2" borderId="0" xfId="3" applyNumberFormat="1" applyFont="1" applyFill="1" applyAlignment="1">
      <alignment horizontal="center"/>
    </xf>
    <xf numFmtId="164" fontId="71" fillId="2" borderId="0" xfId="3" applyNumberFormat="1" applyFont="1" applyFill="1" applyAlignment="1">
      <alignment horizontal="center" wrapText="1"/>
    </xf>
    <xf numFmtId="0" fontId="71" fillId="2" borderId="20" xfId="3" applyFont="1" applyFill="1" applyBorder="1" applyAlignment="1">
      <alignment horizontal="center"/>
    </xf>
    <xf numFmtId="0" fontId="71" fillId="3" borderId="39" xfId="3" applyFont="1" applyFill="1" applyBorder="1" applyAlignment="1">
      <alignment horizontal="center"/>
    </xf>
    <xf numFmtId="0" fontId="71" fillId="3" borderId="40" xfId="3" applyFont="1" applyFill="1" applyBorder="1" applyAlignment="1">
      <alignment horizontal="center"/>
    </xf>
    <xf numFmtId="0" fontId="71" fillId="3" borderId="40" xfId="3" applyFont="1" applyFill="1" applyBorder="1"/>
    <xf numFmtId="0" fontId="69" fillId="3" borderId="40" xfId="3" applyFont="1" applyFill="1" applyBorder="1" applyAlignment="1">
      <alignment horizontal="center"/>
    </xf>
    <xf numFmtId="1" fontId="69" fillId="3" borderId="40" xfId="3" applyNumberFormat="1" applyFont="1" applyFill="1" applyBorder="1" applyAlignment="1">
      <alignment horizontal="center"/>
    </xf>
    <xf numFmtId="164" fontId="71" fillId="3" borderId="40" xfId="3" applyNumberFormat="1" applyFont="1" applyFill="1" applyBorder="1" applyAlignment="1">
      <alignment horizontal="center" wrapText="1"/>
    </xf>
    <xf numFmtId="0" fontId="71" fillId="3" borderId="41" xfId="3" applyFont="1" applyFill="1" applyBorder="1" applyAlignment="1">
      <alignment horizontal="center"/>
    </xf>
    <xf numFmtId="1" fontId="71" fillId="0" borderId="9" xfId="0" applyNumberFormat="1" applyFont="1" applyBorder="1" applyAlignment="1">
      <alignment horizontal="center"/>
    </xf>
    <xf numFmtId="0" fontId="71" fillId="0" borderId="42" xfId="0" applyFont="1" applyBorder="1" applyAlignment="1">
      <alignment horizontal="center"/>
    </xf>
    <xf numFmtId="1" fontId="71" fillId="0" borderId="13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9" fillId="0" borderId="7" xfId="3" applyFont="1" applyBorder="1" applyAlignment="1">
      <alignment horizontal="center" vertical="center"/>
    </xf>
    <xf numFmtId="1" fontId="70" fillId="0" borderId="23" xfId="0" applyNumberFormat="1" applyFont="1" applyBorder="1"/>
    <xf numFmtId="0" fontId="71" fillId="0" borderId="23" xfId="0" applyFont="1" applyBorder="1" applyAlignment="1">
      <alignment horizontal="center" vertical="center"/>
    </xf>
    <xf numFmtId="0" fontId="70" fillId="0" borderId="13" xfId="0" applyFont="1" applyBorder="1"/>
    <xf numFmtId="1" fontId="69" fillId="8" borderId="13" xfId="3" applyNumberFormat="1" applyFont="1" applyFill="1" applyBorder="1" applyAlignment="1">
      <alignment horizontal="center" wrapText="1"/>
    </xf>
    <xf numFmtId="1" fontId="71" fillId="15" borderId="13" xfId="0" applyNumberFormat="1" applyFont="1" applyFill="1" applyBorder="1" applyAlignment="1">
      <alignment horizontal="center" vertical="center"/>
    </xf>
    <xf numFmtId="0" fontId="71" fillId="16" borderId="13" xfId="0" applyFont="1" applyFill="1" applyBorder="1" applyAlignment="1">
      <alignment horizontal="center"/>
    </xf>
    <xf numFmtId="0" fontId="71" fillId="16" borderId="13" xfId="0" applyFont="1" applyFill="1" applyBorder="1" applyAlignment="1">
      <alignment horizontal="left" vertical="center"/>
    </xf>
    <xf numFmtId="0" fontId="71" fillId="17" borderId="14" xfId="0" applyFont="1" applyFill="1" applyBorder="1" applyAlignment="1">
      <alignment horizontal="center" vertical="center"/>
    </xf>
    <xf numFmtId="1" fontId="71" fillId="17" borderId="13" xfId="0" applyNumberFormat="1" applyFont="1" applyFill="1" applyBorder="1" applyAlignment="1">
      <alignment horizontal="center" vertical="center"/>
    </xf>
    <xf numFmtId="0" fontId="71" fillId="15" borderId="14" xfId="0" applyFont="1" applyFill="1" applyBorder="1" applyAlignment="1">
      <alignment horizontal="center" vertical="center"/>
    </xf>
    <xf numFmtId="0" fontId="69" fillId="0" borderId="7" xfId="0" applyFont="1" applyBorder="1" applyAlignment="1">
      <alignment horizontal="center"/>
    </xf>
    <xf numFmtId="0" fontId="74" fillId="6" borderId="13" xfId="0" applyFont="1" applyFill="1" applyBorder="1" applyAlignment="1">
      <alignment vertical="center"/>
    </xf>
    <xf numFmtId="0" fontId="69" fillId="0" borderId="14" xfId="0" applyFont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69" fillId="0" borderId="13" xfId="0" applyFont="1" applyBorder="1" applyAlignment="1">
      <alignment horizontal="center" wrapText="1"/>
    </xf>
    <xf numFmtId="0" fontId="71" fillId="0" borderId="14" xfId="0" applyFont="1" applyBorder="1" applyAlignment="1">
      <alignment horizontal="center"/>
    </xf>
    <xf numFmtId="0" fontId="71" fillId="0" borderId="13" xfId="0" applyFont="1" applyBorder="1" applyAlignment="1">
      <alignment horizontal="center" wrapText="1"/>
    </xf>
    <xf numFmtId="0" fontId="69" fillId="8" borderId="13" xfId="0" applyFont="1" applyFill="1" applyBorder="1"/>
    <xf numFmtId="0" fontId="71" fillId="0" borderId="0" xfId="0" applyFont="1" applyAlignment="1">
      <alignment horizontal="center"/>
    </xf>
    <xf numFmtId="0" fontId="71" fillId="0" borderId="7" xfId="0" applyFont="1" applyBorder="1" applyAlignment="1">
      <alignment horizontal="center"/>
    </xf>
    <xf numFmtId="0" fontId="69" fillId="0" borderId="14" xfId="0" applyFont="1" applyBorder="1"/>
    <xf numFmtId="0" fontId="71" fillId="0" borderId="14" xfId="0" applyFont="1" applyBorder="1" applyAlignment="1">
      <alignment horizontal="left" vertical="center"/>
    </xf>
    <xf numFmtId="0" fontId="70" fillId="15" borderId="13" xfId="0" applyFont="1" applyFill="1" applyBorder="1"/>
    <xf numFmtId="0" fontId="71" fillId="8" borderId="13" xfId="0" applyFont="1" applyFill="1" applyBorder="1" applyAlignment="1">
      <alignment horizontal="center"/>
    </xf>
    <xf numFmtId="0" fontId="69" fillId="0" borderId="14" xfId="3" applyFont="1" applyBorder="1" applyAlignment="1">
      <alignment horizontal="center"/>
    </xf>
    <xf numFmtId="0" fontId="75" fillId="0" borderId="13" xfId="0" applyFont="1" applyBorder="1"/>
    <xf numFmtId="0" fontId="70" fillId="0" borderId="13" xfId="0" applyFont="1" applyBorder="1" applyAlignment="1">
      <alignment horizontal="center"/>
    </xf>
    <xf numFmtId="0" fontId="70" fillId="15" borderId="13" xfId="0" applyFont="1" applyFill="1" applyBorder="1" applyAlignment="1">
      <alignment horizontal="center"/>
    </xf>
    <xf numFmtId="0" fontId="71" fillId="0" borderId="13" xfId="0" applyFont="1" applyBorder="1"/>
    <xf numFmtId="49" fontId="1" fillId="9" borderId="12" xfId="4" applyNumberFormat="1" applyFont="1" applyFill="1" applyBorder="1" applyAlignment="1">
      <alignment horizontal="center"/>
    </xf>
    <xf numFmtId="0" fontId="60" fillId="0" borderId="58" xfId="3" applyFont="1" applyBorder="1" applyAlignment="1">
      <alignment horizontal="left"/>
    </xf>
    <xf numFmtId="0" fontId="60" fillId="0" borderId="28" xfId="3" applyFont="1" applyBorder="1" applyAlignment="1">
      <alignment horizontal="left"/>
    </xf>
    <xf numFmtId="0" fontId="60" fillId="0" borderId="55" xfId="3" applyFont="1" applyBorder="1" applyAlignment="1">
      <alignment horizontal="left"/>
    </xf>
    <xf numFmtId="0" fontId="59" fillId="0" borderId="56" xfId="3" applyFont="1" applyBorder="1" applyAlignment="1">
      <alignment horizontal="left"/>
    </xf>
    <xf numFmtId="0" fontId="59" fillId="0" borderId="36" xfId="3" applyFont="1" applyBorder="1" applyAlignment="1">
      <alignment horizontal="left"/>
    </xf>
    <xf numFmtId="0" fontId="59" fillId="0" borderId="57" xfId="3" applyFont="1" applyBorder="1" applyAlignment="1">
      <alignment horizontal="left"/>
    </xf>
    <xf numFmtId="0" fontId="6" fillId="5" borderId="44" xfId="4" applyFont="1" applyFill="1" applyBorder="1" applyAlignment="1">
      <alignment horizontal="center"/>
    </xf>
    <xf numFmtId="0" fontId="6" fillId="5" borderId="34" xfId="4" applyFont="1" applyFill="1" applyBorder="1" applyAlignment="1">
      <alignment horizontal="center"/>
    </xf>
    <xf numFmtId="0" fontId="59" fillId="2" borderId="45" xfId="4" applyFont="1" applyFill="1" applyBorder="1" applyAlignment="1">
      <alignment horizontal="left"/>
    </xf>
    <xf numFmtId="0" fontId="59" fillId="2" borderId="0" xfId="4" applyFont="1" applyFill="1" applyAlignment="1">
      <alignment horizontal="left"/>
    </xf>
    <xf numFmtId="0" fontId="60" fillId="0" borderId="37" xfId="3" applyFont="1" applyBorder="1" applyAlignment="1">
      <alignment horizontal="left"/>
    </xf>
    <xf numFmtId="0" fontId="60" fillId="0" borderId="38" xfId="3" applyFont="1" applyBorder="1" applyAlignment="1">
      <alignment horizontal="left"/>
    </xf>
    <xf numFmtId="0" fontId="60" fillId="0" borderId="43" xfId="3" applyFont="1" applyBorder="1" applyAlignment="1">
      <alignment horizontal="left"/>
    </xf>
    <xf numFmtId="0" fontId="6" fillId="0" borderId="4" xfId="3" applyFont="1" applyBorder="1" applyAlignment="1">
      <alignment horizontal="right"/>
    </xf>
    <xf numFmtId="0" fontId="6" fillId="0" borderId="3" xfId="3" applyFont="1" applyBorder="1" applyAlignment="1">
      <alignment horizontal="right"/>
    </xf>
    <xf numFmtId="0" fontId="6" fillId="0" borderId="2" xfId="3" applyFont="1" applyBorder="1" applyAlignment="1">
      <alignment horizontal="right"/>
    </xf>
    <xf numFmtId="0" fontId="59" fillId="0" borderId="2" xfId="3" applyFont="1" applyBorder="1" applyAlignment="1">
      <alignment horizontal="right"/>
    </xf>
    <xf numFmtId="164" fontId="59" fillId="0" borderId="22" xfId="3" applyNumberFormat="1" applyFont="1" applyBorder="1" applyAlignment="1">
      <alignment horizontal="center"/>
    </xf>
    <xf numFmtId="164" fontId="59" fillId="0" borderId="57" xfId="3" applyNumberFormat="1" applyFont="1" applyBorder="1" applyAlignment="1">
      <alignment horizontal="center"/>
    </xf>
    <xf numFmtId="0" fontId="6" fillId="3" borderId="39" xfId="3" applyFont="1" applyFill="1" applyBorder="1" applyAlignment="1">
      <alignment horizontal="left"/>
    </xf>
    <xf numFmtId="0" fontId="6" fillId="3" borderId="40" xfId="3" applyFont="1" applyFill="1" applyBorder="1" applyAlignment="1">
      <alignment horizontal="left"/>
    </xf>
    <xf numFmtId="0" fontId="6" fillId="3" borderId="41" xfId="3" applyFont="1" applyFill="1" applyBorder="1" applyAlignment="1">
      <alignment horizontal="left"/>
    </xf>
    <xf numFmtId="0" fontId="9" fillId="0" borderId="37" xfId="3" applyFont="1" applyBorder="1" applyAlignment="1">
      <alignment horizontal="left" wrapText="1"/>
    </xf>
    <xf numFmtId="0" fontId="9" fillId="0" borderId="38" xfId="3" applyFont="1" applyBorder="1" applyAlignment="1">
      <alignment horizontal="left" wrapText="1"/>
    </xf>
    <xf numFmtId="0" fontId="9" fillId="0" borderId="43" xfId="3" applyFont="1" applyBorder="1" applyAlignment="1">
      <alignment horizontal="left" wrapText="1"/>
    </xf>
    <xf numFmtId="0" fontId="6" fillId="0" borderId="7" xfId="3" applyFont="1" applyBorder="1" applyAlignment="1">
      <alignment horizontal="right"/>
    </xf>
    <xf numFmtId="0" fontId="6" fillId="0" borderId="6" xfId="3" applyFont="1" applyBorder="1" applyAlignment="1">
      <alignment horizontal="right"/>
    </xf>
    <xf numFmtId="0" fontId="6" fillId="0" borderId="14" xfId="3" applyFont="1" applyBorder="1" applyAlignment="1">
      <alignment horizontal="right"/>
    </xf>
    <xf numFmtId="0" fontId="59" fillId="0" borderId="13" xfId="3" applyFont="1" applyBorder="1" applyAlignment="1">
      <alignment horizontal="right"/>
    </xf>
    <xf numFmtId="164" fontId="59" fillId="0" borderId="23" xfId="3" applyNumberFormat="1" applyFont="1" applyBorder="1" applyAlignment="1">
      <alignment horizontal="center"/>
    </xf>
    <xf numFmtId="164" fontId="59" fillId="0" borderId="5" xfId="3" applyNumberFormat="1" applyFont="1" applyBorder="1" applyAlignment="1">
      <alignment horizontal="center"/>
    </xf>
    <xf numFmtId="164" fontId="59" fillId="0" borderId="23" xfId="3" applyNumberFormat="1" applyFont="1" applyBorder="1" applyAlignment="1">
      <alignment horizontal="right" wrapText="1"/>
    </xf>
    <xf numFmtId="164" fontId="59" fillId="0" borderId="14" xfId="3" applyNumberFormat="1" applyFont="1" applyBorder="1" applyAlignment="1">
      <alignment horizontal="right" wrapText="1"/>
    </xf>
    <xf numFmtId="0" fontId="6" fillId="0" borderId="37" xfId="3" applyFont="1" applyBorder="1" applyAlignment="1">
      <alignment horizontal="right"/>
    </xf>
    <xf numFmtId="0" fontId="6" fillId="0" borderId="38" xfId="3" applyFont="1" applyBorder="1" applyAlignment="1">
      <alignment horizontal="right"/>
    </xf>
    <xf numFmtId="0" fontId="6" fillId="0" borderId="10" xfId="3" applyFont="1" applyBorder="1" applyAlignment="1">
      <alignment horizontal="right"/>
    </xf>
    <xf numFmtId="164" fontId="59" fillId="0" borderId="9" xfId="3" applyNumberFormat="1" applyFont="1" applyBorder="1" applyAlignment="1">
      <alignment horizontal="right"/>
    </xf>
    <xf numFmtId="0" fontId="59" fillId="2" borderId="42" xfId="3" applyFont="1" applyFill="1" applyBorder="1" applyAlignment="1">
      <alignment horizontal="center"/>
    </xf>
    <xf numFmtId="0" fontId="59" fillId="2" borderId="43" xfId="3" applyFont="1" applyFill="1" applyBorder="1" applyAlignment="1">
      <alignment horizontal="center"/>
    </xf>
    <xf numFmtId="0" fontId="9" fillId="2" borderId="0" xfId="4" applyFont="1" applyFill="1" applyAlignment="1">
      <alignment horizontal="right"/>
    </xf>
    <xf numFmtId="0" fontId="62" fillId="2" borderId="28" xfId="4" applyFont="1" applyFill="1" applyBorder="1" applyAlignment="1">
      <alignment horizontal="center"/>
    </xf>
    <xf numFmtId="0" fontId="9" fillId="2" borderId="0" xfId="4" applyFont="1" applyFill="1"/>
    <xf numFmtId="0" fontId="6" fillId="3" borderId="19" xfId="3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 wrapText="1"/>
    </xf>
    <xf numFmtId="0" fontId="6" fillId="3" borderId="4" xfId="3" applyFont="1" applyFill="1" applyBorder="1" applyAlignment="1">
      <alignment horizontal="center" vertical="center" wrapText="1"/>
    </xf>
    <xf numFmtId="0" fontId="6" fillId="3" borderId="17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14" fontId="59" fillId="2" borderId="30" xfId="4" applyNumberFormat="1" applyFont="1" applyFill="1" applyBorder="1" applyAlignment="1">
      <alignment horizontal="center" vertical="center" wrapText="1"/>
    </xf>
    <xf numFmtId="14" fontId="59" fillId="2" borderId="32" xfId="4" applyNumberFormat="1" applyFont="1" applyFill="1" applyBorder="1" applyAlignment="1">
      <alignment horizontal="center" vertical="center" wrapText="1"/>
    </xf>
    <xf numFmtId="14" fontId="59" fillId="2" borderId="8" xfId="4" applyNumberFormat="1" applyFont="1" applyFill="1" applyBorder="1" applyAlignment="1">
      <alignment horizontal="center" vertical="center" wrapText="1"/>
    </xf>
    <xf numFmtId="0" fontId="59" fillId="2" borderId="26" xfId="4" applyFont="1" applyFill="1" applyBorder="1" applyAlignment="1">
      <alignment horizontal="left"/>
    </xf>
    <xf numFmtId="0" fontId="59" fillId="2" borderId="25" xfId="4" applyFont="1" applyFill="1" applyBorder="1" applyAlignment="1">
      <alignment horizontal="left"/>
    </xf>
    <xf numFmtId="0" fontId="59" fillId="2" borderId="18" xfId="4" applyFont="1" applyFill="1" applyBorder="1" applyAlignment="1">
      <alignment horizontal="left"/>
    </xf>
    <xf numFmtId="0" fontId="59" fillId="2" borderId="23" xfId="4" applyFont="1" applyFill="1" applyBorder="1" applyAlignment="1">
      <alignment horizontal="left"/>
    </xf>
    <xf numFmtId="0" fontId="59" fillId="2" borderId="6" xfId="4" applyFont="1" applyFill="1" applyBorder="1" applyAlignment="1">
      <alignment horizontal="left"/>
    </xf>
    <xf numFmtId="0" fontId="59" fillId="2" borderId="14" xfId="4" applyFont="1" applyFill="1" applyBorder="1" applyAlignment="1">
      <alignment horizontal="left"/>
    </xf>
    <xf numFmtId="0" fontId="59" fillId="2" borderId="35" xfId="4" applyFont="1" applyFill="1" applyBorder="1" applyAlignment="1">
      <alignment horizontal="center"/>
    </xf>
    <xf numFmtId="0" fontId="59" fillId="2" borderId="34" xfId="4" applyFont="1" applyFill="1" applyBorder="1" applyAlignment="1">
      <alignment horizontal="center"/>
    </xf>
    <xf numFmtId="0" fontId="59" fillId="2" borderId="21" xfId="4" applyFont="1" applyFill="1" applyBorder="1" applyAlignment="1">
      <alignment horizontal="center"/>
    </xf>
    <xf numFmtId="0" fontId="59" fillId="2" borderId="0" xfId="4" applyFont="1" applyFill="1" applyAlignment="1">
      <alignment horizontal="center"/>
    </xf>
    <xf numFmtId="0" fontId="59" fillId="2" borderId="37" xfId="4" applyFont="1" applyFill="1" applyBorder="1" applyAlignment="1">
      <alignment horizontal="center"/>
    </xf>
    <xf numFmtId="0" fontId="59" fillId="2" borderId="38" xfId="4" applyFont="1" applyFill="1" applyBorder="1" applyAlignment="1">
      <alignment horizontal="center"/>
    </xf>
    <xf numFmtId="0" fontId="6" fillId="2" borderId="17" xfId="4" applyFont="1" applyFill="1" applyBorder="1" applyAlignment="1">
      <alignment horizontal="center"/>
    </xf>
    <xf numFmtId="0" fontId="6" fillId="2" borderId="46" xfId="4" applyFont="1" applyFill="1" applyBorder="1" applyAlignment="1">
      <alignment horizontal="center"/>
    </xf>
    <xf numFmtId="0" fontId="61" fillId="4" borderId="13" xfId="4" applyFont="1" applyFill="1" applyBorder="1" applyAlignment="1">
      <alignment horizontal="center" vertical="center" wrapText="1"/>
    </xf>
    <xf numFmtId="0" fontId="6" fillId="2" borderId="29" xfId="4" applyFont="1" applyFill="1" applyBorder="1" applyAlignment="1">
      <alignment horizontal="right" vertical="top" wrapText="1"/>
    </xf>
    <xf numFmtId="0" fontId="6" fillId="2" borderId="33" xfId="4" applyFont="1" applyFill="1" applyBorder="1" applyAlignment="1">
      <alignment horizontal="right" vertical="top" wrapText="1"/>
    </xf>
    <xf numFmtId="0" fontId="6" fillId="2" borderId="31" xfId="4" applyFont="1" applyFill="1" applyBorder="1" applyAlignment="1">
      <alignment horizontal="right" vertical="top" wrapText="1"/>
    </xf>
    <xf numFmtId="0" fontId="3" fillId="7" borderId="27" xfId="0" applyFont="1" applyFill="1" applyBorder="1" applyAlignment="1">
      <alignment horizontal="left"/>
    </xf>
    <xf numFmtId="0" fontId="3" fillId="7" borderId="25" xfId="0" applyFont="1" applyFill="1" applyBorder="1" applyAlignment="1">
      <alignment horizontal="left"/>
    </xf>
    <xf numFmtId="0" fontId="20" fillId="6" borderId="23" xfId="0" applyFont="1" applyFill="1" applyBorder="1" applyAlignment="1">
      <alignment horizontal="left" vertical="center"/>
    </xf>
    <xf numFmtId="0" fontId="20" fillId="6" borderId="6" xfId="0" applyFont="1" applyFill="1" applyBorder="1" applyAlignment="1">
      <alignment horizontal="left" vertical="center"/>
    </xf>
    <xf numFmtId="0" fontId="1" fillId="2" borderId="45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19" fillId="0" borderId="7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1" fillId="0" borderId="13" xfId="3" applyFont="1" applyBorder="1" applyAlignment="1">
      <alignment horizontal="right"/>
    </xf>
    <xf numFmtId="164" fontId="1" fillId="0" borderId="23" xfId="3" applyNumberFormat="1" applyFont="1" applyBorder="1" applyAlignment="1">
      <alignment horizontal="center"/>
    </xf>
    <xf numFmtId="164" fontId="1" fillId="0" borderId="5" xfId="3" applyNumberFormat="1" applyFont="1" applyBorder="1" applyAlignment="1">
      <alignment horizontal="center"/>
    </xf>
    <xf numFmtId="164" fontId="1" fillId="0" borderId="23" xfId="3" applyNumberFormat="1" applyFont="1" applyBorder="1" applyAlignment="1">
      <alignment horizontal="right" wrapText="1"/>
    </xf>
    <xf numFmtId="164" fontId="1" fillId="0" borderId="14" xfId="3" applyNumberFormat="1" applyFont="1" applyBorder="1" applyAlignment="1">
      <alignment horizontal="right" wrapText="1"/>
    </xf>
    <xf numFmtId="164" fontId="1" fillId="0" borderId="23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1" fillId="0" borderId="2" xfId="3" applyFont="1" applyBorder="1" applyAlignment="1">
      <alignment horizontal="right"/>
    </xf>
    <xf numFmtId="0" fontId="3" fillId="3" borderId="39" xfId="3" applyFont="1" applyFill="1" applyBorder="1" applyAlignment="1">
      <alignment horizontal="left"/>
    </xf>
    <xf numFmtId="0" fontId="3" fillId="3" borderId="40" xfId="3" applyFont="1" applyFill="1" applyBorder="1" applyAlignment="1">
      <alignment horizontal="left"/>
    </xf>
    <xf numFmtId="0" fontId="3" fillId="3" borderId="41" xfId="3" applyFont="1" applyFill="1" applyBorder="1" applyAlignment="1">
      <alignment horizontal="left"/>
    </xf>
    <xf numFmtId="0" fontId="19" fillId="0" borderId="27" xfId="0" applyFont="1" applyBorder="1" applyAlignment="1">
      <alignment horizontal="left"/>
    </xf>
    <xf numFmtId="0" fontId="19" fillId="0" borderId="25" xfId="0" applyFont="1" applyBorder="1" applyAlignment="1">
      <alignment horizontal="left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1" fillId="0" borderId="9" xfId="3" applyNumberFormat="1" applyFont="1" applyBorder="1" applyAlignment="1">
      <alignment horizontal="right"/>
    </xf>
    <xf numFmtId="0" fontId="1" fillId="2" borderId="42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0" fillId="2" borderId="28" xfId="4" applyFont="1" applyFill="1" applyBorder="1" applyAlignment="1">
      <alignment horizontal="center"/>
    </xf>
    <xf numFmtId="0" fontId="3" fillId="3" borderId="19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19" xfId="3" applyFont="1" applyFill="1" applyBorder="1" applyAlignment="1">
      <alignment horizontal="center" vertical="center" wrapText="1"/>
    </xf>
    <xf numFmtId="0" fontId="3" fillId="3" borderId="4" xfId="3" applyFont="1" applyFill="1" applyBorder="1" applyAlignment="1">
      <alignment horizontal="center" vertical="center" wrapText="1"/>
    </xf>
    <xf numFmtId="0" fontId="3" fillId="3" borderId="17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14" fontId="1" fillId="6" borderId="46" xfId="0" applyNumberFormat="1" applyFont="1" applyFill="1" applyBorder="1" applyAlignment="1">
      <alignment horizontal="center" vertical="center" wrapText="1"/>
    </xf>
    <xf numFmtId="14" fontId="1" fillId="6" borderId="47" xfId="0" applyNumberFormat="1" applyFont="1" applyFill="1" applyBorder="1" applyAlignment="1">
      <alignment horizontal="center" vertical="center" wrapText="1"/>
    </xf>
    <xf numFmtId="14" fontId="1" fillId="6" borderId="9" xfId="0" applyNumberFormat="1" applyFont="1" applyFill="1" applyBorder="1" applyAlignment="1">
      <alignment horizontal="center" vertical="center" wrapText="1"/>
    </xf>
    <xf numFmtId="0" fontId="1" fillId="2" borderId="26" xfId="4" applyFont="1" applyFill="1" applyBorder="1" applyAlignment="1">
      <alignment horizontal="left"/>
    </xf>
    <xf numFmtId="0" fontId="1" fillId="2" borderId="25" xfId="4" applyFont="1" applyFill="1" applyBorder="1" applyAlignment="1">
      <alignment horizontal="left"/>
    </xf>
    <xf numFmtId="0" fontId="1" fillId="2" borderId="18" xfId="4" applyFont="1" applyFill="1" applyBorder="1" applyAlignment="1">
      <alignment horizontal="left"/>
    </xf>
    <xf numFmtId="0" fontId="1" fillId="2" borderId="23" xfId="4" applyFont="1" applyFill="1" applyBorder="1" applyAlignment="1">
      <alignment horizontal="left"/>
    </xf>
    <xf numFmtId="0" fontId="1" fillId="2" borderId="6" xfId="4" applyFont="1" applyFill="1" applyBorder="1" applyAlignment="1">
      <alignment horizontal="left"/>
    </xf>
    <xf numFmtId="0" fontId="1" fillId="2" borderId="14" xfId="4" applyFont="1" applyFill="1" applyBorder="1" applyAlignment="1">
      <alignment horizontal="left"/>
    </xf>
    <xf numFmtId="0" fontId="1" fillId="2" borderId="35" xfId="4" applyFont="1" applyFill="1" applyBorder="1" applyAlignment="1">
      <alignment horizontal="center"/>
    </xf>
    <xf numFmtId="0" fontId="1" fillId="2" borderId="34" xfId="4" applyFont="1" applyFill="1" applyBorder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37" xfId="4" applyFont="1" applyFill="1" applyBorder="1" applyAlignment="1">
      <alignment horizontal="center"/>
    </xf>
    <xf numFmtId="0" fontId="1" fillId="2" borderId="38" xfId="4" applyFont="1" applyFill="1" applyBorder="1" applyAlignment="1">
      <alignment horizontal="center"/>
    </xf>
    <xf numFmtId="0" fontId="8" fillId="2" borderId="17" xfId="4" applyFont="1" applyFill="1" applyBorder="1" applyAlignment="1">
      <alignment horizontal="center"/>
    </xf>
    <xf numFmtId="0" fontId="8" fillId="2" borderId="22" xfId="4" applyFont="1" applyFill="1" applyBorder="1" applyAlignment="1">
      <alignment horizontal="center"/>
    </xf>
    <xf numFmtId="0" fontId="8" fillId="2" borderId="36" xfId="4" applyFont="1" applyFill="1" applyBorder="1" applyAlignment="1">
      <alignment horizontal="center"/>
    </xf>
    <xf numFmtId="0" fontId="8" fillId="2" borderId="3" xfId="4" applyFont="1" applyFill="1" applyBorder="1" applyAlignment="1">
      <alignment horizontal="center"/>
    </xf>
    <xf numFmtId="0" fontId="6" fillId="4" borderId="27" xfId="4" applyFont="1" applyFill="1" applyBorder="1" applyAlignment="1">
      <alignment horizontal="center" vertical="center" wrapText="1"/>
    </xf>
    <xf numFmtId="0" fontId="6" fillId="4" borderId="25" xfId="4" applyFont="1" applyFill="1" applyBorder="1" applyAlignment="1">
      <alignment horizontal="center" vertical="center" wrapText="1"/>
    </xf>
    <xf numFmtId="0" fontId="6" fillId="4" borderId="24" xfId="4" applyFont="1" applyFill="1" applyBorder="1" applyAlignment="1">
      <alignment horizontal="center" vertical="center" wrapText="1"/>
    </xf>
    <xf numFmtId="0" fontId="3" fillId="2" borderId="29" xfId="4" applyFont="1" applyFill="1" applyBorder="1" applyAlignment="1">
      <alignment horizontal="right" vertical="top" wrapText="1"/>
    </xf>
    <xf numFmtId="0" fontId="3" fillId="2" borderId="33" xfId="4" applyFont="1" applyFill="1" applyBorder="1" applyAlignment="1">
      <alignment horizontal="right" vertical="top" wrapText="1"/>
    </xf>
    <xf numFmtId="0" fontId="3" fillId="2" borderId="31" xfId="4" applyFont="1" applyFill="1" applyBorder="1" applyAlignment="1">
      <alignment horizontal="right" vertical="top" wrapText="1"/>
    </xf>
    <xf numFmtId="0" fontId="15" fillId="0" borderId="0" xfId="0" applyFont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right" vertical="center" wrapText="1"/>
    </xf>
    <xf numFmtId="0" fontId="40" fillId="0" borderId="13" xfId="0" applyFont="1" applyBorder="1" applyAlignment="1">
      <alignment horizontal="right" vertical="center"/>
    </xf>
    <xf numFmtId="0" fontId="41" fillId="0" borderId="21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20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32" fillId="0" borderId="35" xfId="0" applyFont="1" applyBorder="1" applyAlignment="1">
      <alignment horizontal="right"/>
    </xf>
    <xf numFmtId="0" fontId="32" fillId="0" borderId="34" xfId="0" applyFont="1" applyBorder="1" applyAlignment="1">
      <alignment horizontal="right"/>
    </xf>
    <xf numFmtId="0" fontId="23" fillId="0" borderId="13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48" fillId="0" borderId="39" xfId="0" applyFont="1" applyBorder="1" applyAlignment="1">
      <alignment horizontal="right" vertical="center"/>
    </xf>
    <xf numFmtId="0" fontId="48" fillId="0" borderId="40" xfId="0" applyFont="1" applyBorder="1" applyAlignment="1">
      <alignment horizontal="right" vertical="center"/>
    </xf>
    <xf numFmtId="0" fontId="48" fillId="0" borderId="41" xfId="0" applyFont="1" applyBorder="1" applyAlignment="1">
      <alignment horizontal="right" vertical="center"/>
    </xf>
    <xf numFmtId="0" fontId="49" fillId="0" borderId="0" xfId="0" applyFont="1" applyAlignment="1">
      <alignment horizontal="right"/>
    </xf>
    <xf numFmtId="0" fontId="39" fillId="0" borderId="28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11" borderId="39" xfId="0" applyFont="1" applyFill="1" applyBorder="1" applyAlignment="1">
      <alignment horizontal="right"/>
    </xf>
    <xf numFmtId="0" fontId="37" fillId="11" borderId="40" xfId="0" applyFont="1" applyFill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15" fillId="0" borderId="28" xfId="0" applyFont="1" applyBorder="1" applyAlignment="1">
      <alignment horizontal="right" vertical="center"/>
    </xf>
    <xf numFmtId="0" fontId="15" fillId="0" borderId="55" xfId="0" applyFont="1" applyBorder="1" applyAlignment="1">
      <alignment horizontal="right" vertical="center"/>
    </xf>
    <xf numFmtId="0" fontId="15" fillId="13" borderId="39" xfId="0" applyFont="1" applyFill="1" applyBorder="1" applyAlignment="1">
      <alignment horizontal="right" vertical="center"/>
    </xf>
    <xf numFmtId="0" fontId="15" fillId="13" borderId="40" xfId="0" applyFont="1" applyFill="1" applyBorder="1" applyAlignment="1">
      <alignment horizontal="right" vertical="center"/>
    </xf>
    <xf numFmtId="0" fontId="15" fillId="13" borderId="41" xfId="0" applyFont="1" applyFill="1" applyBorder="1" applyAlignment="1">
      <alignment horizontal="right" vertical="center"/>
    </xf>
    <xf numFmtId="4" fontId="46" fillId="0" borderId="0" xfId="8" applyNumberFormat="1" applyFont="1" applyFill="1" applyAlignment="1">
      <alignment horizontal="center" vertical="center" wrapText="1"/>
    </xf>
    <xf numFmtId="14" fontId="1" fillId="6" borderId="30" xfId="0" applyNumberFormat="1" applyFont="1" applyFill="1" applyBorder="1" applyAlignment="1">
      <alignment horizontal="center" vertical="center" wrapText="1"/>
    </xf>
    <xf numFmtId="14" fontId="1" fillId="6" borderId="32" xfId="0" applyNumberFormat="1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3" fillId="5" borderId="44" xfId="4" applyFont="1" applyFill="1" applyBorder="1" applyAlignment="1">
      <alignment horizontal="center"/>
    </xf>
    <xf numFmtId="0" fontId="3" fillId="5" borderId="34" xfId="4" applyFont="1" applyFill="1" applyBorder="1" applyAlignment="1">
      <alignment horizontal="center"/>
    </xf>
    <xf numFmtId="0" fontId="53" fillId="0" borderId="7" xfId="0" applyFont="1" applyBorder="1" applyAlignment="1">
      <alignment horizontal="left"/>
    </xf>
    <xf numFmtId="0" fontId="53" fillId="0" borderId="6" xfId="0" applyFont="1" applyBorder="1" applyAlignment="1">
      <alignment horizontal="left"/>
    </xf>
    <xf numFmtId="0" fontId="53" fillId="0" borderId="5" xfId="0" applyFont="1" applyBorder="1" applyAlignment="1">
      <alignment horizontal="left"/>
    </xf>
    <xf numFmtId="0" fontId="8" fillId="5" borderId="44" xfId="4" applyFont="1" applyFill="1" applyBorder="1" applyAlignment="1">
      <alignment horizontal="center"/>
    </xf>
    <xf numFmtId="0" fontId="8" fillId="5" borderId="34" xfId="4" applyFont="1" applyFill="1" applyBorder="1" applyAlignment="1">
      <alignment horizontal="center"/>
    </xf>
    <xf numFmtId="0" fontId="19" fillId="2" borderId="23" xfId="4" applyFont="1" applyFill="1" applyBorder="1" applyAlignment="1">
      <alignment horizontal="left"/>
    </xf>
    <xf numFmtId="0" fontId="19" fillId="2" borderId="6" xfId="4" applyFont="1" applyFill="1" applyBorder="1" applyAlignment="1">
      <alignment horizontal="left"/>
    </xf>
    <xf numFmtId="0" fontId="19" fillId="2" borderId="14" xfId="4" applyFont="1" applyFill="1" applyBorder="1" applyAlignment="1">
      <alignment horizontal="left"/>
    </xf>
    <xf numFmtId="0" fontId="19" fillId="2" borderId="45" xfId="4" applyFont="1" applyFill="1" applyBorder="1" applyAlignment="1">
      <alignment horizontal="left"/>
    </xf>
    <xf numFmtId="0" fontId="19" fillId="2" borderId="0" xfId="4" applyFont="1" applyFill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3" fillId="0" borderId="43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7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19" fillId="0" borderId="14" xfId="0" applyFont="1" applyBorder="1" applyAlignment="1">
      <alignment horizontal="left" wrapText="1"/>
    </xf>
    <xf numFmtId="0" fontId="19" fillId="0" borderId="56" xfId="0" applyFont="1" applyBorder="1" applyAlignment="1">
      <alignment horizontal="left"/>
    </xf>
    <xf numFmtId="0" fontId="19" fillId="0" borderId="36" xfId="0" applyFont="1" applyBorder="1" applyAlignment="1">
      <alignment horizontal="left"/>
    </xf>
    <xf numFmtId="0" fontId="19" fillId="0" borderId="57" xfId="0" applyFont="1" applyBorder="1" applyAlignment="1">
      <alignment horizontal="left"/>
    </xf>
    <xf numFmtId="0" fontId="8" fillId="0" borderId="7" xfId="3" applyFont="1" applyBorder="1" applyAlignment="1">
      <alignment horizontal="right"/>
    </xf>
    <xf numFmtId="0" fontId="8" fillId="0" borderId="6" xfId="3" applyFont="1" applyBorder="1" applyAlignment="1">
      <alignment horizontal="right"/>
    </xf>
    <xf numFmtId="0" fontId="8" fillId="0" borderId="14" xfId="3" applyFont="1" applyBorder="1" applyAlignment="1">
      <alignment horizontal="right"/>
    </xf>
    <xf numFmtId="0" fontId="19" fillId="0" borderId="13" xfId="3" applyFont="1" applyBorder="1" applyAlignment="1">
      <alignment horizontal="right"/>
    </xf>
    <xf numFmtId="164" fontId="19" fillId="0" borderId="23" xfId="3" applyNumberFormat="1" applyFont="1" applyBorder="1" applyAlignment="1">
      <alignment horizontal="center"/>
    </xf>
    <xf numFmtId="164" fontId="19" fillId="0" borderId="5" xfId="3" applyNumberFormat="1" applyFont="1" applyBorder="1" applyAlignment="1">
      <alignment horizontal="center"/>
    </xf>
    <xf numFmtId="164" fontId="19" fillId="0" borderId="23" xfId="3" applyNumberFormat="1" applyFont="1" applyBorder="1" applyAlignment="1">
      <alignment horizontal="right" wrapText="1"/>
    </xf>
    <xf numFmtId="164" fontId="19" fillId="0" borderId="14" xfId="3" applyNumberFormat="1" applyFont="1" applyBorder="1" applyAlignment="1">
      <alignment horizontal="right" wrapText="1"/>
    </xf>
    <xf numFmtId="164" fontId="19" fillId="0" borderId="23" xfId="0" applyNumberFormat="1" applyFont="1" applyBorder="1" applyAlignment="1">
      <alignment horizontal="center" wrapText="1"/>
    </xf>
    <xf numFmtId="164" fontId="19" fillId="0" borderId="5" xfId="0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right"/>
    </xf>
    <xf numFmtId="0" fontId="8" fillId="0" borderId="3" xfId="3" applyFont="1" applyBorder="1" applyAlignment="1">
      <alignment horizontal="right"/>
    </xf>
    <xf numFmtId="0" fontId="8" fillId="0" borderId="2" xfId="3" applyFont="1" applyBorder="1" applyAlignment="1">
      <alignment horizontal="right"/>
    </xf>
    <xf numFmtId="0" fontId="19" fillId="0" borderId="2" xfId="3" applyFont="1" applyBorder="1" applyAlignment="1">
      <alignment horizontal="right"/>
    </xf>
    <xf numFmtId="0" fontId="8" fillId="3" borderId="39" xfId="3" applyFont="1" applyFill="1" applyBorder="1" applyAlignment="1">
      <alignment horizontal="left"/>
    </xf>
    <xf numFmtId="0" fontId="8" fillId="3" borderId="40" xfId="3" applyFont="1" applyFill="1" applyBorder="1" applyAlignment="1">
      <alignment horizontal="left"/>
    </xf>
    <xf numFmtId="0" fontId="8" fillId="3" borderId="41" xfId="3" applyFont="1" applyFill="1" applyBorder="1" applyAlignment="1">
      <alignment horizontal="left"/>
    </xf>
    <xf numFmtId="0" fontId="8" fillId="0" borderId="37" xfId="3" applyFont="1" applyBorder="1" applyAlignment="1">
      <alignment horizontal="right"/>
    </xf>
    <xf numFmtId="0" fontId="8" fillId="0" borderId="38" xfId="3" applyFont="1" applyBorder="1" applyAlignment="1">
      <alignment horizontal="right"/>
    </xf>
    <xf numFmtId="0" fontId="8" fillId="0" borderId="10" xfId="3" applyFont="1" applyBorder="1" applyAlignment="1">
      <alignment horizontal="right"/>
    </xf>
    <xf numFmtId="164" fontId="19" fillId="0" borderId="9" xfId="3" applyNumberFormat="1" applyFont="1" applyBorder="1" applyAlignment="1">
      <alignment horizontal="right"/>
    </xf>
    <xf numFmtId="0" fontId="19" fillId="2" borderId="42" xfId="3" applyFont="1" applyFill="1" applyBorder="1" applyAlignment="1">
      <alignment horizontal="center"/>
    </xf>
    <xf numFmtId="0" fontId="19" fillId="2" borderId="43" xfId="3" applyFont="1" applyFill="1" applyBorder="1" applyAlignment="1">
      <alignment horizontal="center"/>
    </xf>
    <xf numFmtId="0" fontId="51" fillId="2" borderId="0" xfId="4" applyFont="1" applyFill="1" applyAlignment="1">
      <alignment horizontal="right"/>
    </xf>
    <xf numFmtId="0" fontId="52" fillId="2" borderId="28" xfId="4" applyFont="1" applyFill="1" applyBorder="1" applyAlignment="1">
      <alignment horizontal="center"/>
    </xf>
    <xf numFmtId="0" fontId="51" fillId="2" borderId="0" xfId="4" applyFont="1" applyFill="1"/>
    <xf numFmtId="0" fontId="8" fillId="3" borderId="19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0" fontId="8" fillId="3" borderId="19" xfId="3" applyFont="1" applyFill="1" applyBorder="1" applyAlignment="1">
      <alignment horizontal="center" vertical="center" wrapText="1"/>
    </xf>
    <xf numFmtId="0" fontId="8" fillId="3" borderId="4" xfId="3" applyFont="1" applyFill="1" applyBorder="1" applyAlignment="1">
      <alignment horizontal="center" vertical="center" wrapText="1"/>
    </xf>
    <xf numFmtId="0" fontId="8" fillId="3" borderId="17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14" fontId="19" fillId="2" borderId="30" xfId="4" applyNumberFormat="1" applyFont="1" applyFill="1" applyBorder="1" applyAlignment="1">
      <alignment horizontal="center" vertical="center" wrapText="1"/>
    </xf>
    <xf numFmtId="14" fontId="19" fillId="2" borderId="32" xfId="4" applyNumberFormat="1" applyFont="1" applyFill="1" applyBorder="1" applyAlignment="1">
      <alignment horizontal="center" vertical="center" wrapText="1"/>
    </xf>
    <xf numFmtId="14" fontId="19" fillId="2" borderId="8" xfId="4" applyNumberFormat="1" applyFont="1" applyFill="1" applyBorder="1" applyAlignment="1">
      <alignment horizontal="center" vertical="center" wrapText="1"/>
    </xf>
    <xf numFmtId="0" fontId="19" fillId="2" borderId="26" xfId="4" applyFont="1" applyFill="1" applyBorder="1" applyAlignment="1">
      <alignment horizontal="left"/>
    </xf>
    <xf numFmtId="0" fontId="19" fillId="2" borderId="25" xfId="4" applyFont="1" applyFill="1" applyBorder="1" applyAlignment="1">
      <alignment horizontal="left"/>
    </xf>
    <xf numFmtId="0" fontId="19" fillId="2" borderId="18" xfId="4" applyFont="1" applyFill="1" applyBorder="1" applyAlignment="1">
      <alignment horizontal="left"/>
    </xf>
    <xf numFmtId="0" fontId="19" fillId="2" borderId="35" xfId="4" applyFont="1" applyFill="1" applyBorder="1" applyAlignment="1">
      <alignment horizontal="center"/>
    </xf>
    <xf numFmtId="0" fontId="19" fillId="2" borderId="34" xfId="4" applyFont="1" applyFill="1" applyBorder="1" applyAlignment="1">
      <alignment horizontal="center"/>
    </xf>
    <xf numFmtId="0" fontId="19" fillId="2" borderId="21" xfId="4" applyFont="1" applyFill="1" applyBorder="1" applyAlignment="1">
      <alignment horizontal="center"/>
    </xf>
    <xf numFmtId="0" fontId="19" fillId="2" borderId="0" xfId="4" applyFont="1" applyFill="1" applyAlignment="1">
      <alignment horizontal="center"/>
    </xf>
    <xf numFmtId="0" fontId="19" fillId="2" borderId="37" xfId="4" applyFont="1" applyFill="1" applyBorder="1" applyAlignment="1">
      <alignment horizontal="center"/>
    </xf>
    <xf numFmtId="0" fontId="19" fillId="2" borderId="38" xfId="4" applyFont="1" applyFill="1" applyBorder="1" applyAlignment="1">
      <alignment horizontal="center"/>
    </xf>
    <xf numFmtId="0" fontId="8" fillId="4" borderId="39" xfId="4" applyFont="1" applyFill="1" applyBorder="1" applyAlignment="1">
      <alignment horizontal="center" vertical="center" wrapText="1"/>
    </xf>
    <xf numFmtId="0" fontId="8" fillId="4" borderId="40" xfId="4" applyFont="1" applyFill="1" applyBorder="1" applyAlignment="1">
      <alignment horizontal="center" vertical="center" wrapText="1"/>
    </xf>
    <xf numFmtId="0" fontId="8" fillId="4" borderId="41" xfId="4" applyFont="1" applyFill="1" applyBorder="1" applyAlignment="1">
      <alignment horizontal="center" vertical="center" wrapText="1"/>
    </xf>
    <xf numFmtId="0" fontId="8" fillId="2" borderId="29" xfId="4" applyFont="1" applyFill="1" applyBorder="1" applyAlignment="1">
      <alignment horizontal="right" vertical="top" wrapText="1"/>
    </xf>
    <xf numFmtId="0" fontId="8" fillId="2" borderId="33" xfId="4" applyFont="1" applyFill="1" applyBorder="1" applyAlignment="1">
      <alignment horizontal="right" vertical="top" wrapText="1"/>
    </xf>
    <xf numFmtId="0" fontId="8" fillId="2" borderId="31" xfId="4" applyFont="1" applyFill="1" applyBorder="1" applyAlignment="1">
      <alignment horizontal="right" vertical="top" wrapText="1"/>
    </xf>
    <xf numFmtId="14" fontId="1" fillId="2" borderId="30" xfId="4" applyNumberFormat="1" applyFont="1" applyFill="1" applyBorder="1" applyAlignment="1">
      <alignment horizontal="center" vertical="center" wrapText="1"/>
    </xf>
    <xf numFmtId="14" fontId="1" fillId="2" borderId="32" xfId="4" applyNumberFormat="1" applyFont="1" applyFill="1" applyBorder="1" applyAlignment="1">
      <alignment horizontal="center" vertical="center" wrapText="1"/>
    </xf>
    <xf numFmtId="14" fontId="1" fillId="2" borderId="8" xfId="4" applyNumberFormat="1" applyFont="1" applyFill="1" applyBorder="1" applyAlignment="1">
      <alignment horizontal="center" vertical="center" wrapText="1"/>
    </xf>
    <xf numFmtId="0" fontId="73" fillId="4" borderId="27" xfId="4" applyFont="1" applyFill="1" applyBorder="1" applyAlignment="1">
      <alignment horizontal="center" vertical="center" wrapText="1"/>
    </xf>
    <xf numFmtId="0" fontId="73" fillId="4" borderId="25" xfId="4" applyFont="1" applyFill="1" applyBorder="1" applyAlignment="1">
      <alignment horizontal="center" vertical="center" wrapText="1"/>
    </xf>
    <xf numFmtId="0" fontId="73" fillId="4" borderId="24" xfId="4" applyFont="1" applyFill="1" applyBorder="1" applyAlignment="1">
      <alignment horizontal="center" vertical="center" wrapText="1"/>
    </xf>
    <xf numFmtId="0" fontId="3" fillId="3" borderId="59" xfId="3" applyFont="1" applyFill="1" applyBorder="1" applyAlignment="1">
      <alignment horizontal="center" vertical="center" wrapText="1"/>
    </xf>
    <xf numFmtId="0" fontId="3" fillId="3" borderId="46" xfId="3" applyFont="1" applyFill="1" applyBorder="1" applyAlignment="1">
      <alignment horizontal="center" vertical="center"/>
    </xf>
    <xf numFmtId="0" fontId="69" fillId="0" borderId="37" xfId="3" applyFont="1" applyBorder="1" applyAlignment="1">
      <alignment horizontal="right"/>
    </xf>
    <xf numFmtId="0" fontId="69" fillId="0" borderId="38" xfId="3" applyFont="1" applyBorder="1" applyAlignment="1">
      <alignment horizontal="right"/>
    </xf>
    <xf numFmtId="0" fontId="69" fillId="0" borderId="10" xfId="3" applyFont="1" applyBorder="1" applyAlignment="1">
      <alignment horizontal="right"/>
    </xf>
    <xf numFmtId="164" fontId="71" fillId="0" borderId="9" xfId="3" applyNumberFormat="1" applyFont="1" applyBorder="1" applyAlignment="1">
      <alignment horizontal="right"/>
    </xf>
    <xf numFmtId="0" fontId="71" fillId="2" borderId="42" xfId="3" applyFont="1" applyFill="1" applyBorder="1" applyAlignment="1">
      <alignment horizontal="center"/>
    </xf>
    <xf numFmtId="0" fontId="71" fillId="2" borderId="43" xfId="3" applyFont="1" applyFill="1" applyBorder="1" applyAlignment="1">
      <alignment horizontal="center"/>
    </xf>
    <xf numFmtId="0" fontId="69" fillId="0" borderId="7" xfId="3" applyFont="1" applyBorder="1" applyAlignment="1">
      <alignment horizontal="right"/>
    </xf>
    <xf numFmtId="0" fontId="69" fillId="0" borderId="6" xfId="3" applyFont="1" applyBorder="1" applyAlignment="1">
      <alignment horizontal="right"/>
    </xf>
    <xf numFmtId="0" fontId="69" fillId="0" borderId="14" xfId="3" applyFont="1" applyBorder="1" applyAlignment="1">
      <alignment horizontal="right"/>
    </xf>
    <xf numFmtId="0" fontId="71" fillId="0" borderId="13" xfId="3" applyFont="1" applyBorder="1" applyAlignment="1">
      <alignment horizontal="right"/>
    </xf>
    <xf numFmtId="164" fontId="71" fillId="0" borderId="23" xfId="3" applyNumberFormat="1" applyFont="1" applyBorder="1" applyAlignment="1">
      <alignment horizontal="center"/>
    </xf>
    <xf numFmtId="164" fontId="71" fillId="0" borderId="5" xfId="3" applyNumberFormat="1" applyFont="1" applyBorder="1" applyAlignment="1">
      <alignment horizontal="center"/>
    </xf>
    <xf numFmtId="0" fontId="71" fillId="0" borderId="15" xfId="0" applyFont="1" applyBorder="1" applyAlignment="1">
      <alignment horizontal="left" wrapText="1"/>
    </xf>
    <xf numFmtId="0" fontId="71" fillId="0" borderId="14" xfId="0" applyFont="1" applyBorder="1" applyAlignment="1">
      <alignment horizontal="left" wrapText="1"/>
    </xf>
    <xf numFmtId="0" fontId="71" fillId="0" borderId="13" xfId="0" applyFont="1" applyBorder="1" applyAlignment="1">
      <alignment horizontal="left" wrapText="1"/>
    </xf>
    <xf numFmtId="0" fontId="71" fillId="0" borderId="12" xfId="0" applyFont="1" applyBorder="1" applyAlignment="1">
      <alignment horizontal="left" wrapText="1"/>
    </xf>
    <xf numFmtId="164" fontId="71" fillId="0" borderId="23" xfId="3" applyNumberFormat="1" applyFont="1" applyBorder="1" applyAlignment="1">
      <alignment horizontal="right" wrapText="1"/>
    </xf>
    <xf numFmtId="164" fontId="71" fillId="0" borderId="14" xfId="3" applyNumberFormat="1" applyFont="1" applyBorder="1" applyAlignment="1">
      <alignment horizontal="right" wrapText="1"/>
    </xf>
    <xf numFmtId="164" fontId="71" fillId="0" borderId="23" xfId="0" applyNumberFormat="1" applyFont="1" applyBorder="1" applyAlignment="1">
      <alignment horizontal="center" wrapText="1"/>
    </xf>
    <xf numFmtId="164" fontId="71" fillId="0" borderId="5" xfId="0" applyNumberFormat="1" applyFont="1" applyBorder="1" applyAlignment="1">
      <alignment horizontal="center" wrapText="1"/>
    </xf>
    <xf numFmtId="0" fontId="69" fillId="0" borderId="4" xfId="3" applyFont="1" applyBorder="1" applyAlignment="1">
      <alignment horizontal="right"/>
    </xf>
    <xf numFmtId="0" fontId="69" fillId="0" borderId="3" xfId="3" applyFont="1" applyBorder="1" applyAlignment="1">
      <alignment horizontal="right"/>
    </xf>
    <xf numFmtId="0" fontId="69" fillId="0" borderId="2" xfId="3" applyFont="1" applyBorder="1" applyAlignment="1">
      <alignment horizontal="right"/>
    </xf>
    <xf numFmtId="0" fontId="71" fillId="0" borderId="2" xfId="3" applyFont="1" applyBorder="1" applyAlignment="1">
      <alignment horizontal="right"/>
    </xf>
    <xf numFmtId="0" fontId="69" fillId="3" borderId="39" xfId="3" applyFont="1" applyFill="1" applyBorder="1" applyAlignment="1">
      <alignment horizontal="center"/>
    </xf>
    <xf numFmtId="0" fontId="69" fillId="3" borderId="40" xfId="3" applyFont="1" applyFill="1" applyBorder="1" applyAlignment="1">
      <alignment horizontal="center"/>
    </xf>
    <xf numFmtId="0" fontId="69" fillId="3" borderId="41" xfId="3" applyFont="1" applyFill="1" applyBorder="1" applyAlignment="1">
      <alignment horizontal="center"/>
    </xf>
    <xf numFmtId="0" fontId="71" fillId="0" borderId="19" xfId="0" applyFont="1" applyBorder="1" applyAlignment="1">
      <alignment horizontal="left"/>
    </xf>
    <xf numFmtId="0" fontId="71" fillId="0" borderId="18" xfId="0" applyFont="1" applyBorder="1" applyAlignment="1">
      <alignment horizontal="left"/>
    </xf>
    <xf numFmtId="0" fontId="71" fillId="0" borderId="17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69" fillId="5" borderId="44" xfId="4" applyFont="1" applyFill="1" applyBorder="1" applyAlignment="1">
      <alignment horizontal="center"/>
    </xf>
    <xf numFmtId="0" fontId="69" fillId="5" borderId="34" xfId="4" applyFont="1" applyFill="1" applyBorder="1" applyAlignment="1">
      <alignment horizontal="center"/>
    </xf>
    <xf numFmtId="0" fontId="71" fillId="2" borderId="13" xfId="4" applyFont="1" applyFill="1" applyBorder="1" applyAlignment="1">
      <alignment horizontal="left"/>
    </xf>
    <xf numFmtId="0" fontId="71" fillId="0" borderId="15" xfId="0" applyFont="1" applyBorder="1" applyAlignment="1">
      <alignment horizontal="left"/>
    </xf>
    <xf numFmtId="0" fontId="71" fillId="0" borderId="14" xfId="0" applyFont="1" applyBorder="1" applyAlignment="1">
      <alignment horizontal="left"/>
    </xf>
    <xf numFmtId="0" fontId="71" fillId="0" borderId="13" xfId="0" applyFont="1" applyBorder="1" applyAlignment="1">
      <alignment horizontal="left"/>
    </xf>
    <xf numFmtId="0" fontId="71" fillId="0" borderId="12" xfId="0" applyFont="1" applyBorder="1" applyAlignment="1">
      <alignment horizontal="left"/>
    </xf>
    <xf numFmtId="0" fontId="71" fillId="0" borderId="7" xfId="0" applyFont="1" applyBorder="1" applyAlignment="1">
      <alignment horizontal="left" vertical="center" wrapText="1"/>
    </xf>
    <xf numFmtId="0" fontId="71" fillId="0" borderId="6" xfId="0" applyFont="1" applyBorder="1" applyAlignment="1">
      <alignment horizontal="left" vertical="center" wrapText="1"/>
    </xf>
    <xf numFmtId="0" fontId="71" fillId="0" borderId="5" xfId="0" applyFont="1" applyBorder="1" applyAlignment="1">
      <alignment horizontal="left" vertical="center" wrapText="1"/>
    </xf>
    <xf numFmtId="0" fontId="71" fillId="0" borderId="4" xfId="0" applyFont="1" applyBorder="1" applyAlignment="1">
      <alignment horizontal="left" wrapText="1"/>
    </xf>
    <xf numFmtId="0" fontId="71" fillId="0" borderId="3" xfId="0" applyFont="1" applyBorder="1" applyAlignment="1">
      <alignment horizontal="left" wrapText="1"/>
    </xf>
    <xf numFmtId="0" fontId="71" fillId="0" borderId="2" xfId="0" applyFont="1" applyBorder="1" applyAlignment="1">
      <alignment horizontal="left" wrapText="1"/>
    </xf>
    <xf numFmtId="0" fontId="71" fillId="0" borderId="1" xfId="0" applyFont="1" applyBorder="1" applyAlignment="1">
      <alignment horizontal="left" wrapText="1"/>
    </xf>
  </cellXfs>
  <cellStyles count="11">
    <cellStyle name="Millares" xfId="7" builtinId="3"/>
    <cellStyle name="Millares [0]" xfId="8" builtinId="6"/>
    <cellStyle name="Normal" xfId="0" builtinId="0"/>
    <cellStyle name="Normal 2" xfId="3" xr:uid="{62A89771-DEBE-43BF-8B89-C7C819B1B0D0}"/>
    <cellStyle name="Normal 2 2" xfId="6" xr:uid="{3AE79C02-B854-4100-BCFE-09847EB2A72A}"/>
    <cellStyle name="Normal 3" xfId="1" xr:uid="{2EEBA4A1-6A8F-4DFD-90A9-D1CB2F0556AC}"/>
    <cellStyle name="Normal 3 2" xfId="5" xr:uid="{CF2428E1-4E25-4176-9521-E76A6B8EFA12}"/>
    <cellStyle name="Normal 4" xfId="10" xr:uid="{3ABBE766-1E37-41D4-884F-C233944EA416}"/>
    <cellStyle name="Normal 5" xfId="9" xr:uid="{6D7FB8BB-8FDA-4D5D-A4B3-840C24DC13EB}"/>
    <cellStyle name="Normal_CRITERIOS DE EVALUACION PT DE GB 2" xfId="4" xr:uid="{F20743FF-AF6E-4B09-A507-604C23ED9985}"/>
    <cellStyle name="Porcentaje 2" xfId="2" xr:uid="{22BCAF08-4F8A-4AF2-B2C9-52A29515A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312420</xdr:colOff>
      <xdr:row>1</xdr:row>
      <xdr:rowOff>365760</xdr:rowOff>
    </xdr:from>
    <xdr:to>
      <xdr:col>21</xdr:col>
      <xdr:colOff>69119</xdr:colOff>
      <xdr:row>41</xdr:row>
      <xdr:rowOff>487914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01E951-B45D-445A-7BCD-002EE0743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2980" y="716280"/>
          <a:ext cx="6218459" cy="2705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154781</xdr:rowOff>
    </xdr:from>
    <xdr:to>
      <xdr:col>1</xdr:col>
      <xdr:colOff>1121320</xdr:colOff>
      <xdr:row>4</xdr:row>
      <xdr:rowOff>35718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37825C7-852C-4ACF-9C08-3DC0E412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154781"/>
          <a:ext cx="1871413" cy="845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220980</xdr:colOff>
      <xdr:row>1</xdr:row>
      <xdr:rowOff>121920</xdr:rowOff>
    </xdr:from>
    <xdr:to>
      <xdr:col>14</xdr:col>
      <xdr:colOff>510763</xdr:colOff>
      <xdr:row>25</xdr:row>
      <xdr:rowOff>7909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B68E0C-69E0-C974-6EA3-6C6324A5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472440"/>
          <a:ext cx="2568163" cy="33378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22</xdr:col>
      <xdr:colOff>450150</xdr:colOff>
      <xdr:row>25</xdr:row>
      <xdr:rowOff>480102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EEF93-338B-672C-DB64-F6699F64E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9260" y="3802380"/>
          <a:ext cx="6576630" cy="4801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5698-1AE0-43FA-ABDE-32E29938598F}">
  <dimension ref="A1:I65"/>
  <sheetViews>
    <sheetView zoomScale="85" zoomScaleNormal="85" workbookViewId="0">
      <selection activeCell="D17" sqref="D17"/>
    </sheetView>
  </sheetViews>
  <sheetFormatPr baseColWidth="10" defaultRowHeight="15" x14ac:dyDescent="0.25"/>
  <cols>
    <col min="1" max="1" width="15.42578125" bestFit="1" customWidth="1"/>
    <col min="2" max="2" width="17.85546875" customWidth="1"/>
    <col min="3" max="3" width="49" customWidth="1"/>
    <col min="4" max="4" width="34.5703125" bestFit="1" customWidth="1"/>
    <col min="5" max="5" width="11.7109375" bestFit="1" customWidth="1"/>
    <col min="6" max="6" width="16" customWidth="1"/>
    <col min="8" max="8" width="27" customWidth="1"/>
    <col min="9" max="9" width="26.28515625" bestFit="1" customWidth="1"/>
  </cols>
  <sheetData>
    <row r="1" spans="1:9" ht="18" x14ac:dyDescent="0.25">
      <c r="A1" s="483"/>
      <c r="B1" s="484"/>
      <c r="C1" s="489" t="s">
        <v>33</v>
      </c>
      <c r="D1" s="489"/>
      <c r="E1" s="489"/>
      <c r="F1" s="489"/>
      <c r="G1" s="489"/>
      <c r="H1" s="261" t="s">
        <v>32</v>
      </c>
      <c r="I1" s="262" t="s">
        <v>208</v>
      </c>
    </row>
    <row r="2" spans="1:9" ht="18" x14ac:dyDescent="0.25">
      <c r="A2" s="485"/>
      <c r="B2" s="486"/>
      <c r="C2" s="490" t="s">
        <v>31</v>
      </c>
      <c r="D2" s="490"/>
      <c r="E2" s="490"/>
      <c r="F2" s="490"/>
      <c r="G2" s="490"/>
      <c r="H2" s="263" t="s">
        <v>30</v>
      </c>
      <c r="I2" s="264" t="s">
        <v>209</v>
      </c>
    </row>
    <row r="3" spans="1:9" ht="15.95" customHeight="1" thickBot="1" x14ac:dyDescent="0.3">
      <c r="A3" s="485"/>
      <c r="B3" s="486"/>
      <c r="C3" s="491" t="s">
        <v>210</v>
      </c>
      <c r="D3" s="491"/>
      <c r="E3" s="491"/>
      <c r="F3" s="491"/>
      <c r="G3" s="491"/>
      <c r="H3" s="492" t="s">
        <v>29</v>
      </c>
      <c r="I3" s="474">
        <v>45609</v>
      </c>
    </row>
    <row r="4" spans="1:9" ht="18" x14ac:dyDescent="0.25">
      <c r="A4" s="485"/>
      <c r="B4" s="486"/>
      <c r="C4" s="265" t="s">
        <v>28</v>
      </c>
      <c r="D4" s="477" t="s">
        <v>34</v>
      </c>
      <c r="E4" s="478"/>
      <c r="F4" s="478"/>
      <c r="G4" s="479"/>
      <c r="H4" s="493"/>
      <c r="I4" s="475"/>
    </row>
    <row r="5" spans="1:9" ht="18.75" thickBot="1" x14ac:dyDescent="0.3">
      <c r="A5" s="487"/>
      <c r="B5" s="488"/>
      <c r="C5" s="266" t="s">
        <v>27</v>
      </c>
      <c r="D5" s="480" t="s">
        <v>26</v>
      </c>
      <c r="E5" s="481"/>
      <c r="F5" s="481"/>
      <c r="G5" s="482"/>
      <c r="H5" s="494"/>
      <c r="I5" s="476"/>
    </row>
    <row r="6" spans="1:9" ht="18.75" thickBot="1" x14ac:dyDescent="0.3">
      <c r="A6" s="465" t="s">
        <v>25</v>
      </c>
      <c r="B6" s="465"/>
      <c r="C6" s="465"/>
      <c r="D6" s="466" t="s">
        <v>35</v>
      </c>
      <c r="E6" s="466"/>
      <c r="F6" s="466"/>
      <c r="G6" s="467" t="s">
        <v>24</v>
      </c>
      <c r="H6" s="467"/>
      <c r="I6" s="267" t="s">
        <v>35</v>
      </c>
    </row>
    <row r="7" spans="1:9" ht="18" x14ac:dyDescent="0.25">
      <c r="A7" s="468" t="s">
        <v>23</v>
      </c>
      <c r="B7" s="470" t="s">
        <v>36</v>
      </c>
      <c r="C7" s="472" t="s">
        <v>22</v>
      </c>
      <c r="D7" s="472" t="s">
        <v>21</v>
      </c>
      <c r="E7" s="472" t="s">
        <v>20</v>
      </c>
      <c r="F7" s="472"/>
      <c r="G7" s="472" t="s">
        <v>19</v>
      </c>
      <c r="H7" s="472"/>
      <c r="I7" s="268" t="s">
        <v>18</v>
      </c>
    </row>
    <row r="8" spans="1:9" ht="36.75" thickBot="1" x14ac:dyDescent="0.3">
      <c r="A8" s="469"/>
      <c r="B8" s="471"/>
      <c r="C8" s="473"/>
      <c r="D8" s="473"/>
      <c r="E8" s="269" t="s">
        <v>13</v>
      </c>
      <c r="F8" s="270" t="s">
        <v>17</v>
      </c>
      <c r="G8" s="269" t="s">
        <v>13</v>
      </c>
      <c r="H8" s="270" t="s">
        <v>17</v>
      </c>
      <c r="I8" s="271" t="s">
        <v>16</v>
      </c>
    </row>
    <row r="9" spans="1:9" ht="18.75" x14ac:dyDescent="0.3">
      <c r="A9" s="272"/>
      <c r="B9" s="273"/>
      <c r="C9" s="274" t="s">
        <v>190</v>
      </c>
      <c r="D9" s="275"/>
      <c r="E9" s="276"/>
      <c r="F9" s="277"/>
      <c r="G9" s="276"/>
      <c r="H9" s="277"/>
      <c r="I9" s="278"/>
    </row>
    <row r="10" spans="1:9" ht="15.95" customHeight="1" x14ac:dyDescent="0.3">
      <c r="A10" s="279">
        <v>10100230</v>
      </c>
      <c r="B10" s="280" t="s">
        <v>211</v>
      </c>
      <c r="C10" s="281" t="s">
        <v>212</v>
      </c>
      <c r="D10" s="282" t="s">
        <v>213</v>
      </c>
      <c r="E10" s="282">
        <v>13000</v>
      </c>
      <c r="F10" s="283" t="s">
        <v>1</v>
      </c>
      <c r="G10" s="284"/>
      <c r="H10" s="285"/>
      <c r="I10" s="278"/>
    </row>
    <row r="11" spans="1:9" ht="18.75" x14ac:dyDescent="0.3">
      <c r="A11" s="279">
        <v>109000158</v>
      </c>
      <c r="B11" s="280" t="s">
        <v>214</v>
      </c>
      <c r="C11" s="281" t="s">
        <v>215</v>
      </c>
      <c r="D11" s="286" t="s">
        <v>112</v>
      </c>
      <c r="E11" s="286">
        <v>2800</v>
      </c>
      <c r="F11" s="287" t="s">
        <v>1</v>
      </c>
      <c r="G11" s="288"/>
      <c r="H11" s="285"/>
      <c r="I11" s="278"/>
    </row>
    <row r="12" spans="1:9" ht="18.75" x14ac:dyDescent="0.3">
      <c r="A12" s="289">
        <v>109000157</v>
      </c>
      <c r="B12" s="290" t="s">
        <v>216</v>
      </c>
      <c r="C12" s="291" t="s">
        <v>217</v>
      </c>
      <c r="D12" s="286" t="s">
        <v>112</v>
      </c>
      <c r="E12" s="286">
        <v>2800</v>
      </c>
      <c r="F12" s="287" t="s">
        <v>1</v>
      </c>
      <c r="G12" s="288"/>
      <c r="H12" s="285"/>
      <c r="I12" s="278"/>
    </row>
    <row r="13" spans="1:9" ht="18.75" x14ac:dyDescent="0.3">
      <c r="A13" s="289"/>
      <c r="B13" s="290" t="s">
        <v>218</v>
      </c>
      <c r="C13" s="292" t="s">
        <v>219</v>
      </c>
      <c r="D13" s="286" t="s">
        <v>48</v>
      </c>
      <c r="E13" s="286">
        <v>1000</v>
      </c>
      <c r="F13" s="287" t="s">
        <v>1</v>
      </c>
      <c r="G13" s="288"/>
      <c r="H13" s="285"/>
      <c r="I13" s="278"/>
    </row>
    <row r="14" spans="1:9" ht="18.75" x14ac:dyDescent="0.3">
      <c r="A14" s="293">
        <v>102000066</v>
      </c>
      <c r="B14" s="280" t="s">
        <v>220</v>
      </c>
      <c r="C14" s="281" t="s">
        <v>221</v>
      </c>
      <c r="D14" s="286" t="s">
        <v>222</v>
      </c>
      <c r="E14" s="286">
        <v>5600</v>
      </c>
      <c r="F14" s="287" t="s">
        <v>1</v>
      </c>
      <c r="G14" s="288"/>
      <c r="H14" s="285"/>
      <c r="I14" s="278"/>
    </row>
    <row r="15" spans="1:9" ht="18.75" x14ac:dyDescent="0.3">
      <c r="A15" s="279">
        <v>90100131</v>
      </c>
      <c r="B15" s="280" t="s">
        <v>223</v>
      </c>
      <c r="C15" s="281" t="s">
        <v>224</v>
      </c>
      <c r="D15" s="286" t="s">
        <v>14</v>
      </c>
      <c r="E15" s="286">
        <v>5600</v>
      </c>
      <c r="F15" s="287" t="s">
        <v>1</v>
      </c>
      <c r="G15" s="288"/>
      <c r="H15" s="285"/>
      <c r="I15" s="278"/>
    </row>
    <row r="16" spans="1:9" ht="18.75" x14ac:dyDescent="0.3">
      <c r="A16" s="279">
        <v>90100139</v>
      </c>
      <c r="B16" s="280" t="s">
        <v>87</v>
      </c>
      <c r="C16" s="281" t="s">
        <v>225</v>
      </c>
      <c r="D16" s="282" t="s">
        <v>14</v>
      </c>
      <c r="E16" s="286">
        <v>180</v>
      </c>
      <c r="F16" s="287" t="s">
        <v>1</v>
      </c>
      <c r="G16" s="288"/>
      <c r="H16" s="285"/>
      <c r="I16" s="278"/>
    </row>
    <row r="17" spans="1:9" ht="18.75" x14ac:dyDescent="0.3">
      <c r="A17" s="293">
        <v>1212412</v>
      </c>
      <c r="B17" s="280" t="s">
        <v>226</v>
      </c>
      <c r="C17" s="281" t="s">
        <v>227</v>
      </c>
      <c r="D17" s="286" t="s">
        <v>112</v>
      </c>
      <c r="E17" s="286">
        <v>32</v>
      </c>
      <c r="F17" s="287" t="s">
        <v>1</v>
      </c>
      <c r="G17" s="288"/>
      <c r="H17" s="285"/>
      <c r="I17" s="278"/>
    </row>
    <row r="18" spans="1:9" ht="18.75" x14ac:dyDescent="0.3">
      <c r="A18" s="293">
        <v>10415</v>
      </c>
      <c r="B18" s="280"/>
      <c r="C18" s="281" t="s">
        <v>228</v>
      </c>
      <c r="D18" s="286" t="s">
        <v>14</v>
      </c>
      <c r="E18" s="286">
        <v>4000</v>
      </c>
      <c r="F18" s="287" t="s">
        <v>1</v>
      </c>
      <c r="G18" s="288"/>
      <c r="H18" s="285"/>
      <c r="I18" s="278"/>
    </row>
    <row r="19" spans="1:9" ht="18.75" x14ac:dyDescent="0.3">
      <c r="A19" s="293">
        <v>510215</v>
      </c>
      <c r="B19" s="280" t="s">
        <v>229</v>
      </c>
      <c r="C19" s="281" t="s">
        <v>230</v>
      </c>
      <c r="D19" s="282" t="s">
        <v>112</v>
      </c>
      <c r="E19" s="286">
        <v>1600</v>
      </c>
      <c r="F19" s="287" t="s">
        <v>1</v>
      </c>
      <c r="G19" s="288"/>
      <c r="H19" s="285"/>
      <c r="I19" s="278"/>
    </row>
    <row r="20" spans="1:9" ht="18.75" x14ac:dyDescent="0.3">
      <c r="A20" s="294"/>
      <c r="B20" s="295"/>
      <c r="C20" s="296"/>
      <c r="D20" s="297"/>
      <c r="E20" s="298"/>
      <c r="F20" s="299"/>
      <c r="G20" s="288"/>
      <c r="H20" s="287"/>
      <c r="I20" s="278"/>
    </row>
    <row r="21" spans="1:9" ht="18.75" x14ac:dyDescent="0.3">
      <c r="A21" s="294"/>
      <c r="B21" s="295"/>
      <c r="C21" s="300"/>
      <c r="D21" s="297"/>
      <c r="E21" s="301"/>
      <c r="F21" s="301"/>
      <c r="G21" s="288"/>
      <c r="H21" s="287"/>
      <c r="I21" s="278"/>
    </row>
    <row r="22" spans="1:9" ht="18.75" x14ac:dyDescent="0.3">
      <c r="A22" s="302"/>
      <c r="B22" s="303"/>
      <c r="C22" s="304"/>
      <c r="D22" s="305"/>
      <c r="E22" s="306"/>
      <c r="F22" s="306"/>
      <c r="G22" s="307"/>
      <c r="H22" s="287"/>
      <c r="I22" s="278"/>
    </row>
    <row r="23" spans="1:9" ht="18.75" x14ac:dyDescent="0.3">
      <c r="A23" s="302"/>
      <c r="B23" s="303"/>
      <c r="C23" s="304"/>
      <c r="D23" s="305"/>
      <c r="E23" s="306"/>
      <c r="F23" s="306"/>
      <c r="G23" s="307"/>
      <c r="H23" s="287"/>
      <c r="I23" s="278"/>
    </row>
    <row r="24" spans="1:9" ht="18.75" x14ac:dyDescent="0.3">
      <c r="A24" s="302"/>
      <c r="B24" s="303"/>
      <c r="C24" s="304"/>
      <c r="D24" s="305"/>
      <c r="E24" s="306"/>
      <c r="F24" s="306"/>
      <c r="G24" s="307"/>
      <c r="H24" s="287"/>
      <c r="I24" s="278"/>
    </row>
    <row r="25" spans="1:9" ht="18.75" x14ac:dyDescent="0.3">
      <c r="A25" s="308"/>
      <c r="B25" s="308"/>
      <c r="C25" s="292"/>
      <c r="D25" s="309"/>
      <c r="E25" s="310"/>
      <c r="F25" s="310"/>
      <c r="G25" s="276"/>
      <c r="H25" s="287"/>
      <c r="I25" s="278"/>
    </row>
    <row r="26" spans="1:9" ht="18.75" x14ac:dyDescent="0.3">
      <c r="A26" s="310"/>
      <c r="B26" s="310"/>
      <c r="C26" s="291"/>
      <c r="D26" s="309"/>
      <c r="E26" s="309"/>
      <c r="F26" s="311"/>
      <c r="G26" s="276"/>
      <c r="H26" s="287"/>
      <c r="I26" s="278"/>
    </row>
    <row r="27" spans="1:9" ht="18.75" x14ac:dyDescent="0.3">
      <c r="A27" s="312"/>
      <c r="B27" s="313"/>
      <c r="C27" s="314" t="s">
        <v>189</v>
      </c>
      <c r="D27" s="315" t="s">
        <v>231</v>
      </c>
      <c r="E27" s="316"/>
      <c r="F27" s="311"/>
      <c r="G27" s="276"/>
      <c r="H27" s="287"/>
      <c r="I27" s="278"/>
    </row>
    <row r="28" spans="1:9" ht="18.75" x14ac:dyDescent="0.3">
      <c r="A28" s="317"/>
      <c r="B28" s="283"/>
      <c r="C28" s="318"/>
      <c r="D28" s="319" t="s">
        <v>231</v>
      </c>
      <c r="E28" s="309"/>
      <c r="F28" s="311"/>
      <c r="G28" s="276"/>
      <c r="H28" s="287"/>
      <c r="I28" s="278"/>
    </row>
    <row r="29" spans="1:9" ht="18.75" x14ac:dyDescent="0.3">
      <c r="A29" s="310"/>
      <c r="B29" s="310"/>
      <c r="C29" s="291"/>
      <c r="D29" s="319" t="s">
        <v>231</v>
      </c>
      <c r="E29" s="309"/>
      <c r="F29" s="311"/>
      <c r="G29" s="276"/>
      <c r="H29" s="287"/>
      <c r="I29" s="278"/>
    </row>
    <row r="30" spans="1:9" ht="18.75" x14ac:dyDescent="0.3">
      <c r="A30" s="320"/>
      <c r="B30" s="320"/>
      <c r="C30" s="318"/>
      <c r="D30" s="319" t="s">
        <v>231</v>
      </c>
      <c r="E30" s="309"/>
      <c r="F30" s="311"/>
      <c r="G30" s="276"/>
      <c r="H30" s="287"/>
      <c r="I30" s="278"/>
    </row>
    <row r="31" spans="1:9" ht="18.75" x14ac:dyDescent="0.3">
      <c r="A31" s="310"/>
      <c r="B31" s="310"/>
      <c r="C31" s="291"/>
      <c r="D31" s="309" t="s">
        <v>231</v>
      </c>
      <c r="E31" s="315"/>
      <c r="F31" s="311"/>
      <c r="G31" s="276"/>
      <c r="H31" s="287"/>
      <c r="I31" s="278"/>
    </row>
    <row r="32" spans="1:9" ht="18.75" x14ac:dyDescent="0.3">
      <c r="A32" s="310"/>
      <c r="B32" s="310"/>
      <c r="C32" s="291"/>
      <c r="D32" s="321" t="s">
        <v>231</v>
      </c>
      <c r="E32" s="322"/>
      <c r="F32" s="323"/>
      <c r="G32" s="276"/>
      <c r="H32" s="287"/>
      <c r="I32" s="278"/>
    </row>
    <row r="33" spans="1:9" ht="18.75" x14ac:dyDescent="0.3">
      <c r="A33" s="324"/>
      <c r="B33" s="325"/>
      <c r="C33" s="326" t="s">
        <v>37</v>
      </c>
      <c r="D33" s="327" t="s">
        <v>231</v>
      </c>
      <c r="E33" s="276"/>
      <c r="F33" s="277"/>
      <c r="G33" s="276"/>
      <c r="H33" s="287"/>
      <c r="I33" s="278"/>
    </row>
    <row r="34" spans="1:9" ht="18.75" x14ac:dyDescent="0.3">
      <c r="A34" s="279">
        <v>512000002</v>
      </c>
      <c r="B34" s="280" t="s">
        <v>232</v>
      </c>
      <c r="C34" s="281" t="s">
        <v>233</v>
      </c>
      <c r="D34" s="282" t="s">
        <v>112</v>
      </c>
      <c r="E34" s="282">
        <v>1</v>
      </c>
      <c r="F34" s="283" t="s">
        <v>234</v>
      </c>
      <c r="G34" s="288"/>
      <c r="H34" s="287"/>
      <c r="I34" s="278"/>
    </row>
    <row r="35" spans="1:9" ht="18.75" x14ac:dyDescent="0.3">
      <c r="A35" s="328"/>
      <c r="B35" s="329"/>
      <c r="C35" s="330"/>
      <c r="D35" s="331"/>
      <c r="E35" s="332"/>
      <c r="F35" s="333"/>
      <c r="G35" s="334"/>
      <c r="H35" s="287"/>
      <c r="I35" s="278"/>
    </row>
    <row r="36" spans="1:9" ht="18.75" x14ac:dyDescent="0.3">
      <c r="A36" s="335"/>
      <c r="B36" s="336"/>
      <c r="C36" s="337"/>
      <c r="D36" s="297"/>
      <c r="E36" s="338"/>
      <c r="F36" s="339"/>
      <c r="G36" s="276"/>
      <c r="H36" s="287"/>
      <c r="I36" s="278"/>
    </row>
    <row r="37" spans="1:9" ht="18.75" x14ac:dyDescent="0.3">
      <c r="A37" s="340"/>
      <c r="B37" s="340"/>
      <c r="C37" s="291"/>
      <c r="D37" s="315"/>
      <c r="E37" s="309"/>
      <c r="F37" s="311"/>
      <c r="G37" s="276"/>
      <c r="H37" s="277"/>
      <c r="I37" s="278"/>
    </row>
    <row r="38" spans="1:9" ht="18.75" x14ac:dyDescent="0.3">
      <c r="A38" s="341"/>
      <c r="B38" s="342"/>
      <c r="C38" s="343"/>
      <c r="D38" s="315"/>
      <c r="E38" s="309"/>
      <c r="F38" s="311"/>
      <c r="G38" s="276"/>
      <c r="H38" s="277"/>
      <c r="I38" s="278"/>
    </row>
    <row r="39" spans="1:9" ht="18.75" x14ac:dyDescent="0.3">
      <c r="A39" s="341"/>
      <c r="B39" s="342"/>
      <c r="C39" s="343"/>
      <c r="D39" s="315"/>
      <c r="E39" s="309"/>
      <c r="F39" s="311"/>
      <c r="G39" s="344"/>
      <c r="H39" s="315"/>
      <c r="I39" s="278"/>
    </row>
    <row r="40" spans="1:9" ht="18.75" x14ac:dyDescent="0.3">
      <c r="A40" s="312"/>
      <c r="B40" s="313"/>
      <c r="C40" s="345"/>
      <c r="D40" s="315"/>
      <c r="E40" s="309"/>
      <c r="F40" s="311"/>
      <c r="G40" s="309"/>
      <c r="H40" s="315"/>
      <c r="I40" s="278"/>
    </row>
    <row r="41" spans="1:9" ht="18.75" x14ac:dyDescent="0.3">
      <c r="A41" s="312"/>
      <c r="B41" s="313"/>
      <c r="C41" s="345"/>
      <c r="D41" s="315"/>
      <c r="E41" s="309"/>
      <c r="F41" s="311"/>
      <c r="G41" s="309"/>
      <c r="H41" s="311"/>
      <c r="I41" s="278"/>
    </row>
    <row r="42" spans="1:9" ht="18.75" x14ac:dyDescent="0.3">
      <c r="A42" s="312"/>
      <c r="B42" s="313"/>
      <c r="C42" s="345"/>
      <c r="D42" s="315"/>
      <c r="E42" s="315"/>
      <c r="F42" s="311"/>
      <c r="G42" s="315"/>
      <c r="H42" s="315"/>
      <c r="I42" s="278"/>
    </row>
    <row r="43" spans="1:9" ht="18.75" thickBot="1" x14ac:dyDescent="0.3">
      <c r="A43" s="346"/>
      <c r="B43" s="347"/>
      <c r="C43" s="348"/>
      <c r="D43" s="348"/>
      <c r="E43" s="349"/>
      <c r="F43" s="350"/>
      <c r="G43" s="348"/>
      <c r="H43" s="348"/>
      <c r="I43" s="351"/>
    </row>
    <row r="44" spans="1:9" ht="18.75" thickBot="1" x14ac:dyDescent="0.3">
      <c r="A44" s="352"/>
      <c r="B44" s="353"/>
      <c r="C44" s="354"/>
      <c r="D44" s="355" t="s">
        <v>13</v>
      </c>
      <c r="E44" s="356" t="s">
        <v>12</v>
      </c>
      <c r="F44" s="357"/>
      <c r="G44" s="354"/>
      <c r="H44" s="354"/>
      <c r="I44" s="358"/>
    </row>
    <row r="45" spans="1:9" ht="18" x14ac:dyDescent="0.25">
      <c r="A45" s="459" t="s">
        <v>11</v>
      </c>
      <c r="B45" s="460"/>
      <c r="C45" s="461"/>
      <c r="D45" s="359">
        <v>33000</v>
      </c>
      <c r="E45" s="360" t="s">
        <v>1</v>
      </c>
      <c r="F45" s="462" t="s">
        <v>38</v>
      </c>
      <c r="G45" s="462"/>
      <c r="H45" s="463"/>
      <c r="I45" s="464"/>
    </row>
    <row r="46" spans="1:9" ht="18" x14ac:dyDescent="0.25">
      <c r="A46" s="451" t="s">
        <v>10</v>
      </c>
      <c r="B46" s="452"/>
      <c r="C46" s="453"/>
      <c r="D46" s="361">
        <v>30</v>
      </c>
      <c r="E46" s="310" t="s">
        <v>9</v>
      </c>
      <c r="F46" s="454" t="s">
        <v>8</v>
      </c>
      <c r="G46" s="454"/>
      <c r="H46" s="455"/>
      <c r="I46" s="456"/>
    </row>
    <row r="47" spans="1:9" ht="18" x14ac:dyDescent="0.25">
      <c r="A47" s="451" t="s">
        <v>7</v>
      </c>
      <c r="B47" s="452"/>
      <c r="C47" s="453"/>
      <c r="D47" s="310">
        <v>1</v>
      </c>
      <c r="E47" s="310" t="s">
        <v>1</v>
      </c>
      <c r="F47" s="454" t="s">
        <v>5</v>
      </c>
      <c r="G47" s="454"/>
      <c r="H47" s="455"/>
      <c r="I47" s="456"/>
    </row>
    <row r="48" spans="1:9" ht="18" x14ac:dyDescent="0.25">
      <c r="A48" s="451" t="s">
        <v>4</v>
      </c>
      <c r="B48" s="452"/>
      <c r="C48" s="453"/>
      <c r="D48" s="310">
        <v>33000</v>
      </c>
      <c r="E48" s="310" t="s">
        <v>1</v>
      </c>
      <c r="F48" s="457" t="s">
        <v>3</v>
      </c>
      <c r="G48" s="458"/>
      <c r="H48" s="455"/>
      <c r="I48" s="456"/>
    </row>
    <row r="49" spans="1:9" ht="18.75" thickBot="1" x14ac:dyDescent="0.3">
      <c r="A49" s="439" t="s">
        <v>2</v>
      </c>
      <c r="B49" s="440"/>
      <c r="C49" s="441"/>
      <c r="D49" s="362">
        <v>3612</v>
      </c>
      <c r="E49" s="363" t="s">
        <v>1</v>
      </c>
      <c r="F49" s="442"/>
      <c r="G49" s="442"/>
      <c r="H49" s="443"/>
      <c r="I49" s="444"/>
    </row>
    <row r="50" spans="1:9" ht="18.75" thickBot="1" x14ac:dyDescent="0.3">
      <c r="A50" s="445" t="s">
        <v>0</v>
      </c>
      <c r="B50" s="446"/>
      <c r="C50" s="446"/>
      <c r="D50" s="446"/>
      <c r="E50" s="446"/>
      <c r="F50" s="446"/>
      <c r="G50" s="446"/>
      <c r="H50" s="446"/>
      <c r="I50" s="447"/>
    </row>
    <row r="51" spans="1:9" ht="18" x14ac:dyDescent="0.25">
      <c r="A51" s="448" t="s">
        <v>235</v>
      </c>
      <c r="B51" s="449"/>
      <c r="C51" s="449"/>
      <c r="D51" s="449"/>
      <c r="E51" s="449"/>
      <c r="F51" s="449"/>
      <c r="G51" s="449"/>
      <c r="H51" s="449"/>
      <c r="I51" s="450"/>
    </row>
    <row r="52" spans="1:9" ht="18" x14ac:dyDescent="0.25">
      <c r="A52" s="448" t="s">
        <v>236</v>
      </c>
      <c r="B52" s="449"/>
      <c r="C52" s="449"/>
      <c r="D52" s="449"/>
      <c r="E52" s="449"/>
      <c r="F52" s="449"/>
      <c r="G52" s="449"/>
      <c r="H52" s="449"/>
      <c r="I52" s="450"/>
    </row>
    <row r="53" spans="1:9" ht="18" x14ac:dyDescent="0.25">
      <c r="A53" s="448" t="s">
        <v>237</v>
      </c>
      <c r="B53" s="449"/>
      <c r="C53" s="449"/>
      <c r="D53" s="449"/>
      <c r="E53" s="449"/>
      <c r="F53" s="449"/>
      <c r="G53" s="449"/>
      <c r="H53" s="449"/>
      <c r="I53" s="450"/>
    </row>
    <row r="54" spans="1:9" ht="18" x14ac:dyDescent="0.25">
      <c r="A54" s="448" t="s">
        <v>238</v>
      </c>
      <c r="B54" s="449"/>
      <c r="C54" s="449"/>
      <c r="D54" s="449"/>
      <c r="E54" s="449"/>
      <c r="F54" s="449"/>
      <c r="G54" s="449"/>
      <c r="H54" s="449"/>
      <c r="I54" s="450"/>
    </row>
    <row r="55" spans="1:9" ht="18" x14ac:dyDescent="0.25">
      <c r="A55" s="448" t="s">
        <v>239</v>
      </c>
      <c r="B55" s="449"/>
      <c r="C55" s="449"/>
      <c r="D55" s="449"/>
      <c r="E55" s="449"/>
      <c r="F55" s="449"/>
      <c r="G55" s="449"/>
      <c r="H55" s="449"/>
      <c r="I55" s="450"/>
    </row>
    <row r="56" spans="1:9" ht="18" x14ac:dyDescent="0.25">
      <c r="A56" s="448"/>
      <c r="B56" s="449"/>
      <c r="C56" s="449"/>
      <c r="D56" s="449"/>
      <c r="E56" s="449"/>
      <c r="F56" s="449"/>
      <c r="G56" s="449"/>
      <c r="H56" s="449"/>
      <c r="I56" s="450"/>
    </row>
    <row r="57" spans="1:9" ht="18" x14ac:dyDescent="0.25">
      <c r="A57" s="436"/>
      <c r="B57" s="437"/>
      <c r="C57" s="437"/>
      <c r="D57" s="437"/>
      <c r="E57" s="437"/>
      <c r="F57" s="437"/>
      <c r="G57" s="437"/>
      <c r="H57" s="437"/>
      <c r="I57" s="438"/>
    </row>
    <row r="58" spans="1:9" ht="18" x14ac:dyDescent="0.25">
      <c r="A58" s="436"/>
      <c r="B58" s="437"/>
      <c r="C58" s="437"/>
      <c r="D58" s="437"/>
      <c r="E58" s="437"/>
      <c r="F58" s="437"/>
      <c r="G58" s="437"/>
      <c r="H58" s="437"/>
      <c r="I58" s="438"/>
    </row>
    <row r="59" spans="1:9" ht="18" customHeight="1" thickBot="1" x14ac:dyDescent="0.3">
      <c r="A59" s="426"/>
      <c r="B59" s="427"/>
      <c r="C59" s="427"/>
      <c r="D59" s="427"/>
      <c r="E59" s="427"/>
      <c r="F59" s="427"/>
      <c r="G59" s="427"/>
      <c r="H59" s="427"/>
      <c r="I59" s="428"/>
    </row>
    <row r="60" spans="1:9" ht="18.75" x14ac:dyDescent="0.3">
      <c r="A60" s="364"/>
      <c r="B60" s="364"/>
      <c r="C60" s="364"/>
      <c r="D60" s="364"/>
      <c r="E60" s="364"/>
      <c r="F60" s="364"/>
      <c r="G60" s="364"/>
      <c r="H60" s="364"/>
      <c r="I60" s="364"/>
    </row>
    <row r="61" spans="1:9" ht="18.75" thickBot="1" x14ac:dyDescent="0.3">
      <c r="A61" s="429"/>
      <c r="B61" s="430"/>
      <c r="C61" s="430"/>
      <c r="D61" s="430"/>
      <c r="E61" s="430"/>
      <c r="F61" s="430"/>
      <c r="G61" s="430"/>
      <c r="H61" s="430"/>
      <c r="I61" s="431"/>
    </row>
    <row r="62" spans="1:9" ht="18" x14ac:dyDescent="0.25">
      <c r="A62" s="432" t="s">
        <v>39</v>
      </c>
      <c r="B62" s="433"/>
      <c r="C62" s="433"/>
      <c r="D62" s="433"/>
      <c r="E62" s="433"/>
      <c r="F62" s="433"/>
      <c r="G62" s="433"/>
      <c r="H62" s="433"/>
      <c r="I62" s="433"/>
    </row>
    <row r="63" spans="1:9" ht="18" x14ac:dyDescent="0.25">
      <c r="A63" s="434"/>
      <c r="B63" s="435"/>
      <c r="C63" s="435"/>
      <c r="D63" s="435"/>
      <c r="E63" s="435"/>
      <c r="F63" s="435"/>
      <c r="G63" s="435"/>
      <c r="H63" s="435"/>
      <c r="I63" s="435"/>
    </row>
    <row r="64" spans="1:9" ht="18" x14ac:dyDescent="0.25">
      <c r="A64" s="434"/>
      <c r="B64" s="435"/>
      <c r="C64" s="435"/>
      <c r="D64" s="435"/>
      <c r="E64" s="435"/>
      <c r="F64" s="435"/>
      <c r="G64" s="435"/>
      <c r="H64" s="435"/>
      <c r="I64" s="435"/>
    </row>
    <row r="65" spans="1:9" ht="18" x14ac:dyDescent="0.25">
      <c r="A65" s="292"/>
      <c r="B65" s="292"/>
      <c r="C65" s="292"/>
      <c r="D65" s="292"/>
      <c r="E65" s="292"/>
      <c r="F65" s="292"/>
      <c r="G65" s="292"/>
      <c r="H65" s="292"/>
      <c r="I65" s="2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99E5-9670-448B-974C-C86057184324}">
  <dimension ref="A1:I33"/>
  <sheetViews>
    <sheetView zoomScaleNormal="100" workbookViewId="0">
      <selection activeCell="D12" sqref="D12"/>
    </sheetView>
  </sheetViews>
  <sheetFormatPr baseColWidth="10" defaultRowHeight="15" x14ac:dyDescent="0.25"/>
  <cols>
    <col min="3" max="3" width="34.28515625" customWidth="1"/>
    <col min="4" max="4" width="20.5703125" customWidth="1"/>
    <col min="8" max="8" width="23" customWidth="1"/>
    <col min="9" max="9" width="18.140625" bestFit="1" customWidth="1"/>
  </cols>
  <sheetData>
    <row r="1" spans="1:9" ht="15.75" x14ac:dyDescent="0.25">
      <c r="A1" s="559"/>
      <c r="B1" s="560"/>
      <c r="C1" s="565" t="s">
        <v>33</v>
      </c>
      <c r="D1" s="565"/>
      <c r="E1" s="565"/>
      <c r="F1" s="565"/>
      <c r="G1" s="565"/>
      <c r="H1" s="4" t="s">
        <v>32</v>
      </c>
      <c r="I1" s="50" t="s">
        <v>65</v>
      </c>
    </row>
    <row r="2" spans="1:9" ht="18" customHeight="1" thickBot="1" x14ac:dyDescent="0.3">
      <c r="A2" s="561"/>
      <c r="B2" s="562"/>
      <c r="C2" s="566" t="s">
        <v>31</v>
      </c>
      <c r="D2" s="567"/>
      <c r="E2" s="567"/>
      <c r="F2" s="567"/>
      <c r="G2" s="568"/>
      <c r="H2" s="5" t="s">
        <v>30</v>
      </c>
      <c r="I2" s="51">
        <v>1</v>
      </c>
    </row>
    <row r="3" spans="1:9" ht="31.5" customHeight="1" thickBot="1" x14ac:dyDescent="0.3">
      <c r="A3" s="561"/>
      <c r="B3" s="562"/>
      <c r="C3" s="569" t="s">
        <v>64</v>
      </c>
      <c r="D3" s="570"/>
      <c r="E3" s="570"/>
      <c r="F3" s="570"/>
      <c r="G3" s="571"/>
      <c r="H3" s="572" t="s">
        <v>29</v>
      </c>
      <c r="I3" s="550">
        <v>45160</v>
      </c>
    </row>
    <row r="4" spans="1:9" ht="18" customHeight="1" x14ac:dyDescent="0.25">
      <c r="A4" s="561"/>
      <c r="B4" s="562"/>
      <c r="C4" s="6" t="s">
        <v>28</v>
      </c>
      <c r="D4" s="553" t="s">
        <v>40</v>
      </c>
      <c r="E4" s="554"/>
      <c r="F4" s="554"/>
      <c r="G4" s="555"/>
      <c r="H4" s="573"/>
      <c r="I4" s="551"/>
    </row>
    <row r="5" spans="1:9" ht="15.75" thickBot="1" x14ac:dyDescent="0.3">
      <c r="A5" s="563"/>
      <c r="B5" s="564"/>
      <c r="C5" s="7" t="s">
        <v>27</v>
      </c>
      <c r="D5" s="556" t="s">
        <v>26</v>
      </c>
      <c r="E5" s="557"/>
      <c r="F5" s="557"/>
      <c r="G5" s="558"/>
      <c r="H5" s="574"/>
      <c r="I5" s="552"/>
    </row>
    <row r="6" spans="1:9" ht="18.75" thickBot="1" x14ac:dyDescent="0.3">
      <c r="A6" s="465" t="s">
        <v>25</v>
      </c>
      <c r="B6" s="465"/>
      <c r="C6" s="465"/>
      <c r="D6" s="543" t="s">
        <v>35</v>
      </c>
      <c r="E6" s="543"/>
      <c r="F6" s="543"/>
      <c r="G6" s="467" t="s">
        <v>24</v>
      </c>
      <c r="H6" s="467"/>
      <c r="I6" s="8" t="s">
        <v>35</v>
      </c>
    </row>
    <row r="7" spans="1:9" x14ac:dyDescent="0.25">
      <c r="A7" s="544" t="s">
        <v>23</v>
      </c>
      <c r="B7" s="546" t="s">
        <v>36</v>
      </c>
      <c r="C7" s="548" t="s">
        <v>22</v>
      </c>
      <c r="D7" s="548" t="s">
        <v>21</v>
      </c>
      <c r="E7" s="548" t="s">
        <v>20</v>
      </c>
      <c r="F7" s="548"/>
      <c r="G7" s="548" t="s">
        <v>19</v>
      </c>
      <c r="H7" s="548"/>
      <c r="I7" s="9" t="s">
        <v>18</v>
      </c>
    </row>
    <row r="8" spans="1:9" ht="27" thickBot="1" x14ac:dyDescent="0.3">
      <c r="A8" s="545"/>
      <c r="B8" s="547"/>
      <c r="C8" s="549"/>
      <c r="D8" s="549"/>
      <c r="E8" s="10" t="s">
        <v>13</v>
      </c>
      <c r="F8" s="11" t="s">
        <v>17</v>
      </c>
      <c r="G8" s="10" t="s">
        <v>13</v>
      </c>
      <c r="H8" s="11" t="s">
        <v>17</v>
      </c>
      <c r="I8" s="12" t="s">
        <v>16</v>
      </c>
    </row>
    <row r="9" spans="1:9" ht="18.600000000000001" customHeight="1" x14ac:dyDescent="0.3">
      <c r="A9" s="41">
        <v>512259</v>
      </c>
      <c r="B9" s="41" t="s">
        <v>46</v>
      </c>
      <c r="C9" s="42" t="s">
        <v>47</v>
      </c>
      <c r="D9" s="43" t="s">
        <v>48</v>
      </c>
      <c r="E9" s="43">
        <v>6665</v>
      </c>
      <c r="F9" s="44" t="s">
        <v>1</v>
      </c>
      <c r="G9" s="13"/>
      <c r="H9" s="14"/>
      <c r="I9" s="15"/>
    </row>
    <row r="10" spans="1:9" ht="18" customHeight="1" x14ac:dyDescent="0.3">
      <c r="A10" s="45">
        <v>10415</v>
      </c>
      <c r="B10" s="45"/>
      <c r="C10" s="46" t="s">
        <v>49</v>
      </c>
      <c r="D10" s="1" t="s">
        <v>14</v>
      </c>
      <c r="E10" s="43">
        <v>1650</v>
      </c>
      <c r="F10" s="47" t="s">
        <v>1</v>
      </c>
      <c r="G10" s="16"/>
      <c r="H10" s="17"/>
      <c r="I10" s="15"/>
    </row>
    <row r="11" spans="1:9" ht="16.5" x14ac:dyDescent="0.3">
      <c r="A11" s="41">
        <v>10100050</v>
      </c>
      <c r="B11" s="41" t="s">
        <v>50</v>
      </c>
      <c r="C11" s="46" t="s">
        <v>51</v>
      </c>
      <c r="D11" s="1" t="s">
        <v>52</v>
      </c>
      <c r="E11" s="43">
        <v>2000</v>
      </c>
      <c r="F11" s="47" t="s">
        <v>1</v>
      </c>
      <c r="G11" s="16"/>
      <c r="H11" s="17"/>
      <c r="I11" s="15"/>
    </row>
    <row r="12" spans="1:9" ht="16.5" x14ac:dyDescent="0.3">
      <c r="A12" s="41">
        <v>1210482</v>
      </c>
      <c r="B12" s="41" t="s">
        <v>53</v>
      </c>
      <c r="C12" s="46" t="s">
        <v>54</v>
      </c>
      <c r="D12" s="1" t="s">
        <v>55</v>
      </c>
      <c r="E12" s="43">
        <v>2350</v>
      </c>
      <c r="F12" s="47" t="s">
        <v>1</v>
      </c>
      <c r="G12" s="1"/>
      <c r="H12" s="17"/>
      <c r="I12" s="15"/>
    </row>
    <row r="13" spans="1:9" ht="16.5" x14ac:dyDescent="0.3">
      <c r="A13" s="41">
        <v>1212410</v>
      </c>
      <c r="B13" s="41" t="s">
        <v>56</v>
      </c>
      <c r="C13" s="48" t="s">
        <v>57</v>
      </c>
      <c r="D13" s="49" t="s">
        <v>58</v>
      </c>
      <c r="E13" s="43">
        <v>18</v>
      </c>
      <c r="F13" s="47" t="s">
        <v>1</v>
      </c>
      <c r="G13" s="1"/>
      <c r="H13" s="17"/>
      <c r="I13" s="15"/>
    </row>
    <row r="14" spans="1:9" ht="15.75" x14ac:dyDescent="0.25">
      <c r="A14" s="19"/>
      <c r="D14" s="18"/>
      <c r="E14" s="18"/>
      <c r="F14" s="18"/>
      <c r="G14" s="1"/>
      <c r="H14" s="17"/>
      <c r="I14" s="15"/>
    </row>
    <row r="15" spans="1:9" ht="15.75" thickBot="1" x14ac:dyDescent="0.3">
      <c r="A15" s="24"/>
      <c r="B15" s="25"/>
      <c r="C15" s="26"/>
      <c r="D15" s="26"/>
      <c r="E15" s="27"/>
      <c r="F15" s="28"/>
      <c r="G15" s="26"/>
      <c r="H15" s="26"/>
      <c r="I15" s="29"/>
    </row>
    <row r="16" spans="1:9" ht="15.75" thickBot="1" x14ac:dyDescent="0.3">
      <c r="A16" s="30"/>
      <c r="B16" s="31"/>
      <c r="C16" s="32"/>
      <c r="D16" s="33" t="s">
        <v>13</v>
      </c>
      <c r="E16" s="34" t="s">
        <v>12</v>
      </c>
      <c r="F16" s="35"/>
      <c r="G16" s="32"/>
      <c r="H16" s="32"/>
      <c r="I16" s="36"/>
    </row>
    <row r="17" spans="1:9" x14ac:dyDescent="0.25">
      <c r="A17" s="537" t="s">
        <v>11</v>
      </c>
      <c r="B17" s="538"/>
      <c r="C17" s="539"/>
      <c r="D17" s="43">
        <v>12018</v>
      </c>
      <c r="E17" s="37" t="s">
        <v>1</v>
      </c>
      <c r="F17" s="540" t="s">
        <v>38</v>
      </c>
      <c r="G17" s="540"/>
      <c r="H17" s="541"/>
      <c r="I17" s="542"/>
    </row>
    <row r="18" spans="1:9" x14ac:dyDescent="0.25">
      <c r="A18" s="518" t="s">
        <v>10</v>
      </c>
      <c r="B18" s="519"/>
      <c r="C18" s="520"/>
      <c r="D18" s="1">
        <v>8</v>
      </c>
      <c r="E18" s="1" t="s">
        <v>9</v>
      </c>
      <c r="F18" s="521" t="s">
        <v>8</v>
      </c>
      <c r="G18" s="521"/>
      <c r="H18" s="522"/>
      <c r="I18" s="523"/>
    </row>
    <row r="19" spans="1:9" x14ac:dyDescent="0.25">
      <c r="A19" s="518" t="s">
        <v>7</v>
      </c>
      <c r="B19" s="519"/>
      <c r="C19" s="520"/>
      <c r="D19" s="1">
        <v>1</v>
      </c>
      <c r="E19" s="1" t="s">
        <v>6</v>
      </c>
      <c r="F19" s="521" t="s">
        <v>5</v>
      </c>
      <c r="G19" s="521"/>
      <c r="H19" s="522"/>
      <c r="I19" s="523"/>
    </row>
    <row r="20" spans="1:9" x14ac:dyDescent="0.25">
      <c r="A20" s="518" t="s">
        <v>4</v>
      </c>
      <c r="B20" s="519"/>
      <c r="C20" s="520"/>
      <c r="D20" s="1">
        <v>12018</v>
      </c>
      <c r="E20" s="1" t="s">
        <v>1</v>
      </c>
      <c r="F20" s="524" t="s">
        <v>3</v>
      </c>
      <c r="G20" s="525"/>
      <c r="H20" s="526"/>
      <c r="I20" s="527"/>
    </row>
    <row r="21" spans="1:9" ht="15.75" thickBot="1" x14ac:dyDescent="0.3">
      <c r="A21" s="528" t="s">
        <v>2</v>
      </c>
      <c r="B21" s="529"/>
      <c r="C21" s="530"/>
      <c r="D21" s="38">
        <v>665</v>
      </c>
      <c r="E21" s="38" t="s">
        <v>1</v>
      </c>
      <c r="F21" s="531"/>
      <c r="G21" s="531"/>
      <c r="H21" s="522"/>
      <c r="I21" s="523"/>
    </row>
    <row r="22" spans="1:9" ht="15.75" thickBot="1" x14ac:dyDescent="0.3">
      <c r="A22" s="532" t="s">
        <v>0</v>
      </c>
      <c r="B22" s="533"/>
      <c r="C22" s="533"/>
      <c r="D22" s="533"/>
      <c r="E22" s="533"/>
      <c r="F22" s="533"/>
      <c r="G22" s="533"/>
      <c r="H22" s="533"/>
      <c r="I22" s="534"/>
    </row>
    <row r="23" spans="1:9" ht="14.45" customHeight="1" x14ac:dyDescent="0.3">
      <c r="A23" s="535" t="s">
        <v>59</v>
      </c>
      <c r="B23" s="536"/>
      <c r="C23" s="536"/>
      <c r="D23" s="536"/>
      <c r="E23" s="536"/>
      <c r="F23" s="536"/>
      <c r="G23" s="536"/>
      <c r="H23" s="536"/>
      <c r="I23" s="536"/>
    </row>
    <row r="24" spans="1:9" ht="15.6" customHeight="1" x14ac:dyDescent="0.3">
      <c r="A24" s="501" t="s">
        <v>60</v>
      </c>
      <c r="B24" s="502"/>
      <c r="C24" s="502"/>
      <c r="D24" s="502"/>
      <c r="E24" s="502"/>
      <c r="F24" s="502"/>
      <c r="G24" s="502"/>
      <c r="H24" s="502"/>
      <c r="I24" s="502"/>
    </row>
    <row r="25" spans="1:9" ht="14.45" customHeight="1" x14ac:dyDescent="0.3">
      <c r="A25" s="501" t="s">
        <v>61</v>
      </c>
      <c r="B25" s="502"/>
      <c r="C25" s="502"/>
      <c r="D25" s="502"/>
      <c r="E25" s="502"/>
      <c r="F25" s="502"/>
      <c r="G25" s="502"/>
      <c r="H25" s="502"/>
      <c r="I25" s="502"/>
    </row>
    <row r="26" spans="1:9" ht="14.45" customHeight="1" x14ac:dyDescent="0.25">
      <c r="A26" s="503"/>
      <c r="B26" s="504"/>
      <c r="C26" s="504"/>
      <c r="D26" s="504"/>
      <c r="E26" s="504"/>
      <c r="F26" s="504"/>
      <c r="G26" s="504"/>
      <c r="H26" s="504"/>
      <c r="I26" s="505"/>
    </row>
    <row r="27" spans="1:9" ht="14.45" customHeight="1" x14ac:dyDescent="0.25">
      <c r="A27" s="506"/>
      <c r="B27" s="507"/>
      <c r="C27" s="508"/>
      <c r="D27" s="508"/>
      <c r="E27" s="508"/>
      <c r="F27" s="508"/>
      <c r="G27" s="508"/>
      <c r="H27" s="508"/>
      <c r="I27" s="509"/>
    </row>
    <row r="28" spans="1:9" ht="18" customHeight="1" x14ac:dyDescent="0.25">
      <c r="A28" s="510"/>
      <c r="B28" s="511"/>
      <c r="C28" s="512"/>
      <c r="D28" s="512"/>
      <c r="E28" s="512"/>
      <c r="F28" s="512"/>
      <c r="G28" s="512"/>
      <c r="H28" s="512"/>
      <c r="I28" s="513"/>
    </row>
    <row r="29" spans="1:9" x14ac:dyDescent="0.25">
      <c r="A29" s="510"/>
      <c r="B29" s="511"/>
      <c r="C29" s="512"/>
      <c r="D29" s="512"/>
      <c r="E29" s="512"/>
      <c r="F29" s="512"/>
      <c r="G29" s="512"/>
      <c r="H29" s="512"/>
      <c r="I29" s="513"/>
    </row>
    <row r="30" spans="1:9" ht="15.75" thickBot="1" x14ac:dyDescent="0.3">
      <c r="A30" s="514"/>
      <c r="B30" s="515"/>
      <c r="C30" s="516"/>
      <c r="D30" s="516"/>
      <c r="E30" s="516"/>
      <c r="F30" s="516"/>
      <c r="G30" s="516"/>
      <c r="H30" s="516"/>
      <c r="I30" s="517"/>
    </row>
    <row r="31" spans="1:9" x14ac:dyDescent="0.25">
      <c r="A31" s="495" t="s">
        <v>62</v>
      </c>
      <c r="B31" s="496"/>
      <c r="C31" s="496"/>
      <c r="D31" s="496"/>
      <c r="E31" s="496"/>
      <c r="F31" s="496"/>
      <c r="G31" s="496"/>
      <c r="H31" s="496"/>
      <c r="I31" s="496"/>
    </row>
    <row r="32" spans="1:9" x14ac:dyDescent="0.25">
      <c r="A32" s="497" t="s">
        <v>63</v>
      </c>
      <c r="B32" s="498"/>
      <c r="C32" s="498"/>
      <c r="D32" s="498"/>
      <c r="E32" s="498"/>
      <c r="F32" s="498"/>
      <c r="G32" s="498"/>
      <c r="H32" s="498"/>
      <c r="I32" s="498"/>
    </row>
    <row r="33" spans="1:9" x14ac:dyDescent="0.25">
      <c r="A33" s="499"/>
      <c r="B33" s="500"/>
      <c r="C33" s="500"/>
      <c r="D33" s="500"/>
      <c r="E33" s="500"/>
      <c r="F33" s="500"/>
      <c r="G33" s="500"/>
      <c r="H33" s="500"/>
      <c r="I33" s="50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7:C17"/>
    <mergeCell ref="F17:G17"/>
    <mergeCell ref="H17:I17"/>
    <mergeCell ref="A18:C18"/>
    <mergeCell ref="F18:G18"/>
    <mergeCell ref="H18:I18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31:I31"/>
    <mergeCell ref="A32:I32"/>
    <mergeCell ref="A33:I33"/>
    <mergeCell ref="A25:I25"/>
    <mergeCell ref="A26:I26"/>
    <mergeCell ref="A27:I27"/>
    <mergeCell ref="A28:I28"/>
    <mergeCell ref="A29:I29"/>
    <mergeCell ref="A30:I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ED85-2CB5-417E-BAEF-2D69E2EFA22E}">
  <dimension ref="A1:Q90"/>
  <sheetViews>
    <sheetView topLeftCell="A42" workbookViewId="0">
      <selection activeCell="M50" sqref="M50"/>
    </sheetView>
  </sheetViews>
  <sheetFormatPr baseColWidth="10" defaultColWidth="8.42578125" defaultRowHeight="12.75" x14ac:dyDescent="0.25"/>
  <cols>
    <col min="1" max="1" width="10" style="67" bestFit="1" customWidth="1"/>
    <col min="2" max="2" width="44.28515625" style="67" bestFit="1" customWidth="1"/>
    <col min="3" max="3" width="10.42578125" style="67" bestFit="1" customWidth="1"/>
    <col min="4" max="4" width="10.42578125" style="67" customWidth="1"/>
    <col min="5" max="5" width="9.7109375" style="67" bestFit="1" customWidth="1"/>
    <col min="6" max="6" width="9.5703125" style="67" bestFit="1" customWidth="1"/>
    <col min="7" max="7" width="9.5703125" style="149" bestFit="1" customWidth="1"/>
    <col min="8" max="8" width="10.42578125" style="140" bestFit="1" customWidth="1"/>
    <col min="9" max="9" width="4.5703125" style="140" customWidth="1"/>
    <col min="10" max="10" width="1.85546875" style="66" customWidth="1"/>
    <col min="11" max="11" width="7" style="67" bestFit="1" customWidth="1"/>
    <col min="12" max="12" width="6.28515625" style="67" customWidth="1"/>
    <col min="13" max="13" width="20.42578125" style="67" customWidth="1"/>
    <col min="14" max="14" width="6.42578125" style="67" bestFit="1" customWidth="1"/>
    <col min="15" max="16" width="8.42578125" style="67"/>
    <col min="17" max="17" width="3.28515625" style="67" customWidth="1"/>
    <col min="18" max="16384" width="8.42578125" style="67"/>
  </cols>
  <sheetData>
    <row r="1" spans="1:10" ht="27.75" customHeight="1" x14ac:dyDescent="0.25">
      <c r="A1" s="62"/>
      <c r="B1" s="62"/>
      <c r="C1" s="62"/>
      <c r="D1" s="62"/>
      <c r="E1" s="63" t="s">
        <v>122</v>
      </c>
      <c r="F1" s="64" t="s">
        <v>123</v>
      </c>
      <c r="G1" s="64" t="s">
        <v>124</v>
      </c>
      <c r="H1" s="64" t="s">
        <v>125</v>
      </c>
      <c r="I1" s="65"/>
    </row>
    <row r="2" spans="1:10" ht="30.75" customHeight="1" x14ac:dyDescent="0.25">
      <c r="A2" s="62"/>
      <c r="B2" s="62"/>
      <c r="C2" s="62"/>
      <c r="D2" s="62"/>
      <c r="E2" s="68">
        <f>IFERROR(O61,"")</f>
        <v>22147.13</v>
      </c>
      <c r="F2" s="68">
        <f>IFERROR(H52,"")</f>
        <v>21019.13</v>
      </c>
      <c r="G2" s="68">
        <f>IFERROR(H53,"")</f>
        <v>0</v>
      </c>
      <c r="H2" s="68">
        <f>IFERROR(H55,"")</f>
        <v>616</v>
      </c>
      <c r="I2" s="69"/>
    </row>
    <row r="3" spans="1:10" ht="15" customHeight="1" x14ac:dyDescent="0.25">
      <c r="A3" s="62"/>
      <c r="B3" s="62"/>
      <c r="C3" s="62"/>
      <c r="D3" s="62"/>
      <c r="E3" s="62"/>
      <c r="F3" s="70"/>
      <c r="G3" s="70"/>
      <c r="H3" s="70"/>
      <c r="I3" s="70"/>
    </row>
    <row r="4" spans="1:10" ht="24.75" customHeight="1" thickBot="1" x14ac:dyDescent="0.3">
      <c r="A4" s="576"/>
      <c r="B4" s="576"/>
      <c r="C4" s="576"/>
      <c r="D4" s="576"/>
      <c r="E4" s="576"/>
      <c r="F4" s="576"/>
      <c r="G4" s="576"/>
      <c r="H4" s="576"/>
      <c r="I4" s="71"/>
    </row>
    <row r="5" spans="1:10" ht="19.5" customHeight="1" thickBot="1" x14ac:dyDescent="0.3">
      <c r="A5" s="577" t="s">
        <v>126</v>
      </c>
      <c r="B5" s="578"/>
      <c r="C5" s="578"/>
      <c r="D5" s="578"/>
      <c r="E5" s="578"/>
      <c r="F5" s="578"/>
      <c r="G5" s="578"/>
      <c r="H5" s="579"/>
      <c r="I5" s="72"/>
    </row>
    <row r="6" spans="1:10" ht="19.5" thickBot="1" x14ac:dyDescent="0.3">
      <c r="A6" s="72"/>
      <c r="B6" s="72"/>
      <c r="C6" s="72"/>
      <c r="D6" s="72"/>
      <c r="E6" s="72"/>
      <c r="F6" s="580" t="s">
        <v>127</v>
      </c>
      <c r="G6" s="580"/>
      <c r="H6" s="73">
        <f ca="1">TODAY()</f>
        <v>46034</v>
      </c>
      <c r="I6" s="73"/>
    </row>
    <row r="7" spans="1:10" ht="26.25" thickBot="1" x14ac:dyDescent="0.3">
      <c r="A7" s="74" t="s">
        <v>128</v>
      </c>
      <c r="B7" s="75" t="s">
        <v>129</v>
      </c>
      <c r="C7" s="75" t="s">
        <v>128</v>
      </c>
      <c r="D7" s="76" t="s">
        <v>130</v>
      </c>
      <c r="E7" s="76" t="s">
        <v>131</v>
      </c>
      <c r="F7" s="76" t="s">
        <v>132</v>
      </c>
      <c r="G7" s="76" t="s">
        <v>133</v>
      </c>
      <c r="H7" s="77" t="s">
        <v>134</v>
      </c>
      <c r="I7" s="78"/>
    </row>
    <row r="8" spans="1:10" ht="13.5" x14ac:dyDescent="0.25">
      <c r="A8" s="79">
        <v>6665</v>
      </c>
      <c r="B8" s="67" t="s">
        <v>47</v>
      </c>
      <c r="C8" s="80">
        <f>+A8</f>
        <v>6665</v>
      </c>
      <c r="D8" s="81" t="s">
        <v>177</v>
      </c>
      <c r="E8" s="81">
        <v>2.0699999999999998</v>
      </c>
      <c r="F8" s="81">
        <f>IFERROR(C8*E8,"")</f>
        <v>13796.55</v>
      </c>
      <c r="G8" s="82">
        <f t="shared" ref="G8:G13" si="0">IFERROR(F8/$F$65,"")</f>
        <v>0.62553749034153028</v>
      </c>
      <c r="H8" s="83" t="s">
        <v>173</v>
      </c>
      <c r="I8" s="83"/>
      <c r="J8" s="84"/>
    </row>
    <row r="9" spans="1:10" ht="13.5" x14ac:dyDescent="0.25">
      <c r="A9" s="79">
        <v>2000</v>
      </c>
      <c r="B9" s="67" t="str">
        <f>IFERROR(VLOOKUP(H9,'[1]Consolidado MP Planta'!$A$2:$M$823,3,0),"")</f>
        <v>ACEITE CAPULLO RBD (UND:17  L)</v>
      </c>
      <c r="C9" s="80">
        <f t="shared" ref="C9:C13" si="1">+A9</f>
        <v>2000</v>
      </c>
      <c r="D9" s="81" t="str">
        <f>IFERROR(VLOOKUP(H9,'[1]Consolidado MP Planta'!$A$2:$M$823,13,0),"")</f>
        <v>Mililitros</v>
      </c>
      <c r="E9" s="81">
        <v>0.89</v>
      </c>
      <c r="F9" s="81">
        <f t="shared" ref="F9:F13" si="2">IFERROR(C9*E9,"")</f>
        <v>1780</v>
      </c>
      <c r="G9" s="82">
        <f t="shared" si="0"/>
        <v>8.0705446855041579E-2</v>
      </c>
      <c r="H9" s="83" t="s">
        <v>174</v>
      </c>
      <c r="I9" s="83"/>
      <c r="J9" s="84"/>
    </row>
    <row r="10" spans="1:10" ht="13.5" x14ac:dyDescent="0.25">
      <c r="A10" s="79">
        <v>2350</v>
      </c>
      <c r="B10" s="67" t="str">
        <f>IFERROR(VLOOKUP(H10,'[1]Consolidado MP Planta'!$A$2:$M$823,3,0),"")</f>
        <v>HUEVO ENTERO PASTERI INNOVO (CAJA:10 K)</v>
      </c>
      <c r="C10" s="80">
        <f t="shared" si="1"/>
        <v>2350</v>
      </c>
      <c r="D10" s="81" t="str">
        <f>IFERROR(VLOOKUP(H10,'[1]Consolidado MP Planta'!$A$2:$M$823,13,0),"")</f>
        <v>Gramos</v>
      </c>
      <c r="E10" s="81">
        <v>2.2599999999999998</v>
      </c>
      <c r="F10" s="81">
        <f t="shared" si="2"/>
        <v>5310.9999999999991</v>
      </c>
      <c r="G10" s="82">
        <f t="shared" si="0"/>
        <v>0.24080147654332906</v>
      </c>
      <c r="H10" s="83" t="s">
        <v>175</v>
      </c>
      <c r="I10" s="83"/>
      <c r="J10" s="84"/>
    </row>
    <row r="11" spans="1:10" ht="14.25" thickBot="1" x14ac:dyDescent="0.3">
      <c r="A11" s="79">
        <v>18</v>
      </c>
      <c r="B11" s="67" t="str">
        <f>IFERROR(VLOOKUP(H11,'[1]Consolidado MP Planta'!$A$2:$M$823,3,0),"")</f>
        <v>PRESERVANTE 1047S (PAQ=5 KILO)</v>
      </c>
      <c r="C11" s="80">
        <f t="shared" si="1"/>
        <v>18</v>
      </c>
      <c r="D11" s="81" t="str">
        <f>IFERROR(VLOOKUP(H11,'[1]Consolidado MP Planta'!$A$2:$M$823,13,0),"")</f>
        <v>Gramos</v>
      </c>
      <c r="E11" s="81">
        <v>7.31</v>
      </c>
      <c r="F11" s="81">
        <f t="shared" si="2"/>
        <v>131.57999999999998</v>
      </c>
      <c r="G11" s="82">
        <f t="shared" si="0"/>
        <v>5.9658554478575106E-3</v>
      </c>
      <c r="H11" s="83" t="s">
        <v>176</v>
      </c>
      <c r="I11" s="83"/>
      <c r="J11" s="84"/>
    </row>
    <row r="12" spans="1:10" ht="13.5" hidden="1" x14ac:dyDescent="0.25">
      <c r="A12" s="79"/>
      <c r="B12" s="67" t="str">
        <f>IFERROR(VLOOKUP(H12,'[1]Consolidado MP Planta'!$A$2:$M$823,3,0),"")</f>
        <v/>
      </c>
      <c r="C12" s="80">
        <f t="shared" si="1"/>
        <v>0</v>
      </c>
      <c r="D12" s="81" t="str">
        <f>IFERROR(VLOOKUP(H12,'[1]Consolidado MP Planta'!$A$2:$M$823,13,0),"")</f>
        <v/>
      </c>
      <c r="E12" s="81" t="str">
        <f>IFERROR(VLOOKUP(H12,'[1]Consolidado MP Planta'!$A$2:$M$823,12,0),"")</f>
        <v/>
      </c>
      <c r="F12" s="81" t="str">
        <f t="shared" si="2"/>
        <v/>
      </c>
      <c r="G12" s="82" t="str">
        <f t="shared" si="0"/>
        <v/>
      </c>
      <c r="H12" s="83"/>
      <c r="I12" s="83"/>
      <c r="J12" s="84"/>
    </row>
    <row r="13" spans="1:10" ht="13.5" hidden="1" x14ac:dyDescent="0.25">
      <c r="A13" s="79"/>
      <c r="B13" s="67" t="str">
        <f>IFERROR(VLOOKUP(H13,'[1]Consolidado MP Planta'!$A$2:$M$823,3,0),"")</f>
        <v/>
      </c>
      <c r="C13" s="80">
        <f t="shared" si="1"/>
        <v>0</v>
      </c>
      <c r="D13" s="81" t="str">
        <f>IFERROR(VLOOKUP(H13,'[1]Consolidado MP Planta'!$A$2:$M$823,13,0),"")</f>
        <v/>
      </c>
      <c r="E13" s="81" t="str">
        <f>IFERROR(VLOOKUP(H13,'[1]Consolidado MP Planta'!$A$2:$M$823,12,0),"")</f>
        <v/>
      </c>
      <c r="F13" s="81" t="str">
        <f t="shared" si="2"/>
        <v/>
      </c>
      <c r="G13" s="82" t="str">
        <f t="shared" si="0"/>
        <v/>
      </c>
      <c r="H13" s="83"/>
      <c r="I13" s="83"/>
      <c r="J13" s="84"/>
    </row>
    <row r="14" spans="1:10" ht="14.25" hidden="1" thickBot="1" x14ac:dyDescent="0.3">
      <c r="A14" s="79"/>
      <c r="B14" s="67" t="str">
        <f>IFERROR(VLOOKUP(H14,'[2]ARTICULOS MP PLANTA'!$A$2:$G$589,2,0),"")</f>
        <v/>
      </c>
      <c r="C14" s="80"/>
      <c r="D14" s="81"/>
      <c r="E14" s="81"/>
      <c r="F14" s="81"/>
      <c r="G14" s="82"/>
      <c r="H14" s="83"/>
      <c r="I14" s="83"/>
      <c r="J14" s="84"/>
    </row>
    <row r="15" spans="1:10" ht="26.25" hidden="1" thickBot="1" x14ac:dyDescent="0.3">
      <c r="A15" s="74" t="s">
        <v>128</v>
      </c>
      <c r="B15" s="75" t="s">
        <v>135</v>
      </c>
      <c r="C15" s="75" t="s">
        <v>128</v>
      </c>
      <c r="D15" s="76" t="s">
        <v>130</v>
      </c>
      <c r="E15" s="76" t="s">
        <v>131</v>
      </c>
      <c r="F15" s="76" t="s">
        <v>132</v>
      </c>
      <c r="G15" s="76" t="s">
        <v>133</v>
      </c>
      <c r="H15" s="77" t="s">
        <v>134</v>
      </c>
      <c r="I15" s="78"/>
      <c r="J15" s="84"/>
    </row>
    <row r="16" spans="1:10" ht="13.5" hidden="1" x14ac:dyDescent="0.25">
      <c r="A16" s="79"/>
      <c r="B16" s="67" t="str">
        <f>IFERROR(VLOOKUP(H16,[1]SEMIELABORADOS!$A$2:$M$6000,2,0),"")</f>
        <v/>
      </c>
      <c r="C16" s="80">
        <f>+A16</f>
        <v>0</v>
      </c>
      <c r="D16" s="80" t="str">
        <f>IFERROR(VLOOKUP(H16,[1]SEMIELABORADOS!$A$2:$M$6000,6,0),"")</f>
        <v/>
      </c>
      <c r="E16" s="81" t="str">
        <f>IFERROR(VLOOKUP(H16,[1]SEMIELABORADOS!$A$2:$H$65536,8,0),"")</f>
        <v/>
      </c>
      <c r="F16" s="81" t="str">
        <f>IFERROR(E16*C16,"")</f>
        <v/>
      </c>
      <c r="G16" s="82" t="str">
        <f t="shared" ref="G16:G23" si="3">IFERROR(F16/$F$65,"")</f>
        <v/>
      </c>
      <c r="H16" s="83"/>
      <c r="I16" s="83"/>
      <c r="J16" s="84"/>
    </row>
    <row r="17" spans="1:12" ht="13.5" hidden="1" x14ac:dyDescent="0.25">
      <c r="A17" s="79"/>
      <c r="B17" s="67" t="str">
        <f>IFERROR(VLOOKUP(H17,[1]SEMIELABORADOS!$A$2:$M$6000,2,0),"")</f>
        <v/>
      </c>
      <c r="C17" s="80">
        <f t="shared" ref="C17:C23" si="4">+A17</f>
        <v>0</v>
      </c>
      <c r="D17" s="80" t="str">
        <f>IFERROR(VLOOKUP(H17,[1]SEMIELABORADOS!$A$2:$M$6000,6,0),"")</f>
        <v/>
      </c>
      <c r="E17" s="81" t="str">
        <f>IFERROR(VLOOKUP(H17,[1]SEMIELABORADOS!$A$2:$H$65536,8,0),"")</f>
        <v/>
      </c>
      <c r="F17" s="81" t="str">
        <f t="shared" ref="F17:F23" si="5">IFERROR(E17*C17,"")</f>
        <v/>
      </c>
      <c r="G17" s="82" t="str">
        <f t="shared" si="3"/>
        <v/>
      </c>
      <c r="H17" s="83"/>
      <c r="I17" s="83"/>
      <c r="J17" s="84"/>
    </row>
    <row r="18" spans="1:12" ht="13.5" hidden="1" x14ac:dyDescent="0.25">
      <c r="A18" s="79"/>
      <c r="B18" s="67" t="str">
        <f>IFERROR(VLOOKUP(H18,[1]SEMIELABORADOS!$A$2:$M$6000,2,0),"")</f>
        <v/>
      </c>
      <c r="C18" s="80">
        <f>+A18</f>
        <v>0</v>
      </c>
      <c r="D18" s="80" t="str">
        <f>IFERROR(VLOOKUP(H18,[1]SEMIELABORADOS!$A$2:$M$6000,6,0),"")</f>
        <v/>
      </c>
      <c r="E18" s="81" t="str">
        <f>IFERROR(VLOOKUP(H18,[1]SEMIELABORADOS!$A$2:$H$65536,8,0),"")</f>
        <v/>
      </c>
      <c r="F18" s="81" t="str">
        <f>IFERROR(E18*C18,"")</f>
        <v/>
      </c>
      <c r="G18" s="82" t="str">
        <f t="shared" si="3"/>
        <v/>
      </c>
      <c r="H18" s="83"/>
      <c r="I18" s="83"/>
      <c r="J18" s="84"/>
    </row>
    <row r="19" spans="1:12" ht="13.5" hidden="1" x14ac:dyDescent="0.25">
      <c r="A19" s="79"/>
      <c r="B19" s="67" t="str">
        <f>IFERROR(VLOOKUP(H19,[1]SEMIELABORADOS!$A$2:$M$6000,2,0),"")</f>
        <v/>
      </c>
      <c r="C19" s="80">
        <f>+A19</f>
        <v>0</v>
      </c>
      <c r="D19" s="80" t="str">
        <f>IFERROR(VLOOKUP(H19,[1]SEMIELABORADOS!$A$2:$M$6000,6,0),"")</f>
        <v/>
      </c>
      <c r="E19" s="81" t="str">
        <f>IFERROR(VLOOKUP(H19,[1]SEMIELABORADOS!$A$2:$H$65536,8,0),"")</f>
        <v/>
      </c>
      <c r="F19" s="81" t="str">
        <f>IFERROR(E19*C19,"")</f>
        <v/>
      </c>
      <c r="G19" s="82" t="str">
        <f t="shared" si="3"/>
        <v/>
      </c>
      <c r="H19" s="83"/>
      <c r="I19" s="83"/>
      <c r="J19" s="84"/>
    </row>
    <row r="20" spans="1:12" ht="13.5" hidden="1" x14ac:dyDescent="0.25">
      <c r="A20" s="79"/>
      <c r="B20" s="67" t="str">
        <f>IFERROR(VLOOKUP(H20,[1]SEMIELABORADOS!$A$2:$M$6000,2,0),"")</f>
        <v/>
      </c>
      <c r="C20" s="80">
        <f>+A20</f>
        <v>0</v>
      </c>
      <c r="D20" s="80" t="str">
        <f>IFERROR(VLOOKUP(H20,[1]SEMIELABORADOS!$A$2:$M$6000,6,0),"")</f>
        <v/>
      </c>
      <c r="E20" s="81" t="str">
        <f>IFERROR(VLOOKUP(H20,[1]SEMIELABORADOS!$A$2:$H$65536,8,0),"")</f>
        <v/>
      </c>
      <c r="F20" s="81" t="str">
        <f>IFERROR(E20*C20,"")</f>
        <v/>
      </c>
      <c r="G20" s="82" t="str">
        <f t="shared" si="3"/>
        <v/>
      </c>
      <c r="H20" s="83"/>
      <c r="I20" s="83"/>
      <c r="J20" s="84"/>
    </row>
    <row r="21" spans="1:12" ht="13.5" hidden="1" x14ac:dyDescent="0.25">
      <c r="A21" s="79"/>
      <c r="B21" s="67" t="str">
        <f>IFERROR(VLOOKUP(H21,[1]SEMIELABORADOS!$A$2:$M$6000,2,0),"")</f>
        <v/>
      </c>
      <c r="C21" s="80">
        <f t="shared" si="4"/>
        <v>0</v>
      </c>
      <c r="D21" s="80" t="str">
        <f>IFERROR(VLOOKUP(H21,[1]SEMIELABORADOS!$A$2:$M$6000,6,0),"")</f>
        <v/>
      </c>
      <c r="E21" s="81" t="str">
        <f>IFERROR(VLOOKUP(H21,[1]SEMIELABORADOS!$A$2:$H$65536,8,0),"")</f>
        <v/>
      </c>
      <c r="F21" s="81" t="str">
        <f t="shared" si="5"/>
        <v/>
      </c>
      <c r="G21" s="82" t="str">
        <f t="shared" si="3"/>
        <v/>
      </c>
      <c r="H21" s="83"/>
      <c r="I21" s="83"/>
      <c r="J21" s="84"/>
    </row>
    <row r="22" spans="1:12" ht="13.5" hidden="1" x14ac:dyDescent="0.25">
      <c r="A22" s="79"/>
      <c r="B22" s="67" t="str">
        <f>IFERROR(VLOOKUP(H22,[1]SEMIELABORADOS!$A$2:$M$6000,2,0),"")</f>
        <v/>
      </c>
      <c r="C22" s="80">
        <f t="shared" si="4"/>
        <v>0</v>
      </c>
      <c r="D22" s="80" t="str">
        <f>IFERROR(VLOOKUP(H22,[1]SEMIELABORADOS!$A$2:$M$6000,6,0),"")</f>
        <v/>
      </c>
      <c r="E22" s="81" t="str">
        <f>IFERROR(VLOOKUP(H22,[1]SEMIELABORADOS!$A$2:$H$65536,8,0),"")</f>
        <v/>
      </c>
      <c r="F22" s="81" t="str">
        <f t="shared" si="5"/>
        <v/>
      </c>
      <c r="G22" s="82" t="str">
        <f t="shared" si="3"/>
        <v/>
      </c>
      <c r="H22" s="83"/>
      <c r="I22" s="83"/>
      <c r="J22" s="84"/>
    </row>
    <row r="23" spans="1:12" ht="13.5" hidden="1" x14ac:dyDescent="0.25">
      <c r="A23" s="79"/>
      <c r="B23" s="67" t="str">
        <f>IFERROR(VLOOKUP(H23,[1]SEMIELABORADOS!$A$2:$M$6000,2,0),"")</f>
        <v/>
      </c>
      <c r="C23" s="80">
        <f t="shared" si="4"/>
        <v>0</v>
      </c>
      <c r="D23" s="80" t="str">
        <f>IFERROR(VLOOKUP(H23,[1]SEMIELABORADOS!$A$2:$M$6000,6,0),"")</f>
        <v/>
      </c>
      <c r="E23" s="81" t="str">
        <f>IFERROR(VLOOKUP(H23,[1]SEMIELABORADOS!$A$2:$H$65536,8,0),"")</f>
        <v/>
      </c>
      <c r="F23" s="81" t="str">
        <f t="shared" si="5"/>
        <v/>
      </c>
      <c r="G23" s="82" t="str">
        <f t="shared" si="3"/>
        <v/>
      </c>
      <c r="H23" s="83"/>
      <c r="I23" s="83"/>
      <c r="J23" s="84"/>
    </row>
    <row r="24" spans="1:12" ht="14.25" hidden="1" thickBot="1" x14ac:dyDescent="0.3">
      <c r="A24" s="79"/>
      <c r="C24" s="80"/>
      <c r="D24" s="80"/>
      <c r="E24" s="81"/>
      <c r="F24" s="81"/>
      <c r="G24" s="82"/>
      <c r="H24" s="83"/>
      <c r="I24" s="83"/>
      <c r="J24" s="84"/>
    </row>
    <row r="25" spans="1:12" ht="26.25" hidden="1" thickBot="1" x14ac:dyDescent="0.3">
      <c r="A25" s="74" t="s">
        <v>128</v>
      </c>
      <c r="B25" s="75" t="s">
        <v>71</v>
      </c>
      <c r="C25" s="75" t="s">
        <v>128</v>
      </c>
      <c r="D25" s="76" t="s">
        <v>130</v>
      </c>
      <c r="E25" s="76" t="s">
        <v>131</v>
      </c>
      <c r="F25" s="76" t="s">
        <v>132</v>
      </c>
      <c r="G25" s="76" t="s">
        <v>133</v>
      </c>
      <c r="H25" s="77" t="s">
        <v>134</v>
      </c>
      <c r="I25" s="78"/>
    </row>
    <row r="26" spans="1:12" ht="13.5" hidden="1" x14ac:dyDescent="0.25">
      <c r="A26" s="79">
        <v>0</v>
      </c>
      <c r="B26" s="85" t="str">
        <f>IFERROR(VLOOKUP(H26,'[1]Consolidado MP Planta'!$A$2:$M$823,3,0),"")</f>
        <v/>
      </c>
      <c r="C26" s="80">
        <f t="shared" ref="C26:C31" si="6">+A26</f>
        <v>0</v>
      </c>
      <c r="D26" s="81" t="str">
        <f>IFERROR(VLOOKUP(H26,'[1]Consolidado MP Planta'!$A$2:$M$823,13,0),"")</f>
        <v/>
      </c>
      <c r="E26" s="81" t="str">
        <f>IFERROR(VLOOKUP(H26,'[1]Consolidado MP Planta'!$A$2:$M$823,12,0),"")</f>
        <v/>
      </c>
      <c r="F26" s="81" t="str">
        <f t="shared" ref="F26:F31" si="7">IFERROR(C26*E26,"")</f>
        <v/>
      </c>
      <c r="G26" s="82" t="str">
        <f t="shared" ref="G26:G31" si="8">IFERROR(F26/$F$65,"")</f>
        <v/>
      </c>
      <c r="H26" s="86"/>
      <c r="I26" s="86"/>
      <c r="J26" s="84"/>
      <c r="K26" s="575"/>
      <c r="L26" s="575"/>
    </row>
    <row r="27" spans="1:12" ht="13.5" hidden="1" x14ac:dyDescent="0.25">
      <c r="A27" s="79"/>
      <c r="B27" s="85" t="str">
        <f>IFERROR(VLOOKUP(H27,'[1]Consolidado MP Planta'!$A$2:$M$823,3,0),"")</f>
        <v/>
      </c>
      <c r="C27" s="80">
        <f t="shared" si="6"/>
        <v>0</v>
      </c>
      <c r="D27" s="81" t="str">
        <f>IFERROR(VLOOKUP(H27,'[1]Consolidado MP Planta'!$A$2:$M$823,13,0),"")</f>
        <v/>
      </c>
      <c r="E27" s="81" t="str">
        <f>IFERROR(VLOOKUP(H27,'[1]Consolidado MP Planta'!$A$2:$M$823,12,0),"")</f>
        <v/>
      </c>
      <c r="F27" s="81" t="str">
        <f t="shared" si="7"/>
        <v/>
      </c>
      <c r="G27" s="82" t="str">
        <f t="shared" si="8"/>
        <v/>
      </c>
      <c r="H27" s="86"/>
      <c r="I27" s="86"/>
      <c r="J27" s="84"/>
      <c r="K27" s="575"/>
      <c r="L27" s="575"/>
    </row>
    <row r="28" spans="1:12" ht="13.5" hidden="1" x14ac:dyDescent="0.25">
      <c r="A28" s="79"/>
      <c r="B28" s="85" t="str">
        <f>IFERROR(VLOOKUP(H28,'[1]Consolidado MP Planta'!$A$2:$M$823,3,0),"")</f>
        <v/>
      </c>
      <c r="C28" s="80">
        <f t="shared" si="6"/>
        <v>0</v>
      </c>
      <c r="D28" s="81" t="str">
        <f>IFERROR(VLOOKUP(H28,'[1]Consolidado MP Planta'!$A$2:$M$823,13,0),"")</f>
        <v/>
      </c>
      <c r="E28" s="81" t="str">
        <f>IFERROR(VLOOKUP(H28,'[1]Consolidado MP Planta'!$A$2:$M$823,12,0),"")</f>
        <v/>
      </c>
      <c r="F28" s="81" t="str">
        <f t="shared" si="7"/>
        <v/>
      </c>
      <c r="G28" s="82" t="str">
        <f t="shared" si="8"/>
        <v/>
      </c>
      <c r="H28" s="86"/>
      <c r="I28" s="86"/>
      <c r="J28" s="84"/>
      <c r="K28" s="575"/>
      <c r="L28" s="575"/>
    </row>
    <row r="29" spans="1:12" ht="13.5" hidden="1" x14ac:dyDescent="0.25">
      <c r="A29" s="79"/>
      <c r="B29" s="85" t="str">
        <f>IFERROR(VLOOKUP(H29,'[1]Consolidado MP Planta'!$A$2:$M$823,3,0),"")</f>
        <v/>
      </c>
      <c r="C29" s="80">
        <f t="shared" si="6"/>
        <v>0</v>
      </c>
      <c r="D29" s="81" t="str">
        <f>IFERROR(VLOOKUP(H29,'[1]Consolidado MP Planta'!$A$2:$M$823,13,0),"")</f>
        <v/>
      </c>
      <c r="E29" s="81" t="str">
        <f>IFERROR(VLOOKUP(H29,'[1]Consolidado MP Planta'!$A$2:$M$823,12,0),"")</f>
        <v/>
      </c>
      <c r="F29" s="81" t="str">
        <f t="shared" si="7"/>
        <v/>
      </c>
      <c r="G29" s="82" t="str">
        <f t="shared" si="8"/>
        <v/>
      </c>
      <c r="H29" s="86"/>
      <c r="I29" s="86"/>
      <c r="J29" s="84"/>
      <c r="K29" s="575"/>
      <c r="L29" s="575"/>
    </row>
    <row r="30" spans="1:12" ht="13.5" hidden="1" x14ac:dyDescent="0.25">
      <c r="A30" s="79"/>
      <c r="B30" s="85" t="str">
        <f>IFERROR(VLOOKUP(H30,'[1]Consolidado MP Planta'!$A$2:$M$823,3,0),"")</f>
        <v/>
      </c>
      <c r="C30" s="80">
        <f t="shared" si="6"/>
        <v>0</v>
      </c>
      <c r="D30" s="81" t="str">
        <f>IFERROR(VLOOKUP(H30,'[1]Consolidado MP Planta'!$A$2:$M$823,13,0),"")</f>
        <v/>
      </c>
      <c r="E30" s="81" t="str">
        <f>IFERROR(VLOOKUP(H30,'[1]Consolidado MP Planta'!$A$2:$M$823,12,0),"")</f>
        <v/>
      </c>
      <c r="F30" s="81" t="str">
        <f t="shared" si="7"/>
        <v/>
      </c>
      <c r="G30" s="82" t="str">
        <f t="shared" si="8"/>
        <v/>
      </c>
      <c r="H30" s="86"/>
      <c r="I30" s="86"/>
      <c r="J30" s="84"/>
      <c r="K30" s="87"/>
      <c r="L30" s="88"/>
    </row>
    <row r="31" spans="1:12" ht="13.5" hidden="1" x14ac:dyDescent="0.25">
      <c r="A31" s="79"/>
      <c r="B31" s="85" t="str">
        <f>IFERROR(VLOOKUP(H31,'[1]Consolidado MP Planta'!$A$2:$M$823,3,0),"")</f>
        <v/>
      </c>
      <c r="C31" s="80">
        <f t="shared" si="6"/>
        <v>0</v>
      </c>
      <c r="D31" s="81" t="str">
        <f>IFERROR(VLOOKUP(H31,'[1]Consolidado MP Planta'!$A$2:$M$823,13,0),"")</f>
        <v/>
      </c>
      <c r="E31" s="81" t="str">
        <f>IFERROR(VLOOKUP(H31,'[1]Consolidado MP Planta'!$A$2:$M$823,12,0),"")</f>
        <v/>
      </c>
      <c r="F31" s="81" t="str">
        <f t="shared" si="7"/>
        <v/>
      </c>
      <c r="G31" s="82" t="str">
        <f t="shared" si="8"/>
        <v/>
      </c>
      <c r="H31" s="86"/>
      <c r="I31" s="86"/>
      <c r="J31" s="84"/>
    </row>
    <row r="32" spans="1:12" ht="14.25" hidden="1" thickBot="1" x14ac:dyDescent="0.3">
      <c r="A32" s="79"/>
      <c r="B32" s="85"/>
      <c r="C32" s="80"/>
      <c r="D32" s="81"/>
      <c r="E32" s="81"/>
      <c r="F32" s="81"/>
      <c r="G32" s="82"/>
      <c r="H32" s="86"/>
      <c r="I32" s="86"/>
      <c r="J32" s="84"/>
    </row>
    <row r="33" spans="1:13" ht="26.25" hidden="1" thickBot="1" x14ac:dyDescent="0.25">
      <c r="A33" s="74" t="s">
        <v>128</v>
      </c>
      <c r="B33" s="75" t="s">
        <v>136</v>
      </c>
      <c r="C33" s="75" t="s">
        <v>128</v>
      </c>
      <c r="D33" s="76" t="s">
        <v>130</v>
      </c>
      <c r="E33" s="76" t="s">
        <v>131</v>
      </c>
      <c r="F33" s="76" t="s">
        <v>132</v>
      </c>
      <c r="G33" s="76" t="s">
        <v>133</v>
      </c>
      <c r="H33" s="77" t="s">
        <v>134</v>
      </c>
      <c r="I33" s="86"/>
      <c r="J33" s="84"/>
    </row>
    <row r="34" spans="1:13" ht="13.5" hidden="1" x14ac:dyDescent="0.25">
      <c r="A34" s="79">
        <f>+A16</f>
        <v>0</v>
      </c>
      <c r="B34" s="85" t="str">
        <f>IFERROR(VLOOKUP(H34,[1]SEMIELABORADOS!$A$2:$M$6000,2,0),"")</f>
        <v/>
      </c>
      <c r="C34" s="80">
        <f>+A34</f>
        <v>0</v>
      </c>
      <c r="D34" s="81" t="str">
        <f>IFERROR(VLOOKUP(H34,[1]SEMIELABORADOS!$A$2:$M$6000,6,0),"")</f>
        <v/>
      </c>
      <c r="E34" s="81" t="str">
        <f>IFERROR(VLOOKUP(H34,[1]SEMIELABORADOS!$A$2:$M$65536,10,0),"")</f>
        <v/>
      </c>
      <c r="F34" s="81" t="str">
        <f>IFERROR(E34*C34,"")</f>
        <v/>
      </c>
      <c r="G34" s="82" t="str">
        <f t="shared" ref="G34:G40" si="9">IFERROR(F34/$F$65,"")</f>
        <v/>
      </c>
      <c r="H34" s="86"/>
      <c r="I34" s="86"/>
      <c r="J34" s="84"/>
    </row>
    <row r="35" spans="1:13" ht="13.5" hidden="1" x14ac:dyDescent="0.25">
      <c r="A35" s="79">
        <f t="shared" ref="A35:A40" si="10">+A17</f>
        <v>0</v>
      </c>
      <c r="B35" s="85" t="str">
        <f>IFERROR(VLOOKUP(H35,[1]SEMIELABORADOS!$A$2:$M$6000,2,0),"")</f>
        <v/>
      </c>
      <c r="C35" s="80">
        <f t="shared" ref="C35:C40" si="11">+A35</f>
        <v>0</v>
      </c>
      <c r="D35" s="81" t="str">
        <f>IFERROR(VLOOKUP(H35,[1]SEMIELABORADOS!$A$2:$M$6000,6,0),"")</f>
        <v/>
      </c>
      <c r="E35" s="81" t="str">
        <f>IFERROR(VLOOKUP(H35,[1]SEMIELABORADOS!$A$2:$M$65536,10,0),"")</f>
        <v/>
      </c>
      <c r="F35" s="81" t="str">
        <f t="shared" ref="F35:F40" si="12">IFERROR(E35*C35,"")</f>
        <v/>
      </c>
      <c r="G35" s="82" t="str">
        <f t="shared" si="9"/>
        <v/>
      </c>
      <c r="H35" s="86"/>
      <c r="I35" s="86"/>
      <c r="J35" s="84"/>
    </row>
    <row r="36" spans="1:13" ht="13.5" hidden="1" x14ac:dyDescent="0.25">
      <c r="A36" s="79">
        <f t="shared" si="10"/>
        <v>0</v>
      </c>
      <c r="B36" s="85" t="str">
        <f>IFERROR(VLOOKUP(H36,[1]SEMIELABORADOS!$A$2:$M$6000,2,0),"")</f>
        <v/>
      </c>
      <c r="C36" s="80">
        <f t="shared" si="11"/>
        <v>0</v>
      </c>
      <c r="D36" s="81" t="str">
        <f>IFERROR(VLOOKUP(H36,[1]SEMIELABORADOS!$A$2:$M$6000,6,0),"")</f>
        <v/>
      </c>
      <c r="E36" s="81" t="str">
        <f>IFERROR(VLOOKUP(H36,[1]SEMIELABORADOS!$A$2:$M$65536,10,0),"")</f>
        <v/>
      </c>
      <c r="F36" s="81" t="str">
        <f t="shared" si="12"/>
        <v/>
      </c>
      <c r="G36" s="82" t="str">
        <f t="shared" si="9"/>
        <v/>
      </c>
      <c r="H36" s="86"/>
      <c r="I36" s="86"/>
      <c r="J36" s="84"/>
    </row>
    <row r="37" spans="1:13" ht="13.5" hidden="1" x14ac:dyDescent="0.25">
      <c r="A37" s="79">
        <f t="shared" si="10"/>
        <v>0</v>
      </c>
      <c r="B37" s="85" t="str">
        <f>IFERROR(VLOOKUP(H37,[1]SEMIELABORADOS!$A$2:$M$6000,2,0),"")</f>
        <v/>
      </c>
      <c r="C37" s="80">
        <f>+A37</f>
        <v>0</v>
      </c>
      <c r="D37" s="81" t="str">
        <f>IFERROR(VLOOKUP(H37,[1]SEMIELABORADOS!$A$2:$M$6000,6,0),"")</f>
        <v/>
      </c>
      <c r="E37" s="81" t="str">
        <f>IFERROR(VLOOKUP(H37,[1]SEMIELABORADOS!$A$2:$M$65536,10,0),"")</f>
        <v/>
      </c>
      <c r="F37" s="81" t="str">
        <f>IFERROR(E37*C37,"")</f>
        <v/>
      </c>
      <c r="G37" s="82" t="str">
        <f t="shared" si="9"/>
        <v/>
      </c>
      <c r="H37" s="86"/>
      <c r="I37" s="86"/>
      <c r="J37" s="84"/>
    </row>
    <row r="38" spans="1:13" ht="13.5" hidden="1" x14ac:dyDescent="0.25">
      <c r="A38" s="79">
        <f t="shared" si="10"/>
        <v>0</v>
      </c>
      <c r="B38" s="85" t="str">
        <f>IFERROR(VLOOKUP(H38,[1]SEMIELABORADOS!$A$2:$M$6000,2,0),"")</f>
        <v/>
      </c>
      <c r="C38" s="80">
        <f>+A38</f>
        <v>0</v>
      </c>
      <c r="D38" s="81" t="str">
        <f>IFERROR(VLOOKUP(H38,[1]SEMIELABORADOS!$A$2:$M$6000,6,0),"")</f>
        <v/>
      </c>
      <c r="E38" s="81" t="str">
        <f>IFERROR(VLOOKUP(H38,[1]SEMIELABORADOS!$A$2:$M$65536,10,0),"")</f>
        <v/>
      </c>
      <c r="F38" s="81" t="str">
        <f>IFERROR(E38*C38,"")</f>
        <v/>
      </c>
      <c r="G38" s="82" t="str">
        <f t="shared" si="9"/>
        <v/>
      </c>
      <c r="H38" s="86"/>
      <c r="I38" s="86"/>
      <c r="J38" s="84"/>
    </row>
    <row r="39" spans="1:13" ht="13.5" hidden="1" x14ac:dyDescent="0.25">
      <c r="A39" s="79">
        <f t="shared" si="10"/>
        <v>0</v>
      </c>
      <c r="B39" s="85" t="str">
        <f>IFERROR(VLOOKUP(H39,[1]SEMIELABORADOS!$A$2:$M$6000,2,0),"")</f>
        <v/>
      </c>
      <c r="C39" s="80">
        <f t="shared" si="11"/>
        <v>0</v>
      </c>
      <c r="D39" s="81" t="str">
        <f>IFERROR(VLOOKUP(H39,[1]SEMIELABORADOS!$A$2:$M$6000,6,0),"")</f>
        <v/>
      </c>
      <c r="E39" s="81" t="str">
        <f>IFERROR(VLOOKUP(H39,[1]SEMIELABORADOS!$A$2:$M$65536,10,0),"")</f>
        <v/>
      </c>
      <c r="F39" s="81" t="str">
        <f t="shared" si="12"/>
        <v/>
      </c>
      <c r="G39" s="82" t="str">
        <f t="shared" si="9"/>
        <v/>
      </c>
      <c r="H39" s="86"/>
      <c r="I39" s="86"/>
      <c r="J39" s="84"/>
    </row>
    <row r="40" spans="1:13" ht="13.5" hidden="1" x14ac:dyDescent="0.25">
      <c r="A40" s="79">
        <f t="shared" si="10"/>
        <v>0</v>
      </c>
      <c r="B40" s="85" t="str">
        <f>IFERROR(VLOOKUP(H40,[1]SEMIELABORADOS!$A$2:$M$6000,2,0),"")</f>
        <v/>
      </c>
      <c r="C40" s="80">
        <f t="shared" si="11"/>
        <v>0</v>
      </c>
      <c r="D40" s="81" t="str">
        <f>IFERROR(VLOOKUP(H40,[1]SEMIELABORADOS!$A$2:$M$6000,6,0),"")</f>
        <v/>
      </c>
      <c r="E40" s="81" t="str">
        <f>IFERROR(VLOOKUP(H40,[1]SEMIELABORADOS!$A$2:$M$65536,10,0),"")</f>
        <v/>
      </c>
      <c r="F40" s="81" t="str">
        <f t="shared" si="12"/>
        <v/>
      </c>
      <c r="G40" s="82" t="str">
        <f t="shared" si="9"/>
        <v/>
      </c>
      <c r="H40" s="86"/>
      <c r="I40" s="86"/>
      <c r="J40" s="84"/>
    </row>
    <row r="41" spans="1:13" ht="14.25" hidden="1" thickBot="1" x14ac:dyDescent="0.3">
      <c r="A41" s="79"/>
      <c r="B41" s="85"/>
      <c r="C41" s="80"/>
      <c r="D41" s="81"/>
      <c r="E41" s="81"/>
      <c r="F41" s="81"/>
      <c r="G41" s="82"/>
      <c r="H41" s="86"/>
      <c r="I41" s="86"/>
      <c r="J41" s="84"/>
    </row>
    <row r="42" spans="1:13" ht="26.25" thickBot="1" x14ac:dyDescent="0.3">
      <c r="A42" s="74" t="s">
        <v>128</v>
      </c>
      <c r="B42" s="75" t="s">
        <v>137</v>
      </c>
      <c r="C42" s="75" t="s">
        <v>128</v>
      </c>
      <c r="D42" s="76" t="s">
        <v>130</v>
      </c>
      <c r="E42" s="76" t="s">
        <v>131</v>
      </c>
      <c r="F42" s="76" t="s">
        <v>132</v>
      </c>
      <c r="G42" s="76" t="s">
        <v>133</v>
      </c>
      <c r="H42" s="77" t="s">
        <v>134</v>
      </c>
      <c r="I42" s="78"/>
      <c r="J42" s="84"/>
    </row>
    <row r="43" spans="1:13" ht="13.5" hidden="1" x14ac:dyDescent="0.25">
      <c r="A43" s="79">
        <f>+A34</f>
        <v>0</v>
      </c>
      <c r="B43" s="85" t="str">
        <f>IFERROR(VLOOKUP(H43,[1]SEMIELABORADOS!$A$2:$M$6000,2,0),"")</f>
        <v/>
      </c>
      <c r="C43" s="80">
        <f>+A43</f>
        <v>0</v>
      </c>
      <c r="D43" s="81" t="str">
        <f>IFERROR(VLOOKUP(H43,[1]SEMIELABORADOS!$A$2:$M$6000,6,0),"")</f>
        <v/>
      </c>
      <c r="E43" s="81" t="str">
        <f>IFERROR(VLOOKUP(H43,[1]SEMIELABORADOS!$A$2:$M$65536,12,0),"")</f>
        <v/>
      </c>
      <c r="F43" s="81" t="str">
        <f>IFERROR(E43*C43,"")</f>
        <v/>
      </c>
      <c r="G43" s="82" t="str">
        <f>IFERROR(F43/$F$65,"")</f>
        <v/>
      </c>
      <c r="H43" s="86"/>
      <c r="I43" s="78"/>
      <c r="J43" s="84"/>
    </row>
    <row r="44" spans="1:13" ht="13.5" hidden="1" x14ac:dyDescent="0.25">
      <c r="A44" s="79">
        <f t="shared" ref="A44:A49" si="13">+A35</f>
        <v>0</v>
      </c>
      <c r="B44" s="85" t="str">
        <f>IFERROR(VLOOKUP(H44,[1]SEMIELABORADOS!$A$2:$M$6000,2,0),"")</f>
        <v/>
      </c>
      <c r="C44" s="80">
        <f t="shared" ref="C44:C49" si="14">+A44</f>
        <v>0</v>
      </c>
      <c r="D44" s="81" t="str">
        <f>IFERROR(VLOOKUP(H44,[1]SEMIELABORADOS!$A$2:$M$6000,6,0),"")</f>
        <v/>
      </c>
      <c r="E44" s="81" t="str">
        <f>IFERROR(VLOOKUP(H44,[1]SEMIELABORADOS!$A$2:$M$65536,12,0),"")</f>
        <v/>
      </c>
      <c r="F44" s="81" t="str">
        <f t="shared" ref="F44:F49" si="15">IFERROR(E44*C44,"")</f>
        <v/>
      </c>
      <c r="G44" s="82" t="str">
        <f t="shared" ref="G44:G49" si="16">IFERROR(F44/$F$65,"")</f>
        <v/>
      </c>
      <c r="H44" s="86"/>
      <c r="I44" s="78"/>
      <c r="J44" s="84"/>
      <c r="M44" s="89"/>
    </row>
    <row r="45" spans="1:13" ht="13.5" hidden="1" x14ac:dyDescent="0.25">
      <c r="A45" s="79">
        <f t="shared" si="13"/>
        <v>0</v>
      </c>
      <c r="B45" s="85" t="str">
        <f>IFERROR(VLOOKUP(H45,[1]SEMIELABORADOS!$A$2:$M$6000,2,0),"")</f>
        <v/>
      </c>
      <c r="C45" s="80">
        <f t="shared" si="14"/>
        <v>0</v>
      </c>
      <c r="D45" s="81" t="str">
        <f>IFERROR(VLOOKUP(H45,[1]SEMIELABORADOS!$A$2:$M$6000,6,0),"")</f>
        <v/>
      </c>
      <c r="E45" s="81" t="str">
        <f>IFERROR(VLOOKUP(H45,[1]SEMIELABORADOS!$A$2:$M$65536,12,0),"")</f>
        <v/>
      </c>
      <c r="F45" s="81" t="str">
        <f t="shared" si="15"/>
        <v/>
      </c>
      <c r="G45" s="82" t="str">
        <f t="shared" si="16"/>
        <v/>
      </c>
      <c r="H45" s="86"/>
      <c r="I45" s="78"/>
      <c r="J45" s="84"/>
    </row>
    <row r="46" spans="1:13" ht="13.5" hidden="1" x14ac:dyDescent="0.25">
      <c r="A46" s="79">
        <f t="shared" si="13"/>
        <v>0</v>
      </c>
      <c r="B46" s="85" t="str">
        <f>IFERROR(VLOOKUP(H46,[1]SEMIELABORADOS!$A$2:$M$6000,2,0),"")</f>
        <v/>
      </c>
      <c r="C46" s="80">
        <f t="shared" si="14"/>
        <v>0</v>
      </c>
      <c r="D46" s="81" t="str">
        <f>IFERROR(VLOOKUP(H46,[1]SEMIELABORADOS!$A$2:$M$6000,6,0),"")</f>
        <v/>
      </c>
      <c r="E46" s="81" t="str">
        <f>IFERROR(VLOOKUP(H46,[1]SEMIELABORADOS!$A$2:$M$65536,12,0),"")</f>
        <v/>
      </c>
      <c r="F46" s="81" t="str">
        <f t="shared" si="15"/>
        <v/>
      </c>
      <c r="G46" s="82" t="str">
        <f t="shared" si="16"/>
        <v/>
      </c>
      <c r="H46" s="86"/>
      <c r="I46" s="78"/>
      <c r="J46" s="84"/>
    </row>
    <row r="47" spans="1:13" ht="13.5" hidden="1" x14ac:dyDescent="0.25">
      <c r="A47" s="79">
        <f t="shared" si="13"/>
        <v>0</v>
      </c>
      <c r="B47" s="85" t="str">
        <f>IFERROR(VLOOKUP(H47,[1]SEMIELABORADOS!$A$2:$M$6000,2,0),"")</f>
        <v/>
      </c>
      <c r="C47" s="80">
        <f t="shared" si="14"/>
        <v>0</v>
      </c>
      <c r="D47" s="81" t="str">
        <f>IFERROR(VLOOKUP(H47,[1]SEMIELABORADOS!$A$2:$M$6000,6,0),"")</f>
        <v/>
      </c>
      <c r="E47" s="81" t="str">
        <f>IFERROR(VLOOKUP(H47,[1]SEMIELABORADOS!$A$2:$M$65536,12,0),"")</f>
        <v/>
      </c>
      <c r="F47" s="81" t="str">
        <f t="shared" si="15"/>
        <v/>
      </c>
      <c r="G47" s="82" t="str">
        <f t="shared" si="16"/>
        <v/>
      </c>
      <c r="H47" s="86"/>
      <c r="I47" s="78"/>
      <c r="J47" s="84"/>
    </row>
    <row r="48" spans="1:13" ht="13.5" hidden="1" x14ac:dyDescent="0.25">
      <c r="A48" s="79">
        <f t="shared" si="13"/>
        <v>0</v>
      </c>
      <c r="B48" s="85" t="str">
        <f>IFERROR(VLOOKUP(H48,[1]SEMIELABORADOS!$A$2:$M$6000,2,0),"")</f>
        <v/>
      </c>
      <c r="C48" s="80">
        <f t="shared" si="14"/>
        <v>0</v>
      </c>
      <c r="D48" s="81" t="str">
        <f>IFERROR(VLOOKUP(H48,[1]SEMIELABORADOS!$A$2:$M$6000,6,0),"")</f>
        <v/>
      </c>
      <c r="E48" s="81" t="str">
        <f>IFERROR(VLOOKUP(H48,[1]SEMIELABORADOS!$A$2:$M$65536,12,0),"")</f>
        <v/>
      </c>
      <c r="F48" s="81" t="str">
        <f t="shared" si="15"/>
        <v/>
      </c>
      <c r="G48" s="82" t="str">
        <f t="shared" si="16"/>
        <v/>
      </c>
      <c r="H48" s="86"/>
      <c r="I48" s="78"/>
      <c r="J48" s="84"/>
    </row>
    <row r="49" spans="1:17" ht="13.5" hidden="1" x14ac:dyDescent="0.25">
      <c r="A49" s="79">
        <f t="shared" si="13"/>
        <v>0</v>
      </c>
      <c r="B49" s="85" t="str">
        <f>IFERROR(VLOOKUP(H49,[1]SEMIELABORADOS!$A$2:$M$6000,2,0),"")</f>
        <v/>
      </c>
      <c r="C49" s="80">
        <f t="shared" si="14"/>
        <v>0</v>
      </c>
      <c r="D49" s="81" t="str">
        <f>IFERROR(VLOOKUP(H49,[1]SEMIELABORADOS!$A$2:$M$6000,6,0),"")</f>
        <v/>
      </c>
      <c r="E49" s="81" t="str">
        <f>IFERROR(VLOOKUP(H49,[1]SEMIELABORADOS!$A$2:$M$65536,12,0),"")</f>
        <v/>
      </c>
      <c r="F49" s="81" t="str">
        <f t="shared" si="15"/>
        <v/>
      </c>
      <c r="G49" s="82" t="str">
        <f t="shared" si="16"/>
        <v/>
      </c>
      <c r="H49" s="85"/>
      <c r="I49" s="78"/>
      <c r="J49" s="84"/>
    </row>
    <row r="50" spans="1:17" ht="13.5" x14ac:dyDescent="0.25">
      <c r="A50" s="79">
        <v>1</v>
      </c>
      <c r="B50" s="85" t="s">
        <v>138</v>
      </c>
      <c r="C50" s="80">
        <f>+A50</f>
        <v>1</v>
      </c>
      <c r="D50" s="80" t="s">
        <v>139</v>
      </c>
      <c r="E50" s="81">
        <f>+F64</f>
        <v>616</v>
      </c>
      <c r="F50" s="81">
        <f>IFERROR(C50*E50,"")</f>
        <v>616</v>
      </c>
      <c r="G50" s="82">
        <f>IFERROR(F50/$F$65,"")</f>
        <v>2.7929525428486299E-2</v>
      </c>
      <c r="H50" s="90"/>
      <c r="I50" s="90"/>
      <c r="J50" s="84"/>
      <c r="M50" s="67">
        <f>20700/10000</f>
        <v>2.0699999999999998</v>
      </c>
    </row>
    <row r="51" spans="1:17" ht="14.25" thickBot="1" x14ac:dyDescent="0.3">
      <c r="A51" s="79"/>
      <c r="B51" s="85"/>
      <c r="C51" s="80"/>
      <c r="D51" s="80"/>
      <c r="E51" s="81"/>
      <c r="F51" s="81"/>
      <c r="G51" s="82"/>
      <c r="H51" s="90"/>
      <c r="I51" s="90"/>
      <c r="J51" s="84"/>
    </row>
    <row r="52" spans="1:17" ht="13.5" thickBot="1" x14ac:dyDescent="0.3">
      <c r="A52" s="91"/>
      <c r="B52" s="585" t="s">
        <v>140</v>
      </c>
      <c r="C52" s="585"/>
      <c r="D52" s="585"/>
      <c r="E52" s="585"/>
      <c r="F52" s="93">
        <f>SUM(F8:F13,F16:F23)</f>
        <v>21019.13</v>
      </c>
      <c r="G52" s="82">
        <f>+F52/$F$65</f>
        <v>0.95301026918775844</v>
      </c>
      <c r="H52" s="94">
        <f>+F52/$D$59</f>
        <v>21019.13</v>
      </c>
      <c r="I52" s="94"/>
      <c r="J52" s="95"/>
      <c r="K52" s="96"/>
      <c r="L52" s="96"/>
      <c r="M52" s="96"/>
      <c r="N52" s="96"/>
      <c r="O52" s="96"/>
      <c r="P52" s="96"/>
      <c r="Q52" s="97"/>
    </row>
    <row r="53" spans="1:17" x14ac:dyDescent="0.2">
      <c r="A53" s="91"/>
      <c r="B53" s="585" t="s">
        <v>141</v>
      </c>
      <c r="C53" s="585"/>
      <c r="D53" s="585"/>
      <c r="E53" s="585"/>
      <c r="F53" s="93">
        <f>SUM(F26:F31,F34:F40)</f>
        <v>0</v>
      </c>
      <c r="G53" s="82">
        <f>+F53/$F$65</f>
        <v>0</v>
      </c>
      <c r="H53" s="94">
        <f>+F53/$D$59</f>
        <v>0</v>
      </c>
      <c r="I53" s="94"/>
      <c r="J53" s="98"/>
      <c r="K53" s="586" t="s">
        <v>142</v>
      </c>
      <c r="L53" s="587"/>
      <c r="M53" s="587"/>
      <c r="N53" s="587"/>
      <c r="O53" s="99">
        <f>+F54</f>
        <v>21019.13</v>
      </c>
      <c r="P53" s="99"/>
      <c r="Q53" s="100"/>
    </row>
    <row r="54" spans="1:17" x14ac:dyDescent="0.2">
      <c r="A54" s="91"/>
      <c r="B54" s="585" t="s">
        <v>143</v>
      </c>
      <c r="C54" s="585"/>
      <c r="D54" s="585"/>
      <c r="E54" s="585"/>
      <c r="F54" s="93">
        <f>+F52+F53</f>
        <v>21019.13</v>
      </c>
      <c r="G54" s="82">
        <f>+F54/$F$65</f>
        <v>0.95301026918775844</v>
      </c>
      <c r="H54" s="94">
        <f>+F54/$D$59</f>
        <v>21019.13</v>
      </c>
      <c r="I54" s="94"/>
      <c r="J54" s="101"/>
      <c r="K54" s="102"/>
      <c r="M54" s="103" t="s">
        <v>144</v>
      </c>
      <c r="N54" s="104"/>
      <c r="O54" s="99">
        <f>+H55</f>
        <v>616</v>
      </c>
      <c r="P54" s="99"/>
      <c r="Q54" s="100"/>
    </row>
    <row r="55" spans="1:17" ht="13.5" thickBot="1" x14ac:dyDescent="0.25">
      <c r="A55" s="91"/>
      <c r="B55" s="92"/>
      <c r="C55" s="585" t="s">
        <v>145</v>
      </c>
      <c r="D55" s="585"/>
      <c r="E55" s="585"/>
      <c r="F55" s="93">
        <f>SUM(F43:F50)</f>
        <v>616</v>
      </c>
      <c r="G55" s="82">
        <f>+F55/$F$65</f>
        <v>2.7929525428486299E-2</v>
      </c>
      <c r="H55" s="94">
        <f>+F55/$D$59</f>
        <v>616</v>
      </c>
      <c r="I55" s="94"/>
      <c r="J55" s="101"/>
      <c r="K55" s="102"/>
      <c r="L55" s="102"/>
      <c r="M55" s="102" t="s">
        <v>146</v>
      </c>
      <c r="N55" s="105"/>
      <c r="O55" s="99">
        <f>O53*N55</f>
        <v>0</v>
      </c>
      <c r="P55" s="99"/>
      <c r="Q55" s="100"/>
    </row>
    <row r="56" spans="1:17" ht="13.5" thickBot="1" x14ac:dyDescent="0.25">
      <c r="A56" s="91"/>
      <c r="B56" s="106"/>
      <c r="C56" s="106"/>
      <c r="D56" s="106"/>
      <c r="E56" s="106"/>
      <c r="F56" s="107"/>
      <c r="G56" s="82"/>
      <c r="H56" s="108"/>
      <c r="I56" s="94"/>
      <c r="J56" s="101"/>
      <c r="K56" s="109"/>
      <c r="M56" s="110" t="s">
        <v>147</v>
      </c>
      <c r="N56" s="111"/>
      <c r="O56" s="112">
        <f>SUM(O53:O55)</f>
        <v>21635.13</v>
      </c>
      <c r="P56" s="113"/>
      <c r="Q56" s="100"/>
    </row>
    <row r="57" spans="1:17" x14ac:dyDescent="0.2">
      <c r="B57" s="588" t="s">
        <v>148</v>
      </c>
      <c r="C57" s="588"/>
      <c r="D57" s="114">
        <v>12018</v>
      </c>
      <c r="E57" s="115"/>
      <c r="G57" s="82"/>
      <c r="H57" s="108">
        <f>+H55/77</f>
        <v>8</v>
      </c>
      <c r="I57" s="116"/>
      <c r="J57" s="101"/>
      <c r="K57" s="109"/>
      <c r="L57" s="102"/>
      <c r="M57" s="102" t="s">
        <v>149</v>
      </c>
      <c r="N57" s="117"/>
      <c r="O57" s="99">
        <f>+H58</f>
        <v>512</v>
      </c>
      <c r="P57" s="99"/>
      <c r="Q57" s="100"/>
    </row>
    <row r="58" spans="1:17" x14ac:dyDescent="0.2">
      <c r="B58" s="588" t="s">
        <v>150</v>
      </c>
      <c r="C58" s="588"/>
      <c r="D58" s="118">
        <v>12018</v>
      </c>
      <c r="E58" s="115"/>
      <c r="G58" s="82"/>
      <c r="H58" s="108">
        <f>+H57*64</f>
        <v>512</v>
      </c>
      <c r="I58" s="116"/>
      <c r="J58" s="101"/>
      <c r="K58" s="109"/>
      <c r="L58" s="102"/>
      <c r="M58" s="589" t="s">
        <v>147</v>
      </c>
      <c r="N58" s="589"/>
      <c r="O58" s="99">
        <f>SUM(O56:O57)</f>
        <v>22147.13</v>
      </c>
      <c r="P58" s="99"/>
      <c r="Q58" s="100"/>
    </row>
    <row r="59" spans="1:17" ht="13.5" thickBot="1" x14ac:dyDescent="0.25">
      <c r="B59" s="581" t="s">
        <v>151</v>
      </c>
      <c r="C59" s="581"/>
      <c r="D59" s="114">
        <f>+D57/D58</f>
        <v>1</v>
      </c>
      <c r="E59" s="115"/>
      <c r="F59" s="119"/>
      <c r="G59" s="82"/>
      <c r="H59" s="108"/>
      <c r="I59" s="116"/>
      <c r="J59" s="101"/>
      <c r="K59" s="109"/>
      <c r="L59" s="589"/>
      <c r="M59" s="589"/>
      <c r="N59" s="117"/>
      <c r="O59" s="99">
        <f>+O58*N59</f>
        <v>0</v>
      </c>
      <c r="P59" s="99"/>
      <c r="Q59" s="100"/>
    </row>
    <row r="60" spans="1:17" ht="13.5" thickBot="1" x14ac:dyDescent="0.25">
      <c r="B60" s="581" t="s">
        <v>152</v>
      </c>
      <c r="C60" s="581"/>
      <c r="D60" s="120"/>
      <c r="E60" s="115"/>
      <c r="F60" s="119"/>
      <c r="G60" s="82"/>
      <c r="H60" s="108"/>
      <c r="I60" s="116"/>
      <c r="J60" s="101"/>
      <c r="K60" s="582" t="s">
        <v>153</v>
      </c>
      <c r="L60" s="583"/>
      <c r="M60" s="583"/>
      <c r="N60" s="584"/>
      <c r="O60" s="112">
        <f>SUM(O58:O59)</f>
        <v>22147.13</v>
      </c>
      <c r="P60" s="121" t="s">
        <v>154</v>
      </c>
      <c r="Q60" s="100"/>
    </row>
    <row r="61" spans="1:17" ht="13.5" thickBot="1" x14ac:dyDescent="0.25">
      <c r="C61" s="91" t="s">
        <v>155</v>
      </c>
      <c r="D61" s="122"/>
      <c r="E61" s="65" t="s">
        <v>156</v>
      </c>
      <c r="F61" s="123" t="s">
        <v>157</v>
      </c>
      <c r="G61" s="82"/>
      <c r="H61" s="108"/>
      <c r="I61" s="116"/>
      <c r="J61" s="124"/>
      <c r="K61" s="125"/>
      <c r="L61" s="595" t="s">
        <v>158</v>
      </c>
      <c r="M61" s="595"/>
      <c r="N61" s="595"/>
      <c r="O61" s="126">
        <f>+O60/D59</f>
        <v>22147.13</v>
      </c>
      <c r="P61" s="127">
        <f>+O61/D58</f>
        <v>1.8428299217839907</v>
      </c>
      <c r="Q61" s="128"/>
    </row>
    <row r="62" spans="1:17" ht="13.5" thickBot="1" x14ac:dyDescent="0.25">
      <c r="B62" s="596" t="s">
        <v>143</v>
      </c>
      <c r="C62" s="596"/>
      <c r="D62" s="596"/>
      <c r="E62" s="129">
        <f>+F62/F62</f>
        <v>1</v>
      </c>
      <c r="F62" s="130">
        <f>SUM(F54)</f>
        <v>21019.13</v>
      </c>
      <c r="G62" s="82">
        <f>+F62/$F$65</f>
        <v>0.95301026918775844</v>
      </c>
      <c r="H62" s="108"/>
      <c r="I62" s="116"/>
      <c r="K62" s="597"/>
      <c r="L62" s="598"/>
      <c r="M62" s="598"/>
      <c r="N62" s="598"/>
      <c r="O62" s="131"/>
      <c r="P62" s="132"/>
    </row>
    <row r="63" spans="1:17" ht="13.5" thickBot="1" x14ac:dyDescent="0.3">
      <c r="B63" s="599" t="s">
        <v>159</v>
      </c>
      <c r="C63" s="599"/>
      <c r="D63" s="599"/>
      <c r="E63" s="133">
        <v>0.02</v>
      </c>
      <c r="F63" s="130">
        <f>+F52*E63</f>
        <v>420.38260000000002</v>
      </c>
      <c r="G63" s="82">
        <f>+F63/$F$65</f>
        <v>1.906020538375517E-2</v>
      </c>
      <c r="H63" s="94"/>
      <c r="I63" s="116"/>
      <c r="J63" s="134"/>
      <c r="O63" s="135"/>
      <c r="P63" s="92"/>
    </row>
    <row r="64" spans="1:17" ht="13.5" thickBot="1" x14ac:dyDescent="0.3">
      <c r="B64" s="600" t="s">
        <v>160</v>
      </c>
      <c r="C64" s="601"/>
      <c r="D64" s="136">
        <v>8</v>
      </c>
      <c r="E64" s="137">
        <v>77</v>
      </c>
      <c r="F64" s="130">
        <f>+E64*D64</f>
        <v>616</v>
      </c>
      <c r="G64" s="82">
        <f>+F64/$F$65</f>
        <v>2.7929525428486299E-2</v>
      </c>
      <c r="H64" s="94"/>
      <c r="I64" s="94"/>
      <c r="J64" s="84"/>
    </row>
    <row r="65" spans="2:13" ht="13.5" thickBot="1" x14ac:dyDescent="0.3">
      <c r="B65" s="602" t="s">
        <v>161</v>
      </c>
      <c r="C65" s="603"/>
      <c r="D65" s="603"/>
      <c r="E65" s="604"/>
      <c r="F65" s="107">
        <f>SUM(F62:F64)</f>
        <v>22055.512600000002</v>
      </c>
      <c r="G65" s="82">
        <f>+F65/$F$65</f>
        <v>1</v>
      </c>
      <c r="H65" s="605"/>
      <c r="I65" s="94"/>
      <c r="J65" s="84"/>
      <c r="M65" s="67" t="s">
        <v>162</v>
      </c>
    </row>
    <row r="66" spans="2:13" x14ac:dyDescent="0.25">
      <c r="C66" s="89"/>
      <c r="D66" s="89"/>
      <c r="E66" s="139"/>
      <c r="F66" s="130"/>
      <c r="G66" s="82"/>
      <c r="H66" s="605"/>
      <c r="I66" s="138"/>
      <c r="J66" s="67"/>
      <c r="M66" s="67" t="s">
        <v>163</v>
      </c>
    </row>
    <row r="67" spans="2:13" ht="13.5" thickBot="1" x14ac:dyDescent="0.3">
      <c r="B67" s="590" t="s">
        <v>164</v>
      </c>
      <c r="C67" s="590"/>
      <c r="D67" s="590"/>
      <c r="E67" s="590"/>
      <c r="F67" s="590"/>
      <c r="G67" s="82"/>
      <c r="H67" s="141"/>
      <c r="I67" s="138"/>
      <c r="J67" s="67"/>
      <c r="M67" s="67" t="s">
        <v>165</v>
      </c>
    </row>
    <row r="68" spans="2:13" ht="13.5" thickBot="1" x14ac:dyDescent="0.3">
      <c r="B68" s="142" t="s">
        <v>166</v>
      </c>
      <c r="C68" s="143">
        <f>+F52</f>
        <v>21019.13</v>
      </c>
      <c r="D68" s="143">
        <f>+D57</f>
        <v>12018</v>
      </c>
      <c r="E68" s="144">
        <f>+C68/D68</f>
        <v>1.7489707106007657</v>
      </c>
      <c r="F68" s="82"/>
      <c r="G68" s="141"/>
      <c r="H68" s="84"/>
      <c r="I68" s="141"/>
      <c r="J68" s="67"/>
    </row>
    <row r="69" spans="2:13" x14ac:dyDescent="0.25">
      <c r="B69" s="145"/>
      <c r="C69" s="146"/>
      <c r="D69" s="147"/>
      <c r="E69" s="130"/>
      <c r="F69" s="82"/>
      <c r="G69" s="141"/>
      <c r="H69" s="84"/>
      <c r="I69" s="84"/>
      <c r="J69" s="67"/>
    </row>
    <row r="70" spans="2:13" x14ac:dyDescent="0.25">
      <c r="B70" s="142" t="s">
        <v>167</v>
      </c>
      <c r="C70" s="143">
        <f>SUM(F62:F63)</f>
        <v>21439.512600000002</v>
      </c>
      <c r="D70" s="143">
        <f>+D57</f>
        <v>12018</v>
      </c>
      <c r="E70" s="148">
        <f>+C70/D70</f>
        <v>1.7839501248127809</v>
      </c>
      <c r="F70" s="82"/>
      <c r="G70" s="141"/>
      <c r="H70" s="84"/>
      <c r="I70" s="84"/>
      <c r="J70" s="67"/>
    </row>
    <row r="71" spans="2:13" x14ac:dyDescent="0.25">
      <c r="B71" s="142"/>
      <c r="C71" s="143"/>
      <c r="D71" s="143"/>
      <c r="E71" s="148"/>
      <c r="F71" s="82"/>
      <c r="G71" s="141"/>
      <c r="H71" s="84"/>
      <c r="I71" s="84"/>
      <c r="J71" s="67"/>
    </row>
    <row r="72" spans="2:13" ht="13.5" thickBot="1" x14ac:dyDescent="0.3">
      <c r="B72" s="142" t="s">
        <v>168</v>
      </c>
      <c r="C72" s="143">
        <f>+F64</f>
        <v>616</v>
      </c>
      <c r="D72" s="143">
        <f>+D57</f>
        <v>12018</v>
      </c>
      <c r="E72" s="148">
        <f>+C72/D72</f>
        <v>5.1256448660342818E-2</v>
      </c>
      <c r="F72" s="82"/>
      <c r="G72" s="141"/>
      <c r="H72" s="84"/>
      <c r="I72" s="84"/>
      <c r="J72" s="67"/>
    </row>
    <row r="73" spans="2:13" ht="13.5" thickBot="1" x14ac:dyDescent="0.3">
      <c r="B73" s="142" t="s">
        <v>169</v>
      </c>
      <c r="C73" s="143">
        <f>+F55</f>
        <v>616</v>
      </c>
      <c r="D73" s="143">
        <f>+D72</f>
        <v>12018</v>
      </c>
      <c r="E73" s="144">
        <f>+C73/D73</f>
        <v>5.1256448660342818E-2</v>
      </c>
      <c r="F73" s="82"/>
      <c r="G73" s="141"/>
      <c r="H73" s="84"/>
      <c r="I73" s="84"/>
      <c r="J73" s="67"/>
    </row>
    <row r="74" spans="2:13" ht="13.5" thickBot="1" x14ac:dyDescent="0.3">
      <c r="B74" s="106"/>
      <c r="C74" s="107"/>
      <c r="D74" s="107"/>
      <c r="E74" s="148"/>
      <c r="F74" s="82"/>
      <c r="G74" s="141"/>
      <c r="H74" s="84"/>
      <c r="I74" s="84"/>
      <c r="J74" s="67"/>
    </row>
    <row r="75" spans="2:13" ht="13.5" thickBot="1" x14ac:dyDescent="0.3">
      <c r="B75" s="142" t="s">
        <v>170</v>
      </c>
      <c r="C75" s="143">
        <f>+F53</f>
        <v>0</v>
      </c>
      <c r="D75" s="143">
        <f>+D73</f>
        <v>12018</v>
      </c>
      <c r="E75" s="144">
        <f>+C75/D75</f>
        <v>0</v>
      </c>
      <c r="F75" s="82"/>
      <c r="G75" s="141"/>
      <c r="H75" s="84"/>
      <c r="I75" s="84"/>
      <c r="J75" s="84"/>
    </row>
    <row r="76" spans="2:13" ht="13.5" thickBot="1" x14ac:dyDescent="0.3">
      <c r="B76" s="106"/>
      <c r="C76" s="107"/>
      <c r="D76" s="107"/>
      <c r="E76" s="148"/>
      <c r="F76" s="82"/>
      <c r="G76" s="141"/>
      <c r="H76" s="84"/>
      <c r="I76" s="84"/>
    </row>
    <row r="77" spans="2:13" ht="13.5" thickBot="1" x14ac:dyDescent="0.3">
      <c r="B77" s="591" t="s">
        <v>171</v>
      </c>
      <c r="C77" s="592"/>
      <c r="D77" s="593"/>
      <c r="E77" s="144">
        <f>+E68+E73</f>
        <v>1.8002271592611085</v>
      </c>
      <c r="G77" s="82"/>
      <c r="H77" s="141"/>
      <c r="I77" s="84"/>
      <c r="J77" s="148"/>
    </row>
    <row r="78" spans="2:13" x14ac:dyDescent="0.25">
      <c r="I78" s="141"/>
      <c r="J78" s="67"/>
    </row>
    <row r="79" spans="2:13" ht="13.5" thickBot="1" x14ac:dyDescent="0.3">
      <c r="B79" s="590" t="s">
        <v>172</v>
      </c>
      <c r="C79" s="590"/>
      <c r="D79" s="590"/>
      <c r="E79" s="590"/>
      <c r="F79" s="590"/>
      <c r="G79" s="82"/>
      <c r="H79" s="141"/>
      <c r="J79" s="67"/>
    </row>
    <row r="80" spans="2:13" ht="13.5" thickBot="1" x14ac:dyDescent="0.3">
      <c r="B80" s="142" t="s">
        <v>166</v>
      </c>
      <c r="C80" s="143">
        <f>+C68</f>
        <v>21019.13</v>
      </c>
      <c r="D80" s="143">
        <f>+D59</f>
        <v>1</v>
      </c>
      <c r="E80" s="144">
        <f>+C80/D80</f>
        <v>21019.13</v>
      </c>
      <c r="F80" s="82"/>
      <c r="G80" s="141"/>
      <c r="H80" s="84"/>
      <c r="I80" s="141"/>
      <c r="J80" s="67"/>
    </row>
    <row r="81" spans="1:10" x14ac:dyDescent="0.25">
      <c r="B81" s="145"/>
      <c r="C81" s="146"/>
      <c r="D81" s="147"/>
      <c r="E81" s="130"/>
      <c r="F81" s="82"/>
      <c r="G81" s="141"/>
      <c r="H81" s="84"/>
      <c r="I81" s="84"/>
      <c r="J81" s="67"/>
    </row>
    <row r="82" spans="1:10" x14ac:dyDescent="0.25">
      <c r="B82" s="142" t="s">
        <v>167</v>
      </c>
      <c r="C82" s="143">
        <f>+C70</f>
        <v>21439.512600000002</v>
      </c>
      <c r="D82" s="143">
        <f>+D59</f>
        <v>1</v>
      </c>
      <c r="E82" s="148">
        <f>+C82/D82</f>
        <v>21439.512600000002</v>
      </c>
      <c r="F82" s="82"/>
      <c r="G82" s="141"/>
      <c r="H82" s="84"/>
      <c r="I82" s="84"/>
      <c r="J82" s="67"/>
    </row>
    <row r="83" spans="1:10" x14ac:dyDescent="0.25">
      <c r="B83" s="142"/>
      <c r="C83" s="143"/>
      <c r="D83" s="143"/>
      <c r="E83" s="148"/>
      <c r="F83" s="82"/>
      <c r="G83" s="141"/>
      <c r="H83" s="84"/>
      <c r="I83" s="84"/>
      <c r="J83" s="67"/>
    </row>
    <row r="84" spans="1:10" ht="13.5" thickBot="1" x14ac:dyDescent="0.3">
      <c r="B84" s="142" t="s">
        <v>169</v>
      </c>
      <c r="C84" s="143">
        <f>+C72</f>
        <v>616</v>
      </c>
      <c r="D84" s="143">
        <f>+D59</f>
        <v>1</v>
      </c>
      <c r="E84" s="148">
        <f>+C84/D84</f>
        <v>616</v>
      </c>
      <c r="F84" s="150"/>
      <c r="G84" s="140"/>
      <c r="H84" s="66"/>
      <c r="I84" s="84"/>
    </row>
    <row r="85" spans="1:10" ht="13.5" thickBot="1" x14ac:dyDescent="0.3">
      <c r="B85" s="142" t="s">
        <v>169</v>
      </c>
      <c r="C85" s="143">
        <f>+C73</f>
        <v>616</v>
      </c>
      <c r="D85" s="143">
        <f>+D84</f>
        <v>1</v>
      </c>
      <c r="E85" s="144">
        <f>+C85/D85</f>
        <v>616</v>
      </c>
      <c r="F85" s="149"/>
      <c r="G85" s="140"/>
      <c r="H85" s="66"/>
      <c r="I85" s="66"/>
    </row>
    <row r="86" spans="1:10" x14ac:dyDescent="0.25">
      <c r="I86" s="66"/>
    </row>
    <row r="87" spans="1:10" x14ac:dyDescent="0.2">
      <c r="A87" s="594"/>
      <c r="B87" s="594"/>
      <c r="C87" s="151"/>
      <c r="D87" s="151"/>
      <c r="E87" s="152"/>
      <c r="G87" s="153"/>
    </row>
    <row r="88" spans="1:10" x14ac:dyDescent="0.2">
      <c r="A88" s="85"/>
      <c r="B88" s="154"/>
      <c r="C88" s="155"/>
      <c r="D88" s="155"/>
      <c r="E88" s="156"/>
      <c r="G88" s="153"/>
    </row>
    <row r="89" spans="1:10" x14ac:dyDescent="0.2">
      <c r="A89" s="85"/>
      <c r="B89" s="154"/>
      <c r="C89" s="157"/>
      <c r="D89" s="157"/>
      <c r="E89" s="85"/>
      <c r="G89" s="153"/>
    </row>
    <row r="90" spans="1:10" x14ac:dyDescent="0.2">
      <c r="A90" s="85"/>
      <c r="B90" s="154"/>
      <c r="C90" s="158"/>
      <c r="D90" s="158"/>
      <c r="E90" s="85"/>
      <c r="G90" s="153"/>
    </row>
  </sheetData>
  <mergeCells count="30"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K28:L28"/>
    <mergeCell ref="A4:H4"/>
    <mergeCell ref="A5:H5"/>
    <mergeCell ref="F6:G6"/>
    <mergeCell ref="K26:L26"/>
    <mergeCell ref="K27:L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9AEE-CC73-490F-9A92-471733F0CDA7}">
  <dimension ref="A1:I34"/>
  <sheetViews>
    <sheetView workbookViewId="0">
      <selection activeCell="C14" sqref="C14"/>
    </sheetView>
  </sheetViews>
  <sheetFormatPr baseColWidth="10" defaultRowHeight="15" x14ac:dyDescent="0.25"/>
  <cols>
    <col min="3" max="3" width="32.28515625" customWidth="1"/>
    <col min="8" max="8" width="16.42578125" customWidth="1"/>
    <col min="9" max="9" width="16.5703125" customWidth="1"/>
  </cols>
  <sheetData>
    <row r="1" spans="1:9" ht="15.75" x14ac:dyDescent="0.25">
      <c r="A1" s="559"/>
      <c r="B1" s="560"/>
      <c r="C1" s="565" t="s">
        <v>33</v>
      </c>
      <c r="D1" s="565"/>
      <c r="E1" s="565"/>
      <c r="F1" s="565"/>
      <c r="G1" s="565"/>
      <c r="H1" s="4" t="s">
        <v>32</v>
      </c>
      <c r="I1" s="52" t="s">
        <v>67</v>
      </c>
    </row>
    <row r="2" spans="1:9" ht="16.5" thickBot="1" x14ac:dyDescent="0.3">
      <c r="A2" s="561"/>
      <c r="B2" s="562"/>
      <c r="C2" s="566" t="s">
        <v>31</v>
      </c>
      <c r="D2" s="567"/>
      <c r="E2" s="567"/>
      <c r="F2" s="567"/>
      <c r="G2" s="568"/>
      <c r="H2" s="5" t="s">
        <v>30</v>
      </c>
      <c r="I2" s="53">
        <v>2</v>
      </c>
    </row>
    <row r="3" spans="1:9" ht="18.75" thickBot="1" x14ac:dyDescent="0.3">
      <c r="A3" s="561"/>
      <c r="B3" s="562"/>
      <c r="C3" s="569" t="s">
        <v>66</v>
      </c>
      <c r="D3" s="570"/>
      <c r="E3" s="570"/>
      <c r="F3" s="570"/>
      <c r="G3" s="571"/>
      <c r="H3" s="572" t="s">
        <v>29</v>
      </c>
      <c r="I3" s="606">
        <v>45160</v>
      </c>
    </row>
    <row r="4" spans="1:9" x14ac:dyDescent="0.25">
      <c r="A4" s="561"/>
      <c r="B4" s="562"/>
      <c r="C4" s="6" t="s">
        <v>28</v>
      </c>
      <c r="D4" s="553" t="s">
        <v>34</v>
      </c>
      <c r="E4" s="554"/>
      <c r="F4" s="554"/>
      <c r="G4" s="555"/>
      <c r="H4" s="573"/>
      <c r="I4" s="607"/>
    </row>
    <row r="5" spans="1:9" ht="15.75" thickBot="1" x14ac:dyDescent="0.3">
      <c r="A5" s="563"/>
      <c r="B5" s="564"/>
      <c r="C5" s="7" t="s">
        <v>27</v>
      </c>
      <c r="D5" s="556" t="s">
        <v>26</v>
      </c>
      <c r="E5" s="557"/>
      <c r="F5" s="557"/>
      <c r="G5" s="558"/>
      <c r="H5" s="574"/>
      <c r="I5" s="607"/>
    </row>
    <row r="6" spans="1:9" ht="18.75" thickBot="1" x14ac:dyDescent="0.3">
      <c r="A6" s="465" t="s">
        <v>25</v>
      </c>
      <c r="B6" s="465"/>
      <c r="C6" s="465"/>
      <c r="D6" s="543" t="s">
        <v>35</v>
      </c>
      <c r="E6" s="543"/>
      <c r="F6" s="543"/>
      <c r="G6" s="467" t="s">
        <v>24</v>
      </c>
      <c r="H6" s="467"/>
      <c r="I6" s="8" t="s">
        <v>35</v>
      </c>
    </row>
    <row r="7" spans="1:9" ht="25.5" x14ac:dyDescent="0.25">
      <c r="A7" s="544" t="s">
        <v>23</v>
      </c>
      <c r="B7" s="546" t="s">
        <v>36</v>
      </c>
      <c r="C7" s="548" t="s">
        <v>22</v>
      </c>
      <c r="D7" s="548" t="s">
        <v>21</v>
      </c>
      <c r="E7" s="548" t="s">
        <v>20</v>
      </c>
      <c r="F7" s="548"/>
      <c r="G7" s="548" t="s">
        <v>19</v>
      </c>
      <c r="H7" s="548"/>
      <c r="I7" s="9" t="s">
        <v>18</v>
      </c>
    </row>
    <row r="8" spans="1:9" ht="27" thickBot="1" x14ac:dyDescent="0.3">
      <c r="A8" s="545"/>
      <c r="B8" s="547"/>
      <c r="C8" s="549"/>
      <c r="D8" s="549"/>
      <c r="E8" s="10" t="s">
        <v>13</v>
      </c>
      <c r="F8" s="11" t="s">
        <v>17</v>
      </c>
      <c r="G8" s="10" t="s">
        <v>13</v>
      </c>
      <c r="H8" s="11" t="s">
        <v>17</v>
      </c>
      <c r="I8" s="12" t="s">
        <v>16</v>
      </c>
    </row>
    <row r="9" spans="1:9" x14ac:dyDescent="0.25">
      <c r="A9" s="54">
        <v>907000273</v>
      </c>
      <c r="B9" s="54" t="s">
        <v>68</v>
      </c>
      <c r="C9" s="55" t="s">
        <v>69</v>
      </c>
      <c r="D9" s="1" t="s">
        <v>14</v>
      </c>
      <c r="E9" s="1">
        <v>12000</v>
      </c>
      <c r="F9" s="56" t="s">
        <v>1</v>
      </c>
      <c r="G9" s="13"/>
      <c r="H9" s="14"/>
      <c r="I9" s="15"/>
    </row>
    <row r="10" spans="1:9" x14ac:dyDescent="0.25">
      <c r="A10" s="57">
        <v>902000019</v>
      </c>
      <c r="B10" s="57"/>
      <c r="C10" s="58" t="s">
        <v>70</v>
      </c>
      <c r="D10" s="20" t="s">
        <v>14</v>
      </c>
      <c r="E10" s="20">
        <v>1000</v>
      </c>
      <c r="F10" s="40" t="s">
        <v>1</v>
      </c>
      <c r="G10" s="16"/>
      <c r="H10" s="17"/>
      <c r="I10" s="15"/>
    </row>
    <row r="11" spans="1:9" x14ac:dyDescent="0.25">
      <c r="A11" s="20"/>
      <c r="B11" s="20"/>
      <c r="C11" s="59" t="s">
        <v>71</v>
      </c>
      <c r="D11" s="20"/>
      <c r="E11" s="20"/>
      <c r="F11" s="40"/>
      <c r="G11" s="16"/>
      <c r="H11" s="17"/>
      <c r="I11" s="15"/>
    </row>
    <row r="12" spans="1:9" x14ac:dyDescent="0.25">
      <c r="A12" s="54">
        <v>1950928</v>
      </c>
      <c r="B12" s="54" t="s">
        <v>72</v>
      </c>
      <c r="C12" s="55" t="s">
        <v>73</v>
      </c>
      <c r="D12" s="39" t="s">
        <v>74</v>
      </c>
      <c r="E12" s="60">
        <v>3</v>
      </c>
      <c r="F12" s="43" t="s">
        <v>6</v>
      </c>
      <c r="G12" s="1"/>
      <c r="H12" s="17"/>
      <c r="I12" s="15"/>
    </row>
    <row r="13" spans="1:9" x14ac:dyDescent="0.25">
      <c r="A13" s="54">
        <v>702007</v>
      </c>
      <c r="B13" s="54" t="s">
        <v>45</v>
      </c>
      <c r="C13" s="58" t="s">
        <v>75</v>
      </c>
      <c r="D13" s="39" t="s">
        <v>76</v>
      </c>
      <c r="E13" s="60">
        <v>3</v>
      </c>
      <c r="F13" s="43" t="s">
        <v>6</v>
      </c>
      <c r="G13" s="1"/>
      <c r="H13" s="17"/>
      <c r="I13" s="15"/>
    </row>
    <row r="14" spans="1:9" x14ac:dyDescent="0.25">
      <c r="A14" s="54">
        <v>702069</v>
      </c>
      <c r="B14" s="54" t="s">
        <v>42</v>
      </c>
      <c r="C14" s="58" t="s">
        <v>77</v>
      </c>
      <c r="D14" s="39" t="s">
        <v>78</v>
      </c>
      <c r="E14" s="60">
        <v>3</v>
      </c>
      <c r="F14" s="43" t="s">
        <v>6</v>
      </c>
      <c r="G14" s="21"/>
      <c r="H14" s="14"/>
      <c r="I14" s="15"/>
    </row>
    <row r="15" spans="1:9" x14ac:dyDescent="0.25">
      <c r="A15" s="22"/>
      <c r="B15" s="22"/>
      <c r="C15" s="23"/>
      <c r="D15" s="20"/>
      <c r="E15" s="2"/>
      <c r="F15" s="2"/>
      <c r="G15" s="21"/>
      <c r="H15" s="14"/>
      <c r="I15" s="15"/>
    </row>
    <row r="16" spans="1:9" ht="15.75" thickBot="1" x14ac:dyDescent="0.3">
      <c r="A16" s="24"/>
      <c r="B16" s="25"/>
      <c r="C16" s="26"/>
      <c r="D16" s="26"/>
      <c r="E16" s="27"/>
      <c r="F16" s="28"/>
      <c r="G16" s="26"/>
      <c r="H16" s="26"/>
      <c r="I16" s="29"/>
    </row>
    <row r="17" spans="1:9" ht="15.75" thickBot="1" x14ac:dyDescent="0.3">
      <c r="A17" s="30"/>
      <c r="B17" s="31"/>
      <c r="C17" s="32"/>
      <c r="D17" s="33" t="s">
        <v>13</v>
      </c>
      <c r="E17" s="34" t="s">
        <v>12</v>
      </c>
      <c r="F17" s="35"/>
      <c r="G17" s="32"/>
      <c r="H17" s="32"/>
      <c r="I17" s="36"/>
    </row>
    <row r="18" spans="1:9" x14ac:dyDescent="0.25">
      <c r="A18" s="537" t="s">
        <v>11</v>
      </c>
      <c r="B18" s="538"/>
      <c r="C18" s="539"/>
      <c r="D18" s="43">
        <v>11700</v>
      </c>
      <c r="E18" s="37" t="s">
        <v>1</v>
      </c>
      <c r="F18" s="540" t="s">
        <v>38</v>
      </c>
      <c r="G18" s="540"/>
      <c r="H18" s="608" t="s">
        <v>79</v>
      </c>
      <c r="I18" s="609"/>
    </row>
    <row r="19" spans="1:9" x14ac:dyDescent="0.25">
      <c r="A19" s="518" t="s">
        <v>10</v>
      </c>
      <c r="B19" s="519"/>
      <c r="C19" s="520"/>
      <c r="D19" s="1">
        <v>16</v>
      </c>
      <c r="E19" s="1" t="s">
        <v>9</v>
      </c>
      <c r="F19" s="521" t="s">
        <v>8</v>
      </c>
      <c r="G19" s="521"/>
      <c r="H19" s="610" t="s">
        <v>80</v>
      </c>
      <c r="I19" s="611"/>
    </row>
    <row r="20" spans="1:9" x14ac:dyDescent="0.25">
      <c r="A20" s="518" t="s">
        <v>7</v>
      </c>
      <c r="B20" s="519"/>
      <c r="C20" s="520"/>
      <c r="D20" s="1">
        <v>39</v>
      </c>
      <c r="E20" s="1" t="s">
        <v>6</v>
      </c>
      <c r="F20" s="521" t="s">
        <v>5</v>
      </c>
      <c r="G20" s="521"/>
      <c r="H20" s="610" t="s">
        <v>81</v>
      </c>
      <c r="I20" s="611"/>
    </row>
    <row r="21" spans="1:9" x14ac:dyDescent="0.25">
      <c r="A21" s="518" t="s">
        <v>4</v>
      </c>
      <c r="B21" s="519"/>
      <c r="C21" s="520"/>
      <c r="D21" s="1">
        <v>300</v>
      </c>
      <c r="E21" s="1" t="s">
        <v>1</v>
      </c>
      <c r="F21" s="524" t="s">
        <v>3</v>
      </c>
      <c r="G21" s="525"/>
      <c r="H21" s="610"/>
      <c r="I21" s="611"/>
    </row>
    <row r="22" spans="1:9" ht="15.75" thickBot="1" x14ac:dyDescent="0.3">
      <c r="A22" s="528" t="s">
        <v>2</v>
      </c>
      <c r="B22" s="529"/>
      <c r="C22" s="530"/>
      <c r="D22" s="38">
        <v>300</v>
      </c>
      <c r="E22" s="38" t="s">
        <v>1</v>
      </c>
      <c r="F22" s="531"/>
      <c r="G22" s="531"/>
      <c r="H22" s="522"/>
      <c r="I22" s="523"/>
    </row>
    <row r="23" spans="1:9" ht="15.75" thickBot="1" x14ac:dyDescent="0.3">
      <c r="A23" s="532" t="s">
        <v>0</v>
      </c>
      <c r="B23" s="533"/>
      <c r="C23" s="533"/>
      <c r="D23" s="533"/>
      <c r="E23" s="533"/>
      <c r="F23" s="533"/>
      <c r="G23" s="533"/>
      <c r="H23" s="533"/>
      <c r="I23" s="534"/>
    </row>
    <row r="24" spans="1:9" x14ac:dyDescent="0.25">
      <c r="A24" s="614" t="s">
        <v>82</v>
      </c>
      <c r="B24" s="615"/>
      <c r="C24" s="615"/>
      <c r="D24" s="615"/>
      <c r="E24" s="615"/>
      <c r="F24" s="615"/>
      <c r="G24" s="615"/>
      <c r="H24" s="615"/>
      <c r="I24" s="615"/>
    </row>
    <row r="25" spans="1:9" ht="15" customHeight="1" x14ac:dyDescent="0.25">
      <c r="A25" s="612" t="s">
        <v>83</v>
      </c>
      <c r="B25" s="613"/>
      <c r="C25" s="613"/>
      <c r="D25" s="613"/>
      <c r="E25" s="613"/>
      <c r="F25" s="613"/>
      <c r="G25" s="613"/>
      <c r="H25" s="613"/>
      <c r="I25" s="613"/>
    </row>
    <row r="26" spans="1:9" x14ac:dyDescent="0.25">
      <c r="A26" s="612" t="s">
        <v>84</v>
      </c>
      <c r="B26" s="613"/>
      <c r="C26" s="613"/>
      <c r="D26" s="613"/>
      <c r="E26" s="613"/>
      <c r="F26" s="613"/>
      <c r="G26" s="613"/>
      <c r="H26" s="613"/>
      <c r="I26" s="613"/>
    </row>
    <row r="27" spans="1:9" x14ac:dyDescent="0.25">
      <c r="A27" s="503"/>
      <c r="B27" s="504"/>
      <c r="C27" s="504"/>
      <c r="D27" s="504"/>
      <c r="E27" s="504"/>
      <c r="F27" s="504"/>
      <c r="G27" s="504"/>
      <c r="H27" s="504"/>
      <c r="I27" s="505"/>
    </row>
    <row r="28" spans="1:9" x14ac:dyDescent="0.25">
      <c r="A28" s="506"/>
      <c r="B28" s="507"/>
      <c r="C28" s="508"/>
      <c r="D28" s="508"/>
      <c r="E28" s="508"/>
      <c r="F28" s="508"/>
      <c r="G28" s="508"/>
      <c r="H28" s="508"/>
      <c r="I28" s="509"/>
    </row>
    <row r="29" spans="1:9" x14ac:dyDescent="0.25">
      <c r="A29" s="510"/>
      <c r="B29" s="511"/>
      <c r="C29" s="512"/>
      <c r="D29" s="512"/>
      <c r="E29" s="512"/>
      <c r="F29" s="512"/>
      <c r="G29" s="512"/>
      <c r="H29" s="512"/>
      <c r="I29" s="513"/>
    </row>
    <row r="30" spans="1:9" x14ac:dyDescent="0.25">
      <c r="A30" s="510"/>
      <c r="B30" s="511"/>
      <c r="C30" s="512"/>
      <c r="D30" s="512"/>
      <c r="E30" s="512"/>
      <c r="F30" s="512"/>
      <c r="G30" s="512"/>
      <c r="H30" s="512"/>
      <c r="I30" s="513"/>
    </row>
    <row r="31" spans="1:9" ht="15.75" thickBot="1" x14ac:dyDescent="0.3">
      <c r="A31" s="514"/>
      <c r="B31" s="515"/>
      <c r="C31" s="516"/>
      <c r="D31" s="516"/>
      <c r="E31" s="516"/>
      <c r="F31" s="516"/>
      <c r="G31" s="516"/>
      <c r="H31" s="516"/>
      <c r="I31" s="517"/>
    </row>
    <row r="32" spans="1:9" x14ac:dyDescent="0.25">
      <c r="A32" s="616" t="s">
        <v>39</v>
      </c>
      <c r="B32" s="617"/>
      <c r="C32" s="617"/>
      <c r="D32" s="617"/>
      <c r="E32" s="617"/>
      <c r="F32" s="617"/>
      <c r="G32" s="617"/>
      <c r="H32" s="617"/>
      <c r="I32" s="617"/>
    </row>
    <row r="33" spans="1:9" x14ac:dyDescent="0.25">
      <c r="A33" s="499"/>
      <c r="B33" s="500"/>
      <c r="C33" s="500"/>
      <c r="D33" s="500"/>
      <c r="E33" s="500"/>
      <c r="F33" s="500"/>
      <c r="G33" s="500"/>
      <c r="H33" s="500"/>
      <c r="I33" s="500"/>
    </row>
    <row r="34" spans="1:9" x14ac:dyDescent="0.25">
      <c r="A34" s="499"/>
      <c r="B34" s="500"/>
      <c r="C34" s="500"/>
      <c r="D34" s="500"/>
      <c r="E34" s="500"/>
      <c r="F34" s="500"/>
      <c r="G34" s="500"/>
      <c r="H34" s="500"/>
      <c r="I34" s="500"/>
    </row>
  </sheetData>
  <mergeCells count="44">
    <mergeCell ref="A32:I32"/>
    <mergeCell ref="A33:I33"/>
    <mergeCell ref="A34:I34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99CD-5157-4274-84EC-9B43FE38BE8D}">
  <dimension ref="A1:Q91"/>
  <sheetViews>
    <sheetView topLeftCell="A34" workbookViewId="0">
      <selection activeCell="B66" sqref="B66:E66"/>
    </sheetView>
  </sheetViews>
  <sheetFormatPr baseColWidth="10" defaultColWidth="8.42578125" defaultRowHeight="12.75" x14ac:dyDescent="0.25"/>
  <cols>
    <col min="1" max="1" width="10" style="67" bestFit="1" customWidth="1"/>
    <col min="2" max="2" width="44.28515625" style="67" bestFit="1" customWidth="1"/>
    <col min="3" max="3" width="10.42578125" style="67" bestFit="1" customWidth="1"/>
    <col min="4" max="4" width="10.42578125" style="67" customWidth="1"/>
    <col min="5" max="5" width="11.7109375" style="67" customWidth="1"/>
    <col min="6" max="6" width="9.5703125" style="67" bestFit="1" customWidth="1"/>
    <col min="7" max="7" width="9.5703125" style="149" bestFit="1" customWidth="1"/>
    <col min="8" max="8" width="10.42578125" style="140" bestFit="1" customWidth="1"/>
    <col min="9" max="9" width="4.5703125" style="140" customWidth="1"/>
    <col min="10" max="10" width="1.85546875" style="66" customWidth="1"/>
    <col min="11" max="11" width="7" style="67" bestFit="1" customWidth="1"/>
    <col min="12" max="12" width="6.28515625" style="67" customWidth="1"/>
    <col min="13" max="13" width="20.42578125" style="67" customWidth="1"/>
    <col min="14" max="14" width="6.42578125" style="67" bestFit="1" customWidth="1"/>
    <col min="15" max="16" width="8.42578125" style="67"/>
    <col min="17" max="17" width="3.28515625" style="67" customWidth="1"/>
    <col min="18" max="16384" width="8.42578125" style="67"/>
  </cols>
  <sheetData>
    <row r="1" spans="1:10" ht="27.75" customHeight="1" x14ac:dyDescent="0.25">
      <c r="A1" s="62"/>
      <c r="B1" s="62"/>
      <c r="C1" s="62"/>
      <c r="D1" s="62"/>
      <c r="E1" s="63" t="s">
        <v>122</v>
      </c>
      <c r="F1" s="64" t="s">
        <v>123</v>
      </c>
      <c r="G1" s="64" t="s">
        <v>124</v>
      </c>
      <c r="H1" s="64" t="s">
        <v>125</v>
      </c>
      <c r="I1" s="65"/>
    </row>
    <row r="2" spans="1:10" ht="30.75" customHeight="1" x14ac:dyDescent="0.25">
      <c r="A2" s="62"/>
      <c r="B2" s="62"/>
      <c r="C2" s="62"/>
      <c r="D2" s="62"/>
      <c r="E2" s="68">
        <f>IFERROR(O62,"")</f>
        <v>596.59267790621766</v>
      </c>
      <c r="F2" s="68">
        <f>IFERROR(H53,"")</f>
        <v>590.45252633869711</v>
      </c>
      <c r="G2" s="68">
        <f>IFERROR(H54,"")</f>
        <v>3.9164102564102565</v>
      </c>
      <c r="H2" s="68">
        <f>IFERROR(H56,"")</f>
        <v>47.36095856215676</v>
      </c>
      <c r="I2" s="69"/>
    </row>
    <row r="3" spans="1:10" ht="15" customHeight="1" x14ac:dyDescent="0.25">
      <c r="A3" s="62"/>
      <c r="B3" s="62"/>
      <c r="C3" s="62"/>
      <c r="D3" s="62"/>
      <c r="E3" s="62"/>
      <c r="F3" s="70"/>
      <c r="G3" s="70"/>
      <c r="H3" s="70"/>
      <c r="I3" s="70"/>
    </row>
    <row r="4" spans="1:10" ht="24.75" customHeight="1" thickBot="1" x14ac:dyDescent="0.3">
      <c r="A4" s="576"/>
      <c r="B4" s="576"/>
      <c r="C4" s="576"/>
      <c r="D4" s="576"/>
      <c r="E4" s="576"/>
      <c r="F4" s="576"/>
      <c r="G4" s="576"/>
      <c r="H4" s="576"/>
      <c r="I4" s="71"/>
    </row>
    <row r="5" spans="1:10" ht="19.5" customHeight="1" thickBot="1" x14ac:dyDescent="0.3">
      <c r="A5" s="577" t="s">
        <v>126</v>
      </c>
      <c r="B5" s="578"/>
      <c r="C5" s="578"/>
      <c r="D5" s="578"/>
      <c r="E5" s="578"/>
      <c r="F5" s="578"/>
      <c r="G5" s="578"/>
      <c r="H5" s="579"/>
      <c r="I5" s="72"/>
    </row>
    <row r="6" spans="1:10" ht="19.5" thickBot="1" x14ac:dyDescent="0.3">
      <c r="A6" s="72"/>
      <c r="B6" s="72"/>
      <c r="C6" s="72"/>
      <c r="D6" s="72"/>
      <c r="E6" s="72"/>
      <c r="F6" s="580" t="s">
        <v>127</v>
      </c>
      <c r="G6" s="580"/>
      <c r="H6" s="73">
        <f ca="1">TODAY()</f>
        <v>46034</v>
      </c>
      <c r="I6" s="73"/>
    </row>
    <row r="7" spans="1:10" ht="26.25" hidden="1" thickBot="1" x14ac:dyDescent="0.3">
      <c r="A7" s="74" t="s">
        <v>128</v>
      </c>
      <c r="B7" s="75" t="s">
        <v>129</v>
      </c>
      <c r="C7" s="75" t="s">
        <v>128</v>
      </c>
      <c r="D7" s="76" t="s">
        <v>130</v>
      </c>
      <c r="E7" s="76" t="s">
        <v>131</v>
      </c>
      <c r="F7" s="76" t="s">
        <v>132</v>
      </c>
      <c r="G7" s="76" t="s">
        <v>133</v>
      </c>
      <c r="H7" s="77" t="s">
        <v>134</v>
      </c>
      <c r="I7" s="78"/>
    </row>
    <row r="8" spans="1:10" ht="13.5" hidden="1" x14ac:dyDescent="0.25">
      <c r="A8" s="79"/>
      <c r="B8" s="67" t="str">
        <f>IFERROR(VLOOKUP(H8,'[1]Consolidado MP Planta'!$A$2:$M$823,3,0),"")</f>
        <v/>
      </c>
      <c r="C8" s="80">
        <f>+A8</f>
        <v>0</v>
      </c>
      <c r="D8" s="81" t="str">
        <f>IFERROR(VLOOKUP(H8,'[1]Consolidado MP Planta'!$A$2:$M$823,13,0),"")</f>
        <v/>
      </c>
      <c r="E8" s="81" t="str">
        <f>IFERROR(VLOOKUP(H8,'[1]Consolidado MP Planta'!$A$2:$M$823,12,0),"")</f>
        <v/>
      </c>
      <c r="F8" s="81" t="str">
        <f>IFERROR(C8*E8,"")</f>
        <v/>
      </c>
      <c r="G8" s="82" t="str">
        <f t="shared" ref="G8:G14" si="0">IFERROR(F8/$F$66,"")</f>
        <v/>
      </c>
      <c r="H8" s="83"/>
      <c r="I8" s="83"/>
      <c r="J8" s="84"/>
    </row>
    <row r="9" spans="1:10" ht="13.5" hidden="1" x14ac:dyDescent="0.25">
      <c r="A9" s="79"/>
      <c r="B9" s="67" t="str">
        <f>IFERROR(VLOOKUP(H9,'[1]Consolidado MP Planta'!$A$2:$M$823,3,0),"")</f>
        <v/>
      </c>
      <c r="C9" s="80">
        <f t="shared" ref="C9:C14" si="1">+A9</f>
        <v>0</v>
      </c>
      <c r="D9" s="81" t="str">
        <f>IFERROR(VLOOKUP(H9,'[1]Consolidado MP Planta'!$A$2:$M$823,13,0),"")</f>
        <v/>
      </c>
      <c r="E9" s="81" t="str">
        <f>IFERROR(VLOOKUP(H9,'[1]Consolidado MP Planta'!$A$2:$M$823,12,0),"")</f>
        <v/>
      </c>
      <c r="F9" s="81" t="str">
        <f t="shared" ref="F9:F14" si="2">IFERROR(C9*E9,"")</f>
        <v/>
      </c>
      <c r="G9" s="82" t="str">
        <f t="shared" si="0"/>
        <v/>
      </c>
      <c r="H9" s="83"/>
      <c r="I9" s="83"/>
      <c r="J9" s="84"/>
    </row>
    <row r="10" spans="1:10" ht="13.5" hidden="1" x14ac:dyDescent="0.25">
      <c r="A10" s="79"/>
      <c r="B10" s="67" t="str">
        <f>IFERROR(VLOOKUP(H10,'[1]Consolidado MP Planta'!$A$2:$M$823,3,0),"")</f>
        <v/>
      </c>
      <c r="C10" s="80">
        <f t="shared" si="1"/>
        <v>0</v>
      </c>
      <c r="D10" s="81" t="str">
        <f>IFERROR(VLOOKUP(H10,'[1]Consolidado MP Planta'!$A$2:$M$823,13,0),"")</f>
        <v/>
      </c>
      <c r="E10" s="81" t="str">
        <f>IFERROR(VLOOKUP(H10,'[1]Consolidado MP Planta'!$A$2:$M$823,12,0),"")</f>
        <v/>
      </c>
      <c r="F10" s="81" t="str">
        <f t="shared" si="2"/>
        <v/>
      </c>
      <c r="G10" s="82" t="str">
        <f t="shared" si="0"/>
        <v/>
      </c>
      <c r="H10" s="83"/>
      <c r="I10" s="83"/>
      <c r="J10" s="84"/>
    </row>
    <row r="11" spans="1:10" ht="13.5" hidden="1" x14ac:dyDescent="0.25">
      <c r="A11" s="79"/>
      <c r="B11" s="67" t="str">
        <f>IFERROR(VLOOKUP(H11,'[1]Consolidado MP Planta'!$A$2:$M$823,3,0),"")</f>
        <v/>
      </c>
      <c r="C11" s="80">
        <f t="shared" si="1"/>
        <v>0</v>
      </c>
      <c r="D11" s="81" t="str">
        <f>IFERROR(VLOOKUP(H11,'[1]Consolidado MP Planta'!$A$2:$M$823,13,0),"")</f>
        <v/>
      </c>
      <c r="E11" s="81" t="str">
        <f>IFERROR(VLOOKUP(H11,'[1]Consolidado MP Planta'!$A$2:$M$823,12,0),"")</f>
        <v/>
      </c>
      <c r="F11" s="81" t="str">
        <f t="shared" si="2"/>
        <v/>
      </c>
      <c r="G11" s="82" t="str">
        <f t="shared" si="0"/>
        <v/>
      </c>
      <c r="H11" s="83"/>
      <c r="I11" s="83"/>
      <c r="J11" s="84"/>
    </row>
    <row r="12" spans="1:10" ht="13.5" hidden="1" x14ac:dyDescent="0.25">
      <c r="A12" s="79"/>
      <c r="B12" s="67" t="str">
        <f>IFERROR(VLOOKUP(H12,'[1]Consolidado MP Planta'!$A$2:$M$823,3,0),"")</f>
        <v/>
      </c>
      <c r="C12" s="80">
        <f t="shared" si="1"/>
        <v>0</v>
      </c>
      <c r="D12" s="81" t="str">
        <f>IFERROR(VLOOKUP(H12,'[1]Consolidado MP Planta'!$A$2:$M$823,13,0),"")</f>
        <v/>
      </c>
      <c r="E12" s="81" t="str">
        <f>IFERROR(VLOOKUP(H12,'[1]Consolidado MP Planta'!$A$2:$M$823,12,0),"")</f>
        <v/>
      </c>
      <c r="F12" s="81" t="str">
        <f t="shared" si="2"/>
        <v/>
      </c>
      <c r="G12" s="82" t="str">
        <f t="shared" si="0"/>
        <v/>
      </c>
      <c r="H12" s="83"/>
      <c r="I12" s="83"/>
      <c r="J12" s="84"/>
    </row>
    <row r="13" spans="1:10" ht="13.5" hidden="1" x14ac:dyDescent="0.25">
      <c r="A13" s="79"/>
      <c r="B13" s="67" t="str">
        <f>IFERROR(VLOOKUP(H13,'[1]Consolidado MP Planta'!$A$2:$M$823,3,0),"")</f>
        <v/>
      </c>
      <c r="C13" s="80">
        <f t="shared" si="1"/>
        <v>0</v>
      </c>
      <c r="D13" s="81" t="str">
        <f>IFERROR(VLOOKUP(H13,'[1]Consolidado MP Planta'!$A$2:$M$823,13,0),"")</f>
        <v/>
      </c>
      <c r="E13" s="81" t="str">
        <f>IFERROR(VLOOKUP(H13,'[1]Consolidado MP Planta'!$A$2:$M$823,12,0),"")</f>
        <v/>
      </c>
      <c r="F13" s="81" t="str">
        <f t="shared" si="2"/>
        <v/>
      </c>
      <c r="G13" s="82" t="str">
        <f t="shared" si="0"/>
        <v/>
      </c>
      <c r="H13" s="83"/>
      <c r="I13" s="83"/>
      <c r="J13" s="84"/>
    </row>
    <row r="14" spans="1:10" ht="13.5" hidden="1" x14ac:dyDescent="0.25">
      <c r="A14" s="79"/>
      <c r="B14" s="67" t="str">
        <f>IFERROR(VLOOKUP(H14,'[1]Consolidado MP Planta'!$A$2:$M$823,3,0),"")</f>
        <v/>
      </c>
      <c r="C14" s="80">
        <f t="shared" si="1"/>
        <v>0</v>
      </c>
      <c r="D14" s="81" t="str">
        <f>IFERROR(VLOOKUP(H14,'[1]Consolidado MP Planta'!$A$2:$M$823,13,0),"")</f>
        <v/>
      </c>
      <c r="E14" s="81" t="str">
        <f>IFERROR(VLOOKUP(H14,'[1]Consolidado MP Planta'!$A$2:$M$823,12,0),"")</f>
        <v/>
      </c>
      <c r="F14" s="81" t="str">
        <f t="shared" si="2"/>
        <v/>
      </c>
      <c r="G14" s="82" t="str">
        <f t="shared" si="0"/>
        <v/>
      </c>
      <c r="H14" s="83"/>
      <c r="I14" s="83"/>
      <c r="J14" s="84"/>
    </row>
    <row r="15" spans="1:10" ht="14.25" hidden="1" thickBot="1" x14ac:dyDescent="0.3">
      <c r="A15" s="79"/>
      <c r="B15" s="67" t="str">
        <f>IFERROR(VLOOKUP(H15,'[2]ARTICULOS MP PLANTA'!$A$2:$G$589,2,0),"")</f>
        <v/>
      </c>
      <c r="C15" s="80"/>
      <c r="D15" s="81"/>
      <c r="E15" s="81"/>
      <c r="F15" s="81"/>
      <c r="G15" s="82"/>
      <c r="H15" s="83"/>
      <c r="I15" s="83"/>
      <c r="J15" s="84"/>
    </row>
    <row r="16" spans="1:10" ht="26.25" thickBot="1" x14ac:dyDescent="0.3">
      <c r="A16" s="74" t="s">
        <v>128</v>
      </c>
      <c r="B16" s="75" t="s">
        <v>135</v>
      </c>
      <c r="C16" s="75" t="s">
        <v>128</v>
      </c>
      <c r="D16" s="76" t="s">
        <v>130</v>
      </c>
      <c r="E16" s="76" t="s">
        <v>131</v>
      </c>
      <c r="F16" s="76" t="s">
        <v>132</v>
      </c>
      <c r="G16" s="76" t="s">
        <v>133</v>
      </c>
      <c r="H16" s="77" t="s">
        <v>134</v>
      </c>
      <c r="I16" s="78"/>
      <c r="J16" s="84"/>
    </row>
    <row r="17" spans="1:12" ht="13.5" x14ac:dyDescent="0.25">
      <c r="A17" s="79">
        <v>12000</v>
      </c>
      <c r="B17" s="67" t="s">
        <v>69</v>
      </c>
      <c r="C17" s="80">
        <f>+A17</f>
        <v>12000</v>
      </c>
      <c r="D17" s="80" t="s">
        <v>177</v>
      </c>
      <c r="E17" s="81">
        <f>+'Costo Batido'!E68</f>
        <v>1.7489707106007657</v>
      </c>
      <c r="F17" s="81">
        <f>IFERROR(E17*C17,"")</f>
        <v>20987.648527209189</v>
      </c>
      <c r="G17" s="82">
        <f t="shared" ref="G17:G24" si="3">IFERROR(F17/$F$66,"")</f>
        <v>0.84379439115011301</v>
      </c>
      <c r="H17" s="83" t="s">
        <v>178</v>
      </c>
      <c r="I17" s="83"/>
      <c r="J17" s="84"/>
    </row>
    <row r="18" spans="1:12" ht="13.5" x14ac:dyDescent="0.25">
      <c r="A18" s="79">
        <v>1000</v>
      </c>
      <c r="B18" s="67" t="s">
        <v>70</v>
      </c>
      <c r="C18" s="80">
        <f t="shared" ref="C18:C24" si="4">+A18</f>
        <v>1000</v>
      </c>
      <c r="D18" s="80" t="s">
        <v>177</v>
      </c>
      <c r="E18" s="81">
        <v>2.04</v>
      </c>
      <c r="F18" s="81">
        <f t="shared" ref="F18:F24" si="5">IFERROR(E18*C18,"")</f>
        <v>2040</v>
      </c>
      <c r="G18" s="82">
        <f t="shared" si="3"/>
        <v>8.2016837461072356E-2</v>
      </c>
      <c r="H18" s="83"/>
      <c r="I18" s="83"/>
      <c r="J18" s="84"/>
    </row>
    <row r="19" spans="1:12" ht="13.5" hidden="1" x14ac:dyDescent="0.25">
      <c r="A19" s="79"/>
      <c r="B19" s="67" t="str">
        <f>IFERROR(VLOOKUP(H19,[1]SEMIELABORADOS!$A$2:$M$6000,2,0),"")</f>
        <v/>
      </c>
      <c r="C19" s="80">
        <f>+A19</f>
        <v>0</v>
      </c>
      <c r="D19" s="80" t="str">
        <f>IFERROR(VLOOKUP(H19,[1]SEMIELABORADOS!$A$2:$M$6000,6,0),"")</f>
        <v/>
      </c>
      <c r="E19" s="81" t="str">
        <f>IFERROR(VLOOKUP(H19,[1]SEMIELABORADOS!$A$2:$H$65536,8,0),"")</f>
        <v/>
      </c>
      <c r="F19" s="81" t="str">
        <f>IFERROR(E19*C19,"")</f>
        <v/>
      </c>
      <c r="G19" s="82" t="str">
        <f t="shared" si="3"/>
        <v/>
      </c>
      <c r="H19" s="83"/>
      <c r="I19" s="83"/>
      <c r="J19" s="84"/>
    </row>
    <row r="20" spans="1:12" ht="13.5" hidden="1" x14ac:dyDescent="0.25">
      <c r="A20" s="79"/>
      <c r="B20" s="67" t="str">
        <f>IFERROR(VLOOKUP(H20,[1]SEMIELABORADOS!$A$2:$M$6000,2,0),"")</f>
        <v/>
      </c>
      <c r="C20" s="80">
        <f>+A20</f>
        <v>0</v>
      </c>
      <c r="D20" s="80" t="str">
        <f>IFERROR(VLOOKUP(H20,[1]SEMIELABORADOS!$A$2:$M$6000,6,0),"")</f>
        <v/>
      </c>
      <c r="E20" s="81" t="str">
        <f>IFERROR(VLOOKUP(H20,[1]SEMIELABORADOS!$A$2:$H$65536,8,0),"")</f>
        <v/>
      </c>
      <c r="F20" s="81" t="str">
        <f>IFERROR(E20*C20,"")</f>
        <v/>
      </c>
      <c r="G20" s="82" t="str">
        <f t="shared" si="3"/>
        <v/>
      </c>
      <c r="H20" s="83"/>
      <c r="I20" s="83"/>
      <c r="J20" s="84"/>
    </row>
    <row r="21" spans="1:12" ht="13.5" hidden="1" x14ac:dyDescent="0.25">
      <c r="A21" s="79"/>
      <c r="B21" s="67" t="str">
        <f>IFERROR(VLOOKUP(H21,[1]SEMIELABORADOS!$A$2:$M$6000,2,0),"")</f>
        <v/>
      </c>
      <c r="C21" s="80">
        <f>+A21</f>
        <v>0</v>
      </c>
      <c r="D21" s="80" t="str">
        <f>IFERROR(VLOOKUP(H21,[1]SEMIELABORADOS!$A$2:$M$6000,6,0),"")</f>
        <v/>
      </c>
      <c r="E21" s="81" t="str">
        <f>IFERROR(VLOOKUP(H21,[1]SEMIELABORADOS!$A$2:$H$65536,8,0),"")</f>
        <v/>
      </c>
      <c r="F21" s="81" t="str">
        <f>IFERROR(E21*C21,"")</f>
        <v/>
      </c>
      <c r="G21" s="82" t="str">
        <f t="shared" si="3"/>
        <v/>
      </c>
      <c r="H21" s="83"/>
      <c r="I21" s="83"/>
      <c r="J21" s="84"/>
    </row>
    <row r="22" spans="1:12" ht="13.5" hidden="1" x14ac:dyDescent="0.25">
      <c r="A22" s="79"/>
      <c r="B22" s="67" t="str">
        <f>IFERROR(VLOOKUP(H22,[1]SEMIELABORADOS!$A$2:$M$6000,2,0),"")</f>
        <v/>
      </c>
      <c r="C22" s="80">
        <f t="shared" si="4"/>
        <v>0</v>
      </c>
      <c r="D22" s="80" t="str">
        <f>IFERROR(VLOOKUP(H22,[1]SEMIELABORADOS!$A$2:$M$6000,6,0),"")</f>
        <v/>
      </c>
      <c r="E22" s="81" t="str">
        <f>IFERROR(VLOOKUP(H22,[1]SEMIELABORADOS!$A$2:$H$65536,8,0),"")</f>
        <v/>
      </c>
      <c r="F22" s="81" t="str">
        <f t="shared" si="5"/>
        <v/>
      </c>
      <c r="G22" s="82" t="str">
        <f t="shared" si="3"/>
        <v/>
      </c>
      <c r="H22" s="83"/>
      <c r="I22" s="83"/>
      <c r="J22" s="84"/>
    </row>
    <row r="23" spans="1:12" ht="13.5" hidden="1" x14ac:dyDescent="0.25">
      <c r="A23" s="79"/>
      <c r="B23" s="67" t="str">
        <f>IFERROR(VLOOKUP(H23,[1]SEMIELABORADOS!$A$2:$M$6000,2,0),"")</f>
        <v/>
      </c>
      <c r="C23" s="80">
        <f t="shared" si="4"/>
        <v>0</v>
      </c>
      <c r="D23" s="80" t="str">
        <f>IFERROR(VLOOKUP(H23,[1]SEMIELABORADOS!$A$2:$M$6000,6,0),"")</f>
        <v/>
      </c>
      <c r="E23" s="81" t="str">
        <f>IFERROR(VLOOKUP(H23,[1]SEMIELABORADOS!$A$2:$H$65536,8,0),"")</f>
        <v/>
      </c>
      <c r="F23" s="81" t="str">
        <f t="shared" si="5"/>
        <v/>
      </c>
      <c r="G23" s="82" t="str">
        <f t="shared" si="3"/>
        <v/>
      </c>
      <c r="H23" s="83"/>
      <c r="I23" s="83"/>
      <c r="J23" s="84"/>
    </row>
    <row r="24" spans="1:12" ht="13.5" hidden="1" x14ac:dyDescent="0.25">
      <c r="A24" s="79"/>
      <c r="B24" s="67" t="str">
        <f>IFERROR(VLOOKUP(H24,[1]SEMIELABORADOS!$A$2:$M$6000,2,0),"")</f>
        <v/>
      </c>
      <c r="C24" s="80">
        <f t="shared" si="4"/>
        <v>0</v>
      </c>
      <c r="D24" s="80" t="str">
        <f>IFERROR(VLOOKUP(H24,[1]SEMIELABORADOS!$A$2:$M$6000,6,0),"")</f>
        <v/>
      </c>
      <c r="E24" s="81" t="str">
        <f>IFERROR(VLOOKUP(H24,[1]SEMIELABORADOS!$A$2:$H$65536,8,0),"")</f>
        <v/>
      </c>
      <c r="F24" s="81" t="str">
        <f t="shared" si="5"/>
        <v/>
      </c>
      <c r="G24" s="82" t="str">
        <f t="shared" si="3"/>
        <v/>
      </c>
      <c r="H24" s="83"/>
      <c r="I24" s="83"/>
      <c r="J24" s="84"/>
    </row>
    <row r="25" spans="1:12" ht="14.25" thickBot="1" x14ac:dyDescent="0.3">
      <c r="A25" s="79"/>
      <c r="C25" s="80"/>
      <c r="D25" s="80"/>
      <c r="E25" s="81"/>
      <c r="F25" s="81"/>
      <c r="G25" s="82"/>
      <c r="H25" s="83"/>
      <c r="I25" s="83"/>
      <c r="J25" s="84"/>
    </row>
    <row r="26" spans="1:12" ht="26.25" thickBot="1" x14ac:dyDescent="0.3">
      <c r="A26" s="74" t="s">
        <v>128</v>
      </c>
      <c r="B26" s="75" t="s">
        <v>71</v>
      </c>
      <c r="C26" s="75" t="s">
        <v>128</v>
      </c>
      <c r="D26" s="76" t="s">
        <v>130</v>
      </c>
      <c r="E26" s="76" t="s">
        <v>131</v>
      </c>
      <c r="F26" s="76" t="s">
        <v>132</v>
      </c>
      <c r="G26" s="76" t="s">
        <v>133</v>
      </c>
      <c r="H26" s="77" t="s">
        <v>134</v>
      </c>
      <c r="I26" s="78"/>
    </row>
    <row r="27" spans="1:12" ht="13.5" x14ac:dyDescent="0.25">
      <c r="A27" s="79">
        <v>3</v>
      </c>
      <c r="B27" s="85" t="str">
        <f>IFERROR(VLOOKUP(H27,'[1]Consolidado MP Planta'!$A$2:$M$823,3,0),"")</f>
        <v>BOLSA TRANSPARENTE 56X96X1.80 KILO</v>
      </c>
      <c r="C27" s="80">
        <f t="shared" ref="C27:C32" si="6">+A27</f>
        <v>3</v>
      </c>
      <c r="D27" s="81" t="str">
        <f>IFERROR(VLOOKUP(H27,'[1]Consolidado MP Planta'!$A$2:$M$823,13,0),"")</f>
        <v>Und</v>
      </c>
      <c r="E27" s="81">
        <f>IFERROR(VLOOKUP(H27,'[1]Consolidado MP Planta'!$A$2:$M$823,12,0),"")</f>
        <v>50</v>
      </c>
      <c r="F27" s="81">
        <f t="shared" ref="F27:F32" si="7">IFERROR(C27*E27,"")</f>
        <v>150</v>
      </c>
      <c r="G27" s="82">
        <f t="shared" ref="G27:G32" si="8">IFERROR(F27/$F$66,"")</f>
        <v>6.0306498133141434E-3</v>
      </c>
      <c r="H27" s="86" t="s">
        <v>179</v>
      </c>
      <c r="I27" s="86"/>
      <c r="J27" s="84"/>
      <c r="K27" s="575"/>
      <c r="L27" s="575"/>
    </row>
    <row r="28" spans="1:12" ht="13.5" x14ac:dyDescent="0.25">
      <c r="A28" s="79">
        <v>3</v>
      </c>
      <c r="B28" s="85" t="str">
        <f>IFERROR(VLOOKUP(H28,'[1]Consolidado MP Planta'!$A$2:$M$823,3,0),"")</f>
        <v>ETIQ.FECHA VENCIMIENTO BLANCO (ROLLO)</v>
      </c>
      <c r="C28" s="80">
        <f t="shared" si="6"/>
        <v>3</v>
      </c>
      <c r="D28" s="81" t="str">
        <f>IFERROR(VLOOKUP(H28,'[1]Consolidado MP Planta'!$A$2:$M$823,13,0),"")</f>
        <v>Gramos</v>
      </c>
      <c r="E28" s="81">
        <f>IFERROR(VLOOKUP(H28,'[1]Consolidado MP Planta'!$A$2:$M$823,12,0),"")</f>
        <v>0.33333333333333331</v>
      </c>
      <c r="F28" s="81">
        <f t="shared" si="7"/>
        <v>1</v>
      </c>
      <c r="G28" s="82">
        <f t="shared" si="8"/>
        <v>4.020433208876096E-5</v>
      </c>
      <c r="H28" s="86" t="s">
        <v>180</v>
      </c>
      <c r="I28" s="86"/>
      <c r="J28" s="84"/>
      <c r="K28" s="575"/>
      <c r="L28" s="575"/>
    </row>
    <row r="29" spans="1:12" ht="13.5" x14ac:dyDescent="0.25">
      <c r="A29" s="79">
        <v>3</v>
      </c>
      <c r="B29" s="85" t="str">
        <f>IFERROR(VLOOKUP(H29,'[1]Consolidado MP Planta'!$A$2:$M$823,3,0),"")</f>
        <v>ETIQ.BLANCA 1 1/4 * 3/4 (UND)</v>
      </c>
      <c r="C29" s="80">
        <f t="shared" si="6"/>
        <v>3</v>
      </c>
      <c r="D29" s="81" t="str">
        <f>IFERROR(VLOOKUP(H29,'[1]Consolidado MP Planta'!$A$2:$M$823,13,0),"")</f>
        <v>Und</v>
      </c>
      <c r="E29" s="81">
        <f>IFERROR(VLOOKUP(H29,'[1]Consolidado MP Planta'!$A$2:$M$823,12,0),"")</f>
        <v>0.57999999999999996</v>
      </c>
      <c r="F29" s="81">
        <f t="shared" si="7"/>
        <v>1.7399999999999998</v>
      </c>
      <c r="G29" s="82">
        <f t="shared" si="8"/>
        <v>6.9955537834444058E-5</v>
      </c>
      <c r="H29" s="86" t="s">
        <v>181</v>
      </c>
      <c r="I29" s="86"/>
      <c r="J29" s="84"/>
      <c r="K29" s="575"/>
      <c r="L29" s="575"/>
    </row>
    <row r="30" spans="1:12" ht="13.5" hidden="1" x14ac:dyDescent="0.25">
      <c r="A30" s="79"/>
      <c r="B30" s="85" t="str">
        <f>IFERROR(VLOOKUP(H30,'[1]Consolidado MP Planta'!$A$2:$M$823,3,0),"")</f>
        <v/>
      </c>
      <c r="C30" s="80">
        <f t="shared" si="6"/>
        <v>0</v>
      </c>
      <c r="D30" s="81" t="str">
        <f>IFERROR(VLOOKUP(H30,'[1]Consolidado MP Planta'!$A$2:$M$823,13,0),"")</f>
        <v/>
      </c>
      <c r="E30" s="81" t="str">
        <f>IFERROR(VLOOKUP(H30,'[1]Consolidado MP Planta'!$A$2:$M$823,12,0),"")</f>
        <v/>
      </c>
      <c r="F30" s="81" t="str">
        <f t="shared" si="7"/>
        <v/>
      </c>
      <c r="G30" s="82" t="str">
        <f t="shared" si="8"/>
        <v/>
      </c>
      <c r="H30" s="86"/>
      <c r="I30" s="86"/>
      <c r="J30" s="84"/>
      <c r="K30" s="575"/>
      <c r="L30" s="575"/>
    </row>
    <row r="31" spans="1:12" ht="13.5" hidden="1" x14ac:dyDescent="0.25">
      <c r="A31" s="79"/>
      <c r="B31" s="85" t="str">
        <f>IFERROR(VLOOKUP(H31,'[1]Consolidado MP Planta'!$A$2:$M$823,3,0),"")</f>
        <v/>
      </c>
      <c r="C31" s="80">
        <f t="shared" si="6"/>
        <v>0</v>
      </c>
      <c r="D31" s="81" t="str">
        <f>IFERROR(VLOOKUP(H31,'[1]Consolidado MP Planta'!$A$2:$M$823,13,0),"")</f>
        <v/>
      </c>
      <c r="E31" s="81" t="str">
        <f>IFERROR(VLOOKUP(H31,'[1]Consolidado MP Planta'!$A$2:$M$823,12,0),"")</f>
        <v/>
      </c>
      <c r="F31" s="81" t="str">
        <f t="shared" si="7"/>
        <v/>
      </c>
      <c r="G31" s="82" t="str">
        <f t="shared" si="8"/>
        <v/>
      </c>
      <c r="H31" s="86"/>
      <c r="I31" s="86"/>
      <c r="J31" s="84"/>
      <c r="K31" s="87"/>
      <c r="L31" s="88"/>
    </row>
    <row r="32" spans="1:12" ht="13.5" hidden="1" x14ac:dyDescent="0.25">
      <c r="A32" s="79"/>
      <c r="B32" s="85" t="str">
        <f>IFERROR(VLOOKUP(H32,'[1]Consolidado MP Planta'!$A$2:$M$823,3,0),"")</f>
        <v/>
      </c>
      <c r="C32" s="80">
        <f t="shared" si="6"/>
        <v>0</v>
      </c>
      <c r="D32" s="81" t="str">
        <f>IFERROR(VLOOKUP(H32,'[1]Consolidado MP Planta'!$A$2:$M$823,13,0),"")</f>
        <v/>
      </c>
      <c r="E32" s="81" t="str">
        <f>IFERROR(VLOOKUP(H32,'[1]Consolidado MP Planta'!$A$2:$M$823,12,0),"")</f>
        <v/>
      </c>
      <c r="F32" s="81" t="str">
        <f t="shared" si="7"/>
        <v/>
      </c>
      <c r="G32" s="82" t="str">
        <f t="shared" si="8"/>
        <v/>
      </c>
      <c r="H32" s="86"/>
      <c r="I32" s="86"/>
      <c r="J32" s="84"/>
    </row>
    <row r="33" spans="1:13" ht="14.25" thickBot="1" x14ac:dyDescent="0.3">
      <c r="A33" s="79"/>
      <c r="B33" s="85"/>
      <c r="C33" s="80"/>
      <c r="D33" s="81"/>
      <c r="E33" s="81"/>
      <c r="F33" s="81"/>
      <c r="G33" s="82"/>
      <c r="H33" s="86"/>
      <c r="I33" s="86"/>
      <c r="J33" s="84"/>
    </row>
    <row r="34" spans="1:13" ht="26.25" thickBot="1" x14ac:dyDescent="0.25">
      <c r="A34" s="74" t="s">
        <v>128</v>
      </c>
      <c r="B34" s="75" t="s">
        <v>136</v>
      </c>
      <c r="C34" s="75" t="s">
        <v>128</v>
      </c>
      <c r="D34" s="76" t="s">
        <v>130</v>
      </c>
      <c r="E34" s="76" t="s">
        <v>131</v>
      </c>
      <c r="F34" s="76" t="s">
        <v>132</v>
      </c>
      <c r="G34" s="76" t="s">
        <v>133</v>
      </c>
      <c r="H34" s="77" t="s">
        <v>134</v>
      </c>
      <c r="I34" s="86"/>
      <c r="J34" s="84"/>
    </row>
    <row r="35" spans="1:13" ht="13.5" x14ac:dyDescent="0.25">
      <c r="A35" s="79">
        <f>+A17</f>
        <v>12000</v>
      </c>
      <c r="B35" s="85" t="s">
        <v>69</v>
      </c>
      <c r="C35" s="80">
        <f>+A35</f>
        <v>12000</v>
      </c>
      <c r="D35" s="81" t="s">
        <v>177</v>
      </c>
      <c r="E35" s="81">
        <f>+'Costo Batido'!E75</f>
        <v>0</v>
      </c>
      <c r="F35" s="81">
        <f>IFERROR(E35*C35,"")</f>
        <v>0</v>
      </c>
      <c r="G35" s="82">
        <f t="shared" ref="G35:G41" si="9">IFERROR(F35/$F$66,"")</f>
        <v>0</v>
      </c>
      <c r="H35" s="86" t="s">
        <v>178</v>
      </c>
      <c r="I35" s="86"/>
      <c r="J35" s="84"/>
    </row>
    <row r="36" spans="1:13" ht="13.5" x14ac:dyDescent="0.25">
      <c r="A36" s="79">
        <f t="shared" ref="A36:A41" si="10">+A18</f>
        <v>1000</v>
      </c>
      <c r="B36" s="85" t="s">
        <v>70</v>
      </c>
      <c r="C36" s="80">
        <f t="shared" ref="C36:C41" si="11">+A36</f>
        <v>1000</v>
      </c>
      <c r="D36" s="81" t="s">
        <v>177</v>
      </c>
      <c r="E36" s="81">
        <v>0</v>
      </c>
      <c r="F36" s="81">
        <f t="shared" ref="F36:F41" si="12">IFERROR(E36*C36,"")</f>
        <v>0</v>
      </c>
      <c r="G36" s="82">
        <f t="shared" si="9"/>
        <v>0</v>
      </c>
      <c r="H36" s="86"/>
      <c r="I36" s="86"/>
      <c r="J36" s="84"/>
    </row>
    <row r="37" spans="1:13" ht="13.5" hidden="1" x14ac:dyDescent="0.25">
      <c r="A37" s="79">
        <f t="shared" si="10"/>
        <v>0</v>
      </c>
      <c r="B37" s="85" t="str">
        <f>IFERROR(VLOOKUP(H37,[1]SEMIELABORADOS!$A$2:$M$6000,2,0),"")</f>
        <v/>
      </c>
      <c r="C37" s="80">
        <f t="shared" si="11"/>
        <v>0</v>
      </c>
      <c r="D37" s="81" t="str">
        <f>IFERROR(VLOOKUP(H37,[1]SEMIELABORADOS!$A$2:$M$6000,6,0),"")</f>
        <v/>
      </c>
      <c r="E37" s="81" t="str">
        <f>IFERROR(VLOOKUP(H37,[1]SEMIELABORADOS!$A$2:$M$65536,10,0),"")</f>
        <v/>
      </c>
      <c r="F37" s="81" t="str">
        <f t="shared" si="12"/>
        <v/>
      </c>
      <c r="G37" s="82" t="str">
        <f t="shared" si="9"/>
        <v/>
      </c>
      <c r="H37" s="86"/>
      <c r="I37" s="86"/>
      <c r="J37" s="84"/>
    </row>
    <row r="38" spans="1:13" ht="13.5" hidden="1" x14ac:dyDescent="0.25">
      <c r="A38" s="79">
        <f t="shared" si="10"/>
        <v>0</v>
      </c>
      <c r="B38" s="85" t="str">
        <f>IFERROR(VLOOKUP(H38,[1]SEMIELABORADOS!$A$2:$M$6000,2,0),"")</f>
        <v/>
      </c>
      <c r="C38" s="80">
        <f>+A38</f>
        <v>0</v>
      </c>
      <c r="D38" s="81" t="str">
        <f>IFERROR(VLOOKUP(H38,[1]SEMIELABORADOS!$A$2:$M$6000,6,0),"")</f>
        <v/>
      </c>
      <c r="E38" s="81" t="str">
        <f>IFERROR(VLOOKUP(H38,[1]SEMIELABORADOS!$A$2:$M$65536,10,0),"")</f>
        <v/>
      </c>
      <c r="F38" s="81" t="str">
        <f>IFERROR(E38*C38,"")</f>
        <v/>
      </c>
      <c r="G38" s="82" t="str">
        <f t="shared" si="9"/>
        <v/>
      </c>
      <c r="H38" s="86"/>
      <c r="I38" s="86"/>
      <c r="J38" s="84"/>
    </row>
    <row r="39" spans="1:13" ht="13.5" hidden="1" x14ac:dyDescent="0.25">
      <c r="A39" s="79">
        <f t="shared" si="10"/>
        <v>0</v>
      </c>
      <c r="B39" s="85" t="str">
        <f>IFERROR(VLOOKUP(H39,[1]SEMIELABORADOS!$A$2:$M$6000,2,0),"")</f>
        <v/>
      </c>
      <c r="C39" s="80">
        <f>+A39</f>
        <v>0</v>
      </c>
      <c r="D39" s="81" t="str">
        <f>IFERROR(VLOOKUP(H39,[1]SEMIELABORADOS!$A$2:$M$6000,6,0),"")</f>
        <v/>
      </c>
      <c r="E39" s="81" t="str">
        <f>IFERROR(VLOOKUP(H39,[1]SEMIELABORADOS!$A$2:$M$65536,10,0),"")</f>
        <v/>
      </c>
      <c r="F39" s="81" t="str">
        <f>IFERROR(E39*C39,"")</f>
        <v/>
      </c>
      <c r="G39" s="82" t="str">
        <f t="shared" si="9"/>
        <v/>
      </c>
      <c r="H39" s="86"/>
      <c r="I39" s="86"/>
      <c r="J39" s="84"/>
    </row>
    <row r="40" spans="1:13" ht="13.5" hidden="1" x14ac:dyDescent="0.25">
      <c r="A40" s="79">
        <f t="shared" si="10"/>
        <v>0</v>
      </c>
      <c r="B40" s="85" t="str">
        <f>IFERROR(VLOOKUP(H40,[1]SEMIELABORADOS!$A$2:$M$6000,2,0),"")</f>
        <v/>
      </c>
      <c r="C40" s="80">
        <f t="shared" si="11"/>
        <v>0</v>
      </c>
      <c r="D40" s="81" t="str">
        <f>IFERROR(VLOOKUP(H40,[1]SEMIELABORADOS!$A$2:$M$6000,6,0),"")</f>
        <v/>
      </c>
      <c r="E40" s="81" t="str">
        <f>IFERROR(VLOOKUP(H40,[1]SEMIELABORADOS!$A$2:$M$65536,10,0),"")</f>
        <v/>
      </c>
      <c r="F40" s="81" t="str">
        <f t="shared" si="12"/>
        <v/>
      </c>
      <c r="G40" s="82" t="str">
        <f t="shared" si="9"/>
        <v/>
      </c>
      <c r="H40" s="86"/>
      <c r="I40" s="86"/>
      <c r="J40" s="84"/>
    </row>
    <row r="41" spans="1:13" ht="13.5" hidden="1" x14ac:dyDescent="0.25">
      <c r="A41" s="79">
        <f t="shared" si="10"/>
        <v>0</v>
      </c>
      <c r="B41" s="85" t="str">
        <f>IFERROR(VLOOKUP(H41,[1]SEMIELABORADOS!$A$2:$M$6000,2,0),"")</f>
        <v/>
      </c>
      <c r="C41" s="80">
        <f t="shared" si="11"/>
        <v>0</v>
      </c>
      <c r="D41" s="81" t="str">
        <f>IFERROR(VLOOKUP(H41,[1]SEMIELABORADOS!$A$2:$M$6000,6,0),"")</f>
        <v/>
      </c>
      <c r="E41" s="81" t="str">
        <f>IFERROR(VLOOKUP(H41,[1]SEMIELABORADOS!$A$2:$M$65536,10,0),"")</f>
        <v/>
      </c>
      <c r="F41" s="81" t="str">
        <f t="shared" si="12"/>
        <v/>
      </c>
      <c r="G41" s="82" t="str">
        <f t="shared" si="9"/>
        <v/>
      </c>
      <c r="H41" s="86"/>
      <c r="I41" s="86"/>
      <c r="J41" s="84"/>
    </row>
    <row r="42" spans="1:13" ht="14.25" thickBot="1" x14ac:dyDescent="0.3">
      <c r="A42" s="79"/>
      <c r="B42" s="85"/>
      <c r="C42" s="80"/>
      <c r="D42" s="81"/>
      <c r="E42" s="81"/>
      <c r="F42" s="81"/>
      <c r="G42" s="82"/>
      <c r="H42" s="86"/>
      <c r="I42" s="86"/>
      <c r="J42" s="84"/>
    </row>
    <row r="43" spans="1:13" ht="26.25" thickBot="1" x14ac:dyDescent="0.3">
      <c r="A43" s="74" t="s">
        <v>128</v>
      </c>
      <c r="B43" s="75" t="s">
        <v>137</v>
      </c>
      <c r="C43" s="75" t="s">
        <v>128</v>
      </c>
      <c r="D43" s="76" t="s">
        <v>130</v>
      </c>
      <c r="E43" s="76" t="s">
        <v>131</v>
      </c>
      <c r="F43" s="76" t="s">
        <v>132</v>
      </c>
      <c r="G43" s="76" t="s">
        <v>133</v>
      </c>
      <c r="H43" s="77" t="s">
        <v>134</v>
      </c>
      <c r="I43" s="78"/>
      <c r="J43" s="84"/>
    </row>
    <row r="44" spans="1:13" ht="13.5" x14ac:dyDescent="0.25">
      <c r="A44" s="79">
        <f>+A35</f>
        <v>12000</v>
      </c>
      <c r="B44" s="85" t="s">
        <v>69</v>
      </c>
      <c r="C44" s="80">
        <f>+A44</f>
        <v>12000</v>
      </c>
      <c r="D44" s="81" t="s">
        <v>177</v>
      </c>
      <c r="E44" s="81">
        <f>+'Costo Batido'!E73</f>
        <v>5.1256448660342818E-2</v>
      </c>
      <c r="F44" s="81">
        <f>IFERROR(E44*C44,"")</f>
        <v>615.07738392411386</v>
      </c>
      <c r="G44" s="82">
        <f>IFERROR(F44/$F$66,"")</f>
        <v>2.4728775403571393E-2</v>
      </c>
      <c r="H44" s="86" t="s">
        <v>178</v>
      </c>
      <c r="I44" s="78"/>
      <c r="J44" s="84"/>
    </row>
    <row r="45" spans="1:13" ht="13.5" x14ac:dyDescent="0.25">
      <c r="A45" s="79">
        <f t="shared" ref="A45:A50" si="13">+A36</f>
        <v>1000</v>
      </c>
      <c r="B45" s="85" t="s">
        <v>70</v>
      </c>
      <c r="C45" s="80">
        <f t="shared" ref="C45:C50" si="14">+A45</f>
        <v>1000</v>
      </c>
      <c r="D45" s="81" t="s">
        <v>177</v>
      </c>
      <c r="E45" s="81">
        <v>0</v>
      </c>
      <c r="F45" s="81">
        <f t="shared" ref="F45:F50" si="15">IFERROR(E45*C45,"")</f>
        <v>0</v>
      </c>
      <c r="G45" s="82">
        <f t="shared" ref="G45:G50" si="16">IFERROR(F45/$F$66,"")</f>
        <v>0</v>
      </c>
      <c r="H45" s="86"/>
      <c r="I45" s="78"/>
      <c r="J45" s="84"/>
      <c r="M45" s="89"/>
    </row>
    <row r="46" spans="1:13" ht="13.5" hidden="1" x14ac:dyDescent="0.25">
      <c r="A46" s="79">
        <f t="shared" si="13"/>
        <v>0</v>
      </c>
      <c r="B46" s="85" t="str">
        <f>IFERROR(VLOOKUP(H46,[1]SEMIELABORADOS!$A$2:$M$6000,2,0),"")</f>
        <v/>
      </c>
      <c r="C46" s="80">
        <f t="shared" si="14"/>
        <v>0</v>
      </c>
      <c r="D46" s="81" t="str">
        <f>IFERROR(VLOOKUP(H46,[1]SEMIELABORADOS!$A$2:$M$6000,6,0),"")</f>
        <v/>
      </c>
      <c r="E46" s="81" t="str">
        <f>IFERROR(VLOOKUP(H46,[1]SEMIELABORADOS!$A$2:$M$65536,12,0),"")</f>
        <v/>
      </c>
      <c r="F46" s="81" t="str">
        <f t="shared" si="15"/>
        <v/>
      </c>
      <c r="G46" s="82" t="str">
        <f t="shared" si="16"/>
        <v/>
      </c>
      <c r="H46" s="86"/>
      <c r="I46" s="78"/>
      <c r="J46" s="84"/>
    </row>
    <row r="47" spans="1:13" ht="13.5" hidden="1" x14ac:dyDescent="0.25">
      <c r="A47" s="79">
        <f t="shared" si="13"/>
        <v>0</v>
      </c>
      <c r="B47" s="85" t="str">
        <f>IFERROR(VLOOKUP(H47,[1]SEMIELABORADOS!$A$2:$M$6000,2,0),"")</f>
        <v/>
      </c>
      <c r="C47" s="80">
        <f t="shared" si="14"/>
        <v>0</v>
      </c>
      <c r="D47" s="81" t="str">
        <f>IFERROR(VLOOKUP(H47,[1]SEMIELABORADOS!$A$2:$M$6000,6,0),"")</f>
        <v/>
      </c>
      <c r="E47" s="81" t="str">
        <f>IFERROR(VLOOKUP(H47,[1]SEMIELABORADOS!$A$2:$M$65536,12,0),"")</f>
        <v/>
      </c>
      <c r="F47" s="81" t="str">
        <f t="shared" si="15"/>
        <v/>
      </c>
      <c r="G47" s="82" t="str">
        <f t="shared" si="16"/>
        <v/>
      </c>
      <c r="H47" s="86"/>
      <c r="I47" s="78"/>
      <c r="J47" s="84"/>
    </row>
    <row r="48" spans="1:13" ht="13.5" hidden="1" x14ac:dyDescent="0.25">
      <c r="A48" s="79">
        <f t="shared" si="13"/>
        <v>0</v>
      </c>
      <c r="B48" s="85" t="str">
        <f>IFERROR(VLOOKUP(H48,[1]SEMIELABORADOS!$A$2:$M$6000,2,0),"")</f>
        <v/>
      </c>
      <c r="C48" s="80">
        <f t="shared" si="14"/>
        <v>0</v>
      </c>
      <c r="D48" s="81" t="str">
        <f>IFERROR(VLOOKUP(H48,[1]SEMIELABORADOS!$A$2:$M$6000,6,0),"")</f>
        <v/>
      </c>
      <c r="E48" s="81" t="str">
        <f>IFERROR(VLOOKUP(H48,[1]SEMIELABORADOS!$A$2:$M$65536,12,0),"")</f>
        <v/>
      </c>
      <c r="F48" s="81" t="str">
        <f t="shared" si="15"/>
        <v/>
      </c>
      <c r="G48" s="82" t="str">
        <f t="shared" si="16"/>
        <v/>
      </c>
      <c r="H48" s="86"/>
      <c r="I48" s="78"/>
      <c r="J48" s="84"/>
    </row>
    <row r="49" spans="1:17" ht="13.5" hidden="1" x14ac:dyDescent="0.25">
      <c r="A49" s="79">
        <f t="shared" si="13"/>
        <v>0</v>
      </c>
      <c r="B49" s="85" t="str">
        <f>IFERROR(VLOOKUP(H49,[1]SEMIELABORADOS!$A$2:$M$6000,2,0),"")</f>
        <v/>
      </c>
      <c r="C49" s="80">
        <f t="shared" si="14"/>
        <v>0</v>
      </c>
      <c r="D49" s="81" t="str">
        <f>IFERROR(VLOOKUP(H49,[1]SEMIELABORADOS!$A$2:$M$6000,6,0),"")</f>
        <v/>
      </c>
      <c r="E49" s="81" t="str">
        <f>IFERROR(VLOOKUP(H49,[1]SEMIELABORADOS!$A$2:$M$65536,12,0),"")</f>
        <v/>
      </c>
      <c r="F49" s="81" t="str">
        <f t="shared" si="15"/>
        <v/>
      </c>
      <c r="G49" s="82" t="str">
        <f t="shared" si="16"/>
        <v/>
      </c>
      <c r="H49" s="86"/>
      <c r="I49" s="78"/>
      <c r="J49" s="84"/>
    </row>
    <row r="50" spans="1:17" ht="13.5" hidden="1" x14ac:dyDescent="0.25">
      <c r="A50" s="79">
        <f t="shared" si="13"/>
        <v>0</v>
      </c>
      <c r="B50" s="85" t="str">
        <f>IFERROR(VLOOKUP(H50,[1]SEMIELABORADOS!$A$2:$M$6000,2,0),"")</f>
        <v/>
      </c>
      <c r="C50" s="80">
        <f t="shared" si="14"/>
        <v>0</v>
      </c>
      <c r="D50" s="81" t="str">
        <f>IFERROR(VLOOKUP(H50,[1]SEMIELABORADOS!$A$2:$M$6000,6,0),"")</f>
        <v/>
      </c>
      <c r="E50" s="81" t="str">
        <f>IFERROR(VLOOKUP(H50,[1]SEMIELABORADOS!$A$2:$M$65536,12,0),"")</f>
        <v/>
      </c>
      <c r="F50" s="81" t="str">
        <f t="shared" si="15"/>
        <v/>
      </c>
      <c r="G50" s="82" t="str">
        <f t="shared" si="16"/>
        <v/>
      </c>
      <c r="H50" s="85"/>
      <c r="I50" s="78"/>
      <c r="J50" s="84"/>
    </row>
    <row r="51" spans="1:17" ht="13.5" x14ac:dyDescent="0.25">
      <c r="A51" s="79">
        <v>1</v>
      </c>
      <c r="B51" s="85" t="s">
        <v>138</v>
      </c>
      <c r="C51" s="80">
        <f>+A51</f>
        <v>1</v>
      </c>
      <c r="D51" s="80" t="s">
        <v>139</v>
      </c>
      <c r="E51" s="81">
        <f>+F65</f>
        <v>1232</v>
      </c>
      <c r="F51" s="81">
        <f>IFERROR(C51*E51,"")</f>
        <v>1232</v>
      </c>
      <c r="G51" s="82">
        <f>IFERROR(F51/$F$66,"")</f>
        <v>4.9531737133353501E-2</v>
      </c>
      <c r="H51" s="90"/>
      <c r="I51" s="90"/>
      <c r="J51" s="84"/>
    </row>
    <row r="52" spans="1:17" ht="14.25" thickBot="1" x14ac:dyDescent="0.3">
      <c r="A52" s="79"/>
      <c r="B52" s="85"/>
      <c r="C52" s="80"/>
      <c r="D52" s="80"/>
      <c r="E52" s="81"/>
      <c r="F52" s="81"/>
      <c r="G52" s="82"/>
      <c r="H52" s="90"/>
      <c r="I52" s="90"/>
      <c r="J52" s="84"/>
    </row>
    <row r="53" spans="1:17" ht="13.5" thickBot="1" x14ac:dyDescent="0.3">
      <c r="A53" s="91"/>
      <c r="B53" s="585" t="s">
        <v>140</v>
      </c>
      <c r="C53" s="585"/>
      <c r="D53" s="585"/>
      <c r="E53" s="585"/>
      <c r="F53" s="93">
        <f>SUM(F8:F14,F17:F24)</f>
        <v>23027.648527209189</v>
      </c>
      <c r="G53" s="82">
        <f>+F53/$F$66</f>
        <v>0.92581122861118537</v>
      </c>
      <c r="H53" s="94">
        <f>+F53/$D$60</f>
        <v>590.45252633869711</v>
      </c>
      <c r="I53" s="94"/>
      <c r="J53" s="95"/>
      <c r="K53" s="96"/>
      <c r="L53" s="96"/>
      <c r="M53" s="96"/>
      <c r="N53" s="96"/>
      <c r="O53" s="96"/>
      <c r="P53" s="96"/>
      <c r="Q53" s="97"/>
    </row>
    <row r="54" spans="1:17" x14ac:dyDescent="0.2">
      <c r="A54" s="91"/>
      <c r="B54" s="585" t="s">
        <v>141</v>
      </c>
      <c r="C54" s="585"/>
      <c r="D54" s="585"/>
      <c r="E54" s="585"/>
      <c r="F54" s="93">
        <f>SUM(F27:F32,F35:F41)</f>
        <v>152.74</v>
      </c>
      <c r="G54" s="82">
        <f>+F54/$F$66</f>
        <v>6.1408096832373492E-3</v>
      </c>
      <c r="H54" s="94">
        <f>+F54/$D$60</f>
        <v>3.9164102564102565</v>
      </c>
      <c r="I54" s="94"/>
      <c r="J54" s="98"/>
      <c r="K54" s="586" t="s">
        <v>142</v>
      </c>
      <c r="L54" s="587"/>
      <c r="M54" s="587"/>
      <c r="N54" s="587"/>
      <c r="O54" s="99">
        <f>+F55</f>
        <v>23180.38852720919</v>
      </c>
      <c r="P54" s="99"/>
      <c r="Q54" s="100"/>
    </row>
    <row r="55" spans="1:17" x14ac:dyDescent="0.2">
      <c r="A55" s="91"/>
      <c r="B55" s="585" t="s">
        <v>143</v>
      </c>
      <c r="C55" s="585"/>
      <c r="D55" s="585"/>
      <c r="E55" s="585"/>
      <c r="F55" s="93">
        <f>+F53+F54</f>
        <v>23180.38852720919</v>
      </c>
      <c r="G55" s="82">
        <f>+F55/$F$66</f>
        <v>0.93195203829442275</v>
      </c>
      <c r="H55" s="94">
        <f>+F55/$D$60</f>
        <v>594.36893659510747</v>
      </c>
      <c r="I55" s="94"/>
      <c r="J55" s="101"/>
      <c r="K55" s="102"/>
      <c r="M55" s="103" t="s">
        <v>144</v>
      </c>
      <c r="N55" s="104"/>
      <c r="O55" s="99">
        <f>+H56</f>
        <v>47.36095856215676</v>
      </c>
      <c r="P55" s="99"/>
      <c r="Q55" s="100"/>
    </row>
    <row r="56" spans="1:17" ht="13.5" thickBot="1" x14ac:dyDescent="0.25">
      <c r="A56" s="91"/>
      <c r="B56" s="92"/>
      <c r="C56" s="585" t="s">
        <v>145</v>
      </c>
      <c r="D56" s="585"/>
      <c r="E56" s="585"/>
      <c r="F56" s="93">
        <f>SUM(F44:F51)</f>
        <v>1847.0773839241137</v>
      </c>
      <c r="G56" s="82">
        <f>+F56/$F$66</f>
        <v>7.4260512536924894E-2</v>
      </c>
      <c r="H56" s="94">
        <f>+F56/$D$60</f>
        <v>47.36095856215676</v>
      </c>
      <c r="I56" s="94"/>
      <c r="J56" s="101"/>
      <c r="K56" s="102"/>
      <c r="L56" s="102"/>
      <c r="M56" s="102" t="s">
        <v>146</v>
      </c>
      <c r="N56" s="105"/>
      <c r="O56" s="99">
        <f>O54*N56</f>
        <v>0</v>
      </c>
      <c r="P56" s="99"/>
      <c r="Q56" s="100"/>
    </row>
    <row r="57" spans="1:17" ht="13.5" thickBot="1" x14ac:dyDescent="0.25">
      <c r="A57" s="91"/>
      <c r="B57" s="106"/>
      <c r="C57" s="106"/>
      <c r="D57" s="106"/>
      <c r="E57" s="106"/>
      <c r="F57" s="107"/>
      <c r="G57" s="82"/>
      <c r="H57" s="108"/>
      <c r="I57" s="94"/>
      <c r="J57" s="101"/>
      <c r="K57" s="109"/>
      <c r="M57" s="110" t="s">
        <v>147</v>
      </c>
      <c r="N57" s="111"/>
      <c r="O57" s="112">
        <f>SUM(O54:O56)</f>
        <v>23227.749485771346</v>
      </c>
      <c r="P57" s="113"/>
      <c r="Q57" s="100"/>
    </row>
    <row r="58" spans="1:17" x14ac:dyDescent="0.2">
      <c r="B58" s="588" t="s">
        <v>148</v>
      </c>
      <c r="C58" s="588"/>
      <c r="D58" s="114">
        <v>11700</v>
      </c>
      <c r="E58" s="115"/>
      <c r="G58" s="82"/>
      <c r="H58" s="108">
        <f>+H56/77</f>
        <v>0.61507738392411382</v>
      </c>
      <c r="I58" s="116"/>
      <c r="J58" s="101"/>
      <c r="K58" s="109"/>
      <c r="L58" s="102"/>
      <c r="M58" s="102" t="s">
        <v>149</v>
      </c>
      <c r="N58" s="117"/>
      <c r="O58" s="99">
        <f>+H59</f>
        <v>39.364952571143284</v>
      </c>
      <c r="P58" s="99"/>
      <c r="Q58" s="100"/>
    </row>
    <row r="59" spans="1:17" x14ac:dyDescent="0.2">
      <c r="B59" s="588" t="s">
        <v>150</v>
      </c>
      <c r="C59" s="588"/>
      <c r="D59" s="118">
        <v>300</v>
      </c>
      <c r="E59" s="115"/>
      <c r="G59" s="82"/>
      <c r="H59" s="108">
        <f>+H58*64</f>
        <v>39.364952571143284</v>
      </c>
      <c r="I59" s="116"/>
      <c r="J59" s="101"/>
      <c r="K59" s="109"/>
      <c r="L59" s="102"/>
      <c r="M59" s="589" t="s">
        <v>147</v>
      </c>
      <c r="N59" s="589"/>
      <c r="O59" s="99">
        <f>SUM(O57:O58)</f>
        <v>23267.114438342491</v>
      </c>
      <c r="P59" s="99"/>
      <c r="Q59" s="100"/>
    </row>
    <row r="60" spans="1:17" ht="13.5" thickBot="1" x14ac:dyDescent="0.25">
      <c r="B60" s="581" t="s">
        <v>151</v>
      </c>
      <c r="C60" s="581"/>
      <c r="D60" s="114">
        <f>+D58/D59</f>
        <v>39</v>
      </c>
      <c r="E60" s="115"/>
      <c r="F60" s="119"/>
      <c r="G60" s="82"/>
      <c r="H60" s="108"/>
      <c r="I60" s="116"/>
      <c r="J60" s="101"/>
      <c r="K60" s="109"/>
      <c r="L60" s="589"/>
      <c r="M60" s="589"/>
      <c r="N60" s="117"/>
      <c r="O60" s="99">
        <f>+O59*N60</f>
        <v>0</v>
      </c>
      <c r="P60" s="99"/>
      <c r="Q60" s="100"/>
    </row>
    <row r="61" spans="1:17" ht="13.5" thickBot="1" x14ac:dyDescent="0.25">
      <c r="B61" s="581" t="s">
        <v>152</v>
      </c>
      <c r="C61" s="581"/>
      <c r="D61" s="120"/>
      <c r="E61" s="115"/>
      <c r="F61" s="119"/>
      <c r="G61" s="82"/>
      <c r="H61" s="108"/>
      <c r="I61" s="116"/>
      <c r="J61" s="101"/>
      <c r="K61" s="582" t="s">
        <v>153</v>
      </c>
      <c r="L61" s="583"/>
      <c r="M61" s="583"/>
      <c r="N61" s="584"/>
      <c r="O61" s="112">
        <f>SUM(O59:O60)</f>
        <v>23267.114438342491</v>
      </c>
      <c r="P61" s="121" t="s">
        <v>154</v>
      </c>
      <c r="Q61" s="100"/>
    </row>
    <row r="62" spans="1:17" ht="13.5" thickBot="1" x14ac:dyDescent="0.25">
      <c r="C62" s="91" t="s">
        <v>155</v>
      </c>
      <c r="D62" s="122"/>
      <c r="E62" s="65" t="s">
        <v>156</v>
      </c>
      <c r="F62" s="123" t="s">
        <v>157</v>
      </c>
      <c r="G62" s="82"/>
      <c r="H62" s="108"/>
      <c r="I62" s="116"/>
      <c r="J62" s="124"/>
      <c r="K62" s="125"/>
      <c r="L62" s="595" t="s">
        <v>158</v>
      </c>
      <c r="M62" s="595"/>
      <c r="N62" s="595"/>
      <c r="O62" s="126">
        <f>+O61/D60</f>
        <v>596.59267790621766</v>
      </c>
      <c r="P62" s="127">
        <f>+O62/D59</f>
        <v>1.9886422596873923</v>
      </c>
      <c r="Q62" s="128"/>
    </row>
    <row r="63" spans="1:17" ht="13.5" thickBot="1" x14ac:dyDescent="0.25">
      <c r="B63" s="596" t="s">
        <v>143</v>
      </c>
      <c r="C63" s="596"/>
      <c r="D63" s="596"/>
      <c r="E63" s="129">
        <f>+F63/F63</f>
        <v>1</v>
      </c>
      <c r="F63" s="130">
        <f>SUM(F55)</f>
        <v>23180.38852720919</v>
      </c>
      <c r="G63" s="82">
        <f>+F63/$F$66</f>
        <v>0.93195203829442275</v>
      </c>
      <c r="H63" s="108"/>
      <c r="I63" s="116"/>
      <c r="K63" s="597"/>
      <c r="L63" s="598"/>
      <c r="M63" s="598"/>
      <c r="N63" s="598"/>
      <c r="O63" s="131"/>
      <c r="P63" s="132"/>
    </row>
    <row r="64" spans="1:17" ht="13.5" thickBot="1" x14ac:dyDescent="0.3">
      <c r="B64" s="599" t="s">
        <v>159</v>
      </c>
      <c r="C64" s="599"/>
      <c r="D64" s="599"/>
      <c r="E64" s="133">
        <v>0.02</v>
      </c>
      <c r="F64" s="130">
        <f>+F53*E64</f>
        <v>460.55297054418378</v>
      </c>
      <c r="G64" s="82">
        <f>+F64/$F$66</f>
        <v>1.8516224572223707E-2</v>
      </c>
      <c r="H64" s="94"/>
      <c r="I64" s="116"/>
      <c r="J64" s="134"/>
      <c r="O64" s="135"/>
      <c r="P64" s="92"/>
    </row>
    <row r="65" spans="2:13" ht="13.5" thickBot="1" x14ac:dyDescent="0.3">
      <c r="B65" s="600" t="s">
        <v>160</v>
      </c>
      <c r="C65" s="601"/>
      <c r="D65" s="136">
        <v>16</v>
      </c>
      <c r="E65" s="137">
        <v>77</v>
      </c>
      <c r="F65" s="130">
        <f>+E65*D65</f>
        <v>1232</v>
      </c>
      <c r="G65" s="82">
        <f>+F65/$F$66</f>
        <v>4.9531737133353501E-2</v>
      </c>
      <c r="H65" s="94"/>
      <c r="I65" s="94"/>
      <c r="J65" s="84"/>
    </row>
    <row r="66" spans="2:13" ht="13.5" thickBot="1" x14ac:dyDescent="0.3">
      <c r="B66" s="602" t="s">
        <v>161</v>
      </c>
      <c r="C66" s="603"/>
      <c r="D66" s="603"/>
      <c r="E66" s="604"/>
      <c r="F66" s="107">
        <f>SUM(F63:F65)</f>
        <v>24872.941497753374</v>
      </c>
      <c r="G66" s="82">
        <f>+F66/$F$66</f>
        <v>1</v>
      </c>
      <c r="H66" s="605"/>
      <c r="I66" s="94"/>
      <c r="J66" s="84"/>
      <c r="M66" s="67" t="s">
        <v>162</v>
      </c>
    </row>
    <row r="67" spans="2:13" x14ac:dyDescent="0.25">
      <c r="C67" s="89"/>
      <c r="D67" s="89"/>
      <c r="E67" s="139"/>
      <c r="F67" s="130"/>
      <c r="G67" s="82"/>
      <c r="H67" s="605"/>
      <c r="I67" s="138"/>
      <c r="J67" s="67"/>
      <c r="M67" s="67" t="s">
        <v>163</v>
      </c>
    </row>
    <row r="68" spans="2:13" ht="13.5" thickBot="1" x14ac:dyDescent="0.3">
      <c r="B68" s="590" t="s">
        <v>164</v>
      </c>
      <c r="C68" s="590"/>
      <c r="D68" s="590"/>
      <c r="E68" s="590"/>
      <c r="F68" s="590"/>
      <c r="G68" s="82"/>
      <c r="H68" s="141"/>
      <c r="I68" s="138"/>
      <c r="J68" s="67"/>
      <c r="M68" s="67" t="s">
        <v>165</v>
      </c>
    </row>
    <row r="69" spans="2:13" ht="13.5" thickBot="1" x14ac:dyDescent="0.3">
      <c r="B69" s="142" t="s">
        <v>166</v>
      </c>
      <c r="C69" s="143">
        <f>+F53</f>
        <v>23027.648527209189</v>
      </c>
      <c r="D69" s="143">
        <f>+D58</f>
        <v>11700</v>
      </c>
      <c r="E69" s="144">
        <f>+C69/D69</f>
        <v>1.9681750877956572</v>
      </c>
      <c r="F69" s="82"/>
      <c r="G69" s="141"/>
      <c r="H69" s="84"/>
      <c r="I69" s="141"/>
      <c r="J69" s="67"/>
    </row>
    <row r="70" spans="2:13" x14ac:dyDescent="0.25">
      <c r="B70" s="145"/>
      <c r="C70" s="146"/>
      <c r="D70" s="147"/>
      <c r="E70" s="130"/>
      <c r="F70" s="82"/>
      <c r="G70" s="141"/>
      <c r="H70" s="84"/>
      <c r="I70" s="84"/>
      <c r="J70" s="67"/>
    </row>
    <row r="71" spans="2:13" x14ac:dyDescent="0.25">
      <c r="B71" s="142" t="s">
        <v>167</v>
      </c>
      <c r="C71" s="143">
        <f>SUM(F63:F64)</f>
        <v>23640.941497753374</v>
      </c>
      <c r="D71" s="143">
        <f>+D58</f>
        <v>11700</v>
      </c>
      <c r="E71" s="148">
        <f>+C71/D71</f>
        <v>2.0205932904062713</v>
      </c>
      <c r="F71" s="82"/>
      <c r="G71" s="141"/>
      <c r="H71" s="84"/>
      <c r="I71" s="84"/>
      <c r="J71" s="67"/>
    </row>
    <row r="72" spans="2:13" x14ac:dyDescent="0.25">
      <c r="B72" s="142"/>
      <c r="C72" s="143"/>
      <c r="D72" s="143"/>
      <c r="E72" s="148"/>
      <c r="F72" s="82"/>
      <c r="G72" s="141"/>
      <c r="H72" s="84"/>
      <c r="I72" s="84"/>
      <c r="J72" s="67"/>
    </row>
    <row r="73" spans="2:13" ht="13.5" thickBot="1" x14ac:dyDescent="0.3">
      <c r="B73" s="142" t="s">
        <v>168</v>
      </c>
      <c r="C73" s="143">
        <f>+F65</f>
        <v>1232</v>
      </c>
      <c r="D73" s="143">
        <f>+D58</f>
        <v>11700</v>
      </c>
      <c r="E73" s="148">
        <f>+C73/D73</f>
        <v>0.1052991452991453</v>
      </c>
      <c r="F73" s="82"/>
      <c r="G73" s="141"/>
      <c r="H73" s="84"/>
      <c r="I73" s="84"/>
      <c r="J73" s="67"/>
    </row>
    <row r="74" spans="2:13" ht="13.5" thickBot="1" x14ac:dyDescent="0.3">
      <c r="B74" s="142" t="s">
        <v>169</v>
      </c>
      <c r="C74" s="143">
        <f>+F56</f>
        <v>1847.0773839241137</v>
      </c>
      <c r="D74" s="143">
        <f>+D73</f>
        <v>11700</v>
      </c>
      <c r="E74" s="144">
        <f>+C74/D74</f>
        <v>0.15786986187385588</v>
      </c>
      <c r="F74" s="82"/>
      <c r="G74" s="141"/>
      <c r="H74" s="84"/>
      <c r="I74" s="84"/>
      <c r="J74" s="67"/>
    </row>
    <row r="75" spans="2:13" ht="13.5" thickBot="1" x14ac:dyDescent="0.3">
      <c r="B75" s="106"/>
      <c r="C75" s="107"/>
      <c r="D75" s="107"/>
      <c r="E75" s="148"/>
      <c r="F75" s="82"/>
      <c r="G75" s="141"/>
      <c r="H75" s="84"/>
      <c r="I75" s="84"/>
      <c r="J75" s="67"/>
    </row>
    <row r="76" spans="2:13" ht="13.5" thickBot="1" x14ac:dyDescent="0.3">
      <c r="B76" s="142" t="s">
        <v>170</v>
      </c>
      <c r="C76" s="143">
        <f>+F54</f>
        <v>152.74</v>
      </c>
      <c r="D76" s="143">
        <f>+D74</f>
        <v>11700</v>
      </c>
      <c r="E76" s="144">
        <f>+C76/D76</f>
        <v>1.3054700854700856E-2</v>
      </c>
      <c r="F76" s="82"/>
      <c r="G76" s="141"/>
      <c r="H76" s="84"/>
      <c r="I76" s="84"/>
      <c r="J76" s="84"/>
    </row>
    <row r="77" spans="2:13" ht="13.5" thickBot="1" x14ac:dyDescent="0.3">
      <c r="B77" s="106"/>
      <c r="C77" s="107"/>
      <c r="D77" s="107"/>
      <c r="E77" s="148"/>
      <c r="F77" s="82"/>
      <c r="G77" s="141"/>
      <c r="H77" s="84"/>
      <c r="I77" s="84"/>
    </row>
    <row r="78" spans="2:13" ht="13.5" thickBot="1" x14ac:dyDescent="0.3">
      <c r="B78" s="591" t="s">
        <v>171</v>
      </c>
      <c r="C78" s="592"/>
      <c r="D78" s="593"/>
      <c r="E78" s="144">
        <f>+E69+E74</f>
        <v>2.1260449496695131</v>
      </c>
      <c r="G78" s="82"/>
      <c r="H78" s="141"/>
      <c r="I78" s="84"/>
      <c r="J78" s="148"/>
    </row>
    <row r="79" spans="2:13" x14ac:dyDescent="0.25">
      <c r="I79" s="141"/>
      <c r="J79" s="67"/>
    </row>
    <row r="80" spans="2:13" ht="13.5" thickBot="1" x14ac:dyDescent="0.3">
      <c r="B80" s="590" t="s">
        <v>172</v>
      </c>
      <c r="C80" s="590"/>
      <c r="D80" s="590"/>
      <c r="E80" s="590"/>
      <c r="F80" s="590"/>
      <c r="G80" s="82"/>
      <c r="H80" s="141"/>
      <c r="J80" s="67"/>
    </row>
    <row r="81" spans="1:10" ht="13.5" thickBot="1" x14ac:dyDescent="0.3">
      <c r="B81" s="142" t="s">
        <v>166</v>
      </c>
      <c r="C81" s="143">
        <f>+C69</f>
        <v>23027.648527209189</v>
      </c>
      <c r="D81" s="143">
        <f>+D60</f>
        <v>39</v>
      </c>
      <c r="E81" s="144">
        <f>+C81/D81</f>
        <v>590.45252633869711</v>
      </c>
      <c r="F81" s="82"/>
      <c r="G81" s="141"/>
      <c r="H81" s="84"/>
      <c r="I81" s="141"/>
      <c r="J81" s="67"/>
    </row>
    <row r="82" spans="1:10" x14ac:dyDescent="0.25">
      <c r="B82" s="145"/>
      <c r="C82" s="146"/>
      <c r="D82" s="147"/>
      <c r="E82" s="130"/>
      <c r="F82" s="82"/>
      <c r="G82" s="141"/>
      <c r="H82" s="84"/>
      <c r="I82" s="84"/>
      <c r="J82" s="67"/>
    </row>
    <row r="83" spans="1:10" x14ac:dyDescent="0.25">
      <c r="B83" s="142" t="s">
        <v>167</v>
      </c>
      <c r="C83" s="143">
        <f>+C71</f>
        <v>23640.941497753374</v>
      </c>
      <c r="D83" s="143">
        <f>+D60</f>
        <v>39</v>
      </c>
      <c r="E83" s="148">
        <f>+C83/D83</f>
        <v>606.17798712188142</v>
      </c>
      <c r="F83" s="82"/>
      <c r="G83" s="141"/>
      <c r="H83" s="84"/>
      <c r="I83" s="84"/>
      <c r="J83" s="67"/>
    </row>
    <row r="84" spans="1:10" x14ac:dyDescent="0.25">
      <c r="B84" s="142"/>
      <c r="C84" s="143"/>
      <c r="D84" s="143"/>
      <c r="E84" s="148"/>
      <c r="F84" s="82"/>
      <c r="G84" s="141"/>
      <c r="H84" s="84"/>
      <c r="I84" s="84"/>
      <c r="J84" s="67"/>
    </row>
    <row r="85" spans="1:10" ht="13.5" thickBot="1" x14ac:dyDescent="0.3">
      <c r="B85" s="142" t="s">
        <v>169</v>
      </c>
      <c r="C85" s="143">
        <f>+C73</f>
        <v>1232</v>
      </c>
      <c r="D85" s="143">
        <f>+D60</f>
        <v>39</v>
      </c>
      <c r="E85" s="148">
        <f>+C85/D85</f>
        <v>31.589743589743591</v>
      </c>
      <c r="F85" s="150"/>
      <c r="G85" s="140"/>
      <c r="H85" s="66"/>
      <c r="I85" s="84"/>
    </row>
    <row r="86" spans="1:10" ht="13.5" thickBot="1" x14ac:dyDescent="0.3">
      <c r="B86" s="142" t="s">
        <v>169</v>
      </c>
      <c r="C86" s="143">
        <f>+C74</f>
        <v>1847.0773839241137</v>
      </c>
      <c r="D86" s="143">
        <f>+D85</f>
        <v>39</v>
      </c>
      <c r="E86" s="144">
        <f>+C86/D86</f>
        <v>47.36095856215676</v>
      </c>
      <c r="F86" s="149"/>
      <c r="G86" s="140"/>
      <c r="H86" s="66"/>
      <c r="I86" s="66"/>
    </row>
    <row r="87" spans="1:10" x14ac:dyDescent="0.25">
      <c r="I87" s="66"/>
    </row>
    <row r="88" spans="1:10" x14ac:dyDescent="0.2">
      <c r="A88" s="594"/>
      <c r="B88" s="594"/>
      <c r="C88" s="151"/>
      <c r="D88" s="151"/>
      <c r="E88" s="152"/>
      <c r="G88" s="153"/>
    </row>
    <row r="89" spans="1:10" x14ac:dyDescent="0.2">
      <c r="A89" s="85"/>
      <c r="B89" s="154"/>
      <c r="C89" s="155"/>
      <c r="D89" s="155"/>
      <c r="E89" s="156"/>
      <c r="G89" s="153"/>
    </row>
    <row r="90" spans="1:10" x14ac:dyDescent="0.2">
      <c r="A90" s="85"/>
      <c r="B90" s="154"/>
      <c r="C90" s="157"/>
      <c r="D90" s="157"/>
      <c r="E90" s="85"/>
      <c r="G90" s="153"/>
    </row>
    <row r="91" spans="1:10" x14ac:dyDescent="0.2">
      <c r="A91" s="85"/>
      <c r="B91" s="154"/>
      <c r="C91" s="158"/>
      <c r="D91" s="158"/>
      <c r="E91" s="85"/>
      <c r="G91" s="15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8E12-4E97-46AA-B470-58C69A144F8B}">
  <dimension ref="A1:I58"/>
  <sheetViews>
    <sheetView workbookViewId="0">
      <selection activeCell="C15" sqref="C15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679"/>
      <c r="B1" s="680"/>
      <c r="C1" s="565" t="s">
        <v>33</v>
      </c>
      <c r="D1" s="565"/>
      <c r="E1" s="565"/>
      <c r="F1" s="565"/>
      <c r="G1" s="565"/>
      <c r="H1" s="159" t="s">
        <v>32</v>
      </c>
      <c r="I1" s="160" t="s">
        <v>186</v>
      </c>
    </row>
    <row r="2" spans="1:9" ht="18" customHeight="1" thickBot="1" x14ac:dyDescent="0.35">
      <c r="A2" s="681"/>
      <c r="B2" s="682"/>
      <c r="C2" s="566" t="s">
        <v>31</v>
      </c>
      <c r="D2" s="567"/>
      <c r="E2" s="567"/>
      <c r="F2" s="567"/>
      <c r="G2" s="568"/>
      <c r="H2" s="161" t="s">
        <v>30</v>
      </c>
      <c r="I2" s="162" t="s">
        <v>187</v>
      </c>
    </row>
    <row r="3" spans="1:9" ht="31.5" customHeight="1" thickBot="1" x14ac:dyDescent="0.3">
      <c r="A3" s="681"/>
      <c r="B3" s="682"/>
      <c r="C3" s="685" t="s">
        <v>188</v>
      </c>
      <c r="D3" s="686"/>
      <c r="E3" s="686"/>
      <c r="F3" s="686"/>
      <c r="G3" s="687"/>
      <c r="H3" s="688" t="s">
        <v>29</v>
      </c>
      <c r="I3" s="673">
        <v>45613</v>
      </c>
    </row>
    <row r="4" spans="1:9" ht="18" customHeight="1" x14ac:dyDescent="0.3">
      <c r="A4" s="681"/>
      <c r="B4" s="682"/>
      <c r="C4" s="163" t="s">
        <v>28</v>
      </c>
      <c r="D4" s="676" t="s">
        <v>34</v>
      </c>
      <c r="E4" s="677"/>
      <c r="F4" s="677"/>
      <c r="G4" s="678"/>
      <c r="H4" s="689"/>
      <c r="I4" s="674"/>
    </row>
    <row r="5" spans="1:9" ht="18" thickBot="1" x14ac:dyDescent="0.35">
      <c r="A5" s="683"/>
      <c r="B5" s="684"/>
      <c r="C5" s="164" t="s">
        <v>27</v>
      </c>
      <c r="D5" s="623" t="s">
        <v>26</v>
      </c>
      <c r="E5" s="624"/>
      <c r="F5" s="624"/>
      <c r="G5" s="625"/>
      <c r="H5" s="690"/>
      <c r="I5" s="675"/>
    </row>
    <row r="6" spans="1:9" ht="16.5" thickBot="1" x14ac:dyDescent="0.3">
      <c r="A6" s="664" t="s">
        <v>25</v>
      </c>
      <c r="B6" s="664"/>
      <c r="C6" s="664"/>
      <c r="D6" s="665" t="s">
        <v>189</v>
      </c>
      <c r="E6" s="665"/>
      <c r="F6" s="665"/>
      <c r="G6" s="666" t="s">
        <v>24</v>
      </c>
      <c r="H6" s="666"/>
      <c r="I6" s="165" t="s">
        <v>106</v>
      </c>
    </row>
    <row r="7" spans="1:9" x14ac:dyDescent="0.25">
      <c r="A7" s="667" t="s">
        <v>23</v>
      </c>
      <c r="B7" s="669" t="s">
        <v>36</v>
      </c>
      <c r="C7" s="671" t="s">
        <v>22</v>
      </c>
      <c r="D7" s="671" t="s">
        <v>21</v>
      </c>
      <c r="E7" s="671" t="s">
        <v>20</v>
      </c>
      <c r="F7" s="671"/>
      <c r="G7" s="671" t="s">
        <v>19</v>
      </c>
      <c r="H7" s="671"/>
      <c r="I7" s="166" t="s">
        <v>18</v>
      </c>
    </row>
    <row r="8" spans="1:9" ht="31.5" thickBot="1" x14ac:dyDescent="0.3">
      <c r="A8" s="668"/>
      <c r="B8" s="670"/>
      <c r="C8" s="672"/>
      <c r="D8" s="672"/>
      <c r="E8" s="167" t="s">
        <v>13</v>
      </c>
      <c r="F8" s="168" t="s">
        <v>17</v>
      </c>
      <c r="G8" s="167" t="s">
        <v>13</v>
      </c>
      <c r="H8" s="168" t="s">
        <v>17</v>
      </c>
      <c r="I8" s="169" t="s">
        <v>16</v>
      </c>
    </row>
    <row r="9" spans="1:9" ht="15.75" x14ac:dyDescent="0.25">
      <c r="A9" s="170"/>
      <c r="B9" s="171"/>
      <c r="C9" s="172" t="s">
        <v>190</v>
      </c>
      <c r="D9" s="173"/>
      <c r="E9" s="174"/>
      <c r="F9" s="175"/>
      <c r="G9" s="174"/>
      <c r="H9" s="175"/>
      <c r="I9" s="176"/>
    </row>
    <row r="10" spans="1:9" ht="18" customHeight="1" x14ac:dyDescent="0.3">
      <c r="A10" s="177">
        <v>310148</v>
      </c>
      <c r="B10" s="178" t="s">
        <v>191</v>
      </c>
      <c r="C10" s="179" t="s">
        <v>192</v>
      </c>
      <c r="D10" s="180" t="s">
        <v>193</v>
      </c>
      <c r="E10" s="181">
        <v>12800</v>
      </c>
      <c r="F10" s="182" t="s">
        <v>1</v>
      </c>
      <c r="G10" s="183"/>
      <c r="H10" s="184"/>
      <c r="I10" s="176"/>
    </row>
    <row r="11" spans="1:9" ht="17.25" x14ac:dyDescent="0.3">
      <c r="A11" s="177">
        <v>11400031</v>
      </c>
      <c r="B11" s="185" t="s">
        <v>194</v>
      </c>
      <c r="C11" s="186" t="s">
        <v>195</v>
      </c>
      <c r="D11" s="180" t="s">
        <v>193</v>
      </c>
      <c r="E11" s="187">
        <v>3200</v>
      </c>
      <c r="F11" s="188" t="s">
        <v>1</v>
      </c>
      <c r="G11" s="183"/>
      <c r="H11" s="184"/>
      <c r="I11" s="176"/>
    </row>
    <row r="12" spans="1:9" ht="17.25" x14ac:dyDescent="0.3">
      <c r="A12" s="177" t="s">
        <v>196</v>
      </c>
      <c r="B12" s="185"/>
      <c r="C12" s="186" t="s">
        <v>49</v>
      </c>
      <c r="D12" s="180" t="s">
        <v>197</v>
      </c>
      <c r="E12" s="187">
        <v>800</v>
      </c>
      <c r="F12" s="188" t="s">
        <v>1</v>
      </c>
      <c r="G12" s="189"/>
      <c r="H12" s="184"/>
      <c r="I12" s="176"/>
    </row>
    <row r="13" spans="1:9" ht="17.25" x14ac:dyDescent="0.3">
      <c r="A13" s="177">
        <v>1212410</v>
      </c>
      <c r="B13" s="185" t="s">
        <v>56</v>
      </c>
      <c r="C13" s="186" t="s">
        <v>198</v>
      </c>
      <c r="D13" s="180" t="s">
        <v>199</v>
      </c>
      <c r="E13" s="187">
        <v>12</v>
      </c>
      <c r="F13" s="188" t="s">
        <v>1</v>
      </c>
      <c r="G13" s="189"/>
      <c r="H13" s="184"/>
      <c r="I13" s="176"/>
    </row>
    <row r="14" spans="1:9" ht="17.25" x14ac:dyDescent="0.3">
      <c r="A14" s="190"/>
      <c r="B14" s="191"/>
      <c r="C14" s="192"/>
      <c r="D14" s="189"/>
      <c r="E14" s="189"/>
      <c r="F14" s="193"/>
      <c r="G14" s="189"/>
      <c r="H14" s="184"/>
      <c r="I14" s="176"/>
    </row>
    <row r="15" spans="1:9" ht="17.25" x14ac:dyDescent="0.3">
      <c r="A15" s="194"/>
      <c r="B15" s="191"/>
      <c r="C15" s="195"/>
      <c r="D15" s="189"/>
      <c r="E15" s="189"/>
      <c r="F15" s="193"/>
      <c r="G15" s="189"/>
      <c r="H15" s="184"/>
      <c r="I15" s="176"/>
    </row>
    <row r="16" spans="1:9" ht="17.25" x14ac:dyDescent="0.3">
      <c r="A16" s="189"/>
      <c r="B16" s="189"/>
      <c r="C16" s="196"/>
      <c r="D16" s="197"/>
      <c r="E16" s="197"/>
      <c r="F16" s="183"/>
      <c r="G16" s="189"/>
      <c r="H16" s="184"/>
      <c r="I16" s="176"/>
    </row>
    <row r="17" spans="1:9" ht="17.25" x14ac:dyDescent="0.3">
      <c r="A17" s="191"/>
      <c r="B17" s="191"/>
      <c r="C17" s="198"/>
      <c r="D17" s="189"/>
      <c r="E17" s="189"/>
      <c r="F17" s="193"/>
      <c r="G17" s="189"/>
      <c r="H17" s="184"/>
      <c r="I17" s="176"/>
    </row>
    <row r="18" spans="1:9" ht="17.25" x14ac:dyDescent="0.3">
      <c r="A18" s="190"/>
      <c r="B18" s="191"/>
      <c r="C18" s="192"/>
      <c r="D18" s="189"/>
      <c r="E18" s="189"/>
      <c r="F18" s="193"/>
      <c r="G18" s="189"/>
      <c r="H18" s="184"/>
      <c r="I18" s="176"/>
    </row>
    <row r="19" spans="1:9" ht="17.25" x14ac:dyDescent="0.3">
      <c r="A19" s="199"/>
      <c r="B19" s="199"/>
      <c r="C19" s="200"/>
      <c r="D19" s="201"/>
      <c r="E19" s="202"/>
      <c r="F19" s="203"/>
      <c r="G19" s="174"/>
      <c r="H19" s="184"/>
      <c r="I19" s="176"/>
    </row>
    <row r="20" spans="1:9" ht="15.75" x14ac:dyDescent="0.25">
      <c r="A20" s="204"/>
      <c r="B20" s="205"/>
      <c r="C20" s="206" t="s">
        <v>189</v>
      </c>
      <c r="D20" s="207"/>
      <c r="E20" s="208"/>
      <c r="F20" s="209"/>
      <c r="G20" s="174"/>
      <c r="H20" s="175"/>
      <c r="I20" s="176"/>
    </row>
    <row r="21" spans="1:9" ht="17.25" x14ac:dyDescent="0.3">
      <c r="A21" s="177"/>
      <c r="B21" s="210"/>
      <c r="C21" s="179"/>
      <c r="D21" s="180"/>
      <c r="E21" s="187"/>
      <c r="F21" s="188"/>
      <c r="G21" s="174"/>
      <c r="H21" s="175"/>
      <c r="I21" s="176"/>
    </row>
    <row r="22" spans="1:9" ht="17.25" x14ac:dyDescent="0.3">
      <c r="A22" s="177"/>
      <c r="B22" s="210"/>
      <c r="C22" s="179"/>
      <c r="D22" s="180"/>
      <c r="E22" s="211"/>
      <c r="F22" s="188"/>
      <c r="G22" s="174"/>
      <c r="H22" s="175"/>
      <c r="I22" s="176"/>
    </row>
    <row r="23" spans="1:9" ht="17.25" x14ac:dyDescent="0.3">
      <c r="A23" s="177"/>
      <c r="B23" s="210"/>
      <c r="C23" s="179"/>
      <c r="D23" s="180"/>
      <c r="E23" s="187"/>
      <c r="F23" s="188"/>
      <c r="G23" s="174"/>
      <c r="H23" s="175"/>
      <c r="I23" s="176"/>
    </row>
    <row r="24" spans="1:9" ht="17.25" x14ac:dyDescent="0.3">
      <c r="A24" s="177"/>
      <c r="B24" s="210"/>
      <c r="C24" s="179"/>
      <c r="D24" s="180"/>
      <c r="E24" s="212"/>
      <c r="F24" s="213"/>
      <c r="G24" s="174"/>
      <c r="H24" s="175"/>
      <c r="I24" s="176"/>
    </row>
    <row r="25" spans="1:9" ht="17.25" x14ac:dyDescent="0.3">
      <c r="A25" s="177"/>
      <c r="B25" s="210"/>
      <c r="C25" s="179"/>
      <c r="D25" s="180"/>
      <c r="E25" s="181"/>
      <c r="F25" s="213"/>
      <c r="G25" s="174"/>
      <c r="H25" s="175"/>
      <c r="I25" s="176"/>
    </row>
    <row r="26" spans="1:9" ht="17.25" x14ac:dyDescent="0.3">
      <c r="A26" s="214"/>
      <c r="B26" s="214"/>
      <c r="C26" s="215"/>
      <c r="D26" s="216"/>
      <c r="E26" s="217"/>
      <c r="F26" s="218"/>
      <c r="G26" s="174"/>
      <c r="H26" s="175"/>
      <c r="I26" s="176"/>
    </row>
    <row r="27" spans="1:9" ht="17.25" x14ac:dyDescent="0.3">
      <c r="A27" s="199"/>
      <c r="B27" s="199"/>
      <c r="C27" s="200"/>
      <c r="D27" s="219"/>
      <c r="E27" s="220"/>
      <c r="F27" s="218"/>
      <c r="G27" s="174"/>
      <c r="H27" s="175"/>
      <c r="I27" s="176"/>
    </row>
    <row r="28" spans="1:9" ht="17.25" x14ac:dyDescent="0.3">
      <c r="A28" s="199"/>
      <c r="B28" s="199"/>
      <c r="C28" s="200"/>
      <c r="D28" s="219"/>
      <c r="E28" s="211"/>
      <c r="F28" s="221"/>
      <c r="G28" s="174"/>
      <c r="H28" s="175"/>
      <c r="I28" s="176"/>
    </row>
    <row r="29" spans="1:9" ht="15.75" x14ac:dyDescent="0.25">
      <c r="A29" s="222"/>
      <c r="B29" s="223"/>
      <c r="C29" s="224" t="s">
        <v>37</v>
      </c>
      <c r="D29" s="225"/>
      <c r="E29" s="226"/>
      <c r="F29" s="175"/>
      <c r="G29" s="174"/>
      <c r="H29" s="215"/>
      <c r="I29" s="176"/>
    </row>
    <row r="30" spans="1:9" ht="17.25" x14ac:dyDescent="0.3">
      <c r="A30" s="227">
        <v>702123</v>
      </c>
      <c r="B30" s="227" t="s">
        <v>115</v>
      </c>
      <c r="C30" s="228" t="s">
        <v>116</v>
      </c>
      <c r="D30" s="229" t="s">
        <v>200</v>
      </c>
      <c r="E30" s="230">
        <v>1</v>
      </c>
      <c r="F30" s="231" t="s">
        <v>6</v>
      </c>
      <c r="G30" s="232"/>
      <c r="H30" s="175"/>
      <c r="I30" s="176"/>
    </row>
    <row r="31" spans="1:9" ht="17.25" x14ac:dyDescent="0.3">
      <c r="A31" s="227"/>
      <c r="B31" s="227"/>
      <c r="C31" s="228"/>
      <c r="D31" s="229"/>
      <c r="E31" s="230"/>
      <c r="F31" s="231"/>
      <c r="G31" s="232"/>
      <c r="H31" s="175"/>
      <c r="I31" s="176"/>
    </row>
    <row r="32" spans="1:9" ht="17.25" x14ac:dyDescent="0.3">
      <c r="A32" s="227"/>
      <c r="B32" s="227"/>
      <c r="C32" s="228"/>
      <c r="D32" s="229"/>
      <c r="E32" s="230"/>
      <c r="F32" s="231"/>
      <c r="G32" s="232"/>
      <c r="H32" s="175"/>
      <c r="I32" s="176"/>
    </row>
    <row r="33" spans="1:9" ht="15.75" x14ac:dyDescent="0.25">
      <c r="A33" s="233"/>
      <c r="B33" s="233"/>
      <c r="C33" s="234"/>
      <c r="D33" s="18"/>
      <c r="E33" s="235"/>
      <c r="F33" s="236"/>
      <c r="G33" s="174"/>
      <c r="H33" s="175"/>
      <c r="I33" s="176"/>
    </row>
    <row r="34" spans="1:9" ht="15.75" x14ac:dyDescent="0.25">
      <c r="A34" s="233"/>
      <c r="B34" s="233"/>
      <c r="C34" s="237"/>
      <c r="D34" s="18"/>
      <c r="E34" s="18"/>
      <c r="F34" s="236"/>
      <c r="G34" s="174"/>
      <c r="H34" s="175"/>
      <c r="I34" s="176"/>
    </row>
    <row r="35" spans="1:9" ht="15.75" x14ac:dyDescent="0.25">
      <c r="A35" s="233"/>
      <c r="B35" s="233"/>
      <c r="C35" s="237"/>
      <c r="D35" s="18"/>
      <c r="E35" s="18"/>
      <c r="F35" s="236"/>
      <c r="G35" s="238"/>
      <c r="H35" s="175"/>
      <c r="I35" s="176"/>
    </row>
    <row r="36" spans="1:9" ht="15.75" x14ac:dyDescent="0.25">
      <c r="A36" s="239"/>
      <c r="B36" s="240"/>
      <c r="C36" s="241"/>
      <c r="D36" s="242"/>
      <c r="E36" s="242"/>
      <c r="F36" s="243"/>
      <c r="G36" s="244"/>
      <c r="H36" s="175"/>
      <c r="I36" s="176"/>
    </row>
    <row r="37" spans="1:9" ht="15.75" x14ac:dyDescent="0.25">
      <c r="A37" s="204"/>
      <c r="B37" s="205"/>
      <c r="C37" s="228"/>
      <c r="D37" s="18"/>
      <c r="E37" s="244"/>
      <c r="F37" s="209"/>
      <c r="G37" s="244"/>
      <c r="H37" s="175"/>
      <c r="I37" s="176"/>
    </row>
    <row r="38" spans="1:9" ht="15.75" x14ac:dyDescent="0.25">
      <c r="A38" s="204"/>
      <c r="B38" s="205"/>
      <c r="C38" s="228"/>
      <c r="D38" s="207"/>
      <c r="E38" s="207"/>
      <c r="F38" s="209"/>
      <c r="G38" s="207"/>
      <c r="H38" s="207"/>
      <c r="I38" s="176"/>
    </row>
    <row r="39" spans="1:9" ht="18" thickBot="1" x14ac:dyDescent="0.35">
      <c r="A39" s="245"/>
      <c r="B39" s="246"/>
      <c r="C39" s="247"/>
      <c r="D39" s="247"/>
      <c r="E39" s="248"/>
      <c r="F39" s="249"/>
      <c r="G39" s="247"/>
      <c r="H39" s="247"/>
      <c r="I39" s="250"/>
    </row>
    <row r="40" spans="1:9" ht="18" thickBot="1" x14ac:dyDescent="0.35">
      <c r="A40" s="251"/>
      <c r="B40" s="252"/>
      <c r="C40" s="253"/>
      <c r="D40" s="254" t="s">
        <v>13</v>
      </c>
      <c r="E40" s="255" t="s">
        <v>12</v>
      </c>
      <c r="F40" s="256"/>
      <c r="G40" s="253"/>
      <c r="H40" s="253"/>
      <c r="I40" s="257"/>
    </row>
    <row r="41" spans="1:9" ht="17.25" x14ac:dyDescent="0.3">
      <c r="A41" s="658" t="s">
        <v>11</v>
      </c>
      <c r="B41" s="659"/>
      <c r="C41" s="660"/>
      <c r="D41" s="220">
        <v>16597</v>
      </c>
      <c r="E41" s="258" t="s">
        <v>1</v>
      </c>
      <c r="F41" s="661" t="s">
        <v>38</v>
      </c>
      <c r="G41" s="661"/>
      <c r="H41" s="662"/>
      <c r="I41" s="663"/>
    </row>
    <row r="42" spans="1:9" ht="17.25" x14ac:dyDescent="0.3">
      <c r="A42" s="641" t="s">
        <v>10</v>
      </c>
      <c r="B42" s="642"/>
      <c r="C42" s="643"/>
      <c r="D42" s="189">
        <v>17</v>
      </c>
      <c r="E42" s="189" t="s">
        <v>9</v>
      </c>
      <c r="F42" s="644" t="s">
        <v>8</v>
      </c>
      <c r="G42" s="644"/>
      <c r="H42" s="645"/>
      <c r="I42" s="646"/>
    </row>
    <row r="43" spans="1:9" ht="17.25" x14ac:dyDescent="0.3">
      <c r="A43" s="641" t="s">
        <v>7</v>
      </c>
      <c r="B43" s="642"/>
      <c r="C43" s="643"/>
      <c r="D43" s="189">
        <v>1</v>
      </c>
      <c r="E43" s="189" t="s">
        <v>201</v>
      </c>
      <c r="F43" s="644" t="s">
        <v>5</v>
      </c>
      <c r="G43" s="644"/>
      <c r="H43" s="645"/>
      <c r="I43" s="646"/>
    </row>
    <row r="44" spans="1:9" ht="17.25" x14ac:dyDescent="0.3">
      <c r="A44" s="641" t="s">
        <v>4</v>
      </c>
      <c r="B44" s="642"/>
      <c r="C44" s="643"/>
      <c r="D44" s="211">
        <v>16597</v>
      </c>
      <c r="E44" s="189" t="s">
        <v>1</v>
      </c>
      <c r="F44" s="647" t="s">
        <v>3</v>
      </c>
      <c r="G44" s="648"/>
      <c r="H44" s="649"/>
      <c r="I44" s="650"/>
    </row>
    <row r="45" spans="1:9" ht="18" thickBot="1" x14ac:dyDescent="0.35">
      <c r="A45" s="651" t="s">
        <v>2</v>
      </c>
      <c r="B45" s="652"/>
      <c r="C45" s="653"/>
      <c r="D45" s="259">
        <v>215</v>
      </c>
      <c r="E45" s="260" t="s">
        <v>1</v>
      </c>
      <c r="F45" s="654"/>
      <c r="G45" s="654"/>
      <c r="H45" s="645"/>
      <c r="I45" s="646"/>
    </row>
    <row r="46" spans="1:9" ht="16.5" thickBot="1" x14ac:dyDescent="0.3">
      <c r="A46" s="655" t="s">
        <v>0</v>
      </c>
      <c r="B46" s="656"/>
      <c r="C46" s="656"/>
      <c r="D46" s="656"/>
      <c r="E46" s="656"/>
      <c r="F46" s="656"/>
      <c r="G46" s="656"/>
      <c r="H46" s="656"/>
      <c r="I46" s="657"/>
    </row>
    <row r="47" spans="1:9" ht="18.399999999999999" customHeight="1" x14ac:dyDescent="0.25">
      <c r="A47" s="628" t="s">
        <v>202</v>
      </c>
      <c r="B47" s="629"/>
      <c r="C47" s="629"/>
      <c r="D47" s="629"/>
      <c r="E47" s="629"/>
      <c r="F47" s="629"/>
      <c r="G47" s="629"/>
      <c r="H47" s="629"/>
      <c r="I47" s="630"/>
    </row>
    <row r="48" spans="1:9" ht="14.65" customHeight="1" x14ac:dyDescent="0.25">
      <c r="A48" s="628" t="s">
        <v>203</v>
      </c>
      <c r="B48" s="629"/>
      <c r="C48" s="629"/>
      <c r="D48" s="629"/>
      <c r="E48" s="629"/>
      <c r="F48" s="629"/>
      <c r="G48" s="629"/>
      <c r="H48" s="629"/>
      <c r="I48" s="630"/>
    </row>
    <row r="49" spans="1:9" ht="14.65" customHeight="1" x14ac:dyDescent="0.25">
      <c r="A49" s="628" t="s">
        <v>204</v>
      </c>
      <c r="B49" s="629"/>
      <c r="C49" s="629"/>
      <c r="D49" s="629"/>
      <c r="E49" s="629"/>
      <c r="F49" s="629"/>
      <c r="G49" s="629"/>
      <c r="H49" s="629"/>
      <c r="I49" s="630"/>
    </row>
    <row r="50" spans="1:9" ht="14.65" customHeight="1" x14ac:dyDescent="0.25">
      <c r="A50" s="628" t="s">
        <v>205</v>
      </c>
      <c r="B50" s="629"/>
      <c r="C50" s="629"/>
      <c r="D50" s="629"/>
      <c r="E50" s="629"/>
      <c r="F50" s="629"/>
      <c r="G50" s="629"/>
      <c r="H50" s="629"/>
      <c r="I50" s="630"/>
    </row>
    <row r="51" spans="1:9" ht="14.65" customHeight="1" x14ac:dyDescent="0.25">
      <c r="A51" s="628" t="s">
        <v>206</v>
      </c>
      <c r="B51" s="629"/>
      <c r="C51" s="629"/>
      <c r="D51" s="629"/>
      <c r="E51" s="629"/>
      <c r="F51" s="629"/>
      <c r="G51" s="629"/>
      <c r="H51" s="629"/>
      <c r="I51" s="630"/>
    </row>
    <row r="52" spans="1:9" ht="14.65" customHeight="1" x14ac:dyDescent="0.3">
      <c r="A52" s="631"/>
      <c r="B52" s="632"/>
      <c r="C52" s="633"/>
      <c r="D52" s="633"/>
      <c r="E52" s="633"/>
      <c r="F52" s="633"/>
      <c r="G52" s="633"/>
      <c r="H52" s="633"/>
      <c r="I52" s="634"/>
    </row>
    <row r="53" spans="1:9" ht="18" customHeight="1" x14ac:dyDescent="0.3">
      <c r="A53" s="635"/>
      <c r="B53" s="636"/>
      <c r="C53" s="636"/>
      <c r="D53" s="636"/>
      <c r="E53" s="636"/>
      <c r="F53" s="636"/>
      <c r="G53" s="636"/>
      <c r="H53" s="636"/>
      <c r="I53" s="637"/>
    </row>
    <row r="54" spans="1:9" ht="18" thickBot="1" x14ac:dyDescent="0.35">
      <c r="A54" s="638"/>
      <c r="B54" s="639"/>
      <c r="C54" s="639"/>
      <c r="D54" s="639"/>
      <c r="E54" s="639"/>
      <c r="F54" s="639"/>
      <c r="G54" s="639"/>
      <c r="H54" s="639"/>
      <c r="I54" s="640"/>
    </row>
    <row r="55" spans="1:9" ht="16.5" thickBot="1" x14ac:dyDescent="0.3">
      <c r="A55" s="618"/>
      <c r="B55" s="619"/>
      <c r="C55" s="619"/>
      <c r="D55" s="619"/>
      <c r="E55" s="619"/>
      <c r="F55" s="619"/>
      <c r="G55" s="619"/>
      <c r="H55" s="619"/>
      <c r="I55" s="620"/>
    </row>
    <row r="56" spans="1:9" ht="15.75" x14ac:dyDescent="0.25">
      <c r="A56" s="621" t="s">
        <v>39</v>
      </c>
      <c r="B56" s="622"/>
      <c r="C56" s="622"/>
      <c r="D56" s="622"/>
      <c r="E56" s="622"/>
      <c r="F56" s="622"/>
      <c r="G56" s="622"/>
      <c r="H56" s="622"/>
      <c r="I56" s="622"/>
    </row>
    <row r="57" spans="1:9" ht="17.25" x14ac:dyDescent="0.3">
      <c r="A57" s="623" t="s">
        <v>207</v>
      </c>
      <c r="B57" s="624"/>
      <c r="C57" s="624"/>
      <c r="D57" s="624"/>
      <c r="E57" s="624"/>
      <c r="F57" s="624"/>
      <c r="G57" s="624"/>
      <c r="H57" s="624"/>
      <c r="I57" s="625"/>
    </row>
    <row r="58" spans="1:9" ht="17.25" x14ac:dyDescent="0.3">
      <c r="A58" s="626"/>
      <c r="B58" s="627"/>
      <c r="C58" s="627"/>
      <c r="D58" s="627"/>
      <c r="E58" s="627"/>
      <c r="F58" s="627"/>
      <c r="G58" s="627"/>
      <c r="H58" s="627"/>
      <c r="I58" s="62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E57E-5415-4090-B76E-A1AB19E96CE9}">
  <dimension ref="A1:Q88"/>
  <sheetViews>
    <sheetView topLeftCell="A32" workbookViewId="0">
      <selection activeCell="H55" sqref="H55"/>
    </sheetView>
  </sheetViews>
  <sheetFormatPr baseColWidth="10" defaultColWidth="8.42578125" defaultRowHeight="12.75" x14ac:dyDescent="0.25"/>
  <cols>
    <col min="1" max="1" width="10" style="67" bestFit="1" customWidth="1"/>
    <col min="2" max="2" width="44.28515625" style="67" bestFit="1" customWidth="1"/>
    <col min="3" max="3" width="10.42578125" style="67" bestFit="1" customWidth="1"/>
    <col min="4" max="4" width="10.42578125" style="67" customWidth="1"/>
    <col min="5" max="5" width="11" style="67" customWidth="1"/>
    <col min="6" max="6" width="9.5703125" style="67" bestFit="1" customWidth="1"/>
    <col min="7" max="7" width="9.5703125" style="149" bestFit="1" customWidth="1"/>
    <col min="8" max="8" width="10.42578125" style="140" bestFit="1" customWidth="1"/>
    <col min="9" max="9" width="4.5703125" style="140" customWidth="1"/>
    <col min="10" max="10" width="1.85546875" style="66" customWidth="1"/>
    <col min="11" max="11" width="7" style="67" bestFit="1" customWidth="1"/>
    <col min="12" max="12" width="6.28515625" style="67" customWidth="1"/>
    <col min="13" max="13" width="20.42578125" style="67" customWidth="1"/>
    <col min="14" max="14" width="6.42578125" style="67" bestFit="1" customWidth="1"/>
    <col min="15" max="16" width="8.42578125" style="67"/>
    <col min="17" max="17" width="3.28515625" style="67" customWidth="1"/>
    <col min="18" max="16384" width="8.42578125" style="67"/>
  </cols>
  <sheetData>
    <row r="1" spans="1:10" ht="27.75" customHeight="1" x14ac:dyDescent="0.25">
      <c r="A1" s="62"/>
      <c r="B1" s="62"/>
      <c r="C1" s="62"/>
      <c r="D1" s="62"/>
      <c r="E1" s="63" t="s">
        <v>122</v>
      </c>
      <c r="F1" s="64" t="s">
        <v>123</v>
      </c>
      <c r="G1" s="64" t="s">
        <v>124</v>
      </c>
      <c r="H1" s="64" t="s">
        <v>125</v>
      </c>
      <c r="I1" s="65"/>
    </row>
    <row r="2" spans="1:10" ht="30.75" customHeight="1" x14ac:dyDescent="0.25">
      <c r="A2" s="62"/>
      <c r="B2" s="62"/>
      <c r="C2" s="62"/>
      <c r="D2" s="62"/>
      <c r="E2" s="68">
        <f>IFERROR(O59,"")</f>
        <v>17544.67012987013</v>
      </c>
      <c r="F2" s="68">
        <f>IFERROR(H50,"")</f>
        <v>16850.8</v>
      </c>
      <c r="G2" s="68">
        <f>IFERROR(H51,"")</f>
        <v>20</v>
      </c>
      <c r="H2" s="68">
        <f>IFERROR(H53,"")</f>
        <v>368</v>
      </c>
      <c r="I2" s="69"/>
    </row>
    <row r="3" spans="1:10" ht="15" customHeight="1" x14ac:dyDescent="0.25">
      <c r="A3" s="62"/>
      <c r="B3" s="62"/>
      <c r="C3" s="62"/>
      <c r="D3" s="62"/>
      <c r="E3" s="62"/>
      <c r="F3" s="70"/>
      <c r="G3" s="70"/>
      <c r="H3" s="70"/>
      <c r="I3" s="70"/>
    </row>
    <row r="4" spans="1:10" ht="24.75" customHeight="1" thickBot="1" x14ac:dyDescent="0.3">
      <c r="A4" s="576"/>
      <c r="B4" s="576"/>
      <c r="C4" s="576"/>
      <c r="D4" s="576"/>
      <c r="E4" s="576"/>
      <c r="F4" s="576"/>
      <c r="G4" s="576"/>
      <c r="H4" s="576"/>
      <c r="I4" s="71"/>
    </row>
    <row r="5" spans="1:10" ht="19.5" customHeight="1" thickBot="1" x14ac:dyDescent="0.3">
      <c r="A5" s="577" t="s">
        <v>126</v>
      </c>
      <c r="B5" s="578"/>
      <c r="C5" s="578"/>
      <c r="D5" s="578"/>
      <c r="E5" s="578"/>
      <c r="F5" s="578"/>
      <c r="G5" s="578"/>
      <c r="H5" s="579"/>
      <c r="I5" s="72"/>
    </row>
    <row r="6" spans="1:10" ht="19.5" thickBot="1" x14ac:dyDescent="0.3">
      <c r="A6" s="72"/>
      <c r="B6" s="72"/>
      <c r="C6" s="72"/>
      <c r="D6" s="72"/>
      <c r="E6" s="72"/>
      <c r="F6" s="580" t="s">
        <v>127</v>
      </c>
      <c r="G6" s="580"/>
      <c r="H6" s="73">
        <f ca="1">TODAY()</f>
        <v>46034</v>
      </c>
      <c r="I6" s="73"/>
    </row>
    <row r="7" spans="1:10" ht="26.25" thickBot="1" x14ac:dyDescent="0.3">
      <c r="A7" s="74" t="s">
        <v>128</v>
      </c>
      <c r="B7" s="75" t="s">
        <v>129</v>
      </c>
      <c r="C7" s="75" t="s">
        <v>128</v>
      </c>
      <c r="D7" s="76" t="s">
        <v>130</v>
      </c>
      <c r="E7" s="76" t="s">
        <v>131</v>
      </c>
      <c r="F7" s="76" t="s">
        <v>132</v>
      </c>
      <c r="G7" s="76" t="s">
        <v>133</v>
      </c>
      <c r="H7" s="77" t="s">
        <v>134</v>
      </c>
      <c r="I7" s="78"/>
    </row>
    <row r="8" spans="1:10" ht="13.5" x14ac:dyDescent="0.25">
      <c r="A8" s="79">
        <v>3000</v>
      </c>
      <c r="B8" s="67" t="s">
        <v>86</v>
      </c>
      <c r="C8" s="80">
        <f>+A8</f>
        <v>3000</v>
      </c>
      <c r="D8" s="81" t="s">
        <v>177</v>
      </c>
      <c r="E8" s="81">
        <v>3.07</v>
      </c>
      <c r="F8" s="81">
        <f>IFERROR(C8*E8,"")</f>
        <v>9210</v>
      </c>
      <c r="G8" s="82">
        <f>IFERROR(F8/$F$63,"")</f>
        <v>0.5258105017773651</v>
      </c>
      <c r="H8" s="83" t="s">
        <v>85</v>
      </c>
      <c r="I8" s="83"/>
      <c r="J8" s="84"/>
    </row>
    <row r="9" spans="1:10" ht="13.5" x14ac:dyDescent="0.25">
      <c r="A9" s="79">
        <v>10</v>
      </c>
      <c r="B9" s="67" t="s">
        <v>88</v>
      </c>
      <c r="C9" s="80">
        <f t="shared" ref="C9:C11" si="0">+A9</f>
        <v>10</v>
      </c>
      <c r="D9" s="81" t="s">
        <v>177</v>
      </c>
      <c r="E9" s="81">
        <v>6</v>
      </c>
      <c r="F9" s="81">
        <f t="shared" ref="F9:F11" si="1">IFERROR(C9*E9,"")</f>
        <v>60</v>
      </c>
      <c r="G9" s="82">
        <f>IFERROR(F9/$F$63,"")</f>
        <v>3.4254755816114993E-3</v>
      </c>
      <c r="H9" s="83" t="s">
        <v>87</v>
      </c>
      <c r="I9" s="83"/>
      <c r="J9" s="84"/>
    </row>
    <row r="10" spans="1:10" ht="13.5" x14ac:dyDescent="0.25">
      <c r="A10" s="79">
        <v>1000</v>
      </c>
      <c r="B10" s="67" t="s">
        <v>92</v>
      </c>
      <c r="C10" s="80">
        <f t="shared" si="0"/>
        <v>1000</v>
      </c>
      <c r="D10" s="81" t="s">
        <v>177</v>
      </c>
      <c r="E10" s="81">
        <v>2.2000000000000002</v>
      </c>
      <c r="F10" s="81">
        <f t="shared" si="1"/>
        <v>2200</v>
      </c>
      <c r="G10" s="82">
        <f>IFERROR(F10/$F$63,"")</f>
        <v>0.12560077132575498</v>
      </c>
      <c r="H10" s="83" t="s">
        <v>91</v>
      </c>
      <c r="I10" s="83"/>
      <c r="J10" s="84"/>
    </row>
    <row r="11" spans="1:10" ht="13.5" x14ac:dyDescent="0.25">
      <c r="A11" s="79">
        <v>80</v>
      </c>
      <c r="B11" s="67" t="s">
        <v>94</v>
      </c>
      <c r="C11" s="80">
        <f t="shared" si="0"/>
        <v>80</v>
      </c>
      <c r="D11" s="81" t="s">
        <v>177</v>
      </c>
      <c r="E11" s="81">
        <v>13.01</v>
      </c>
      <c r="F11" s="81">
        <f t="shared" si="1"/>
        <v>1040.8</v>
      </c>
      <c r="G11" s="82">
        <f>IFERROR(F11/$F$63,"")</f>
        <v>5.9420583089020804E-2</v>
      </c>
      <c r="H11" s="83" t="s">
        <v>93</v>
      </c>
      <c r="I11" s="83"/>
      <c r="J11" s="84"/>
    </row>
    <row r="12" spans="1:10" ht="14.25" thickBot="1" x14ac:dyDescent="0.3">
      <c r="A12" s="79"/>
      <c r="B12" s="67" t="str">
        <f>IFERROR(VLOOKUP(H12,'[2]ARTICULOS MP PLANTA'!$A$2:$G$589,2,0),"")</f>
        <v/>
      </c>
      <c r="C12" s="80"/>
      <c r="D12" s="81"/>
      <c r="E12" s="81"/>
      <c r="F12" s="81"/>
      <c r="G12" s="82"/>
      <c r="H12" s="83"/>
      <c r="I12" s="83"/>
      <c r="J12" s="84"/>
    </row>
    <row r="13" spans="1:10" ht="26.25" thickBot="1" x14ac:dyDescent="0.3">
      <c r="A13" s="74" t="s">
        <v>128</v>
      </c>
      <c r="B13" s="75" t="s">
        <v>135</v>
      </c>
      <c r="C13" s="75" t="s">
        <v>128</v>
      </c>
      <c r="D13" s="76" t="s">
        <v>130</v>
      </c>
      <c r="E13" s="76" t="s">
        <v>131</v>
      </c>
      <c r="F13" s="76" t="s">
        <v>132</v>
      </c>
      <c r="G13" s="76" t="s">
        <v>133</v>
      </c>
      <c r="H13" s="77" t="s">
        <v>134</v>
      </c>
      <c r="I13" s="78"/>
      <c r="J13" s="84"/>
    </row>
    <row r="14" spans="1:10" ht="13.5" x14ac:dyDescent="0.25">
      <c r="A14" s="79">
        <v>2000</v>
      </c>
      <c r="B14" s="67" t="s">
        <v>90</v>
      </c>
      <c r="C14" s="80">
        <f>+A14</f>
        <v>2000</v>
      </c>
      <c r="D14" s="80" t="s">
        <v>177</v>
      </c>
      <c r="E14" s="81">
        <v>2.17</v>
      </c>
      <c r="F14" s="81">
        <f>IFERROR(E14*C14,"")</f>
        <v>4340</v>
      </c>
      <c r="G14" s="82">
        <f t="shared" ref="G14:G21" si="2">IFERROR(F14/$F$63,"")</f>
        <v>0.24777606706989844</v>
      </c>
      <c r="H14" s="83" t="s">
        <v>89</v>
      </c>
      <c r="I14" s="83"/>
      <c r="J14" s="84"/>
    </row>
    <row r="15" spans="1:10" ht="13.5" hidden="1" x14ac:dyDescent="0.25">
      <c r="A15" s="79"/>
      <c r="B15" s="67" t="str">
        <f>IFERROR(VLOOKUP(H15,[1]SEMIELABORADOS!$A$2:$M$6000,2,0),"")</f>
        <v/>
      </c>
      <c r="C15" s="80">
        <f t="shared" ref="C15:C21" si="3">+A15</f>
        <v>0</v>
      </c>
      <c r="D15" s="80" t="str">
        <f>IFERROR(VLOOKUP(H15,[1]SEMIELABORADOS!$A$2:$M$6000,6,0),"")</f>
        <v/>
      </c>
      <c r="E15" s="81" t="str">
        <f>IFERROR(VLOOKUP(H15,[1]SEMIELABORADOS!$A$2:$H$65536,8,0),"")</f>
        <v/>
      </c>
      <c r="F15" s="81" t="str">
        <f t="shared" ref="F15:F21" si="4">IFERROR(E15*C15,"")</f>
        <v/>
      </c>
      <c r="G15" s="82" t="str">
        <f t="shared" si="2"/>
        <v/>
      </c>
      <c r="H15" s="83"/>
      <c r="I15" s="83"/>
      <c r="J15" s="84"/>
    </row>
    <row r="16" spans="1:10" ht="13.5" hidden="1" x14ac:dyDescent="0.25">
      <c r="A16" s="79"/>
      <c r="B16" s="67" t="str">
        <f>IFERROR(VLOOKUP(H16,[1]SEMIELABORADOS!$A$2:$M$6000,2,0),"")</f>
        <v/>
      </c>
      <c r="C16" s="80">
        <f>+A16</f>
        <v>0</v>
      </c>
      <c r="D16" s="80" t="str">
        <f>IFERROR(VLOOKUP(H16,[1]SEMIELABORADOS!$A$2:$M$6000,6,0),"")</f>
        <v/>
      </c>
      <c r="E16" s="81" t="str">
        <f>IFERROR(VLOOKUP(H16,[1]SEMIELABORADOS!$A$2:$H$65536,8,0),"")</f>
        <v/>
      </c>
      <c r="F16" s="81" t="str">
        <f>IFERROR(E16*C16,"")</f>
        <v/>
      </c>
      <c r="G16" s="82" t="str">
        <f t="shared" si="2"/>
        <v/>
      </c>
      <c r="H16" s="83"/>
      <c r="I16" s="83"/>
      <c r="J16" s="84"/>
    </row>
    <row r="17" spans="1:12" ht="13.5" hidden="1" x14ac:dyDescent="0.25">
      <c r="A17" s="79"/>
      <c r="B17" s="67" t="str">
        <f>IFERROR(VLOOKUP(H17,[1]SEMIELABORADOS!$A$2:$M$6000,2,0),"")</f>
        <v/>
      </c>
      <c r="C17" s="80">
        <f>+A17</f>
        <v>0</v>
      </c>
      <c r="D17" s="80" t="str">
        <f>IFERROR(VLOOKUP(H17,[1]SEMIELABORADOS!$A$2:$M$6000,6,0),"")</f>
        <v/>
      </c>
      <c r="E17" s="81" t="str">
        <f>IFERROR(VLOOKUP(H17,[1]SEMIELABORADOS!$A$2:$H$65536,8,0),"")</f>
        <v/>
      </c>
      <c r="F17" s="81" t="str">
        <f>IFERROR(E17*C17,"")</f>
        <v/>
      </c>
      <c r="G17" s="82" t="str">
        <f t="shared" si="2"/>
        <v/>
      </c>
      <c r="H17" s="83"/>
      <c r="I17" s="83"/>
      <c r="J17" s="84"/>
    </row>
    <row r="18" spans="1:12" ht="13.5" hidden="1" x14ac:dyDescent="0.25">
      <c r="A18" s="79"/>
      <c r="B18" s="67" t="str">
        <f>IFERROR(VLOOKUP(H18,[1]SEMIELABORADOS!$A$2:$M$6000,2,0),"")</f>
        <v/>
      </c>
      <c r="C18" s="80">
        <f>+A18</f>
        <v>0</v>
      </c>
      <c r="D18" s="80" t="str">
        <f>IFERROR(VLOOKUP(H18,[1]SEMIELABORADOS!$A$2:$M$6000,6,0),"")</f>
        <v/>
      </c>
      <c r="E18" s="81" t="str">
        <f>IFERROR(VLOOKUP(H18,[1]SEMIELABORADOS!$A$2:$H$65536,8,0),"")</f>
        <v/>
      </c>
      <c r="F18" s="81" t="str">
        <f>IFERROR(E18*C18,"")</f>
        <v/>
      </c>
      <c r="G18" s="82" t="str">
        <f t="shared" si="2"/>
        <v/>
      </c>
      <c r="H18" s="83"/>
      <c r="I18" s="83"/>
      <c r="J18" s="84"/>
    </row>
    <row r="19" spans="1:12" ht="13.5" hidden="1" x14ac:dyDescent="0.25">
      <c r="A19" s="79"/>
      <c r="B19" s="67" t="str">
        <f>IFERROR(VLOOKUP(H19,[1]SEMIELABORADOS!$A$2:$M$6000,2,0),"")</f>
        <v/>
      </c>
      <c r="C19" s="80">
        <f t="shared" si="3"/>
        <v>0</v>
      </c>
      <c r="D19" s="80" t="str">
        <f>IFERROR(VLOOKUP(H19,[1]SEMIELABORADOS!$A$2:$M$6000,6,0),"")</f>
        <v/>
      </c>
      <c r="E19" s="81" t="str">
        <f>IFERROR(VLOOKUP(H19,[1]SEMIELABORADOS!$A$2:$H$65536,8,0),"")</f>
        <v/>
      </c>
      <c r="F19" s="81" t="str">
        <f t="shared" si="4"/>
        <v/>
      </c>
      <c r="G19" s="82" t="str">
        <f t="shared" si="2"/>
        <v/>
      </c>
      <c r="H19" s="83"/>
      <c r="I19" s="83"/>
      <c r="J19" s="84"/>
    </row>
    <row r="20" spans="1:12" ht="13.5" hidden="1" x14ac:dyDescent="0.25">
      <c r="A20" s="79"/>
      <c r="B20" s="67" t="str">
        <f>IFERROR(VLOOKUP(H20,[1]SEMIELABORADOS!$A$2:$M$6000,2,0),"")</f>
        <v/>
      </c>
      <c r="C20" s="80">
        <f t="shared" si="3"/>
        <v>0</v>
      </c>
      <c r="D20" s="80" t="str">
        <f>IFERROR(VLOOKUP(H20,[1]SEMIELABORADOS!$A$2:$M$6000,6,0),"")</f>
        <v/>
      </c>
      <c r="E20" s="81" t="str">
        <f>IFERROR(VLOOKUP(H20,[1]SEMIELABORADOS!$A$2:$H$65536,8,0),"")</f>
        <v/>
      </c>
      <c r="F20" s="81" t="str">
        <f t="shared" si="4"/>
        <v/>
      </c>
      <c r="G20" s="82" t="str">
        <f t="shared" si="2"/>
        <v/>
      </c>
      <c r="H20" s="83"/>
      <c r="I20" s="83"/>
      <c r="J20" s="84"/>
    </row>
    <row r="21" spans="1:12" ht="13.5" hidden="1" x14ac:dyDescent="0.25">
      <c r="A21" s="79"/>
      <c r="B21" s="67" t="str">
        <f>IFERROR(VLOOKUP(H21,[1]SEMIELABORADOS!$A$2:$M$6000,2,0),"")</f>
        <v/>
      </c>
      <c r="C21" s="80">
        <f t="shared" si="3"/>
        <v>0</v>
      </c>
      <c r="D21" s="80" t="str">
        <f>IFERROR(VLOOKUP(H21,[1]SEMIELABORADOS!$A$2:$M$6000,6,0),"")</f>
        <v/>
      </c>
      <c r="E21" s="81" t="str">
        <f>IFERROR(VLOOKUP(H21,[1]SEMIELABORADOS!$A$2:$H$65536,8,0),"")</f>
        <v/>
      </c>
      <c r="F21" s="81" t="str">
        <f t="shared" si="4"/>
        <v/>
      </c>
      <c r="G21" s="82" t="str">
        <f t="shared" si="2"/>
        <v/>
      </c>
      <c r="H21" s="83"/>
      <c r="I21" s="83"/>
      <c r="J21" s="84"/>
    </row>
    <row r="22" spans="1:12" ht="14.25" thickBot="1" x14ac:dyDescent="0.3">
      <c r="A22" s="79"/>
      <c r="C22" s="80"/>
      <c r="D22" s="80"/>
      <c r="E22" s="81"/>
      <c r="F22" s="81"/>
      <c r="G22" s="82"/>
      <c r="H22" s="83"/>
      <c r="I22" s="83"/>
      <c r="J22" s="84"/>
    </row>
    <row r="23" spans="1:12" ht="26.25" hidden="1" thickBot="1" x14ac:dyDescent="0.3">
      <c r="A23" s="74" t="s">
        <v>128</v>
      </c>
      <c r="B23" s="75" t="s">
        <v>71</v>
      </c>
      <c r="C23" s="75" t="s">
        <v>128</v>
      </c>
      <c r="D23" s="76" t="s">
        <v>130</v>
      </c>
      <c r="E23" s="76" t="s">
        <v>131</v>
      </c>
      <c r="F23" s="76" t="s">
        <v>132</v>
      </c>
      <c r="G23" s="76" t="s">
        <v>133</v>
      </c>
      <c r="H23" s="77" t="s">
        <v>134</v>
      </c>
      <c r="I23" s="78"/>
    </row>
    <row r="24" spans="1:12" ht="13.5" hidden="1" x14ac:dyDescent="0.25">
      <c r="A24" s="79">
        <v>0</v>
      </c>
      <c r="B24" s="85" t="str">
        <f>IFERROR(VLOOKUP(H24,'[1]Consolidado MP Planta'!$A$2:$M$823,3,0),"")</f>
        <v/>
      </c>
      <c r="C24" s="80">
        <f t="shared" ref="C24:C29" si="5">+A24</f>
        <v>0</v>
      </c>
      <c r="D24" s="81" t="str">
        <f>IFERROR(VLOOKUP(H24,'[1]Consolidado MP Planta'!$A$2:$M$823,13,0),"")</f>
        <v/>
      </c>
      <c r="E24" s="81" t="str">
        <f>IFERROR(VLOOKUP(H24,'[1]Consolidado MP Planta'!$A$2:$M$823,12,0),"")</f>
        <v/>
      </c>
      <c r="F24" s="81" t="str">
        <f t="shared" ref="F24:F29" si="6">IFERROR(C24*E24,"")</f>
        <v/>
      </c>
      <c r="G24" s="82" t="str">
        <f t="shared" ref="G24:G29" si="7">IFERROR(F24/$F$63,"")</f>
        <v/>
      </c>
      <c r="H24" s="86"/>
      <c r="I24" s="86"/>
      <c r="J24" s="84"/>
      <c r="K24" s="575"/>
      <c r="L24" s="575"/>
    </row>
    <row r="25" spans="1:12" ht="13.5" hidden="1" x14ac:dyDescent="0.25">
      <c r="A25" s="79"/>
      <c r="B25" s="85" t="str">
        <f>IFERROR(VLOOKUP(H25,'[1]Consolidado MP Planta'!$A$2:$M$823,3,0),"")</f>
        <v/>
      </c>
      <c r="C25" s="80">
        <f t="shared" si="5"/>
        <v>0</v>
      </c>
      <c r="D25" s="81" t="str">
        <f>IFERROR(VLOOKUP(H25,'[1]Consolidado MP Planta'!$A$2:$M$823,13,0),"")</f>
        <v/>
      </c>
      <c r="E25" s="81" t="str">
        <f>IFERROR(VLOOKUP(H25,'[1]Consolidado MP Planta'!$A$2:$M$823,12,0),"")</f>
        <v/>
      </c>
      <c r="F25" s="81" t="str">
        <f t="shared" si="6"/>
        <v/>
      </c>
      <c r="G25" s="82" t="str">
        <f t="shared" si="7"/>
        <v/>
      </c>
      <c r="H25" s="86"/>
      <c r="I25" s="86"/>
      <c r="J25" s="84"/>
      <c r="K25" s="575"/>
      <c r="L25" s="575"/>
    </row>
    <row r="26" spans="1:12" ht="13.5" hidden="1" x14ac:dyDescent="0.25">
      <c r="A26" s="79"/>
      <c r="B26" s="85" t="str">
        <f>IFERROR(VLOOKUP(H26,'[1]Consolidado MP Planta'!$A$2:$M$823,3,0),"")</f>
        <v/>
      </c>
      <c r="C26" s="80">
        <f t="shared" si="5"/>
        <v>0</v>
      </c>
      <c r="D26" s="81" t="str">
        <f>IFERROR(VLOOKUP(H26,'[1]Consolidado MP Planta'!$A$2:$M$823,13,0),"")</f>
        <v/>
      </c>
      <c r="E26" s="81" t="str">
        <f>IFERROR(VLOOKUP(H26,'[1]Consolidado MP Planta'!$A$2:$M$823,12,0),"")</f>
        <v/>
      </c>
      <c r="F26" s="81" t="str">
        <f t="shared" si="6"/>
        <v/>
      </c>
      <c r="G26" s="82" t="str">
        <f t="shared" si="7"/>
        <v/>
      </c>
      <c r="H26" s="86"/>
      <c r="I26" s="86"/>
      <c r="J26" s="84"/>
      <c r="K26" s="575"/>
      <c r="L26" s="575"/>
    </row>
    <row r="27" spans="1:12" ht="13.5" hidden="1" x14ac:dyDescent="0.25">
      <c r="A27" s="79"/>
      <c r="B27" s="85" t="str">
        <f>IFERROR(VLOOKUP(H27,'[1]Consolidado MP Planta'!$A$2:$M$823,3,0),"")</f>
        <v/>
      </c>
      <c r="C27" s="80">
        <f t="shared" si="5"/>
        <v>0</v>
      </c>
      <c r="D27" s="81" t="str">
        <f>IFERROR(VLOOKUP(H27,'[1]Consolidado MP Planta'!$A$2:$M$823,13,0),"")</f>
        <v/>
      </c>
      <c r="E27" s="81" t="str">
        <f>IFERROR(VLOOKUP(H27,'[1]Consolidado MP Planta'!$A$2:$M$823,12,0),"")</f>
        <v/>
      </c>
      <c r="F27" s="81" t="str">
        <f t="shared" si="6"/>
        <v/>
      </c>
      <c r="G27" s="82" t="str">
        <f t="shared" si="7"/>
        <v/>
      </c>
      <c r="H27" s="86"/>
      <c r="I27" s="86"/>
      <c r="J27" s="84"/>
      <c r="K27" s="575"/>
      <c r="L27" s="575"/>
    </row>
    <row r="28" spans="1:12" ht="13.5" hidden="1" x14ac:dyDescent="0.25">
      <c r="A28" s="79"/>
      <c r="B28" s="85" t="str">
        <f>IFERROR(VLOOKUP(H28,'[1]Consolidado MP Planta'!$A$2:$M$823,3,0),"")</f>
        <v/>
      </c>
      <c r="C28" s="80">
        <f t="shared" si="5"/>
        <v>0</v>
      </c>
      <c r="D28" s="81" t="str">
        <f>IFERROR(VLOOKUP(H28,'[1]Consolidado MP Planta'!$A$2:$M$823,13,0),"")</f>
        <v/>
      </c>
      <c r="E28" s="81" t="str">
        <f>IFERROR(VLOOKUP(H28,'[1]Consolidado MP Planta'!$A$2:$M$823,12,0),"")</f>
        <v/>
      </c>
      <c r="F28" s="81" t="str">
        <f t="shared" si="6"/>
        <v/>
      </c>
      <c r="G28" s="82" t="str">
        <f t="shared" si="7"/>
        <v/>
      </c>
      <c r="H28" s="86"/>
      <c r="I28" s="86"/>
      <c r="J28" s="84"/>
      <c r="K28" s="87"/>
      <c r="L28" s="88"/>
    </row>
    <row r="29" spans="1:12" ht="13.5" hidden="1" x14ac:dyDescent="0.25">
      <c r="A29" s="79"/>
      <c r="B29" s="85" t="str">
        <f>IFERROR(VLOOKUP(H29,'[1]Consolidado MP Planta'!$A$2:$M$823,3,0),"")</f>
        <v/>
      </c>
      <c r="C29" s="80">
        <f t="shared" si="5"/>
        <v>0</v>
      </c>
      <c r="D29" s="81" t="str">
        <f>IFERROR(VLOOKUP(H29,'[1]Consolidado MP Planta'!$A$2:$M$823,13,0),"")</f>
        <v/>
      </c>
      <c r="E29" s="81" t="str">
        <f>IFERROR(VLOOKUP(H29,'[1]Consolidado MP Planta'!$A$2:$M$823,12,0),"")</f>
        <v/>
      </c>
      <c r="F29" s="81" t="str">
        <f t="shared" si="6"/>
        <v/>
      </c>
      <c r="G29" s="82" t="str">
        <f t="shared" si="7"/>
        <v/>
      </c>
      <c r="H29" s="86"/>
      <c r="I29" s="86"/>
      <c r="J29" s="84"/>
    </row>
    <row r="30" spans="1:12" ht="14.25" hidden="1" thickBot="1" x14ac:dyDescent="0.3">
      <c r="A30" s="79"/>
      <c r="B30" s="85"/>
      <c r="C30" s="80"/>
      <c r="D30" s="81"/>
      <c r="E30" s="81"/>
      <c r="F30" s="81"/>
      <c r="G30" s="82"/>
      <c r="H30" s="86"/>
      <c r="I30" s="86"/>
      <c r="J30" s="84"/>
    </row>
    <row r="31" spans="1:12" ht="26.25" thickBot="1" x14ac:dyDescent="0.25">
      <c r="A31" s="74" t="s">
        <v>128</v>
      </c>
      <c r="B31" s="75" t="s">
        <v>136</v>
      </c>
      <c r="C31" s="75" t="s">
        <v>128</v>
      </c>
      <c r="D31" s="76" t="s">
        <v>130</v>
      </c>
      <c r="E31" s="76" t="s">
        <v>131</v>
      </c>
      <c r="F31" s="76" t="s">
        <v>132</v>
      </c>
      <c r="G31" s="76" t="s">
        <v>133</v>
      </c>
      <c r="H31" s="77" t="s">
        <v>134</v>
      </c>
      <c r="I31" s="86"/>
      <c r="J31" s="84"/>
    </row>
    <row r="32" spans="1:12" ht="13.5" x14ac:dyDescent="0.25">
      <c r="A32" s="79">
        <f>+A14</f>
        <v>2000</v>
      </c>
      <c r="B32" s="85" t="s">
        <v>90</v>
      </c>
      <c r="C32" s="80">
        <f>+A32</f>
        <v>2000</v>
      </c>
      <c r="D32" s="81" t="s">
        <v>177</v>
      </c>
      <c r="E32" s="81">
        <v>0.01</v>
      </c>
      <c r="F32" s="81">
        <f>IFERROR(E32*C32,"")</f>
        <v>20</v>
      </c>
      <c r="G32" s="82">
        <f t="shared" ref="G32:G38" si="8">IFERROR(F32/$F$63,"")</f>
        <v>1.1418251938704997E-3</v>
      </c>
      <c r="H32" s="86" t="s">
        <v>89</v>
      </c>
      <c r="I32" s="86"/>
      <c r="J32" s="84"/>
    </row>
    <row r="33" spans="1:13" ht="13.5" hidden="1" x14ac:dyDescent="0.25">
      <c r="A33" s="79">
        <f t="shared" ref="A33:A38" si="9">+A15</f>
        <v>0</v>
      </c>
      <c r="B33" s="85" t="str">
        <f>IFERROR(VLOOKUP(H33,[1]SEMIELABORADOS!$A$2:$M$6000,2,0),"")</f>
        <v/>
      </c>
      <c r="C33" s="80">
        <f t="shared" ref="C33:C38" si="10">+A33</f>
        <v>0</v>
      </c>
      <c r="D33" s="81" t="str">
        <f>IFERROR(VLOOKUP(H33,[1]SEMIELABORADOS!$A$2:$M$6000,6,0),"")</f>
        <v/>
      </c>
      <c r="E33" s="81" t="str">
        <f>IFERROR(VLOOKUP(H33,[1]SEMIELABORADOS!$A$2:$M$65536,10,0),"")</f>
        <v/>
      </c>
      <c r="F33" s="81" t="str">
        <f t="shared" ref="F33:F38" si="11">IFERROR(E33*C33,"")</f>
        <v/>
      </c>
      <c r="G33" s="82" t="str">
        <f t="shared" si="8"/>
        <v/>
      </c>
      <c r="H33" s="86"/>
      <c r="I33" s="86"/>
      <c r="J33" s="84"/>
    </row>
    <row r="34" spans="1:13" ht="13.5" hidden="1" x14ac:dyDescent="0.25">
      <c r="A34" s="79">
        <f t="shared" si="9"/>
        <v>0</v>
      </c>
      <c r="B34" s="85" t="str">
        <f>IFERROR(VLOOKUP(H34,[1]SEMIELABORADOS!$A$2:$M$6000,2,0),"")</f>
        <v/>
      </c>
      <c r="C34" s="80">
        <f t="shared" si="10"/>
        <v>0</v>
      </c>
      <c r="D34" s="81" t="str">
        <f>IFERROR(VLOOKUP(H34,[1]SEMIELABORADOS!$A$2:$M$6000,6,0),"")</f>
        <v/>
      </c>
      <c r="E34" s="81" t="str">
        <f>IFERROR(VLOOKUP(H34,[1]SEMIELABORADOS!$A$2:$M$65536,10,0),"")</f>
        <v/>
      </c>
      <c r="F34" s="81" t="str">
        <f t="shared" si="11"/>
        <v/>
      </c>
      <c r="G34" s="82" t="str">
        <f t="shared" si="8"/>
        <v/>
      </c>
      <c r="H34" s="86"/>
      <c r="I34" s="86"/>
      <c r="J34" s="84"/>
    </row>
    <row r="35" spans="1:13" ht="13.5" hidden="1" x14ac:dyDescent="0.25">
      <c r="A35" s="79">
        <f t="shared" si="9"/>
        <v>0</v>
      </c>
      <c r="B35" s="85" t="str">
        <f>IFERROR(VLOOKUP(H35,[1]SEMIELABORADOS!$A$2:$M$6000,2,0),"")</f>
        <v/>
      </c>
      <c r="C35" s="80">
        <f>+A35</f>
        <v>0</v>
      </c>
      <c r="D35" s="81" t="str">
        <f>IFERROR(VLOOKUP(H35,[1]SEMIELABORADOS!$A$2:$M$6000,6,0),"")</f>
        <v/>
      </c>
      <c r="E35" s="81" t="str">
        <f>IFERROR(VLOOKUP(H35,[1]SEMIELABORADOS!$A$2:$M$65536,10,0),"")</f>
        <v/>
      </c>
      <c r="F35" s="81" t="str">
        <f>IFERROR(E35*C35,"")</f>
        <v/>
      </c>
      <c r="G35" s="82" t="str">
        <f t="shared" si="8"/>
        <v/>
      </c>
      <c r="H35" s="86"/>
      <c r="I35" s="86"/>
      <c r="J35" s="84"/>
    </row>
    <row r="36" spans="1:13" ht="13.5" hidden="1" x14ac:dyDescent="0.25">
      <c r="A36" s="79">
        <f t="shared" si="9"/>
        <v>0</v>
      </c>
      <c r="B36" s="85" t="str">
        <f>IFERROR(VLOOKUP(H36,[1]SEMIELABORADOS!$A$2:$M$6000,2,0),"")</f>
        <v/>
      </c>
      <c r="C36" s="80">
        <f>+A36</f>
        <v>0</v>
      </c>
      <c r="D36" s="81" t="str">
        <f>IFERROR(VLOOKUP(H36,[1]SEMIELABORADOS!$A$2:$M$6000,6,0),"")</f>
        <v/>
      </c>
      <c r="E36" s="81" t="str">
        <f>IFERROR(VLOOKUP(H36,[1]SEMIELABORADOS!$A$2:$M$65536,10,0),"")</f>
        <v/>
      </c>
      <c r="F36" s="81" t="str">
        <f>IFERROR(E36*C36,"")</f>
        <v/>
      </c>
      <c r="G36" s="82" t="str">
        <f t="shared" si="8"/>
        <v/>
      </c>
      <c r="H36" s="86"/>
      <c r="I36" s="86"/>
      <c r="J36" s="84"/>
    </row>
    <row r="37" spans="1:13" ht="13.5" hidden="1" x14ac:dyDescent="0.25">
      <c r="A37" s="79">
        <f t="shared" si="9"/>
        <v>0</v>
      </c>
      <c r="B37" s="85" t="str">
        <f>IFERROR(VLOOKUP(H37,[1]SEMIELABORADOS!$A$2:$M$6000,2,0),"")</f>
        <v/>
      </c>
      <c r="C37" s="80">
        <f t="shared" si="10"/>
        <v>0</v>
      </c>
      <c r="D37" s="81" t="str">
        <f>IFERROR(VLOOKUP(H37,[1]SEMIELABORADOS!$A$2:$M$6000,6,0),"")</f>
        <v/>
      </c>
      <c r="E37" s="81" t="str">
        <f>IFERROR(VLOOKUP(H37,[1]SEMIELABORADOS!$A$2:$M$65536,10,0),"")</f>
        <v/>
      </c>
      <c r="F37" s="81" t="str">
        <f t="shared" si="11"/>
        <v/>
      </c>
      <c r="G37" s="82" t="str">
        <f t="shared" si="8"/>
        <v/>
      </c>
      <c r="H37" s="86"/>
      <c r="I37" s="86"/>
      <c r="J37" s="84"/>
    </row>
    <row r="38" spans="1:13" ht="13.5" hidden="1" x14ac:dyDescent="0.25">
      <c r="A38" s="79">
        <f t="shared" si="9"/>
        <v>0</v>
      </c>
      <c r="B38" s="85" t="str">
        <f>IFERROR(VLOOKUP(H38,[1]SEMIELABORADOS!$A$2:$M$6000,2,0),"")</f>
        <v/>
      </c>
      <c r="C38" s="80">
        <f t="shared" si="10"/>
        <v>0</v>
      </c>
      <c r="D38" s="81" t="str">
        <f>IFERROR(VLOOKUP(H38,[1]SEMIELABORADOS!$A$2:$M$6000,6,0),"")</f>
        <v/>
      </c>
      <c r="E38" s="81" t="str">
        <f>IFERROR(VLOOKUP(H38,[1]SEMIELABORADOS!$A$2:$M$65536,10,0),"")</f>
        <v/>
      </c>
      <c r="F38" s="81" t="str">
        <f t="shared" si="11"/>
        <v/>
      </c>
      <c r="G38" s="82" t="str">
        <f t="shared" si="8"/>
        <v/>
      </c>
      <c r="H38" s="86"/>
      <c r="I38" s="86"/>
      <c r="J38" s="84"/>
    </row>
    <row r="39" spans="1:13" ht="14.25" thickBot="1" x14ac:dyDescent="0.3">
      <c r="A39" s="79"/>
      <c r="B39" s="85"/>
      <c r="C39" s="80"/>
      <c r="D39" s="81"/>
      <c r="E39" s="81"/>
      <c r="F39" s="81"/>
      <c r="G39" s="82"/>
      <c r="H39" s="86"/>
      <c r="I39" s="86"/>
      <c r="J39" s="84"/>
    </row>
    <row r="40" spans="1:13" ht="26.25" thickBot="1" x14ac:dyDescent="0.3">
      <c r="A40" s="74" t="s">
        <v>128</v>
      </c>
      <c r="B40" s="75" t="s">
        <v>137</v>
      </c>
      <c r="C40" s="75" t="s">
        <v>128</v>
      </c>
      <c r="D40" s="76" t="s">
        <v>130</v>
      </c>
      <c r="E40" s="76" t="s">
        <v>131</v>
      </c>
      <c r="F40" s="76" t="s">
        <v>132</v>
      </c>
      <c r="G40" s="76" t="s">
        <v>133</v>
      </c>
      <c r="H40" s="77" t="s">
        <v>134</v>
      </c>
      <c r="I40" s="78"/>
      <c r="J40" s="84"/>
    </row>
    <row r="41" spans="1:13" ht="13.5" x14ac:dyDescent="0.25">
      <c r="A41" s="79">
        <f>+A32</f>
        <v>2000</v>
      </c>
      <c r="B41" s="85" t="s">
        <v>90</v>
      </c>
      <c r="C41" s="80">
        <f>+A41</f>
        <v>2000</v>
      </c>
      <c r="D41" s="81" t="s">
        <v>177</v>
      </c>
      <c r="E41" s="81">
        <v>0.03</v>
      </c>
      <c r="F41" s="81">
        <f>IFERROR(E41*C41,"")</f>
        <v>60</v>
      </c>
      <c r="G41" s="82">
        <f>IFERROR(F41/$F$63,"")</f>
        <v>3.4254755816114993E-3</v>
      </c>
      <c r="H41" s="86" t="s">
        <v>89</v>
      </c>
      <c r="I41" s="78"/>
      <c r="J41" s="84"/>
    </row>
    <row r="42" spans="1:13" ht="13.5" hidden="1" x14ac:dyDescent="0.25">
      <c r="A42" s="79">
        <f t="shared" ref="A42:A47" si="12">+A33</f>
        <v>0</v>
      </c>
      <c r="B42" s="85" t="str">
        <f>IFERROR(VLOOKUP(H42,[1]SEMIELABORADOS!$A$2:$M$6000,2,0),"")</f>
        <v/>
      </c>
      <c r="C42" s="80">
        <f t="shared" ref="C42:C47" si="13">+A42</f>
        <v>0</v>
      </c>
      <c r="D42" s="81" t="str">
        <f>IFERROR(VLOOKUP(H42,[1]SEMIELABORADOS!$A$2:$M$6000,6,0),"")</f>
        <v/>
      </c>
      <c r="E42" s="81" t="str">
        <f>IFERROR(VLOOKUP(H42,[1]SEMIELABORADOS!$A$2:$M$65536,12,0),"")</f>
        <v/>
      </c>
      <c r="F42" s="81" t="str">
        <f t="shared" ref="F42:F47" si="14">IFERROR(E42*C42,"")</f>
        <v/>
      </c>
      <c r="G42" s="82" t="str">
        <f t="shared" ref="G42:G47" si="15">IFERROR(F42/$F$63,"")</f>
        <v/>
      </c>
      <c r="H42" s="86"/>
      <c r="I42" s="78"/>
      <c r="J42" s="84"/>
      <c r="M42" s="89"/>
    </row>
    <row r="43" spans="1:13" ht="13.5" hidden="1" x14ac:dyDescent="0.25">
      <c r="A43" s="79">
        <f t="shared" si="12"/>
        <v>0</v>
      </c>
      <c r="B43" s="85" t="str">
        <f>IFERROR(VLOOKUP(H43,[1]SEMIELABORADOS!$A$2:$M$6000,2,0),"")</f>
        <v/>
      </c>
      <c r="C43" s="80">
        <f t="shared" si="13"/>
        <v>0</v>
      </c>
      <c r="D43" s="81" t="str">
        <f>IFERROR(VLOOKUP(H43,[1]SEMIELABORADOS!$A$2:$M$6000,6,0),"")</f>
        <v/>
      </c>
      <c r="E43" s="81" t="str">
        <f>IFERROR(VLOOKUP(H43,[1]SEMIELABORADOS!$A$2:$M$65536,12,0),"")</f>
        <v/>
      </c>
      <c r="F43" s="81" t="str">
        <f t="shared" si="14"/>
        <v/>
      </c>
      <c r="G43" s="82" t="str">
        <f t="shared" si="15"/>
        <v/>
      </c>
      <c r="H43" s="86"/>
      <c r="I43" s="78"/>
      <c r="J43" s="84"/>
    </row>
    <row r="44" spans="1:13" ht="13.5" hidden="1" x14ac:dyDescent="0.25">
      <c r="A44" s="79">
        <f t="shared" si="12"/>
        <v>0</v>
      </c>
      <c r="B44" s="85" t="str">
        <f>IFERROR(VLOOKUP(H44,[1]SEMIELABORADOS!$A$2:$M$6000,2,0),"")</f>
        <v/>
      </c>
      <c r="C44" s="80">
        <f t="shared" si="13"/>
        <v>0</v>
      </c>
      <c r="D44" s="81" t="str">
        <f>IFERROR(VLOOKUP(H44,[1]SEMIELABORADOS!$A$2:$M$6000,6,0),"")</f>
        <v/>
      </c>
      <c r="E44" s="81" t="str">
        <f>IFERROR(VLOOKUP(H44,[1]SEMIELABORADOS!$A$2:$M$65536,12,0),"")</f>
        <v/>
      </c>
      <c r="F44" s="81" t="str">
        <f t="shared" si="14"/>
        <v/>
      </c>
      <c r="G44" s="82" t="str">
        <f t="shared" si="15"/>
        <v/>
      </c>
      <c r="H44" s="86"/>
      <c r="I44" s="78"/>
      <c r="J44" s="84"/>
    </row>
    <row r="45" spans="1:13" ht="13.5" hidden="1" x14ac:dyDescent="0.25">
      <c r="A45" s="79">
        <f t="shared" si="12"/>
        <v>0</v>
      </c>
      <c r="B45" s="85" t="str">
        <f>IFERROR(VLOOKUP(H45,[1]SEMIELABORADOS!$A$2:$M$6000,2,0),"")</f>
        <v/>
      </c>
      <c r="C45" s="80">
        <f t="shared" si="13"/>
        <v>0</v>
      </c>
      <c r="D45" s="81" t="str">
        <f>IFERROR(VLOOKUP(H45,[1]SEMIELABORADOS!$A$2:$M$6000,6,0),"")</f>
        <v/>
      </c>
      <c r="E45" s="81" t="str">
        <f>IFERROR(VLOOKUP(H45,[1]SEMIELABORADOS!$A$2:$M$65536,12,0),"")</f>
        <v/>
      </c>
      <c r="F45" s="81" t="str">
        <f t="shared" si="14"/>
        <v/>
      </c>
      <c r="G45" s="82" t="str">
        <f t="shared" si="15"/>
        <v/>
      </c>
      <c r="H45" s="86"/>
      <c r="I45" s="78"/>
      <c r="J45" s="84"/>
    </row>
    <row r="46" spans="1:13" ht="13.5" hidden="1" x14ac:dyDescent="0.25">
      <c r="A46" s="79">
        <f t="shared" si="12"/>
        <v>0</v>
      </c>
      <c r="B46" s="85" t="str">
        <f>IFERROR(VLOOKUP(H46,[1]SEMIELABORADOS!$A$2:$M$6000,2,0),"")</f>
        <v/>
      </c>
      <c r="C46" s="80">
        <f t="shared" si="13"/>
        <v>0</v>
      </c>
      <c r="D46" s="81" t="str">
        <f>IFERROR(VLOOKUP(H46,[1]SEMIELABORADOS!$A$2:$M$6000,6,0),"")</f>
        <v/>
      </c>
      <c r="E46" s="81" t="str">
        <f>IFERROR(VLOOKUP(H46,[1]SEMIELABORADOS!$A$2:$M$65536,12,0),"")</f>
        <v/>
      </c>
      <c r="F46" s="81" t="str">
        <f t="shared" si="14"/>
        <v/>
      </c>
      <c r="G46" s="82" t="str">
        <f t="shared" si="15"/>
        <v/>
      </c>
      <c r="H46" s="86"/>
      <c r="I46" s="78"/>
      <c r="J46" s="84"/>
    </row>
    <row r="47" spans="1:13" ht="13.5" hidden="1" x14ac:dyDescent="0.25">
      <c r="A47" s="79">
        <f t="shared" si="12"/>
        <v>0</v>
      </c>
      <c r="B47" s="85" t="str">
        <f>IFERROR(VLOOKUP(H47,[1]SEMIELABORADOS!$A$2:$M$6000,2,0),"")</f>
        <v/>
      </c>
      <c r="C47" s="80">
        <f t="shared" si="13"/>
        <v>0</v>
      </c>
      <c r="D47" s="81" t="str">
        <f>IFERROR(VLOOKUP(H47,[1]SEMIELABORADOS!$A$2:$M$6000,6,0),"")</f>
        <v/>
      </c>
      <c r="E47" s="81" t="str">
        <f>IFERROR(VLOOKUP(H47,[1]SEMIELABORADOS!$A$2:$M$65536,12,0),"")</f>
        <v/>
      </c>
      <c r="F47" s="81" t="str">
        <f t="shared" si="14"/>
        <v/>
      </c>
      <c r="G47" s="82" t="str">
        <f t="shared" si="15"/>
        <v/>
      </c>
      <c r="H47" s="85"/>
      <c r="I47" s="78"/>
      <c r="J47" s="84"/>
    </row>
    <row r="48" spans="1:13" ht="13.5" x14ac:dyDescent="0.25">
      <c r="A48" s="79">
        <v>1</v>
      </c>
      <c r="B48" s="85" t="s">
        <v>138</v>
      </c>
      <c r="C48" s="80">
        <f>+A48</f>
        <v>1</v>
      </c>
      <c r="D48" s="80" t="s">
        <v>139</v>
      </c>
      <c r="E48" s="81">
        <f>+F62</f>
        <v>308</v>
      </c>
      <c r="F48" s="81">
        <f>IFERROR(C48*E48,"")</f>
        <v>308</v>
      </c>
      <c r="G48" s="82">
        <f>IFERROR(F48/$F$63,"")</f>
        <v>1.7584107985605696E-2</v>
      </c>
      <c r="H48" s="90"/>
      <c r="I48" s="90"/>
      <c r="J48" s="84"/>
    </row>
    <row r="49" spans="1:17" ht="14.25" thickBot="1" x14ac:dyDescent="0.3">
      <c r="A49" s="79"/>
      <c r="B49" s="85"/>
      <c r="C49" s="80"/>
      <c r="D49" s="80"/>
      <c r="E49" s="81"/>
      <c r="F49" s="81"/>
      <c r="G49" s="82"/>
      <c r="H49" s="90"/>
      <c r="I49" s="90"/>
      <c r="J49" s="84"/>
    </row>
    <row r="50" spans="1:17" ht="13.5" thickBot="1" x14ac:dyDescent="0.3">
      <c r="A50" s="91"/>
      <c r="B50" s="585" t="s">
        <v>140</v>
      </c>
      <c r="C50" s="585"/>
      <c r="D50" s="585"/>
      <c r="E50" s="585"/>
      <c r="F50" s="93">
        <f>SUM(F8:F11,F14:F21)</f>
        <v>16850.8</v>
      </c>
      <c r="G50" s="82">
        <f>+F50/$F$63</f>
        <v>0.9620333988436508</v>
      </c>
      <c r="H50" s="94">
        <f>+F50/$D$57</f>
        <v>16850.8</v>
      </c>
      <c r="I50" s="94"/>
      <c r="J50" s="95"/>
      <c r="K50" s="96"/>
      <c r="L50" s="96"/>
      <c r="M50" s="96"/>
      <c r="N50" s="96"/>
      <c r="O50" s="96"/>
      <c r="P50" s="96"/>
      <c r="Q50" s="97"/>
    </row>
    <row r="51" spans="1:17" x14ac:dyDescent="0.2">
      <c r="A51" s="91"/>
      <c r="B51" s="585" t="s">
        <v>141</v>
      </c>
      <c r="C51" s="585"/>
      <c r="D51" s="585"/>
      <c r="E51" s="585"/>
      <c r="F51" s="93">
        <f>SUM(F24:F29,F32:F38)</f>
        <v>20</v>
      </c>
      <c r="G51" s="82">
        <f>+F51/$F$63</f>
        <v>1.1418251938704997E-3</v>
      </c>
      <c r="H51" s="94">
        <f>+F51/$D$57</f>
        <v>20</v>
      </c>
      <c r="I51" s="94"/>
      <c r="J51" s="98"/>
      <c r="K51" s="586" t="s">
        <v>142</v>
      </c>
      <c r="L51" s="587"/>
      <c r="M51" s="587"/>
      <c r="N51" s="587"/>
      <c r="O51" s="99">
        <f>+F52</f>
        <v>16870.8</v>
      </c>
      <c r="P51" s="99"/>
      <c r="Q51" s="100"/>
    </row>
    <row r="52" spans="1:17" x14ac:dyDescent="0.2">
      <c r="A52" s="91"/>
      <c r="B52" s="585" t="s">
        <v>143</v>
      </c>
      <c r="C52" s="585"/>
      <c r="D52" s="585"/>
      <c r="E52" s="585"/>
      <c r="F52" s="93">
        <f>+F50+F51</f>
        <v>16870.8</v>
      </c>
      <c r="G52" s="82">
        <f>+F52/$F$63</f>
        <v>0.96317522403752132</v>
      </c>
      <c r="H52" s="94">
        <f>+F52/$D$57</f>
        <v>16870.8</v>
      </c>
      <c r="I52" s="94"/>
      <c r="J52" s="101"/>
      <c r="K52" s="102"/>
      <c r="M52" s="103" t="s">
        <v>144</v>
      </c>
      <c r="N52" s="104"/>
      <c r="O52" s="99">
        <f>+H53</f>
        <v>368</v>
      </c>
      <c r="P52" s="99"/>
      <c r="Q52" s="100"/>
    </row>
    <row r="53" spans="1:17" ht="13.5" thickBot="1" x14ac:dyDescent="0.25">
      <c r="A53" s="91"/>
      <c r="B53" s="92"/>
      <c r="C53" s="585" t="s">
        <v>145</v>
      </c>
      <c r="D53" s="585"/>
      <c r="E53" s="585"/>
      <c r="F53" s="93">
        <f>SUM(F41:F48)</f>
        <v>368</v>
      </c>
      <c r="G53" s="82">
        <f>+F53/$F$63</f>
        <v>2.1009583567217195E-2</v>
      </c>
      <c r="H53" s="94">
        <f>+F53/$D$57</f>
        <v>368</v>
      </c>
      <c r="I53" s="94"/>
      <c r="J53" s="101"/>
      <c r="K53" s="102"/>
      <c r="L53" s="102"/>
      <c r="M53" s="102" t="s">
        <v>146</v>
      </c>
      <c r="N53" s="105"/>
      <c r="O53" s="99">
        <f>O51*N53</f>
        <v>0</v>
      </c>
      <c r="P53" s="99"/>
      <c r="Q53" s="100"/>
    </row>
    <row r="54" spans="1:17" ht="13.5" thickBot="1" x14ac:dyDescent="0.25">
      <c r="A54" s="91"/>
      <c r="B54" s="106"/>
      <c r="C54" s="106"/>
      <c r="D54" s="106"/>
      <c r="E54" s="106"/>
      <c r="F54" s="107"/>
      <c r="G54" s="82"/>
      <c r="H54" s="108"/>
      <c r="I54" s="94"/>
      <c r="J54" s="101"/>
      <c r="K54" s="109"/>
      <c r="M54" s="110" t="s">
        <v>147</v>
      </c>
      <c r="N54" s="111"/>
      <c r="O54" s="112">
        <f>SUM(O51:O53)</f>
        <v>17238.8</v>
      </c>
      <c r="P54" s="113"/>
      <c r="Q54" s="100"/>
    </row>
    <row r="55" spans="1:17" x14ac:dyDescent="0.2">
      <c r="B55" s="588" t="s">
        <v>148</v>
      </c>
      <c r="C55" s="588"/>
      <c r="D55" s="114">
        <v>6800</v>
      </c>
      <c r="E55" s="115"/>
      <c r="G55" s="82"/>
      <c r="H55" s="108">
        <f>+H53/77</f>
        <v>4.779220779220779</v>
      </c>
      <c r="I55" s="116"/>
      <c r="J55" s="101"/>
      <c r="K55" s="109"/>
      <c r="L55" s="102"/>
      <c r="M55" s="102" t="s">
        <v>149</v>
      </c>
      <c r="N55" s="117"/>
      <c r="O55" s="99">
        <f>+H56</f>
        <v>305.87012987012986</v>
      </c>
      <c r="P55" s="99"/>
      <c r="Q55" s="100"/>
    </row>
    <row r="56" spans="1:17" x14ac:dyDescent="0.2">
      <c r="B56" s="588" t="s">
        <v>150</v>
      </c>
      <c r="C56" s="588"/>
      <c r="D56" s="118">
        <v>6800</v>
      </c>
      <c r="E56" s="115"/>
      <c r="G56" s="82"/>
      <c r="H56" s="108">
        <f>+H55*64</f>
        <v>305.87012987012986</v>
      </c>
      <c r="I56" s="116"/>
      <c r="J56" s="101"/>
      <c r="K56" s="109"/>
      <c r="L56" s="102"/>
      <c r="M56" s="589" t="s">
        <v>147</v>
      </c>
      <c r="N56" s="589"/>
      <c r="O56" s="99">
        <f>SUM(O54:O55)</f>
        <v>17544.67012987013</v>
      </c>
      <c r="P56" s="99"/>
      <c r="Q56" s="100"/>
    </row>
    <row r="57" spans="1:17" ht="13.5" thickBot="1" x14ac:dyDescent="0.25">
      <c r="B57" s="581" t="s">
        <v>151</v>
      </c>
      <c r="C57" s="581"/>
      <c r="D57" s="114">
        <f>+D55/D56</f>
        <v>1</v>
      </c>
      <c r="E57" s="115"/>
      <c r="F57" s="119"/>
      <c r="G57" s="82"/>
      <c r="H57" s="108"/>
      <c r="I57" s="116"/>
      <c r="J57" s="101"/>
      <c r="K57" s="109"/>
      <c r="L57" s="589"/>
      <c r="M57" s="589"/>
      <c r="N57" s="117"/>
      <c r="O57" s="99">
        <f>+O56*N57</f>
        <v>0</v>
      </c>
      <c r="P57" s="99"/>
      <c r="Q57" s="100"/>
    </row>
    <row r="58" spans="1:17" ht="13.5" thickBot="1" x14ac:dyDescent="0.25">
      <c r="B58" s="581" t="s">
        <v>152</v>
      </c>
      <c r="C58" s="581"/>
      <c r="D58" s="120"/>
      <c r="E58" s="115"/>
      <c r="F58" s="119"/>
      <c r="G58" s="82"/>
      <c r="H58" s="108"/>
      <c r="I58" s="116"/>
      <c r="J58" s="101"/>
      <c r="K58" s="582" t="s">
        <v>153</v>
      </c>
      <c r="L58" s="583"/>
      <c r="M58" s="583"/>
      <c r="N58" s="584"/>
      <c r="O58" s="112">
        <f>SUM(O56:O57)</f>
        <v>17544.67012987013</v>
      </c>
      <c r="P58" s="121" t="s">
        <v>154</v>
      </c>
      <c r="Q58" s="100"/>
    </row>
    <row r="59" spans="1:17" ht="13.5" thickBot="1" x14ac:dyDescent="0.25">
      <c r="C59" s="91" t="s">
        <v>155</v>
      </c>
      <c r="D59" s="122"/>
      <c r="E59" s="65" t="s">
        <v>156</v>
      </c>
      <c r="F59" s="123" t="s">
        <v>157</v>
      </c>
      <c r="G59" s="82"/>
      <c r="H59" s="108"/>
      <c r="I59" s="116"/>
      <c r="J59" s="124"/>
      <c r="K59" s="125"/>
      <c r="L59" s="595" t="s">
        <v>158</v>
      </c>
      <c r="M59" s="595"/>
      <c r="N59" s="595"/>
      <c r="O59" s="126">
        <f>+O58/D57</f>
        <v>17544.67012987013</v>
      </c>
      <c r="P59" s="127">
        <f>+O59/D56</f>
        <v>2.5800985485103132</v>
      </c>
      <c r="Q59" s="128"/>
    </row>
    <row r="60" spans="1:17" ht="13.5" thickBot="1" x14ac:dyDescent="0.25">
      <c r="B60" s="596" t="s">
        <v>143</v>
      </c>
      <c r="C60" s="596"/>
      <c r="D60" s="596"/>
      <c r="E60" s="129">
        <f>+F60/F60</f>
        <v>1</v>
      </c>
      <c r="F60" s="130">
        <f>SUM(F52)</f>
        <v>16870.8</v>
      </c>
      <c r="G60" s="82">
        <f>+F60/$F$63</f>
        <v>0.96317522403752132</v>
      </c>
      <c r="H60" s="108"/>
      <c r="I60" s="116"/>
      <c r="K60" s="597"/>
      <c r="L60" s="598"/>
      <c r="M60" s="598"/>
      <c r="N60" s="598"/>
      <c r="O60" s="131"/>
      <c r="P60" s="132"/>
    </row>
    <row r="61" spans="1:17" ht="13.5" thickBot="1" x14ac:dyDescent="0.3">
      <c r="B61" s="599" t="s">
        <v>159</v>
      </c>
      <c r="C61" s="599"/>
      <c r="D61" s="599"/>
      <c r="E61" s="133">
        <v>0.02</v>
      </c>
      <c r="F61" s="130">
        <f>+F50*E61</f>
        <v>337.01600000000002</v>
      </c>
      <c r="G61" s="82">
        <f>+F61/$F$63</f>
        <v>1.9240667976873019E-2</v>
      </c>
      <c r="H61" s="94"/>
      <c r="I61" s="116"/>
      <c r="J61" s="134"/>
      <c r="O61" s="135"/>
      <c r="P61" s="92"/>
    </row>
    <row r="62" spans="1:17" ht="13.5" thickBot="1" x14ac:dyDescent="0.3">
      <c r="B62" s="600" t="s">
        <v>160</v>
      </c>
      <c r="C62" s="601"/>
      <c r="D62" s="136">
        <v>4</v>
      </c>
      <c r="E62" s="137">
        <v>77</v>
      </c>
      <c r="F62" s="130">
        <f>+E62*D62</f>
        <v>308</v>
      </c>
      <c r="G62" s="82">
        <f>+F62/$F$63</f>
        <v>1.7584107985605696E-2</v>
      </c>
      <c r="H62" s="94"/>
      <c r="I62" s="94"/>
      <c r="J62" s="84"/>
    </row>
    <row r="63" spans="1:17" ht="13.5" thickBot="1" x14ac:dyDescent="0.3">
      <c r="B63" s="602" t="s">
        <v>161</v>
      </c>
      <c r="C63" s="603"/>
      <c r="D63" s="603"/>
      <c r="E63" s="604"/>
      <c r="F63" s="107">
        <f>SUM(F60:F62)</f>
        <v>17515.815999999999</v>
      </c>
      <c r="G63" s="82">
        <f>+F63/$F$63</f>
        <v>1</v>
      </c>
      <c r="H63" s="605"/>
      <c r="I63" s="94"/>
      <c r="J63" s="84"/>
      <c r="M63" s="67" t="s">
        <v>162</v>
      </c>
    </row>
    <row r="64" spans="1:17" x14ac:dyDescent="0.25">
      <c r="C64" s="89"/>
      <c r="D64" s="89"/>
      <c r="E64" s="139"/>
      <c r="F64" s="130"/>
      <c r="G64" s="82"/>
      <c r="H64" s="605"/>
      <c r="I64" s="138"/>
      <c r="J64" s="67"/>
      <c r="M64" s="67" t="s">
        <v>163</v>
      </c>
    </row>
    <row r="65" spans="2:13" ht="13.5" thickBot="1" x14ac:dyDescent="0.3">
      <c r="B65" s="590" t="s">
        <v>164</v>
      </c>
      <c r="C65" s="590"/>
      <c r="D65" s="590"/>
      <c r="E65" s="590"/>
      <c r="F65" s="590"/>
      <c r="G65" s="82"/>
      <c r="H65" s="141"/>
      <c r="I65" s="138"/>
      <c r="J65" s="67"/>
      <c r="M65" s="67" t="s">
        <v>165</v>
      </c>
    </row>
    <row r="66" spans="2:13" ht="13.5" thickBot="1" x14ac:dyDescent="0.3">
      <c r="B66" s="142" t="s">
        <v>166</v>
      </c>
      <c r="C66" s="143">
        <f>+F50</f>
        <v>16850.8</v>
      </c>
      <c r="D66" s="143">
        <f>+D55</f>
        <v>6800</v>
      </c>
      <c r="E66" s="144">
        <f>+C66/D66</f>
        <v>2.4780588235294116</v>
      </c>
      <c r="F66" s="82"/>
      <c r="G66" s="141"/>
      <c r="H66" s="84"/>
      <c r="I66" s="141"/>
      <c r="J66" s="67"/>
    </row>
    <row r="67" spans="2:13" x14ac:dyDescent="0.25">
      <c r="B67" s="145"/>
      <c r="C67" s="146"/>
      <c r="D67" s="147"/>
      <c r="E67" s="130"/>
      <c r="F67" s="82"/>
      <c r="G67" s="141"/>
      <c r="H67" s="84"/>
      <c r="I67" s="84"/>
      <c r="J67" s="67"/>
    </row>
    <row r="68" spans="2:13" x14ac:dyDescent="0.25">
      <c r="B68" s="142" t="s">
        <v>167</v>
      </c>
      <c r="C68" s="143">
        <f>SUM(F60:F61)</f>
        <v>17207.815999999999</v>
      </c>
      <c r="D68" s="143">
        <f>+D55</f>
        <v>6800</v>
      </c>
      <c r="E68" s="148">
        <f>+C68/D68</f>
        <v>2.530561176470588</v>
      </c>
      <c r="F68" s="82"/>
      <c r="G68" s="141"/>
      <c r="H68" s="84"/>
      <c r="I68" s="84"/>
      <c r="J68" s="67"/>
    </row>
    <row r="69" spans="2:13" x14ac:dyDescent="0.25">
      <c r="B69" s="142"/>
      <c r="C69" s="143"/>
      <c r="D69" s="143"/>
      <c r="E69" s="148"/>
      <c r="F69" s="82"/>
      <c r="G69" s="141"/>
      <c r="H69" s="84"/>
      <c r="I69" s="84"/>
      <c r="J69" s="67"/>
    </row>
    <row r="70" spans="2:13" ht="13.5" thickBot="1" x14ac:dyDescent="0.3">
      <c r="B70" s="142" t="s">
        <v>168</v>
      </c>
      <c r="C70" s="143">
        <f>+F62</f>
        <v>308</v>
      </c>
      <c r="D70" s="143">
        <f>+D55</f>
        <v>6800</v>
      </c>
      <c r="E70" s="148">
        <f>+C70/D70</f>
        <v>4.5294117647058825E-2</v>
      </c>
      <c r="F70" s="82"/>
      <c r="G70" s="141"/>
      <c r="H70" s="84"/>
      <c r="I70" s="84"/>
      <c r="J70" s="67"/>
    </row>
    <row r="71" spans="2:13" ht="13.5" thickBot="1" x14ac:dyDescent="0.3">
      <c r="B71" s="142" t="s">
        <v>169</v>
      </c>
      <c r="C71" s="143">
        <f>+F53</f>
        <v>368</v>
      </c>
      <c r="D71" s="143">
        <f>+D70</f>
        <v>6800</v>
      </c>
      <c r="E71" s="144">
        <f>+C71/D71</f>
        <v>5.4117647058823527E-2</v>
      </c>
      <c r="F71" s="82"/>
      <c r="G71" s="141"/>
      <c r="H71" s="84"/>
      <c r="I71" s="84"/>
      <c r="J71" s="67"/>
    </row>
    <row r="72" spans="2:13" ht="13.5" thickBot="1" x14ac:dyDescent="0.3">
      <c r="B72" s="106"/>
      <c r="C72" s="107"/>
      <c r="D72" s="107"/>
      <c r="E72" s="148"/>
      <c r="F72" s="82"/>
      <c r="G72" s="141"/>
      <c r="H72" s="84"/>
      <c r="I72" s="84"/>
      <c r="J72" s="67"/>
    </row>
    <row r="73" spans="2:13" ht="13.5" thickBot="1" x14ac:dyDescent="0.3">
      <c r="B73" s="142" t="s">
        <v>170</v>
      </c>
      <c r="C73" s="143">
        <f>+F51</f>
        <v>20</v>
      </c>
      <c r="D73" s="143">
        <f>+D71</f>
        <v>6800</v>
      </c>
      <c r="E73" s="144">
        <f>+C73/D73</f>
        <v>2.9411764705882353E-3</v>
      </c>
      <c r="F73" s="82"/>
      <c r="G73" s="141"/>
      <c r="H73" s="84"/>
      <c r="I73" s="84"/>
      <c r="J73" s="84"/>
    </row>
    <row r="74" spans="2:13" ht="13.5" thickBot="1" x14ac:dyDescent="0.3">
      <c r="B74" s="106"/>
      <c r="C74" s="107"/>
      <c r="D74" s="107"/>
      <c r="E74" s="148"/>
      <c r="F74" s="82"/>
      <c r="G74" s="141"/>
      <c r="H74" s="84"/>
      <c r="I74" s="84"/>
    </row>
    <row r="75" spans="2:13" ht="13.5" thickBot="1" x14ac:dyDescent="0.3">
      <c r="B75" s="591" t="s">
        <v>171</v>
      </c>
      <c r="C75" s="592"/>
      <c r="D75" s="593"/>
      <c r="E75" s="144">
        <f>+E66+E71</f>
        <v>2.5321764705882353</v>
      </c>
      <c r="G75" s="82"/>
      <c r="H75" s="141"/>
      <c r="I75" s="84"/>
      <c r="J75" s="148"/>
    </row>
    <row r="76" spans="2:13" x14ac:dyDescent="0.25">
      <c r="I76" s="141"/>
      <c r="J76" s="67"/>
    </row>
    <row r="77" spans="2:13" ht="13.5" thickBot="1" x14ac:dyDescent="0.3">
      <c r="B77" s="590" t="s">
        <v>172</v>
      </c>
      <c r="C77" s="590"/>
      <c r="D77" s="590"/>
      <c r="E77" s="590"/>
      <c r="F77" s="590"/>
      <c r="G77" s="82"/>
      <c r="H77" s="141"/>
      <c r="J77" s="67"/>
    </row>
    <row r="78" spans="2:13" ht="13.5" thickBot="1" x14ac:dyDescent="0.3">
      <c r="B78" s="142" t="s">
        <v>166</v>
      </c>
      <c r="C78" s="143">
        <f>+C66</f>
        <v>16850.8</v>
      </c>
      <c r="D78" s="143">
        <f>+D57</f>
        <v>1</v>
      </c>
      <c r="E78" s="144">
        <f>+C78/D78</f>
        <v>16850.8</v>
      </c>
      <c r="F78" s="82"/>
      <c r="G78" s="141"/>
      <c r="H78" s="84"/>
      <c r="I78" s="141"/>
      <c r="J78" s="67"/>
    </row>
    <row r="79" spans="2:13" x14ac:dyDescent="0.25">
      <c r="B79" s="145"/>
      <c r="C79" s="146"/>
      <c r="D79" s="147"/>
      <c r="E79" s="130"/>
      <c r="F79" s="82"/>
      <c r="G79" s="141"/>
      <c r="H79" s="84"/>
      <c r="I79" s="84"/>
      <c r="J79" s="67"/>
    </row>
    <row r="80" spans="2:13" x14ac:dyDescent="0.25">
      <c r="B80" s="142" t="s">
        <v>167</v>
      </c>
      <c r="C80" s="143">
        <f>+C68</f>
        <v>17207.815999999999</v>
      </c>
      <c r="D80" s="143">
        <f>+D57</f>
        <v>1</v>
      </c>
      <c r="E80" s="148">
        <f>+C80/D80</f>
        <v>17207.815999999999</v>
      </c>
      <c r="F80" s="82"/>
      <c r="G80" s="141"/>
      <c r="H80" s="84"/>
      <c r="I80" s="84"/>
      <c r="J80" s="67"/>
    </row>
    <row r="81" spans="1:10" x14ac:dyDescent="0.25">
      <c r="B81" s="142"/>
      <c r="C81" s="143"/>
      <c r="D81" s="143"/>
      <c r="E81" s="148"/>
      <c r="F81" s="82"/>
      <c r="G81" s="141"/>
      <c r="H81" s="84"/>
      <c r="I81" s="84"/>
      <c r="J81" s="67"/>
    </row>
    <row r="82" spans="1:10" ht="13.5" thickBot="1" x14ac:dyDescent="0.3">
      <c r="B82" s="142" t="s">
        <v>169</v>
      </c>
      <c r="C82" s="143">
        <f>+C70</f>
        <v>308</v>
      </c>
      <c r="D82" s="143">
        <f>+D57</f>
        <v>1</v>
      </c>
      <c r="E82" s="148">
        <f>+C82/D82</f>
        <v>308</v>
      </c>
      <c r="F82" s="150"/>
      <c r="G82" s="140"/>
      <c r="H82" s="66"/>
      <c r="I82" s="84"/>
    </row>
    <row r="83" spans="1:10" ht="13.5" thickBot="1" x14ac:dyDescent="0.3">
      <c r="B83" s="142" t="s">
        <v>169</v>
      </c>
      <c r="C83" s="143">
        <f>+C71</f>
        <v>368</v>
      </c>
      <c r="D83" s="143">
        <f>+D82</f>
        <v>1</v>
      </c>
      <c r="E83" s="144">
        <f>+C83/D83</f>
        <v>368</v>
      </c>
      <c r="F83" s="149"/>
      <c r="G83" s="140"/>
      <c r="H83" s="66"/>
      <c r="I83" s="66"/>
    </row>
    <row r="84" spans="1:10" x14ac:dyDescent="0.25">
      <c r="I84" s="66"/>
    </row>
    <row r="85" spans="1:10" x14ac:dyDescent="0.2">
      <c r="A85" s="594"/>
      <c r="B85" s="594"/>
      <c r="C85" s="151"/>
      <c r="D85" s="151"/>
      <c r="E85" s="152"/>
      <c r="G85" s="153"/>
    </row>
    <row r="86" spans="1:10" x14ac:dyDescent="0.2">
      <c r="A86" s="85"/>
      <c r="B86" s="154"/>
      <c r="C86" s="155"/>
      <c r="D86" s="155"/>
      <c r="E86" s="156"/>
      <c r="G86" s="153"/>
    </row>
    <row r="87" spans="1:10" x14ac:dyDescent="0.2">
      <c r="A87" s="85"/>
      <c r="B87" s="154"/>
      <c r="C87" s="157"/>
      <c r="D87" s="157"/>
      <c r="E87" s="85"/>
      <c r="G87" s="153"/>
    </row>
    <row r="88" spans="1:10" x14ac:dyDescent="0.2">
      <c r="A88" s="85"/>
      <c r="B88" s="154"/>
      <c r="C88" s="158"/>
      <c r="D88" s="158"/>
      <c r="E88" s="85"/>
      <c r="G88" s="153"/>
    </row>
  </sheetData>
  <mergeCells count="30">
    <mergeCell ref="B65:F65"/>
    <mergeCell ref="B75:D75"/>
    <mergeCell ref="B77:F77"/>
    <mergeCell ref="A85:B85"/>
    <mergeCell ref="L59:N59"/>
    <mergeCell ref="B60:D60"/>
    <mergeCell ref="K60:N60"/>
    <mergeCell ref="B61:D61"/>
    <mergeCell ref="B62:C62"/>
    <mergeCell ref="B63:E63"/>
    <mergeCell ref="H63:H64"/>
    <mergeCell ref="B58:C58"/>
    <mergeCell ref="K58:N58"/>
    <mergeCell ref="K27:L27"/>
    <mergeCell ref="B50:E50"/>
    <mergeCell ref="B51:E51"/>
    <mergeCell ref="K51:N51"/>
    <mergeCell ref="B52:E52"/>
    <mergeCell ref="C53:E53"/>
    <mergeCell ref="B55:C55"/>
    <mergeCell ref="B56:C56"/>
    <mergeCell ref="M56:N56"/>
    <mergeCell ref="B57:C57"/>
    <mergeCell ref="L57:M57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8C7-F624-4E4C-A699-6134700D65A9}">
  <sheetPr>
    <pageSetUpPr fitToPage="1"/>
  </sheetPr>
  <dimension ref="A1:K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2.7109375" customWidth="1"/>
    <col min="2" max="2" width="18.5703125" bestFit="1" customWidth="1"/>
    <col min="3" max="3" width="68.140625" customWidth="1"/>
    <col min="4" max="4" width="17" customWidth="1"/>
    <col min="5" max="5" width="14.7109375" customWidth="1"/>
    <col min="6" max="6" width="14.28515625" customWidth="1"/>
    <col min="7" max="7" width="18.5703125" customWidth="1"/>
    <col min="8" max="8" width="15.7109375" customWidth="1"/>
    <col min="9" max="9" width="17.42578125" bestFit="1" customWidth="1"/>
  </cols>
  <sheetData>
    <row r="1" spans="1:11" ht="16.5" x14ac:dyDescent="0.3">
      <c r="A1" s="559"/>
      <c r="B1" s="560"/>
      <c r="C1" s="565" t="s">
        <v>33</v>
      </c>
      <c r="D1" s="565"/>
      <c r="E1" s="565"/>
      <c r="F1" s="565"/>
      <c r="G1" s="565"/>
      <c r="H1" s="4" t="s">
        <v>32</v>
      </c>
      <c r="I1" s="3" t="s">
        <v>246</v>
      </c>
    </row>
    <row r="2" spans="1:11" ht="16.5" thickBot="1" x14ac:dyDescent="0.3">
      <c r="A2" s="561"/>
      <c r="B2" s="562"/>
      <c r="C2" s="566" t="s">
        <v>31</v>
      </c>
      <c r="D2" s="567"/>
      <c r="E2" s="567"/>
      <c r="F2" s="567"/>
      <c r="G2" s="568"/>
      <c r="H2" s="5" t="s">
        <v>30</v>
      </c>
      <c r="I2" s="425" t="s">
        <v>209</v>
      </c>
    </row>
    <row r="3" spans="1:11" ht="27" customHeight="1" thickBot="1" x14ac:dyDescent="0.3">
      <c r="A3" s="561"/>
      <c r="B3" s="562"/>
      <c r="C3" s="694" t="s">
        <v>240</v>
      </c>
      <c r="D3" s="695"/>
      <c r="E3" s="695"/>
      <c r="F3" s="695"/>
      <c r="G3" s="696"/>
      <c r="H3" s="572" t="s">
        <v>29</v>
      </c>
      <c r="I3" s="691">
        <v>45985</v>
      </c>
    </row>
    <row r="4" spans="1:11" x14ac:dyDescent="0.25">
      <c r="A4" s="561"/>
      <c r="B4" s="562"/>
      <c r="C4" s="6" t="s">
        <v>28</v>
      </c>
      <c r="D4" s="553" t="s">
        <v>40</v>
      </c>
      <c r="E4" s="554"/>
      <c r="F4" s="554"/>
      <c r="G4" s="555"/>
      <c r="H4" s="573"/>
      <c r="I4" s="692"/>
    </row>
    <row r="5" spans="1:11" ht="15.75" thickBot="1" x14ac:dyDescent="0.3">
      <c r="A5" s="563"/>
      <c r="B5" s="564"/>
      <c r="C5" s="7" t="s">
        <v>27</v>
      </c>
      <c r="D5" s="556" t="s">
        <v>26</v>
      </c>
      <c r="E5" s="557"/>
      <c r="F5" s="557"/>
      <c r="G5" s="558"/>
      <c r="H5" s="574"/>
      <c r="I5" s="693"/>
    </row>
    <row r="6" spans="1:11" ht="18.75" thickBot="1" x14ac:dyDescent="0.3">
      <c r="A6" s="465" t="s">
        <v>25</v>
      </c>
      <c r="B6" s="465"/>
      <c r="C6" s="465"/>
      <c r="D6" s="665" t="s">
        <v>244</v>
      </c>
      <c r="E6" s="665"/>
      <c r="F6" s="665"/>
      <c r="G6" s="467" t="s">
        <v>24</v>
      </c>
      <c r="H6" s="467"/>
      <c r="I6" s="165" t="s">
        <v>244</v>
      </c>
    </row>
    <row r="7" spans="1:11" ht="35.25" customHeight="1" x14ac:dyDescent="0.25">
      <c r="A7" s="544" t="s">
        <v>23</v>
      </c>
      <c r="B7" s="546" t="s">
        <v>36</v>
      </c>
      <c r="C7" s="548" t="s">
        <v>22</v>
      </c>
      <c r="D7" s="548" t="s">
        <v>21</v>
      </c>
      <c r="E7" s="548" t="s">
        <v>20</v>
      </c>
      <c r="F7" s="548"/>
      <c r="G7" s="548" t="s">
        <v>19</v>
      </c>
      <c r="H7" s="548"/>
      <c r="I7" s="9" t="s">
        <v>18</v>
      </c>
    </row>
    <row r="8" spans="1:11" ht="27" thickBot="1" x14ac:dyDescent="0.3">
      <c r="A8" s="545"/>
      <c r="B8" s="697"/>
      <c r="C8" s="698"/>
      <c r="D8" s="549"/>
      <c r="E8" s="10" t="s">
        <v>13</v>
      </c>
      <c r="F8" s="11" t="s">
        <v>17</v>
      </c>
      <c r="G8" s="10" t="s">
        <v>13</v>
      </c>
      <c r="H8" s="11" t="s">
        <v>17</v>
      </c>
      <c r="I8" s="12" t="s">
        <v>16</v>
      </c>
      <c r="K8" t="s">
        <v>107</v>
      </c>
    </row>
    <row r="9" spans="1:11" ht="28.5" customHeight="1" x14ac:dyDescent="0.3">
      <c r="A9" s="395"/>
      <c r="B9" s="422" t="s">
        <v>96</v>
      </c>
      <c r="C9" s="398" t="s">
        <v>245</v>
      </c>
      <c r="D9" s="420" t="s">
        <v>14</v>
      </c>
      <c r="E9" s="365">
        <v>132</v>
      </c>
      <c r="F9" s="366" t="s">
        <v>1</v>
      </c>
      <c r="G9" s="365"/>
      <c r="H9" s="399" t="s">
        <v>98</v>
      </c>
      <c r="I9" s="367"/>
    </row>
    <row r="10" spans="1:11" ht="20.25" x14ac:dyDescent="0.3">
      <c r="A10" s="396"/>
      <c r="B10" s="422" t="s">
        <v>243</v>
      </c>
      <c r="C10" s="398" t="s">
        <v>99</v>
      </c>
      <c r="D10" s="374" t="s">
        <v>14</v>
      </c>
      <c r="E10" s="369">
        <v>280</v>
      </c>
      <c r="F10" s="370" t="s">
        <v>1</v>
      </c>
      <c r="G10" s="371"/>
      <c r="H10" s="372"/>
      <c r="I10" s="367"/>
    </row>
    <row r="11" spans="1:11" ht="20.25" x14ac:dyDescent="0.3">
      <c r="A11" s="397"/>
      <c r="B11" s="423" t="s">
        <v>100</v>
      </c>
      <c r="C11" s="418" t="s">
        <v>101</v>
      </c>
      <c r="D11" s="405" t="s">
        <v>95</v>
      </c>
      <c r="E11" s="400">
        <v>95</v>
      </c>
      <c r="F11" s="370" t="s">
        <v>1</v>
      </c>
      <c r="G11" s="371"/>
      <c r="H11" s="372" t="s">
        <v>102</v>
      </c>
      <c r="I11" s="367"/>
    </row>
    <row r="12" spans="1:11" ht="20.25" x14ac:dyDescent="0.3">
      <c r="A12" s="373"/>
      <c r="B12" s="401" t="s">
        <v>103</v>
      </c>
      <c r="C12" s="402" t="s">
        <v>104</v>
      </c>
      <c r="D12" s="403" t="s">
        <v>105</v>
      </c>
      <c r="E12" s="404">
        <v>95</v>
      </c>
      <c r="F12" s="370" t="s">
        <v>1</v>
      </c>
      <c r="G12" s="371"/>
      <c r="H12" s="372" t="s">
        <v>102</v>
      </c>
      <c r="I12" s="367"/>
    </row>
    <row r="13" spans="1:11" ht="20.25" x14ac:dyDescent="0.3">
      <c r="A13" s="373"/>
      <c r="B13" s="422"/>
      <c r="C13" s="398"/>
      <c r="D13" s="374"/>
      <c r="E13" s="369"/>
      <c r="F13" s="370"/>
      <c r="G13" s="371"/>
      <c r="H13" s="372"/>
      <c r="I13" s="367"/>
      <c r="K13" s="61"/>
    </row>
    <row r="14" spans="1:11" ht="20.25" x14ac:dyDescent="0.3">
      <c r="A14" s="373"/>
      <c r="B14" s="422"/>
      <c r="C14" s="421" t="s">
        <v>106</v>
      </c>
      <c r="D14" s="374"/>
      <c r="E14" s="369"/>
      <c r="F14" s="370"/>
      <c r="G14" s="371"/>
      <c r="H14" s="372"/>
      <c r="I14" s="367"/>
    </row>
    <row r="15" spans="1:11" ht="20.25" x14ac:dyDescent="0.3">
      <c r="A15" s="373"/>
      <c r="B15" s="423" t="s">
        <v>100</v>
      </c>
      <c r="C15" s="418" t="s">
        <v>101</v>
      </c>
      <c r="D15" s="405" t="s">
        <v>95</v>
      </c>
      <c r="E15" s="400">
        <v>70</v>
      </c>
      <c r="F15" s="370" t="s">
        <v>1</v>
      </c>
      <c r="G15" s="371"/>
      <c r="H15" s="372" t="s">
        <v>247</v>
      </c>
      <c r="I15" s="367"/>
    </row>
    <row r="16" spans="1:11" ht="20.25" x14ac:dyDescent="0.3">
      <c r="A16" s="373"/>
      <c r="B16" s="401" t="s">
        <v>103</v>
      </c>
      <c r="C16" s="402" t="s">
        <v>104</v>
      </c>
      <c r="D16" s="403" t="s">
        <v>108</v>
      </c>
      <c r="E16" s="404">
        <v>150</v>
      </c>
      <c r="F16" s="370" t="s">
        <v>1</v>
      </c>
      <c r="G16" s="371"/>
      <c r="H16" s="372" t="s">
        <v>248</v>
      </c>
      <c r="I16" s="367"/>
    </row>
    <row r="17" spans="1:11" ht="20.25" x14ac:dyDescent="0.3">
      <c r="A17" s="406"/>
      <c r="B17" s="409"/>
      <c r="C17" s="407"/>
      <c r="D17" s="408"/>
      <c r="E17" s="409"/>
      <c r="F17" s="410"/>
      <c r="G17" s="375"/>
      <c r="H17" s="372"/>
      <c r="I17" s="367"/>
    </row>
    <row r="18" spans="1:11" ht="20.25" x14ac:dyDescent="0.3">
      <c r="A18" s="415"/>
      <c r="B18" s="375"/>
      <c r="C18" s="416" t="s">
        <v>37</v>
      </c>
      <c r="D18" s="375"/>
      <c r="E18" s="375"/>
      <c r="F18" s="412"/>
      <c r="G18" s="375"/>
      <c r="H18" s="372"/>
      <c r="I18" s="367"/>
    </row>
    <row r="19" spans="1:11" ht="20.25" x14ac:dyDescent="0.3">
      <c r="A19" s="415"/>
      <c r="B19" s="419" t="s">
        <v>241</v>
      </c>
      <c r="C19" s="413" t="s">
        <v>242</v>
      </c>
      <c r="D19" s="411"/>
      <c r="E19" s="375">
        <v>1</v>
      </c>
      <c r="F19" s="412" t="s">
        <v>6</v>
      </c>
      <c r="G19" s="375"/>
      <c r="H19" s="372"/>
      <c r="I19" s="367"/>
    </row>
    <row r="20" spans="1:11" ht="20.25" x14ac:dyDescent="0.3">
      <c r="A20" s="415"/>
      <c r="B20" s="419" t="s">
        <v>15</v>
      </c>
      <c r="C20" s="413" t="s">
        <v>117</v>
      </c>
      <c r="D20" s="414"/>
      <c r="E20" s="375">
        <v>1</v>
      </c>
      <c r="F20" s="412" t="s">
        <v>6</v>
      </c>
      <c r="G20" s="375"/>
      <c r="H20" s="372"/>
      <c r="I20" s="367"/>
    </row>
    <row r="21" spans="1:11" ht="20.25" x14ac:dyDescent="0.3">
      <c r="A21" s="414">
        <v>702069</v>
      </c>
      <c r="B21" s="375" t="s">
        <v>42</v>
      </c>
      <c r="C21" s="424" t="s">
        <v>43</v>
      </c>
      <c r="D21" s="411" t="s">
        <v>44</v>
      </c>
      <c r="E21" s="375">
        <v>1</v>
      </c>
      <c r="F21" s="412" t="s">
        <v>6</v>
      </c>
      <c r="G21" s="375"/>
      <c r="H21" s="372"/>
      <c r="I21" s="367"/>
    </row>
    <row r="22" spans="1:11" ht="20.25" x14ac:dyDescent="0.3">
      <c r="A22" s="397">
        <v>703020</v>
      </c>
      <c r="B22" s="368" t="s">
        <v>110</v>
      </c>
      <c r="C22" s="417" t="s">
        <v>111</v>
      </c>
      <c r="D22" s="375" t="s">
        <v>112</v>
      </c>
      <c r="E22" s="375">
        <v>60</v>
      </c>
      <c r="F22" s="412" t="s">
        <v>118</v>
      </c>
      <c r="G22" s="375"/>
      <c r="H22" s="372"/>
      <c r="I22" s="367"/>
    </row>
    <row r="23" spans="1:11" ht="20.25" x14ac:dyDescent="0.3">
      <c r="A23" s="397">
        <v>701096</v>
      </c>
      <c r="B23" s="368" t="s">
        <v>113</v>
      </c>
      <c r="C23" s="417" t="s">
        <v>114</v>
      </c>
      <c r="D23" s="375" t="s">
        <v>41</v>
      </c>
      <c r="E23" s="375">
        <v>1</v>
      </c>
      <c r="F23" s="412" t="s">
        <v>6</v>
      </c>
      <c r="G23" s="375"/>
      <c r="H23" s="372"/>
      <c r="I23" s="367"/>
    </row>
    <row r="24" spans="1:11" ht="20.25" x14ac:dyDescent="0.3">
      <c r="A24" s="397">
        <v>702123</v>
      </c>
      <c r="B24" s="368" t="s">
        <v>115</v>
      </c>
      <c r="C24" s="417" t="s">
        <v>116</v>
      </c>
      <c r="D24" s="375" t="s">
        <v>44</v>
      </c>
      <c r="E24" s="375">
        <v>1</v>
      </c>
      <c r="F24" s="412" t="s">
        <v>6</v>
      </c>
      <c r="G24" s="376"/>
      <c r="H24" s="366"/>
      <c r="I24" s="367"/>
    </row>
    <row r="25" spans="1:11" ht="21" thickBot="1" x14ac:dyDescent="0.35">
      <c r="A25" s="377"/>
      <c r="B25" s="378"/>
      <c r="C25" s="379"/>
      <c r="D25" s="379"/>
      <c r="E25" s="380"/>
      <c r="F25" s="381"/>
      <c r="G25" s="379"/>
      <c r="H25" s="379"/>
      <c r="I25" s="382"/>
    </row>
    <row r="26" spans="1:11" ht="21" thickBot="1" x14ac:dyDescent="0.35">
      <c r="A26" s="383"/>
      <c r="B26" s="384"/>
      <c r="C26" s="385"/>
      <c r="D26" s="386" t="s">
        <v>13</v>
      </c>
      <c r="E26" s="387" t="s">
        <v>12</v>
      </c>
      <c r="F26" s="388"/>
      <c r="G26" s="385"/>
      <c r="H26" s="385"/>
      <c r="I26" s="389"/>
      <c r="K26" s="61"/>
    </row>
    <row r="27" spans="1:11" ht="20.25" x14ac:dyDescent="0.3">
      <c r="A27" s="699" t="s">
        <v>11</v>
      </c>
      <c r="B27" s="700"/>
      <c r="C27" s="701"/>
      <c r="D27" s="390">
        <v>820</v>
      </c>
      <c r="E27" s="391" t="s">
        <v>1</v>
      </c>
      <c r="F27" s="702" t="s">
        <v>38</v>
      </c>
      <c r="G27" s="702"/>
      <c r="H27" s="703"/>
      <c r="I27" s="704"/>
    </row>
    <row r="28" spans="1:11" ht="20.25" x14ac:dyDescent="0.3">
      <c r="A28" s="705" t="s">
        <v>10</v>
      </c>
      <c r="B28" s="706"/>
      <c r="C28" s="707"/>
      <c r="D28" s="392">
        <v>8</v>
      </c>
      <c r="E28" s="375" t="s">
        <v>9</v>
      </c>
      <c r="F28" s="708" t="s">
        <v>8</v>
      </c>
      <c r="G28" s="708"/>
      <c r="H28" s="709"/>
      <c r="I28" s="710"/>
    </row>
    <row r="29" spans="1:11" ht="20.25" x14ac:dyDescent="0.3">
      <c r="A29" s="705" t="s">
        <v>7</v>
      </c>
      <c r="B29" s="706"/>
      <c r="C29" s="707"/>
      <c r="D29" s="392">
        <v>1</v>
      </c>
      <c r="E29" s="375" t="s">
        <v>6</v>
      </c>
      <c r="F29" s="708" t="s">
        <v>5</v>
      </c>
      <c r="G29" s="708"/>
      <c r="H29" s="709"/>
      <c r="I29" s="710"/>
    </row>
    <row r="30" spans="1:11" ht="20.25" x14ac:dyDescent="0.3">
      <c r="A30" s="705" t="s">
        <v>4</v>
      </c>
      <c r="B30" s="706"/>
      <c r="C30" s="707"/>
      <c r="D30" s="392">
        <v>820</v>
      </c>
      <c r="E30" s="375" t="s">
        <v>1</v>
      </c>
      <c r="F30" s="715" t="s">
        <v>3</v>
      </c>
      <c r="G30" s="716"/>
      <c r="H30" s="717"/>
      <c r="I30" s="718"/>
    </row>
    <row r="31" spans="1:11" ht="21" thickBot="1" x14ac:dyDescent="0.35">
      <c r="A31" s="719" t="s">
        <v>2</v>
      </c>
      <c r="B31" s="720"/>
      <c r="C31" s="721"/>
      <c r="D31" s="393">
        <f>SUM(E9:E16)-D27</f>
        <v>2</v>
      </c>
      <c r="E31" s="394" t="s">
        <v>1</v>
      </c>
      <c r="F31" s="722"/>
      <c r="G31" s="722"/>
      <c r="H31" s="709"/>
      <c r="I31" s="710"/>
    </row>
    <row r="32" spans="1:11" ht="21" thickBot="1" x14ac:dyDescent="0.35">
      <c r="A32" s="723" t="s">
        <v>0</v>
      </c>
      <c r="B32" s="724"/>
      <c r="C32" s="724"/>
      <c r="D32" s="724"/>
      <c r="E32" s="724"/>
      <c r="F32" s="724"/>
      <c r="G32" s="724"/>
      <c r="H32" s="724"/>
      <c r="I32" s="725"/>
    </row>
    <row r="33" spans="1:9" ht="20.25" x14ac:dyDescent="0.3">
      <c r="A33" s="726" t="s">
        <v>119</v>
      </c>
      <c r="B33" s="727"/>
      <c r="C33" s="728"/>
      <c r="D33" s="728"/>
      <c r="E33" s="728"/>
      <c r="F33" s="728"/>
      <c r="G33" s="728"/>
      <c r="H33" s="728"/>
      <c r="I33" s="729"/>
    </row>
    <row r="34" spans="1:9" ht="20.25" x14ac:dyDescent="0.3">
      <c r="A34" s="711" t="s">
        <v>249</v>
      </c>
      <c r="B34" s="712"/>
      <c r="C34" s="713"/>
      <c r="D34" s="713"/>
      <c r="E34" s="713"/>
      <c r="F34" s="713"/>
      <c r="G34" s="713"/>
      <c r="H34" s="713"/>
      <c r="I34" s="714"/>
    </row>
    <row r="35" spans="1:9" ht="20.25" x14ac:dyDescent="0.3">
      <c r="A35" s="733" t="s">
        <v>120</v>
      </c>
      <c r="B35" s="734"/>
      <c r="C35" s="735"/>
      <c r="D35" s="735"/>
      <c r="E35" s="735"/>
      <c r="F35" s="735"/>
      <c r="G35" s="735"/>
      <c r="H35" s="735"/>
      <c r="I35" s="736"/>
    </row>
    <row r="36" spans="1:9" ht="20.25" x14ac:dyDescent="0.25">
      <c r="A36" s="737" t="s">
        <v>121</v>
      </c>
      <c r="B36" s="738"/>
      <c r="C36" s="738"/>
      <c r="D36" s="738"/>
      <c r="E36" s="738"/>
      <c r="F36" s="738"/>
      <c r="G36" s="738"/>
      <c r="H36" s="738"/>
      <c r="I36" s="739"/>
    </row>
    <row r="37" spans="1:9" ht="21" thickBot="1" x14ac:dyDescent="0.35">
      <c r="A37" s="740"/>
      <c r="B37" s="741"/>
      <c r="C37" s="742"/>
      <c r="D37" s="742"/>
      <c r="E37" s="742"/>
      <c r="F37" s="742"/>
      <c r="G37" s="742"/>
      <c r="H37" s="742"/>
      <c r="I37" s="743"/>
    </row>
    <row r="38" spans="1:9" ht="20.25" x14ac:dyDescent="0.3">
      <c r="A38" s="730" t="s">
        <v>39</v>
      </c>
      <c r="B38" s="731"/>
      <c r="C38" s="731"/>
      <c r="D38" s="731"/>
      <c r="E38" s="731"/>
      <c r="F38" s="731"/>
      <c r="G38" s="731"/>
      <c r="H38" s="731"/>
      <c r="I38" s="731"/>
    </row>
    <row r="39" spans="1:9" ht="20.25" x14ac:dyDescent="0.3">
      <c r="A39" s="732"/>
      <c r="B39" s="732"/>
      <c r="C39" s="732"/>
      <c r="D39" s="732"/>
      <c r="E39" s="732"/>
      <c r="F39" s="732"/>
      <c r="G39" s="732"/>
      <c r="H39" s="732"/>
      <c r="I39" s="732"/>
    </row>
    <row r="40" spans="1:9" ht="20.25" x14ac:dyDescent="0.3">
      <c r="A40" s="732"/>
      <c r="B40" s="732"/>
      <c r="C40" s="732"/>
      <c r="D40" s="732"/>
      <c r="E40" s="732"/>
      <c r="F40" s="732"/>
      <c r="G40" s="732"/>
      <c r="H40" s="732"/>
      <c r="I40" s="732"/>
    </row>
  </sheetData>
  <mergeCells count="41">
    <mergeCell ref="A38:I38"/>
    <mergeCell ref="A39:I39"/>
    <mergeCell ref="A40:I40"/>
    <mergeCell ref="A35:I35"/>
    <mergeCell ref="A36:I36"/>
    <mergeCell ref="A37:I37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E710-4A8A-4C7B-9DEE-F4AE68DD4AC9}">
  <dimension ref="A1:T91"/>
  <sheetViews>
    <sheetView topLeftCell="A45" workbookViewId="0">
      <selection activeCell="B71" sqref="B71"/>
    </sheetView>
  </sheetViews>
  <sheetFormatPr baseColWidth="10" defaultColWidth="8.42578125" defaultRowHeight="12.75" x14ac:dyDescent="0.25"/>
  <cols>
    <col min="1" max="1" width="10" style="67" bestFit="1" customWidth="1"/>
    <col min="2" max="2" width="44.28515625" style="67" bestFit="1" customWidth="1"/>
    <col min="3" max="3" width="10.42578125" style="67" bestFit="1" customWidth="1"/>
    <col min="4" max="4" width="10.42578125" style="67" customWidth="1"/>
    <col min="5" max="5" width="11.28515625" style="67" customWidth="1"/>
    <col min="6" max="6" width="9.5703125" style="67" bestFit="1" customWidth="1"/>
    <col min="7" max="7" width="9.5703125" style="149" bestFit="1" customWidth="1"/>
    <col min="8" max="8" width="10.42578125" style="140" bestFit="1" customWidth="1"/>
    <col min="9" max="9" width="4.5703125" style="140" customWidth="1"/>
    <col min="10" max="10" width="1.85546875" style="66" customWidth="1"/>
    <col min="11" max="11" width="7" style="67" bestFit="1" customWidth="1"/>
    <col min="12" max="12" width="6.28515625" style="67" customWidth="1"/>
    <col min="13" max="13" width="20.42578125" style="67" customWidth="1"/>
    <col min="14" max="14" width="6.42578125" style="67" bestFit="1" customWidth="1"/>
    <col min="15" max="16" width="8.42578125" style="67"/>
    <col min="17" max="17" width="3.28515625" style="67" customWidth="1"/>
    <col min="18" max="16384" width="8.42578125" style="67"/>
  </cols>
  <sheetData>
    <row r="1" spans="1:10" ht="27.75" customHeight="1" x14ac:dyDescent="0.25">
      <c r="A1" s="62"/>
      <c r="B1" s="62"/>
      <c r="C1" s="62"/>
      <c r="D1" s="62"/>
      <c r="E1" s="63" t="s">
        <v>122</v>
      </c>
      <c r="F1" s="64" t="s">
        <v>123</v>
      </c>
      <c r="G1" s="64" t="s">
        <v>124</v>
      </c>
      <c r="H1" s="64" t="s">
        <v>125</v>
      </c>
      <c r="I1" s="65"/>
    </row>
    <row r="2" spans="1:10" ht="30.75" customHeight="1" x14ac:dyDescent="0.25">
      <c r="A2" s="62"/>
      <c r="B2" s="62"/>
      <c r="C2" s="62"/>
      <c r="D2" s="62"/>
      <c r="E2" s="68">
        <f>IFERROR(O62,"")</f>
        <v>3583.7494727424314</v>
      </c>
      <c r="F2" s="68">
        <f>IFERROR(H53,"")</f>
        <v>2058.2827337575841</v>
      </c>
      <c r="G2" s="68">
        <f>IFERROR(H54,"")</f>
        <v>338.17005676219202</v>
      </c>
      <c r="H2" s="68">
        <f>IFERROR(H56,"")</f>
        <v>648.38187610740749</v>
      </c>
      <c r="I2" s="69"/>
    </row>
    <row r="3" spans="1:10" ht="15" customHeight="1" x14ac:dyDescent="0.25">
      <c r="A3" s="62"/>
      <c r="B3" s="62"/>
      <c r="C3" s="62"/>
      <c r="D3" s="62"/>
      <c r="E3" s="62"/>
      <c r="F3" s="70"/>
      <c r="G3" s="70"/>
      <c r="H3" s="70"/>
      <c r="I3" s="70"/>
    </row>
    <row r="4" spans="1:10" ht="24.75" customHeight="1" thickBot="1" x14ac:dyDescent="0.3">
      <c r="A4" s="576"/>
      <c r="B4" s="576"/>
      <c r="C4" s="576"/>
      <c r="D4" s="576"/>
      <c r="E4" s="576"/>
      <c r="F4" s="576"/>
      <c r="G4" s="576"/>
      <c r="H4" s="576"/>
      <c r="I4" s="71"/>
    </row>
    <row r="5" spans="1:10" ht="19.5" customHeight="1" thickBot="1" x14ac:dyDescent="0.3">
      <c r="A5" s="577" t="s">
        <v>126</v>
      </c>
      <c r="B5" s="578"/>
      <c r="C5" s="578"/>
      <c r="D5" s="578"/>
      <c r="E5" s="578"/>
      <c r="F5" s="578"/>
      <c r="G5" s="578"/>
      <c r="H5" s="579"/>
      <c r="I5" s="72"/>
    </row>
    <row r="6" spans="1:10" ht="19.5" thickBot="1" x14ac:dyDescent="0.3">
      <c r="A6" s="72"/>
      <c r="B6" s="72"/>
      <c r="C6" s="72"/>
      <c r="D6" s="72"/>
      <c r="E6" s="72"/>
      <c r="F6" s="580" t="s">
        <v>127</v>
      </c>
      <c r="G6" s="580"/>
      <c r="H6" s="73">
        <f ca="1">TODAY()</f>
        <v>46034</v>
      </c>
      <c r="I6" s="73"/>
    </row>
    <row r="7" spans="1:10" ht="26.25" thickBot="1" x14ac:dyDescent="0.3">
      <c r="A7" s="74" t="s">
        <v>128</v>
      </c>
      <c r="B7" s="75" t="s">
        <v>129</v>
      </c>
      <c r="C7" s="75" t="s">
        <v>128</v>
      </c>
      <c r="D7" s="76" t="s">
        <v>130</v>
      </c>
      <c r="E7" s="76" t="s">
        <v>131</v>
      </c>
      <c r="F7" s="76" t="s">
        <v>132</v>
      </c>
      <c r="G7" s="76" t="s">
        <v>133</v>
      </c>
      <c r="H7" s="77" t="s">
        <v>134</v>
      </c>
      <c r="I7" s="78"/>
    </row>
    <row r="8" spans="1:10" ht="13.5" x14ac:dyDescent="0.25">
      <c r="A8" s="79">
        <v>165</v>
      </c>
      <c r="B8" s="67" t="s">
        <v>101</v>
      </c>
      <c r="C8" s="80">
        <f>+A8</f>
        <v>165</v>
      </c>
      <c r="D8" s="81" t="s">
        <v>177</v>
      </c>
      <c r="E8" s="81">
        <v>2.56</v>
      </c>
      <c r="F8" s="81">
        <f>IFERROR(C8*E8,"")</f>
        <v>422.40000000000003</v>
      </c>
      <c r="G8" s="82">
        <f t="shared" ref="G8:G14" si="0">IFERROR(F8/$F$66,"")</f>
        <v>0.13832769469436321</v>
      </c>
      <c r="H8" s="83" t="s">
        <v>100</v>
      </c>
      <c r="I8" s="83"/>
      <c r="J8" s="84"/>
    </row>
    <row r="9" spans="1:10" ht="13.5" hidden="1" x14ac:dyDescent="0.25">
      <c r="A9" s="79"/>
      <c r="B9" s="67" t="str">
        <f>IFERROR(VLOOKUP(H9,'[1]Consolidado MP Planta'!$A$2:$M$823,3,0),"")</f>
        <v/>
      </c>
      <c r="C9" s="80">
        <f t="shared" ref="C9:C14" si="1">+A9</f>
        <v>0</v>
      </c>
      <c r="D9" s="81" t="str">
        <f>IFERROR(VLOOKUP(H9,'[1]Consolidado MP Planta'!$A$2:$M$823,13,0),"")</f>
        <v/>
      </c>
      <c r="E9" s="81" t="str">
        <f>IFERROR(VLOOKUP(H9,'[1]Consolidado MP Planta'!$A$2:$M$823,12,0),"")</f>
        <v/>
      </c>
      <c r="F9" s="81" t="str">
        <f t="shared" ref="F9:F14" si="2">IFERROR(C9*E9,"")</f>
        <v/>
      </c>
      <c r="G9" s="82" t="str">
        <f t="shared" si="0"/>
        <v/>
      </c>
      <c r="H9" s="83"/>
      <c r="I9" s="83"/>
      <c r="J9" s="84"/>
    </row>
    <row r="10" spans="1:10" ht="13.5" hidden="1" x14ac:dyDescent="0.25">
      <c r="A10" s="79"/>
      <c r="B10" s="67" t="str">
        <f>IFERROR(VLOOKUP(H10,'[1]Consolidado MP Planta'!$A$2:$M$823,3,0),"")</f>
        <v/>
      </c>
      <c r="C10" s="80">
        <f t="shared" si="1"/>
        <v>0</v>
      </c>
      <c r="D10" s="81" t="str">
        <f>IFERROR(VLOOKUP(H10,'[1]Consolidado MP Planta'!$A$2:$M$823,13,0),"")</f>
        <v/>
      </c>
      <c r="E10" s="81" t="str">
        <f>IFERROR(VLOOKUP(H10,'[1]Consolidado MP Planta'!$A$2:$M$823,12,0),"")</f>
        <v/>
      </c>
      <c r="F10" s="81" t="str">
        <f t="shared" si="2"/>
        <v/>
      </c>
      <c r="G10" s="82" t="str">
        <f t="shared" si="0"/>
        <v/>
      </c>
      <c r="H10" s="83"/>
      <c r="I10" s="83"/>
      <c r="J10" s="84"/>
    </row>
    <row r="11" spans="1:10" ht="13.5" hidden="1" x14ac:dyDescent="0.25">
      <c r="A11" s="79"/>
      <c r="B11" s="67" t="str">
        <f>IFERROR(VLOOKUP(H11,'[1]Consolidado MP Planta'!$A$2:$M$823,3,0),"")</f>
        <v/>
      </c>
      <c r="C11" s="80">
        <f t="shared" si="1"/>
        <v>0</v>
      </c>
      <c r="D11" s="81" t="str">
        <f>IFERROR(VLOOKUP(H11,'[1]Consolidado MP Planta'!$A$2:$M$823,13,0),"")</f>
        <v/>
      </c>
      <c r="E11" s="81" t="str">
        <f>IFERROR(VLOOKUP(H11,'[1]Consolidado MP Planta'!$A$2:$M$823,12,0),"")</f>
        <v/>
      </c>
      <c r="F11" s="81" t="str">
        <f t="shared" si="2"/>
        <v/>
      </c>
      <c r="G11" s="82" t="str">
        <f t="shared" si="0"/>
        <v/>
      </c>
      <c r="H11" s="83"/>
      <c r="I11" s="83"/>
      <c r="J11" s="84"/>
    </row>
    <row r="12" spans="1:10" ht="13.5" hidden="1" x14ac:dyDescent="0.25">
      <c r="A12" s="79"/>
      <c r="B12" s="67" t="str">
        <f>IFERROR(VLOOKUP(H12,'[1]Consolidado MP Planta'!$A$2:$M$823,3,0),"")</f>
        <v/>
      </c>
      <c r="C12" s="80">
        <f t="shared" si="1"/>
        <v>0</v>
      </c>
      <c r="D12" s="81" t="str">
        <f>IFERROR(VLOOKUP(H12,'[1]Consolidado MP Planta'!$A$2:$M$823,13,0),"")</f>
        <v/>
      </c>
      <c r="E12" s="81" t="str">
        <f>IFERROR(VLOOKUP(H12,'[1]Consolidado MP Planta'!$A$2:$M$823,12,0),"")</f>
        <v/>
      </c>
      <c r="F12" s="81" t="str">
        <f t="shared" si="2"/>
        <v/>
      </c>
      <c r="G12" s="82" t="str">
        <f t="shared" si="0"/>
        <v/>
      </c>
      <c r="H12" s="83"/>
      <c r="I12" s="83"/>
      <c r="J12" s="84"/>
    </row>
    <row r="13" spans="1:10" ht="13.5" hidden="1" x14ac:dyDescent="0.25">
      <c r="A13" s="79"/>
      <c r="B13" s="67" t="str">
        <f>IFERROR(VLOOKUP(H13,'[1]Consolidado MP Planta'!$A$2:$M$823,3,0),"")</f>
        <v/>
      </c>
      <c r="C13" s="80">
        <f t="shared" si="1"/>
        <v>0</v>
      </c>
      <c r="D13" s="81" t="str">
        <f>IFERROR(VLOOKUP(H13,'[1]Consolidado MP Planta'!$A$2:$M$823,13,0),"")</f>
        <v/>
      </c>
      <c r="E13" s="81" t="str">
        <f>IFERROR(VLOOKUP(H13,'[1]Consolidado MP Planta'!$A$2:$M$823,12,0),"")</f>
        <v/>
      </c>
      <c r="F13" s="81" t="str">
        <f t="shared" si="2"/>
        <v/>
      </c>
      <c r="G13" s="82" t="str">
        <f t="shared" si="0"/>
        <v/>
      </c>
      <c r="H13" s="83"/>
      <c r="I13" s="83"/>
      <c r="J13" s="84"/>
    </row>
    <row r="14" spans="1:10" ht="13.5" hidden="1" x14ac:dyDescent="0.25">
      <c r="A14" s="79"/>
      <c r="B14" s="67" t="str">
        <f>IFERROR(VLOOKUP(H14,'[1]Consolidado MP Planta'!$A$2:$M$823,3,0),"")</f>
        <v/>
      </c>
      <c r="C14" s="80">
        <f t="shared" si="1"/>
        <v>0</v>
      </c>
      <c r="D14" s="81" t="str">
        <f>IFERROR(VLOOKUP(H14,'[1]Consolidado MP Planta'!$A$2:$M$823,13,0),"")</f>
        <v/>
      </c>
      <c r="E14" s="81" t="str">
        <f>IFERROR(VLOOKUP(H14,'[1]Consolidado MP Planta'!$A$2:$M$823,12,0),"")</f>
        <v/>
      </c>
      <c r="F14" s="81" t="str">
        <f t="shared" si="2"/>
        <v/>
      </c>
      <c r="G14" s="82" t="str">
        <f t="shared" si="0"/>
        <v/>
      </c>
      <c r="H14" s="83"/>
      <c r="I14" s="83"/>
      <c r="J14" s="84"/>
    </row>
    <row r="15" spans="1:10" ht="14.25" thickBot="1" x14ac:dyDescent="0.3">
      <c r="A15" s="79"/>
      <c r="B15" s="67" t="str">
        <f>IFERROR(VLOOKUP(H15,'[2]ARTICULOS MP PLANTA'!$A$2:$G$589,2,0),"")</f>
        <v/>
      </c>
      <c r="C15" s="80"/>
      <c r="D15" s="81"/>
      <c r="E15" s="81"/>
      <c r="F15" s="81"/>
      <c r="G15" s="82"/>
      <c r="H15" s="83"/>
      <c r="I15" s="83"/>
      <c r="J15" s="84"/>
    </row>
    <row r="16" spans="1:10" ht="26.25" thickBot="1" x14ac:dyDescent="0.3">
      <c r="A16" s="74" t="s">
        <v>128</v>
      </c>
      <c r="B16" s="75" t="s">
        <v>135</v>
      </c>
      <c r="C16" s="75" t="s">
        <v>128</v>
      </c>
      <c r="D16" s="76" t="s">
        <v>130</v>
      </c>
      <c r="E16" s="76" t="s">
        <v>131</v>
      </c>
      <c r="F16" s="76" t="s">
        <v>132</v>
      </c>
      <c r="G16" s="76" t="s">
        <v>133</v>
      </c>
      <c r="H16" s="77" t="s">
        <v>134</v>
      </c>
      <c r="I16" s="78"/>
      <c r="J16" s="84"/>
    </row>
    <row r="17" spans="1:20" ht="13.5" x14ac:dyDescent="0.25">
      <c r="A17" s="79">
        <v>0.5</v>
      </c>
      <c r="B17" s="67" t="s">
        <v>97</v>
      </c>
      <c r="C17" s="80">
        <f>+A17</f>
        <v>0.5</v>
      </c>
      <c r="D17" s="80" t="s">
        <v>182</v>
      </c>
      <c r="E17" s="81">
        <f>+'Costo Rosquete'!H53</f>
        <v>590.45252633869711</v>
      </c>
      <c r="F17" s="81">
        <f>IFERROR(E17*C17,"")</f>
        <v>295.22626316934856</v>
      </c>
      <c r="G17" s="82">
        <f t="shared" ref="G17:G24" si="3">IFERROR(F17/$F$66,"")</f>
        <v>9.6680796395472002E-2</v>
      </c>
      <c r="H17" s="83" t="s">
        <v>96</v>
      </c>
      <c r="I17" s="83"/>
      <c r="J17" s="84"/>
    </row>
    <row r="18" spans="1:20" ht="13.5" x14ac:dyDescent="0.25">
      <c r="A18" s="79">
        <v>280</v>
      </c>
      <c r="B18" s="67" t="s">
        <v>99</v>
      </c>
      <c r="C18" s="80">
        <f t="shared" ref="C18:C24" si="4">+A18</f>
        <v>280</v>
      </c>
      <c r="D18" s="80" t="s">
        <v>177</v>
      </c>
      <c r="E18" s="81">
        <f>+'costo Mouse Queso'!E66</f>
        <v>2.4780588235294116</v>
      </c>
      <c r="F18" s="81">
        <f t="shared" ref="F18:F24" si="5">IFERROR(E18*C18,"")</f>
        <v>693.85647058823531</v>
      </c>
      <c r="G18" s="82">
        <f t="shared" si="3"/>
        <v>0.2272243513855062</v>
      </c>
      <c r="H18" s="83" t="s">
        <v>184</v>
      </c>
      <c r="I18" s="83"/>
      <c r="J18" s="84"/>
    </row>
    <row r="19" spans="1:20" ht="13.5" x14ac:dyDescent="0.25">
      <c r="A19" s="79">
        <v>245</v>
      </c>
      <c r="B19" s="67" t="s">
        <v>104</v>
      </c>
      <c r="C19" s="80">
        <f>+A19</f>
        <v>245</v>
      </c>
      <c r="D19" s="80" t="s">
        <v>177</v>
      </c>
      <c r="E19" s="81">
        <v>2.64</v>
      </c>
      <c r="F19" s="81">
        <f>IFERROR(E19*C19,"")</f>
        <v>646.80000000000007</v>
      </c>
      <c r="G19" s="82">
        <f t="shared" si="3"/>
        <v>0.21181428250074369</v>
      </c>
      <c r="H19" s="83" t="s">
        <v>103</v>
      </c>
      <c r="I19" s="83"/>
      <c r="J19" s="84"/>
    </row>
    <row r="20" spans="1:20" ht="13.5" hidden="1" x14ac:dyDescent="0.25">
      <c r="A20" s="79"/>
      <c r="B20" s="67" t="str">
        <f>IFERROR(VLOOKUP(H20,[1]SEMIELABORADOS!$A$2:$M$6000,2,0),"")</f>
        <v/>
      </c>
      <c r="C20" s="80">
        <f>+A20</f>
        <v>0</v>
      </c>
      <c r="D20" s="80" t="str">
        <f>IFERROR(VLOOKUP(H20,[1]SEMIELABORADOS!$A$2:$M$6000,6,0),"")</f>
        <v/>
      </c>
      <c r="E20" s="81" t="str">
        <f>IFERROR(VLOOKUP(H20,[1]SEMIELABORADOS!$A$2:$H$65536,8,0),"")</f>
        <v/>
      </c>
      <c r="F20" s="81" t="str">
        <f>IFERROR(E20*C20,"")</f>
        <v/>
      </c>
      <c r="G20" s="82" t="str">
        <f t="shared" si="3"/>
        <v/>
      </c>
      <c r="H20" s="83"/>
      <c r="I20" s="83"/>
      <c r="J20" s="84"/>
    </row>
    <row r="21" spans="1:20" ht="13.5" hidden="1" x14ac:dyDescent="0.25">
      <c r="A21" s="79"/>
      <c r="B21" s="67" t="str">
        <f>IFERROR(VLOOKUP(H21,[1]SEMIELABORADOS!$A$2:$M$6000,2,0),"")</f>
        <v/>
      </c>
      <c r="C21" s="80">
        <f>+A21</f>
        <v>0</v>
      </c>
      <c r="D21" s="80" t="str">
        <f>IFERROR(VLOOKUP(H21,[1]SEMIELABORADOS!$A$2:$M$6000,6,0),"")</f>
        <v/>
      </c>
      <c r="E21" s="81" t="str">
        <f>IFERROR(VLOOKUP(H21,[1]SEMIELABORADOS!$A$2:$H$65536,8,0),"")</f>
        <v/>
      </c>
      <c r="F21" s="81" t="str">
        <f>IFERROR(E21*C21,"")</f>
        <v/>
      </c>
      <c r="G21" s="82" t="str">
        <f t="shared" si="3"/>
        <v/>
      </c>
      <c r="H21" s="83"/>
      <c r="I21" s="83"/>
      <c r="J21" s="84"/>
    </row>
    <row r="22" spans="1:20" ht="13.5" hidden="1" x14ac:dyDescent="0.25">
      <c r="A22" s="79"/>
      <c r="B22" s="67" t="str">
        <f>IFERROR(VLOOKUP(H22,[1]SEMIELABORADOS!$A$2:$M$6000,2,0),"")</f>
        <v/>
      </c>
      <c r="C22" s="80">
        <f t="shared" si="4"/>
        <v>0</v>
      </c>
      <c r="D22" s="80" t="str">
        <f>IFERROR(VLOOKUP(H22,[1]SEMIELABORADOS!$A$2:$M$6000,6,0),"")</f>
        <v/>
      </c>
      <c r="E22" s="81" t="str">
        <f>IFERROR(VLOOKUP(H22,[1]SEMIELABORADOS!$A$2:$H$65536,8,0),"")</f>
        <v/>
      </c>
      <c r="F22" s="81" t="str">
        <f t="shared" si="5"/>
        <v/>
      </c>
      <c r="G22" s="82" t="str">
        <f t="shared" si="3"/>
        <v/>
      </c>
      <c r="H22" s="83"/>
      <c r="I22" s="83"/>
      <c r="J22" s="84"/>
    </row>
    <row r="23" spans="1:20" ht="13.5" hidden="1" x14ac:dyDescent="0.25">
      <c r="A23" s="79"/>
      <c r="B23" s="67" t="str">
        <f>IFERROR(VLOOKUP(H23,[1]SEMIELABORADOS!$A$2:$M$6000,2,0),"")</f>
        <v/>
      </c>
      <c r="C23" s="80">
        <f t="shared" si="4"/>
        <v>0</v>
      </c>
      <c r="D23" s="80" t="str">
        <f>IFERROR(VLOOKUP(H23,[1]SEMIELABORADOS!$A$2:$M$6000,6,0),"")</f>
        <v/>
      </c>
      <c r="E23" s="81" t="str">
        <f>IFERROR(VLOOKUP(H23,[1]SEMIELABORADOS!$A$2:$H$65536,8,0),"")</f>
        <v/>
      </c>
      <c r="F23" s="81" t="str">
        <f t="shared" si="5"/>
        <v/>
      </c>
      <c r="G23" s="82" t="str">
        <f t="shared" si="3"/>
        <v/>
      </c>
      <c r="H23" s="83"/>
      <c r="I23" s="83"/>
      <c r="J23" s="84"/>
    </row>
    <row r="24" spans="1:20" ht="13.5" hidden="1" x14ac:dyDescent="0.25">
      <c r="A24" s="79"/>
      <c r="B24" s="67" t="str">
        <f>IFERROR(VLOOKUP(H24,[1]SEMIELABORADOS!$A$2:$M$6000,2,0),"")</f>
        <v/>
      </c>
      <c r="C24" s="80">
        <f t="shared" si="4"/>
        <v>0</v>
      </c>
      <c r="D24" s="80" t="str">
        <f>IFERROR(VLOOKUP(H24,[1]SEMIELABORADOS!$A$2:$M$6000,6,0),"")</f>
        <v/>
      </c>
      <c r="E24" s="81" t="str">
        <f>IFERROR(VLOOKUP(H24,[1]SEMIELABORADOS!$A$2:$H$65536,8,0),"")</f>
        <v/>
      </c>
      <c r="F24" s="81" t="str">
        <f t="shared" si="5"/>
        <v/>
      </c>
      <c r="G24" s="82" t="str">
        <f t="shared" si="3"/>
        <v/>
      </c>
      <c r="H24" s="83"/>
      <c r="I24" s="83"/>
      <c r="J24" s="84"/>
    </row>
    <row r="25" spans="1:20" ht="14.25" thickBot="1" x14ac:dyDescent="0.3">
      <c r="A25" s="79"/>
      <c r="C25" s="80"/>
      <c r="D25" s="80"/>
      <c r="E25" s="81"/>
      <c r="F25" s="81"/>
      <c r="G25" s="82"/>
      <c r="H25" s="83"/>
      <c r="I25" s="83"/>
      <c r="J25" s="84"/>
    </row>
    <row r="26" spans="1:20" ht="26.25" thickBot="1" x14ac:dyDescent="0.3">
      <c r="A26" s="74" t="s">
        <v>128</v>
      </c>
      <c r="B26" s="75" t="s">
        <v>71</v>
      </c>
      <c r="C26" s="75" t="s">
        <v>128</v>
      </c>
      <c r="D26" s="76" t="s">
        <v>130</v>
      </c>
      <c r="E26" s="76" t="s">
        <v>131</v>
      </c>
      <c r="F26" s="76" t="s">
        <v>132</v>
      </c>
      <c r="G26" s="76" t="s">
        <v>133</v>
      </c>
      <c r="H26" s="77" t="s">
        <v>134</v>
      </c>
      <c r="I26" s="78"/>
    </row>
    <row r="27" spans="1:20" ht="13.5" x14ac:dyDescent="0.25">
      <c r="A27" s="79">
        <v>1</v>
      </c>
      <c r="B27" s="85" t="s">
        <v>109</v>
      </c>
      <c r="C27" s="80">
        <f t="shared" ref="C27:C32" si="6">+A27</f>
        <v>1</v>
      </c>
      <c r="D27" s="81" t="s">
        <v>183</v>
      </c>
      <c r="E27" s="81">
        <v>245.63</v>
      </c>
      <c r="F27" s="81">
        <f t="shared" ref="F27:F32" si="7">IFERROR(C27*E27,"")</f>
        <v>245.63</v>
      </c>
      <c r="G27" s="82">
        <f t="shared" ref="G27:G32" si="8">IFERROR(F27/$F$66,"")</f>
        <v>8.0438995378258604E-2</v>
      </c>
      <c r="H27" s="86" t="s">
        <v>15</v>
      </c>
      <c r="I27" s="86"/>
      <c r="J27" s="84"/>
      <c r="K27" s="575"/>
      <c r="L27" s="575"/>
    </row>
    <row r="28" spans="1:20" ht="13.5" x14ac:dyDescent="0.25">
      <c r="A28" s="79">
        <v>1</v>
      </c>
      <c r="B28" s="85" t="s">
        <v>117</v>
      </c>
      <c r="C28" s="80">
        <f t="shared" si="6"/>
        <v>1</v>
      </c>
      <c r="D28" s="81" t="s">
        <v>183</v>
      </c>
      <c r="E28" s="81">
        <v>85</v>
      </c>
      <c r="F28" s="81">
        <f t="shared" si="7"/>
        <v>85</v>
      </c>
      <c r="G28" s="82">
        <f t="shared" si="8"/>
        <v>2.783582871453805E-2</v>
      </c>
      <c r="H28" s="86" t="s">
        <v>15</v>
      </c>
      <c r="I28" s="86"/>
      <c r="J28" s="84"/>
      <c r="K28" s="575"/>
      <c r="L28" s="575"/>
      <c r="M28" s="67" t="s">
        <v>185</v>
      </c>
    </row>
    <row r="29" spans="1:20" ht="13.5" x14ac:dyDescent="0.25">
      <c r="A29" s="79">
        <v>1</v>
      </c>
      <c r="B29" s="85" t="s">
        <v>43</v>
      </c>
      <c r="C29" s="80">
        <f t="shared" si="6"/>
        <v>1</v>
      </c>
      <c r="D29" s="81" t="s">
        <v>183</v>
      </c>
      <c r="E29" s="81">
        <v>1.74</v>
      </c>
      <c r="F29" s="81">
        <f t="shared" si="7"/>
        <v>1.74</v>
      </c>
      <c r="G29" s="82">
        <f t="shared" si="8"/>
        <v>5.6981578780348477E-4</v>
      </c>
      <c r="H29" s="86" t="s">
        <v>42</v>
      </c>
      <c r="I29" s="86"/>
      <c r="J29" s="84"/>
      <c r="K29" s="575"/>
      <c r="L29" s="575"/>
    </row>
    <row r="30" spans="1:20" ht="13.5" x14ac:dyDescent="0.25">
      <c r="A30" s="79">
        <v>1</v>
      </c>
      <c r="B30" s="85" t="s">
        <v>111</v>
      </c>
      <c r="C30" s="80">
        <f t="shared" si="6"/>
        <v>1</v>
      </c>
      <c r="D30" s="81" t="s">
        <v>183</v>
      </c>
      <c r="E30" s="81">
        <v>0</v>
      </c>
      <c r="F30" s="81">
        <f t="shared" si="7"/>
        <v>0</v>
      </c>
      <c r="G30" s="82">
        <f t="shared" si="8"/>
        <v>0</v>
      </c>
      <c r="H30" s="86" t="s">
        <v>110</v>
      </c>
      <c r="I30" s="86"/>
      <c r="J30" s="84"/>
      <c r="K30" s="575"/>
      <c r="L30" s="575"/>
      <c r="T30" s="67">
        <f>24562.62/100</f>
        <v>245.62619999999998</v>
      </c>
    </row>
    <row r="31" spans="1:20" ht="13.5" x14ac:dyDescent="0.25">
      <c r="A31" s="79">
        <v>1</v>
      </c>
      <c r="B31" s="85" t="s">
        <v>114</v>
      </c>
      <c r="C31" s="80">
        <f t="shared" si="6"/>
        <v>1</v>
      </c>
      <c r="D31" s="81" t="s">
        <v>183</v>
      </c>
      <c r="E31" s="81">
        <v>0.39</v>
      </c>
      <c r="F31" s="81">
        <f t="shared" si="7"/>
        <v>0.39</v>
      </c>
      <c r="G31" s="82">
        <f t="shared" si="8"/>
        <v>1.2771733174905695E-4</v>
      </c>
      <c r="H31" s="86" t="s">
        <v>113</v>
      </c>
      <c r="I31" s="86"/>
      <c r="J31" s="84"/>
      <c r="K31" s="87"/>
      <c r="L31" s="88"/>
    </row>
    <row r="32" spans="1:20" ht="13.5" x14ac:dyDescent="0.25">
      <c r="A32" s="79">
        <v>1</v>
      </c>
      <c r="B32" s="85" t="s">
        <v>116</v>
      </c>
      <c r="C32" s="80">
        <f t="shared" si="6"/>
        <v>1</v>
      </c>
      <c r="D32" s="81" t="s">
        <v>183</v>
      </c>
      <c r="E32" s="81">
        <v>2.13</v>
      </c>
      <c r="F32" s="81">
        <f t="shared" si="7"/>
        <v>2.13</v>
      </c>
      <c r="G32" s="82">
        <f t="shared" si="8"/>
        <v>6.9753311955254166E-4</v>
      </c>
      <c r="H32" s="86" t="s">
        <v>115</v>
      </c>
      <c r="I32" s="86"/>
      <c r="J32" s="84"/>
    </row>
    <row r="33" spans="1:13" ht="14.25" thickBot="1" x14ac:dyDescent="0.3">
      <c r="A33" s="79"/>
      <c r="B33" s="85"/>
      <c r="C33" s="80"/>
      <c r="D33" s="81"/>
      <c r="E33" s="81"/>
      <c r="F33" s="81"/>
      <c r="G33" s="82"/>
      <c r="H33" s="86"/>
      <c r="I33" s="86"/>
      <c r="J33" s="84"/>
    </row>
    <row r="34" spans="1:13" ht="26.25" thickBot="1" x14ac:dyDescent="0.25">
      <c r="A34" s="74" t="s">
        <v>128</v>
      </c>
      <c r="B34" s="75" t="s">
        <v>136</v>
      </c>
      <c r="C34" s="75" t="s">
        <v>128</v>
      </c>
      <c r="D34" s="76" t="s">
        <v>130</v>
      </c>
      <c r="E34" s="76" t="s">
        <v>131</v>
      </c>
      <c r="F34" s="76" t="s">
        <v>132</v>
      </c>
      <c r="G34" s="76" t="s">
        <v>133</v>
      </c>
      <c r="H34" s="77" t="s">
        <v>134</v>
      </c>
      <c r="I34" s="86"/>
      <c r="J34" s="84"/>
    </row>
    <row r="35" spans="1:13" ht="13.5" x14ac:dyDescent="0.25">
      <c r="A35" s="79">
        <f>+A17</f>
        <v>0.5</v>
      </c>
      <c r="B35" s="85" t="s">
        <v>97</v>
      </c>
      <c r="C35" s="80">
        <f>+A35</f>
        <v>0.5</v>
      </c>
      <c r="D35" s="81" t="s">
        <v>183</v>
      </c>
      <c r="E35" s="81">
        <f>+'Costo Rosquete'!E76</f>
        <v>1.3054700854700856E-2</v>
      </c>
      <c r="F35" s="81">
        <f>IFERROR(E35*C35,"")</f>
        <v>6.527350427350428E-3</v>
      </c>
      <c r="G35" s="82">
        <f t="shared" ref="G35:G41" si="9">IFERROR(F35/$F$66,"")</f>
        <v>2.137578923005803E-6</v>
      </c>
      <c r="H35" s="83" t="s">
        <v>96</v>
      </c>
      <c r="I35" s="86"/>
      <c r="J35" s="84"/>
    </row>
    <row r="36" spans="1:13" ht="13.5" x14ac:dyDescent="0.25">
      <c r="A36" s="79">
        <f t="shared" ref="A36:A41" si="10">+A18</f>
        <v>280</v>
      </c>
      <c r="B36" s="67" t="s">
        <v>99</v>
      </c>
      <c r="C36" s="80">
        <f t="shared" ref="C36:C41" si="11">+A36</f>
        <v>280</v>
      </c>
      <c r="D36" s="81" t="s">
        <v>177</v>
      </c>
      <c r="E36" s="81">
        <f>+'costo Mouse Queso'!E73</f>
        <v>2.9411764705882353E-3</v>
      </c>
      <c r="F36" s="81">
        <f t="shared" ref="F36:F41" si="12">IFERROR(E36*C36,"")</f>
        <v>0.82352941176470584</v>
      </c>
      <c r="G36" s="82">
        <f t="shared" si="9"/>
        <v>2.6968968996784267E-4</v>
      </c>
      <c r="H36" s="86"/>
      <c r="I36" s="86"/>
      <c r="J36" s="84"/>
    </row>
    <row r="37" spans="1:13" ht="13.5" x14ac:dyDescent="0.25">
      <c r="A37" s="79">
        <f t="shared" si="10"/>
        <v>245</v>
      </c>
      <c r="B37" s="85" t="s">
        <v>104</v>
      </c>
      <c r="C37" s="80">
        <f t="shared" si="11"/>
        <v>245</v>
      </c>
      <c r="D37" s="81" t="s">
        <v>177</v>
      </c>
      <c r="E37" s="81">
        <v>0.01</v>
      </c>
      <c r="F37" s="81">
        <f t="shared" si="12"/>
        <v>2.4500000000000002</v>
      </c>
      <c r="G37" s="82">
        <f t="shared" si="9"/>
        <v>8.0232682765433213E-4</v>
      </c>
      <c r="H37" s="86" t="s">
        <v>103</v>
      </c>
      <c r="I37" s="86"/>
      <c r="J37" s="84"/>
    </row>
    <row r="38" spans="1:13" ht="13.5" hidden="1" x14ac:dyDescent="0.25">
      <c r="A38" s="79">
        <f t="shared" si="10"/>
        <v>0</v>
      </c>
      <c r="B38" s="85" t="str">
        <f>IFERROR(VLOOKUP(H38,[1]SEMIELABORADOS!$A$2:$M$6000,2,0),"")</f>
        <v/>
      </c>
      <c r="C38" s="80">
        <f>+A38</f>
        <v>0</v>
      </c>
      <c r="D38" s="81" t="str">
        <f>IFERROR(VLOOKUP(H38,[1]SEMIELABORADOS!$A$2:$M$6000,6,0),"")</f>
        <v/>
      </c>
      <c r="E38" s="81" t="str">
        <f>IFERROR(VLOOKUP(H38,[1]SEMIELABORADOS!$A$2:$M$65536,10,0),"")</f>
        <v/>
      </c>
      <c r="F38" s="81" t="str">
        <f>IFERROR(E38*C38,"")</f>
        <v/>
      </c>
      <c r="G38" s="82" t="str">
        <f t="shared" si="9"/>
        <v/>
      </c>
      <c r="H38" s="86"/>
      <c r="I38" s="86"/>
      <c r="J38" s="84"/>
    </row>
    <row r="39" spans="1:13" ht="13.5" hidden="1" x14ac:dyDescent="0.25">
      <c r="A39" s="79">
        <f t="shared" si="10"/>
        <v>0</v>
      </c>
      <c r="B39" s="85" t="str">
        <f>IFERROR(VLOOKUP(H39,[1]SEMIELABORADOS!$A$2:$M$6000,2,0),"")</f>
        <v/>
      </c>
      <c r="C39" s="80">
        <f>+A39</f>
        <v>0</v>
      </c>
      <c r="D39" s="81" t="str">
        <f>IFERROR(VLOOKUP(H39,[1]SEMIELABORADOS!$A$2:$M$6000,6,0),"")</f>
        <v/>
      </c>
      <c r="E39" s="81" t="str">
        <f>IFERROR(VLOOKUP(H39,[1]SEMIELABORADOS!$A$2:$M$65536,10,0),"")</f>
        <v/>
      </c>
      <c r="F39" s="81" t="str">
        <f>IFERROR(E39*C39,"")</f>
        <v/>
      </c>
      <c r="G39" s="82" t="str">
        <f t="shared" si="9"/>
        <v/>
      </c>
      <c r="H39" s="86"/>
      <c r="I39" s="86"/>
      <c r="J39" s="84"/>
    </row>
    <row r="40" spans="1:13" ht="13.5" hidden="1" x14ac:dyDescent="0.25">
      <c r="A40" s="79">
        <f t="shared" si="10"/>
        <v>0</v>
      </c>
      <c r="B40" s="85" t="str">
        <f>IFERROR(VLOOKUP(H40,[1]SEMIELABORADOS!$A$2:$M$6000,2,0),"")</f>
        <v/>
      </c>
      <c r="C40" s="80">
        <f t="shared" si="11"/>
        <v>0</v>
      </c>
      <c r="D40" s="81" t="str">
        <f>IFERROR(VLOOKUP(H40,[1]SEMIELABORADOS!$A$2:$M$6000,6,0),"")</f>
        <v/>
      </c>
      <c r="E40" s="81" t="str">
        <f>IFERROR(VLOOKUP(H40,[1]SEMIELABORADOS!$A$2:$M$65536,10,0),"")</f>
        <v/>
      </c>
      <c r="F40" s="81" t="str">
        <f t="shared" si="12"/>
        <v/>
      </c>
      <c r="G40" s="82" t="str">
        <f t="shared" si="9"/>
        <v/>
      </c>
      <c r="H40" s="86"/>
      <c r="I40" s="86"/>
      <c r="J40" s="84"/>
    </row>
    <row r="41" spans="1:13" ht="13.5" hidden="1" x14ac:dyDescent="0.25">
      <c r="A41" s="79">
        <f t="shared" si="10"/>
        <v>0</v>
      </c>
      <c r="B41" s="85" t="str">
        <f>IFERROR(VLOOKUP(H41,[1]SEMIELABORADOS!$A$2:$M$6000,2,0),"")</f>
        <v/>
      </c>
      <c r="C41" s="80">
        <f t="shared" si="11"/>
        <v>0</v>
      </c>
      <c r="D41" s="81" t="str">
        <f>IFERROR(VLOOKUP(H41,[1]SEMIELABORADOS!$A$2:$M$6000,6,0),"")</f>
        <v/>
      </c>
      <c r="E41" s="81" t="str">
        <f>IFERROR(VLOOKUP(H41,[1]SEMIELABORADOS!$A$2:$M$65536,10,0),"")</f>
        <v/>
      </c>
      <c r="F41" s="81" t="str">
        <f t="shared" si="12"/>
        <v/>
      </c>
      <c r="G41" s="82" t="str">
        <f t="shared" si="9"/>
        <v/>
      </c>
      <c r="H41" s="86"/>
      <c r="I41" s="86"/>
      <c r="J41" s="84"/>
    </row>
    <row r="42" spans="1:13" ht="14.25" thickBot="1" x14ac:dyDescent="0.3">
      <c r="A42" s="79"/>
      <c r="B42" s="85"/>
      <c r="C42" s="80"/>
      <c r="D42" s="81"/>
      <c r="E42" s="81"/>
      <c r="F42" s="81"/>
      <c r="G42" s="82"/>
      <c r="H42" s="86"/>
      <c r="I42" s="86"/>
      <c r="J42" s="84"/>
    </row>
    <row r="43" spans="1:13" ht="26.25" thickBot="1" x14ac:dyDescent="0.3">
      <c r="A43" s="74" t="s">
        <v>128</v>
      </c>
      <c r="B43" s="75" t="s">
        <v>137</v>
      </c>
      <c r="C43" s="75" t="s">
        <v>128</v>
      </c>
      <c r="D43" s="76" t="s">
        <v>130</v>
      </c>
      <c r="E43" s="76" t="s">
        <v>131</v>
      </c>
      <c r="F43" s="76" t="s">
        <v>132</v>
      </c>
      <c r="G43" s="76" t="s">
        <v>133</v>
      </c>
      <c r="H43" s="77" t="s">
        <v>134</v>
      </c>
      <c r="I43" s="78"/>
      <c r="J43" s="84"/>
    </row>
    <row r="44" spans="1:13" ht="13.5" x14ac:dyDescent="0.25">
      <c r="A44" s="79">
        <f>+A35</f>
        <v>0.5</v>
      </c>
      <c r="B44" s="85" t="s">
        <v>97</v>
      </c>
      <c r="C44" s="80">
        <f>+A44</f>
        <v>0.5</v>
      </c>
      <c r="D44" s="81" t="s">
        <v>183</v>
      </c>
      <c r="E44" s="81">
        <f>+'Costo Rosquete'!E74</f>
        <v>0.15786986187385588</v>
      </c>
      <c r="F44" s="81">
        <f>IFERROR(E44*C44,"")</f>
        <v>7.8934930936927938E-2</v>
      </c>
      <c r="G44" s="82">
        <f>IFERROR(F44/$F$66,"")</f>
        <v>2.5849637848873135E-5</v>
      </c>
      <c r="H44" s="83" t="s">
        <v>96</v>
      </c>
      <c r="I44" s="78"/>
      <c r="J44" s="84"/>
    </row>
    <row r="45" spans="1:13" ht="13.5" x14ac:dyDescent="0.25">
      <c r="A45" s="79">
        <f t="shared" ref="A45:A50" si="13">+A36</f>
        <v>280</v>
      </c>
      <c r="B45" s="67" t="s">
        <v>99</v>
      </c>
      <c r="C45" s="80">
        <f t="shared" ref="C45:C50" si="14">+A45</f>
        <v>280</v>
      </c>
      <c r="D45" s="81" t="s">
        <v>177</v>
      </c>
      <c r="E45" s="81">
        <f>+'costo Mouse Queso'!E71</f>
        <v>5.4117647058823527E-2</v>
      </c>
      <c r="F45" s="81">
        <f t="shared" ref="F45:F50" si="15">IFERROR(E45*C45,"")</f>
        <v>15.152941176470588</v>
      </c>
      <c r="G45" s="82">
        <f t="shared" ref="G45:G50" si="16">IFERROR(F45/$F$66,"")</f>
        <v>4.9622902954083057E-3</v>
      </c>
      <c r="H45" s="86"/>
      <c r="I45" s="78"/>
      <c r="J45" s="84"/>
      <c r="M45" s="89"/>
    </row>
    <row r="46" spans="1:13" ht="13.5" x14ac:dyDescent="0.25">
      <c r="A46" s="79">
        <f t="shared" si="13"/>
        <v>245</v>
      </c>
      <c r="B46" s="85" t="s">
        <v>104</v>
      </c>
      <c r="C46" s="80">
        <f t="shared" si="14"/>
        <v>245</v>
      </c>
      <c r="D46" s="81" t="s">
        <v>177</v>
      </c>
      <c r="E46" s="81">
        <v>7.0000000000000007E-2</v>
      </c>
      <c r="F46" s="81">
        <f t="shared" si="15"/>
        <v>17.150000000000002</v>
      </c>
      <c r="G46" s="82">
        <f t="shared" si="16"/>
        <v>5.6162877935803249E-3</v>
      </c>
      <c r="H46" s="86" t="s">
        <v>103</v>
      </c>
      <c r="I46" s="78"/>
      <c r="J46" s="84"/>
    </row>
    <row r="47" spans="1:13" ht="13.5" hidden="1" x14ac:dyDescent="0.25">
      <c r="A47" s="79">
        <f t="shared" si="13"/>
        <v>0</v>
      </c>
      <c r="B47" s="85" t="str">
        <f>IFERROR(VLOOKUP(H47,[1]SEMIELABORADOS!$A$2:$M$6000,2,0),"")</f>
        <v/>
      </c>
      <c r="C47" s="80">
        <f t="shared" si="14"/>
        <v>0</v>
      </c>
      <c r="D47" s="81" t="str">
        <f>IFERROR(VLOOKUP(H47,[1]SEMIELABORADOS!$A$2:$M$6000,6,0),"")</f>
        <v/>
      </c>
      <c r="E47" s="81" t="str">
        <f>IFERROR(VLOOKUP(H47,[1]SEMIELABORADOS!$A$2:$M$65536,12,0),"")</f>
        <v/>
      </c>
      <c r="F47" s="81" t="str">
        <f t="shared" si="15"/>
        <v/>
      </c>
      <c r="G47" s="82" t="str">
        <f t="shared" si="16"/>
        <v/>
      </c>
      <c r="H47" s="86"/>
      <c r="I47" s="78"/>
      <c r="J47" s="84"/>
    </row>
    <row r="48" spans="1:13" ht="13.5" hidden="1" x14ac:dyDescent="0.25">
      <c r="A48" s="79">
        <f t="shared" si="13"/>
        <v>0</v>
      </c>
      <c r="B48" s="85" t="str">
        <f>IFERROR(VLOOKUP(H48,[1]SEMIELABORADOS!$A$2:$M$6000,2,0),"")</f>
        <v/>
      </c>
      <c r="C48" s="80">
        <f t="shared" si="14"/>
        <v>0</v>
      </c>
      <c r="D48" s="81" t="str">
        <f>IFERROR(VLOOKUP(H48,[1]SEMIELABORADOS!$A$2:$M$6000,6,0),"")</f>
        <v/>
      </c>
      <c r="E48" s="81" t="str">
        <f>IFERROR(VLOOKUP(H48,[1]SEMIELABORADOS!$A$2:$M$65536,12,0),"")</f>
        <v/>
      </c>
      <c r="F48" s="81" t="str">
        <f t="shared" si="15"/>
        <v/>
      </c>
      <c r="G48" s="82" t="str">
        <f t="shared" si="16"/>
        <v/>
      </c>
      <c r="H48" s="86"/>
      <c r="I48" s="78"/>
      <c r="J48" s="84"/>
    </row>
    <row r="49" spans="1:17" ht="13.5" hidden="1" x14ac:dyDescent="0.25">
      <c r="A49" s="79">
        <f t="shared" si="13"/>
        <v>0</v>
      </c>
      <c r="B49" s="85" t="str">
        <f>IFERROR(VLOOKUP(H49,[1]SEMIELABORADOS!$A$2:$M$6000,2,0),"")</f>
        <v/>
      </c>
      <c r="C49" s="80">
        <f t="shared" si="14"/>
        <v>0</v>
      </c>
      <c r="D49" s="81" t="str">
        <f>IFERROR(VLOOKUP(H49,[1]SEMIELABORADOS!$A$2:$M$6000,6,0),"")</f>
        <v/>
      </c>
      <c r="E49" s="81" t="str">
        <f>IFERROR(VLOOKUP(H49,[1]SEMIELABORADOS!$A$2:$M$65536,12,0),"")</f>
        <v/>
      </c>
      <c r="F49" s="81" t="str">
        <f t="shared" si="15"/>
        <v/>
      </c>
      <c r="G49" s="82" t="str">
        <f t="shared" si="16"/>
        <v/>
      </c>
      <c r="H49" s="86"/>
      <c r="I49" s="78"/>
      <c r="J49" s="84"/>
    </row>
    <row r="50" spans="1:17" ht="13.5" hidden="1" x14ac:dyDescent="0.25">
      <c r="A50" s="79">
        <f t="shared" si="13"/>
        <v>0</v>
      </c>
      <c r="B50" s="85" t="str">
        <f>IFERROR(VLOOKUP(H50,[1]SEMIELABORADOS!$A$2:$M$6000,2,0),"")</f>
        <v/>
      </c>
      <c r="C50" s="80">
        <f t="shared" si="14"/>
        <v>0</v>
      </c>
      <c r="D50" s="81" t="str">
        <f>IFERROR(VLOOKUP(H50,[1]SEMIELABORADOS!$A$2:$M$6000,6,0),"")</f>
        <v/>
      </c>
      <c r="E50" s="81" t="str">
        <f>IFERROR(VLOOKUP(H50,[1]SEMIELABORADOS!$A$2:$M$65536,12,0),"")</f>
        <v/>
      </c>
      <c r="F50" s="81" t="str">
        <f t="shared" si="15"/>
        <v/>
      </c>
      <c r="G50" s="82" t="str">
        <f t="shared" si="16"/>
        <v/>
      </c>
      <c r="H50" s="85"/>
      <c r="I50" s="78"/>
      <c r="J50" s="84"/>
    </row>
    <row r="51" spans="1:17" ht="13.5" x14ac:dyDescent="0.25">
      <c r="A51" s="79">
        <v>1</v>
      </c>
      <c r="B51" s="85" t="s">
        <v>138</v>
      </c>
      <c r="C51" s="80">
        <f>+A51</f>
        <v>1</v>
      </c>
      <c r="D51" s="80" t="s">
        <v>139</v>
      </c>
      <c r="E51" s="81">
        <f>+F65</f>
        <v>616</v>
      </c>
      <c r="F51" s="81">
        <f>IFERROR(C51*E51,"")</f>
        <v>616</v>
      </c>
      <c r="G51" s="82">
        <f>IFERROR(F51/$F$66,"")</f>
        <v>0.20172788809594636</v>
      </c>
      <c r="H51" s="90"/>
      <c r="I51" s="90"/>
      <c r="J51" s="84"/>
    </row>
    <row r="52" spans="1:17" ht="14.25" thickBot="1" x14ac:dyDescent="0.3">
      <c r="A52" s="79"/>
      <c r="B52" s="85"/>
      <c r="C52" s="80"/>
      <c r="D52" s="80"/>
      <c r="E52" s="81"/>
      <c r="F52" s="81"/>
      <c r="G52" s="82"/>
      <c r="H52" s="90"/>
      <c r="I52" s="90"/>
      <c r="J52" s="84"/>
    </row>
    <row r="53" spans="1:17" ht="13.5" thickBot="1" x14ac:dyDescent="0.3">
      <c r="A53" s="91"/>
      <c r="B53" s="585" t="s">
        <v>140</v>
      </c>
      <c r="C53" s="585"/>
      <c r="D53" s="585"/>
      <c r="E53" s="585"/>
      <c r="F53" s="93">
        <f>SUM(F8:F14,F17:F24)</f>
        <v>2058.2827337575841</v>
      </c>
      <c r="G53" s="82">
        <f>+F53/$F$66</f>
        <v>0.6740471249760851</v>
      </c>
      <c r="H53" s="94">
        <f>+F53/$D$60</f>
        <v>2058.2827337575841</v>
      </c>
      <c r="I53" s="94"/>
      <c r="J53" s="95"/>
      <c r="K53" s="96"/>
      <c r="L53" s="96"/>
      <c r="M53" s="96"/>
      <c r="N53" s="96"/>
      <c r="O53" s="96"/>
      <c r="P53" s="96"/>
      <c r="Q53" s="97"/>
    </row>
    <row r="54" spans="1:17" x14ac:dyDescent="0.2">
      <c r="A54" s="91"/>
      <c r="B54" s="585" t="s">
        <v>141</v>
      </c>
      <c r="C54" s="585"/>
      <c r="D54" s="585"/>
      <c r="E54" s="585"/>
      <c r="F54" s="93">
        <f>SUM(F27:F32,F35:F41)</f>
        <v>338.17005676219202</v>
      </c>
      <c r="G54" s="82">
        <f>+F54/$F$66</f>
        <v>0.1107440444284469</v>
      </c>
      <c r="H54" s="94">
        <f>+F54/$D$60</f>
        <v>338.17005676219202</v>
      </c>
      <c r="I54" s="94"/>
      <c r="J54" s="98"/>
      <c r="K54" s="586" t="s">
        <v>142</v>
      </c>
      <c r="L54" s="587"/>
      <c r="M54" s="587"/>
      <c r="N54" s="587"/>
      <c r="O54" s="99">
        <f>+F55</f>
        <v>2396.452790519776</v>
      </c>
      <c r="P54" s="99"/>
      <c r="Q54" s="100"/>
    </row>
    <row r="55" spans="1:17" x14ac:dyDescent="0.2">
      <c r="A55" s="91"/>
      <c r="B55" s="585" t="s">
        <v>143</v>
      </c>
      <c r="C55" s="585"/>
      <c r="D55" s="585"/>
      <c r="E55" s="585"/>
      <c r="F55" s="93">
        <f>+F53+F54</f>
        <v>2396.452790519776</v>
      </c>
      <c r="G55" s="82">
        <f>+F55/$F$66</f>
        <v>0.78479116940453197</v>
      </c>
      <c r="H55" s="94">
        <f>+F55/$D$60</f>
        <v>2396.452790519776</v>
      </c>
      <c r="I55" s="94"/>
      <c r="J55" s="101"/>
      <c r="K55" s="102"/>
      <c r="M55" s="103" t="s">
        <v>144</v>
      </c>
      <c r="N55" s="104"/>
      <c r="O55" s="99">
        <f>+H56</f>
        <v>648.38187610740749</v>
      </c>
      <c r="P55" s="99"/>
      <c r="Q55" s="100"/>
    </row>
    <row r="56" spans="1:17" ht="13.5" thickBot="1" x14ac:dyDescent="0.25">
      <c r="A56" s="91"/>
      <c r="B56" s="92"/>
      <c r="C56" s="585" t="s">
        <v>145</v>
      </c>
      <c r="D56" s="585"/>
      <c r="E56" s="585"/>
      <c r="F56" s="93">
        <f>SUM(F44:F51)</f>
        <v>648.38187610740749</v>
      </c>
      <c r="G56" s="82">
        <f>+F56/$F$66</f>
        <v>0.21233231582278383</v>
      </c>
      <c r="H56" s="94">
        <f>+F56/$D$60</f>
        <v>648.38187610740749</v>
      </c>
      <c r="I56" s="94"/>
      <c r="J56" s="101"/>
      <c r="K56" s="102"/>
      <c r="L56" s="102"/>
      <c r="M56" s="102" t="s">
        <v>146</v>
      </c>
      <c r="N56" s="105"/>
      <c r="O56" s="99">
        <f>O54*N56</f>
        <v>0</v>
      </c>
      <c r="P56" s="99"/>
      <c r="Q56" s="100"/>
    </row>
    <row r="57" spans="1:17" ht="13.5" thickBot="1" x14ac:dyDescent="0.25">
      <c r="A57" s="91"/>
      <c r="B57" s="106"/>
      <c r="C57" s="106"/>
      <c r="D57" s="106"/>
      <c r="E57" s="106"/>
      <c r="F57" s="107"/>
      <c r="G57" s="82"/>
      <c r="H57" s="108"/>
      <c r="I57" s="94"/>
      <c r="J57" s="101"/>
      <c r="K57" s="109"/>
      <c r="M57" s="110" t="s">
        <v>147</v>
      </c>
      <c r="N57" s="111"/>
      <c r="O57" s="112">
        <f>SUM(O54:O56)</f>
        <v>3044.8346666271837</v>
      </c>
      <c r="P57" s="113"/>
      <c r="Q57" s="100"/>
    </row>
    <row r="58" spans="1:17" x14ac:dyDescent="0.2">
      <c r="B58" s="588" t="s">
        <v>148</v>
      </c>
      <c r="C58" s="588"/>
      <c r="D58" s="114">
        <v>820</v>
      </c>
      <c r="E58" s="115"/>
      <c r="G58" s="82"/>
      <c r="H58" s="108">
        <f>+H56/77</f>
        <v>8.4205438455507462</v>
      </c>
      <c r="I58" s="116"/>
      <c r="J58" s="101"/>
      <c r="K58" s="109"/>
      <c r="L58" s="102"/>
      <c r="M58" s="102" t="s">
        <v>149</v>
      </c>
      <c r="N58" s="117"/>
      <c r="O58" s="99">
        <f>+H59</f>
        <v>538.91480611524776</v>
      </c>
      <c r="P58" s="99"/>
      <c r="Q58" s="100"/>
    </row>
    <row r="59" spans="1:17" x14ac:dyDescent="0.2">
      <c r="B59" s="588" t="s">
        <v>150</v>
      </c>
      <c r="C59" s="588"/>
      <c r="D59" s="118">
        <v>820</v>
      </c>
      <c r="E59" s="115"/>
      <c r="G59" s="82"/>
      <c r="H59" s="108">
        <f>+H58*64</f>
        <v>538.91480611524776</v>
      </c>
      <c r="I59" s="116"/>
      <c r="J59" s="101"/>
      <c r="K59" s="109"/>
      <c r="L59" s="102"/>
      <c r="M59" s="589" t="s">
        <v>147</v>
      </c>
      <c r="N59" s="589"/>
      <c r="O59" s="99">
        <f>SUM(O57:O58)</f>
        <v>3583.7494727424314</v>
      </c>
      <c r="P59" s="99"/>
      <c r="Q59" s="100"/>
    </row>
    <row r="60" spans="1:17" ht="13.5" thickBot="1" x14ac:dyDescent="0.25">
      <c r="B60" s="581" t="s">
        <v>151</v>
      </c>
      <c r="C60" s="581"/>
      <c r="D60" s="114">
        <f>+D58/D59</f>
        <v>1</v>
      </c>
      <c r="E60" s="115"/>
      <c r="F60" s="119"/>
      <c r="G60" s="82"/>
      <c r="H60" s="108"/>
      <c r="I60" s="116"/>
      <c r="J60" s="101"/>
      <c r="K60" s="109"/>
      <c r="L60" s="589"/>
      <c r="M60" s="589"/>
      <c r="N60" s="117"/>
      <c r="O60" s="99">
        <f>+O59*N60</f>
        <v>0</v>
      </c>
      <c r="P60" s="99"/>
      <c r="Q60" s="100"/>
    </row>
    <row r="61" spans="1:17" ht="13.5" thickBot="1" x14ac:dyDescent="0.25">
      <c r="B61" s="581" t="s">
        <v>152</v>
      </c>
      <c r="C61" s="581"/>
      <c r="D61" s="120"/>
      <c r="E61" s="115"/>
      <c r="F61" s="119"/>
      <c r="G61" s="82"/>
      <c r="H61" s="108"/>
      <c r="I61" s="116"/>
      <c r="J61" s="101"/>
      <c r="K61" s="582" t="s">
        <v>153</v>
      </c>
      <c r="L61" s="583"/>
      <c r="M61" s="583"/>
      <c r="N61" s="584"/>
      <c r="O61" s="112">
        <f>SUM(O59:O60)</f>
        <v>3583.7494727424314</v>
      </c>
      <c r="P61" s="121" t="s">
        <v>154</v>
      </c>
      <c r="Q61" s="100"/>
    </row>
    <row r="62" spans="1:17" ht="13.5" thickBot="1" x14ac:dyDescent="0.25">
      <c r="C62" s="91" t="s">
        <v>155</v>
      </c>
      <c r="D62" s="122"/>
      <c r="E62" s="65" t="s">
        <v>156</v>
      </c>
      <c r="F62" s="123" t="s">
        <v>157</v>
      </c>
      <c r="G62" s="82"/>
      <c r="H62" s="108"/>
      <c r="I62" s="116"/>
      <c r="J62" s="124"/>
      <c r="K62" s="125"/>
      <c r="L62" s="595" t="s">
        <v>158</v>
      </c>
      <c r="M62" s="595"/>
      <c r="N62" s="595"/>
      <c r="O62" s="126">
        <f>+O61/D60</f>
        <v>3583.7494727424314</v>
      </c>
      <c r="P62" s="127">
        <f>+O62/D59</f>
        <v>4.3704261862712581</v>
      </c>
      <c r="Q62" s="128"/>
    </row>
    <row r="63" spans="1:17" ht="13.5" thickBot="1" x14ac:dyDescent="0.25">
      <c r="B63" s="596" t="s">
        <v>143</v>
      </c>
      <c r="C63" s="596"/>
      <c r="D63" s="596"/>
      <c r="E63" s="129">
        <f>+F63/F63</f>
        <v>1</v>
      </c>
      <c r="F63" s="130">
        <f>SUM(F55)</f>
        <v>2396.452790519776</v>
      </c>
      <c r="G63" s="82">
        <f>+F63/$F$66</f>
        <v>0.78479116940453197</v>
      </c>
      <c r="H63" s="108"/>
      <c r="I63" s="116"/>
      <c r="K63" s="597"/>
      <c r="L63" s="598"/>
      <c r="M63" s="598"/>
      <c r="N63" s="598"/>
      <c r="O63" s="131"/>
      <c r="P63" s="132"/>
    </row>
    <row r="64" spans="1:17" ht="13.5" thickBot="1" x14ac:dyDescent="0.3">
      <c r="B64" s="599" t="s">
        <v>159</v>
      </c>
      <c r="C64" s="599"/>
      <c r="D64" s="599"/>
      <c r="E64" s="133">
        <v>0.02</v>
      </c>
      <c r="F64" s="130">
        <f>+F53*E64</f>
        <v>41.165654675151686</v>
      </c>
      <c r="G64" s="82">
        <f>+F64/$F$66</f>
        <v>1.3480942499521704E-2</v>
      </c>
      <c r="H64" s="94"/>
      <c r="I64" s="116"/>
      <c r="J64" s="134"/>
      <c r="O64" s="135"/>
      <c r="P64" s="92"/>
    </row>
    <row r="65" spans="2:13" ht="13.5" thickBot="1" x14ac:dyDescent="0.3">
      <c r="B65" s="600" t="s">
        <v>160</v>
      </c>
      <c r="C65" s="601"/>
      <c r="D65" s="136">
        <v>8</v>
      </c>
      <c r="E65" s="137">
        <v>77</v>
      </c>
      <c r="F65" s="130">
        <f>+E65*D65</f>
        <v>616</v>
      </c>
      <c r="G65" s="82">
        <f>+F65/$F$66</f>
        <v>0.20172788809594636</v>
      </c>
      <c r="H65" s="94"/>
      <c r="I65" s="94"/>
      <c r="J65" s="84"/>
    </row>
    <row r="66" spans="2:13" ht="13.5" thickBot="1" x14ac:dyDescent="0.3">
      <c r="B66" s="602" t="s">
        <v>161</v>
      </c>
      <c r="C66" s="603"/>
      <c r="D66" s="603"/>
      <c r="E66" s="604"/>
      <c r="F66" s="107">
        <f>SUM(F63:F65)</f>
        <v>3053.6184451949275</v>
      </c>
      <c r="G66" s="82">
        <f>+F66/$F$66</f>
        <v>1</v>
      </c>
      <c r="H66" s="605"/>
      <c r="I66" s="94"/>
      <c r="J66" s="84"/>
      <c r="M66" s="67" t="s">
        <v>162</v>
      </c>
    </row>
    <row r="67" spans="2:13" x14ac:dyDescent="0.25">
      <c r="C67" s="89"/>
      <c r="D67" s="89"/>
      <c r="E67" s="139"/>
      <c r="F67" s="130"/>
      <c r="G67" s="82"/>
      <c r="H67" s="605"/>
      <c r="I67" s="138"/>
      <c r="J67" s="67"/>
      <c r="M67" s="67" t="s">
        <v>163</v>
      </c>
    </row>
    <row r="68" spans="2:13" ht="13.5" thickBot="1" x14ac:dyDescent="0.3">
      <c r="B68" s="590" t="s">
        <v>164</v>
      </c>
      <c r="C68" s="590"/>
      <c r="D68" s="590"/>
      <c r="E68" s="590"/>
      <c r="F68" s="590"/>
      <c r="G68" s="82"/>
      <c r="H68" s="141"/>
      <c r="I68" s="138"/>
      <c r="J68" s="67"/>
      <c r="M68" s="67" t="s">
        <v>165</v>
      </c>
    </row>
    <row r="69" spans="2:13" ht="13.5" thickBot="1" x14ac:dyDescent="0.3">
      <c r="B69" s="142" t="s">
        <v>166</v>
      </c>
      <c r="C69" s="143">
        <f>+F53</f>
        <v>2058.2827337575841</v>
      </c>
      <c r="D69" s="143">
        <f>+D58</f>
        <v>820</v>
      </c>
      <c r="E69" s="144">
        <f>+C69/D69</f>
        <v>2.5101008948263219</v>
      </c>
      <c r="F69" s="82"/>
      <c r="G69" s="141"/>
      <c r="H69" s="84"/>
      <c r="I69" s="141"/>
      <c r="J69" s="67"/>
    </row>
    <row r="70" spans="2:13" x14ac:dyDescent="0.25">
      <c r="B70" s="145"/>
      <c r="C70" s="146"/>
      <c r="D70" s="147"/>
      <c r="E70" s="130"/>
      <c r="F70" s="82"/>
      <c r="G70" s="141"/>
      <c r="H70" s="84"/>
      <c r="I70" s="84"/>
      <c r="J70" s="67"/>
    </row>
    <row r="71" spans="2:13" x14ac:dyDescent="0.25">
      <c r="B71" s="142" t="s">
        <v>167</v>
      </c>
      <c r="C71" s="143">
        <f>SUM(F63:F64)</f>
        <v>2437.6184451949275</v>
      </c>
      <c r="D71" s="143">
        <f>+D58</f>
        <v>820</v>
      </c>
      <c r="E71" s="148">
        <f>+C71/D71</f>
        <v>2.9727054209694237</v>
      </c>
      <c r="F71" s="82"/>
      <c r="G71" s="141"/>
      <c r="H71" s="84"/>
      <c r="I71" s="84"/>
      <c r="J71" s="67"/>
    </row>
    <row r="72" spans="2:13" x14ac:dyDescent="0.25">
      <c r="B72" s="142"/>
      <c r="C72" s="143"/>
      <c r="D72" s="143"/>
      <c r="E72" s="148"/>
      <c r="F72" s="82"/>
      <c r="G72" s="141"/>
      <c r="H72" s="84"/>
      <c r="I72" s="84"/>
      <c r="J72" s="67"/>
    </row>
    <row r="73" spans="2:13" ht="13.5" thickBot="1" x14ac:dyDescent="0.3">
      <c r="B73" s="142" t="s">
        <v>168</v>
      </c>
      <c r="C73" s="143">
        <f>+F65</f>
        <v>616</v>
      </c>
      <c r="D73" s="143">
        <f>+D58</f>
        <v>820</v>
      </c>
      <c r="E73" s="148">
        <f>+C73/D73</f>
        <v>0.75121951219512195</v>
      </c>
      <c r="F73" s="82"/>
      <c r="G73" s="141"/>
      <c r="H73" s="84"/>
      <c r="I73" s="84"/>
      <c r="J73" s="67"/>
    </row>
    <row r="74" spans="2:13" ht="13.5" thickBot="1" x14ac:dyDescent="0.3">
      <c r="B74" s="142" t="s">
        <v>169</v>
      </c>
      <c r="C74" s="143">
        <f>+F56</f>
        <v>648.38187610740749</v>
      </c>
      <c r="D74" s="143">
        <f>+D73</f>
        <v>820</v>
      </c>
      <c r="E74" s="144">
        <f>+C74/D74</f>
        <v>0.79070960500903353</v>
      </c>
      <c r="F74" s="82"/>
      <c r="G74" s="141"/>
      <c r="H74" s="84"/>
      <c r="I74" s="84"/>
      <c r="J74" s="67"/>
    </row>
    <row r="75" spans="2:13" ht="13.5" thickBot="1" x14ac:dyDescent="0.3">
      <c r="B75" s="106"/>
      <c r="C75" s="107"/>
      <c r="D75" s="107"/>
      <c r="E75" s="148"/>
      <c r="F75" s="82"/>
      <c r="G75" s="141"/>
      <c r="H75" s="84"/>
      <c r="I75" s="84"/>
      <c r="J75" s="67"/>
    </row>
    <row r="76" spans="2:13" ht="13.5" thickBot="1" x14ac:dyDescent="0.3">
      <c r="B76" s="142" t="s">
        <v>170</v>
      </c>
      <c r="C76" s="143">
        <f>+F54</f>
        <v>338.17005676219202</v>
      </c>
      <c r="D76" s="143">
        <f>+D74</f>
        <v>820</v>
      </c>
      <c r="E76" s="144">
        <f>+C76/D76</f>
        <v>0.41240250824657565</v>
      </c>
      <c r="F76" s="82"/>
      <c r="G76" s="141"/>
      <c r="H76" s="84"/>
      <c r="I76" s="84"/>
      <c r="J76" s="84"/>
    </row>
    <row r="77" spans="2:13" ht="13.5" thickBot="1" x14ac:dyDescent="0.3">
      <c r="B77" s="106"/>
      <c r="C77" s="107"/>
      <c r="D77" s="107"/>
      <c r="E77" s="148"/>
      <c r="F77" s="82"/>
      <c r="G77" s="141"/>
      <c r="H77" s="84"/>
      <c r="I77" s="84"/>
    </row>
    <row r="78" spans="2:13" ht="13.5" thickBot="1" x14ac:dyDescent="0.3">
      <c r="B78" s="591" t="s">
        <v>171</v>
      </c>
      <c r="C78" s="592"/>
      <c r="D78" s="593"/>
      <c r="E78" s="144">
        <f>+E69+E74</f>
        <v>3.3008104998353556</v>
      </c>
      <c r="G78" s="82"/>
      <c r="H78" s="141"/>
      <c r="I78" s="84"/>
      <c r="J78" s="148"/>
    </row>
    <row r="79" spans="2:13" x14ac:dyDescent="0.25">
      <c r="I79" s="141"/>
      <c r="J79" s="67"/>
    </row>
    <row r="80" spans="2:13" ht="13.5" thickBot="1" x14ac:dyDescent="0.3">
      <c r="B80" s="590" t="s">
        <v>172</v>
      </c>
      <c r="C80" s="590"/>
      <c r="D80" s="590"/>
      <c r="E80" s="590"/>
      <c r="F80" s="590"/>
      <c r="G80" s="82"/>
      <c r="H80" s="141"/>
      <c r="J80" s="67"/>
    </row>
    <row r="81" spans="1:10" ht="13.5" thickBot="1" x14ac:dyDescent="0.3">
      <c r="B81" s="142" t="s">
        <v>166</v>
      </c>
      <c r="C81" s="143">
        <f>+C69</f>
        <v>2058.2827337575841</v>
      </c>
      <c r="D81" s="143">
        <f>+D60</f>
        <v>1</v>
      </c>
      <c r="E81" s="144">
        <f>+C81/D81</f>
        <v>2058.2827337575841</v>
      </c>
      <c r="F81" s="82"/>
      <c r="G81" s="141"/>
      <c r="H81" s="84"/>
      <c r="I81" s="141"/>
      <c r="J81" s="67"/>
    </row>
    <row r="82" spans="1:10" x14ac:dyDescent="0.25">
      <c r="B82" s="145"/>
      <c r="C82" s="146"/>
      <c r="D82" s="147"/>
      <c r="E82" s="130"/>
      <c r="F82" s="82"/>
      <c r="G82" s="141"/>
      <c r="H82" s="84"/>
      <c r="I82" s="84"/>
      <c r="J82" s="67"/>
    </row>
    <row r="83" spans="1:10" x14ac:dyDescent="0.25">
      <c r="B83" s="142" t="s">
        <v>167</v>
      </c>
      <c r="C83" s="143">
        <f>+C71</f>
        <v>2437.6184451949275</v>
      </c>
      <c r="D83" s="143">
        <f>+D60</f>
        <v>1</v>
      </c>
      <c r="E83" s="148">
        <f>+C83/D83</f>
        <v>2437.6184451949275</v>
      </c>
      <c r="F83" s="82"/>
      <c r="G83" s="141"/>
      <c r="H83" s="84"/>
      <c r="I83" s="84"/>
      <c r="J83" s="67"/>
    </row>
    <row r="84" spans="1:10" x14ac:dyDescent="0.25">
      <c r="B84" s="142"/>
      <c r="C84" s="143"/>
      <c r="D84" s="143"/>
      <c r="E84" s="148"/>
      <c r="F84" s="82"/>
      <c r="G84" s="141"/>
      <c r="H84" s="84"/>
      <c r="I84" s="84"/>
      <c r="J84" s="67"/>
    </row>
    <row r="85" spans="1:10" ht="13.5" thickBot="1" x14ac:dyDescent="0.3">
      <c r="B85" s="142" t="s">
        <v>169</v>
      </c>
      <c r="C85" s="143">
        <f>+C73</f>
        <v>616</v>
      </c>
      <c r="D85" s="143">
        <f>+D60</f>
        <v>1</v>
      </c>
      <c r="E85" s="148">
        <f>+C85/D85</f>
        <v>616</v>
      </c>
      <c r="F85" s="150"/>
      <c r="G85" s="140"/>
      <c r="H85" s="66"/>
      <c r="I85" s="84"/>
    </row>
    <row r="86" spans="1:10" ht="13.5" thickBot="1" x14ac:dyDescent="0.3">
      <c r="B86" s="142" t="s">
        <v>169</v>
      </c>
      <c r="C86" s="143">
        <f>+C74</f>
        <v>648.38187610740749</v>
      </c>
      <c r="D86" s="143">
        <f>+D85</f>
        <v>1</v>
      </c>
      <c r="E86" s="144">
        <f>+C86/D86</f>
        <v>648.38187610740749</v>
      </c>
      <c r="F86" s="149"/>
      <c r="G86" s="140"/>
      <c r="H86" s="66"/>
      <c r="I86" s="66"/>
    </row>
    <row r="87" spans="1:10" x14ac:dyDescent="0.25">
      <c r="I87" s="66"/>
    </row>
    <row r="88" spans="1:10" x14ac:dyDescent="0.2">
      <c r="A88" s="594"/>
      <c r="B88" s="594"/>
      <c r="C88" s="151"/>
      <c r="D88" s="151"/>
      <c r="E88" s="152"/>
      <c r="G88" s="153"/>
    </row>
    <row r="89" spans="1:10" x14ac:dyDescent="0.2">
      <c r="A89" s="85"/>
      <c r="B89" s="154"/>
      <c r="C89" s="155"/>
      <c r="D89" s="155"/>
      <c r="E89" s="156"/>
      <c r="G89" s="153"/>
    </row>
    <row r="90" spans="1:10" x14ac:dyDescent="0.2">
      <c r="A90" s="85"/>
      <c r="B90" s="154"/>
      <c r="C90" s="157"/>
      <c r="D90" s="157"/>
      <c r="E90" s="85"/>
      <c r="G90" s="153"/>
    </row>
    <row r="91" spans="1:10" x14ac:dyDescent="0.2">
      <c r="A91" s="85"/>
      <c r="B91" s="154"/>
      <c r="C91" s="158"/>
      <c r="D91" s="158"/>
      <c r="E91" s="85"/>
      <c r="G91" s="15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D94BEA-6FBC-426E-B921-27F87CBBD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9AFD4B-F50D-47B2-AC08-86A097856BE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CE616D9-7578-405C-943F-B699BC7B4A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Relleno Framb y arand</vt:lpstr>
      <vt:lpstr>Batido</vt:lpstr>
      <vt:lpstr>Costo Batido</vt:lpstr>
      <vt:lpstr>Rosquete</vt:lpstr>
      <vt:lpstr>Costo Rosquete</vt:lpstr>
      <vt:lpstr>Crema Chantilly </vt:lpstr>
      <vt:lpstr>costo Mouse Queso</vt:lpstr>
      <vt:lpstr>Ensamble</vt:lpstr>
      <vt:lpstr>Costo Ensamble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2026-01-12T14:17:40Z</cp:lastPrinted>
  <dcterms:created xsi:type="dcterms:W3CDTF">2024-09-17T21:25:24Z</dcterms:created>
  <dcterms:modified xsi:type="dcterms:W3CDTF">2026-01-12T14:20:12Z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
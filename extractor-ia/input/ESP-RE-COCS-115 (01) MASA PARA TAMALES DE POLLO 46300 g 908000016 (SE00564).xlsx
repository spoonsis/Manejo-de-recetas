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4" documentId="8_{0B62E331-2961-4AC8-96D4-B815E388CEE6}" xr6:coauthVersionLast="47" xr6:coauthVersionMax="47" xr10:uidLastSave="{6FD465FC-B400-45CB-93C6-D959068F74A7}"/>
  <bookViews>
    <workbookView xWindow="-120" yWindow="-120" windowWidth="20730" windowHeight="11040" xr2:uid="{00000000-000D-0000-FFFF-FFFF00000000}"/>
  </bookViews>
  <sheets>
    <sheet name="Hoja1" sheetId="1" r:id="rId1"/>
  </sheets>
  <definedNames>
    <definedName name="_xlnm.Print_Area" localSheetId="0">Hoja1!$A$1:$I$47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2" i="1" l="1"/>
  <c r="D35" i="1" l="1"/>
</calcChain>
</file>

<file path=xl/sharedStrings.xml><?xml version="1.0" encoding="utf-8"?>
<sst xmlns="http://schemas.openxmlformats.org/spreadsheetml/2006/main" count="90" uniqueCount="71">
  <si>
    <t>PROCEDIMIENTO DE PREPARACION DE LA  RECETA</t>
  </si>
  <si>
    <t>g</t>
  </si>
  <si>
    <t>MERMA</t>
  </si>
  <si>
    <t>PESO DE CADA PORCIÓN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</si>
  <si>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</si>
  <si>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</si>
  <si>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</si>
  <si>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</si>
  <si>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</si>
  <si>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</si>
  <si>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</si>
  <si>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</si>
  <si>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</si>
  <si>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</si>
  <si>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</si>
  <si>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</si>
  <si>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</si>
  <si>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</si>
  <si>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</si>
  <si>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</si>
  <si>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</si>
  <si>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</si>
  <si>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</si>
  <si>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</si>
  <si>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</si>
  <si>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</si>
  <si>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</si>
  <si>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ETIPLAST</t>
  </si>
  <si>
    <t>ETIQUETA BLANCA 2 5/8X1 15/16 PRE BLANCA</t>
  </si>
  <si>
    <t>EMPAQUE</t>
  </si>
  <si>
    <t>ud</t>
  </si>
  <si>
    <t>Enmanuel Madrigal, Chef</t>
  </si>
  <si>
    <t>FAS</t>
  </si>
  <si>
    <t>COCINA</t>
  </si>
  <si>
    <t xml:space="preserve">PREMEZCLA P/BATIDO TAMALES </t>
  </si>
  <si>
    <t>AJINKA</t>
  </si>
  <si>
    <t>COCCION ZANAHORIA P/TAMALES (KILO)</t>
  </si>
  <si>
    <t>ASAEL</t>
  </si>
  <si>
    <t>LICUADO P/MASA TAMALES (KILO)</t>
  </si>
  <si>
    <t>Tanda</t>
  </si>
  <si>
    <t>2- Cuando haya hervido, agregar la papa majada y la zanahoria licuada, mezclar bien y dejar hervir MOVER CONSTANTEMENTE</t>
  </si>
  <si>
    <t>3- Agregar la maseca poco a poco hasta homogenizar, utilizar un batidor de globo, y dejar hervir</t>
  </si>
  <si>
    <t xml:space="preserve">4- Usar inmediatamente para ensamblar los tamales </t>
  </si>
  <si>
    <t>CONTROL DE CAMBIOS</t>
  </si>
  <si>
    <t>PLASTICO  AUTOAD (UND: 18 * 2000 M)</t>
  </si>
  <si>
    <t>MAYCA</t>
  </si>
  <si>
    <t>CM</t>
  </si>
  <si>
    <t>CALDO DE POLLO RECORTE</t>
  </si>
  <si>
    <t>1- Colocar en una olla el caldo de pollo, el licuado para tamales, la margarina multiusos, aceite de oliva, la salsa ají, los condimentos y preservante, mezclar bien y hervir</t>
  </si>
  <si>
    <t>Esteban Cartin, Gte Manufactura</t>
  </si>
  <si>
    <t>MP10025</t>
  </si>
  <si>
    <t>Preservante 1017S</t>
  </si>
  <si>
    <t>MP10032</t>
  </si>
  <si>
    <t>Salsa Chile Aji Planta</t>
  </si>
  <si>
    <t>MP10040</t>
  </si>
  <si>
    <t>Margarina Baker Tableta</t>
  </si>
  <si>
    <t>Baker</t>
  </si>
  <si>
    <t>MP10053</t>
  </si>
  <si>
    <t>EM10011</t>
  </si>
  <si>
    <t>EM10259</t>
  </si>
  <si>
    <t>SE00553</t>
  </si>
  <si>
    <t>SE00552</t>
  </si>
  <si>
    <t>SE00555</t>
  </si>
  <si>
    <t>SE00563</t>
  </si>
  <si>
    <t>MASA PARA TAMALES DE POLLO 46300 g 908000016 (SE00564)</t>
  </si>
  <si>
    <t># Codigo Netsuite</t>
  </si>
  <si>
    <t>ACEITE DE OLIVA PLAST</t>
  </si>
  <si>
    <t>Mayca</t>
  </si>
  <si>
    <t>EMPAQUE PARA PAPA TAMAL</t>
  </si>
  <si>
    <t>01</t>
  </si>
  <si>
    <t>ESP-RE-COCS-115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</si>
</sst>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0.000"/>
    <numFmt numFmtId="166" formatCode="_([$€-2]* #,##0.00_);_([$€-2]* \(#,##0.00\);_([$€-2]* &quot;-&quot;??_)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2"/>
      <color rgb="FFFF0000"/>
      <name val="Arial"/>
      <family val="2"/>
    </font>
    <font>
      <sz val="16"/>
      <color indexed="8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6"/>
      <color theme="1"/>
      <name val="Arial"/>
      <family val="2"/>
    </font>
    <font>
      <sz val="16"/>
      <color theme="2" tint="-0.89999084444715716"/>
      <name val="Arial"/>
      <family val="2"/>
    </font>
    <font>
      <b/>
      <i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0" fontId="5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13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indent="1"/>
    </xf>
    <xf numFmtId="9" fontId="1" fillId="2" borderId="0" xfId="2" applyFill="1"/>
    <xf numFmtId="0" fontId="2" fillId="3" borderId="26" xfId="0" applyFont="1" applyFill="1" applyBorder="1" applyAlignment="1">
      <alignment horizontal="center"/>
    </xf>
    <xf numFmtId="1" fontId="2" fillId="3" borderId="12" xfId="0" applyNumberFormat="1" applyFont="1" applyFill="1" applyBorder="1" applyAlignment="1">
      <alignment horizontal="center" wrapText="1"/>
    </xf>
    <xf numFmtId="1" fontId="2" fillId="3" borderId="12" xfId="0" applyNumberFormat="1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 vertical="center" wrapText="1"/>
    </xf>
    <xf numFmtId="14" fontId="1" fillId="2" borderId="0" xfId="3" applyNumberFormat="1" applyFont="1" applyFill="1" applyAlignment="1">
      <alignment horizontal="center" vertical="center" wrapText="1"/>
    </xf>
    <xf numFmtId="0" fontId="2" fillId="2" borderId="0" xfId="3" applyFont="1" applyFill="1" applyAlignment="1">
      <alignment horizontal="right" vertical="top" wrapText="1"/>
    </xf>
    <xf numFmtId="0" fontId="1" fillId="2" borderId="0" xfId="3" applyFont="1" applyFill="1" applyAlignment="1">
      <alignment horizontal="left"/>
    </xf>
    <xf numFmtId="0" fontId="1" fillId="2" borderId="0" xfId="3" applyFont="1" applyFill="1" applyAlignment="1">
      <alignment horizontal="right"/>
    </xf>
    <xf numFmtId="0" fontId="1" fillId="2" borderId="0" xfId="3" applyFont="1" applyFill="1" applyAlignment="1">
      <alignment horizontal="center"/>
    </xf>
    <xf numFmtId="0" fontId="1" fillId="2" borderId="12" xfId="3" applyFont="1" applyFill="1" applyBorder="1" applyAlignment="1">
      <alignment horizontal="right"/>
    </xf>
    <xf numFmtId="0" fontId="1" fillId="2" borderId="17" xfId="3" applyFont="1" applyFill="1" applyBorder="1" applyAlignment="1">
      <alignment horizontal="right"/>
    </xf>
    <xf numFmtId="49" fontId="1" fillId="2" borderId="24" xfId="3" applyNumberFormat="1" applyFont="1" applyFill="1" applyBorder="1" applyAlignment="1">
      <alignment horizontal="center"/>
    </xf>
    <xf numFmtId="0" fontId="2" fillId="2" borderId="17" xfId="3" applyFont="1" applyFill="1" applyBorder="1" applyAlignment="1">
      <alignment horizontal="right"/>
    </xf>
    <xf numFmtId="0" fontId="1" fillId="2" borderId="27" xfId="3" applyFont="1" applyFill="1" applyBorder="1" applyAlignment="1">
      <alignment horizontal="center"/>
    </xf>
    <xf numFmtId="0" fontId="2" fillId="2" borderId="28" xfId="3" applyFont="1" applyFill="1" applyBorder="1" applyAlignment="1">
      <alignment horizontal="right"/>
    </xf>
    <xf numFmtId="0" fontId="1" fillId="2" borderId="30" xfId="3" applyFont="1" applyFill="1" applyBorder="1" applyAlignment="1">
      <alignment horizontal="center"/>
    </xf>
    <xf numFmtId="0" fontId="1" fillId="2" borderId="35" xfId="3" applyFont="1" applyFill="1" applyBorder="1" applyAlignment="1">
      <alignment horizontal="center"/>
    </xf>
    <xf numFmtId="0" fontId="1" fillId="2" borderId="23" xfId="3" applyFont="1" applyFill="1" applyBorder="1" applyAlignment="1">
      <alignment horizontal="center"/>
    </xf>
    <xf numFmtId="0" fontId="1" fillId="2" borderId="36" xfId="3" applyFont="1" applyFill="1" applyBorder="1" applyAlignment="1">
      <alignment horizontal="center"/>
    </xf>
    <xf numFmtId="0" fontId="1" fillId="2" borderId="3" xfId="3" applyFont="1" applyFill="1" applyBorder="1" applyAlignment="1">
      <alignment horizontal="center"/>
    </xf>
    <xf numFmtId="0" fontId="1" fillId="2" borderId="37" xfId="3" applyFont="1" applyFill="1" applyBorder="1" applyAlignment="1">
      <alignment horizontal="center"/>
    </xf>
    <xf numFmtId="2" fontId="2" fillId="3" borderId="38" xfId="0" applyNumberFormat="1" applyFont="1" applyFill="1" applyBorder="1" applyAlignment="1">
      <alignment horizontal="center" vertical="center" wrapText="1"/>
    </xf>
    <xf numFmtId="2" fontId="2" fillId="3" borderId="39" xfId="0" applyNumberFormat="1" applyFont="1" applyFill="1" applyBorder="1" applyAlignment="1">
      <alignment horizontal="center" vertical="center" wrapText="1"/>
    </xf>
    <xf numFmtId="14" fontId="1" fillId="2" borderId="24" xfId="3" applyNumberFormat="1" applyFont="1" applyFill="1" applyBorder="1" applyAlignment="1">
      <alignment horizontal="center" vertical="center" wrapText="1"/>
    </xf>
    <xf numFmtId="14" fontId="1" fillId="2" borderId="26" xfId="3" applyNumberFormat="1" applyFont="1" applyFill="1" applyBorder="1" applyAlignment="1">
      <alignment horizontal="center" vertical="center" wrapText="1"/>
    </xf>
    <xf numFmtId="0" fontId="1" fillId="2" borderId="17" xfId="3" applyFont="1" applyFill="1" applyBorder="1" applyAlignment="1">
      <alignment horizontal="left"/>
    </xf>
    <xf numFmtId="0" fontId="1" fillId="2" borderId="12" xfId="3" applyFont="1" applyFill="1" applyBorder="1" applyAlignment="1">
      <alignment horizontal="left"/>
    </xf>
    <xf numFmtId="0" fontId="4" fillId="2" borderId="28" xfId="3" applyFont="1" applyFill="1" applyBorder="1" applyAlignment="1">
      <alignment horizontal="center"/>
    </xf>
    <xf numFmtId="0" fontId="4" fillId="2" borderId="17" xfId="3" applyFont="1" applyFill="1" applyBorder="1" applyAlignment="1">
      <alignment horizontal="center"/>
    </xf>
    <xf numFmtId="0" fontId="2" fillId="2" borderId="17" xfId="3" applyFont="1" applyFill="1" applyBorder="1" applyAlignment="1">
      <alignment horizontal="right" vertical="top" wrapText="1"/>
    </xf>
    <xf numFmtId="0" fontId="2" fillId="2" borderId="12" xfId="3" applyFont="1" applyFill="1" applyBorder="1" applyAlignment="1">
      <alignment horizontal="right" vertical="top" wrapText="1"/>
    </xf>
    <xf numFmtId="0" fontId="4" fillId="2" borderId="0" xfId="3" applyFont="1" applyFill="1" applyAlignment="1">
      <alignment horizontal="right"/>
    </xf>
    <xf numFmtId="0" fontId="4" fillId="2" borderId="0" xfId="3" applyFont="1" applyFill="1" applyAlignment="1">
      <alignment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6" fillId="2" borderId="2" xfId="3" applyFont="1" applyFill="1" applyBorder="1" applyAlignment="1">
      <alignment horizontal="center" vertical="center"/>
    </xf>
    <xf numFmtId="14" fontId="6" fillId="2" borderId="0" xfId="3" applyNumberFormat="1" applyFont="1" applyFill="1" applyAlignment="1">
      <alignment horizontal="center" vertical="center" wrapText="1"/>
    </xf>
    <xf numFmtId="0" fontId="7" fillId="0" borderId="17" xfId="0" applyFont="1" applyBorder="1" applyAlignment="1">
      <alignment horizontal="center" vertical="top"/>
    </xf>
    <xf numFmtId="0" fontId="7" fillId="0" borderId="17" xfId="0" applyFont="1" applyBorder="1" applyAlignment="1">
      <alignment vertical="top"/>
    </xf>
    <xf numFmtId="0" fontId="8" fillId="4" borderId="17" xfId="0" applyFont="1" applyFill="1" applyBorder="1" applyAlignment="1">
      <alignment horizontal="center" vertical="center"/>
    </xf>
    <xf numFmtId="1" fontId="8" fillId="4" borderId="17" xfId="0" applyNumberFormat="1" applyFont="1" applyFill="1" applyBorder="1" applyAlignment="1">
      <alignment horizontal="center"/>
    </xf>
    <xf numFmtId="1" fontId="8" fillId="4" borderId="17" xfId="0" applyNumberFormat="1" applyFont="1" applyFill="1" applyBorder="1" applyAlignment="1">
      <alignment horizontal="center" wrapText="1"/>
    </xf>
    <xf numFmtId="1" fontId="8" fillId="0" borderId="17" xfId="0" applyNumberFormat="1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9" fillId="4" borderId="24" xfId="0" applyFont="1" applyFill="1" applyBorder="1" applyAlignment="1">
      <alignment horizontal="center"/>
    </xf>
    <xf numFmtId="1" fontId="8" fillId="0" borderId="17" xfId="1" applyNumberFormat="1" applyFont="1" applyBorder="1" applyAlignment="1">
      <alignment horizontal="center" wrapText="1"/>
    </xf>
    <xf numFmtId="0" fontId="10" fillId="0" borderId="17" xfId="0" applyFont="1" applyBorder="1" applyAlignment="1">
      <alignment horizontal="center"/>
    </xf>
    <xf numFmtId="0" fontId="10" fillId="0" borderId="17" xfId="0" applyFont="1" applyBorder="1"/>
    <xf numFmtId="0" fontId="11" fillId="0" borderId="17" xfId="0" applyFont="1" applyBorder="1" applyAlignment="1">
      <alignment horizontal="center" vertical="top"/>
    </xf>
    <xf numFmtId="49" fontId="8" fillId="0" borderId="25" xfId="1" applyNumberFormat="1" applyFont="1" applyBorder="1" applyAlignment="1">
      <alignment horizontal="center"/>
    </xf>
    <xf numFmtId="49" fontId="8" fillId="0" borderId="16" xfId="1" applyNumberFormat="1" applyFont="1" applyBorder="1" applyAlignment="1">
      <alignment horizontal="center"/>
    </xf>
    <xf numFmtId="49" fontId="8" fillId="0" borderId="17" xfId="1" applyNumberFormat="1" applyFont="1" applyBorder="1"/>
    <xf numFmtId="16" fontId="8" fillId="0" borderId="17" xfId="1" applyNumberFormat="1" applyFont="1" applyBorder="1" applyAlignment="1">
      <alignment horizontal="center"/>
    </xf>
    <xf numFmtId="1" fontId="8" fillId="0" borderId="17" xfId="1" applyNumberFormat="1" applyFont="1" applyBorder="1" applyAlignment="1">
      <alignment horizontal="center"/>
    </xf>
    <xf numFmtId="49" fontId="8" fillId="4" borderId="25" xfId="0" applyNumberFormat="1" applyFont="1" applyFill="1" applyBorder="1" applyAlignment="1">
      <alignment horizontal="right"/>
    </xf>
    <xf numFmtId="49" fontId="8" fillId="4" borderId="16" xfId="0" applyNumberFormat="1" applyFont="1" applyFill="1" applyBorder="1" applyAlignment="1">
      <alignment horizontal="right"/>
    </xf>
    <xf numFmtId="49" fontId="8" fillId="4" borderId="17" xfId="0" applyNumberFormat="1" applyFont="1" applyFill="1" applyBorder="1"/>
    <xf numFmtId="0" fontId="8" fillId="0" borderId="17" xfId="0" applyFont="1" applyBorder="1"/>
    <xf numFmtId="0" fontId="8" fillId="0" borderId="24" xfId="0" applyFont="1" applyBorder="1" applyAlignment="1">
      <alignment horizontal="center"/>
    </xf>
    <xf numFmtId="49" fontId="9" fillId="0" borderId="17" xfId="1" applyNumberFormat="1" applyFont="1" applyBorder="1"/>
    <xf numFmtId="0" fontId="10" fillId="0" borderId="17" xfId="0" quotePrefix="1" applyFont="1" applyBorder="1"/>
    <xf numFmtId="0" fontId="8" fillId="0" borderId="17" xfId="0" applyFont="1" applyBorder="1" applyAlignment="1">
      <alignment horizontal="left" vertical="top" wrapText="1"/>
    </xf>
    <xf numFmtId="0" fontId="8" fillId="0" borderId="25" xfId="0" quotePrefix="1" applyFont="1" applyBorder="1" applyAlignment="1">
      <alignment horizontal="right"/>
    </xf>
    <xf numFmtId="0" fontId="8" fillId="0" borderId="16" xfId="0" quotePrefix="1" applyFont="1" applyBorder="1" applyAlignment="1">
      <alignment horizontal="right"/>
    </xf>
    <xf numFmtId="0" fontId="8" fillId="0" borderId="17" xfId="0" quotePrefix="1" applyFont="1" applyBorder="1"/>
    <xf numFmtId="1" fontId="8" fillId="0" borderId="17" xfId="0" applyNumberFormat="1" applyFont="1" applyBorder="1" applyAlignment="1">
      <alignment horizontal="center" wrapText="1"/>
    </xf>
    <xf numFmtId="49" fontId="7" fillId="2" borderId="23" xfId="0" applyNumberFormat="1" applyFont="1" applyFill="1" applyBorder="1" applyAlignment="1">
      <alignment horizontal="center" vertical="center"/>
    </xf>
    <xf numFmtId="49" fontId="7" fillId="2" borderId="0" xfId="0" applyNumberFormat="1" applyFont="1" applyFill="1" applyAlignment="1">
      <alignment horizontal="center" vertical="center"/>
    </xf>
    <xf numFmtId="0" fontId="8" fillId="2" borderId="0" xfId="0" applyFont="1" applyFill="1"/>
    <xf numFmtId="1" fontId="8" fillId="2" borderId="0" xfId="0" applyNumberFormat="1" applyFont="1" applyFill="1" applyAlignment="1">
      <alignment horizontal="center"/>
    </xf>
    <xf numFmtId="165" fontId="8" fillId="2" borderId="0" xfId="0" applyNumberFormat="1" applyFont="1" applyFill="1" applyAlignment="1">
      <alignment horizontal="center" wrapText="1"/>
    </xf>
    <xf numFmtId="0" fontId="8" fillId="2" borderId="22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8" xfId="0" applyFont="1" applyFill="1" applyBorder="1"/>
    <xf numFmtId="0" fontId="9" fillId="3" borderId="8" xfId="0" applyFont="1" applyFill="1" applyBorder="1" applyAlignment="1">
      <alignment horizontal="center"/>
    </xf>
    <xf numFmtId="1" fontId="9" fillId="3" borderId="8" xfId="0" applyNumberFormat="1" applyFont="1" applyFill="1" applyBorder="1" applyAlignment="1">
      <alignment horizontal="center"/>
    </xf>
    <xf numFmtId="165" fontId="8" fillId="3" borderId="8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/>
    </xf>
    <xf numFmtId="0" fontId="9" fillId="0" borderId="6" xfId="0" applyFont="1" applyBorder="1" applyAlignment="1">
      <alignment horizontal="right"/>
    </xf>
    <xf numFmtId="0" fontId="9" fillId="0" borderId="5" xfId="0" applyFont="1" applyBorder="1" applyAlignment="1">
      <alignment horizontal="right"/>
    </xf>
    <xf numFmtId="0" fontId="9" fillId="0" borderId="21" xfId="0" applyFont="1" applyBorder="1" applyAlignment="1">
      <alignment horizontal="right"/>
    </xf>
    <xf numFmtId="1" fontId="8" fillId="4" borderId="20" xfId="0" applyNumberFormat="1" applyFont="1" applyFill="1" applyBorder="1" applyAlignment="1">
      <alignment horizontal="center"/>
    </xf>
    <xf numFmtId="0" fontId="8" fillId="0" borderId="19" xfId="0" applyFont="1" applyBorder="1" applyAlignment="1">
      <alignment horizontal="center"/>
    </xf>
    <xf numFmtId="165" fontId="8" fillId="0" borderId="20" xfId="0" applyNumberFormat="1" applyFont="1" applyBorder="1" applyAlignment="1">
      <alignment horizontal="right"/>
    </xf>
    <xf numFmtId="0" fontId="8" fillId="2" borderId="19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9" fillId="0" borderId="18" xfId="0" applyFont="1" applyBorder="1" applyAlignment="1">
      <alignment horizontal="right"/>
    </xf>
    <xf numFmtId="0" fontId="9" fillId="0" borderId="34" xfId="0" applyFont="1" applyBorder="1" applyAlignment="1">
      <alignment horizontal="right"/>
    </xf>
    <xf numFmtId="0" fontId="9" fillId="0" borderId="16" xfId="0" applyFont="1" applyBorder="1" applyAlignment="1">
      <alignment horizontal="right"/>
    </xf>
    <xf numFmtId="0" fontId="9" fillId="4" borderId="17" xfId="0" applyFont="1" applyFill="1" applyBorder="1" applyAlignment="1">
      <alignment horizontal="center"/>
    </xf>
    <xf numFmtId="0" fontId="8" fillId="0" borderId="17" xfId="0" applyFont="1" applyBorder="1" applyAlignment="1">
      <alignment horizontal="right"/>
    </xf>
    <xf numFmtId="165" fontId="8" fillId="0" borderId="15" xfId="0" applyNumberFormat="1" applyFont="1" applyBorder="1" applyAlignment="1">
      <alignment horizontal="center"/>
    </xf>
    <xf numFmtId="165" fontId="8" fillId="0" borderId="14" xfId="0" applyNumberFormat="1" applyFont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165" fontId="8" fillId="0" borderId="15" xfId="0" applyNumberFormat="1" applyFont="1" applyBorder="1" applyAlignment="1">
      <alignment horizontal="right" wrapText="1"/>
    </xf>
    <xf numFmtId="165" fontId="8" fillId="0" borderId="16" xfId="0" applyNumberFormat="1" applyFont="1" applyBorder="1" applyAlignment="1">
      <alignment horizontal="right" wrapText="1"/>
    </xf>
    <xf numFmtId="0" fontId="9" fillId="0" borderId="13" xfId="0" applyFont="1" applyBorder="1" applyAlignment="1">
      <alignment horizontal="right"/>
    </xf>
    <xf numFmtId="0" fontId="9" fillId="0" borderId="33" xfId="0" applyFont="1" applyBorder="1" applyAlignment="1">
      <alignment horizontal="right"/>
    </xf>
    <xf numFmtId="0" fontId="9" fillId="0" borderId="12" xfId="0" applyFont="1" applyBorder="1" applyAlignment="1">
      <alignment horizontal="right"/>
    </xf>
    <xf numFmtId="1" fontId="8" fillId="4" borderId="12" xfId="0" applyNumberFormat="1" applyFont="1" applyFill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2" xfId="0" applyFont="1" applyBorder="1" applyAlignment="1">
      <alignment horizontal="right"/>
    </xf>
    <xf numFmtId="165" fontId="8" fillId="0" borderId="11" xfId="0" applyNumberFormat="1" applyFont="1" applyBorder="1" applyAlignment="1">
      <alignment horizontal="center"/>
    </xf>
    <xf numFmtId="165" fontId="8" fillId="0" borderId="10" xfId="0" applyNumberFormat="1" applyFont="1" applyBorder="1" applyAlignment="1">
      <alignment horizontal="center"/>
    </xf>
    <xf numFmtId="0" fontId="8" fillId="0" borderId="6" xfId="1" applyFont="1" applyBorder="1" applyAlignment="1">
      <alignment horizontal="left" wrapText="1"/>
    </xf>
    <xf numFmtId="0" fontId="8" fillId="0" borderId="5" xfId="1" applyFont="1" applyBorder="1" applyAlignment="1">
      <alignment horizontal="left" wrapText="1"/>
    </xf>
    <xf numFmtId="0" fontId="8" fillId="0" borderId="4" xfId="1" applyFont="1" applyBorder="1" applyAlignment="1">
      <alignment horizontal="left" wrapText="1"/>
    </xf>
    <xf numFmtId="0" fontId="8" fillId="0" borderId="6" xfId="1" applyFont="1" applyBorder="1" applyAlignment="1">
      <alignment horizontal="left"/>
    </xf>
    <xf numFmtId="0" fontId="8" fillId="0" borderId="5" xfId="1" applyFont="1" applyBorder="1" applyAlignment="1">
      <alignment horizontal="left"/>
    </xf>
    <xf numFmtId="0" fontId="8" fillId="0" borderId="4" xfId="1" applyFont="1" applyBorder="1" applyAlignment="1">
      <alignment horizontal="left"/>
    </xf>
    <xf numFmtId="0" fontId="9" fillId="0" borderId="6" xfId="1" applyFont="1" applyBorder="1" applyAlignment="1">
      <alignment horizontal="left" wrapText="1"/>
    </xf>
    <xf numFmtId="0" fontId="9" fillId="0" borderId="5" xfId="1" applyFont="1" applyBorder="1" applyAlignment="1">
      <alignment horizontal="left" wrapText="1"/>
    </xf>
    <xf numFmtId="0" fontId="9" fillId="0" borderId="4" xfId="1" applyFont="1" applyBorder="1" applyAlignment="1">
      <alignment horizontal="left" wrapText="1"/>
    </xf>
    <xf numFmtId="0" fontId="8" fillId="0" borderId="3" xfId="1" applyFont="1" applyBorder="1" applyAlignment="1">
      <alignment horizontal="left"/>
    </xf>
    <xf numFmtId="0" fontId="8" fillId="0" borderId="2" xfId="1" applyFont="1" applyBorder="1" applyAlignment="1">
      <alignment horizontal="left"/>
    </xf>
    <xf numFmtId="0" fontId="8" fillId="0" borderId="1" xfId="1" applyFont="1" applyBorder="1" applyAlignment="1">
      <alignment horizontal="left"/>
    </xf>
    <xf numFmtId="0" fontId="9" fillId="3" borderId="9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30" xfId="1" applyFont="1" applyFill="1" applyBorder="1" applyAlignment="1">
      <alignment horizontal="center" vertical="center"/>
    </xf>
    <xf numFmtId="0" fontId="9" fillId="3" borderId="31" xfId="1" applyFont="1" applyFill="1" applyBorder="1" applyAlignment="1">
      <alignment horizontal="center" vertical="center"/>
    </xf>
    <xf numFmtId="0" fontId="9" fillId="3" borderId="32" xfId="1" applyFont="1" applyFill="1" applyBorder="1" applyAlignment="1">
      <alignment horizontal="center" vertical="center"/>
    </xf>
    <xf numFmtId="0" fontId="12" fillId="5" borderId="17" xfId="3" applyFont="1" applyFill="1" applyBorder="1" applyAlignment="1">
      <alignment horizontal="center" vertical="center" wrapText="1"/>
    </xf>
  </cellXfs>
  <cellStyles count="7">
    <cellStyle name="Euro" xfId="6" xr:uid="{00000000-0005-0000-0000-000000000000}"/>
    <cellStyle name="Millares [0] 2" xfId="5" xr:uid="{00000000-0005-0000-0000-000001000000}"/>
    <cellStyle name="Normal" xfId="0" builtinId="0"/>
    <cellStyle name="Normal 2" xfId="1" xr:uid="{00000000-0005-0000-0000-000003000000}"/>
    <cellStyle name="Normal 3" xfId="4" xr:uid="{00000000-0005-0000-0000-000004000000}"/>
    <cellStyle name="Normal_CRITERIOS DE EVALUACION PT DE GB 2" xfId="3" xr:uid="{00000000-0005-0000-0000-000005000000}"/>
    <cellStyle name="Porcentaje 2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232569</xdr:colOff>
      <xdr:row>0</xdr:row>
      <xdr:rowOff>78581</xdr:rowOff>
    </xdr:from>
    <xdr:to>
      <xdr:col>1</xdr:col>
      <xdr:colOff>1057340</xdr:colOff>
      <xdr:row>4</xdr:row>
      <xdr:rowOff>11906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8AFB5444-A6BE-41BA-A5AD-25FD88E43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569" y="78581"/>
          <a:ext cx="1943959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8"/>
  <sheetViews>
    <sheetView tabSelected="1" zoomScale="80" zoomScaleNormal="80" zoomScaleSheetLayoutView="70" workbookViewId="0">
      <selection activeCell="C1" sqref="C1:G1"/>
    </sheetView>
  </sheetViews>
  <sheetFormatPr baseColWidth="10" defaultColWidth="11.42578125" defaultRowHeight="12.75" x14ac:dyDescent="0.2"/>
  <cols>
    <col min="1" max="1" width="16.85546875" style="1" bestFit="1" customWidth="1"/>
    <col min="2" max="2" width="18.7109375" style="1" bestFit="1" customWidth="1"/>
    <col min="3" max="3" width="66.85546875" style="1" customWidth="1"/>
    <col min="4" max="4" width="18.140625" style="1" customWidth="1"/>
    <col min="5" max="5" width="15.140625" style="1" customWidth="1"/>
    <col min="6" max="6" width="13.140625" style="1" customWidth="1"/>
    <col min="7" max="7" width="12.5703125" style="1" customWidth="1"/>
    <col min="8" max="8" width="14.7109375" style="1" customWidth="1"/>
    <col min="9" max="9" width="17.5703125" style="1" customWidth="1"/>
    <col min="10" max="16384" width="11.42578125" style="1"/>
  </cols>
  <sheetData>
    <row r="1" spans="1:9" ht="18" x14ac:dyDescent="0.25">
      <c r="A1" s="19"/>
      <c r="B1" s="20"/>
      <c r="C1" s="31" t="s">
        <v>26</v>
      </c>
      <c r="D1" s="31"/>
      <c r="E1" s="31"/>
      <c r="F1" s="31"/>
      <c r="G1" s="31"/>
      <c r="H1" s="18" t="s">
        <v>25</v>
      </c>
      <c r="I1" s="17" t="s">
        <v>70</v>
      </c>
    </row>
    <row r="2" spans="1:9" ht="18" x14ac:dyDescent="0.25">
      <c r="A2" s="21"/>
      <c r="B2" s="22"/>
      <c r="C2" s="32" t="s">
        <v>24</v>
      </c>
      <c r="D2" s="32"/>
      <c r="E2" s="32"/>
      <c r="F2" s="32"/>
      <c r="G2" s="32"/>
      <c r="H2" s="16" t="s">
        <v>23</v>
      </c>
      <c r="I2" s="15" t="s">
        <v>69</v>
      </c>
    </row>
    <row r="3" spans="1:9" ht="25.5" customHeight="1" x14ac:dyDescent="0.2">
      <c r="A3" s="21"/>
      <c r="B3" s="22"/>
      <c r="C3" s="129" t="s">
        <v>64</v>
      </c>
      <c r="D3" s="129"/>
      <c r="E3" s="129"/>
      <c r="F3" s="129"/>
      <c r="G3" s="129"/>
      <c r="H3" s="33" t="s">
        <v>22</v>
      </c>
      <c r="I3" s="27">
        <v>45945</v>
      </c>
    </row>
    <row r="4" spans="1:9" ht="14.45" customHeight="1" x14ac:dyDescent="0.2">
      <c r="A4" s="21"/>
      <c r="B4" s="22"/>
      <c r="C4" s="14" t="s">
        <v>21</v>
      </c>
      <c r="D4" s="29" t="s">
        <v>31</v>
      </c>
      <c r="E4" s="29"/>
      <c r="F4" s="29"/>
      <c r="G4" s="29"/>
      <c r="H4" s="33"/>
      <c r="I4" s="27"/>
    </row>
    <row r="5" spans="1:9" ht="15" customHeight="1" thickBot="1" x14ac:dyDescent="0.25">
      <c r="A5" s="23"/>
      <c r="B5" s="24"/>
      <c r="C5" s="13" t="s">
        <v>20</v>
      </c>
      <c r="D5" s="30" t="s">
        <v>49</v>
      </c>
      <c r="E5" s="30"/>
      <c r="F5" s="30"/>
      <c r="G5" s="30"/>
      <c r="H5" s="34"/>
      <c r="I5" s="28"/>
    </row>
    <row r="6" spans="1:9" ht="0.75" customHeight="1" x14ac:dyDescent="0.2">
      <c r="A6" s="12"/>
      <c r="B6" s="12"/>
      <c r="C6" s="11"/>
      <c r="D6" s="10"/>
      <c r="E6" s="10"/>
      <c r="F6" s="10"/>
      <c r="G6" s="10"/>
      <c r="H6" s="9"/>
      <c r="I6" s="8"/>
    </row>
    <row r="7" spans="1:9" ht="18.75" thickBot="1" x14ac:dyDescent="0.3">
      <c r="A7" s="35" t="s">
        <v>19</v>
      </c>
      <c r="B7" s="35"/>
      <c r="C7" s="35"/>
      <c r="D7" s="41" t="s">
        <v>33</v>
      </c>
      <c r="E7" s="41"/>
      <c r="F7" s="41"/>
      <c r="G7" s="36" t="s">
        <v>18</v>
      </c>
      <c r="H7" s="36"/>
      <c r="I7" s="42" t="s">
        <v>33</v>
      </c>
    </row>
    <row r="8" spans="1:9" ht="30" customHeight="1" x14ac:dyDescent="0.2">
      <c r="A8" s="37" t="s">
        <v>17</v>
      </c>
      <c r="B8" s="25" t="s">
        <v>65</v>
      </c>
      <c r="C8" s="39" t="s">
        <v>16</v>
      </c>
      <c r="D8" s="39" t="s">
        <v>15</v>
      </c>
      <c r="E8" s="39" t="s">
        <v>14</v>
      </c>
      <c r="F8" s="39"/>
      <c r="G8" s="39" t="s">
        <v>13</v>
      </c>
      <c r="H8" s="39"/>
      <c r="I8" s="7" t="s">
        <v>12</v>
      </c>
    </row>
    <row r="9" spans="1:9" ht="32.25" customHeight="1" thickBot="1" x14ac:dyDescent="0.25">
      <c r="A9" s="38"/>
      <c r="B9" s="26"/>
      <c r="C9" s="40"/>
      <c r="D9" s="40"/>
      <c r="E9" s="6" t="s">
        <v>9</v>
      </c>
      <c r="F9" s="5" t="s">
        <v>11</v>
      </c>
      <c r="G9" s="6" t="s">
        <v>9</v>
      </c>
      <c r="H9" s="5" t="s">
        <v>11</v>
      </c>
      <c r="I9" s="4" t="s">
        <v>10</v>
      </c>
    </row>
    <row r="10" spans="1:9" ht="20.25" x14ac:dyDescent="0.3">
      <c r="A10" s="43">
        <v>90100257</v>
      </c>
      <c r="B10" s="43"/>
      <c r="C10" s="44" t="s">
        <v>47</v>
      </c>
      <c r="D10" s="45" t="s">
        <v>32</v>
      </c>
      <c r="E10" s="46">
        <v>22000</v>
      </c>
      <c r="F10" s="47" t="s">
        <v>1</v>
      </c>
      <c r="G10" s="48"/>
      <c r="H10" s="49"/>
      <c r="I10" s="50"/>
    </row>
    <row r="11" spans="1:9" ht="20.25" x14ac:dyDescent="0.3">
      <c r="A11" s="43">
        <v>908000026</v>
      </c>
      <c r="B11" s="43" t="s">
        <v>60</v>
      </c>
      <c r="C11" s="44" t="s">
        <v>38</v>
      </c>
      <c r="D11" s="45" t="s">
        <v>32</v>
      </c>
      <c r="E11" s="46">
        <v>6040</v>
      </c>
      <c r="F11" s="51" t="s">
        <v>1</v>
      </c>
      <c r="G11" s="48"/>
      <c r="H11" s="49"/>
      <c r="I11" s="50"/>
    </row>
    <row r="12" spans="1:9" ht="20.25" x14ac:dyDescent="0.3">
      <c r="A12" s="52">
        <v>10100289</v>
      </c>
      <c r="B12" s="52" t="s">
        <v>54</v>
      </c>
      <c r="C12" s="53" t="s">
        <v>55</v>
      </c>
      <c r="D12" s="45" t="s">
        <v>56</v>
      </c>
      <c r="E12" s="46">
        <v>1800</v>
      </c>
      <c r="F12" s="47" t="s">
        <v>1</v>
      </c>
      <c r="G12" s="48"/>
      <c r="H12" s="49"/>
      <c r="I12" s="50"/>
    </row>
    <row r="13" spans="1:9" ht="20.25" x14ac:dyDescent="0.3">
      <c r="A13" s="43">
        <v>910311</v>
      </c>
      <c r="B13" s="43" t="s">
        <v>57</v>
      </c>
      <c r="C13" s="44" t="s">
        <v>66</v>
      </c>
      <c r="D13" s="45" t="s">
        <v>67</v>
      </c>
      <c r="E13" s="46">
        <v>200</v>
      </c>
      <c r="F13" s="47" t="s">
        <v>1</v>
      </c>
      <c r="G13" s="48"/>
      <c r="H13" s="49"/>
      <c r="I13" s="50"/>
    </row>
    <row r="14" spans="1:9" ht="20.25" x14ac:dyDescent="0.3">
      <c r="A14" s="43">
        <v>901000019</v>
      </c>
      <c r="B14" s="54" t="s">
        <v>62</v>
      </c>
      <c r="C14" s="44" t="s">
        <v>34</v>
      </c>
      <c r="D14" s="45" t="s">
        <v>32</v>
      </c>
      <c r="E14" s="46">
        <v>7508</v>
      </c>
      <c r="F14" s="51" t="s">
        <v>1</v>
      </c>
      <c r="G14" s="48"/>
      <c r="H14" s="49"/>
      <c r="I14" s="50"/>
    </row>
    <row r="15" spans="1:9" ht="20.25" x14ac:dyDescent="0.3">
      <c r="A15" s="52">
        <v>1212412</v>
      </c>
      <c r="B15" s="43" t="s">
        <v>50</v>
      </c>
      <c r="C15" s="53" t="s">
        <v>51</v>
      </c>
      <c r="D15" s="45" t="s">
        <v>37</v>
      </c>
      <c r="E15" s="46">
        <v>44</v>
      </c>
      <c r="F15" s="51" t="s">
        <v>1</v>
      </c>
      <c r="G15" s="48"/>
      <c r="H15" s="49"/>
      <c r="I15" s="50"/>
    </row>
    <row r="16" spans="1:9" ht="20.25" x14ac:dyDescent="0.3">
      <c r="A16" s="52">
        <v>910351</v>
      </c>
      <c r="B16" s="43" t="s">
        <v>52</v>
      </c>
      <c r="C16" s="53" t="s">
        <v>53</v>
      </c>
      <c r="D16" s="45" t="s">
        <v>35</v>
      </c>
      <c r="E16" s="46">
        <v>100</v>
      </c>
      <c r="F16" s="51" t="s">
        <v>1</v>
      </c>
      <c r="G16" s="48"/>
      <c r="H16" s="49"/>
      <c r="I16" s="50"/>
    </row>
    <row r="17" spans="1:12" ht="20.25" x14ac:dyDescent="0.3">
      <c r="A17" s="43">
        <v>908000027</v>
      </c>
      <c r="B17" s="43" t="s">
        <v>61</v>
      </c>
      <c r="C17" s="44" t="s">
        <v>36</v>
      </c>
      <c r="D17" s="45" t="s">
        <v>32</v>
      </c>
      <c r="E17" s="46">
        <v>3318</v>
      </c>
      <c r="F17" s="51" t="s">
        <v>1</v>
      </c>
      <c r="G17" s="48"/>
      <c r="H17" s="49"/>
      <c r="I17" s="50"/>
    </row>
    <row r="18" spans="1:12" ht="20.25" x14ac:dyDescent="0.3">
      <c r="A18" s="43">
        <v>901000189</v>
      </c>
      <c r="B18" s="43" t="s">
        <v>63</v>
      </c>
      <c r="C18" s="44" t="s">
        <v>68</v>
      </c>
      <c r="D18" s="45" t="s">
        <v>32</v>
      </c>
      <c r="E18" s="46">
        <v>6900</v>
      </c>
      <c r="F18" s="51" t="s">
        <v>1</v>
      </c>
      <c r="G18" s="48"/>
      <c r="H18" s="49"/>
      <c r="I18" s="50"/>
    </row>
    <row r="19" spans="1:12" ht="20.25" x14ac:dyDescent="0.3">
      <c r="A19" s="55"/>
      <c r="B19" s="56"/>
      <c r="C19" s="57"/>
      <c r="D19" s="58"/>
      <c r="E19" s="59"/>
      <c r="F19" s="51"/>
      <c r="G19" s="48"/>
      <c r="H19" s="49"/>
      <c r="I19" s="50"/>
    </row>
    <row r="20" spans="1:12" ht="20.25" x14ac:dyDescent="0.3">
      <c r="A20" s="60"/>
      <c r="B20" s="61"/>
      <c r="C20" s="62"/>
      <c r="D20" s="63"/>
      <c r="E20" s="49"/>
      <c r="F20" s="49"/>
      <c r="G20" s="48"/>
      <c r="H20" s="49"/>
      <c r="I20" s="64"/>
    </row>
    <row r="21" spans="1:12" ht="20.25" x14ac:dyDescent="0.3">
      <c r="A21" s="55"/>
      <c r="B21" s="56"/>
      <c r="C21" s="57"/>
      <c r="D21" s="58"/>
      <c r="E21" s="59"/>
      <c r="F21" s="51"/>
      <c r="G21" s="48"/>
      <c r="H21" s="49"/>
      <c r="I21" s="50"/>
    </row>
    <row r="22" spans="1:12" ht="20.25" x14ac:dyDescent="0.3">
      <c r="A22" s="55"/>
      <c r="B22" s="56"/>
      <c r="C22" s="65" t="s">
        <v>29</v>
      </c>
      <c r="D22" s="58"/>
      <c r="E22" s="59"/>
      <c r="F22" s="51"/>
      <c r="G22" s="48"/>
      <c r="H22" s="49"/>
      <c r="I22" s="50"/>
    </row>
    <row r="23" spans="1:12" ht="20.25" x14ac:dyDescent="0.3">
      <c r="A23" s="43">
        <v>702123</v>
      </c>
      <c r="B23" s="43" t="s">
        <v>58</v>
      </c>
      <c r="C23" s="66" t="s">
        <v>28</v>
      </c>
      <c r="D23" s="58" t="s">
        <v>27</v>
      </c>
      <c r="E23" s="59">
        <v>1</v>
      </c>
      <c r="F23" s="51" t="s">
        <v>30</v>
      </c>
      <c r="G23" s="48"/>
      <c r="H23" s="49"/>
      <c r="I23" s="50"/>
    </row>
    <row r="24" spans="1:12" ht="20.25" x14ac:dyDescent="0.3">
      <c r="A24" s="43">
        <v>512000002</v>
      </c>
      <c r="B24" s="43" t="s">
        <v>59</v>
      </c>
      <c r="C24" s="67" t="s">
        <v>44</v>
      </c>
      <c r="D24" s="58" t="s">
        <v>45</v>
      </c>
      <c r="E24" s="59">
        <v>90</v>
      </c>
      <c r="F24" s="51" t="s">
        <v>46</v>
      </c>
      <c r="G24" s="48"/>
      <c r="H24" s="49"/>
      <c r="I24" s="50"/>
    </row>
    <row r="25" spans="1:12" ht="20.25" x14ac:dyDescent="0.3">
      <c r="A25" s="55"/>
      <c r="B25" s="56"/>
      <c r="C25" s="57"/>
      <c r="D25" s="58"/>
      <c r="E25" s="59"/>
      <c r="F25" s="51"/>
      <c r="G25" s="48"/>
      <c r="H25" s="49"/>
      <c r="I25" s="50"/>
    </row>
    <row r="26" spans="1:12" ht="20.25" x14ac:dyDescent="0.3">
      <c r="A26" s="55"/>
      <c r="B26" s="56"/>
      <c r="C26" s="57"/>
      <c r="D26" s="58"/>
      <c r="E26" s="59"/>
      <c r="F26" s="51"/>
      <c r="G26" s="48"/>
      <c r="H26" s="49"/>
      <c r="I26" s="50"/>
    </row>
    <row r="27" spans="1:12" ht="20.25" x14ac:dyDescent="0.3">
      <c r="A27" s="60"/>
      <c r="B27" s="61"/>
      <c r="C27" s="62"/>
      <c r="D27" s="63"/>
      <c r="E27" s="49"/>
      <c r="F27" s="49"/>
      <c r="G27" s="48"/>
      <c r="H27" s="49"/>
      <c r="I27" s="64"/>
    </row>
    <row r="28" spans="1:12" ht="20.25" x14ac:dyDescent="0.3">
      <c r="A28" s="68"/>
      <c r="B28" s="69"/>
      <c r="C28" s="70"/>
      <c r="D28" s="63"/>
      <c r="E28" s="71"/>
      <c r="F28" s="71"/>
      <c r="G28" s="71"/>
      <c r="H28" s="71"/>
      <c r="I28" s="64"/>
    </row>
    <row r="29" spans="1:12" ht="21" thickBot="1" x14ac:dyDescent="0.35">
      <c r="A29" s="72"/>
      <c r="B29" s="73"/>
      <c r="C29" s="74"/>
      <c r="D29" s="74"/>
      <c r="E29" s="75"/>
      <c r="F29" s="76"/>
      <c r="G29" s="74"/>
      <c r="H29" s="74"/>
      <c r="I29" s="77"/>
      <c r="L29" s="2"/>
    </row>
    <row r="30" spans="1:12" ht="21" thickBot="1" x14ac:dyDescent="0.35">
      <c r="A30" s="78"/>
      <c r="B30" s="79"/>
      <c r="C30" s="80"/>
      <c r="D30" s="81" t="s">
        <v>9</v>
      </c>
      <c r="E30" s="82" t="s">
        <v>8</v>
      </c>
      <c r="F30" s="83"/>
      <c r="G30" s="80"/>
      <c r="H30" s="80"/>
      <c r="I30" s="84"/>
      <c r="L30" s="2"/>
    </row>
    <row r="31" spans="1:12" ht="20.25" x14ac:dyDescent="0.3">
      <c r="A31" s="85" t="s">
        <v>7</v>
      </c>
      <c r="B31" s="86"/>
      <c r="C31" s="87"/>
      <c r="D31" s="88">
        <v>46300</v>
      </c>
      <c r="E31" s="89" t="s">
        <v>1</v>
      </c>
      <c r="F31" s="90"/>
      <c r="G31" s="90"/>
      <c r="H31" s="91"/>
      <c r="I31" s="92"/>
      <c r="L31" s="2"/>
    </row>
    <row r="32" spans="1:12" ht="20.25" x14ac:dyDescent="0.3">
      <c r="A32" s="93" t="s">
        <v>6</v>
      </c>
      <c r="B32" s="94"/>
      <c r="C32" s="95"/>
      <c r="D32" s="96">
        <v>18</v>
      </c>
      <c r="E32" s="49" t="s">
        <v>5</v>
      </c>
      <c r="F32" s="97"/>
      <c r="G32" s="97"/>
      <c r="H32" s="98"/>
      <c r="I32" s="99"/>
      <c r="K32" s="1">
        <f>18/46.3</f>
        <v>0.38876889848812096</v>
      </c>
      <c r="L32" s="2"/>
    </row>
    <row r="33" spans="1:13" ht="20.25" x14ac:dyDescent="0.3">
      <c r="A33" s="93" t="s">
        <v>4</v>
      </c>
      <c r="B33" s="94"/>
      <c r="C33" s="95"/>
      <c r="D33" s="100">
        <v>1</v>
      </c>
      <c r="E33" s="49" t="s">
        <v>39</v>
      </c>
      <c r="F33" s="97"/>
      <c r="G33" s="97"/>
      <c r="H33" s="98"/>
      <c r="I33" s="99"/>
      <c r="L33" s="2"/>
    </row>
    <row r="34" spans="1:13" ht="20.25" x14ac:dyDescent="0.3">
      <c r="A34" s="93" t="s">
        <v>3</v>
      </c>
      <c r="B34" s="94"/>
      <c r="C34" s="95"/>
      <c r="D34" s="46">
        <v>46300</v>
      </c>
      <c r="E34" s="49" t="s">
        <v>1</v>
      </c>
      <c r="F34" s="101"/>
      <c r="G34" s="102"/>
      <c r="H34" s="98"/>
      <c r="I34" s="99"/>
      <c r="L34" s="2"/>
      <c r="M34" s="3"/>
    </row>
    <row r="35" spans="1:13" ht="21" thickBot="1" x14ac:dyDescent="0.35">
      <c r="A35" s="103" t="s">
        <v>2</v>
      </c>
      <c r="B35" s="104"/>
      <c r="C35" s="105"/>
      <c r="D35" s="106">
        <f>SUM(E10:E18)-D34</f>
        <v>1610</v>
      </c>
      <c r="E35" s="107" t="s">
        <v>1</v>
      </c>
      <c r="F35" s="108"/>
      <c r="G35" s="108"/>
      <c r="H35" s="109"/>
      <c r="I35" s="110"/>
      <c r="L35" s="2"/>
    </row>
    <row r="36" spans="1:13" ht="21" thickBot="1" x14ac:dyDescent="0.35">
      <c r="A36" s="123" t="s">
        <v>0</v>
      </c>
      <c r="B36" s="124"/>
      <c r="C36" s="124"/>
      <c r="D36" s="124"/>
      <c r="E36" s="124"/>
      <c r="F36" s="124"/>
      <c r="G36" s="124"/>
      <c r="H36" s="124"/>
      <c r="I36" s="125"/>
    </row>
    <row r="37" spans="1:13" ht="46.5" customHeight="1" x14ac:dyDescent="0.3">
      <c r="A37" s="111" t="s">
        <v>48</v>
      </c>
      <c r="B37" s="112"/>
      <c r="C37" s="112"/>
      <c r="D37" s="112"/>
      <c r="E37" s="112"/>
      <c r="F37" s="112"/>
      <c r="G37" s="112"/>
      <c r="H37" s="112"/>
      <c r="I37" s="113"/>
    </row>
    <row r="38" spans="1:13" ht="20.25" x14ac:dyDescent="0.3">
      <c r="A38" s="114" t="s">
        <v>40</v>
      </c>
      <c r="B38" s="115"/>
      <c r="C38" s="115"/>
      <c r="D38" s="115"/>
      <c r="E38" s="115"/>
      <c r="F38" s="115"/>
      <c r="G38" s="115"/>
      <c r="H38" s="115"/>
      <c r="I38" s="116"/>
    </row>
    <row r="39" spans="1:13" ht="20.25" x14ac:dyDescent="0.3">
      <c r="A39" s="114" t="s">
        <v>41</v>
      </c>
      <c r="B39" s="115"/>
      <c r="C39" s="115"/>
      <c r="D39" s="115"/>
      <c r="E39" s="115"/>
      <c r="F39" s="115"/>
      <c r="G39" s="115"/>
      <c r="H39" s="115"/>
      <c r="I39" s="116"/>
    </row>
    <row r="40" spans="1:13" ht="20.25" x14ac:dyDescent="0.3">
      <c r="A40" s="114" t="s">
        <v>42</v>
      </c>
      <c r="B40" s="115"/>
      <c r="C40" s="115"/>
      <c r="D40" s="115"/>
      <c r="E40" s="115"/>
      <c r="F40" s="115"/>
      <c r="G40" s="115"/>
      <c r="H40" s="115"/>
      <c r="I40" s="116"/>
    </row>
    <row r="41" spans="1:13" ht="20.25" x14ac:dyDescent="0.3">
      <c r="A41" s="117"/>
      <c r="B41" s="118"/>
      <c r="C41" s="118"/>
      <c r="D41" s="118"/>
      <c r="E41" s="118"/>
      <c r="F41" s="118"/>
      <c r="G41" s="118"/>
      <c r="H41" s="118"/>
      <c r="I41" s="119"/>
    </row>
    <row r="42" spans="1:13" ht="20.25" x14ac:dyDescent="0.3">
      <c r="A42" s="114"/>
      <c r="B42" s="115"/>
      <c r="C42" s="115"/>
      <c r="D42" s="115"/>
      <c r="E42" s="115"/>
      <c r="F42" s="115"/>
      <c r="G42" s="115"/>
      <c r="H42" s="115"/>
      <c r="I42" s="116"/>
    </row>
    <row r="43" spans="1:13" ht="20.25" x14ac:dyDescent="0.3">
      <c r="A43" s="114"/>
      <c r="B43" s="115"/>
      <c r="C43" s="115"/>
      <c r="D43" s="115"/>
      <c r="E43" s="115"/>
      <c r="F43" s="115"/>
      <c r="G43" s="115"/>
      <c r="H43" s="115"/>
      <c r="I43" s="116"/>
    </row>
    <row r="44" spans="1:13" ht="21" thickBot="1" x14ac:dyDescent="0.35">
      <c r="A44" s="120"/>
      <c r="B44" s="121"/>
      <c r="C44" s="121"/>
      <c r="D44" s="121"/>
      <c r="E44" s="121"/>
      <c r="F44" s="121"/>
      <c r="G44" s="121"/>
      <c r="H44" s="121"/>
      <c r="I44" s="122"/>
    </row>
    <row r="45" spans="1:13" ht="20.25" x14ac:dyDescent="0.2">
      <c r="A45" s="126" t="s">
        <v>43</v>
      </c>
      <c r="B45" s="127"/>
      <c r="C45" s="127"/>
      <c r="D45" s="127"/>
      <c r="E45" s="127"/>
      <c r="F45" s="127"/>
      <c r="G45" s="127"/>
      <c r="H45" s="127"/>
      <c r="I45" s="128"/>
    </row>
    <row r="46" spans="1:13" ht="21" thickBot="1" x14ac:dyDescent="0.35">
      <c r="A46" s="120"/>
      <c r="B46" s="121"/>
      <c r="C46" s="121"/>
      <c r="D46" s="121"/>
      <c r="E46" s="121"/>
      <c r="F46" s="121"/>
      <c r="G46" s="121"/>
      <c r="H46" s="121"/>
      <c r="I46" s="122"/>
    </row>
    <row r="47" spans="1:13" ht="21" thickBot="1" x14ac:dyDescent="0.35">
      <c r="A47" s="120"/>
      <c r="B47" s="121"/>
      <c r="C47" s="121"/>
      <c r="D47" s="121"/>
      <c r="E47" s="121"/>
      <c r="F47" s="121"/>
      <c r="G47" s="121"/>
      <c r="H47" s="121"/>
      <c r="I47" s="122"/>
    </row>
    <row r="48" spans="1:13" ht="21" thickBot="1" x14ac:dyDescent="0.35">
      <c r="A48" s="120"/>
      <c r="B48" s="121"/>
      <c r="C48" s="121"/>
      <c r="D48" s="121"/>
      <c r="E48" s="121"/>
      <c r="F48" s="121"/>
      <c r="G48" s="121"/>
      <c r="H48" s="121"/>
      <c r="I48" s="122"/>
    </row>
  </sheetData>
  <mergeCells count="45">
    <mergeCell ref="A46:I46"/>
    <mergeCell ref="A47:I47"/>
    <mergeCell ref="A48:I48"/>
    <mergeCell ref="H33:I33"/>
    <mergeCell ref="A34:C34"/>
    <mergeCell ref="F34:G34"/>
    <mergeCell ref="H34:I34"/>
    <mergeCell ref="A31:C31"/>
    <mergeCell ref="F31:G31"/>
    <mergeCell ref="H31:I31"/>
    <mergeCell ref="A32:C32"/>
    <mergeCell ref="F32:G32"/>
    <mergeCell ref="H32:I32"/>
    <mergeCell ref="E8:F8"/>
    <mergeCell ref="G8:H8"/>
    <mergeCell ref="A44:I44"/>
    <mergeCell ref="A35:C35"/>
    <mergeCell ref="F35:G35"/>
    <mergeCell ref="H35:I35"/>
    <mergeCell ref="A36:I36"/>
    <mergeCell ref="A37:I37"/>
    <mergeCell ref="A38:I38"/>
    <mergeCell ref="A39:I39"/>
    <mergeCell ref="A40:I40"/>
    <mergeCell ref="A41:I41"/>
    <mergeCell ref="A42:I42"/>
    <mergeCell ref="A43:I43"/>
    <mergeCell ref="A33:C33"/>
    <mergeCell ref="F33:G33"/>
    <mergeCell ref="A1:B5"/>
    <mergeCell ref="B8:B9"/>
    <mergeCell ref="A45:I45"/>
    <mergeCell ref="I3:I5"/>
    <mergeCell ref="D4:G4"/>
    <mergeCell ref="D5:G5"/>
    <mergeCell ref="C1:G1"/>
    <mergeCell ref="C2:G2"/>
    <mergeCell ref="C3:G3"/>
    <mergeCell ref="H3:H5"/>
    <mergeCell ref="A7:C7"/>
    <mergeCell ref="D7:F7"/>
    <mergeCell ref="G7:H7"/>
    <mergeCell ref="A8:A9"/>
    <mergeCell ref="C8:C9"/>
    <mergeCell ref="D8:D9"/>
  </mergeCells>
  <printOptions horizontalCentered="1"/>
  <pageMargins left="0.7" right="0.7" top="0.75" bottom="0.75" header="0.3" footer="0.3"/>
  <pageSetup scale="46" orientation="portrait" r:id="rId1"/>
  <colBreaks count="1" manualBreakCount="1">
    <brk id="9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688C63-67B2-48EC-BAAB-13CB02ABE749}">
  <ds:schemaRefs>
    <ds:schemaRef ds:uri="1d2992c3-b795-433b-829c-536ba6c0fc04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terms/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249828EC-6BC0-4BFD-AF3A-2147F27164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360EE7-4CA5-4CC2-BE89-FE9CD85D65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Liseth Lopez</dc:creator>
  <cp:lastModifiedBy>Allan Brenes</cp:lastModifiedBy>
  <cp:lastPrinted>2025-10-15T18:51:53Z</cp:lastPrinted>
  <dcterms:created xsi:type="dcterms:W3CDTF">2019-04-03T17:28:37Z</dcterms:created>
  <dcterms:modified xsi:type="dcterms:W3CDTF">2025-10-15T18:52:39Z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98800</vt:r8>
  </property>
  <property fmtid="{D5CDD505-2E9C-101B-9397-08002B2CF9AE}" pid="4" name="MediaServiceImageTags">
    <vt:lpwstr/>
  </property>
</Properties>
</file>
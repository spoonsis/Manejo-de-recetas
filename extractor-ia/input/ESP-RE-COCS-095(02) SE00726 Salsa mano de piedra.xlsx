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" documentId="8_{921ED203-2492-45C6-84E6-A7DF6304F913}" xr6:coauthVersionLast="47" xr6:coauthVersionMax="47" xr10:uidLastSave="{D1899123-7F89-484E-8EC1-E3275F9EEB3C}"/>
  <bookViews>
    <workbookView xWindow="-120" yWindow="-120" windowWidth="20730" windowHeight="11040" xr2:uid="{5280EADF-4AD8-4DB7-8D51-FD57F4459FA7}"/>
  </bookViews>
  <sheets>
    <sheet name="Sal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2" i="1"/>
</calcChain>
</file>

<file path=xl/sharedStrings.xml><?xml version="1.0" encoding="utf-8"?>
<sst xmlns="http://schemas.openxmlformats.org/spreadsheetml/2006/main" count="70" uniqueCount="57">
  <si>
    <t>CONTROL DE CAMBIOS</t>
  </si>
  <si>
    <t xml:space="preserve">2.- Llevar a hervor y espesar con el almidon disuelto en agua.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</si>
  <si>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</si>
  <si>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</si>
  <si>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</si>
  <si>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</si>
  <si>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</si>
  <si>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</si>
  <si>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</si>
  <si>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</si>
  <si>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</si>
  <si>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</si>
  <si>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</si>
  <si>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</si>
  <si>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</si>
  <si>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</si>
  <si>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</si>
  <si>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Preservante 1017S</t>
  </si>
  <si>
    <t>MP10025</t>
  </si>
  <si>
    <t>FAS</t>
  </si>
  <si>
    <t>Empaque Almidon Modificado</t>
  </si>
  <si>
    <t>SE00014</t>
  </si>
  <si>
    <t>AGUA</t>
  </si>
  <si>
    <t>CALDO COCCION MANO PIEDRA</t>
  </si>
  <si>
    <t xml:space="preserve">g </t>
  </si>
  <si>
    <t>Old california</t>
  </si>
  <si>
    <t>Pasta Tomate</t>
  </si>
  <si>
    <t>MP10287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</si>
  <si>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</si>
  <si>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</si>
  <si>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</si>
  <si>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</si>
  <si>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</si>
  <si>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</si>
  <si>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</si>
  <si>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</si>
  <si>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</si>
  <si>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</si>
  <si>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</si>
  <si>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</si>
  <si>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</si>
  <si>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</si>
  <si>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</si>
  <si>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</si>
  <si>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</si>
  <si>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SE00726 Salsa mano de piedra</t>
  </si>
  <si>
    <t>REVISIÓN:</t>
  </si>
  <si>
    <t>ESPECIFICACION DE RECETA</t>
  </si>
  <si>
    <t>CÓDIGO:</t>
  </si>
  <si>
    <t>SERVICIOS DE PASTELERIA S.A.</t>
  </si>
  <si>
    <t>ESP-RE-COCS-095</t>
  </si>
  <si>
    <t>MP10258</t>
  </si>
  <si>
    <t>Mostaza Hellmanns</t>
  </si>
  <si>
    <t>Hellmans</t>
  </si>
  <si>
    <t>Revision #2: Cambio en la mostaza</t>
  </si>
  <si>
    <t>1.- Colocar en una olla el caldo resultante de la coccion de la mano de piedra junto con la pasta de tomate, preservante y 
la mostaza.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</si>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</sst>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138">
    <xf numFmtId="0" fontId="0" fillId="0" borderId="0" xfId="0"/>
    <xf numFmtId="0" fontId="3" fillId="4" borderId="4" xfId="2" applyFont="1" applyFill="1" applyBorder="1" applyAlignment="1">
      <alignment horizontal="center"/>
    </xf>
    <xf numFmtId="1" fontId="3" fillId="4" borderId="5" xfId="2" applyNumberFormat="1" applyFont="1" applyFill="1" applyBorder="1" applyAlignment="1">
      <alignment horizontal="center" wrapText="1"/>
    </xf>
    <xf numFmtId="1" fontId="3" fillId="4" borderId="5" xfId="2" applyNumberFormat="1" applyFont="1" applyFill="1" applyBorder="1" applyAlignment="1">
      <alignment horizontal="center"/>
    </xf>
    <xf numFmtId="0" fontId="3" fillId="4" borderId="19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2" fillId="2" borderId="9" xfId="1" applyFont="1" applyFill="1" applyBorder="1" applyAlignment="1">
      <alignment horizontal="right"/>
    </xf>
    <xf numFmtId="0" fontId="2" fillId="2" borderId="13" xfId="1" applyFont="1" applyFill="1" applyBorder="1" applyAlignment="1">
      <alignment horizontal="right"/>
    </xf>
    <xf numFmtId="49" fontId="2" fillId="2" borderId="8" xfId="1" applyNumberFormat="1" applyFont="1" applyFill="1" applyBorder="1" applyAlignment="1">
      <alignment horizontal="center"/>
    </xf>
    <xf numFmtId="0" fontId="3" fillId="2" borderId="9" xfId="1" applyFont="1" applyFill="1" applyBorder="1" applyAlignment="1">
      <alignment horizontal="right"/>
    </xf>
    <xf numFmtId="0" fontId="8" fillId="0" borderId="19" xfId="0" applyFont="1" applyBorder="1" applyAlignment="1">
      <alignment horizontal="center"/>
    </xf>
    <xf numFmtId="0" fontId="3" fillId="2" borderId="20" xfId="1" applyFont="1" applyFill="1" applyBorder="1" applyAlignment="1">
      <alignment horizontal="right"/>
    </xf>
    <xf numFmtId="0" fontId="9" fillId="0" borderId="11" xfId="2" applyFont="1" applyBorder="1" applyAlignment="1">
      <alignment horizontal="center" vertical="center"/>
    </xf>
    <xf numFmtId="0" fontId="10" fillId="0" borderId="0" xfId="0" applyFont="1"/>
    <xf numFmtId="0" fontId="9" fillId="0" borderId="9" xfId="2" applyFont="1" applyBorder="1" applyAlignment="1">
      <alignment horizontal="center" vertical="center"/>
    </xf>
    <xf numFmtId="1" fontId="9" fillId="0" borderId="9" xfId="2" applyNumberFormat="1" applyFont="1" applyBorder="1" applyAlignment="1">
      <alignment horizontal="center"/>
    </xf>
    <xf numFmtId="1" fontId="9" fillId="0" borderId="9" xfId="2" applyNumberFormat="1" applyFont="1" applyBorder="1" applyAlignment="1">
      <alignment horizontal="center" wrapText="1"/>
    </xf>
    <xf numFmtId="0" fontId="11" fillId="0" borderId="8" xfId="2" applyFont="1" applyBorder="1" applyAlignment="1">
      <alignment horizontal="center"/>
    </xf>
    <xf numFmtId="1" fontId="10" fillId="0" borderId="9" xfId="0" applyNumberFormat="1" applyFont="1" applyBorder="1"/>
    <xf numFmtId="0" fontId="11" fillId="0" borderId="9" xfId="0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wrapText="1"/>
    </xf>
    <xf numFmtId="12" fontId="11" fillId="0" borderId="13" xfId="0" applyNumberFormat="1" applyFont="1" applyBorder="1" applyAlignment="1">
      <alignment horizont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/>
    <xf numFmtId="0" fontId="11" fillId="0" borderId="9" xfId="3" applyFont="1" applyBorder="1" applyAlignment="1">
      <alignment horizontal="center"/>
    </xf>
    <xf numFmtId="1" fontId="9" fillId="0" borderId="9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 wrapText="1"/>
    </xf>
    <xf numFmtId="1" fontId="11" fillId="0" borderId="9" xfId="2" applyNumberFormat="1" applyFont="1" applyBorder="1" applyAlignment="1">
      <alignment horizontal="center"/>
    </xf>
    <xf numFmtId="0" fontId="11" fillId="0" borderId="9" xfId="0" quotePrefix="1" applyFont="1" applyBorder="1" applyAlignment="1">
      <alignment horizontal="center"/>
    </xf>
    <xf numFmtId="0" fontId="11" fillId="0" borderId="9" xfId="0" quotePrefix="1" applyFont="1" applyBorder="1"/>
    <xf numFmtId="49" fontId="12" fillId="2" borderId="32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31" xfId="2" applyFont="1" applyFill="1" applyBorder="1" applyAlignment="1">
      <alignment horizontal="center"/>
    </xf>
    <xf numFmtId="0" fontId="11" fillId="4" borderId="25" xfId="2" applyFont="1" applyFill="1" applyBorder="1" applyAlignment="1">
      <alignment horizontal="center"/>
    </xf>
    <xf numFmtId="0" fontId="11" fillId="4" borderId="24" xfId="2" applyFont="1" applyFill="1" applyBorder="1" applyAlignment="1">
      <alignment horizontal="center"/>
    </xf>
    <xf numFmtId="0" fontId="11" fillId="4" borderId="24" xfId="2" applyFont="1" applyFill="1" applyBorder="1"/>
    <xf numFmtId="0" fontId="9" fillId="4" borderId="24" xfId="2" applyFont="1" applyFill="1" applyBorder="1" applyAlignment="1">
      <alignment horizontal="center"/>
    </xf>
    <xf numFmtId="1" fontId="9" fillId="4" borderId="24" xfId="2" applyNumberFormat="1" applyFont="1" applyFill="1" applyBorder="1" applyAlignment="1">
      <alignment horizontal="center"/>
    </xf>
    <xf numFmtId="164" fontId="11" fillId="4" borderId="24" xfId="2" applyNumberFormat="1" applyFont="1" applyFill="1" applyBorder="1" applyAlignment="1">
      <alignment horizontal="center" wrapText="1"/>
    </xf>
    <xf numFmtId="0" fontId="11" fillId="4" borderId="23" xfId="2" applyFont="1" applyFill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2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18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9" fillId="0" borderId="18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0" fontId="9" fillId="0" borderId="10" xfId="2" applyFont="1" applyBorder="1" applyAlignment="1">
      <alignment horizontal="right"/>
    </xf>
    <xf numFmtId="0" fontId="11" fillId="0" borderId="9" xfId="2" applyFont="1" applyBorder="1" applyAlignment="1">
      <alignment horizontal="right"/>
    </xf>
    <xf numFmtId="164" fontId="11" fillId="0" borderId="26" xfId="2" applyNumberFormat="1" applyFont="1" applyBorder="1" applyAlignment="1">
      <alignment horizontal="center"/>
    </xf>
    <xf numFmtId="164" fontId="11" fillId="0" borderId="16" xfId="2" applyNumberFormat="1" applyFont="1" applyBorder="1" applyAlignment="1">
      <alignment horizontal="center"/>
    </xf>
    <xf numFmtId="164" fontId="11" fillId="0" borderId="26" xfId="2" applyNumberFormat="1" applyFont="1" applyBorder="1" applyAlignment="1">
      <alignment horizontal="right" wrapText="1"/>
    </xf>
    <xf numFmtId="164" fontId="11" fillId="0" borderId="10" xfId="2" applyNumberFormat="1" applyFont="1" applyBorder="1" applyAlignment="1">
      <alignment horizontal="right" wrapText="1"/>
    </xf>
    <xf numFmtId="164" fontId="11" fillId="0" borderId="26" xfId="0" applyNumberFormat="1" applyFont="1" applyBorder="1" applyAlignment="1">
      <alignment horizontal="center" wrapText="1"/>
    </xf>
    <xf numFmtId="164" fontId="11" fillId="0" borderId="16" xfId="0" applyNumberFormat="1" applyFont="1" applyBorder="1" applyAlignment="1">
      <alignment horizontal="center" wrapText="1"/>
    </xf>
    <xf numFmtId="0" fontId="9" fillId="0" borderId="7" xfId="2" applyFont="1" applyBorder="1" applyAlignment="1">
      <alignment horizontal="right"/>
    </xf>
    <xf numFmtId="0" fontId="9" fillId="0" borderId="6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9" fillId="4" borderId="25" xfId="2" applyFont="1" applyFill="1" applyBorder="1" applyAlignment="1">
      <alignment horizontal="left"/>
    </xf>
    <xf numFmtId="0" fontId="9" fillId="4" borderId="24" xfId="2" applyFont="1" applyFill="1" applyBorder="1" applyAlignment="1">
      <alignment horizontal="left"/>
    </xf>
    <xf numFmtId="0" fontId="9" fillId="4" borderId="23" xfId="2" applyFont="1" applyFill="1" applyBorder="1" applyAlignment="1">
      <alignment horizontal="left"/>
    </xf>
    <xf numFmtId="0" fontId="11" fillId="0" borderId="22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9" fillId="0" borderId="30" xfId="2" applyFont="1" applyBorder="1" applyAlignment="1">
      <alignment horizontal="right"/>
    </xf>
    <xf numFmtId="0" fontId="9" fillId="0" borderId="29" xfId="2" applyFont="1" applyBorder="1" applyAlignment="1">
      <alignment horizontal="right"/>
    </xf>
    <xf numFmtId="0" fontId="9" fillId="0" borderId="14" xfId="2" applyFont="1" applyBorder="1" applyAlignment="1">
      <alignment horizontal="right"/>
    </xf>
    <xf numFmtId="164" fontId="11" fillId="0" borderId="13" xfId="2" applyNumberFormat="1" applyFont="1" applyBorder="1" applyAlignment="1">
      <alignment horizontal="right"/>
    </xf>
    <xf numFmtId="0" fontId="11" fillId="2" borderId="28" xfId="2" applyFont="1" applyFill="1" applyBorder="1" applyAlignment="1">
      <alignment horizontal="center"/>
    </xf>
    <xf numFmtId="0" fontId="11" fillId="2" borderId="27" xfId="2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5" fillId="2" borderId="33" xfId="1" applyFont="1" applyFill="1" applyBorder="1" applyAlignment="1">
      <alignment horizontal="center"/>
    </xf>
    <xf numFmtId="0" fontId="6" fillId="2" borderId="0" xfId="1" applyFont="1" applyFill="1"/>
    <xf numFmtId="0" fontId="3" fillId="4" borderId="22" xfId="2" applyFont="1" applyFill="1" applyBorder="1" applyAlignment="1">
      <alignment horizontal="center" vertical="center"/>
    </xf>
    <xf numFmtId="0" fontId="3" fillId="4" borderId="7" xfId="2" applyFont="1" applyFill="1" applyBorder="1" applyAlignment="1">
      <alignment horizontal="center" vertical="center"/>
    </xf>
    <xf numFmtId="0" fontId="3" fillId="4" borderId="22" xfId="2" applyFont="1" applyFill="1" applyBorder="1" applyAlignment="1">
      <alignment horizontal="center" vertical="center" wrapText="1"/>
    </xf>
    <xf numFmtId="0" fontId="3" fillId="4" borderId="7" xfId="2" applyFont="1" applyFill="1" applyBorder="1" applyAlignment="1">
      <alignment horizontal="center" vertical="center" wrapText="1"/>
    </xf>
    <xf numFmtId="0" fontId="3" fillId="4" borderId="20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center" vertical="center"/>
    </xf>
    <xf numFmtId="14" fontId="2" fillId="2" borderId="39" xfId="1" applyNumberFormat="1" applyFont="1" applyFill="1" applyBorder="1" applyAlignment="1">
      <alignment horizontal="center" vertical="center" wrapText="1"/>
    </xf>
    <xf numFmtId="14" fontId="2" fillId="2" borderId="35" xfId="1" applyNumberFormat="1" applyFont="1" applyFill="1" applyBorder="1" applyAlignment="1">
      <alignment horizontal="center" vertical="center" wrapText="1"/>
    </xf>
    <xf numFmtId="14" fontId="2" fillId="2" borderId="12" xfId="1" applyNumberFormat="1" applyFont="1" applyFill="1" applyBorder="1" applyAlignment="1">
      <alignment horizontal="center" vertical="center" wrapText="1"/>
    </xf>
    <xf numFmtId="0" fontId="2" fillId="2" borderId="38" xfId="1" applyFont="1" applyFill="1" applyBorder="1" applyAlignment="1">
      <alignment horizontal="left"/>
    </xf>
    <xf numFmtId="0" fontId="2" fillId="2" borderId="37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left"/>
    </xf>
    <xf numFmtId="0" fontId="2" fillId="2" borderId="2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45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0" xfId="1" applyFont="1" applyFill="1" applyBorder="1" applyAlignment="1">
      <alignment horizontal="center"/>
    </xf>
    <xf numFmtId="0" fontId="2" fillId="2" borderId="2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/>
    </xf>
    <xf numFmtId="0" fontId="7" fillId="2" borderId="43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right" vertical="top" wrapText="1"/>
    </xf>
    <xf numFmtId="0" fontId="3" fillId="2" borderId="36" xfId="1" applyFont="1" applyFill="1" applyBorder="1" applyAlignment="1">
      <alignment horizontal="right" vertical="top" wrapText="1"/>
    </xf>
    <xf numFmtId="0" fontId="3" fillId="2" borderId="34" xfId="1" applyFont="1" applyFill="1" applyBorder="1" applyAlignment="1">
      <alignment horizontal="right" vertical="top" wrapText="1"/>
    </xf>
    <xf numFmtId="0" fontId="13" fillId="5" borderId="42" xfId="1" applyFont="1" applyFill="1" applyBorder="1" applyAlignment="1">
      <alignment horizontal="center" vertical="center" wrapText="1"/>
    </xf>
    <xf numFmtId="0" fontId="13" fillId="5" borderId="37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BE2BF322-8A86-4B73-9196-EFA1349745CB}"/>
    <cellStyle name="Normal 2 2" xfId="3" xr:uid="{687FBB47-2EBA-43E1-BFFD-F67CF9B8B062}"/>
    <cellStyle name="Normal_CRITERIOS DE EVALUACION PT DE GB 2" xfId="1" xr:uid="{14735620-ED25-4C75-B5FC-5D22664ED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200024</xdr:rowOff>
    </xdr:from>
    <xdr:ext cx="1412786" cy="63817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BE86490-0E61-4EBB-8582-71610E467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00024"/>
          <a:ext cx="141278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E9A3-C5AD-4C82-9B5C-E8F077754FA0}">
  <sheetPr>
    <pageSetUpPr fitToPage="1"/>
  </sheetPr>
  <dimension ref="A1:I34"/>
  <sheetViews>
    <sheetView tabSelected="1" zoomScaleNormal="100" workbookViewId="0">
      <selection activeCell="C1" sqref="C1:G1"/>
    </sheetView>
  </sheetViews>
  <sheetFormatPr baseColWidth="10" defaultRowHeight="15" x14ac:dyDescent="0.25"/>
  <cols>
    <col min="2" max="2" width="14.85546875" customWidth="1"/>
    <col min="3" max="3" width="47.7109375" customWidth="1"/>
    <col min="4" max="4" width="19.5703125" customWidth="1"/>
    <col min="7" max="7" width="21.5703125" customWidth="1"/>
    <col min="8" max="8" width="16.42578125" customWidth="1"/>
    <col min="9" max="9" width="18.85546875" bestFit="1" customWidth="1"/>
  </cols>
  <sheetData>
    <row r="1" spans="1:9" ht="16.5" x14ac:dyDescent="0.3">
      <c r="A1" s="122"/>
      <c r="B1" s="123"/>
      <c r="C1" s="128" t="s">
        <v>49</v>
      </c>
      <c r="D1" s="128"/>
      <c r="E1" s="128"/>
      <c r="F1" s="128"/>
      <c r="G1" s="128"/>
      <c r="H1" s="11" t="s">
        <v>48</v>
      </c>
      <c r="I1" s="10" t="s">
        <v>50</v>
      </c>
    </row>
    <row r="2" spans="1:9" ht="16.5" thickBot="1" x14ac:dyDescent="0.3">
      <c r="A2" s="124"/>
      <c r="B2" s="125"/>
      <c r="C2" s="129" t="s">
        <v>47</v>
      </c>
      <c r="D2" s="130"/>
      <c r="E2" s="130"/>
      <c r="F2" s="130"/>
      <c r="G2" s="131"/>
      <c r="H2" s="9" t="s">
        <v>46</v>
      </c>
      <c r="I2" s="8" t="s">
        <v>56</v>
      </c>
    </row>
    <row r="3" spans="1:9" ht="21" thickBot="1" x14ac:dyDescent="0.3">
      <c r="A3" s="124"/>
      <c r="B3" s="125"/>
      <c r="C3" s="135" t="s">
        <v>45</v>
      </c>
      <c r="D3" s="136"/>
      <c r="E3" s="136"/>
      <c r="F3" s="136"/>
      <c r="G3" s="137"/>
      <c r="H3" s="132" t="s">
        <v>44</v>
      </c>
      <c r="I3" s="113">
        <v>45835</v>
      </c>
    </row>
    <row r="4" spans="1:9" x14ac:dyDescent="0.25">
      <c r="A4" s="124"/>
      <c r="B4" s="125"/>
      <c r="C4" s="7" t="s">
        <v>43</v>
      </c>
      <c r="D4" s="116" t="s">
        <v>42</v>
      </c>
      <c r="E4" s="117"/>
      <c r="F4" s="117"/>
      <c r="G4" s="118"/>
      <c r="H4" s="133"/>
      <c r="I4" s="114"/>
    </row>
    <row r="5" spans="1:9" ht="15.75" thickBot="1" x14ac:dyDescent="0.3">
      <c r="A5" s="126"/>
      <c r="B5" s="127"/>
      <c r="C5" s="6" t="s">
        <v>41</v>
      </c>
      <c r="D5" s="119" t="s">
        <v>40</v>
      </c>
      <c r="E5" s="120"/>
      <c r="F5" s="120"/>
      <c r="G5" s="121"/>
      <c r="H5" s="134"/>
      <c r="I5" s="115"/>
    </row>
    <row r="6" spans="1:9" ht="18.75" thickBot="1" x14ac:dyDescent="0.3">
      <c r="A6" s="104" t="s">
        <v>39</v>
      </c>
      <c r="B6" s="104"/>
      <c r="C6" s="104"/>
      <c r="D6" s="105" t="s">
        <v>37</v>
      </c>
      <c r="E6" s="105"/>
      <c r="F6" s="105"/>
      <c r="G6" s="106" t="s">
        <v>38</v>
      </c>
      <c r="H6" s="106"/>
      <c r="I6" s="5" t="s">
        <v>37</v>
      </c>
    </row>
    <row r="7" spans="1:9" x14ac:dyDescent="0.25">
      <c r="A7" s="107" t="s">
        <v>36</v>
      </c>
      <c r="B7" s="109" t="s">
        <v>35</v>
      </c>
      <c r="C7" s="111" t="s">
        <v>34</v>
      </c>
      <c r="D7" s="111" t="s">
        <v>33</v>
      </c>
      <c r="E7" s="111" t="s">
        <v>32</v>
      </c>
      <c r="F7" s="111"/>
      <c r="G7" s="111" t="s">
        <v>31</v>
      </c>
      <c r="H7" s="111"/>
      <c r="I7" s="4" t="s">
        <v>30</v>
      </c>
    </row>
    <row r="8" spans="1:9" ht="27" thickBot="1" x14ac:dyDescent="0.3">
      <c r="A8" s="108"/>
      <c r="B8" s="110"/>
      <c r="C8" s="112"/>
      <c r="D8" s="112"/>
      <c r="E8" s="3" t="s">
        <v>16</v>
      </c>
      <c r="F8" s="2" t="s">
        <v>29</v>
      </c>
      <c r="G8" s="3" t="s">
        <v>16</v>
      </c>
      <c r="H8" s="2" t="s">
        <v>29</v>
      </c>
      <c r="I8" s="1" t="s">
        <v>28</v>
      </c>
    </row>
    <row r="9" spans="1:9" ht="20.25" x14ac:dyDescent="0.3">
      <c r="A9" s="12"/>
      <c r="B9" s="13" t="s">
        <v>27</v>
      </c>
      <c r="C9" s="13" t="s">
        <v>26</v>
      </c>
      <c r="D9" s="14" t="s">
        <v>25</v>
      </c>
      <c r="E9" s="15">
        <v>100</v>
      </c>
      <c r="F9" s="16" t="s">
        <v>24</v>
      </c>
      <c r="G9" s="15"/>
      <c r="H9" s="16"/>
      <c r="I9" s="17"/>
    </row>
    <row r="10" spans="1:9" ht="20.25" x14ac:dyDescent="0.3">
      <c r="A10" s="18"/>
      <c r="B10" s="13" t="s">
        <v>51</v>
      </c>
      <c r="C10" s="13" t="s">
        <v>52</v>
      </c>
      <c r="D10" s="19" t="s">
        <v>53</v>
      </c>
      <c r="E10" s="20">
        <v>15</v>
      </c>
      <c r="F10" s="21" t="s">
        <v>3</v>
      </c>
      <c r="G10" s="22"/>
      <c r="H10" s="23"/>
      <c r="I10" s="17"/>
    </row>
    <row r="11" spans="1:9" ht="20.25" x14ac:dyDescent="0.3">
      <c r="A11" s="19"/>
      <c r="B11" s="19"/>
      <c r="C11" s="24" t="s">
        <v>23</v>
      </c>
      <c r="D11" s="19" t="s">
        <v>19</v>
      </c>
      <c r="E11" s="20">
        <v>600</v>
      </c>
      <c r="F11" s="21" t="s">
        <v>3</v>
      </c>
      <c r="G11" s="22"/>
      <c r="H11" s="23"/>
      <c r="I11" s="17"/>
    </row>
    <row r="12" spans="1:9" ht="20.25" x14ac:dyDescent="0.3">
      <c r="A12" s="25">
        <v>10415</v>
      </c>
      <c r="B12" s="25"/>
      <c r="C12" s="26" t="s">
        <v>22</v>
      </c>
      <c r="D12" s="27" t="s">
        <v>19</v>
      </c>
      <c r="E12" s="28">
        <v>40</v>
      </c>
      <c r="F12" s="29" t="s">
        <v>3</v>
      </c>
      <c r="G12" s="25"/>
      <c r="H12" s="23"/>
      <c r="I12" s="17"/>
    </row>
    <row r="13" spans="1:9" ht="20.25" x14ac:dyDescent="0.3">
      <c r="A13" s="30"/>
      <c r="B13" s="13" t="s">
        <v>21</v>
      </c>
      <c r="C13" s="13" t="s">
        <v>20</v>
      </c>
      <c r="D13" s="25" t="s">
        <v>19</v>
      </c>
      <c r="E13" s="25">
        <v>15</v>
      </c>
      <c r="F13" s="25" t="s">
        <v>3</v>
      </c>
      <c r="G13" s="25"/>
      <c r="H13" s="23"/>
      <c r="I13" s="17"/>
    </row>
    <row r="14" spans="1:9" ht="20.25" x14ac:dyDescent="0.3">
      <c r="A14" s="31"/>
      <c r="B14" s="13" t="s">
        <v>18</v>
      </c>
      <c r="C14" s="13" t="s">
        <v>17</v>
      </c>
      <c r="D14" s="25"/>
      <c r="E14" s="32">
        <v>1</v>
      </c>
      <c r="F14" s="33" t="s">
        <v>3</v>
      </c>
      <c r="G14" s="34"/>
      <c r="H14" s="16"/>
      <c r="I14" s="17"/>
    </row>
    <row r="15" spans="1:9" ht="20.25" x14ac:dyDescent="0.3">
      <c r="A15" s="35"/>
      <c r="B15" s="35"/>
      <c r="C15" s="36"/>
      <c r="D15" s="25"/>
      <c r="E15" s="33"/>
      <c r="F15" s="33"/>
      <c r="G15" s="34"/>
      <c r="H15" s="16"/>
      <c r="I15" s="17"/>
    </row>
    <row r="16" spans="1:9" ht="21" thickBot="1" x14ac:dyDescent="0.35">
      <c r="A16" s="37"/>
      <c r="B16" s="38"/>
      <c r="C16" s="39"/>
      <c r="D16" s="39"/>
      <c r="E16" s="40"/>
      <c r="F16" s="41"/>
      <c r="G16" s="39"/>
      <c r="H16" s="39"/>
      <c r="I16" s="42"/>
    </row>
    <row r="17" spans="1:9" ht="21" thickBot="1" x14ac:dyDescent="0.35">
      <c r="A17" s="43"/>
      <c r="B17" s="44"/>
      <c r="C17" s="45"/>
      <c r="D17" s="46" t="s">
        <v>16</v>
      </c>
      <c r="E17" s="47" t="s">
        <v>15</v>
      </c>
      <c r="F17" s="48"/>
      <c r="G17" s="45"/>
      <c r="H17" s="45"/>
      <c r="I17" s="49"/>
    </row>
    <row r="18" spans="1:9" ht="20.25" x14ac:dyDescent="0.3">
      <c r="A18" s="98" t="s">
        <v>14</v>
      </c>
      <c r="B18" s="99"/>
      <c r="C18" s="100"/>
      <c r="D18" s="50">
        <v>620</v>
      </c>
      <c r="E18" s="51" t="s">
        <v>3</v>
      </c>
      <c r="F18" s="101" t="s">
        <v>13</v>
      </c>
      <c r="G18" s="101"/>
      <c r="H18" s="102"/>
      <c r="I18" s="103"/>
    </row>
    <row r="19" spans="1:9" ht="20.25" x14ac:dyDescent="0.3">
      <c r="A19" s="77" t="s">
        <v>12</v>
      </c>
      <c r="B19" s="78"/>
      <c r="C19" s="79"/>
      <c r="D19" s="32">
        <v>5</v>
      </c>
      <c r="E19" s="25" t="s">
        <v>11</v>
      </c>
      <c r="F19" s="80" t="s">
        <v>10</v>
      </c>
      <c r="G19" s="80"/>
      <c r="H19" s="81"/>
      <c r="I19" s="82"/>
    </row>
    <row r="20" spans="1:9" ht="20.25" x14ac:dyDescent="0.3">
      <c r="A20" s="77" t="s">
        <v>9</v>
      </c>
      <c r="B20" s="78"/>
      <c r="C20" s="79"/>
      <c r="D20" s="32">
        <f>D18/D21</f>
        <v>7.75</v>
      </c>
      <c r="E20" s="25" t="s">
        <v>8</v>
      </c>
      <c r="F20" s="80" t="s">
        <v>7</v>
      </c>
      <c r="G20" s="80"/>
      <c r="H20" s="81"/>
      <c r="I20" s="82"/>
    </row>
    <row r="21" spans="1:9" ht="20.25" x14ac:dyDescent="0.3">
      <c r="A21" s="77" t="s">
        <v>6</v>
      </c>
      <c r="B21" s="78"/>
      <c r="C21" s="79"/>
      <c r="D21" s="32">
        <v>80</v>
      </c>
      <c r="E21" s="25" t="s">
        <v>3</v>
      </c>
      <c r="F21" s="83" t="s">
        <v>5</v>
      </c>
      <c r="G21" s="84"/>
      <c r="H21" s="85"/>
      <c r="I21" s="86"/>
    </row>
    <row r="22" spans="1:9" ht="21" thickBot="1" x14ac:dyDescent="0.35">
      <c r="A22" s="87" t="s">
        <v>4</v>
      </c>
      <c r="B22" s="88"/>
      <c r="C22" s="89"/>
      <c r="D22" s="52">
        <f>SUM(E9:E13)-D18</f>
        <v>150</v>
      </c>
      <c r="E22" s="53" t="s">
        <v>3</v>
      </c>
      <c r="F22" s="90"/>
      <c r="G22" s="90"/>
      <c r="H22" s="81"/>
      <c r="I22" s="82"/>
    </row>
    <row r="23" spans="1:9" ht="21" thickBot="1" x14ac:dyDescent="0.35">
      <c r="A23" s="91" t="s">
        <v>2</v>
      </c>
      <c r="B23" s="92"/>
      <c r="C23" s="92"/>
      <c r="D23" s="92"/>
      <c r="E23" s="92"/>
      <c r="F23" s="92"/>
      <c r="G23" s="92"/>
      <c r="H23" s="92"/>
      <c r="I23" s="93"/>
    </row>
    <row r="24" spans="1:9" ht="39.75" customHeight="1" x14ac:dyDescent="0.3">
      <c r="A24" s="94" t="s">
        <v>55</v>
      </c>
      <c r="B24" s="95"/>
      <c r="C24" s="96"/>
      <c r="D24" s="96"/>
      <c r="E24" s="96"/>
      <c r="F24" s="96"/>
      <c r="G24" s="96"/>
      <c r="H24" s="96"/>
      <c r="I24" s="97"/>
    </row>
    <row r="25" spans="1:9" ht="20.25" x14ac:dyDescent="0.3">
      <c r="A25" s="69" t="s">
        <v>1</v>
      </c>
      <c r="B25" s="70"/>
      <c r="C25" s="71"/>
      <c r="D25" s="71"/>
      <c r="E25" s="71"/>
      <c r="F25" s="71"/>
      <c r="G25" s="71"/>
      <c r="H25" s="71"/>
      <c r="I25" s="72"/>
    </row>
    <row r="26" spans="1:9" ht="20.25" x14ac:dyDescent="0.3">
      <c r="A26" s="58"/>
      <c r="B26" s="59"/>
      <c r="C26" s="60"/>
      <c r="D26" s="60"/>
      <c r="E26" s="60"/>
      <c r="F26" s="60"/>
      <c r="G26" s="60"/>
      <c r="H26" s="60"/>
      <c r="I26" s="61"/>
    </row>
    <row r="27" spans="1:9" ht="20.25" x14ac:dyDescent="0.25">
      <c r="A27" s="62"/>
      <c r="B27" s="63"/>
      <c r="C27" s="63"/>
      <c r="D27" s="63"/>
      <c r="E27" s="63"/>
      <c r="F27" s="63"/>
      <c r="G27" s="63"/>
      <c r="H27" s="63"/>
      <c r="I27" s="64"/>
    </row>
    <row r="28" spans="1:9" ht="20.25" x14ac:dyDescent="0.3">
      <c r="A28" s="65"/>
      <c r="B28" s="66"/>
      <c r="C28" s="67"/>
      <c r="D28" s="67"/>
      <c r="E28" s="67"/>
      <c r="F28" s="67"/>
      <c r="G28" s="67"/>
      <c r="H28" s="67"/>
      <c r="I28" s="68"/>
    </row>
    <row r="29" spans="1:9" ht="20.25" x14ac:dyDescent="0.3">
      <c r="A29" s="69"/>
      <c r="B29" s="70"/>
      <c r="C29" s="71"/>
      <c r="D29" s="71"/>
      <c r="E29" s="71"/>
      <c r="F29" s="71"/>
      <c r="G29" s="71"/>
      <c r="H29" s="71"/>
      <c r="I29" s="72"/>
    </row>
    <row r="30" spans="1:9" ht="20.25" x14ac:dyDescent="0.3">
      <c r="A30" s="69"/>
      <c r="B30" s="70"/>
      <c r="C30" s="71"/>
      <c r="D30" s="71"/>
      <c r="E30" s="71"/>
      <c r="F30" s="71"/>
      <c r="G30" s="71"/>
      <c r="H30" s="71"/>
      <c r="I30" s="72"/>
    </row>
    <row r="31" spans="1:9" ht="21" thickBot="1" x14ac:dyDescent="0.35">
      <c r="A31" s="73"/>
      <c r="B31" s="74"/>
      <c r="C31" s="75"/>
      <c r="D31" s="75"/>
      <c r="E31" s="75"/>
      <c r="F31" s="75"/>
      <c r="G31" s="75"/>
      <c r="H31" s="75"/>
      <c r="I31" s="76"/>
    </row>
    <row r="32" spans="1:9" ht="20.25" x14ac:dyDescent="0.3">
      <c r="A32" s="54" t="s">
        <v>0</v>
      </c>
      <c r="B32" s="55"/>
      <c r="C32" s="55"/>
      <c r="D32" s="55"/>
      <c r="E32" s="55"/>
      <c r="F32" s="55"/>
      <c r="G32" s="55"/>
      <c r="H32" s="55"/>
      <c r="I32" s="55"/>
    </row>
    <row r="33" spans="1:9" ht="20.25" x14ac:dyDescent="0.3">
      <c r="A33" s="56" t="s">
        <v>54</v>
      </c>
      <c r="B33" s="57"/>
      <c r="C33" s="57"/>
      <c r="D33" s="57"/>
      <c r="E33" s="57"/>
      <c r="F33" s="57"/>
      <c r="G33" s="57"/>
      <c r="H33" s="57"/>
      <c r="I33" s="57"/>
    </row>
    <row r="34" spans="1:9" ht="20.25" x14ac:dyDescent="0.3">
      <c r="A34" s="56"/>
      <c r="B34" s="57"/>
      <c r="C34" s="57"/>
      <c r="D34" s="57"/>
      <c r="E34" s="57"/>
      <c r="F34" s="57"/>
      <c r="G34" s="57"/>
      <c r="H34" s="57"/>
      <c r="I34" s="57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32:I32"/>
    <mergeCell ref="A33:I33"/>
    <mergeCell ref="A34:I34"/>
    <mergeCell ref="A26:I26"/>
    <mergeCell ref="A27:I27"/>
    <mergeCell ref="A28:I28"/>
    <mergeCell ref="A29:I29"/>
    <mergeCell ref="A30:I30"/>
    <mergeCell ref="A31:I31"/>
  </mergeCells>
  <pageMargins left="0.7" right="0.7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E6711BF8-E470-4F51-820F-CF75CCB516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ECBD5-B538-430A-AC31-1267A9C40C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27665-1619-4E73-8C5C-A0E2D796E62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2025-07-04T18:53:42Z</cp:lastPrinted>
  <dcterms:created xsi:type="dcterms:W3CDTF">2025-06-27T16:30:29Z</dcterms:created>
  <dcterms:modified xsi:type="dcterms:W3CDTF">2025-07-16T22:10:00Z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
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0" documentId="8_{406FAD9C-CA25-40CF-B3EE-2BD80415001F}" xr6:coauthVersionLast="47" xr6:coauthVersionMax="47" xr10:uidLastSave="{00000000-0000-0000-0000-000000000000}"/>
  <bookViews>
    <workbookView xWindow="-120" yWindow="-120" windowWidth="20730" windowHeight="11040" xr2:uid="{57E8E36E-655C-483B-9F49-927D577A3B0A}"/>
  </bookViews>
  <sheets>
    <sheet name="Hoja2" sheetId="2" r:id="rId1"/>
    <sheet name="Costo Actual " sheetId="3" state="hidden" r:id="rId2"/>
    <sheet name="Costo Nuevo empaque " sheetId="4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6" i="4" l="1"/>
  <c r="N26" i="4"/>
  <c r="L27" i="4"/>
  <c r="L28" i="4" s="1"/>
  <c r="L28" i="3"/>
  <c r="L27" i="3"/>
</calcChain>
</file>

<file path=xl/sharedStrings.xml><?xml version="1.0" encoding="utf-8"?>
<sst xmlns="http://schemas.openxmlformats.org/spreadsheetml/2006/main" count="285" uniqueCount="129">
  <si>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</si>
  <si>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</si>
  <si>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</si>
  <si>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</si>
  <si>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</si>
  <si>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</si>
  <si>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</si>
  <si>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</si>
  <si>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</si>
  <si>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</si>
  <si>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</si>
  <si>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</si>
  <si>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</si>
  <si>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</si>
  <si>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</si>
  <si>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</si>
  <si>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FAS</t>
  </si>
  <si>
    <t>ud</t>
  </si>
  <si>
    <t>g</t>
  </si>
  <si>
    <t>PESO TOTAL OBTENIDO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</si>
  <si>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</si>
  <si>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</si>
  <si>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</si>
  <si>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</si>
  <si>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</si>
  <si>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</si>
  <si>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EMPANADA DE PALMITO 55 g UND</t>
  </si>
  <si>
    <t>min</t>
  </si>
  <si>
    <t>SE00193</t>
  </si>
  <si>
    <t>0702067</t>
  </si>
  <si>
    <t>EM10120</t>
  </si>
  <si>
    <t xml:space="preserve">ETIQ.BLANCA 1 13/16 * 1 7/8 </t>
  </si>
  <si>
    <t>AREA QUE PRODUCE:</t>
  </si>
  <si>
    <t>Pastas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</si>
  <si>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</si>
  <si>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</si>
  <si>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</si>
  <si>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</si>
  <si>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</si>
  <si>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</si>
  <si>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Decoración</t>
  </si>
  <si>
    <t>Empaque</t>
  </si>
  <si>
    <t>CEMUSA</t>
  </si>
  <si>
    <t>PLASTICOS P</t>
  </si>
  <si>
    <t>Tiempo de Horneo:</t>
  </si>
  <si>
    <t>Temperatura de Horneo:</t>
  </si>
  <si>
    <t>Otros</t>
  </si>
  <si>
    <t>CONTROL DE CAMBIOS</t>
  </si>
  <si>
    <t>ESP-RE-PAES-019</t>
  </si>
  <si>
    <t>EM10016</t>
  </si>
  <si>
    <t>Bolsa 12X18 Transparente</t>
  </si>
  <si>
    <t>EM10055</t>
  </si>
  <si>
    <t>Caja Blanca Pequeña</t>
  </si>
  <si>
    <t>1</t>
  </si>
  <si>
    <t>2, Se actualiza caja de empapque y bolsa transparente</t>
  </si>
  <si>
    <t>3, Actualización caja</t>
  </si>
  <si>
    <t>2.- Introducir en bolsa  12*18 y sellar.</t>
  </si>
  <si>
    <t>4, Se actualiza dato de procedimiento.</t>
  </si>
  <si>
    <t>0.5</t>
  </si>
  <si>
    <t>EM10124</t>
  </si>
  <si>
    <t>Etiqueta Blanca R-153</t>
  </si>
  <si>
    <t>1.- Colocar 9 unidades en una caja pequeña</t>
  </si>
  <si>
    <t>3.- Etiquetar la caja con lote y nombre del producto (impresa o con etiqueta).</t>
  </si>
  <si>
    <t>Revision #5: Se aumentan las unidades.</t>
  </si>
  <si>
    <t>FILTROS :</t>
  </si>
  <si>
    <t>SUBSIDIARIA</t>
  </si>
  <si>
    <t>Empresa principal : Servicios de Pastelería S.A.</t>
  </si>
  <si>
    <t>ARTÍCULO</t>
  </si>
  <si>
    <t>PTL00083 Empanada De Palmito 1/6 und</t>
  </si>
  <si>
    <t>UBICACIÓN</t>
  </si>
  <si>
    <t>Bodega Administrativa</t>
  </si>
  <si>
    <t>LISTA DE MATERIALES</t>
  </si>
  <si>
    <t>BOM PTL00083</t>
  </si>
  <si>
    <t>CONTROL DE VISUALIZACIÓN</t>
  </si>
  <si>
    <t>Por revisión</t>
  </si>
  <si>
    <t>FECHA/FECHA EFECTIVA</t>
  </si>
  <si>
    <t>01/08/2023</t>
  </si>
  <si>
    <t>REVISIÓN DE LISTA DE MATERIALES</t>
  </si>
  <si>
    <t>REV V1 BOM PTL00083</t>
  </si>
  <si>
    <t>POR RUTA DE FABRICACIÓN</t>
  </si>
  <si>
    <t>No</t>
  </si>
  <si>
    <t>RUTA DE FABRICACIÓN</t>
  </si>
  <si>
    <t/>
  </si>
  <si>
    <t>CANTIDAD DE ENSAMBLAJE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</si>
  <si>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</si>
  <si>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</si>
  <si>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</si>
  <si>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</si>
  <si>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</si>
  <si>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</si>
  <si>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CRC1,417.26</t>
  </si>
  <si>
    <t>CRC1,417.26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</si>
  <si>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</si>
  <si>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</si>
  <si>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</si>
  <si>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</si>
  <si>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</si>
  <si>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</si>
  <si>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</si>
  <si>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</si>
  <si>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</si>
  <si>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</si>
  <si>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</si>
  <si>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SC-MO1</t>
  </si>
  <si>
    <t>Mano de Obra</t>
  </si>
  <si>
    <t>4.87</t>
  </si>
  <si>
    <t>100%</t>
  </si>
  <si>
    <t>77.00</t>
  </si>
  <si>
    <t>374.99</t>
  </si>
  <si>
    <t>SC-GIF1</t>
  </si>
  <si>
    <t>Gastos Indirectos Fabricación</t>
  </si>
  <si>
    <t>64.00</t>
  </si>
  <si>
    <t>311.68</t>
  </si>
  <si>
    <t>30.50</t>
  </si>
  <si>
    <t>Etiq.Blanca 1 13/16 * 1 7/8</t>
  </si>
  <si>
    <t>1.795</t>
  </si>
  <si>
    <t>1.79</t>
  </si>
  <si>
    <t>EM10037</t>
  </si>
  <si>
    <t>Bolsa 8X12 Transparente</t>
  </si>
  <si>
    <t>5</t>
  </si>
  <si>
    <t>2.199884</t>
  </si>
  <si>
    <t>GRAMOS</t>
  </si>
  <si>
    <t>11.00</t>
  </si>
  <si>
    <t>Empanada De Palmito 55 grs</t>
  </si>
  <si>
    <t>6</t>
  </si>
  <si>
    <t>114.55015335</t>
  </si>
  <si>
    <t>687.30</t>
  </si>
  <si>
    <t>05</t>
  </si>
  <si>
    <t>20400175(PTL00247) Empaque empanada  de palmito 9 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</si>
</sst>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Times New Roman"/>
      <family val="1"/>
    </font>
    <font>
      <sz val="12"/>
      <color indexed="8"/>
      <name val="Century Gothic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4" fillId="0" borderId="0"/>
    <xf numFmtId="0" fontId="15" fillId="0" borderId="0" applyNumberFormat="0" applyFill="0" applyBorder="0" applyAlignment="0" applyProtection="0"/>
    <xf numFmtId="0" fontId="16" fillId="0" borderId="47" applyNumberFormat="0" applyFill="0" applyAlignment="0" applyProtection="0"/>
    <xf numFmtId="0" fontId="17" fillId="0" borderId="48" applyNumberFormat="0" applyFill="0" applyAlignment="0" applyProtection="0"/>
    <xf numFmtId="0" fontId="18" fillId="0" borderId="49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22" fillId="10" borderId="50" applyNumberFormat="0" applyAlignment="0" applyProtection="0"/>
    <xf numFmtId="0" fontId="23" fillId="11" borderId="51" applyNumberFormat="0" applyAlignment="0" applyProtection="0"/>
    <xf numFmtId="0" fontId="24" fillId="11" borderId="50" applyNumberFormat="0" applyAlignment="0" applyProtection="0"/>
    <xf numFmtId="0" fontId="25" fillId="0" borderId="52" applyNumberFormat="0" applyFill="0" applyAlignment="0" applyProtection="0"/>
    <xf numFmtId="0" fontId="26" fillId="12" borderId="53" applyNumberFormat="0" applyAlignment="0" applyProtection="0"/>
    <xf numFmtId="0" fontId="27" fillId="0" borderId="0" applyNumberFormat="0" applyFill="0" applyBorder="0" applyAlignment="0" applyProtection="0"/>
    <xf numFmtId="0" fontId="1" fillId="13" borderId="54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55" applyNumberFormat="0" applyFill="0" applyAlignment="0" applyProtection="0"/>
    <xf numFmtId="0" fontId="30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0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0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</cellStyleXfs>
  <cellXfs count="165">
    <xf numFmtId="0" fontId="0" fillId="0" borderId="0" xfId="0"/>
    <xf numFmtId="0" fontId="5" fillId="0" borderId="3" xfId="2" applyFont="1" applyBorder="1" applyAlignment="1">
      <alignment horizontal="center"/>
    </xf>
    <xf numFmtId="1" fontId="5" fillId="0" borderId="3" xfId="2" applyNumberFormat="1" applyFont="1" applyBorder="1" applyAlignment="1">
      <alignment horizontal="center"/>
    </xf>
    <xf numFmtId="0" fontId="6" fillId="5" borderId="3" xfId="2" applyFont="1" applyFill="1" applyBorder="1" applyAlignment="1">
      <alignment horizontal="left"/>
    </xf>
    <xf numFmtId="0" fontId="7" fillId="5" borderId="3" xfId="2" applyFont="1" applyFill="1" applyBorder="1" applyAlignment="1">
      <alignment vertical="center"/>
    </xf>
    <xf numFmtId="0" fontId="8" fillId="0" borderId="0" xfId="0" applyFont="1"/>
    <xf numFmtId="0" fontId="9" fillId="0" borderId="0" xfId="0" applyFont="1"/>
    <xf numFmtId="0" fontId="3" fillId="2" borderId="1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right"/>
    </xf>
    <xf numFmtId="49" fontId="10" fillId="2" borderId="4" xfId="1" applyNumberFormat="1" applyFont="1" applyFill="1" applyBorder="1" applyAlignment="1">
      <alignment horizontal="center"/>
    </xf>
    <xf numFmtId="0" fontId="10" fillId="2" borderId="8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/>
    </xf>
    <xf numFmtId="14" fontId="12" fillId="2" borderId="0" xfId="6" applyNumberFormat="1" applyFont="1" applyFill="1" applyAlignment="1">
      <alignment horizontal="center" vertical="center" wrapText="1"/>
    </xf>
    <xf numFmtId="0" fontId="3" fillId="4" borderId="2" xfId="2" applyFont="1" applyFill="1" applyBorder="1" applyAlignment="1">
      <alignment horizontal="center" vertical="center" wrapText="1"/>
    </xf>
    <xf numFmtId="1" fontId="3" fillId="4" borderId="20" xfId="2" applyNumberFormat="1" applyFont="1" applyFill="1" applyBorder="1" applyAlignment="1">
      <alignment horizontal="center"/>
    </xf>
    <xf numFmtId="1" fontId="3" fillId="4" borderId="20" xfId="2" applyNumberFormat="1" applyFont="1" applyFill="1" applyBorder="1" applyAlignment="1">
      <alignment horizontal="center" wrapText="1"/>
    </xf>
    <xf numFmtId="0" fontId="3" fillId="4" borderId="37" xfId="2" applyFont="1" applyFill="1" applyBorder="1" applyAlignment="1">
      <alignment horizontal="center"/>
    </xf>
    <xf numFmtId="0" fontId="6" fillId="0" borderId="25" xfId="2" applyFont="1" applyBorder="1" applyAlignment="1">
      <alignment horizontal="center" vertical="center"/>
    </xf>
    <xf numFmtId="0" fontId="6" fillId="0" borderId="16" xfId="2" applyFont="1" applyBorder="1" applyAlignment="1">
      <alignment horizontal="center" vertical="center"/>
    </xf>
    <xf numFmtId="0" fontId="7" fillId="0" borderId="3" xfId="2" applyFont="1" applyBorder="1" applyAlignment="1">
      <alignment vertical="center"/>
    </xf>
    <xf numFmtId="0" fontId="6" fillId="0" borderId="3" xfId="2" applyFont="1" applyBorder="1" applyAlignment="1">
      <alignment horizontal="center" vertical="center"/>
    </xf>
    <xf numFmtId="1" fontId="6" fillId="0" borderId="3" xfId="2" applyNumberFormat="1" applyFont="1" applyBorder="1" applyAlignment="1">
      <alignment horizontal="center"/>
    </xf>
    <xf numFmtId="1" fontId="6" fillId="0" borderId="3" xfId="2" applyNumberFormat="1" applyFont="1" applyBorder="1" applyAlignment="1">
      <alignment horizontal="center" wrapText="1"/>
    </xf>
    <xf numFmtId="0" fontId="5" fillId="0" borderId="4" xfId="2" applyFont="1" applyBorder="1" applyAlignment="1">
      <alignment horizontal="center"/>
    </xf>
    <xf numFmtId="0" fontId="8" fillId="0" borderId="3" xfId="3" applyFont="1" applyBorder="1" applyAlignment="1">
      <alignment horizontal="center"/>
    </xf>
    <xf numFmtId="0" fontId="8" fillId="0" borderId="3" xfId="3" applyFont="1" applyBorder="1"/>
    <xf numFmtId="16" fontId="5" fillId="0" borderId="3" xfId="2" applyNumberFormat="1" applyFont="1" applyBorder="1" applyAlignment="1">
      <alignment horizontal="center"/>
    </xf>
    <xf numFmtId="1" fontId="5" fillId="0" borderId="3" xfId="2" applyNumberFormat="1" applyFont="1" applyBorder="1" applyAlignment="1">
      <alignment horizontal="center" wrapText="1"/>
    </xf>
    <xf numFmtId="1" fontId="10" fillId="0" borderId="8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8" xfId="0" applyFont="1" applyBorder="1" applyAlignment="1">
      <alignment horizontal="center"/>
    </xf>
    <xf numFmtId="2" fontId="6" fillId="0" borderId="3" xfId="2" applyNumberFormat="1" applyFont="1" applyBorder="1" applyAlignment="1">
      <alignment horizontal="center"/>
    </xf>
    <xf numFmtId="1" fontId="3" fillId="5" borderId="43" xfId="2" applyNumberFormat="1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5" borderId="3" xfId="0" applyFont="1" applyFill="1" applyBorder="1"/>
    <xf numFmtId="49" fontId="5" fillId="0" borderId="25" xfId="2" applyNumberFormat="1" applyFont="1" applyBorder="1" applyAlignment="1">
      <alignment horizontal="center"/>
    </xf>
    <xf numFmtId="49" fontId="5" fillId="0" borderId="16" xfId="2" applyNumberFormat="1" applyFont="1" applyBorder="1" applyAlignment="1">
      <alignment horizontal="center"/>
    </xf>
    <xf numFmtId="165" fontId="5" fillId="0" borderId="3" xfId="2" applyNumberFormat="1" applyFont="1" applyBorder="1" applyAlignment="1">
      <alignment horizontal="center"/>
    </xf>
    <xf numFmtId="16" fontId="5" fillId="0" borderId="3" xfId="0" applyNumberFormat="1" applyFont="1" applyBorder="1" applyAlignment="1">
      <alignment horizontal="center"/>
    </xf>
    <xf numFmtId="1" fontId="5" fillId="0" borderId="3" xfId="7" applyNumberFormat="1" applyFont="1" applyBorder="1" applyAlignment="1">
      <alignment horizontal="center"/>
    </xf>
    <xf numFmtId="1" fontId="5" fillId="0" borderId="3" xfId="7" applyNumberFormat="1" applyFont="1" applyBorder="1" applyAlignment="1">
      <alignment horizontal="center" wrapText="1"/>
    </xf>
    <xf numFmtId="49" fontId="6" fillId="0" borderId="34" xfId="2" applyNumberFormat="1" applyFont="1" applyBorder="1" applyAlignment="1">
      <alignment horizontal="center"/>
    </xf>
    <xf numFmtId="49" fontId="6" fillId="0" borderId="15" xfId="2" applyNumberFormat="1" applyFont="1" applyBorder="1" applyAlignment="1">
      <alignment horizontal="center"/>
    </xf>
    <xf numFmtId="0" fontId="6" fillId="0" borderId="16" xfId="2" applyFont="1" applyBorder="1" applyAlignment="1">
      <alignment horizontal="center"/>
    </xf>
    <xf numFmtId="165" fontId="6" fillId="0" borderId="3" xfId="2" applyNumberFormat="1" applyFont="1" applyBorder="1" applyAlignment="1">
      <alignment horizontal="center"/>
    </xf>
    <xf numFmtId="49" fontId="5" fillId="0" borderId="3" xfId="0" applyNumberFormat="1" applyFont="1" applyBorder="1" applyAlignment="1">
      <alignment horizontal="center"/>
    </xf>
    <xf numFmtId="16" fontId="5" fillId="0" borderId="16" xfId="0" applyNumberFormat="1" applyFont="1" applyBorder="1" applyAlignment="1">
      <alignment horizontal="center"/>
    </xf>
    <xf numFmtId="166" fontId="3" fillId="5" borderId="3" xfId="5" applyNumberFormat="1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0" borderId="16" xfId="0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5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10" fillId="0" borderId="3" xfId="0" applyNumberFormat="1" applyFont="1" applyBorder="1" applyAlignment="1">
      <alignment horizontal="center" wrapText="1"/>
    </xf>
    <xf numFmtId="0" fontId="13" fillId="0" borderId="25" xfId="0" quotePrefix="1" applyFont="1" applyBorder="1" applyAlignment="1">
      <alignment horizontal="center"/>
    </xf>
    <xf numFmtId="1" fontId="10" fillId="5" borderId="3" xfId="0" applyNumberFormat="1" applyFont="1" applyFill="1" applyBorder="1" applyAlignment="1">
      <alignment horizontal="center"/>
    </xf>
    <xf numFmtId="49" fontId="5" fillId="0" borderId="3" xfId="2" applyNumberFormat="1" applyFont="1" applyBorder="1"/>
    <xf numFmtId="49" fontId="14" fillId="2" borderId="5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6" xfId="2" applyFont="1" applyFill="1" applyBorder="1" applyAlignment="1">
      <alignment horizontal="center"/>
    </xf>
    <xf numFmtId="0" fontId="10" fillId="4" borderId="27" xfId="2" applyFont="1" applyFill="1" applyBorder="1" applyAlignment="1">
      <alignment horizontal="center"/>
    </xf>
    <xf numFmtId="0" fontId="10" fillId="4" borderId="28" xfId="2" applyFont="1" applyFill="1" applyBorder="1" applyAlignment="1">
      <alignment horizontal="center"/>
    </xf>
    <xf numFmtId="0" fontId="10" fillId="4" borderId="28" xfId="2" applyFont="1" applyFill="1" applyBorder="1"/>
    <xf numFmtId="0" fontId="3" fillId="4" borderId="28" xfId="2" applyFont="1" applyFill="1" applyBorder="1" applyAlignment="1">
      <alignment horizontal="center"/>
    </xf>
    <xf numFmtId="1" fontId="3" fillId="4" borderId="28" xfId="2" applyNumberFormat="1" applyFont="1" applyFill="1" applyBorder="1" applyAlignment="1">
      <alignment horizontal="center"/>
    </xf>
    <xf numFmtId="164" fontId="10" fillId="4" borderId="28" xfId="2" applyNumberFormat="1" applyFont="1" applyFill="1" applyBorder="1" applyAlignment="1">
      <alignment horizontal="center" wrapText="1"/>
    </xf>
    <xf numFmtId="0" fontId="10" fillId="4" borderId="29" xfId="2" applyFont="1" applyFill="1" applyBorder="1" applyAlignment="1">
      <alignment horizontal="center"/>
    </xf>
    <xf numFmtId="0" fontId="10" fillId="0" borderId="3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0" fillId="0" borderId="44" xfId="2" applyFont="1" applyBorder="1" applyAlignment="1">
      <alignment horizontal="left"/>
    </xf>
    <xf numFmtId="0" fontId="10" fillId="0" borderId="22" xfId="2" applyFont="1" applyBorder="1" applyAlignment="1">
      <alignment horizontal="left"/>
    </xf>
    <xf numFmtId="0" fontId="10" fillId="0" borderId="23" xfId="2" applyFont="1" applyBorder="1" applyAlignment="1">
      <alignment horizontal="left"/>
    </xf>
    <xf numFmtId="0" fontId="3" fillId="6" borderId="45" xfId="1" applyFont="1" applyFill="1" applyBorder="1" applyAlignment="1">
      <alignment horizontal="center"/>
    </xf>
    <xf numFmtId="0" fontId="3" fillId="6" borderId="41" xfId="1" applyFont="1" applyFill="1" applyBorder="1" applyAlignment="1">
      <alignment horizontal="center"/>
    </xf>
    <xf numFmtId="0" fontId="10" fillId="2" borderId="14" xfId="1" applyFont="1" applyFill="1" applyBorder="1" applyAlignment="1">
      <alignment horizontal="left"/>
    </xf>
    <xf numFmtId="0" fontId="10" fillId="2" borderId="15" xfId="1" applyFont="1" applyFill="1" applyBorder="1" applyAlignment="1">
      <alignment horizontal="left"/>
    </xf>
    <xf numFmtId="0" fontId="10" fillId="2" borderId="16" xfId="1" applyFont="1" applyFill="1" applyBorder="1" applyAlignment="1">
      <alignment horizontal="left"/>
    </xf>
    <xf numFmtId="0" fontId="10" fillId="2" borderId="46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3" fillId="0" borderId="36" xfId="2" applyFont="1" applyBorder="1" applyAlignment="1">
      <alignment horizontal="left"/>
    </xf>
    <xf numFmtId="0" fontId="3" fillId="0" borderId="31" xfId="2" applyFont="1" applyBorder="1" applyAlignment="1">
      <alignment horizontal="left"/>
    </xf>
    <xf numFmtId="0" fontId="3" fillId="0" borderId="8" xfId="2" applyFont="1" applyBorder="1" applyAlignment="1">
      <alignment horizontal="left"/>
    </xf>
    <xf numFmtId="0" fontId="3" fillId="0" borderId="24" xfId="2" applyFont="1" applyBorder="1" applyAlignment="1">
      <alignment horizontal="left"/>
    </xf>
    <xf numFmtId="0" fontId="10" fillId="0" borderId="36" xfId="2" applyFont="1" applyBorder="1" applyAlignment="1">
      <alignment horizontal="left"/>
    </xf>
    <xf numFmtId="0" fontId="10" fillId="0" borderId="31" xfId="2" applyFont="1" applyBorder="1" applyAlignment="1">
      <alignment horizontal="left"/>
    </xf>
    <xf numFmtId="0" fontId="10" fillId="0" borderId="8" xfId="2" applyFont="1" applyBorder="1" applyAlignment="1">
      <alignment horizontal="left"/>
    </xf>
    <xf numFmtId="0" fontId="10" fillId="0" borderId="24" xfId="2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11" fillId="0" borderId="30" xfId="2" applyFont="1" applyBorder="1" applyAlignment="1">
      <alignment horizontal="left" wrapText="1"/>
    </xf>
    <xf numFmtId="0" fontId="11" fillId="0" borderId="38" xfId="2" applyFont="1" applyBorder="1" applyAlignment="1">
      <alignment horizontal="left" wrapText="1"/>
    </xf>
    <xf numFmtId="0" fontId="11" fillId="0" borderId="33" xfId="2" applyFont="1" applyBorder="1" applyAlignment="1">
      <alignment horizontal="left" wrapText="1"/>
    </xf>
    <xf numFmtId="0" fontId="10" fillId="0" borderId="34" xfId="2" applyFont="1" applyBorder="1" applyAlignment="1">
      <alignment horizontal="left" wrapText="1"/>
    </xf>
    <xf numFmtId="0" fontId="10" fillId="0" borderId="15" xfId="2" applyFont="1" applyBorder="1" applyAlignment="1">
      <alignment horizontal="left" wrapText="1"/>
    </xf>
    <xf numFmtId="0" fontId="10" fillId="0" borderId="35" xfId="2" applyFont="1" applyBorder="1" applyAlignment="1">
      <alignment horizontal="left" wrapText="1"/>
    </xf>
    <xf numFmtId="0" fontId="3" fillId="0" borderId="34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3" fillId="0" borderId="16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164" fontId="10" fillId="0" borderId="14" xfId="2" applyNumberFormat="1" applyFont="1" applyBorder="1" applyAlignment="1">
      <alignment horizontal="center"/>
    </xf>
    <xf numFmtId="164" fontId="10" fillId="0" borderId="35" xfId="2" applyNumberFormat="1" applyFont="1" applyBorder="1" applyAlignment="1">
      <alignment horizontal="center"/>
    </xf>
    <xf numFmtId="164" fontId="10" fillId="0" borderId="14" xfId="2" applyNumberFormat="1" applyFont="1" applyBorder="1" applyAlignment="1">
      <alignment horizontal="right" wrapText="1"/>
    </xf>
    <xf numFmtId="164" fontId="10" fillId="0" borderId="16" xfId="2" applyNumberFormat="1" applyFont="1" applyBorder="1" applyAlignment="1">
      <alignment horizontal="right" wrapText="1"/>
    </xf>
    <xf numFmtId="0" fontId="3" fillId="0" borderId="19" xfId="2" applyFont="1" applyBorder="1" applyAlignment="1">
      <alignment horizontal="right"/>
    </xf>
    <xf numFmtId="0" fontId="3" fillId="0" borderId="39" xfId="2" applyFont="1" applyBorder="1" applyAlignment="1">
      <alignment horizontal="right"/>
    </xf>
    <xf numFmtId="0" fontId="3" fillId="0" borderId="20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164" fontId="10" fillId="0" borderId="21" xfId="2" applyNumberFormat="1" applyFont="1" applyBorder="1" applyAlignment="1">
      <alignment horizontal="center"/>
    </xf>
    <xf numFmtId="164" fontId="10" fillId="0" borderId="23" xfId="2" applyNumberFormat="1" applyFont="1" applyBorder="1" applyAlignment="1">
      <alignment horizontal="center"/>
    </xf>
    <xf numFmtId="0" fontId="3" fillId="4" borderId="27" xfId="2" applyFont="1" applyFill="1" applyBorder="1" applyAlignment="1">
      <alignment horizontal="left"/>
    </xf>
    <xf numFmtId="0" fontId="3" fillId="4" borderId="28" xfId="2" applyFont="1" applyFill="1" applyBorder="1" applyAlignment="1">
      <alignment horizontal="left"/>
    </xf>
    <xf numFmtId="0" fontId="3" fillId="4" borderId="29" xfId="2" applyFont="1" applyFill="1" applyBorder="1" applyAlignment="1">
      <alignment horizontal="left"/>
    </xf>
    <xf numFmtId="0" fontId="3" fillId="0" borderId="30" xfId="2" applyFont="1" applyBorder="1" applyAlignment="1">
      <alignment horizontal="right"/>
    </xf>
    <xf numFmtId="0" fontId="3" fillId="0" borderId="38" xfId="2" applyFont="1" applyBorder="1" applyAlignment="1">
      <alignment horizontal="right"/>
    </xf>
    <xf numFmtId="0" fontId="3" fillId="0" borderId="31" xfId="2" applyFont="1" applyBorder="1" applyAlignment="1">
      <alignment horizontal="right"/>
    </xf>
    <xf numFmtId="164" fontId="10" fillId="0" borderId="8" xfId="2" applyNumberFormat="1" applyFont="1" applyBorder="1" applyAlignment="1">
      <alignment horizontal="right"/>
    </xf>
    <xf numFmtId="0" fontId="10" fillId="2" borderId="32" xfId="2" applyFont="1" applyFill="1" applyBorder="1" applyAlignment="1">
      <alignment horizontal="center"/>
    </xf>
    <xf numFmtId="0" fontId="10" fillId="2" borderId="33" xfId="2" applyFont="1" applyFill="1" applyBorder="1" applyAlignment="1">
      <alignment horizontal="center"/>
    </xf>
    <xf numFmtId="0" fontId="11" fillId="2" borderId="0" xfId="6" applyFont="1" applyFill="1" applyAlignment="1">
      <alignment horizontal="right"/>
    </xf>
    <xf numFmtId="0" fontId="12" fillId="2" borderId="42" xfId="6" applyFont="1" applyFill="1" applyBorder="1" applyAlignment="1">
      <alignment horizontal="center"/>
    </xf>
    <xf numFmtId="0" fontId="11" fillId="2" borderId="0" xfId="6" applyFont="1" applyFill="1"/>
    <xf numFmtId="0" fontId="3" fillId="4" borderId="18" xfId="2" applyFont="1" applyFill="1" applyBorder="1" applyAlignment="1">
      <alignment horizontal="center" vertical="center"/>
    </xf>
    <xf numFmtId="0" fontId="3" fillId="4" borderId="19" xfId="2" applyFont="1" applyFill="1" applyBorder="1" applyAlignment="1">
      <alignment horizontal="center" vertical="center"/>
    </xf>
    <xf numFmtId="0" fontId="3" fillId="4" borderId="18" xfId="2" applyFont="1" applyFill="1" applyBorder="1" applyAlignment="1">
      <alignment horizontal="center" vertical="center" wrapText="1"/>
    </xf>
    <xf numFmtId="0" fontId="3" fillId="4" borderId="19" xfId="2" applyFont="1" applyFill="1" applyBorder="1" applyAlignment="1">
      <alignment horizontal="center" vertical="center" wrapText="1"/>
    </xf>
    <xf numFmtId="0" fontId="3" fillId="4" borderId="1" xfId="2" applyFont="1" applyFill="1" applyBorder="1" applyAlignment="1">
      <alignment horizontal="center" vertical="center"/>
    </xf>
    <xf numFmtId="0" fontId="3" fillId="4" borderId="20" xfId="2" applyFont="1" applyFill="1" applyBorder="1" applyAlignment="1">
      <alignment horizontal="center" vertical="center"/>
    </xf>
    <xf numFmtId="14" fontId="10" fillId="2" borderId="7" xfId="1" applyNumberFormat="1" applyFont="1" applyFill="1" applyBorder="1" applyAlignment="1">
      <alignment horizontal="center" vertical="center" wrapText="1"/>
    </xf>
    <xf numFmtId="14" fontId="10" fillId="2" borderId="13" xfId="1" applyNumberFormat="1" applyFont="1" applyFill="1" applyBorder="1" applyAlignment="1">
      <alignment horizontal="center" vertical="center" wrapText="1"/>
    </xf>
    <xf numFmtId="14" fontId="10" fillId="2" borderId="24" xfId="1" applyNumberFormat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left"/>
    </xf>
    <xf numFmtId="0" fontId="10" fillId="2" borderId="10" xfId="1" applyFont="1" applyFill="1" applyBorder="1" applyAlignment="1">
      <alignment horizontal="left"/>
    </xf>
    <xf numFmtId="0" fontId="10" fillId="2" borderId="11" xfId="1" applyFont="1" applyFill="1" applyBorder="1" applyAlignment="1">
      <alignment horizontal="left"/>
    </xf>
    <xf numFmtId="0" fontId="10" fillId="2" borderId="40" xfId="1" applyFont="1" applyFill="1" applyBorder="1" applyAlignment="1">
      <alignment horizontal="center"/>
    </xf>
    <xf numFmtId="0" fontId="10" fillId="2" borderId="41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30" xfId="1" applyFont="1" applyFill="1" applyBorder="1" applyAlignment="1">
      <alignment horizontal="center"/>
    </xf>
    <xf numFmtId="0" fontId="10" fillId="2" borderId="38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21" xfId="1" applyFont="1" applyFill="1" applyBorder="1" applyAlignment="1">
      <alignment horizontal="center"/>
    </xf>
    <xf numFmtId="0" fontId="3" fillId="2" borderId="22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3" fillId="3" borderId="27" xfId="1" applyFont="1" applyFill="1" applyBorder="1" applyAlignment="1">
      <alignment horizontal="center" vertical="center" wrapText="1"/>
    </xf>
    <xf numFmtId="0" fontId="3" fillId="3" borderId="28" xfId="1" applyFont="1" applyFill="1" applyBorder="1" applyAlignment="1">
      <alignment horizontal="center" vertical="center" wrapText="1"/>
    </xf>
    <xf numFmtId="0" fontId="3" fillId="3" borderId="29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right" vertical="top" wrapText="1"/>
    </xf>
    <xf numFmtId="0" fontId="3" fillId="2" borderId="12" xfId="1" applyFont="1" applyFill="1" applyBorder="1" applyAlignment="1">
      <alignment horizontal="right" vertical="top" wrapText="1"/>
    </xf>
    <xf numFmtId="0" fontId="3" fillId="2" borderId="17" xfId="1" applyFont="1" applyFill="1" applyBorder="1" applyAlignment="1">
      <alignment horizontal="right" vertical="top" wrapText="1"/>
    </xf>
    <xf numFmtId="0" fontId="10" fillId="2" borderId="2" xfId="1" applyFont="1" applyFill="1" applyBorder="1" applyAlignment="1">
      <alignment horizontal="center"/>
    </xf>
  </cellXfs>
  <cellStyles count="49">
    <cellStyle name="20% - Énfasis1" xfId="26" builtinId="30" customBuiltin="1"/>
    <cellStyle name="20% - Énfasis2" xfId="30" builtinId="34" customBuiltin="1"/>
    <cellStyle name="20% - Énfasis3" xfId="34" builtinId="38" customBuiltin="1"/>
    <cellStyle name="20% - Énfasis4" xfId="38" builtinId="42" customBuiltin="1"/>
    <cellStyle name="20% - Énfasis5" xfId="42" builtinId="46" customBuiltin="1"/>
    <cellStyle name="20% - Énfasis6" xfId="46" builtinId="50" customBuiltin="1"/>
    <cellStyle name="40% - Énfasis1" xfId="27" builtinId="31" customBuiltin="1"/>
    <cellStyle name="40% - Énfasis2" xfId="31" builtinId="35" customBuiltin="1"/>
    <cellStyle name="40% - Énfasis3" xfId="35" builtinId="39" customBuiltin="1"/>
    <cellStyle name="40% - Énfasis4" xfId="39" builtinId="43" customBuiltin="1"/>
    <cellStyle name="40% - Énfasis5" xfId="43" builtinId="47" customBuiltin="1"/>
    <cellStyle name="40% - Énfasis6" xfId="47" builtinId="51" customBuiltin="1"/>
    <cellStyle name="60% - Énfasis1" xfId="28" builtinId="32" customBuiltin="1"/>
    <cellStyle name="60% - Énfasis2" xfId="32" builtinId="36" customBuiltin="1"/>
    <cellStyle name="60% - Énfasis3" xfId="36" builtinId="40" customBuiltin="1"/>
    <cellStyle name="60% - Énfasis4" xfId="40" builtinId="44" customBuiltin="1"/>
    <cellStyle name="60% - Énfasis5" xfId="44" builtinId="48" customBuiltin="1"/>
    <cellStyle name="60% - Énfasis6" xfId="48" builtinId="52" customBuiltin="1"/>
    <cellStyle name="Bueno" xfId="13" builtinId="26" customBuiltin="1"/>
    <cellStyle name="Cálculo" xfId="18" builtinId="22" customBuiltin="1"/>
    <cellStyle name="Celda de comprobación" xfId="20" builtinId="23" customBuiltin="1"/>
    <cellStyle name="Celda vinculada" xfId="19" builtinId="24" customBuiltin="1"/>
    <cellStyle name="Encabezado 1" xfId="9" builtinId="16" customBuiltin="1"/>
    <cellStyle name="Encabezado 4" xfId="12" builtinId="19" customBuiltin="1"/>
    <cellStyle name="Énfasis1" xfId="25" builtinId="29" customBuiltin="1"/>
    <cellStyle name="Énfasis2" xfId="29" builtinId="33" customBuiltin="1"/>
    <cellStyle name="Énfasis3" xfId="33" builtinId="37" customBuiltin="1"/>
    <cellStyle name="Énfasis4" xfId="37" builtinId="41" customBuiltin="1"/>
    <cellStyle name="Énfasis5" xfId="41" builtinId="45" customBuiltin="1"/>
    <cellStyle name="Énfasis6" xfId="45" builtinId="49" customBuiltin="1"/>
    <cellStyle name="Entrada" xfId="16" builtinId="20" customBuiltin="1"/>
    <cellStyle name="Incorrecto" xfId="14" builtinId="27" customBuiltin="1"/>
    <cellStyle name="Millares" xfId="5" builtinId="3"/>
    <cellStyle name="Neutral" xfId="15" builtinId="28" customBuiltin="1"/>
    <cellStyle name="Normal" xfId="0" builtinId="0"/>
    <cellStyle name="Normal 2" xfId="2" xr:uid="{B5AA4338-EA66-4845-8DC2-EC2F06D397A5}"/>
    <cellStyle name="Normal 3" xfId="3" xr:uid="{8F7C7497-99BA-4E14-A8E1-4CBE2CA6DB49}"/>
    <cellStyle name="Normal 3 2" xfId="7" xr:uid="{D50F6941-5E65-477C-8477-9F9F3F360CF3}"/>
    <cellStyle name="Normal_CRITERIOS DE EVALUACION PT DE GB" xfId="1" xr:uid="{1B1A5FC7-A787-41F7-AF3B-55BAA45D7A49}"/>
    <cellStyle name="Normal_CRITERIOS DE EVALUACION PT DE GB 2" xfId="6" xr:uid="{5B35592D-0ABE-469D-B7A9-C5E44A550C08}"/>
    <cellStyle name="Notas" xfId="22" builtinId="10" customBuiltin="1"/>
    <cellStyle name="Porcentaje 2" xfId="4" xr:uid="{93325CB0-3C0D-4819-9246-6F1CC86FE858}"/>
    <cellStyle name="Salida" xfId="17" builtinId="21" customBuiltin="1"/>
    <cellStyle name="Texto de advertencia" xfId="21" builtinId="11" customBuiltin="1"/>
    <cellStyle name="Texto explicativo" xfId="23" builtinId="53" customBuiltin="1"/>
    <cellStyle name="Título" xfId="8" builtinId="15" customBuiltin="1"/>
    <cellStyle name="Título 2" xfId="10" builtinId="17" customBuiltin="1"/>
    <cellStyle name="Título 3" xfId="11" builtinId="18" customBuiltin="1"/>
    <cellStyle name="Total" xfId="24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201707</xdr:rowOff>
    </xdr:from>
    <xdr:to>
      <xdr:col>1</xdr:col>
      <xdr:colOff>584274</xdr:colOff>
      <xdr:row>3</xdr:row>
      <xdr:rowOff>145678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2B9DB48-0627-4242-A72C-BC7B7835C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65" y="403413"/>
          <a:ext cx="1223009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E6D8-313D-4FD3-B317-639D4E64FBB2}">
  <dimension ref="A1:L42"/>
  <sheetViews>
    <sheetView tabSelected="1" zoomScale="85" zoomScaleNormal="85" workbookViewId="0">
      <selection activeCell="C1" sqref="C1:G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27" customWidth="1"/>
    <col min="9" max="9" width="27.7109375" bestFit="1" customWidth="1"/>
  </cols>
  <sheetData>
    <row r="1" spans="1:12" ht="17.25" x14ac:dyDescent="0.3">
      <c r="A1" s="148"/>
      <c r="B1" s="149"/>
      <c r="C1" s="154" t="s">
        <v>0</v>
      </c>
      <c r="D1" s="154"/>
      <c r="E1" s="154"/>
      <c r="F1" s="154"/>
      <c r="G1" s="154"/>
      <c r="H1" s="7" t="s">
        <v>1</v>
      </c>
      <c r="I1" s="164" t="s">
        <v>48</v>
      </c>
    </row>
    <row r="2" spans="1:12" ht="18" customHeight="1" thickBot="1" x14ac:dyDescent="0.35">
      <c r="A2" s="150"/>
      <c r="B2" s="151"/>
      <c r="C2" s="155" t="s">
        <v>2</v>
      </c>
      <c r="D2" s="156"/>
      <c r="E2" s="156"/>
      <c r="F2" s="156"/>
      <c r="G2" s="157"/>
      <c r="H2" s="8" t="s">
        <v>3</v>
      </c>
      <c r="I2" s="9" t="s">
        <v>127</v>
      </c>
    </row>
    <row r="3" spans="1:12" ht="31.5" customHeight="1" thickBot="1" x14ac:dyDescent="0.3">
      <c r="A3" s="150"/>
      <c r="B3" s="151"/>
      <c r="C3" s="158" t="s">
        <v>128</v>
      </c>
      <c r="D3" s="159"/>
      <c r="E3" s="159"/>
      <c r="F3" s="159"/>
      <c r="G3" s="160"/>
      <c r="H3" s="161" t="s">
        <v>4</v>
      </c>
      <c r="I3" s="142">
        <v>45611</v>
      </c>
    </row>
    <row r="4" spans="1:12" ht="18" customHeight="1" x14ac:dyDescent="0.3">
      <c r="A4" s="150"/>
      <c r="B4" s="151"/>
      <c r="C4" s="10" t="s">
        <v>5</v>
      </c>
      <c r="D4" s="145" t="s">
        <v>6</v>
      </c>
      <c r="E4" s="146"/>
      <c r="F4" s="146"/>
      <c r="G4" s="147"/>
      <c r="H4" s="162"/>
      <c r="I4" s="143"/>
    </row>
    <row r="5" spans="1:12" ht="18" thickBot="1" x14ac:dyDescent="0.35">
      <c r="A5" s="152"/>
      <c r="B5" s="153"/>
      <c r="C5" s="11" t="s">
        <v>7</v>
      </c>
      <c r="D5" s="88" t="s">
        <v>8</v>
      </c>
      <c r="E5" s="89"/>
      <c r="F5" s="89"/>
      <c r="G5" s="90"/>
      <c r="H5" s="163"/>
      <c r="I5" s="144"/>
    </row>
    <row r="6" spans="1:12" ht="16.5" thickBot="1" x14ac:dyDescent="0.3">
      <c r="A6" s="133" t="s">
        <v>32</v>
      </c>
      <c r="B6" s="133"/>
      <c r="C6" s="133"/>
      <c r="D6" s="134" t="s">
        <v>33</v>
      </c>
      <c r="E6" s="134"/>
      <c r="F6" s="134"/>
      <c r="G6" s="135" t="s">
        <v>34</v>
      </c>
      <c r="H6" s="135"/>
      <c r="I6" s="12" t="s">
        <v>33</v>
      </c>
    </row>
    <row r="7" spans="1:12" ht="18.75" x14ac:dyDescent="0.3">
      <c r="A7" s="136" t="s">
        <v>9</v>
      </c>
      <c r="B7" s="138" t="s">
        <v>35</v>
      </c>
      <c r="C7" s="140" t="s">
        <v>10</v>
      </c>
      <c r="D7" s="140" t="s">
        <v>11</v>
      </c>
      <c r="E7" s="140" t="s">
        <v>12</v>
      </c>
      <c r="F7" s="140"/>
      <c r="G7" s="140" t="s">
        <v>36</v>
      </c>
      <c r="H7" s="140"/>
      <c r="I7" s="13" t="s">
        <v>37</v>
      </c>
      <c r="L7" s="6"/>
    </row>
    <row r="8" spans="1:12" ht="31.5" thickBot="1" x14ac:dyDescent="0.3">
      <c r="A8" s="137"/>
      <c r="B8" s="139"/>
      <c r="C8" s="141"/>
      <c r="D8" s="141"/>
      <c r="E8" s="14" t="s">
        <v>14</v>
      </c>
      <c r="F8" s="15" t="s">
        <v>15</v>
      </c>
      <c r="G8" s="14" t="s">
        <v>14</v>
      </c>
      <c r="H8" s="15" t="s">
        <v>15</v>
      </c>
      <c r="I8" s="16" t="s">
        <v>38</v>
      </c>
    </row>
    <row r="9" spans="1:12" ht="15.75" x14ac:dyDescent="0.25">
      <c r="A9" s="17"/>
      <c r="B9" s="18"/>
      <c r="C9" s="19" t="s">
        <v>39</v>
      </c>
      <c r="D9" s="20"/>
      <c r="E9" s="21"/>
      <c r="F9" s="22"/>
      <c r="G9" s="21"/>
      <c r="H9" s="22"/>
      <c r="I9" s="23"/>
    </row>
    <row r="10" spans="1:12" ht="18" customHeight="1" x14ac:dyDescent="0.3">
      <c r="A10" s="24">
        <v>903000189</v>
      </c>
      <c r="B10" s="24" t="s">
        <v>28</v>
      </c>
      <c r="C10" s="25" t="s">
        <v>26</v>
      </c>
      <c r="D10" s="26" t="s">
        <v>16</v>
      </c>
      <c r="E10" s="2">
        <v>9</v>
      </c>
      <c r="F10" s="27" t="s">
        <v>17</v>
      </c>
      <c r="G10" s="28"/>
      <c r="H10" s="29"/>
      <c r="I10" s="23"/>
    </row>
    <row r="11" spans="1:12" ht="15.75" x14ac:dyDescent="0.25">
      <c r="A11" s="30"/>
      <c r="B11" s="30"/>
      <c r="C11" s="31"/>
      <c r="D11" s="30"/>
      <c r="E11" s="32"/>
      <c r="F11" s="32"/>
      <c r="G11" s="33"/>
      <c r="H11" s="34"/>
      <c r="I11" s="23"/>
    </row>
    <row r="12" spans="1:12" ht="15.75" x14ac:dyDescent="0.25">
      <c r="A12" s="35"/>
      <c r="B12" s="35"/>
      <c r="C12" s="37"/>
      <c r="D12" s="2"/>
      <c r="E12" s="2"/>
      <c r="F12" s="27"/>
      <c r="G12" s="21"/>
      <c r="H12" s="22"/>
      <c r="I12" s="23"/>
    </row>
    <row r="13" spans="1:12" ht="15.75" x14ac:dyDescent="0.25">
      <c r="A13" s="38"/>
      <c r="B13" s="39"/>
      <c r="C13" s="3" t="s">
        <v>40</v>
      </c>
      <c r="D13" s="1"/>
      <c r="E13" s="40"/>
      <c r="F13" s="27"/>
      <c r="G13" s="21"/>
      <c r="H13" s="22"/>
      <c r="I13" s="23"/>
    </row>
    <row r="14" spans="1:12" ht="15.75" x14ac:dyDescent="0.25">
      <c r="A14" s="35"/>
      <c r="B14" s="35"/>
      <c r="C14" s="37"/>
      <c r="D14" s="41"/>
      <c r="E14" s="42"/>
      <c r="F14" s="43"/>
      <c r="G14" s="21"/>
      <c r="H14" s="22"/>
      <c r="I14" s="23"/>
    </row>
    <row r="15" spans="1:12" ht="15.75" x14ac:dyDescent="0.25">
      <c r="A15" s="44"/>
      <c r="B15" s="45"/>
      <c r="C15" s="4" t="s">
        <v>41</v>
      </c>
      <c r="D15" s="46"/>
      <c r="E15" s="47"/>
      <c r="F15" s="22"/>
      <c r="G15" s="21"/>
      <c r="H15" s="5"/>
      <c r="I15" s="23"/>
    </row>
    <row r="16" spans="1:12" ht="17.25" x14ac:dyDescent="0.3">
      <c r="A16" s="51" t="s">
        <v>29</v>
      </c>
      <c r="B16" s="51" t="s">
        <v>30</v>
      </c>
      <c r="C16" s="52" t="s">
        <v>31</v>
      </c>
      <c r="D16" s="49" t="s">
        <v>42</v>
      </c>
      <c r="E16" s="28">
        <v>1</v>
      </c>
      <c r="F16" s="29" t="s">
        <v>17</v>
      </c>
      <c r="G16" s="50"/>
      <c r="H16" s="22"/>
      <c r="I16" s="23"/>
    </row>
    <row r="17" spans="1:9" ht="17.25" x14ac:dyDescent="0.3">
      <c r="A17" s="48"/>
      <c r="B17" s="35" t="s">
        <v>49</v>
      </c>
      <c r="C17" s="36" t="s">
        <v>50</v>
      </c>
      <c r="D17" s="53" t="s">
        <v>43</v>
      </c>
      <c r="E17" s="54" t="s">
        <v>58</v>
      </c>
      <c r="F17" s="29" t="s">
        <v>17</v>
      </c>
      <c r="G17" s="50"/>
      <c r="H17" s="22"/>
      <c r="I17" s="23"/>
    </row>
    <row r="18" spans="1:9" ht="17.25" x14ac:dyDescent="0.3">
      <c r="A18" s="55"/>
      <c r="B18" s="35" t="s">
        <v>51</v>
      </c>
      <c r="C18" s="5" t="s">
        <v>52</v>
      </c>
      <c r="D18" s="56"/>
      <c r="E18" s="57" t="s">
        <v>53</v>
      </c>
      <c r="F18" s="29" t="s">
        <v>17</v>
      </c>
      <c r="G18" s="21"/>
      <c r="H18" s="22"/>
      <c r="I18" s="23"/>
    </row>
    <row r="19" spans="1:9" ht="17.25" x14ac:dyDescent="0.3">
      <c r="A19" s="58"/>
      <c r="B19" t="s">
        <v>59</v>
      </c>
      <c r="C19" t="s">
        <v>60</v>
      </c>
      <c r="D19" s="56"/>
      <c r="E19" s="59">
        <v>1</v>
      </c>
      <c r="F19" s="29" t="s">
        <v>17</v>
      </c>
      <c r="G19" s="21"/>
      <c r="H19" s="22"/>
      <c r="I19" s="23"/>
    </row>
    <row r="20" spans="1:9" ht="15.75" x14ac:dyDescent="0.25">
      <c r="A20" s="38"/>
      <c r="B20" s="39"/>
      <c r="C20" s="60"/>
      <c r="D20" s="1"/>
      <c r="E20" s="1"/>
      <c r="F20" s="27"/>
      <c r="G20" s="1"/>
      <c r="H20" s="1"/>
      <c r="I20" s="23"/>
    </row>
    <row r="21" spans="1:9" ht="18" thickBot="1" x14ac:dyDescent="0.35">
      <c r="A21" s="61"/>
      <c r="B21" s="62"/>
      <c r="C21" s="63"/>
      <c r="D21" s="63"/>
      <c r="E21" s="64"/>
      <c r="F21" s="65"/>
      <c r="G21" s="63"/>
      <c r="H21" s="63"/>
      <c r="I21" s="66"/>
    </row>
    <row r="22" spans="1:9" ht="18" thickBot="1" x14ac:dyDescent="0.35">
      <c r="A22" s="67"/>
      <c r="B22" s="68"/>
      <c r="C22" s="69"/>
      <c r="D22" s="70" t="s">
        <v>14</v>
      </c>
      <c r="E22" s="71" t="s">
        <v>13</v>
      </c>
      <c r="F22" s="72"/>
      <c r="G22" s="69"/>
      <c r="H22" s="69"/>
      <c r="I22" s="73"/>
    </row>
    <row r="23" spans="1:9" ht="17.25" x14ac:dyDescent="0.3">
      <c r="A23" s="127" t="s">
        <v>19</v>
      </c>
      <c r="B23" s="128"/>
      <c r="C23" s="129"/>
      <c r="D23" s="28">
        <v>450</v>
      </c>
      <c r="E23" s="74" t="s">
        <v>18</v>
      </c>
      <c r="F23" s="130" t="s">
        <v>44</v>
      </c>
      <c r="G23" s="130"/>
      <c r="H23" s="131"/>
      <c r="I23" s="132"/>
    </row>
    <row r="24" spans="1:9" ht="17.25" x14ac:dyDescent="0.3">
      <c r="A24" s="110" t="s">
        <v>20</v>
      </c>
      <c r="B24" s="111"/>
      <c r="C24" s="112"/>
      <c r="D24" s="75">
        <v>1</v>
      </c>
      <c r="E24" s="76" t="s">
        <v>27</v>
      </c>
      <c r="F24" s="113" t="s">
        <v>21</v>
      </c>
      <c r="G24" s="113"/>
      <c r="H24" s="114"/>
      <c r="I24" s="115"/>
    </row>
    <row r="25" spans="1:9" ht="17.25" x14ac:dyDescent="0.3">
      <c r="A25" s="110" t="s">
        <v>22</v>
      </c>
      <c r="B25" s="111"/>
      <c r="C25" s="112"/>
      <c r="D25" s="76">
        <v>9</v>
      </c>
      <c r="E25" s="76" t="s">
        <v>17</v>
      </c>
      <c r="F25" s="113" t="s">
        <v>45</v>
      </c>
      <c r="G25" s="113"/>
      <c r="H25" s="114"/>
      <c r="I25" s="115"/>
    </row>
    <row r="26" spans="1:9" ht="17.25" x14ac:dyDescent="0.3">
      <c r="A26" s="110" t="s">
        <v>23</v>
      </c>
      <c r="B26" s="111"/>
      <c r="C26" s="112"/>
      <c r="D26" s="77">
        <v>50</v>
      </c>
      <c r="E26" s="76" t="s">
        <v>18</v>
      </c>
      <c r="F26" s="116" t="s">
        <v>46</v>
      </c>
      <c r="G26" s="117"/>
      <c r="H26" s="114"/>
      <c r="I26" s="115"/>
    </row>
    <row r="27" spans="1:9" ht="18" thickBot="1" x14ac:dyDescent="0.35">
      <c r="A27" s="118" t="s">
        <v>24</v>
      </c>
      <c r="B27" s="119"/>
      <c r="C27" s="120"/>
      <c r="D27" s="78">
        <v>0</v>
      </c>
      <c r="E27" s="79" t="s">
        <v>18</v>
      </c>
      <c r="F27" s="121"/>
      <c r="G27" s="121"/>
      <c r="H27" s="122"/>
      <c r="I27" s="123"/>
    </row>
    <row r="28" spans="1:9" ht="16.5" thickBot="1" x14ac:dyDescent="0.3">
      <c r="A28" s="124" t="s">
        <v>25</v>
      </c>
      <c r="B28" s="125"/>
      <c r="C28" s="125"/>
      <c r="D28" s="125"/>
      <c r="E28" s="125"/>
      <c r="F28" s="125"/>
      <c r="G28" s="125"/>
      <c r="H28" s="125"/>
      <c r="I28" s="126"/>
    </row>
    <row r="29" spans="1:9" ht="18.399999999999999" customHeight="1" x14ac:dyDescent="0.25">
      <c r="A29" s="93" t="s">
        <v>61</v>
      </c>
      <c r="B29" s="94"/>
      <c r="C29" s="95"/>
      <c r="D29" s="95"/>
      <c r="E29" s="95"/>
      <c r="F29" s="95"/>
      <c r="G29" s="95"/>
      <c r="H29" s="95"/>
      <c r="I29" s="96"/>
    </row>
    <row r="30" spans="1:9" ht="14.65" customHeight="1" x14ac:dyDescent="0.25">
      <c r="A30" s="93" t="s">
        <v>62</v>
      </c>
      <c r="B30" s="94"/>
      <c r="C30" s="95"/>
      <c r="D30" s="95"/>
      <c r="E30" s="95"/>
      <c r="F30" s="95"/>
      <c r="G30" s="95"/>
      <c r="H30" s="95"/>
      <c r="I30" s="96"/>
    </row>
    <row r="31" spans="1:9" ht="14.65" customHeight="1" x14ac:dyDescent="0.25">
      <c r="A31" s="93" t="s">
        <v>56</v>
      </c>
      <c r="B31" s="94"/>
      <c r="C31" s="95"/>
      <c r="D31" s="95"/>
      <c r="E31" s="95"/>
      <c r="F31" s="95"/>
      <c r="G31" s="95"/>
      <c r="H31" s="95"/>
      <c r="I31" s="96"/>
    </row>
    <row r="32" spans="1:9" ht="14.65" customHeight="1" x14ac:dyDescent="0.3">
      <c r="A32" s="97"/>
      <c r="B32" s="98"/>
      <c r="C32" s="99"/>
      <c r="D32" s="99"/>
      <c r="E32" s="99"/>
      <c r="F32" s="99"/>
      <c r="G32" s="99"/>
      <c r="H32" s="99"/>
      <c r="I32" s="100"/>
    </row>
    <row r="33" spans="1:9" ht="14.65" customHeight="1" x14ac:dyDescent="0.25">
      <c r="A33" s="101"/>
      <c r="B33" s="102"/>
      <c r="C33" s="102"/>
      <c r="D33" s="102"/>
      <c r="E33" s="102"/>
      <c r="F33" s="102"/>
      <c r="G33" s="102"/>
      <c r="H33" s="102"/>
      <c r="I33" s="103"/>
    </row>
    <row r="34" spans="1:9" ht="15.75" x14ac:dyDescent="0.25">
      <c r="A34" s="104"/>
      <c r="B34" s="105"/>
      <c r="C34" s="105"/>
      <c r="D34" s="105"/>
      <c r="E34" s="105"/>
      <c r="F34" s="105"/>
      <c r="G34" s="105"/>
      <c r="H34" s="105"/>
      <c r="I34" s="106"/>
    </row>
    <row r="35" spans="1:9" ht="18" customHeight="1" x14ac:dyDescent="0.25">
      <c r="A35" s="101"/>
      <c r="B35" s="102"/>
      <c r="C35" s="102"/>
      <c r="D35" s="102"/>
      <c r="E35" s="102"/>
      <c r="F35" s="102"/>
      <c r="G35" s="102"/>
      <c r="H35" s="102"/>
      <c r="I35" s="103"/>
    </row>
    <row r="36" spans="1:9" ht="17.25" x14ac:dyDescent="0.3">
      <c r="A36" s="107"/>
      <c r="B36" s="108"/>
      <c r="C36" s="108"/>
      <c r="D36" s="108"/>
      <c r="E36" s="108"/>
      <c r="F36" s="108"/>
      <c r="G36" s="108"/>
      <c r="H36" s="108"/>
      <c r="I36" s="109"/>
    </row>
    <row r="37" spans="1:9" ht="18" thickBot="1" x14ac:dyDescent="0.35">
      <c r="A37" s="83"/>
      <c r="B37" s="84"/>
      <c r="C37" s="84"/>
      <c r="D37" s="84"/>
      <c r="E37" s="84"/>
      <c r="F37" s="84"/>
      <c r="G37" s="84"/>
      <c r="H37" s="84"/>
      <c r="I37" s="85"/>
    </row>
    <row r="38" spans="1:9" ht="15.75" x14ac:dyDescent="0.25">
      <c r="A38" s="86" t="s">
        <v>47</v>
      </c>
      <c r="B38" s="87"/>
      <c r="C38" s="87"/>
      <c r="D38" s="87"/>
      <c r="E38" s="87"/>
      <c r="F38" s="87"/>
      <c r="G38" s="87"/>
      <c r="H38" s="87"/>
      <c r="I38" s="87"/>
    </row>
    <row r="39" spans="1:9" ht="17.25" x14ac:dyDescent="0.3">
      <c r="A39" s="88" t="s">
        <v>54</v>
      </c>
      <c r="B39" s="89"/>
      <c r="C39" s="89"/>
      <c r="D39" s="89"/>
      <c r="E39" s="89"/>
      <c r="F39" s="89"/>
      <c r="G39" s="89"/>
      <c r="H39" s="89"/>
      <c r="I39" s="90"/>
    </row>
    <row r="40" spans="1:9" ht="17.25" x14ac:dyDescent="0.3">
      <c r="A40" s="91" t="s">
        <v>55</v>
      </c>
      <c r="B40" s="92"/>
      <c r="C40" s="92"/>
      <c r="D40" s="92"/>
      <c r="E40" s="92"/>
      <c r="F40" s="92"/>
      <c r="G40" s="92"/>
      <c r="H40" s="92"/>
      <c r="I40" s="92"/>
    </row>
    <row r="41" spans="1:9" x14ac:dyDescent="0.25">
      <c r="A41" s="80" t="s">
        <v>57</v>
      </c>
      <c r="B41" s="81"/>
      <c r="C41" s="81"/>
      <c r="D41" s="81"/>
      <c r="E41" s="81"/>
      <c r="F41" s="81"/>
      <c r="G41" s="81"/>
      <c r="H41" s="81"/>
      <c r="I41" s="82"/>
    </row>
    <row r="42" spans="1:9" x14ac:dyDescent="0.25">
      <c r="A42" t="s">
        <v>63</v>
      </c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30:I30"/>
    <mergeCell ref="A25:C25"/>
    <mergeCell ref="F25:G25"/>
    <mergeCell ref="H25:I25"/>
    <mergeCell ref="A26:C26"/>
    <mergeCell ref="F26:G26"/>
    <mergeCell ref="H26:I26"/>
    <mergeCell ref="A27:C27"/>
    <mergeCell ref="F27:G27"/>
    <mergeCell ref="H27:I27"/>
    <mergeCell ref="A28:I28"/>
    <mergeCell ref="A29:I29"/>
    <mergeCell ref="A37:I37"/>
    <mergeCell ref="A38:I38"/>
    <mergeCell ref="A39:I39"/>
    <mergeCell ref="A40:I40"/>
    <mergeCell ref="A31:I31"/>
    <mergeCell ref="A32:I32"/>
    <mergeCell ref="A33:I33"/>
    <mergeCell ref="A34:I34"/>
    <mergeCell ref="A35:I35"/>
    <mergeCell ref="A36:I36"/>
  </mergeCells>
  <pageMargins left="0.7" right="0.7" top="0.75" bottom="0.75" header="0.3" footer="0.3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EE02-8A31-4A10-B3DB-47A85AE0ABDC}">
  <dimension ref="A2:L28"/>
  <sheetViews>
    <sheetView topLeftCell="A7" workbookViewId="0">
      <selection activeCell="L27" sqref="L27"/>
    </sheetView>
  </sheetViews>
  <sheetFormatPr baseColWidth="10" defaultRowHeight="15" x14ac:dyDescent="0.25"/>
  <sheetData>
    <row r="2" spans="1:2" x14ac:dyDescent="0.25">
      <c r="A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  <row r="7" spans="1:2" x14ac:dyDescent="0.25">
      <c r="A7" t="s">
        <v>73</v>
      </c>
      <c r="B7" t="s">
        <v>74</v>
      </c>
    </row>
    <row r="8" spans="1:2" x14ac:dyDescent="0.25">
      <c r="A8" t="s">
        <v>75</v>
      </c>
      <c r="B8" t="s">
        <v>76</v>
      </c>
    </row>
    <row r="9" spans="1:2" x14ac:dyDescent="0.25">
      <c r="A9" t="s">
        <v>77</v>
      </c>
      <c r="B9" t="s">
        <v>78</v>
      </c>
    </row>
    <row r="10" spans="1:2" x14ac:dyDescent="0.25">
      <c r="A10" t="s">
        <v>79</v>
      </c>
      <c r="B10" t="s">
        <v>80</v>
      </c>
    </row>
    <row r="11" spans="1:2" x14ac:dyDescent="0.25">
      <c r="A11" t="s">
        <v>81</v>
      </c>
      <c r="B11" t="s">
        <v>82</v>
      </c>
    </row>
    <row r="12" spans="1:2" x14ac:dyDescent="0.25">
      <c r="A12" t="s">
        <v>83</v>
      </c>
      <c r="B12" t="s">
        <v>53</v>
      </c>
    </row>
    <row r="13" spans="1:2" x14ac:dyDescent="0.25">
      <c r="A13" t="s">
        <v>84</v>
      </c>
      <c r="B13" t="s">
        <v>85</v>
      </c>
    </row>
    <row r="14" spans="1:2" x14ac:dyDescent="0.25">
      <c r="A14" t="s">
        <v>86</v>
      </c>
      <c r="B14" t="s">
        <v>87</v>
      </c>
    </row>
    <row r="17" spans="1:12" x14ac:dyDescent="0.25">
      <c r="A17" t="s">
        <v>88</v>
      </c>
      <c r="B17" t="s">
        <v>89</v>
      </c>
    </row>
    <row r="18" spans="1:12" x14ac:dyDescent="0.25">
      <c r="A18" t="s">
        <v>90</v>
      </c>
      <c r="B18" t="s">
        <v>91</v>
      </c>
    </row>
    <row r="20" spans="1:12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</row>
    <row r="21" spans="1:12" x14ac:dyDescent="0.25">
      <c r="A21" t="s">
        <v>103</v>
      </c>
      <c r="B21" t="s">
        <v>53</v>
      </c>
      <c r="C21" t="s">
        <v>104</v>
      </c>
      <c r="D21" t="s">
        <v>105</v>
      </c>
      <c r="E21" t="s">
        <v>106</v>
      </c>
      <c r="F21" t="s">
        <v>105</v>
      </c>
      <c r="G21" t="s">
        <v>105</v>
      </c>
      <c r="H21" t="s">
        <v>105</v>
      </c>
      <c r="I21" t="s">
        <v>107</v>
      </c>
      <c r="J21" t="s">
        <v>101</v>
      </c>
      <c r="K21" t="s">
        <v>108</v>
      </c>
      <c r="L21">
        <v>374.99</v>
      </c>
    </row>
    <row r="22" spans="1:12" x14ac:dyDescent="0.25">
      <c r="A22" t="s">
        <v>109</v>
      </c>
      <c r="B22" t="s">
        <v>53</v>
      </c>
      <c r="C22" t="s">
        <v>110</v>
      </c>
      <c r="D22" t="s">
        <v>105</v>
      </c>
      <c r="E22" t="s">
        <v>106</v>
      </c>
      <c r="F22" t="s">
        <v>105</v>
      </c>
      <c r="G22" t="s">
        <v>105</v>
      </c>
      <c r="H22" t="s">
        <v>105</v>
      </c>
      <c r="I22" t="s">
        <v>111</v>
      </c>
      <c r="J22" t="s">
        <v>101</v>
      </c>
      <c r="K22" t="s">
        <v>112</v>
      </c>
      <c r="L22">
        <v>311.68</v>
      </c>
    </row>
    <row r="23" spans="1:12" x14ac:dyDescent="0.25">
      <c r="A23" t="s">
        <v>51</v>
      </c>
      <c r="B23" t="s">
        <v>53</v>
      </c>
      <c r="C23" t="s">
        <v>52</v>
      </c>
      <c r="D23" t="s">
        <v>53</v>
      </c>
      <c r="E23" t="s">
        <v>106</v>
      </c>
      <c r="F23" t="s">
        <v>53</v>
      </c>
      <c r="G23" t="s">
        <v>53</v>
      </c>
      <c r="H23" t="s">
        <v>53</v>
      </c>
      <c r="I23" t="s">
        <v>113</v>
      </c>
      <c r="J23" t="s">
        <v>101</v>
      </c>
      <c r="K23" t="s">
        <v>113</v>
      </c>
      <c r="L23">
        <v>30.5</v>
      </c>
    </row>
    <row r="24" spans="1:12" x14ac:dyDescent="0.25">
      <c r="A24" t="s">
        <v>30</v>
      </c>
      <c r="B24" t="s">
        <v>53</v>
      </c>
      <c r="C24" t="s">
        <v>114</v>
      </c>
      <c r="D24" t="s">
        <v>53</v>
      </c>
      <c r="E24" t="s">
        <v>106</v>
      </c>
      <c r="F24" t="s">
        <v>53</v>
      </c>
      <c r="G24" t="s">
        <v>53</v>
      </c>
      <c r="H24" t="s">
        <v>53</v>
      </c>
      <c r="I24" t="s">
        <v>115</v>
      </c>
      <c r="J24" t="s">
        <v>101</v>
      </c>
      <c r="K24" t="s">
        <v>116</v>
      </c>
      <c r="L24">
        <v>1.79</v>
      </c>
    </row>
    <row r="25" spans="1:12" x14ac:dyDescent="0.25">
      <c r="A25" t="s">
        <v>117</v>
      </c>
      <c r="B25" t="s">
        <v>53</v>
      </c>
      <c r="C25" t="s">
        <v>118</v>
      </c>
      <c r="D25" t="s">
        <v>119</v>
      </c>
      <c r="E25" t="s">
        <v>106</v>
      </c>
      <c r="F25" t="s">
        <v>119</v>
      </c>
      <c r="G25" t="s">
        <v>119</v>
      </c>
      <c r="H25" t="s">
        <v>119</v>
      </c>
      <c r="I25" t="s">
        <v>120</v>
      </c>
      <c r="J25" t="s">
        <v>121</v>
      </c>
      <c r="K25" t="s">
        <v>122</v>
      </c>
      <c r="L25">
        <v>11</v>
      </c>
    </row>
    <row r="26" spans="1:12" x14ac:dyDescent="0.25">
      <c r="A26" t="s">
        <v>28</v>
      </c>
      <c r="B26" t="s">
        <v>53</v>
      </c>
      <c r="C26" t="s">
        <v>123</v>
      </c>
      <c r="D26" t="s">
        <v>124</v>
      </c>
      <c r="E26" t="s">
        <v>106</v>
      </c>
      <c r="F26" t="s">
        <v>124</v>
      </c>
      <c r="G26" t="s">
        <v>124</v>
      </c>
      <c r="H26" t="s">
        <v>124</v>
      </c>
      <c r="I26" t="s">
        <v>125</v>
      </c>
      <c r="J26" t="s">
        <v>101</v>
      </c>
      <c r="K26" t="s">
        <v>126</v>
      </c>
      <c r="L26">
        <v>687.3</v>
      </c>
    </row>
    <row r="27" spans="1:12" x14ac:dyDescent="0.25">
      <c r="L27">
        <f>SUM(L21:L26)</f>
        <v>1417.26</v>
      </c>
    </row>
    <row r="28" spans="1:12" x14ac:dyDescent="0.25">
      <c r="L28">
        <f>+L27/6</f>
        <v>236.21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3C074-224A-47D4-BDE1-66B3D08DFCD4}">
  <dimension ref="A2:N28"/>
  <sheetViews>
    <sheetView topLeftCell="A13" workbookViewId="0">
      <selection activeCell="I31" sqref="I31"/>
    </sheetView>
  </sheetViews>
  <sheetFormatPr baseColWidth="10" defaultRowHeight="15" x14ac:dyDescent="0.25"/>
  <sheetData>
    <row r="2" spans="1:2" x14ac:dyDescent="0.25">
      <c r="A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  <row r="7" spans="1:2" x14ac:dyDescent="0.25">
      <c r="A7" t="s">
        <v>73</v>
      </c>
      <c r="B7" t="s">
        <v>74</v>
      </c>
    </row>
    <row r="8" spans="1:2" x14ac:dyDescent="0.25">
      <c r="A8" t="s">
        <v>75</v>
      </c>
      <c r="B8" t="s">
        <v>76</v>
      </c>
    </row>
    <row r="9" spans="1:2" x14ac:dyDescent="0.25">
      <c r="A9" t="s">
        <v>77</v>
      </c>
      <c r="B9" t="s">
        <v>78</v>
      </c>
    </row>
    <row r="10" spans="1:2" x14ac:dyDescent="0.25">
      <c r="A10" t="s">
        <v>79</v>
      </c>
      <c r="B10" t="s">
        <v>80</v>
      </c>
    </row>
    <row r="11" spans="1:2" x14ac:dyDescent="0.25">
      <c r="A11" t="s">
        <v>81</v>
      </c>
      <c r="B11" t="s">
        <v>82</v>
      </c>
    </row>
    <row r="12" spans="1:2" x14ac:dyDescent="0.25">
      <c r="A12" t="s">
        <v>83</v>
      </c>
      <c r="B12" t="s">
        <v>53</v>
      </c>
    </row>
    <row r="13" spans="1:2" x14ac:dyDescent="0.25">
      <c r="A13" t="s">
        <v>84</v>
      </c>
      <c r="B13" t="s">
        <v>85</v>
      </c>
    </row>
    <row r="14" spans="1:2" x14ac:dyDescent="0.25">
      <c r="A14" t="s">
        <v>86</v>
      </c>
      <c r="B14" t="s">
        <v>87</v>
      </c>
    </row>
    <row r="17" spans="1:14" x14ac:dyDescent="0.25">
      <c r="A17" t="s">
        <v>88</v>
      </c>
      <c r="B17" t="s">
        <v>89</v>
      </c>
    </row>
    <row r="18" spans="1:14" x14ac:dyDescent="0.25">
      <c r="A18" t="s">
        <v>90</v>
      </c>
      <c r="B18" t="s">
        <v>91</v>
      </c>
    </row>
    <row r="20" spans="1:14" x14ac:dyDescent="0.2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101</v>
      </c>
      <c r="K20" t="s">
        <v>102</v>
      </c>
    </row>
    <row r="21" spans="1:14" x14ac:dyDescent="0.25">
      <c r="A21" t="s">
        <v>103</v>
      </c>
      <c r="B21" t="s">
        <v>53</v>
      </c>
      <c r="C21" t="s">
        <v>104</v>
      </c>
      <c r="D21" t="s">
        <v>105</v>
      </c>
      <c r="E21" t="s">
        <v>106</v>
      </c>
      <c r="F21" t="s">
        <v>105</v>
      </c>
      <c r="G21" t="s">
        <v>105</v>
      </c>
      <c r="H21" t="s">
        <v>105</v>
      </c>
      <c r="I21" t="s">
        <v>107</v>
      </c>
      <c r="J21" t="s">
        <v>101</v>
      </c>
      <c r="K21" t="s">
        <v>108</v>
      </c>
      <c r="L21">
        <v>374.99</v>
      </c>
    </row>
    <row r="22" spans="1:14" x14ac:dyDescent="0.25">
      <c r="A22" t="s">
        <v>109</v>
      </c>
      <c r="B22" t="s">
        <v>53</v>
      </c>
      <c r="C22" t="s">
        <v>110</v>
      </c>
      <c r="D22" t="s">
        <v>105</v>
      </c>
      <c r="E22" t="s">
        <v>106</v>
      </c>
      <c r="F22" t="s">
        <v>105</v>
      </c>
      <c r="G22" t="s">
        <v>105</v>
      </c>
      <c r="H22" t="s">
        <v>105</v>
      </c>
      <c r="I22" t="s">
        <v>111</v>
      </c>
      <c r="J22" t="s">
        <v>101</v>
      </c>
      <c r="K22" t="s">
        <v>112</v>
      </c>
      <c r="L22">
        <v>311.68</v>
      </c>
    </row>
    <row r="23" spans="1:14" x14ac:dyDescent="0.25">
      <c r="A23" t="s">
        <v>51</v>
      </c>
      <c r="B23" t="s">
        <v>53</v>
      </c>
      <c r="C23" t="s">
        <v>52</v>
      </c>
      <c r="D23" t="s">
        <v>53</v>
      </c>
      <c r="E23" t="s">
        <v>106</v>
      </c>
      <c r="F23" t="s">
        <v>53</v>
      </c>
      <c r="G23" t="s">
        <v>53</v>
      </c>
      <c r="H23" t="s">
        <v>53</v>
      </c>
      <c r="I23" t="s">
        <v>113</v>
      </c>
      <c r="J23" t="s">
        <v>101</v>
      </c>
      <c r="K23" t="s">
        <v>113</v>
      </c>
      <c r="L23">
        <v>30.5</v>
      </c>
    </row>
    <row r="24" spans="1:14" x14ac:dyDescent="0.25">
      <c r="A24" t="s">
        <v>30</v>
      </c>
      <c r="B24" t="s">
        <v>53</v>
      </c>
      <c r="C24" t="s">
        <v>114</v>
      </c>
      <c r="D24" t="s">
        <v>53</v>
      </c>
      <c r="E24" t="s">
        <v>106</v>
      </c>
      <c r="F24" t="s">
        <v>53</v>
      </c>
      <c r="G24" t="s">
        <v>53</v>
      </c>
      <c r="H24" t="s">
        <v>53</v>
      </c>
      <c r="I24" t="s">
        <v>115</v>
      </c>
      <c r="J24" t="s">
        <v>101</v>
      </c>
      <c r="K24" t="s">
        <v>116</v>
      </c>
      <c r="L24">
        <v>1.79</v>
      </c>
    </row>
    <row r="25" spans="1:14" x14ac:dyDescent="0.25">
      <c r="A25" t="s">
        <v>117</v>
      </c>
      <c r="B25" t="s">
        <v>53</v>
      </c>
      <c r="C25" t="s">
        <v>118</v>
      </c>
      <c r="D25" t="s">
        <v>119</v>
      </c>
      <c r="E25" t="s">
        <v>106</v>
      </c>
      <c r="F25" t="s">
        <v>119</v>
      </c>
      <c r="G25" t="s">
        <v>119</v>
      </c>
      <c r="H25" t="s">
        <v>119</v>
      </c>
      <c r="I25" t="s">
        <v>120</v>
      </c>
      <c r="J25" t="s">
        <v>121</v>
      </c>
      <c r="K25" t="s">
        <v>122</v>
      </c>
      <c r="L25">
        <v>11</v>
      </c>
    </row>
    <row r="26" spans="1:14" x14ac:dyDescent="0.25">
      <c r="A26" t="s">
        <v>28</v>
      </c>
      <c r="B26" t="s">
        <v>53</v>
      </c>
      <c r="C26" t="s">
        <v>123</v>
      </c>
      <c r="D26">
        <v>9</v>
      </c>
      <c r="E26" t="s">
        <v>106</v>
      </c>
      <c r="F26">
        <v>9</v>
      </c>
      <c r="G26">
        <v>9</v>
      </c>
      <c r="H26">
        <v>9</v>
      </c>
      <c r="I26" t="s">
        <v>125</v>
      </c>
      <c r="J26" t="s">
        <v>101</v>
      </c>
      <c r="K26" t="s">
        <v>126</v>
      </c>
      <c r="L26">
        <f>9*114.55</f>
        <v>1030.95</v>
      </c>
      <c r="N26">
        <f>9*687.3</f>
        <v>6185.7</v>
      </c>
    </row>
    <row r="27" spans="1:14" x14ac:dyDescent="0.25">
      <c r="L27">
        <f>SUM(L21:L26)</f>
        <v>1760.91</v>
      </c>
    </row>
    <row r="28" spans="1:14" x14ac:dyDescent="0.25">
      <c r="L28">
        <f>+L27/9</f>
        <v>195.65666666666667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8ECFB39-7926-4925-ADF6-CDF1C6B152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A65CBC-556A-437E-BC79-CB3CD81BB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22A874-0289-4B24-BFDB-962A3E1AD3F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Costo Actual </vt:lpstr>
      <vt:lpstr>Costo Nuevo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Allan Brenes</cp:lastModifiedBy>
  <cp:lastPrinted>2025-05-12T15:22:07Z</cp:lastPrinted>
  <dcterms:created xsi:type="dcterms:W3CDTF">2021-09-08T20:34:30Z</dcterms:created>
  <dcterms:modified xsi:type="dcterms:W3CDTF">2025-05-12T15:23:07Z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313600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
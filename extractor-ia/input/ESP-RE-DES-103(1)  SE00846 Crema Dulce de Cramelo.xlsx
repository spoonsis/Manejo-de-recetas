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DECO/SPOON/"/>
    </mc:Choice>
  </mc:AlternateContent>
  <xr:revisionPtr revIDLastSave="5" documentId="8_{58520027-BE81-4938-A582-39FBA23A186F}" xr6:coauthVersionLast="47" xr6:coauthVersionMax="47" xr10:uidLastSave="{C1731938-5044-4A47-B55D-F2CC374EF9C7}"/>
  <bookViews>
    <workbookView xWindow="-120" yWindow="-120" windowWidth="20730" windowHeight="11040" tabRatio="874" firstSheet="15" activeTab="15" xr2:uid="{86A95AF8-34C1-4DB7-AE30-E3F9DEB6557E}"/>
  </bookViews>
  <sheets>
    <sheet name="Ensamble" sheetId="7" state="hidden" r:id="rId1"/>
    <sheet name="Rosquete Easy Vainilla " sheetId="26" state="hidden" r:id="rId2"/>
    <sheet name="Batido" sheetId="27" state="hidden" r:id="rId3"/>
    <sheet name="Premezcla " sheetId="28" state="hidden" r:id="rId4"/>
    <sheet name="Leches Pasteurizada con Agua" sheetId="29" state="hidden" r:id="rId5"/>
    <sheet name="Mezcla leche Pasteurizada " sheetId="30" state="hidden" r:id="rId6"/>
    <sheet name="Crema Dulce de leche " sheetId="31" state="hidden" r:id="rId7"/>
    <sheet name="Ganache Chocolate Blanco" sheetId="32" state="hidden" r:id="rId8"/>
    <sheet name="Ganache Chocolate Oscuro" sheetId="33" state="hidden" r:id="rId9"/>
    <sheet name="Ganache Dulce leche" sheetId="34" state="hidden" r:id="rId10"/>
    <sheet name="Costo Ensamble " sheetId="22" state="hidden" r:id="rId11"/>
    <sheet name="Costo Mezcla Mani Arroz" sheetId="21" state="hidden" r:id="rId12"/>
    <sheet name="Mani tostado" sheetId="25" state="hidden" r:id="rId13"/>
    <sheet name="Costo Choco Mani y arroz inf" sheetId="20" state="hidden" r:id="rId14"/>
    <sheet name="Costo Procesado" sheetId="19" state="hidden" r:id="rId15"/>
    <sheet name="Crema Dulce de Caramelo " sheetId="10" r:id="rId16"/>
    <sheet name="Crema Dulce" sheetId="24" state="hidden" r:id="rId17"/>
    <sheet name="Costo Crema Dulce Caramelo" sheetId="18" state="hidden" r:id="rId18"/>
    <sheet name="Costo Pelado choco Choys" sheetId="17" state="hidden" r:id="rId19"/>
  </sheets>
  <externalReferences>
    <externalReference r:id="rId20"/>
    <externalReference r:id="rId21"/>
  </externalReferences>
  <definedNames>
    <definedName name="_xlnm.Print_Area" localSheetId="15">'Crema Dulce de Caramelo '!$A$1:$I$29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0" l="1"/>
  <c r="K11" i="10" s="1"/>
  <c r="J10" i="10"/>
  <c r="D51" i="34" l="1"/>
  <c r="K11" i="34"/>
  <c r="J11" i="34"/>
  <c r="K10" i="34"/>
  <c r="J10" i="34"/>
  <c r="J19" i="28" l="1"/>
  <c r="K19" i="28" s="1"/>
  <c r="K18" i="28"/>
  <c r="J18" i="28"/>
  <c r="K17" i="28"/>
  <c r="J17" i="28"/>
  <c r="K16" i="28"/>
  <c r="J16" i="28"/>
  <c r="J15" i="28"/>
  <c r="K15" i="28" s="1"/>
  <c r="K14" i="28"/>
  <c r="J14" i="28"/>
  <c r="J13" i="28"/>
  <c r="K13" i="28" s="1"/>
  <c r="J12" i="28"/>
  <c r="K12" i="28" s="1"/>
  <c r="J11" i="28"/>
  <c r="K11" i="28" s="1"/>
  <c r="K10" i="28"/>
  <c r="J10" i="28"/>
  <c r="J14" i="27" l="1"/>
  <c r="K14" i="27" s="1"/>
  <c r="J13" i="27"/>
  <c r="K13" i="27" s="1"/>
  <c r="J12" i="27"/>
  <c r="K12" i="27" s="1"/>
  <c r="J11" i="27"/>
  <c r="K11" i="27" s="1"/>
  <c r="J10" i="27"/>
  <c r="D43" i="26"/>
  <c r="D41" i="26"/>
  <c r="K19" i="26"/>
  <c r="K11" i="26"/>
  <c r="K10" i="26"/>
  <c r="L10" i="26" s="1"/>
  <c r="D23" i="25"/>
  <c r="J19" i="25"/>
  <c r="E36" i="22" l="1"/>
  <c r="D36" i="22"/>
  <c r="C36" i="22"/>
  <c r="B36" i="22"/>
  <c r="E35" i="22"/>
  <c r="F35" i="22" s="1"/>
  <c r="D35" i="22"/>
  <c r="C35" i="22"/>
  <c r="B35" i="22"/>
  <c r="F34" i="22"/>
  <c r="D34" i="22"/>
  <c r="C34" i="22"/>
  <c r="B34" i="22"/>
  <c r="E68" i="22"/>
  <c r="D68" i="22"/>
  <c r="B68" i="22"/>
  <c r="E67" i="22"/>
  <c r="D67" i="22"/>
  <c r="B67" i="22"/>
  <c r="E66" i="22"/>
  <c r="E54" i="22"/>
  <c r="D54" i="22"/>
  <c r="B54" i="22"/>
  <c r="A54" i="22"/>
  <c r="C54" i="22" s="1"/>
  <c r="E53" i="22"/>
  <c r="D53" i="22"/>
  <c r="B53" i="22"/>
  <c r="A53" i="22"/>
  <c r="C53" i="22" s="1"/>
  <c r="A52" i="22"/>
  <c r="C52" i="22" s="1"/>
  <c r="A51" i="22"/>
  <c r="C51" i="22" s="1"/>
  <c r="A50" i="22"/>
  <c r="C50" i="22" s="1"/>
  <c r="A49" i="22"/>
  <c r="C49" i="22" s="1"/>
  <c r="A48" i="22"/>
  <c r="C48" i="22" s="1"/>
  <c r="A47" i="22"/>
  <c r="C47" i="22" s="1"/>
  <c r="A46" i="22"/>
  <c r="C46" i="22" s="1"/>
  <c r="A45" i="22"/>
  <c r="C45" i="22" s="1"/>
  <c r="A44" i="22"/>
  <c r="C44" i="22" s="1"/>
  <c r="E29" i="22"/>
  <c r="F29" i="22" s="1"/>
  <c r="D29" i="22"/>
  <c r="C29" i="22"/>
  <c r="B29" i="22"/>
  <c r="E28" i="22"/>
  <c r="D28" i="22"/>
  <c r="C28" i="22"/>
  <c r="B28" i="22"/>
  <c r="E27" i="22"/>
  <c r="F27" i="22" s="1"/>
  <c r="D27" i="22"/>
  <c r="C27" i="22"/>
  <c r="B27" i="22"/>
  <c r="C26" i="22"/>
  <c r="C25" i="22"/>
  <c r="C24" i="22"/>
  <c r="F24" i="22" s="1"/>
  <c r="C23" i="22"/>
  <c r="C22" i="22"/>
  <c r="C21" i="22"/>
  <c r="F21" i="22" s="1"/>
  <c r="C20" i="22"/>
  <c r="C19" i="22"/>
  <c r="C18" i="22"/>
  <c r="F18" i="22" s="1"/>
  <c r="D91" i="22"/>
  <c r="D92" i="22" s="1"/>
  <c r="D94" i="22" s="1"/>
  <c r="D89" i="22"/>
  <c r="D87" i="22"/>
  <c r="F83" i="22"/>
  <c r="E69" i="22" s="1"/>
  <c r="D78" i="22"/>
  <c r="D103" i="22" s="1"/>
  <c r="D104" i="22" s="1"/>
  <c r="C69" i="22"/>
  <c r="A43" i="22"/>
  <c r="C43" i="22" s="1"/>
  <c r="E40" i="22"/>
  <c r="D40" i="22"/>
  <c r="C40" i="22"/>
  <c r="B40" i="22"/>
  <c r="E39" i="22"/>
  <c r="D39" i="22"/>
  <c r="C39" i="22"/>
  <c r="B39" i="22"/>
  <c r="C38" i="22"/>
  <c r="E37" i="22"/>
  <c r="D37" i="22"/>
  <c r="C37" i="22"/>
  <c r="B37" i="22"/>
  <c r="E33" i="22"/>
  <c r="D33" i="22"/>
  <c r="C33" i="22"/>
  <c r="B33" i="22"/>
  <c r="E32" i="22"/>
  <c r="D32" i="22"/>
  <c r="C32" i="22"/>
  <c r="B32" i="22"/>
  <c r="C17" i="22"/>
  <c r="B15" i="22"/>
  <c r="E14" i="22"/>
  <c r="D14" i="22"/>
  <c r="C14" i="22"/>
  <c r="B14" i="22"/>
  <c r="E13" i="22"/>
  <c r="D13" i="22"/>
  <c r="C13" i="22"/>
  <c r="B13" i="22"/>
  <c r="E12" i="22"/>
  <c r="D12" i="22"/>
  <c r="C12" i="22"/>
  <c r="B12" i="22"/>
  <c r="E11" i="22"/>
  <c r="D11" i="22"/>
  <c r="C11" i="22"/>
  <c r="B11" i="22"/>
  <c r="E10" i="22"/>
  <c r="D10" i="22"/>
  <c r="C10" i="22"/>
  <c r="B10" i="22"/>
  <c r="E9" i="22"/>
  <c r="D9" i="22"/>
  <c r="C9" i="22"/>
  <c r="B9" i="22"/>
  <c r="D8" i="22"/>
  <c r="C8" i="22"/>
  <c r="B8" i="22"/>
  <c r="H6" i="22"/>
  <c r="D73" i="21"/>
  <c r="D74" i="21" s="1"/>
  <c r="D76" i="21" s="1"/>
  <c r="D71" i="21"/>
  <c r="D69" i="21"/>
  <c r="F65" i="21"/>
  <c r="C73" i="21" s="1"/>
  <c r="C85" i="21" s="1"/>
  <c r="D60" i="21"/>
  <c r="D83" i="21" s="1"/>
  <c r="C51" i="21"/>
  <c r="E50" i="21"/>
  <c r="D50" i="21"/>
  <c r="B50" i="21"/>
  <c r="E49" i="21"/>
  <c r="D49" i="21"/>
  <c r="B49" i="21"/>
  <c r="E48" i="21"/>
  <c r="D48" i="21"/>
  <c r="B48" i="21"/>
  <c r="E47" i="21"/>
  <c r="D47" i="21"/>
  <c r="B47" i="21"/>
  <c r="E46" i="21"/>
  <c r="D46" i="21"/>
  <c r="B46" i="21"/>
  <c r="E45" i="21"/>
  <c r="D45" i="21"/>
  <c r="B45" i="21"/>
  <c r="A45" i="21"/>
  <c r="C45" i="21" s="1"/>
  <c r="E41" i="21"/>
  <c r="D41" i="21"/>
  <c r="B41" i="21"/>
  <c r="A41" i="21"/>
  <c r="A50" i="21" s="1"/>
  <c r="C50" i="21" s="1"/>
  <c r="E40" i="21"/>
  <c r="D40" i="21"/>
  <c r="B40" i="21"/>
  <c r="A40" i="21"/>
  <c r="C40" i="21" s="1"/>
  <c r="E39" i="21"/>
  <c r="D39" i="21"/>
  <c r="B39" i="21"/>
  <c r="A39" i="21"/>
  <c r="C39" i="21" s="1"/>
  <c r="E38" i="21"/>
  <c r="D38" i="21"/>
  <c r="B38" i="21"/>
  <c r="A38" i="21"/>
  <c r="C38" i="21" s="1"/>
  <c r="E37" i="21"/>
  <c r="D37" i="21"/>
  <c r="B37" i="21"/>
  <c r="A37" i="21"/>
  <c r="A46" i="21" s="1"/>
  <c r="C46" i="21" s="1"/>
  <c r="E36" i="21"/>
  <c r="D36" i="21"/>
  <c r="C36" i="21"/>
  <c r="B36" i="21"/>
  <c r="A36" i="21"/>
  <c r="A35" i="21"/>
  <c r="A44" i="21" s="1"/>
  <c r="C44" i="21" s="1"/>
  <c r="E32" i="21"/>
  <c r="F32" i="21" s="1"/>
  <c r="D32" i="21"/>
  <c r="C32" i="21"/>
  <c r="B32" i="21"/>
  <c r="E31" i="21"/>
  <c r="F31" i="21" s="1"/>
  <c r="D31" i="21"/>
  <c r="C31" i="21"/>
  <c r="B31" i="21"/>
  <c r="E30" i="21"/>
  <c r="F30" i="21" s="1"/>
  <c r="D30" i="21"/>
  <c r="C30" i="21"/>
  <c r="B30" i="21"/>
  <c r="E29" i="21"/>
  <c r="D29" i="21"/>
  <c r="C29" i="21"/>
  <c r="B29" i="21"/>
  <c r="C28" i="21"/>
  <c r="C27" i="21"/>
  <c r="F27" i="21" s="1"/>
  <c r="E24" i="21"/>
  <c r="F24" i="21" s="1"/>
  <c r="D24" i="21"/>
  <c r="C24" i="21"/>
  <c r="B24" i="21"/>
  <c r="E23" i="21"/>
  <c r="D23" i="21"/>
  <c r="C23" i="21"/>
  <c r="B23" i="21"/>
  <c r="E22" i="21"/>
  <c r="F22" i="21" s="1"/>
  <c r="D22" i="21"/>
  <c r="C22" i="21"/>
  <c r="B22" i="21"/>
  <c r="E21" i="21"/>
  <c r="F21" i="21" s="1"/>
  <c r="D21" i="21"/>
  <c r="C21" i="21"/>
  <c r="B21" i="21"/>
  <c r="E20" i="21"/>
  <c r="D20" i="21"/>
  <c r="C20" i="21"/>
  <c r="B20" i="21"/>
  <c r="E19" i="21"/>
  <c r="F19" i="21" s="1"/>
  <c r="D19" i="21"/>
  <c r="C19" i="21"/>
  <c r="B19" i="21"/>
  <c r="E18" i="21"/>
  <c r="F18" i="21" s="1"/>
  <c r="D18" i="21"/>
  <c r="C18" i="21"/>
  <c r="B18" i="21"/>
  <c r="C17" i="21"/>
  <c r="B15" i="21"/>
  <c r="E14" i="21"/>
  <c r="F14" i="21" s="1"/>
  <c r="D14" i="21"/>
  <c r="C14" i="21"/>
  <c r="B14" i="21"/>
  <c r="E13" i="21"/>
  <c r="F13" i="21" s="1"/>
  <c r="D13" i="21"/>
  <c r="C13" i="21"/>
  <c r="B13" i="21"/>
  <c r="E12" i="21"/>
  <c r="D12" i="21"/>
  <c r="C12" i="21"/>
  <c r="B12" i="21"/>
  <c r="E11" i="21"/>
  <c r="F11" i="21" s="1"/>
  <c r="D11" i="21"/>
  <c r="C11" i="21"/>
  <c r="B11" i="21"/>
  <c r="E10" i="21"/>
  <c r="F10" i="21" s="1"/>
  <c r="D10" i="21"/>
  <c r="C10" i="21"/>
  <c r="B10" i="21"/>
  <c r="E9" i="21"/>
  <c r="D9" i="21"/>
  <c r="C9" i="21"/>
  <c r="B9" i="21"/>
  <c r="C8" i="21"/>
  <c r="H6" i="21"/>
  <c r="D83" i="20"/>
  <c r="D81" i="20"/>
  <c r="D73" i="20"/>
  <c r="D74" i="20" s="1"/>
  <c r="D76" i="20" s="1"/>
  <c r="D71" i="20"/>
  <c r="D69" i="20"/>
  <c r="F65" i="20"/>
  <c r="E51" i="20" s="1"/>
  <c r="F51" i="20" s="1"/>
  <c r="D60" i="20"/>
  <c r="D85" i="20" s="1"/>
  <c r="D86" i="20" s="1"/>
  <c r="C51" i="20"/>
  <c r="E50" i="20"/>
  <c r="D50" i="20"/>
  <c r="B50" i="20"/>
  <c r="E49" i="20"/>
  <c r="D49" i="20"/>
  <c r="B49" i="20"/>
  <c r="E48" i="20"/>
  <c r="D48" i="20"/>
  <c r="B48" i="20"/>
  <c r="E47" i="20"/>
  <c r="D47" i="20"/>
  <c r="B47" i="20"/>
  <c r="E46" i="20"/>
  <c r="D46" i="20"/>
  <c r="B46" i="20"/>
  <c r="E45" i="20"/>
  <c r="D45" i="20"/>
  <c r="B45" i="20"/>
  <c r="E41" i="20"/>
  <c r="D41" i="20"/>
  <c r="B41" i="20"/>
  <c r="A41" i="20"/>
  <c r="A50" i="20" s="1"/>
  <c r="C50" i="20" s="1"/>
  <c r="E40" i="20"/>
  <c r="D40" i="20"/>
  <c r="B40" i="20"/>
  <c r="A40" i="20"/>
  <c r="C40" i="20" s="1"/>
  <c r="E39" i="20"/>
  <c r="D39" i="20"/>
  <c r="B39" i="20"/>
  <c r="A39" i="20"/>
  <c r="C39" i="20" s="1"/>
  <c r="E38" i="20"/>
  <c r="D38" i="20"/>
  <c r="B38" i="20"/>
  <c r="A38" i="20"/>
  <c r="C38" i="20" s="1"/>
  <c r="E37" i="20"/>
  <c r="F37" i="20" s="1"/>
  <c r="D37" i="20"/>
  <c r="C37" i="20"/>
  <c r="B37" i="20"/>
  <c r="A37" i="20"/>
  <c r="A46" i="20" s="1"/>
  <c r="C46" i="20" s="1"/>
  <c r="E36" i="20"/>
  <c r="D36" i="20"/>
  <c r="B36" i="20"/>
  <c r="A36" i="20"/>
  <c r="A45" i="20" s="1"/>
  <c r="C45" i="20" s="1"/>
  <c r="A35" i="20"/>
  <c r="C35" i="20" s="1"/>
  <c r="E32" i="20"/>
  <c r="F32" i="20" s="1"/>
  <c r="D32" i="20"/>
  <c r="C32" i="20"/>
  <c r="B32" i="20"/>
  <c r="E31" i="20"/>
  <c r="D31" i="20"/>
  <c r="C31" i="20"/>
  <c r="B31" i="20"/>
  <c r="E30" i="20"/>
  <c r="F30" i="20" s="1"/>
  <c r="D30" i="20"/>
  <c r="C30" i="20"/>
  <c r="B30" i="20"/>
  <c r="E29" i="20"/>
  <c r="F29" i="20" s="1"/>
  <c r="D29" i="20"/>
  <c r="C29" i="20"/>
  <c r="B29" i="20"/>
  <c r="C28" i="20"/>
  <c r="F27" i="20"/>
  <c r="C27" i="20"/>
  <c r="E24" i="20"/>
  <c r="F24" i="20" s="1"/>
  <c r="D24" i="20"/>
  <c r="C24" i="20"/>
  <c r="B24" i="20"/>
  <c r="E23" i="20"/>
  <c r="D23" i="20"/>
  <c r="C23" i="20"/>
  <c r="B23" i="20"/>
  <c r="E22" i="20"/>
  <c r="F22" i="20" s="1"/>
  <c r="D22" i="20"/>
  <c r="C22" i="20"/>
  <c r="B22" i="20"/>
  <c r="E21" i="20"/>
  <c r="F21" i="20" s="1"/>
  <c r="D21" i="20"/>
  <c r="C21" i="20"/>
  <c r="B21" i="20"/>
  <c r="E20" i="20"/>
  <c r="F20" i="20" s="1"/>
  <c r="D20" i="20"/>
  <c r="C20" i="20"/>
  <c r="B20" i="20"/>
  <c r="E19" i="20"/>
  <c r="F19" i="20" s="1"/>
  <c r="D19" i="20"/>
  <c r="C19" i="20"/>
  <c r="B19" i="20"/>
  <c r="E18" i="20"/>
  <c r="F18" i="20" s="1"/>
  <c r="D18" i="20"/>
  <c r="C18" i="20"/>
  <c r="B18" i="20"/>
  <c r="C17" i="20"/>
  <c r="B15" i="20"/>
  <c r="E14" i="20"/>
  <c r="F14" i="20" s="1"/>
  <c r="D14" i="20"/>
  <c r="C14" i="20"/>
  <c r="B14" i="20"/>
  <c r="E13" i="20"/>
  <c r="F13" i="20" s="1"/>
  <c r="D13" i="20"/>
  <c r="C13" i="20"/>
  <c r="B13" i="20"/>
  <c r="E12" i="20"/>
  <c r="D12" i="20"/>
  <c r="C12" i="20"/>
  <c r="B12" i="20"/>
  <c r="E11" i="20"/>
  <c r="F11" i="20" s="1"/>
  <c r="D11" i="20"/>
  <c r="C11" i="20"/>
  <c r="B11" i="20"/>
  <c r="E10" i="20"/>
  <c r="F10" i="20" s="1"/>
  <c r="D10" i="20"/>
  <c r="C10" i="20"/>
  <c r="B10" i="20"/>
  <c r="F9" i="20"/>
  <c r="C9" i="20"/>
  <c r="C8" i="20"/>
  <c r="H6" i="20"/>
  <c r="D73" i="19"/>
  <c r="D74" i="19" s="1"/>
  <c r="D76" i="19" s="1"/>
  <c r="D71" i="19"/>
  <c r="D69" i="19"/>
  <c r="F65" i="19"/>
  <c r="E51" i="19" s="1"/>
  <c r="F51" i="19" s="1"/>
  <c r="D60" i="19"/>
  <c r="D83" i="19" s="1"/>
  <c r="C51" i="19"/>
  <c r="E50" i="19"/>
  <c r="D50" i="19"/>
  <c r="B50" i="19"/>
  <c r="E49" i="19"/>
  <c r="D49" i="19"/>
  <c r="B49" i="19"/>
  <c r="E48" i="19"/>
  <c r="D48" i="19"/>
  <c r="B48" i="19"/>
  <c r="E47" i="19"/>
  <c r="D47" i="19"/>
  <c r="B47" i="19"/>
  <c r="E46" i="19"/>
  <c r="D46" i="19"/>
  <c r="B46" i="19"/>
  <c r="E45" i="19"/>
  <c r="D45" i="19"/>
  <c r="B45" i="19"/>
  <c r="E41" i="19"/>
  <c r="D41" i="19"/>
  <c r="B41" i="19"/>
  <c r="A41" i="19"/>
  <c r="A50" i="19" s="1"/>
  <c r="C50" i="19" s="1"/>
  <c r="E40" i="19"/>
  <c r="D40" i="19"/>
  <c r="C40" i="19"/>
  <c r="B40" i="19"/>
  <c r="A40" i="19"/>
  <c r="A49" i="19" s="1"/>
  <c r="C49" i="19" s="1"/>
  <c r="E39" i="19"/>
  <c r="D39" i="19"/>
  <c r="B39" i="19"/>
  <c r="A39" i="19"/>
  <c r="C39" i="19" s="1"/>
  <c r="E38" i="19"/>
  <c r="D38" i="19"/>
  <c r="B38" i="19"/>
  <c r="A38" i="19"/>
  <c r="A47" i="19" s="1"/>
  <c r="C47" i="19" s="1"/>
  <c r="E37" i="19"/>
  <c r="D37" i="19"/>
  <c r="B37" i="19"/>
  <c r="A37" i="19"/>
  <c r="A46" i="19" s="1"/>
  <c r="C46" i="19" s="1"/>
  <c r="E36" i="19"/>
  <c r="D36" i="19"/>
  <c r="C36" i="19"/>
  <c r="B36" i="19"/>
  <c r="A36" i="19"/>
  <c r="A45" i="19" s="1"/>
  <c r="C45" i="19" s="1"/>
  <c r="A35" i="19"/>
  <c r="C35" i="19" s="1"/>
  <c r="E32" i="19"/>
  <c r="D32" i="19"/>
  <c r="C32" i="19"/>
  <c r="B32" i="19"/>
  <c r="E31" i="19"/>
  <c r="D31" i="19"/>
  <c r="C31" i="19"/>
  <c r="B31" i="19"/>
  <c r="E30" i="19"/>
  <c r="D30" i="19"/>
  <c r="C30" i="19"/>
  <c r="B30" i="19"/>
  <c r="E29" i="19"/>
  <c r="D29" i="19"/>
  <c r="C29" i="19"/>
  <c r="B29" i="19"/>
  <c r="C28" i="19"/>
  <c r="C27" i="19"/>
  <c r="E24" i="19"/>
  <c r="F24" i="19" s="1"/>
  <c r="D24" i="19"/>
  <c r="C24" i="19"/>
  <c r="B24" i="19"/>
  <c r="E23" i="19"/>
  <c r="F23" i="19" s="1"/>
  <c r="D23" i="19"/>
  <c r="C23" i="19"/>
  <c r="B23" i="19"/>
  <c r="E22" i="19"/>
  <c r="F22" i="19" s="1"/>
  <c r="D22" i="19"/>
  <c r="C22" i="19"/>
  <c r="B22" i="19"/>
  <c r="E21" i="19"/>
  <c r="F21" i="19" s="1"/>
  <c r="D21" i="19"/>
  <c r="C21" i="19"/>
  <c r="B21" i="19"/>
  <c r="E20" i="19"/>
  <c r="F20" i="19" s="1"/>
  <c r="D20" i="19"/>
  <c r="C20" i="19"/>
  <c r="B20" i="19"/>
  <c r="E19" i="19"/>
  <c r="F19" i="19" s="1"/>
  <c r="D19" i="19"/>
  <c r="C19" i="19"/>
  <c r="B19" i="19"/>
  <c r="E18" i="19"/>
  <c r="F18" i="19" s="1"/>
  <c r="D18" i="19"/>
  <c r="C18" i="19"/>
  <c r="B18" i="19"/>
  <c r="C17" i="19"/>
  <c r="B15" i="19"/>
  <c r="E14" i="19"/>
  <c r="D14" i="19"/>
  <c r="C14" i="19"/>
  <c r="B14" i="19"/>
  <c r="E13" i="19"/>
  <c r="D13" i="19"/>
  <c r="C13" i="19"/>
  <c r="B13" i="19"/>
  <c r="E12" i="19"/>
  <c r="F12" i="19" s="1"/>
  <c r="D12" i="19"/>
  <c r="C12" i="19"/>
  <c r="B12" i="19"/>
  <c r="E11" i="19"/>
  <c r="D11" i="19"/>
  <c r="C11" i="19"/>
  <c r="B11" i="19"/>
  <c r="E10" i="19"/>
  <c r="D10" i="19"/>
  <c r="C10" i="19"/>
  <c r="B10" i="19"/>
  <c r="E9" i="19"/>
  <c r="D9" i="19"/>
  <c r="C9" i="19"/>
  <c r="B9" i="19"/>
  <c r="E8" i="19"/>
  <c r="C8" i="19"/>
  <c r="H6" i="19"/>
  <c r="D81" i="18"/>
  <c r="D73" i="18"/>
  <c r="D74" i="18" s="1"/>
  <c r="D76" i="18" s="1"/>
  <c r="D71" i="18"/>
  <c r="D69" i="18"/>
  <c r="F65" i="18"/>
  <c r="E51" i="18" s="1"/>
  <c r="D60" i="18"/>
  <c r="D85" i="18" s="1"/>
  <c r="D86" i="18" s="1"/>
  <c r="C51" i="18"/>
  <c r="E50" i="18"/>
  <c r="D50" i="18"/>
  <c r="B50" i="18"/>
  <c r="E49" i="18"/>
  <c r="D49" i="18"/>
  <c r="B49" i="18"/>
  <c r="E48" i="18"/>
  <c r="D48" i="18"/>
  <c r="B48" i="18"/>
  <c r="E47" i="18"/>
  <c r="D47" i="18"/>
  <c r="B47" i="18"/>
  <c r="E46" i="18"/>
  <c r="D46" i="18"/>
  <c r="B46" i="18"/>
  <c r="E45" i="18"/>
  <c r="F45" i="18" s="1"/>
  <c r="D45" i="18"/>
  <c r="B45" i="18"/>
  <c r="A45" i="18"/>
  <c r="C45" i="18" s="1"/>
  <c r="E41" i="18"/>
  <c r="D41" i="18"/>
  <c r="C41" i="18"/>
  <c r="B41" i="18"/>
  <c r="A41" i="18"/>
  <c r="A50" i="18" s="1"/>
  <c r="C50" i="18" s="1"/>
  <c r="E40" i="18"/>
  <c r="D40" i="18"/>
  <c r="B40" i="18"/>
  <c r="A40" i="18"/>
  <c r="C40" i="18" s="1"/>
  <c r="E39" i="18"/>
  <c r="D39" i="18"/>
  <c r="B39" i="18"/>
  <c r="A39" i="18"/>
  <c r="C39" i="18" s="1"/>
  <c r="E38" i="18"/>
  <c r="D38" i="18"/>
  <c r="B38" i="18"/>
  <c r="A38" i="18"/>
  <c r="C38" i="18" s="1"/>
  <c r="E37" i="18"/>
  <c r="D37" i="18"/>
  <c r="B37" i="18"/>
  <c r="A37" i="18"/>
  <c r="C37" i="18" s="1"/>
  <c r="E36" i="18"/>
  <c r="D36" i="18"/>
  <c r="C36" i="18"/>
  <c r="B36" i="18"/>
  <c r="A36" i="18"/>
  <c r="F35" i="18"/>
  <c r="A35" i="18"/>
  <c r="C35" i="18" s="1"/>
  <c r="E32" i="18"/>
  <c r="F32" i="18" s="1"/>
  <c r="D32" i="18"/>
  <c r="C32" i="18"/>
  <c r="B32" i="18"/>
  <c r="E31" i="18"/>
  <c r="F31" i="18" s="1"/>
  <c r="D31" i="18"/>
  <c r="C31" i="18"/>
  <c r="B31" i="18"/>
  <c r="E30" i="18"/>
  <c r="F30" i="18" s="1"/>
  <c r="D30" i="18"/>
  <c r="C30" i="18"/>
  <c r="B30" i="18"/>
  <c r="E29" i="18"/>
  <c r="D29" i="18"/>
  <c r="C29" i="18"/>
  <c r="B29" i="18"/>
  <c r="E28" i="18"/>
  <c r="F28" i="18" s="1"/>
  <c r="D28" i="18"/>
  <c r="C28" i="18"/>
  <c r="B28" i="18"/>
  <c r="E27" i="18"/>
  <c r="D27" i="18"/>
  <c r="C27" i="18"/>
  <c r="B27" i="18"/>
  <c r="E24" i="18"/>
  <c r="F24" i="18" s="1"/>
  <c r="D24" i="18"/>
  <c r="C24" i="18"/>
  <c r="B24" i="18"/>
  <c r="E23" i="18"/>
  <c r="F23" i="18" s="1"/>
  <c r="D23" i="18"/>
  <c r="C23" i="18"/>
  <c r="B23" i="18"/>
  <c r="E22" i="18"/>
  <c r="F22" i="18" s="1"/>
  <c r="D22" i="18"/>
  <c r="C22" i="18"/>
  <c r="B22" i="18"/>
  <c r="E21" i="18"/>
  <c r="F21" i="18" s="1"/>
  <c r="D21" i="18"/>
  <c r="C21" i="18"/>
  <c r="B21" i="18"/>
  <c r="E20" i="18"/>
  <c r="F20" i="18" s="1"/>
  <c r="D20" i="18"/>
  <c r="C20" i="18"/>
  <c r="B20" i="18"/>
  <c r="E19" i="18"/>
  <c r="F19" i="18" s="1"/>
  <c r="D19" i="18"/>
  <c r="C19" i="18"/>
  <c r="B19" i="18"/>
  <c r="E18" i="18"/>
  <c r="F18" i="18" s="1"/>
  <c r="D18" i="18"/>
  <c r="C18" i="18"/>
  <c r="B18" i="18"/>
  <c r="F17" i="18"/>
  <c r="C17" i="18"/>
  <c r="B15" i="18"/>
  <c r="E14" i="18"/>
  <c r="F14" i="18" s="1"/>
  <c r="D14" i="18"/>
  <c r="C14" i="18"/>
  <c r="B14" i="18"/>
  <c r="E13" i="18"/>
  <c r="D13" i="18"/>
  <c r="C13" i="18"/>
  <c r="B13" i="18"/>
  <c r="E12" i="18"/>
  <c r="F12" i="18" s="1"/>
  <c r="D12" i="18"/>
  <c r="C12" i="18"/>
  <c r="B12" i="18"/>
  <c r="E11" i="18"/>
  <c r="F11" i="18" s="1"/>
  <c r="D11" i="18"/>
  <c r="C11" i="18"/>
  <c r="B11" i="18"/>
  <c r="E10" i="18"/>
  <c r="F10" i="18" s="1"/>
  <c r="D10" i="18"/>
  <c r="C10" i="18"/>
  <c r="B10" i="18"/>
  <c r="E9" i="18"/>
  <c r="D9" i="18"/>
  <c r="C9" i="18"/>
  <c r="B9" i="18"/>
  <c r="C8" i="18"/>
  <c r="H6" i="18"/>
  <c r="M9" i="17"/>
  <c r="D73" i="17"/>
  <c r="D74" i="17" s="1"/>
  <c r="D76" i="17" s="1"/>
  <c r="D71" i="17"/>
  <c r="D69" i="17"/>
  <c r="F65" i="17"/>
  <c r="E51" i="17" s="1"/>
  <c r="D60" i="17"/>
  <c r="D85" i="17" s="1"/>
  <c r="D86" i="17" s="1"/>
  <c r="C51" i="17"/>
  <c r="E50" i="17"/>
  <c r="D50" i="17"/>
  <c r="B50" i="17"/>
  <c r="E49" i="17"/>
  <c r="D49" i="17"/>
  <c r="B49" i="17"/>
  <c r="E48" i="17"/>
  <c r="D48" i="17"/>
  <c r="B48" i="17"/>
  <c r="E47" i="17"/>
  <c r="D47" i="17"/>
  <c r="B47" i="17"/>
  <c r="E46" i="17"/>
  <c r="D46" i="17"/>
  <c r="B46" i="17"/>
  <c r="A46" i="17"/>
  <c r="C46" i="17" s="1"/>
  <c r="E45" i="17"/>
  <c r="D45" i="17"/>
  <c r="B45" i="17"/>
  <c r="E44" i="17"/>
  <c r="D44" i="17"/>
  <c r="B44" i="17"/>
  <c r="E41" i="17"/>
  <c r="D41" i="17"/>
  <c r="B41" i="17"/>
  <c r="A41" i="17"/>
  <c r="A50" i="17" s="1"/>
  <c r="C50" i="17" s="1"/>
  <c r="E40" i="17"/>
  <c r="D40" i="17"/>
  <c r="B40" i="17"/>
  <c r="A40" i="17"/>
  <c r="C40" i="17" s="1"/>
  <c r="E39" i="17"/>
  <c r="D39" i="17"/>
  <c r="B39" i="17"/>
  <c r="A39" i="17"/>
  <c r="C39" i="17" s="1"/>
  <c r="E38" i="17"/>
  <c r="D38" i="17"/>
  <c r="B38" i="17"/>
  <c r="A38" i="17"/>
  <c r="C38" i="17" s="1"/>
  <c r="E37" i="17"/>
  <c r="D37" i="17"/>
  <c r="B37" i="17"/>
  <c r="A37" i="17"/>
  <c r="C37" i="17" s="1"/>
  <c r="E36" i="17"/>
  <c r="D36" i="17"/>
  <c r="B36" i="17"/>
  <c r="A36" i="17"/>
  <c r="A45" i="17" s="1"/>
  <c r="C45" i="17" s="1"/>
  <c r="E35" i="17"/>
  <c r="D35" i="17"/>
  <c r="C35" i="17"/>
  <c r="B35" i="17"/>
  <c r="A35" i="17"/>
  <c r="A44" i="17" s="1"/>
  <c r="C44" i="17" s="1"/>
  <c r="E32" i="17"/>
  <c r="F32" i="17" s="1"/>
  <c r="D32" i="17"/>
  <c r="C32" i="17"/>
  <c r="B32" i="17"/>
  <c r="E31" i="17"/>
  <c r="F31" i="17" s="1"/>
  <c r="D31" i="17"/>
  <c r="C31" i="17"/>
  <c r="B31" i="17"/>
  <c r="E30" i="17"/>
  <c r="F30" i="17" s="1"/>
  <c r="D30" i="17"/>
  <c r="C30" i="17"/>
  <c r="B30" i="17"/>
  <c r="E29" i="17"/>
  <c r="F29" i="17" s="1"/>
  <c r="D29" i="17"/>
  <c r="C29" i="17"/>
  <c r="B29" i="17"/>
  <c r="E28" i="17"/>
  <c r="D28" i="17"/>
  <c r="C28" i="17"/>
  <c r="B28" i="17"/>
  <c r="E27" i="17"/>
  <c r="F27" i="17" s="1"/>
  <c r="D27" i="17"/>
  <c r="C27" i="17"/>
  <c r="B27" i="17"/>
  <c r="E24" i="17"/>
  <c r="F24" i="17" s="1"/>
  <c r="D24" i="17"/>
  <c r="C24" i="17"/>
  <c r="B24" i="17"/>
  <c r="E23" i="17"/>
  <c r="F23" i="17" s="1"/>
  <c r="D23" i="17"/>
  <c r="C23" i="17"/>
  <c r="B23" i="17"/>
  <c r="E22" i="17"/>
  <c r="F22" i="17" s="1"/>
  <c r="D22" i="17"/>
  <c r="C22" i="17"/>
  <c r="B22" i="17"/>
  <c r="E21" i="17"/>
  <c r="F21" i="17" s="1"/>
  <c r="D21" i="17"/>
  <c r="C21" i="17"/>
  <c r="B21" i="17"/>
  <c r="E20" i="17"/>
  <c r="F20" i="17" s="1"/>
  <c r="D20" i="17"/>
  <c r="C20" i="17"/>
  <c r="B20" i="17"/>
  <c r="E19" i="17"/>
  <c r="F19" i="17" s="1"/>
  <c r="D19" i="17"/>
  <c r="C19" i="17"/>
  <c r="B19" i="17"/>
  <c r="E18" i="17"/>
  <c r="F18" i="17" s="1"/>
  <c r="D18" i="17"/>
  <c r="C18" i="17"/>
  <c r="B18" i="17"/>
  <c r="E17" i="17"/>
  <c r="F17" i="17" s="1"/>
  <c r="D17" i="17"/>
  <c r="C17" i="17"/>
  <c r="B17" i="17"/>
  <c r="B15" i="17"/>
  <c r="E14" i="17"/>
  <c r="F14" i="17" s="1"/>
  <c r="D14" i="17"/>
  <c r="C14" i="17"/>
  <c r="B14" i="17"/>
  <c r="E13" i="17"/>
  <c r="F13" i="17" s="1"/>
  <c r="D13" i="17"/>
  <c r="C13" i="17"/>
  <c r="B13" i="17"/>
  <c r="E12" i="17"/>
  <c r="F12" i="17" s="1"/>
  <c r="D12" i="17"/>
  <c r="C12" i="17"/>
  <c r="B12" i="17"/>
  <c r="E11" i="17"/>
  <c r="F11" i="17" s="1"/>
  <c r="D11" i="17"/>
  <c r="C11" i="17"/>
  <c r="B11" i="17"/>
  <c r="E10" i="17"/>
  <c r="F10" i="17" s="1"/>
  <c r="D10" i="17"/>
  <c r="C10" i="17"/>
  <c r="B10" i="17"/>
  <c r="E9" i="17"/>
  <c r="F9" i="17" s="1"/>
  <c r="D9" i="17"/>
  <c r="C9" i="17"/>
  <c r="B9" i="17"/>
  <c r="F8" i="17"/>
  <c r="C8" i="17"/>
  <c r="H6" i="17"/>
  <c r="F14" i="19" l="1"/>
  <c r="F30" i="19"/>
  <c r="F29" i="19"/>
  <c r="F27" i="18"/>
  <c r="F37" i="18"/>
  <c r="F40" i="18"/>
  <c r="F32" i="19"/>
  <c r="F13" i="19"/>
  <c r="F8" i="19"/>
  <c r="F29" i="18"/>
  <c r="F31" i="20"/>
  <c r="F13" i="18"/>
  <c r="F9" i="19"/>
  <c r="F29" i="21"/>
  <c r="F10" i="19"/>
  <c r="F9" i="21"/>
  <c r="F9" i="18"/>
  <c r="F11" i="19"/>
  <c r="F36" i="22"/>
  <c r="F28" i="22"/>
  <c r="A64" i="22"/>
  <c r="C64" i="22" s="1"/>
  <c r="F64" i="22" s="1"/>
  <c r="A65" i="22"/>
  <c r="C65" i="22" s="1"/>
  <c r="F65" i="22" s="1"/>
  <c r="A66" i="22"/>
  <c r="C66" i="22" s="1"/>
  <c r="F66" i="22" s="1"/>
  <c r="A67" i="22"/>
  <c r="C67" i="22" s="1"/>
  <c r="F67" i="22" s="1"/>
  <c r="A59" i="22"/>
  <c r="C59" i="22" s="1"/>
  <c r="A68" i="22"/>
  <c r="C68" i="22" s="1"/>
  <c r="F68" i="22" s="1"/>
  <c r="A60" i="22"/>
  <c r="C60" i="22" s="1"/>
  <c r="A62" i="22"/>
  <c r="C62" i="22" s="1"/>
  <c r="F25" i="22"/>
  <c r="A63" i="22"/>
  <c r="C63" i="22" s="1"/>
  <c r="F63" i="22" s="1"/>
  <c r="F23" i="22"/>
  <c r="A61" i="22"/>
  <c r="C61" i="22" s="1"/>
  <c r="F61" i="22" s="1"/>
  <c r="A58" i="22"/>
  <c r="C58" i="22" s="1"/>
  <c r="F58" i="22" s="1"/>
  <c r="F17" i="22"/>
  <c r="F49" i="22"/>
  <c r="F44" i="22"/>
  <c r="F53" i="22"/>
  <c r="F47" i="22"/>
  <c r="F32" i="22"/>
  <c r="F33" i="22"/>
  <c r="F50" i="22"/>
  <c r="F51" i="22"/>
  <c r="F54" i="22"/>
  <c r="F8" i="22"/>
  <c r="F69" i="22"/>
  <c r="F9" i="22"/>
  <c r="F13" i="22"/>
  <c r="F37" i="22"/>
  <c r="F11" i="22"/>
  <c r="F39" i="22"/>
  <c r="F38" i="22"/>
  <c r="F43" i="22"/>
  <c r="F10" i="22"/>
  <c r="C91" i="22"/>
  <c r="C103" i="22" s="1"/>
  <c r="E103" i="22" s="1"/>
  <c r="F14" i="22"/>
  <c r="F40" i="22"/>
  <c r="F12" i="22"/>
  <c r="D99" i="22"/>
  <c r="D101" i="22"/>
  <c r="A57" i="22"/>
  <c r="C57" i="22" s="1"/>
  <c r="F57" i="22" s="1"/>
  <c r="E51" i="21"/>
  <c r="F51" i="21" s="1"/>
  <c r="D81" i="21"/>
  <c r="D85" i="21"/>
  <c r="D86" i="21" s="1"/>
  <c r="F46" i="21"/>
  <c r="F38" i="21"/>
  <c r="F40" i="21"/>
  <c r="F20" i="21"/>
  <c r="F23" i="21"/>
  <c r="C41" i="21"/>
  <c r="F41" i="21"/>
  <c r="F36" i="21"/>
  <c r="F39" i="21"/>
  <c r="C37" i="21"/>
  <c r="F37" i="21" s="1"/>
  <c r="F12" i="21"/>
  <c r="F28" i="21"/>
  <c r="F8" i="21"/>
  <c r="F44" i="21"/>
  <c r="C35" i="21"/>
  <c r="F17" i="21"/>
  <c r="F35" i="21"/>
  <c r="F50" i="21"/>
  <c r="F45" i="21"/>
  <c r="A47" i="21"/>
  <c r="C47" i="21" s="1"/>
  <c r="F47" i="21" s="1"/>
  <c r="A49" i="21"/>
  <c r="C49" i="21" s="1"/>
  <c r="F49" i="21" s="1"/>
  <c r="E73" i="21"/>
  <c r="A48" i="21"/>
  <c r="C48" i="21" s="1"/>
  <c r="F48" i="21" s="1"/>
  <c r="F31" i="19"/>
  <c r="F28" i="19"/>
  <c r="F27" i="19"/>
  <c r="F45" i="19"/>
  <c r="F47" i="19"/>
  <c r="F50" i="19"/>
  <c r="F36" i="19"/>
  <c r="C37" i="19"/>
  <c r="F37" i="19" s="1"/>
  <c r="F46" i="19"/>
  <c r="F40" i="19"/>
  <c r="C38" i="19"/>
  <c r="F38" i="19" s="1"/>
  <c r="C73" i="19"/>
  <c r="C85" i="19" s="1"/>
  <c r="D85" i="19"/>
  <c r="D86" i="19" s="1"/>
  <c r="A44" i="19"/>
  <c r="C44" i="19" s="1"/>
  <c r="F46" i="20"/>
  <c r="F40" i="20"/>
  <c r="F38" i="20"/>
  <c r="F45" i="20"/>
  <c r="F23" i="20"/>
  <c r="C41" i="20"/>
  <c r="F41" i="20" s="1"/>
  <c r="C36" i="20"/>
  <c r="F36" i="20" s="1"/>
  <c r="F39" i="20"/>
  <c r="F12" i="20"/>
  <c r="F28" i="20"/>
  <c r="F17" i="20"/>
  <c r="F8" i="20"/>
  <c r="F35" i="20"/>
  <c r="F50" i="20"/>
  <c r="F47" i="20"/>
  <c r="A47" i="20"/>
  <c r="C47" i="20" s="1"/>
  <c r="C73" i="20"/>
  <c r="A49" i="20"/>
  <c r="C49" i="20" s="1"/>
  <c r="F49" i="20" s="1"/>
  <c r="A44" i="20"/>
  <c r="C44" i="20" s="1"/>
  <c r="F44" i="20" s="1"/>
  <c r="A48" i="20"/>
  <c r="C48" i="20" s="1"/>
  <c r="F48" i="20" s="1"/>
  <c r="F39" i="19"/>
  <c r="F49" i="19"/>
  <c r="C41" i="19"/>
  <c r="F41" i="19" s="1"/>
  <c r="D81" i="19"/>
  <c r="A48" i="19"/>
  <c r="C48" i="19" s="1"/>
  <c r="F48" i="19" s="1"/>
  <c r="F51" i="18"/>
  <c r="F41" i="18"/>
  <c r="F36" i="18"/>
  <c r="F8" i="18"/>
  <c r="F38" i="18"/>
  <c r="F50" i="18"/>
  <c r="F39" i="18"/>
  <c r="A47" i="18"/>
  <c r="C47" i="18" s="1"/>
  <c r="F47" i="18" s="1"/>
  <c r="C73" i="18"/>
  <c r="A49" i="18"/>
  <c r="C49" i="18" s="1"/>
  <c r="F49" i="18" s="1"/>
  <c r="D83" i="18"/>
  <c r="A44" i="18"/>
  <c r="C44" i="18" s="1"/>
  <c r="F44" i="18" s="1"/>
  <c r="A46" i="18"/>
  <c r="C46" i="18" s="1"/>
  <c r="F46" i="18" s="1"/>
  <c r="A48" i="18"/>
  <c r="C48" i="18" s="1"/>
  <c r="F48" i="18" s="1"/>
  <c r="F51" i="17"/>
  <c r="F46" i="17"/>
  <c r="F37" i="17"/>
  <c r="F38" i="17"/>
  <c r="C36" i="17"/>
  <c r="F36" i="17" s="1"/>
  <c r="A48" i="17"/>
  <c r="C48" i="17" s="1"/>
  <c r="F48" i="17" s="1"/>
  <c r="F35" i="17"/>
  <c r="C41" i="17"/>
  <c r="F41" i="17" s="1"/>
  <c r="F28" i="17"/>
  <c r="F53" i="17"/>
  <c r="F50" i="17"/>
  <c r="F39" i="17"/>
  <c r="F44" i="17"/>
  <c r="F40" i="17"/>
  <c r="F45" i="17"/>
  <c r="D81" i="17"/>
  <c r="A47" i="17"/>
  <c r="C47" i="17" s="1"/>
  <c r="F47" i="17" s="1"/>
  <c r="C73" i="17"/>
  <c r="A49" i="17"/>
  <c r="C49" i="17" s="1"/>
  <c r="F49" i="17" s="1"/>
  <c r="D83" i="17"/>
  <c r="F53" i="18" l="1"/>
  <c r="H53" i="18" s="1"/>
  <c r="F2" i="18" s="1"/>
  <c r="E91" i="22"/>
  <c r="E85" i="21"/>
  <c r="F54" i="21"/>
  <c r="H54" i="21" s="1"/>
  <c r="G2" i="21" s="1"/>
  <c r="F53" i="21"/>
  <c r="C69" i="21" s="1"/>
  <c r="F56" i="21"/>
  <c r="E73" i="19"/>
  <c r="E85" i="19"/>
  <c r="F53" i="20"/>
  <c r="F64" i="20" s="1"/>
  <c r="F56" i="20"/>
  <c r="C85" i="20"/>
  <c r="E85" i="20" s="1"/>
  <c r="E73" i="20"/>
  <c r="F54" i="20"/>
  <c r="F56" i="18"/>
  <c r="F54" i="18"/>
  <c r="C85" i="18"/>
  <c r="E85" i="18" s="1"/>
  <c r="E73" i="18"/>
  <c r="F56" i="17"/>
  <c r="C85" i="17"/>
  <c r="E85" i="17" s="1"/>
  <c r="E73" i="17"/>
  <c r="C69" i="17"/>
  <c r="F64" i="17"/>
  <c r="H53" i="17"/>
  <c r="F2" i="17" s="1"/>
  <c r="F54" i="17"/>
  <c r="C69" i="18" l="1"/>
  <c r="C81" i="18" s="1"/>
  <c r="E81" i="18" s="1"/>
  <c r="F55" i="18"/>
  <c r="H55" i="18" s="1"/>
  <c r="F64" i="18"/>
  <c r="C76" i="21"/>
  <c r="E76" i="21" s="1"/>
  <c r="F64" i="21"/>
  <c r="F55" i="21"/>
  <c r="O54" i="21" s="1"/>
  <c r="H53" i="21"/>
  <c r="F2" i="21" s="1"/>
  <c r="H56" i="21"/>
  <c r="C74" i="21"/>
  <c r="E69" i="21"/>
  <c r="C81" i="21"/>
  <c r="E81" i="21" s="1"/>
  <c r="C69" i="20"/>
  <c r="E69" i="20" s="1"/>
  <c r="E17" i="19" s="1"/>
  <c r="F17" i="19" s="1"/>
  <c r="F53" i="19" s="1"/>
  <c r="H53" i="20"/>
  <c r="F2" i="20" s="1"/>
  <c r="H56" i="20"/>
  <c r="C74" i="20"/>
  <c r="C76" i="20"/>
  <c r="E76" i="20" s="1"/>
  <c r="E35" i="19" s="1"/>
  <c r="F35" i="19" s="1"/>
  <c r="F54" i="19" s="1"/>
  <c r="H54" i="20"/>
  <c r="G2" i="20" s="1"/>
  <c r="F55" i="20"/>
  <c r="C76" i="18"/>
  <c r="E76" i="18" s="1"/>
  <c r="H54" i="18"/>
  <c r="G2" i="18" s="1"/>
  <c r="H56" i="18"/>
  <c r="C74" i="18"/>
  <c r="H56" i="17"/>
  <c r="C74" i="17"/>
  <c r="C76" i="17"/>
  <c r="E76" i="17" s="1"/>
  <c r="H54" i="17"/>
  <c r="G2" i="17" s="1"/>
  <c r="F55" i="17"/>
  <c r="E69" i="17"/>
  <c r="C81" i="17"/>
  <c r="E81" i="17" s="1"/>
  <c r="E69" i="18" l="1"/>
  <c r="E22" i="22"/>
  <c r="F22" i="22" s="1"/>
  <c r="E45" i="22"/>
  <c r="F45" i="22" s="1"/>
  <c r="E26" i="22"/>
  <c r="F26" i="22" s="1"/>
  <c r="E48" i="22"/>
  <c r="F48" i="22" s="1"/>
  <c r="E52" i="22"/>
  <c r="F52" i="22" s="1"/>
  <c r="O54" i="18"/>
  <c r="O56" i="18" s="1"/>
  <c r="F63" i="18"/>
  <c r="F66" i="18" s="1"/>
  <c r="G63" i="18" s="1"/>
  <c r="C69" i="19"/>
  <c r="F64" i="19"/>
  <c r="H53" i="19"/>
  <c r="F2" i="19" s="1"/>
  <c r="F55" i="19"/>
  <c r="H54" i="19"/>
  <c r="G2" i="19" s="1"/>
  <c r="C76" i="19"/>
  <c r="E76" i="19" s="1"/>
  <c r="F63" i="21"/>
  <c r="C71" i="21" s="1"/>
  <c r="H55" i="21"/>
  <c r="C86" i="21"/>
  <c r="E86" i="21" s="1"/>
  <c r="E74" i="21"/>
  <c r="O55" i="21"/>
  <c r="H2" i="21"/>
  <c r="H58" i="21"/>
  <c r="H59" i="21" s="1"/>
  <c r="O58" i="21" s="1"/>
  <c r="O56" i="21"/>
  <c r="C81" i="20"/>
  <c r="E81" i="20" s="1"/>
  <c r="H2" i="20"/>
  <c r="O55" i="20"/>
  <c r="H58" i="20"/>
  <c r="H59" i="20" s="1"/>
  <c r="O58" i="20" s="1"/>
  <c r="F63" i="20"/>
  <c r="H55" i="20"/>
  <c r="O54" i="20"/>
  <c r="C86" i="20"/>
  <c r="E86" i="20" s="1"/>
  <c r="E74" i="20"/>
  <c r="O55" i="18"/>
  <c r="H2" i="18"/>
  <c r="H58" i="18"/>
  <c r="H59" i="18" s="1"/>
  <c r="O58" i="18" s="1"/>
  <c r="C86" i="18"/>
  <c r="E86" i="18" s="1"/>
  <c r="E74" i="18"/>
  <c r="H55" i="17"/>
  <c r="O54" i="17"/>
  <c r="F63" i="17"/>
  <c r="O55" i="17"/>
  <c r="H2" i="17"/>
  <c r="H58" i="17"/>
  <c r="H59" i="17" s="1"/>
  <c r="O58" i="17" s="1"/>
  <c r="E74" i="17"/>
  <c r="C86" i="17"/>
  <c r="E86" i="17" s="1"/>
  <c r="E19" i="22" l="1"/>
  <c r="F19" i="22" s="1"/>
  <c r="E78" i="17"/>
  <c r="E63" i="18"/>
  <c r="C71" i="18"/>
  <c r="E71" i="18" s="1"/>
  <c r="E62" i="22"/>
  <c r="F62" i="22" s="1"/>
  <c r="E46" i="22"/>
  <c r="F46" i="22" s="1"/>
  <c r="F72" i="22" s="1"/>
  <c r="C94" i="22" s="1"/>
  <c r="E94" i="22" s="1"/>
  <c r="E78" i="21"/>
  <c r="E78" i="20"/>
  <c r="E44" i="19"/>
  <c r="F44" i="19" s="1"/>
  <c r="F56" i="19" s="1"/>
  <c r="E78" i="18"/>
  <c r="E59" i="22"/>
  <c r="F59" i="22" s="1"/>
  <c r="O57" i="21"/>
  <c r="O59" i="21" s="1"/>
  <c r="O60" i="21" s="1"/>
  <c r="O61" i="21" s="1"/>
  <c r="O62" i="21" s="1"/>
  <c r="E69" i="19"/>
  <c r="C81" i="19"/>
  <c r="E81" i="19" s="1"/>
  <c r="O57" i="18"/>
  <c r="O59" i="18" s="1"/>
  <c r="O60" i="18" s="1"/>
  <c r="O61" i="18" s="1"/>
  <c r="O62" i="18" s="1"/>
  <c r="F63" i="19"/>
  <c r="O54" i="19"/>
  <c r="O56" i="19" s="1"/>
  <c r="H55" i="19"/>
  <c r="E63" i="21"/>
  <c r="F66" i="21"/>
  <c r="G63" i="21" s="1"/>
  <c r="C83" i="21"/>
  <c r="E83" i="21" s="1"/>
  <c r="E71" i="21"/>
  <c r="O56" i="20"/>
  <c r="O57" i="20" s="1"/>
  <c r="O59" i="20" s="1"/>
  <c r="C71" i="20"/>
  <c r="E63" i="20"/>
  <c r="F66" i="20"/>
  <c r="G63" i="20" s="1"/>
  <c r="G66" i="18"/>
  <c r="G35" i="18"/>
  <c r="G65" i="18"/>
  <c r="G12" i="18"/>
  <c r="G23" i="18"/>
  <c r="G17" i="18"/>
  <c r="G40" i="18"/>
  <c r="G51" i="18"/>
  <c r="G8" i="18"/>
  <c r="G41" i="18"/>
  <c r="G28" i="18"/>
  <c r="G21" i="18"/>
  <c r="G20" i="18"/>
  <c r="G27" i="18"/>
  <c r="G37" i="18"/>
  <c r="G14" i="18"/>
  <c r="G36" i="18"/>
  <c r="G11" i="18"/>
  <c r="G9" i="18"/>
  <c r="G18" i="18"/>
  <c r="G32" i="18"/>
  <c r="G30" i="18"/>
  <c r="G29" i="18"/>
  <c r="G24" i="18"/>
  <c r="G10" i="18"/>
  <c r="G19" i="18"/>
  <c r="G13" i="18"/>
  <c r="G22" i="18"/>
  <c r="G31" i="18"/>
  <c r="G45" i="18"/>
  <c r="G49" i="18"/>
  <c r="G48" i="18"/>
  <c r="G53" i="18"/>
  <c r="G47" i="18"/>
  <c r="G50" i="18"/>
  <c r="G46" i="18"/>
  <c r="G38" i="18"/>
  <c r="G44" i="18"/>
  <c r="G39" i="18"/>
  <c r="G56" i="18"/>
  <c r="G55" i="18"/>
  <c r="G54" i="18"/>
  <c r="G64" i="18"/>
  <c r="C71" i="17"/>
  <c r="E63" i="17"/>
  <c r="F66" i="17"/>
  <c r="G63" i="17" s="1"/>
  <c r="O56" i="17"/>
  <c r="O57" i="17" s="1"/>
  <c r="O59" i="17" s="1"/>
  <c r="C83" i="18" l="1"/>
  <c r="E83" i="18" s="1"/>
  <c r="H72" i="22"/>
  <c r="G2" i="22" s="1"/>
  <c r="F66" i="19"/>
  <c r="G44" i="19" s="1"/>
  <c r="C71" i="19"/>
  <c r="E63" i="19"/>
  <c r="E20" i="22"/>
  <c r="F20" i="22" s="1"/>
  <c r="F71" i="22" s="1"/>
  <c r="H56" i="19"/>
  <c r="C74" i="19"/>
  <c r="G17" i="21"/>
  <c r="G41" i="21"/>
  <c r="G19" i="21"/>
  <c r="G12" i="21"/>
  <c r="G36" i="21"/>
  <c r="G18" i="21"/>
  <c r="G11" i="21"/>
  <c r="G32" i="21"/>
  <c r="G39" i="21"/>
  <c r="G22" i="21"/>
  <c r="G51" i="21"/>
  <c r="G56" i="21"/>
  <c r="G31" i="21"/>
  <c r="G64" i="21"/>
  <c r="G55" i="21"/>
  <c r="G50" i="21"/>
  <c r="G38" i="21"/>
  <c r="G53" i="21"/>
  <c r="G23" i="21"/>
  <c r="G28" i="21"/>
  <c r="G48" i="21"/>
  <c r="G20" i="21"/>
  <c r="G45" i="21"/>
  <c r="G24" i="21"/>
  <c r="G54" i="21"/>
  <c r="G21" i="21"/>
  <c r="G9" i="21"/>
  <c r="G66" i="21"/>
  <c r="G40" i="21"/>
  <c r="G13" i="21"/>
  <c r="G14" i="21"/>
  <c r="G44" i="21"/>
  <c r="G8" i="21"/>
  <c r="G47" i="21"/>
  <c r="G29" i="21"/>
  <c r="G27" i="21"/>
  <c r="G10" i="21"/>
  <c r="G49" i="21"/>
  <c r="G30" i="21"/>
  <c r="G35" i="21"/>
  <c r="G37" i="21"/>
  <c r="G46" i="21"/>
  <c r="G65" i="21"/>
  <c r="P62" i="21"/>
  <c r="E2" i="21"/>
  <c r="C83" i="20"/>
  <c r="E83" i="20" s="1"/>
  <c r="E71" i="20"/>
  <c r="G66" i="20"/>
  <c r="G9" i="20"/>
  <c r="G24" i="20"/>
  <c r="G22" i="20"/>
  <c r="G65" i="20"/>
  <c r="G20" i="20"/>
  <c r="G23" i="20"/>
  <c r="G41" i="20"/>
  <c r="G12" i="20"/>
  <c r="G10" i="20"/>
  <c r="G36" i="20"/>
  <c r="G32" i="20"/>
  <c r="G19" i="20"/>
  <c r="G30" i="20"/>
  <c r="G28" i="20"/>
  <c r="G46" i="20"/>
  <c r="G29" i="20"/>
  <c r="G40" i="20"/>
  <c r="G38" i="20"/>
  <c r="G45" i="20"/>
  <c r="G39" i="20"/>
  <c r="G31" i="20"/>
  <c r="G51" i="20"/>
  <c r="G14" i="20"/>
  <c r="G37" i="20"/>
  <c r="G13" i="20"/>
  <c r="G11" i="20"/>
  <c r="G17" i="20"/>
  <c r="G8" i="20"/>
  <c r="G18" i="20"/>
  <c r="G21" i="20"/>
  <c r="G27" i="20"/>
  <c r="G47" i="20"/>
  <c r="G35" i="20"/>
  <c r="G50" i="20"/>
  <c r="G53" i="20"/>
  <c r="G48" i="20"/>
  <c r="G49" i="20"/>
  <c r="G44" i="20"/>
  <c r="G64" i="20"/>
  <c r="G56" i="20"/>
  <c r="G54" i="20"/>
  <c r="G55" i="20"/>
  <c r="O60" i="20"/>
  <c r="O61" i="20" s="1"/>
  <c r="O62" i="20" s="1"/>
  <c r="P62" i="18"/>
  <c r="E2" i="18"/>
  <c r="O60" i="17"/>
  <c r="O61" i="17" s="1"/>
  <c r="O62" i="17" s="1"/>
  <c r="G66" i="17"/>
  <c r="G38" i="17"/>
  <c r="G13" i="17"/>
  <c r="G65" i="17"/>
  <c r="G19" i="17"/>
  <c r="G18" i="17"/>
  <c r="G48" i="17"/>
  <c r="G30" i="17"/>
  <c r="G29" i="17"/>
  <c r="G11" i="17"/>
  <c r="G41" i="17"/>
  <c r="G35" i="17"/>
  <c r="G24" i="17"/>
  <c r="G27" i="17"/>
  <c r="G22" i="17"/>
  <c r="G32" i="17"/>
  <c r="G37" i="17"/>
  <c r="G20" i="17"/>
  <c r="G23" i="17"/>
  <c r="G31" i="17"/>
  <c r="G12" i="17"/>
  <c r="G36" i="17"/>
  <c r="G10" i="17"/>
  <c r="G9" i="17"/>
  <c r="G14" i="17"/>
  <c r="G8" i="17"/>
  <c r="G51" i="17"/>
  <c r="G21" i="17"/>
  <c r="G46" i="17"/>
  <c r="G17" i="17"/>
  <c r="G28" i="17"/>
  <c r="G53" i="17"/>
  <c r="G47" i="17"/>
  <c r="G50" i="17"/>
  <c r="G39" i="17"/>
  <c r="G49" i="17"/>
  <c r="G44" i="17"/>
  <c r="G40" i="17"/>
  <c r="G45" i="17"/>
  <c r="G56" i="17"/>
  <c r="G54" i="17"/>
  <c r="G64" i="17"/>
  <c r="G55" i="17"/>
  <c r="C83" i="17"/>
  <c r="E83" i="17" s="1"/>
  <c r="E71" i="17"/>
  <c r="D46" i="7"/>
  <c r="G56" i="19" l="1"/>
  <c r="E74" i="19"/>
  <c r="C86" i="19"/>
  <c r="E86" i="19" s="1"/>
  <c r="H2" i="19"/>
  <c r="O55" i="19"/>
  <c r="O57" i="19" s="1"/>
  <c r="H58" i="19"/>
  <c r="H59" i="19" s="1"/>
  <c r="O58" i="19" s="1"/>
  <c r="C87" i="22"/>
  <c r="H71" i="22"/>
  <c r="F2" i="22" s="1"/>
  <c r="F73" i="22"/>
  <c r="F82" i="22"/>
  <c r="C83" i="19"/>
  <c r="E83" i="19" s="1"/>
  <c r="E71" i="19"/>
  <c r="G63" i="19"/>
  <c r="G31" i="19"/>
  <c r="G22" i="19"/>
  <c r="G37" i="19"/>
  <c r="G24" i="19"/>
  <c r="G23" i="19"/>
  <c r="G48" i="19"/>
  <c r="G53" i="19"/>
  <c r="G66" i="19"/>
  <c r="G9" i="19"/>
  <c r="G32" i="19"/>
  <c r="G13" i="19"/>
  <c r="G50" i="19"/>
  <c r="G41" i="19"/>
  <c r="G30" i="19"/>
  <c r="G29" i="19"/>
  <c r="G19" i="19"/>
  <c r="G39" i="19"/>
  <c r="G28" i="19"/>
  <c r="G40" i="19"/>
  <c r="G20" i="19"/>
  <c r="G64" i="19"/>
  <c r="G51" i="19"/>
  <c r="G38" i="19"/>
  <c r="G12" i="19"/>
  <c r="G18" i="19"/>
  <c r="G55" i="19"/>
  <c r="G27" i="19"/>
  <c r="G36" i="19"/>
  <c r="G45" i="19"/>
  <c r="G54" i="19"/>
  <c r="G10" i="19"/>
  <c r="G46" i="19"/>
  <c r="G11" i="19"/>
  <c r="G49" i="19"/>
  <c r="G8" i="19"/>
  <c r="G14" i="19"/>
  <c r="G21" i="19"/>
  <c r="G35" i="19"/>
  <c r="G17" i="19"/>
  <c r="G47" i="19"/>
  <c r="G65" i="19"/>
  <c r="P62" i="20"/>
  <c r="E2" i="20"/>
  <c r="P62" i="17"/>
  <c r="E2" i="17"/>
  <c r="E60" i="22" l="1"/>
  <c r="F60" i="22" s="1"/>
  <c r="E78" i="19"/>
  <c r="H73" i="22"/>
  <c r="O72" i="22"/>
  <c r="F81" i="22"/>
  <c r="E87" i="22"/>
  <c r="C99" i="22"/>
  <c r="E99" i="22" s="1"/>
  <c r="O59" i="19"/>
  <c r="O60" i="19" s="1"/>
  <c r="O61" i="19" s="1"/>
  <c r="O62" i="19" s="1"/>
  <c r="F74" i="22" l="1"/>
  <c r="E2" i="19"/>
  <c r="P62" i="19"/>
  <c r="E81" i="22"/>
  <c r="C89" i="22"/>
  <c r="F84" i="22"/>
  <c r="G60" i="22" s="1"/>
  <c r="O74" i="22"/>
  <c r="J19" i="10"/>
  <c r="D23" i="10"/>
  <c r="G81" i="22" l="1"/>
  <c r="G35" i="22"/>
  <c r="G68" i="22"/>
  <c r="G18" i="22"/>
  <c r="G57" i="22"/>
  <c r="G11" i="22"/>
  <c r="G58" i="22"/>
  <c r="G10" i="22"/>
  <c r="G36" i="22"/>
  <c r="G65" i="22"/>
  <c r="G29" i="22"/>
  <c r="G12" i="22"/>
  <c r="G17" i="22"/>
  <c r="G27" i="22"/>
  <c r="G49" i="22"/>
  <c r="G50" i="22"/>
  <c r="G26" i="22"/>
  <c r="G53" i="22"/>
  <c r="G23" i="22"/>
  <c r="G40" i="22"/>
  <c r="G54" i="22"/>
  <c r="G24" i="22"/>
  <c r="G14" i="22"/>
  <c r="G25" i="22"/>
  <c r="G37" i="22"/>
  <c r="G59" i="22"/>
  <c r="G9" i="22"/>
  <c r="G22" i="22"/>
  <c r="G61" i="22"/>
  <c r="G45" i="22"/>
  <c r="G51" i="22"/>
  <c r="G71" i="22"/>
  <c r="G48" i="22"/>
  <c r="G66" i="22"/>
  <c r="G32" i="22"/>
  <c r="G33" i="22"/>
  <c r="G44" i="22"/>
  <c r="G39" i="22"/>
  <c r="G62" i="22"/>
  <c r="G21" i="22"/>
  <c r="G84" i="22"/>
  <c r="G64" i="22"/>
  <c r="G72" i="22"/>
  <c r="G52" i="22"/>
  <c r="G47" i="22"/>
  <c r="G67" i="22"/>
  <c r="G83" i="22"/>
  <c r="G13" i="22"/>
  <c r="G8" i="22"/>
  <c r="G38" i="22"/>
  <c r="G19" i="22"/>
  <c r="G34" i="22"/>
  <c r="G46" i="22"/>
  <c r="G69" i="22"/>
  <c r="G63" i="22"/>
  <c r="G43" i="22"/>
  <c r="G28" i="22"/>
  <c r="G20" i="22"/>
  <c r="G82" i="22"/>
  <c r="G73" i="22"/>
  <c r="C101" i="22"/>
  <c r="E101" i="22" s="1"/>
  <c r="E89" i="22"/>
  <c r="H74" i="22"/>
  <c r="C92" i="22"/>
  <c r="G74" i="22"/>
  <c r="J42" i="7"/>
  <c r="C104" i="22" l="1"/>
  <c r="E104" i="22" s="1"/>
  <c r="E92" i="22"/>
  <c r="E96" i="22" s="1"/>
  <c r="O73" i="22"/>
  <c r="O75" i="22" s="1"/>
  <c r="H2" i="22"/>
  <c r="H76" i="22"/>
  <c r="H77" i="22" s="1"/>
  <c r="O76" i="22" s="1"/>
  <c r="O77" i="22" l="1"/>
  <c r="O78" i="22" s="1"/>
  <c r="O79" i="22" s="1"/>
  <c r="O80" i="22" s="1"/>
  <c r="E2" i="22" l="1"/>
  <c r="P80" i="22"/>
</calcChain>
</file>

<file path=xl/sharedStrings.xml><?xml version="1.0" encoding="utf-8"?>
<sst xmlns="http://schemas.openxmlformats.org/spreadsheetml/2006/main" count="1700" uniqueCount="375">
  <si>
    <t>PROCEDIMIENTO DE PREPARACION DE LA  RECETA</t>
  </si>
  <si>
    <t>g</t>
  </si>
  <si>
    <t>MERMA</t>
  </si>
  <si>
    <t>Otros</t>
  </si>
  <si>
    <t>PESO DE CADA PORCIÓN</t>
  </si>
  <si>
    <t>Temperatura de Horneo:</t>
  </si>
  <si>
    <t>CANTIDAD DE PORCIONES OBTENIDAS</t>
  </si>
  <si>
    <t>Horno:</t>
  </si>
  <si>
    <t>min</t>
  </si>
  <si>
    <t>TIEMPO TOTAL DE PREPARACION</t>
  </si>
  <si>
    <t>Tiempo de Horneo:</t>
  </si>
  <si>
    <t>PESO TOTAL OBTENIDO</t>
  </si>
  <si>
    <t>Unidad</t>
  </si>
  <si>
    <t>Cantidad</t>
  </si>
  <si>
    <t>Colones</t>
  </si>
  <si>
    <t xml:space="preserve">Unidad medida </t>
  </si>
  <si>
    <t xml:space="preserve">Costo - Referencia </t>
  </si>
  <si>
    <t>Medida alternativa</t>
  </si>
  <si>
    <t>Unidad Internacional</t>
  </si>
  <si>
    <t xml:space="preserve">Marca </t>
  </si>
  <si>
    <t>Descripción del ingrediente</t>
  </si>
  <si>
    <t xml:space="preserve"># Código </t>
  </si>
  <si>
    <t xml:space="preserve">AREA QUE EMPACA: </t>
  </si>
  <si>
    <t>AREA QUE PRODUCE:</t>
  </si>
  <si>
    <t>Aprobado</t>
  </si>
  <si>
    <t>Elaborado</t>
  </si>
  <si>
    <t>FECHA DE APROBACIÓN:</t>
  </si>
  <si>
    <t>REVISIÓN:</t>
  </si>
  <si>
    <t>ESPECIFICACION DE RECETA</t>
  </si>
  <si>
    <t>CÓDIGO:</t>
  </si>
  <si>
    <t>SERVICIOS DE PASTELERIA S.A.</t>
  </si>
  <si>
    <t># Código Netsuite</t>
  </si>
  <si>
    <t>Ensamble</t>
  </si>
  <si>
    <t>CONTROL DE CAMBIOS</t>
  </si>
  <si>
    <t>EMPAQUE</t>
  </si>
  <si>
    <t>Mariela Barrantes Sánchez, Chef</t>
  </si>
  <si>
    <t>FAS</t>
  </si>
  <si>
    <t>ud</t>
  </si>
  <si>
    <t>Sebastian Díaz, Gte Manufactura</t>
  </si>
  <si>
    <t>Decoración</t>
  </si>
  <si>
    <t>0702069</t>
  </si>
  <si>
    <t>EM10002</t>
  </si>
  <si>
    <t>907000287</t>
  </si>
  <si>
    <t>SE00454</t>
  </si>
  <si>
    <t>ROSQUETE EASY VAINILLA BC 310 G</t>
  </si>
  <si>
    <t xml:space="preserve">1,5 de rosquete </t>
  </si>
  <si>
    <t xml:space="preserve">NUEVO </t>
  </si>
  <si>
    <t>Nuevo</t>
  </si>
  <si>
    <t>SE00001</t>
  </si>
  <si>
    <t>Ganache Chocolate Oscuro</t>
  </si>
  <si>
    <t xml:space="preserve">Decoración </t>
  </si>
  <si>
    <t xml:space="preserve">1/4 taza </t>
  </si>
  <si>
    <t>121603</t>
  </si>
  <si>
    <t>EM10009</t>
  </si>
  <si>
    <t xml:space="preserve">Quequera Red  Base/Domo 10 </t>
  </si>
  <si>
    <t>Export pmt</t>
  </si>
  <si>
    <t>1952875</t>
  </si>
  <si>
    <t>EM10084</t>
  </si>
  <si>
    <t xml:space="preserve">Orla # 10 Bucca </t>
  </si>
  <si>
    <t>UD</t>
  </si>
  <si>
    <t>2172411</t>
  </si>
  <si>
    <t>EM10112</t>
  </si>
  <si>
    <t>ET. TORTA BUCCA GENERICA</t>
  </si>
  <si>
    <t>Litografia CR</t>
  </si>
  <si>
    <t>0702007</t>
  </si>
  <si>
    <t>EM10004</t>
  </si>
  <si>
    <t xml:space="preserve">ETIQ.FECHA VENCIMIENTO </t>
  </si>
  <si>
    <t>Etiplast</t>
  </si>
  <si>
    <t>ETIQ.BLANCA 1 1/4 * 3/4</t>
  </si>
  <si>
    <t>Cemusa</t>
  </si>
  <si>
    <t>0702123</t>
  </si>
  <si>
    <t>EM10011</t>
  </si>
  <si>
    <t>ETIQUETA BLANCA 2 5/8X1 15/16 PRE BLANCA</t>
  </si>
  <si>
    <t xml:space="preserve">Nueva </t>
  </si>
  <si>
    <t>1950928</t>
  </si>
  <si>
    <t>AS00028</t>
  </si>
  <si>
    <t>ETIQUETA BLANCA 2 5/8X1 15/16 (UND)</t>
  </si>
  <si>
    <t>SE00032</t>
  </si>
  <si>
    <t>Crema Dulce Leche</t>
  </si>
  <si>
    <t>SE00051</t>
  </si>
  <si>
    <t>Ganache Chocolate Blanco</t>
  </si>
  <si>
    <t>SE00298</t>
  </si>
  <si>
    <t>Ganache De Dulce Leche</t>
  </si>
  <si>
    <t xml:space="preserve">ETIQUETA ESPECIAL </t>
  </si>
  <si>
    <t>2 unidades</t>
  </si>
  <si>
    <t>SE00254</t>
  </si>
  <si>
    <t>Leches Pasteurizada Con Agua</t>
  </si>
  <si>
    <t>30g x capa</t>
  </si>
  <si>
    <t>70g x capa</t>
  </si>
  <si>
    <t>MP10176</t>
  </si>
  <si>
    <t>Dulce Leche La Ciabata</t>
  </si>
  <si>
    <t>LA CIABATA</t>
  </si>
  <si>
    <t>150x capa</t>
  </si>
  <si>
    <t>1/2 taza</t>
  </si>
  <si>
    <t>1 taza y 1/2 taza</t>
  </si>
  <si>
    <t>ENCREMAR</t>
  </si>
  <si>
    <t xml:space="preserve">13g cada chocolate </t>
  </si>
  <si>
    <t>HILOS</t>
  </si>
  <si>
    <t>COLOCHO Boquilla 7FT</t>
  </si>
  <si>
    <t>BORDES</t>
  </si>
  <si>
    <t>MP10758</t>
  </si>
  <si>
    <t>Saborizante de Caramelo</t>
  </si>
  <si>
    <t xml:space="preserve">1, Mezclar la crema con el saborizante. </t>
  </si>
  <si>
    <t>tanda</t>
  </si>
  <si>
    <t>Crema Dulce de Caramelo</t>
  </si>
  <si>
    <t>Empaque</t>
  </si>
  <si>
    <t>EM10013</t>
  </si>
  <si>
    <t>BOLSA 17x25 TRANSP KILO</t>
  </si>
  <si>
    <t>Procesado Chocolate con mani y arroz inflado</t>
  </si>
  <si>
    <t>Mezcla mani y arroz inflado</t>
  </si>
  <si>
    <t>MP10001</t>
  </si>
  <si>
    <t>Cobertura Chocolate Leche</t>
  </si>
  <si>
    <t>se00820</t>
  </si>
  <si>
    <t xml:space="preserve">Mani Tostado </t>
  </si>
  <si>
    <t>NUEVO</t>
  </si>
  <si>
    <t xml:space="preserve">Arroz Inflado </t>
  </si>
  <si>
    <t>Chocolate con Mani y Arroz Inflado</t>
  </si>
  <si>
    <t xml:space="preserve">1, Cortas los rosquete utilizando 1,5 de rosquete y humedecerlos con las leches con agua. </t>
  </si>
  <si>
    <t xml:space="preserve">2, Coloca medio rosquete, agregar el dulce de leche, la crema dulce de caramelo, el chocolate con mani y arroz inflado, colocar otra mitad de rosquete, agrega dulce de leche, crema de dulce de leche, el chooclate con mani y arroz inflado y tapar con la ultima mitad de rosquete. </t>
  </si>
  <si>
    <t>3, Encrema con la crema dulce y colocarle en la parte inferior de la torta la mezcla de mani y arroz inflado.</t>
  </si>
  <si>
    <t>4, Realizar el colocho en el centro como muestra la imagen, hacer hilos con el ganache oscuro, del lado contrario hacer hilos con el ganache blanco y denuevo de lado contrario hacer hilos con el ganache dulce y colocar los dos chocolate choys en el centro.</t>
  </si>
  <si>
    <t xml:space="preserve">5, Tapar y etiquetar. </t>
  </si>
  <si>
    <t xml:space="preserve">Torta Choys </t>
  </si>
  <si>
    <t xml:space="preserve">Pelado Chocolate Choclate Choys </t>
  </si>
  <si>
    <t>Chocolate Choys de Maiz Inflado</t>
  </si>
  <si>
    <t>Precio
Local</t>
  </si>
  <si>
    <t>Costo MP</t>
  </si>
  <si>
    <t>Costo EM</t>
  </si>
  <si>
    <t>Costo MO</t>
  </si>
  <si>
    <t xml:space="preserve">ESTRUCTURA DE COSTOS </t>
  </si>
  <si>
    <t>Fecha:</t>
  </si>
  <si>
    <t>UNIDADES</t>
  </si>
  <si>
    <t>DESCRIPCION MAT.PRIMA</t>
  </si>
  <si>
    <t>UND
MEDIDA</t>
  </si>
  <si>
    <t>COSTO UNITARIO</t>
  </si>
  <si>
    <t>TOTAL COSTO</t>
  </si>
  <si>
    <t>% PREC. DEFINIDO</t>
  </si>
  <si>
    <t>CODIGOS</t>
  </si>
  <si>
    <t>MATERIA PRIMA SEMIELABORADOS</t>
  </si>
  <si>
    <t>EMPAQUE SEMIELABORADOS</t>
  </si>
  <si>
    <t>MODI</t>
  </si>
  <si>
    <t>MODI PREPARACION</t>
  </si>
  <si>
    <t>N/A</t>
  </si>
  <si>
    <t xml:space="preserve"> TOTAL MATERIA PRIMA</t>
  </si>
  <si>
    <t xml:space="preserve"> TOTAL EMPAQUE</t>
  </si>
  <si>
    <t xml:space="preserve">TOTAL MATERIA PRIMA + EMPAQUE </t>
  </si>
  <si>
    <t xml:space="preserve"> TOTAL MATERIAS P. + EMPAQUES</t>
  </si>
  <si>
    <t>MODI PLANTA</t>
  </si>
  <si>
    <t>TOTAL MODI</t>
  </si>
  <si>
    <t>DESECHO</t>
  </si>
  <si>
    <t>COSTO PLANTA</t>
  </si>
  <si>
    <t xml:space="preserve"> GRAMOS</t>
  </si>
  <si>
    <t>% GIF</t>
  </si>
  <si>
    <t xml:space="preserve"> PESO POR UNIDAD</t>
  </si>
  <si>
    <t>UNIDADES TOTALES</t>
  </si>
  <si>
    <t>UNIDAD MEDIDA</t>
  </si>
  <si>
    <t>PRECIO DE VENTA PLANTA A LOCAL</t>
  </si>
  <si>
    <t>GR</t>
  </si>
  <si>
    <t xml:space="preserve"> </t>
  </si>
  <si>
    <t>S/ COSTO</t>
  </si>
  <si>
    <t>TOTAL</t>
  </si>
  <si>
    <t>UNIDAD</t>
  </si>
  <si>
    <t xml:space="preserve"> DESECHOS Y PERDIDAS</t>
  </si>
  <si>
    <t>MANO OBRA DIRECTA</t>
  </si>
  <si>
    <t>TOTAL COSTO PLANTA</t>
  </si>
  <si>
    <t>MODI 77 COLONES X MIN</t>
  </si>
  <si>
    <t xml:space="preserve">Gf 83 colones min </t>
  </si>
  <si>
    <t>COSTO POR GRAMO</t>
  </si>
  <si>
    <t>,</t>
  </si>
  <si>
    <t>TOTAL COSTO  MATERIA PRIMA</t>
  </si>
  <si>
    <t>TOTAL COSTO UNIDAD MP+DESECHO+EMPAQUE</t>
  </si>
  <si>
    <t>TOTAL MODI PREPARACION POR GRAMO</t>
  </si>
  <si>
    <t>TOTAL MODI POR GRAMO</t>
  </si>
  <si>
    <t>TOTAL EMPAQUE POR GRAMO</t>
  </si>
  <si>
    <t xml:space="preserve">TOTAL GRAMO MP+MODI </t>
  </si>
  <si>
    <t>COSTO POR UNIDAD</t>
  </si>
  <si>
    <t xml:space="preserve">UND </t>
  </si>
  <si>
    <t>Gramos</t>
  </si>
  <si>
    <t>UND</t>
  </si>
  <si>
    <t>nuevo</t>
  </si>
  <si>
    <t>und</t>
  </si>
  <si>
    <t>11700002</t>
  </si>
  <si>
    <t>Etiqueta Torta Toys</t>
  </si>
  <si>
    <t>ESP-RE-DES-020</t>
  </si>
  <si>
    <t>02</t>
  </si>
  <si>
    <t>Crema de Dulce de Leche(24500g) SE00032</t>
  </si>
  <si>
    <t>Javier Tong, Chef</t>
  </si>
  <si>
    <t>Esteban Cartin, Gte Manufactura</t>
  </si>
  <si>
    <t>Decoracion</t>
  </si>
  <si>
    <t>MP10165</t>
  </si>
  <si>
    <t>CREMA BETTER DULCE LECHE RICH (UND:4 K)</t>
  </si>
  <si>
    <t>RICHS</t>
  </si>
  <si>
    <t>4 GALON</t>
  </si>
  <si>
    <t>MP10048</t>
  </si>
  <si>
    <t>CREMA PRESTIGE GRAND (UND:4 K)</t>
  </si>
  <si>
    <t>2 GALON</t>
  </si>
  <si>
    <t>10415</t>
  </si>
  <si>
    <t>AGUA POTABLE (PLANTA)</t>
  </si>
  <si>
    <t>MP10008</t>
  </si>
  <si>
    <t>PRESERVANTE 1047S (PAQ=5 KILO)</t>
  </si>
  <si>
    <t>ASEAL</t>
  </si>
  <si>
    <t>1.- Colocar en la top cream, la crema de dulce de leche y la prestige y el agua con el preservante. (Cumpliendo un temperatura de 5° liquida)</t>
  </si>
  <si>
    <t>2.- Batir por 21 minutos.</t>
  </si>
  <si>
    <t xml:space="preserve">3,- Una vez lista a una temperatura de 18° batida, retirar, etiquetar y guardar hasta que sean usadas. </t>
  </si>
  <si>
    <t>2, Actualización tiempo de preparación y procedimiento</t>
  </si>
  <si>
    <t>ESP-RE-DES-096</t>
  </si>
  <si>
    <t>01</t>
  </si>
  <si>
    <t>SE00820 Mani Tostado</t>
  </si>
  <si>
    <t>MP10602</t>
  </si>
  <si>
    <t>Mani picado</t>
  </si>
  <si>
    <t xml:space="preserve">Nueces Industriales </t>
  </si>
  <si>
    <t>DECORACION</t>
  </si>
  <si>
    <t>Bolsa Transparente 56X96X1.80</t>
  </si>
  <si>
    <t>1,Colocar en un sarten el mani, hasta que comience a tostarse. (No dejar que se queme)</t>
  </si>
  <si>
    <t>2, Endriar y empacar.</t>
  </si>
  <si>
    <t>ESP-RE-BAF-013</t>
  </si>
  <si>
    <t>907000287(SE00454) Rosquete easy vainilla BC 310g</t>
  </si>
  <si>
    <t>Batidos</t>
  </si>
  <si>
    <t>907000286</t>
  </si>
  <si>
    <t>SE00437</t>
  </si>
  <si>
    <t>BATIDO EASY VAINILLA BC</t>
  </si>
  <si>
    <t>MEZCLA P/ENGRASE MOLDES KILO</t>
  </si>
  <si>
    <t>ETIQ.FECHA VENCIMIENTO BLANCO (ROLLO)</t>
  </si>
  <si>
    <t>ETIPLAST</t>
  </si>
  <si>
    <t>EM10259</t>
  </si>
  <si>
    <t>Plastico Autoaderible 1/ 18*2000</t>
  </si>
  <si>
    <t>metros</t>
  </si>
  <si>
    <t/>
  </si>
  <si>
    <t>1.- Dosificar en moldes engrasados 350g de mezcla.</t>
  </si>
  <si>
    <t>2.- Hornear por 30 minutos en el Dicte 1 a 175°C, en el Dicte 2 por 20 minutos a 175°C, en el Argental por 20 minutos a 175°C, en el Marshall por 18 minutos a 175°C, en el vulcan a 325°F por 25 minutos y en el Curitiba a 130°C por 28.</t>
  </si>
  <si>
    <t>3.- Enfriar, desmoldar, colocar las bandejas en el coche y rapearlo con el plastico, dejando solamente la bandeja superior en bolsa plastica.</t>
  </si>
  <si>
    <t xml:space="preserve">4, Etiquetar </t>
  </si>
  <si>
    <t>2, Se actualizan pesos, datos receta y procedimiento.</t>
  </si>
  <si>
    <t>ESP-RE-BAF-031</t>
  </si>
  <si>
    <t>SE00437 Batido Easy Vainilla BC</t>
  </si>
  <si>
    <t>SE00436</t>
  </si>
  <si>
    <t>PREMEZCLA EASY VAINILLA BC</t>
  </si>
  <si>
    <t>1210482</t>
  </si>
  <si>
    <t>MP10005</t>
  </si>
  <si>
    <t>HUEVO LIQUIDO ESPECIAL INNOV (CAJA:10 K)</t>
  </si>
  <si>
    <t>INNOVO</t>
  </si>
  <si>
    <t>MP10002</t>
  </si>
  <si>
    <t>ACEITE CAPULLO RBD (UND:17 L)</t>
  </si>
  <si>
    <t>CAPULLO</t>
  </si>
  <si>
    <t>1212437</t>
  </si>
  <si>
    <t>MP10315</t>
  </si>
  <si>
    <t>PRESERVANTE MIXTO</t>
  </si>
  <si>
    <t>PURATOS</t>
  </si>
  <si>
    <t>1.- Agregar todos los liquidos a la batidora, luego todos los polvos. Batir 1 min en velocidada 1. Usar paleta.</t>
  </si>
  <si>
    <t>2.- Subir a velocidad 2 y batir por 4 min.</t>
  </si>
  <si>
    <t>3.- Dosificar.</t>
  </si>
  <si>
    <t>Revision #2: Cambio en el peso del huevo y el agua.</t>
  </si>
  <si>
    <t>ESP-RE-PRES-023</t>
  </si>
  <si>
    <t>03</t>
  </si>
  <si>
    <t>SE00436  Premezcla Easy vainilla BC (provisional)</t>
  </si>
  <si>
    <t>Juan Pablo Brenes, Chef</t>
  </si>
  <si>
    <t>Premezclas</t>
  </si>
  <si>
    <t>MP10491</t>
  </si>
  <si>
    <t>EASY VAINILLA BC</t>
  </si>
  <si>
    <t>510301</t>
  </si>
  <si>
    <t>MP10074</t>
  </si>
  <si>
    <t>AZUCAR BLANCO INDUSTRIAL (SACO:50 K)</t>
  </si>
  <si>
    <t>LAYCA</t>
  </si>
  <si>
    <t>11200072</t>
  </si>
  <si>
    <t>MP10478</t>
  </si>
  <si>
    <t>HARINA SILVER CAKE (SACO: 25K)</t>
  </si>
  <si>
    <t>FHACASA</t>
  </si>
  <si>
    <t>0510107</t>
  </si>
  <si>
    <t>MP10036</t>
  </si>
  <si>
    <t xml:space="preserve">HARINA HARISOL WINTER </t>
  </si>
  <si>
    <t>MP10566</t>
  </si>
  <si>
    <t>PROPIONATO DE CALCIO</t>
  </si>
  <si>
    <t>IQS</t>
  </si>
  <si>
    <t>MP10304</t>
  </si>
  <si>
    <t>POLVO HORNEAR FLEISHMAN (PAQ:2.5 K)</t>
  </si>
  <si>
    <t>FLEISHMAN</t>
  </si>
  <si>
    <t>1210445</t>
  </si>
  <si>
    <t>MP10142</t>
  </si>
  <si>
    <t>CLARA DE HUEVO DESHIDRATADA</t>
  </si>
  <si>
    <t>MP10517</t>
  </si>
  <si>
    <t>ACTI EGG</t>
  </si>
  <si>
    <t>MP10481</t>
  </si>
  <si>
    <t>Goma Xantana</t>
  </si>
  <si>
    <t>MP10769</t>
  </si>
  <si>
    <t>HUEVO EN POLVO</t>
  </si>
  <si>
    <t>EPKMARKET</t>
  </si>
  <si>
    <t>1950708</t>
  </si>
  <si>
    <t>EM10258</t>
  </si>
  <si>
    <t>BOLSA TRANSP 20x30x2000</t>
  </si>
  <si>
    <t>EM10037</t>
  </si>
  <si>
    <t>BOLSA 8x12 TRANSPARENTE KILO</t>
  </si>
  <si>
    <t>EM10133</t>
  </si>
  <si>
    <t>ETIQUETA ROJA LETRA ALERJENO (UND)</t>
  </si>
  <si>
    <t>1.- En una bolsa 20x30 empacar el nucleo easy con el harina y el actiegg. En una bolsa 17x25 empacar el azucar, y etiquetar.</t>
  </si>
  <si>
    <t>2.- En la otra bolsa 8x12 empacar el preservante, polvo de hornear. Colocar en la misma bolsa del harina.</t>
  </si>
  <si>
    <t>Revision #2: Se baja a la mitad el polvo de hornear y se agrega goma xantana</t>
  </si>
  <si>
    <t>Revision #3: Actualizacion por adicion de huevo en polvo.</t>
  </si>
  <si>
    <r>
      <rPr>
        <b/>
        <sz val="16"/>
        <rFont val="Arial"/>
        <family val="2"/>
      </rPr>
      <t>Provisional</t>
    </r>
    <r>
      <rPr>
        <sz val="16"/>
        <rFont val="Arial"/>
        <family val="2"/>
      </rPr>
      <t>: Se elimina el preservante Aseal 1047 y se agrega propionato de calcio</t>
    </r>
  </si>
  <si>
    <t>ESP-RE-DES-026</t>
  </si>
  <si>
    <t>Leches pasteurizadas con Agua 320g Spoon 910000003(SE00254)</t>
  </si>
  <si>
    <t>907000001</t>
  </si>
  <si>
    <t>SE00031</t>
  </si>
  <si>
    <t xml:space="preserve">MEZCLA DE LECHE PASTEURIZADA </t>
  </si>
  <si>
    <t>AGUA</t>
  </si>
  <si>
    <t>1212412</t>
  </si>
  <si>
    <t>MP10025</t>
  </si>
  <si>
    <t>PRESERVANTE 1017 (PAQ=5 KILO)</t>
  </si>
  <si>
    <t>Aseal</t>
  </si>
  <si>
    <t>Minutos</t>
  </si>
  <si>
    <t>Tortas</t>
  </si>
  <si>
    <t>1.- Colocar la mezcla de leches con agua y preservante en un balde.</t>
  </si>
  <si>
    <t>ESP-RE-POS-020</t>
  </si>
  <si>
    <t>Mezcla para Tres Leches Pasteurizada SE00031</t>
  </si>
  <si>
    <t>Postres</t>
  </si>
  <si>
    <t>MP10030</t>
  </si>
  <si>
    <t>LECHE 2% PASTEURIZADA (UND)</t>
  </si>
  <si>
    <t>DOS PINOS</t>
  </si>
  <si>
    <t xml:space="preserve">g </t>
  </si>
  <si>
    <t>1110414</t>
  </si>
  <si>
    <t>MP10024</t>
  </si>
  <si>
    <t>LECHE EVAPORADA (LITRO)</t>
  </si>
  <si>
    <t>NESTLE</t>
  </si>
  <si>
    <t>MP10050</t>
  </si>
  <si>
    <t>LECHE CONDENSADA</t>
  </si>
  <si>
    <t xml:space="preserve">CREMA PRESTIGE GRAND </t>
  </si>
  <si>
    <t>RICH</t>
  </si>
  <si>
    <t>SE00016</t>
  </si>
  <si>
    <t>AZUCAR BLANCO INDUSTRIAL KILO</t>
  </si>
  <si>
    <t>Min.</t>
  </si>
  <si>
    <t xml:space="preserve">1. Disolver completamente  el preservante en un litro de leche estandar empleando el homogenizador manual. </t>
  </si>
  <si>
    <t>2. Colocar en un bolw con una paleta manual, la leche fluida, la leche evaporada, el litro de leche con el preservante ya disuelto, el azúcar, la crema prestige líquida y  la leche condensada.</t>
  </si>
  <si>
    <t xml:space="preserve">3. Dosificar la mezcla pasteurizada en recipientes de acero inoxidable previamente lavado de acuerdo a INS-LMP-019 Recipiente para el Almacenamiento de Leche Pasteurizada, tapar el recipiente hermeticamente y reservar hasta su uso. </t>
  </si>
  <si>
    <t xml:space="preserve">4. Identificar los recipientes con nombre del producto, fecha de producción y responsable. </t>
  </si>
  <si>
    <t xml:space="preserve">5. Esta mezcla tiene una vida útil de 2 días envasada en recipientes de acero inoxidable herméticamente cerrados y mantenida en refrigeración </t>
  </si>
  <si>
    <t xml:space="preserve">    0ºC y 5ªC.       Terminado el proceso proceder a la limpieza del equipo y a la sanitización.</t>
  </si>
  <si>
    <t xml:space="preserve">2Actualización procedimiento </t>
  </si>
  <si>
    <t>ESP-RE-COCS-025</t>
  </si>
  <si>
    <t>Ganache De Chocolate Blanco 37380g SE00051</t>
  </si>
  <si>
    <t>Cocina</t>
  </si>
  <si>
    <t>1210387</t>
  </si>
  <si>
    <t>MP10143</t>
  </si>
  <si>
    <t>COBERTURA DE CHOCOLATE BLANCO ( PAQ=5 K )</t>
  </si>
  <si>
    <t>NACIONAL CH</t>
  </si>
  <si>
    <t>11400031</t>
  </si>
  <si>
    <t>CREMA PRESTIGE GRAND</t>
  </si>
  <si>
    <t>Tanda</t>
  </si>
  <si>
    <t>1.- Colocar  la crema en una olla llegar a  65 grados , mover, no hervir, agregar los trozos de chocolate y mover hasta que se derritan.</t>
  </si>
  <si>
    <t>2.- Mezclar bien, con cuidado de no quemar,cuando este todo derretido, mezlcar con ayuda de un batidor de globo de mano, para asegurarse que no queden grumos</t>
  </si>
  <si>
    <t>3.- Colocar en bandejas, enfriar.</t>
  </si>
  <si>
    <t>ESP-RE-COCS-019</t>
  </si>
  <si>
    <t>908000032(SE00001) Ganache De chocolate Oscuro 40700g</t>
  </si>
  <si>
    <t>1210386</t>
  </si>
  <si>
    <t>COBERTURA CHOCOLATE LECHE ( 5KG )</t>
  </si>
  <si>
    <t>Nacional Chocolate</t>
  </si>
  <si>
    <t>11400027</t>
  </si>
  <si>
    <t>MP10006</t>
  </si>
  <si>
    <t>CREMA BETTERCREAM DOBLE CHOCO 4K</t>
  </si>
  <si>
    <t>Richs</t>
  </si>
  <si>
    <t>1- Colocar la crema de chocolate en una olla y calentar hasta 55 grados hasta hervir, agregar primero la mitad del chocolate. Mezclar hasta derretir.</t>
  </si>
  <si>
    <t>2.- Añadir luego la mitad restante de chocolate, mezclar bien hasta derretir completamente el chocolate.</t>
  </si>
  <si>
    <t>3- Pasar el ganache caliente por un colador para evitar que queden grumos de chocolate.</t>
  </si>
  <si>
    <t>4.- Colocar en cheffing de acero y enfriar.</t>
  </si>
  <si>
    <t>ESP-RE-COCS-034</t>
  </si>
  <si>
    <t>Ganage de dulce de leche 4800g Spoon 901000111(SE00298)</t>
  </si>
  <si>
    <t>Actializado 27/06/2025</t>
  </si>
  <si>
    <t>COBERTURA CHOCOLATE BLANCO (PAQ:5 K)</t>
  </si>
  <si>
    <t>NACIONAL C</t>
  </si>
  <si>
    <t>Mayca</t>
  </si>
  <si>
    <t>PLAST. AUTOAD 18 * 2000</t>
  </si>
  <si>
    <t>cm</t>
  </si>
  <si>
    <t>1.- Calentar la crema hastsa 55°C - 60°C. Apagar el fuego. Luego agregar el chocolate blanco en trozos lo mas pequeñas posible, ir moviendo constantemete con ayuda de un batidor de globo. Hasta que se derrita. Temp final 40°C aprox.</t>
  </si>
  <si>
    <t>2.- Colocar en badnejas tapadas, etiquetar con fecha de produccion y vencimiento.</t>
  </si>
  <si>
    <t>2, Se le aumenta chocolate blanco. Se actualiza procedimiento</t>
  </si>
  <si>
    <t xml:space="preserve">SE00846 Crema Dulce de Cramelo </t>
  </si>
  <si>
    <t>ESP-RE-DES-103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</si>
</sst>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0.000"/>
    <numFmt numFmtId="165" formatCode="0.0000"/>
    <numFmt numFmtId="166" formatCode="_(* #,##0.000_);_(* \(#,##0.000\);_(* &quot;-&quot;??_);_(@_)"/>
    <numFmt numFmtId="167" formatCode="0.0"/>
    <numFmt numFmtId="168" formatCode="_(* #,##0.00_);_(* \(#,##0.00\);_(* &quot;-&quot;??_);_(@_)"/>
    <numFmt numFmtId="169" formatCode="[$-409]d\-mmm\-yy;@"/>
    <numFmt numFmtId="170" formatCode="&quot;$&quot;#,##0_);[Red]\(&quot;$&quot;#,##0\)"/>
    <numFmt numFmtId="171" formatCode="_-* #,##0.0\ _€_-;\-* #,##0.0\ _€_-;_-* &quot;-&quot;??\ _€_-;_-@_-"/>
  </numFmts>
  <fonts count="98">
    <font>
      <sz val="11"/>
      <color theme="1"/>
      <name val="Aptos Narrow"/>
      <family val="2"/>
      <scheme val="minor"/>
    </font>
    <font>
      <sz val="10"/>
      <name val="Arial"/>
      <family val="2"/>
    </font>
    <font>
      <sz val="11"/>
      <name val="Times New Roman"/>
      <family val="1"/>
    </font>
    <font>
      <sz val="12"/>
      <name val="Arial"/>
      <family val="2"/>
    </font>
    <font>
      <sz val="11"/>
      <color theme="1"/>
      <name val="Aptos Narrow"/>
      <family val="2"/>
      <scheme val="minor"/>
    </font>
    <font>
      <sz val="10"/>
      <name val="Century Gothic"/>
      <family val="2"/>
    </font>
    <font>
      <sz val="12"/>
      <name val="Times New Roman"/>
      <family val="1"/>
    </font>
    <font>
      <b/>
      <sz val="12"/>
      <name val="Century Gothic"/>
      <family val="2"/>
    </font>
    <font>
      <b/>
      <sz val="12"/>
      <name val="Arial"/>
      <family val="2"/>
    </font>
    <font>
      <b/>
      <sz val="10"/>
      <name val="Century Gothic"/>
      <family val="2"/>
    </font>
    <font>
      <sz val="12"/>
      <name val="Century Gothic"/>
      <family val="2"/>
    </font>
    <font>
      <b/>
      <sz val="12"/>
      <color rgb="FFFF0000"/>
      <name val="Arial"/>
      <family val="2"/>
    </font>
    <font>
      <sz val="12"/>
      <color theme="1"/>
      <name val="Aptos Narrow"/>
      <family val="2"/>
      <scheme val="minor"/>
    </font>
    <font>
      <sz val="12"/>
      <color indexed="8"/>
      <name val="Century Gothic"/>
      <family val="2"/>
    </font>
    <font>
      <sz val="11"/>
      <name val="Arial"/>
      <family val="2"/>
    </font>
    <font>
      <sz val="8"/>
      <name val="Aptos Narrow"/>
      <family val="2"/>
      <scheme val="minor"/>
    </font>
    <font>
      <b/>
      <sz val="14"/>
      <name val="Century Gothic"/>
      <family val="2"/>
    </font>
    <font>
      <sz val="14"/>
      <name val="Times New Roman"/>
      <family val="1"/>
    </font>
    <font>
      <b/>
      <sz val="14"/>
      <name val="Times New Roman"/>
      <family val="1"/>
    </font>
    <font>
      <sz val="14"/>
      <color theme="1"/>
      <name val="Times New Roman"/>
      <family val="1"/>
    </font>
    <font>
      <b/>
      <sz val="14"/>
      <color indexed="8"/>
      <name val="Times New Roman"/>
      <family val="1"/>
    </font>
    <font>
      <sz val="14"/>
      <name val="Century Gothic"/>
      <family val="2"/>
    </font>
    <font>
      <sz val="14"/>
      <color rgb="FF0070C0"/>
      <name val="Times New Roman"/>
      <family val="1"/>
    </font>
    <font>
      <sz val="14"/>
      <color theme="1"/>
      <name val="Aptos Narrow"/>
      <family val="2"/>
      <scheme val="minor"/>
    </font>
    <font>
      <b/>
      <sz val="14"/>
      <name val="Arial"/>
      <family val="2"/>
    </font>
    <font>
      <sz val="12"/>
      <color theme="1"/>
      <name val="Arial"/>
      <family val="2"/>
    </font>
    <font>
      <sz val="16"/>
      <name val="Arial"/>
      <family val="2"/>
    </font>
    <font>
      <sz val="14"/>
      <name val="Arial"/>
      <family val="2"/>
    </font>
    <font>
      <sz val="12"/>
      <color theme="1"/>
      <name val="April"/>
    </font>
    <font>
      <sz val="12"/>
      <name val="April"/>
    </font>
    <font>
      <b/>
      <sz val="14"/>
      <color theme="1"/>
      <name val="Arial"/>
      <family val="2"/>
    </font>
    <font>
      <sz val="14"/>
      <color theme="1"/>
      <name val="Arial"/>
      <family val="2"/>
    </font>
    <font>
      <sz val="16"/>
      <color theme="1"/>
      <name val="Arial"/>
      <family val="2"/>
    </font>
    <font>
      <b/>
      <sz val="16"/>
      <name val="Arial"/>
      <family val="2"/>
    </font>
    <font>
      <b/>
      <sz val="18"/>
      <name val="Century Gothic"/>
      <family val="2"/>
    </font>
    <font>
      <b/>
      <sz val="16"/>
      <color indexed="8"/>
      <name val="Arial"/>
      <family val="2"/>
    </font>
    <font>
      <sz val="16"/>
      <color indexed="8"/>
      <name val="Arial"/>
      <family val="2"/>
    </font>
    <font>
      <sz val="10"/>
      <name val="Times New Roman"/>
      <family val="1"/>
    </font>
    <font>
      <b/>
      <sz val="10"/>
      <name val="Times New Roman"/>
      <family val="1"/>
    </font>
    <font>
      <b/>
      <sz val="10"/>
      <color indexed="21"/>
      <name val="Times New Roman"/>
      <family val="1"/>
    </font>
    <font>
      <sz val="10"/>
      <name val="Arial Black"/>
      <family val="2"/>
    </font>
    <font>
      <b/>
      <sz val="14"/>
      <color indexed="12"/>
      <name val="Arial Black"/>
      <family val="2"/>
    </font>
    <font>
      <b/>
      <sz val="14"/>
      <name val="Modern"/>
      <family val="3"/>
      <charset val="255"/>
    </font>
    <font>
      <sz val="10"/>
      <color indexed="18"/>
      <name val="Palatino Linotype"/>
      <family val="1"/>
    </font>
    <font>
      <b/>
      <i/>
      <sz val="10"/>
      <name val="Times New Roman"/>
      <family val="1"/>
    </font>
    <font>
      <b/>
      <sz val="10"/>
      <color indexed="8"/>
      <name val="Times New Roman"/>
      <family val="1"/>
    </font>
    <font>
      <b/>
      <sz val="10"/>
      <color indexed="12"/>
      <name val="Times New Roman"/>
      <family val="1"/>
    </font>
    <font>
      <b/>
      <sz val="9"/>
      <color indexed="18"/>
      <name val="Times New Roman"/>
      <family val="1"/>
    </font>
    <font>
      <sz val="9"/>
      <name val="Times New Roman"/>
      <family val="1"/>
    </font>
    <font>
      <b/>
      <sz val="9"/>
      <color rgb="FFFF0000"/>
      <name val="Times New Roman"/>
      <family val="1"/>
    </font>
    <font>
      <b/>
      <sz val="9"/>
      <color indexed="12"/>
      <name val="Times New Roman"/>
      <family val="1"/>
    </font>
    <font>
      <b/>
      <sz val="9"/>
      <color indexed="17"/>
      <name val="Times New Roman"/>
      <family val="1"/>
    </font>
    <font>
      <b/>
      <sz val="9"/>
      <name val="Times New Roman"/>
      <family val="1"/>
    </font>
    <font>
      <sz val="8"/>
      <name val="Times New Roman"/>
      <family val="1"/>
    </font>
    <font>
      <b/>
      <sz val="9"/>
      <color indexed="10"/>
      <name val="Times New Roman"/>
      <family val="1"/>
    </font>
    <font>
      <b/>
      <sz val="10"/>
      <color indexed="17"/>
      <name val="Times New Roman"/>
      <family val="1"/>
    </font>
    <font>
      <b/>
      <sz val="9"/>
      <color indexed="57"/>
      <name val="Times New Roman"/>
      <family val="1"/>
    </font>
    <font>
      <sz val="10"/>
      <color indexed="10"/>
      <name val="Times New Roman"/>
      <family val="1"/>
    </font>
    <font>
      <sz val="10"/>
      <color indexed="17"/>
      <name val="Times New Roman"/>
      <family val="1"/>
    </font>
    <font>
      <b/>
      <sz val="10"/>
      <color indexed="18"/>
      <name val="Times New Roman"/>
      <family val="1"/>
    </font>
    <font>
      <b/>
      <sz val="10"/>
      <color indexed="10"/>
      <name val="Times New Roman"/>
      <family val="1"/>
    </font>
    <font>
      <b/>
      <sz val="10"/>
      <color indexed="16"/>
      <name val="Times New Roman"/>
      <family val="1"/>
    </font>
    <font>
      <sz val="10"/>
      <color indexed="8"/>
      <name val="Times New Roman"/>
      <family val="1"/>
    </font>
    <font>
      <b/>
      <sz val="10"/>
      <color indexed="19"/>
      <name val="Times New Roman"/>
      <family val="1"/>
    </font>
    <font>
      <b/>
      <sz val="7"/>
      <color indexed="17"/>
      <name val="Times New Roman"/>
      <family val="1"/>
    </font>
    <font>
      <b/>
      <sz val="10"/>
      <color indexed="60"/>
      <name val="Times New Roman"/>
      <family val="1"/>
    </font>
    <font>
      <b/>
      <sz val="12"/>
      <name val="Times New Roman"/>
      <family val="1"/>
    </font>
    <font>
      <b/>
      <sz val="12"/>
      <color indexed="8"/>
      <name val="Times New Roman"/>
      <family val="1"/>
    </font>
    <font>
      <sz val="12"/>
      <color theme="1"/>
      <name val="Century Gothic"/>
      <family val="2"/>
    </font>
    <font>
      <sz val="12"/>
      <color rgb="FF000000"/>
      <name val="Century Gothic"/>
      <family val="2"/>
    </font>
    <font>
      <sz val="12"/>
      <color rgb="FF000000"/>
      <name val="Aptos Narrow"/>
      <family val="2"/>
      <scheme val="minor"/>
    </font>
    <font>
      <b/>
      <sz val="10"/>
      <color rgb="FFFF0000"/>
      <name val="Arial"/>
      <family val="2"/>
    </font>
    <font>
      <b/>
      <sz val="11"/>
      <name val="Times New Roman"/>
      <family val="1"/>
    </font>
    <font>
      <b/>
      <sz val="11"/>
      <color indexed="8"/>
      <name val="Times New Roman"/>
      <family val="1"/>
    </font>
    <font>
      <sz val="10"/>
      <color theme="1"/>
      <name val="Century Gothic"/>
      <family val="2"/>
    </font>
    <font>
      <sz val="11"/>
      <color indexed="8"/>
      <name val="Times New Roman"/>
      <family val="1"/>
    </font>
    <font>
      <sz val="10"/>
      <color indexed="8"/>
      <name val="Century Gothic"/>
      <family val="2"/>
    </font>
    <font>
      <b/>
      <sz val="11"/>
      <name val="Arial"/>
      <family val="2"/>
    </font>
    <font>
      <b/>
      <i/>
      <sz val="18"/>
      <name val="Arial"/>
      <family val="2"/>
    </font>
    <font>
      <sz val="10"/>
      <color rgb="FF000000"/>
      <name val="Century Gothic"/>
      <family val="2"/>
    </font>
    <font>
      <sz val="11"/>
      <color rgb="FF000000"/>
      <name val="Aptos Narrow"/>
      <family val="2"/>
      <scheme val="minor"/>
    </font>
    <font>
      <sz val="15"/>
      <name val="Century Gothic"/>
      <family val="2"/>
    </font>
    <font>
      <b/>
      <sz val="15"/>
      <name val="Century Gothic"/>
      <family val="2"/>
    </font>
    <font>
      <b/>
      <sz val="15"/>
      <name val="Arial"/>
      <family val="2"/>
    </font>
    <font>
      <b/>
      <sz val="15"/>
      <color rgb="FFFF0000"/>
      <name val="Arial"/>
      <family val="2"/>
    </font>
    <font>
      <b/>
      <sz val="15"/>
      <name val="Times New Roman"/>
      <family val="1"/>
    </font>
    <font>
      <b/>
      <sz val="15"/>
      <color indexed="8"/>
      <name val="Times New Roman"/>
      <family val="1"/>
    </font>
    <font>
      <sz val="15"/>
      <name val="Times New Roman"/>
      <family val="1"/>
    </font>
    <font>
      <sz val="15"/>
      <color indexed="8"/>
      <name val="Times New Roman"/>
      <family val="1"/>
    </font>
    <font>
      <sz val="15"/>
      <name val="Arial"/>
      <family val="2"/>
    </font>
    <font>
      <sz val="15"/>
      <color theme="1"/>
      <name val="Century Gothic"/>
      <family val="2"/>
    </font>
    <font>
      <sz val="15"/>
      <color theme="1"/>
      <name val="Aptos Narrow"/>
      <family val="2"/>
      <scheme val="minor"/>
    </font>
    <font>
      <sz val="15"/>
      <color indexed="8"/>
      <name val="Century Gothic"/>
      <family val="2"/>
    </font>
    <font>
      <b/>
      <sz val="10"/>
      <name val="Arial"/>
      <family val="2"/>
    </font>
    <font>
      <sz val="9"/>
      <color indexed="8"/>
      <name val="Aptos Narrow"/>
      <family val="2"/>
      <scheme val="minor"/>
    </font>
    <font>
      <sz val="10"/>
      <color indexed="8"/>
      <name val="Arial"/>
      <family val="2"/>
    </font>
    <font>
      <sz val="8"/>
      <name val="Tahoma"/>
      <family val="2"/>
    </font>
    <font>
      <b/>
      <sz val="16"/>
      <color theme="1"/>
      <name val="Arial"/>
      <family val="2"/>
    </font>
  </fonts>
  <fills count="1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indexed="2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indexed="21"/>
        <bgColor indexed="64"/>
      </patternFill>
    </fill>
    <fill>
      <patternFill patternType="solid">
        <fgColor indexed="55"/>
        <bgColor indexed="64"/>
      </patternFill>
    </fill>
    <fill>
      <patternFill patternType="solid">
        <fgColor indexed="50"/>
        <bgColor indexed="64"/>
      </patternFill>
    </fill>
    <fill>
      <patternFill patternType="solid">
        <fgColor indexed="19"/>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FFFF"/>
        <bgColor rgb="FF000000"/>
      </patternFill>
    </fill>
    <fill>
      <patternFill patternType="solid">
        <fgColor rgb="FFFFFF00"/>
        <bgColor indexed="64"/>
      </patternFill>
    </fill>
  </fills>
  <borders count="65">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diagonal/>
    </border>
    <border>
      <left/>
      <right style="thin">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theme="1"/>
      </left>
      <right/>
      <top style="thin">
        <color theme="1"/>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theme="1"/>
      </top>
      <bottom/>
      <diagonal/>
    </border>
    <border>
      <left/>
      <right style="medium">
        <color indexed="64"/>
      </right>
      <top style="medium">
        <color indexed="64"/>
      </top>
      <bottom/>
      <diagonal/>
    </border>
  </borders>
  <cellStyleXfs count="14">
    <xf numFmtId="0" fontId="0" fillId="0" borderId="0"/>
    <xf numFmtId="0" fontId="1" fillId="0" borderId="0"/>
    <xf numFmtId="0" fontId="3" fillId="0" borderId="0"/>
    <xf numFmtId="0" fontId="4" fillId="0" borderId="0"/>
    <xf numFmtId="0" fontId="1" fillId="0" borderId="0"/>
    <xf numFmtId="0" fontId="4" fillId="0" borderId="0"/>
    <xf numFmtId="0" fontId="1" fillId="0" borderId="0"/>
    <xf numFmtId="9" fontId="1" fillId="0" borderId="0" applyFont="0" applyFill="0" applyBorder="0" applyAlignment="0" applyProtection="0"/>
    <xf numFmtId="0" fontId="1" fillId="0" borderId="0"/>
    <xf numFmtId="43"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9" fontId="1" fillId="0" borderId="0" applyFont="0" applyFill="0" applyBorder="0" applyAlignment="0" applyProtection="0"/>
  </cellStyleXfs>
  <cellXfs count="1014">
    <xf numFmtId="0" fontId="0" fillId="0" borderId="0" xfId="0"/>
    <xf numFmtId="0" fontId="6" fillId="0" borderId="15" xfId="0" applyFont="1" applyBorder="1" applyAlignment="1">
      <alignment horizontal="center"/>
    </xf>
    <xf numFmtId="0" fontId="3" fillId="0" borderId="15" xfId="1" applyFont="1" applyBorder="1" applyAlignment="1">
      <alignment horizontal="center"/>
    </xf>
    <xf numFmtId="0" fontId="6" fillId="0" borderId="15" xfId="1" applyFont="1" applyBorder="1" applyAlignment="1">
      <alignment horizontal="center"/>
    </xf>
    <xf numFmtId="1" fontId="2" fillId="0" borderId="15" xfId="0" applyNumberFormat="1" applyFont="1" applyBorder="1" applyAlignment="1">
      <alignment horizontal="center" wrapText="1"/>
    </xf>
    <xf numFmtId="0" fontId="7" fillId="3" borderId="18" xfId="2" applyFont="1" applyFill="1" applyBorder="1" applyAlignment="1">
      <alignment horizontal="right"/>
    </xf>
    <xf numFmtId="0" fontId="10" fillId="3" borderId="17" xfId="2" applyFont="1" applyFill="1" applyBorder="1" applyAlignment="1">
      <alignment horizontal="center"/>
    </xf>
    <xf numFmtId="0" fontId="7" fillId="3" borderId="15" xfId="2" applyFont="1" applyFill="1" applyBorder="1" applyAlignment="1">
      <alignment horizontal="right"/>
    </xf>
    <xf numFmtId="49" fontId="10" fillId="3" borderId="14" xfId="2" applyNumberFormat="1" applyFont="1" applyFill="1" applyBorder="1" applyAlignment="1">
      <alignment horizontal="center"/>
    </xf>
    <xf numFmtId="0" fontId="10" fillId="3" borderId="11" xfId="2" applyFont="1" applyFill="1" applyBorder="1" applyAlignment="1">
      <alignment horizontal="right"/>
    </xf>
    <xf numFmtId="0" fontId="10" fillId="3" borderId="15" xfId="2" applyFont="1" applyFill="1" applyBorder="1" applyAlignment="1">
      <alignment horizontal="right"/>
    </xf>
    <xf numFmtId="14" fontId="11" fillId="3" borderId="0" xfId="2" applyNumberFormat="1" applyFont="1" applyFill="1" applyAlignment="1">
      <alignment horizontal="center" vertical="center" wrapText="1"/>
    </xf>
    <xf numFmtId="0" fontId="7" fillId="2" borderId="17" xfId="1" applyFont="1" applyFill="1" applyBorder="1" applyAlignment="1">
      <alignment horizontal="center" vertical="center" wrapText="1"/>
    </xf>
    <xf numFmtId="1" fontId="7" fillId="2" borderId="2" xfId="1" applyNumberFormat="1" applyFont="1" applyFill="1" applyBorder="1" applyAlignment="1">
      <alignment horizontal="center"/>
    </xf>
    <xf numFmtId="1" fontId="7" fillId="2" borderId="2" xfId="1" applyNumberFormat="1" applyFont="1" applyFill="1" applyBorder="1" applyAlignment="1">
      <alignment horizontal="center" wrapText="1"/>
    </xf>
    <xf numFmtId="0" fontId="7" fillId="2" borderId="1" xfId="1" applyFont="1" applyFill="1" applyBorder="1" applyAlignment="1">
      <alignment horizontal="center"/>
    </xf>
    <xf numFmtId="0" fontId="6" fillId="0" borderId="14" xfId="1" applyFont="1" applyBorder="1" applyAlignment="1">
      <alignment horizontal="center"/>
    </xf>
    <xf numFmtId="0" fontId="2" fillId="0" borderId="15" xfId="0" applyFont="1" applyBorder="1" applyAlignment="1">
      <alignment horizontal="center" vertical="center"/>
    </xf>
    <xf numFmtId="1" fontId="6" fillId="0" borderId="15" xfId="0" applyNumberFormat="1" applyFont="1" applyBorder="1" applyAlignment="1">
      <alignment horizontal="center" wrapText="1"/>
    </xf>
    <xf numFmtId="1" fontId="6" fillId="0" borderId="15" xfId="1" applyNumberFormat="1" applyFont="1" applyBorder="1" applyAlignment="1">
      <alignment horizontal="center"/>
    </xf>
    <xf numFmtId="0" fontId="10" fillId="0" borderId="15" xfId="0" quotePrefix="1" applyFont="1" applyBorder="1" applyAlignment="1">
      <alignment horizontal="right"/>
    </xf>
    <xf numFmtId="0" fontId="12" fillId="0" borderId="15" xfId="0" applyFont="1" applyBorder="1" applyAlignment="1">
      <alignment horizontal="center"/>
    </xf>
    <xf numFmtId="0" fontId="10" fillId="0" borderId="15" xfId="0" quotePrefix="1" applyFont="1" applyBorder="1"/>
    <xf numFmtId="0" fontId="6" fillId="0" borderId="15" xfId="0" applyFont="1" applyBorder="1"/>
    <xf numFmtId="1" fontId="10" fillId="0" borderId="15" xfId="0" applyNumberFormat="1" applyFont="1" applyBorder="1" applyAlignment="1">
      <alignment horizontal="center" wrapText="1"/>
    </xf>
    <xf numFmtId="0" fontId="12" fillId="0" borderId="0" xfId="0" applyFont="1" applyAlignment="1">
      <alignment horizontal="center"/>
    </xf>
    <xf numFmtId="0" fontId="12" fillId="0" borderId="15" xfId="0" applyFont="1" applyBorder="1"/>
    <xf numFmtId="1" fontId="6" fillId="0" borderId="15" xfId="0" applyNumberFormat="1" applyFont="1" applyBorder="1" applyAlignment="1">
      <alignment horizontal="center"/>
    </xf>
    <xf numFmtId="49" fontId="6" fillId="0" borderId="16" xfId="1" applyNumberFormat="1" applyFont="1" applyBorder="1" applyAlignment="1">
      <alignment horizontal="center"/>
    </xf>
    <xf numFmtId="49" fontId="6" fillId="0" borderId="8" xfId="1" applyNumberFormat="1" applyFont="1" applyBorder="1" applyAlignment="1">
      <alignment horizontal="center"/>
    </xf>
    <xf numFmtId="49" fontId="6" fillId="0" borderId="15" xfId="1" applyNumberFormat="1" applyFont="1" applyBorder="1"/>
    <xf numFmtId="1" fontId="6" fillId="0" borderId="15" xfId="1" applyNumberFormat="1" applyFont="1" applyBorder="1" applyAlignment="1">
      <alignment horizontal="center" wrapText="1"/>
    </xf>
    <xf numFmtId="49" fontId="13" fillId="3" borderId="21" xfId="1" applyNumberFormat="1" applyFont="1" applyFill="1" applyBorder="1" applyAlignment="1">
      <alignment horizontal="center" vertical="center"/>
    </xf>
    <xf numFmtId="49" fontId="13" fillId="3" borderId="0" xfId="1" applyNumberFormat="1" applyFont="1" applyFill="1" applyAlignment="1">
      <alignment horizontal="center" vertical="center"/>
    </xf>
    <xf numFmtId="0" fontId="10" fillId="3" borderId="0" xfId="1" applyFont="1" applyFill="1"/>
    <xf numFmtId="1" fontId="10" fillId="3" borderId="0" xfId="1" applyNumberFormat="1" applyFont="1" applyFill="1" applyAlignment="1">
      <alignment horizontal="center"/>
    </xf>
    <xf numFmtId="164" fontId="10" fillId="3" borderId="0" xfId="1" applyNumberFormat="1" applyFont="1" applyFill="1" applyAlignment="1">
      <alignment horizontal="center" wrapText="1"/>
    </xf>
    <xf numFmtId="0" fontId="10" fillId="3" borderId="20" xfId="1" applyFont="1" applyFill="1" applyBorder="1" applyAlignment="1">
      <alignment horizontal="center"/>
    </xf>
    <xf numFmtId="0" fontId="10" fillId="2" borderId="42" xfId="1" applyFont="1" applyFill="1" applyBorder="1" applyAlignment="1">
      <alignment horizontal="center"/>
    </xf>
    <xf numFmtId="0" fontId="10" fillId="2" borderId="37" xfId="1" applyFont="1" applyFill="1" applyBorder="1" applyAlignment="1">
      <alignment horizontal="center"/>
    </xf>
    <xf numFmtId="0" fontId="10" fillId="2" borderId="37" xfId="1" applyFont="1" applyFill="1" applyBorder="1"/>
    <xf numFmtId="0" fontId="7" fillId="2" borderId="37" xfId="1" applyFont="1" applyFill="1" applyBorder="1" applyAlignment="1">
      <alignment horizontal="center"/>
    </xf>
    <xf numFmtId="1" fontId="7" fillId="2" borderId="37" xfId="1" applyNumberFormat="1" applyFont="1" applyFill="1" applyBorder="1" applyAlignment="1">
      <alignment horizontal="center"/>
    </xf>
    <xf numFmtId="164" fontId="10" fillId="2" borderId="37" xfId="1" applyNumberFormat="1" applyFont="1" applyFill="1" applyBorder="1" applyAlignment="1">
      <alignment horizontal="center" wrapText="1"/>
    </xf>
    <xf numFmtId="0" fontId="10" fillId="2" borderId="38" xfId="1" applyFont="1" applyFill="1" applyBorder="1" applyAlignment="1">
      <alignment horizontal="center"/>
    </xf>
    <xf numFmtId="0" fontId="3" fillId="0" borderId="27" xfId="0" applyFont="1" applyBorder="1" applyAlignment="1">
      <alignment horizontal="center"/>
    </xf>
    <xf numFmtId="0" fontId="3" fillId="0" borderId="15" xfId="0" applyFont="1" applyBorder="1" applyAlignment="1">
      <alignment horizontal="center"/>
    </xf>
    <xf numFmtId="0" fontId="3" fillId="0" borderId="2" xfId="0" applyFont="1" applyBorder="1" applyAlignment="1">
      <alignment horizontal="center"/>
    </xf>
    <xf numFmtId="0" fontId="2" fillId="0" borderId="15" xfId="1" applyFont="1" applyBorder="1" applyAlignment="1">
      <alignment horizontal="center"/>
    </xf>
    <xf numFmtId="1" fontId="2" fillId="0" borderId="15" xfId="1" applyNumberFormat="1" applyFont="1" applyBorder="1" applyAlignment="1">
      <alignment horizontal="center"/>
    </xf>
    <xf numFmtId="49" fontId="2" fillId="4" borderId="15" xfId="0" applyNumberFormat="1" applyFont="1" applyFill="1" applyBorder="1" applyAlignment="1">
      <alignment horizontal="center" vertical="center"/>
    </xf>
    <xf numFmtId="49" fontId="2" fillId="4" borderId="15" xfId="0" applyNumberFormat="1" applyFont="1" applyFill="1" applyBorder="1" applyAlignment="1">
      <alignment vertical="center"/>
    </xf>
    <xf numFmtId="0" fontId="2" fillId="4" borderId="15" xfId="0" applyFont="1" applyFill="1" applyBorder="1" applyAlignment="1">
      <alignment horizontal="center" vertical="center"/>
    </xf>
    <xf numFmtId="49" fontId="2" fillId="0" borderId="15" xfId="1" applyNumberFormat="1" applyFont="1" applyBorder="1" applyAlignment="1">
      <alignment horizontal="center"/>
    </xf>
    <xf numFmtId="165" fontId="2" fillId="0" borderId="15" xfId="0" applyNumberFormat="1" applyFont="1" applyBorder="1" applyAlignment="1">
      <alignment horizontal="center" wrapText="1"/>
    </xf>
    <xf numFmtId="49" fontId="2" fillId="0" borderId="15" xfId="0" applyNumberFormat="1" applyFont="1" applyBorder="1" applyAlignment="1">
      <alignment horizontal="center" vertical="center"/>
    </xf>
    <xf numFmtId="49" fontId="2" fillId="0" borderId="15" xfId="0" applyNumberFormat="1" applyFont="1" applyBorder="1" applyAlignment="1">
      <alignment vertical="center"/>
    </xf>
    <xf numFmtId="0" fontId="14" fillId="0" borderId="15" xfId="1" applyFont="1" applyBorder="1" applyAlignment="1">
      <alignment horizontal="center"/>
    </xf>
    <xf numFmtId="0" fontId="12" fillId="0" borderId="0" xfId="0" applyFont="1"/>
    <xf numFmtId="0" fontId="17" fillId="0" borderId="15" xfId="0" applyFont="1" applyBorder="1" applyAlignment="1">
      <alignment horizontal="center"/>
    </xf>
    <xf numFmtId="1" fontId="17" fillId="0" borderId="15" xfId="1" applyNumberFormat="1" applyFont="1" applyBorder="1" applyAlignment="1">
      <alignment horizontal="center"/>
    </xf>
    <xf numFmtId="0" fontId="19" fillId="0" borderId="15" xfId="0" applyFont="1" applyBorder="1" applyAlignment="1">
      <alignment horizontal="center"/>
    </xf>
    <xf numFmtId="0" fontId="17" fillId="0" borderId="15" xfId="1" applyFont="1" applyBorder="1" applyAlignment="1">
      <alignment horizontal="center"/>
    </xf>
    <xf numFmtId="0" fontId="17" fillId="4" borderId="15" xfId="0" applyFont="1" applyFill="1" applyBorder="1" applyAlignment="1">
      <alignment horizontal="center"/>
    </xf>
    <xf numFmtId="0" fontId="19" fillId="4" borderId="15" xfId="0" applyFont="1" applyFill="1" applyBorder="1" applyAlignment="1">
      <alignment horizontal="center"/>
    </xf>
    <xf numFmtId="1" fontId="18" fillId="0" borderId="15" xfId="1" applyNumberFormat="1" applyFont="1" applyBorder="1" applyAlignment="1">
      <alignment horizontal="center"/>
    </xf>
    <xf numFmtId="0" fontId="20" fillId="0" borderId="15" xfId="1" applyFont="1" applyBorder="1" applyAlignment="1">
      <alignment vertical="center"/>
    </xf>
    <xf numFmtId="0" fontId="19" fillId="0" borderId="15" xfId="0" applyFont="1" applyBorder="1"/>
    <xf numFmtId="16" fontId="17" fillId="4" borderId="15" xfId="0" applyNumberFormat="1" applyFont="1" applyFill="1" applyBorder="1" applyAlignment="1">
      <alignment horizontal="center"/>
    </xf>
    <xf numFmtId="0" fontId="17" fillId="0" borderId="15" xfId="0" applyFont="1" applyBorder="1" applyAlignment="1">
      <alignment horizontal="center" vertical="center"/>
    </xf>
    <xf numFmtId="0" fontId="17" fillId="0" borderId="15" xfId="1" applyFont="1" applyBorder="1"/>
    <xf numFmtId="0" fontId="18" fillId="0" borderId="15" xfId="1" applyFont="1" applyBorder="1" applyAlignment="1">
      <alignment horizontal="center" vertical="center"/>
    </xf>
    <xf numFmtId="1" fontId="18" fillId="0" borderId="15" xfId="1" applyNumberFormat="1" applyFont="1" applyBorder="1" applyAlignment="1">
      <alignment horizontal="center" wrapText="1"/>
    </xf>
    <xf numFmtId="0" fontId="18" fillId="0" borderId="15" xfId="1" applyFont="1" applyBorder="1"/>
    <xf numFmtId="0" fontId="17" fillId="4" borderId="15" xfId="0" applyFont="1" applyFill="1" applyBorder="1"/>
    <xf numFmtId="1" fontId="17" fillId="4" borderId="15" xfId="0" applyNumberFormat="1" applyFont="1" applyFill="1" applyBorder="1" applyAlignment="1">
      <alignment horizontal="center" wrapText="1"/>
    </xf>
    <xf numFmtId="166" fontId="18" fillId="4" borderId="15" xfId="9" applyNumberFormat="1" applyFont="1" applyFill="1" applyBorder="1" applyAlignment="1">
      <alignment horizontal="center"/>
    </xf>
    <xf numFmtId="12" fontId="22" fillId="0" borderId="15" xfId="1" applyNumberFormat="1" applyFont="1" applyBorder="1" applyAlignment="1">
      <alignment horizontal="left"/>
    </xf>
    <xf numFmtId="1" fontId="0" fillId="0" borderId="0" xfId="0" applyNumberFormat="1"/>
    <xf numFmtId="0" fontId="24" fillId="4" borderId="15" xfId="1" applyFont="1" applyFill="1" applyBorder="1" applyAlignment="1">
      <alignment horizontal="left"/>
    </xf>
    <xf numFmtId="0" fontId="25" fillId="0" borderId="15" xfId="0" applyFont="1" applyBorder="1" applyAlignment="1">
      <alignment horizontal="center"/>
    </xf>
    <xf numFmtId="0" fontId="27" fillId="0" borderId="15" xfId="0" applyFont="1" applyBorder="1" applyAlignment="1">
      <alignment horizontal="center"/>
    </xf>
    <xf numFmtId="0" fontId="28" fillId="0" borderId="15" xfId="0" applyFont="1" applyBorder="1"/>
    <xf numFmtId="16" fontId="29" fillId="0" borderId="15" xfId="0" applyNumberFormat="1" applyFont="1" applyBorder="1" applyAlignment="1">
      <alignment horizontal="center"/>
    </xf>
    <xf numFmtId="1" fontId="29" fillId="0" borderId="15" xfId="0" applyNumberFormat="1" applyFont="1" applyBorder="1" applyAlignment="1">
      <alignment horizontal="center"/>
    </xf>
    <xf numFmtId="1" fontId="29" fillId="0" borderId="15" xfId="0" applyNumberFormat="1" applyFont="1" applyBorder="1" applyAlignment="1">
      <alignment horizontal="center" wrapText="1"/>
    </xf>
    <xf numFmtId="0" fontId="0" fillId="0" borderId="15" xfId="0" applyBorder="1"/>
    <xf numFmtId="0" fontId="29" fillId="0" borderId="15" xfId="0" applyFont="1" applyBorder="1" applyAlignment="1">
      <alignment horizontal="center"/>
    </xf>
    <xf numFmtId="49" fontId="29" fillId="0" borderId="15" xfId="0" applyNumberFormat="1" applyFont="1" applyBorder="1"/>
    <xf numFmtId="49" fontId="29" fillId="0" borderId="15" xfId="1" applyNumberFormat="1" applyFont="1" applyBorder="1"/>
    <xf numFmtId="1" fontId="27" fillId="0" borderId="11" xfId="0" applyNumberFormat="1" applyFont="1" applyBorder="1" applyAlignment="1">
      <alignment horizontal="center"/>
    </xf>
    <xf numFmtId="1" fontId="23" fillId="0" borderId="0" xfId="0" applyNumberFormat="1" applyFont="1" applyAlignment="1">
      <alignment horizontal="center"/>
    </xf>
    <xf numFmtId="0" fontId="30" fillId="0" borderId="15" xfId="0" applyFont="1" applyBorder="1" applyAlignment="1">
      <alignment horizontal="center"/>
    </xf>
    <xf numFmtId="0" fontId="27" fillId="0" borderId="15" xfId="1" applyFont="1" applyBorder="1" applyAlignment="1">
      <alignment horizontal="center"/>
    </xf>
    <xf numFmtId="0" fontId="31" fillId="0" borderId="15" xfId="0" applyFont="1" applyBorder="1" applyAlignment="1">
      <alignment horizontal="center"/>
    </xf>
    <xf numFmtId="0" fontId="31" fillId="0" borderId="15" xfId="0" applyFont="1" applyBorder="1"/>
    <xf numFmtId="16" fontId="27" fillId="0" borderId="15" xfId="1" applyNumberFormat="1" applyFont="1" applyBorder="1" applyAlignment="1">
      <alignment horizontal="center"/>
    </xf>
    <xf numFmtId="0" fontId="31" fillId="0" borderId="27" xfId="0" applyFont="1" applyBorder="1" applyAlignment="1">
      <alignment horizontal="center"/>
    </xf>
    <xf numFmtId="1" fontId="27" fillId="0" borderId="15" xfId="1" applyNumberFormat="1" applyFont="1" applyBorder="1" applyAlignment="1">
      <alignment horizontal="center"/>
    </xf>
    <xf numFmtId="1" fontId="24" fillId="0" borderId="15" xfId="1" applyNumberFormat="1" applyFont="1" applyBorder="1" applyAlignment="1">
      <alignment horizontal="center"/>
    </xf>
    <xf numFmtId="0" fontId="27" fillId="0" borderId="15" xfId="0" applyFont="1" applyBorder="1" applyAlignment="1">
      <alignment horizontal="center" vertical="center"/>
    </xf>
    <xf numFmtId="0" fontId="31" fillId="4" borderId="15" xfId="0" applyFont="1" applyFill="1" applyBorder="1" applyAlignment="1">
      <alignment horizontal="center"/>
    </xf>
    <xf numFmtId="0" fontId="26" fillId="0" borderId="15" xfId="1" applyFont="1" applyBorder="1" applyAlignment="1">
      <alignment horizontal="center"/>
    </xf>
    <xf numFmtId="0" fontId="32" fillId="0" borderId="15" xfId="0" applyFont="1" applyBorder="1" applyAlignment="1">
      <alignment horizontal="center"/>
    </xf>
    <xf numFmtId="0" fontId="32" fillId="0" borderId="15" xfId="0" applyFont="1" applyBorder="1"/>
    <xf numFmtId="1" fontId="33" fillId="0" borderId="15" xfId="1" applyNumberFormat="1" applyFont="1" applyBorder="1" applyAlignment="1">
      <alignment horizontal="center"/>
    </xf>
    <xf numFmtId="1" fontId="33" fillId="0" borderId="15" xfId="1" applyNumberFormat="1" applyFont="1" applyBorder="1" applyAlignment="1">
      <alignment horizontal="center" wrapText="1"/>
    </xf>
    <xf numFmtId="0" fontId="31" fillId="0" borderId="0" xfId="0" applyFont="1"/>
    <xf numFmtId="16" fontId="27" fillId="0" borderId="15" xfId="0" applyNumberFormat="1" applyFont="1" applyBorder="1" applyAlignment="1">
      <alignment horizontal="center"/>
    </xf>
    <xf numFmtId="1" fontId="27" fillId="0" borderId="15" xfId="0" applyNumberFormat="1" applyFont="1" applyBorder="1" applyAlignment="1">
      <alignment horizontal="center" wrapText="1"/>
    </xf>
    <xf numFmtId="0" fontId="31" fillId="0" borderId="0" xfId="0" applyFont="1" applyAlignment="1">
      <alignment horizontal="center"/>
    </xf>
    <xf numFmtId="1" fontId="7" fillId="2" borderId="28" xfId="1" applyNumberFormat="1" applyFont="1" applyFill="1" applyBorder="1" applyAlignment="1">
      <alignment horizontal="center"/>
    </xf>
    <xf numFmtId="1" fontId="7" fillId="2" borderId="28" xfId="1" applyNumberFormat="1" applyFont="1" applyFill="1" applyBorder="1" applyAlignment="1">
      <alignment horizontal="center" wrapText="1"/>
    </xf>
    <xf numFmtId="1" fontId="31" fillId="0" borderId="15" xfId="0" applyNumberFormat="1" applyFont="1" applyBorder="1" applyAlignment="1">
      <alignment horizontal="center"/>
    </xf>
    <xf numFmtId="1" fontId="27" fillId="0" borderId="15" xfId="0" applyNumberFormat="1" applyFont="1" applyBorder="1" applyAlignment="1">
      <alignment horizontal="center" vertical="center" wrapText="1"/>
    </xf>
    <xf numFmtId="1" fontId="27" fillId="0" borderId="15" xfId="0" applyNumberFormat="1" applyFont="1" applyBorder="1" applyAlignment="1">
      <alignment horizontal="center" vertical="center"/>
    </xf>
    <xf numFmtId="16" fontId="26" fillId="0" borderId="15" xfId="0" applyNumberFormat="1" applyFont="1" applyBorder="1" applyAlignment="1">
      <alignment horizontal="center"/>
    </xf>
    <xf numFmtId="1" fontId="26" fillId="0" borderId="15" xfId="0" applyNumberFormat="1" applyFont="1" applyBorder="1" applyAlignment="1">
      <alignment horizontal="center"/>
    </xf>
    <xf numFmtId="1" fontId="26" fillId="0" borderId="15" xfId="0" applyNumberFormat="1" applyFont="1" applyBorder="1" applyAlignment="1">
      <alignment horizontal="center" wrapText="1"/>
    </xf>
    <xf numFmtId="1" fontId="27" fillId="0" borderId="9" xfId="0" applyNumberFormat="1" applyFont="1" applyBorder="1" applyAlignment="1">
      <alignment horizontal="center"/>
    </xf>
    <xf numFmtId="0" fontId="9" fillId="3" borderId="18" xfId="2" applyFont="1" applyFill="1" applyBorder="1" applyAlignment="1">
      <alignment horizontal="right"/>
    </xf>
    <xf numFmtId="0" fontId="5" fillId="3" borderId="17" xfId="2" applyFont="1" applyFill="1" applyBorder="1" applyAlignment="1">
      <alignment horizontal="center"/>
    </xf>
    <xf numFmtId="0" fontId="9" fillId="3" borderId="15" xfId="2" applyFont="1" applyFill="1" applyBorder="1" applyAlignment="1">
      <alignment horizontal="right"/>
    </xf>
    <xf numFmtId="49" fontId="5" fillId="3" borderId="14" xfId="2" applyNumberFormat="1" applyFont="1" applyFill="1" applyBorder="1" applyAlignment="1">
      <alignment horizontal="center"/>
    </xf>
    <xf numFmtId="0" fontId="5" fillId="3" borderId="11" xfId="2" applyFont="1" applyFill="1" applyBorder="1" applyAlignment="1">
      <alignment horizontal="right"/>
    </xf>
    <xf numFmtId="0" fontId="5" fillId="3" borderId="15" xfId="2" applyFont="1" applyFill="1" applyBorder="1" applyAlignment="1">
      <alignment horizontal="right"/>
    </xf>
    <xf numFmtId="0" fontId="9" fillId="2" borderId="17" xfId="1" applyFont="1" applyFill="1" applyBorder="1" applyAlignment="1">
      <alignment horizontal="center" vertical="center" wrapText="1"/>
    </xf>
    <xf numFmtId="1" fontId="9" fillId="2" borderId="2" xfId="1" applyNumberFormat="1" applyFont="1" applyFill="1" applyBorder="1" applyAlignment="1">
      <alignment horizontal="center"/>
    </xf>
    <xf numFmtId="1" fontId="9" fillId="2" borderId="2" xfId="1" applyNumberFormat="1" applyFont="1" applyFill="1" applyBorder="1" applyAlignment="1">
      <alignment horizontal="center" wrapText="1"/>
    </xf>
    <xf numFmtId="0" fontId="9" fillId="2" borderId="1" xfId="1" applyFont="1" applyFill="1" applyBorder="1" applyAlignment="1">
      <alignment horizontal="center"/>
    </xf>
    <xf numFmtId="0" fontId="33" fillId="0" borderId="16" xfId="1" applyFont="1" applyBorder="1" applyAlignment="1">
      <alignment horizontal="center" vertical="center"/>
    </xf>
    <xf numFmtId="0" fontId="33" fillId="0" borderId="8" xfId="1" applyFont="1" applyBorder="1" applyAlignment="1">
      <alignment horizontal="center" vertical="center"/>
    </xf>
    <xf numFmtId="0" fontId="35" fillId="0" borderId="15" xfId="1" applyFont="1" applyBorder="1" applyAlignment="1">
      <alignment vertical="center"/>
    </xf>
    <xf numFmtId="0" fontId="33" fillId="0" borderId="15" xfId="1" applyFont="1" applyBorder="1" applyAlignment="1">
      <alignment horizontal="center" vertical="center"/>
    </xf>
    <xf numFmtId="0" fontId="26" fillId="0" borderId="14" xfId="1" applyFont="1" applyBorder="1" applyAlignment="1">
      <alignment horizontal="center"/>
    </xf>
    <xf numFmtId="1" fontId="26" fillId="4" borderId="15" xfId="0" applyNumberFormat="1" applyFont="1" applyFill="1" applyBorder="1" applyAlignment="1">
      <alignment horizontal="center"/>
    </xf>
    <xf numFmtId="1" fontId="26" fillId="4" borderId="15" xfId="0" applyNumberFormat="1" applyFont="1" applyFill="1" applyBorder="1" applyAlignment="1">
      <alignment horizontal="center" wrapText="1"/>
    </xf>
    <xf numFmtId="0" fontId="26" fillId="0" borderId="11" xfId="0" applyFont="1" applyBorder="1" applyAlignment="1">
      <alignment horizontal="center" wrapText="1"/>
    </xf>
    <xf numFmtId="12" fontId="26" fillId="0" borderId="11" xfId="0" applyNumberFormat="1" applyFont="1" applyBorder="1" applyAlignment="1">
      <alignment horizontal="center"/>
    </xf>
    <xf numFmtId="49" fontId="26" fillId="0" borderId="16" xfId="1" applyNumberFormat="1" applyFont="1" applyBorder="1" applyAlignment="1">
      <alignment horizontal="center"/>
    </xf>
    <xf numFmtId="49" fontId="26" fillId="0" borderId="8" xfId="1" applyNumberFormat="1" applyFont="1" applyBorder="1" applyAlignment="1">
      <alignment horizontal="center"/>
    </xf>
    <xf numFmtId="0" fontId="33" fillId="4" borderId="15" xfId="1" applyFont="1" applyFill="1" applyBorder="1" applyAlignment="1">
      <alignment horizontal="left"/>
    </xf>
    <xf numFmtId="167" fontId="26" fillId="0" borderId="15" xfId="1" applyNumberFormat="1" applyFont="1" applyBorder="1" applyAlignment="1">
      <alignment horizontal="center"/>
    </xf>
    <xf numFmtId="1" fontId="26" fillId="0" borderId="15" xfId="1" applyNumberFormat="1" applyFont="1" applyBorder="1" applyAlignment="1">
      <alignment horizontal="center" wrapText="1"/>
    </xf>
    <xf numFmtId="49" fontId="33" fillId="0" borderId="7" xfId="1" applyNumberFormat="1" applyFont="1" applyBorder="1" applyAlignment="1">
      <alignment horizontal="center"/>
    </xf>
    <xf numFmtId="49" fontId="33" fillId="0" borderId="6" xfId="1" applyNumberFormat="1" applyFont="1" applyBorder="1" applyAlignment="1">
      <alignment horizontal="center"/>
    </xf>
    <xf numFmtId="0" fontId="35" fillId="4" borderId="15" xfId="1" applyFont="1" applyFill="1" applyBorder="1" applyAlignment="1">
      <alignment vertical="center"/>
    </xf>
    <xf numFmtId="0" fontId="33" fillId="0" borderId="8" xfId="1" applyFont="1" applyBorder="1" applyAlignment="1">
      <alignment horizontal="center"/>
    </xf>
    <xf numFmtId="167" fontId="33" fillId="0" borderId="15" xfId="1" applyNumberFormat="1" applyFont="1" applyBorder="1" applyAlignment="1">
      <alignment horizontal="center"/>
    </xf>
    <xf numFmtId="49" fontId="26" fillId="0" borderId="15" xfId="0" applyNumberFormat="1" applyFont="1" applyBorder="1" applyAlignment="1">
      <alignment horizontal="center"/>
    </xf>
    <xf numFmtId="49" fontId="26" fillId="0" borderId="15" xfId="0" applyNumberFormat="1" applyFont="1" applyBorder="1"/>
    <xf numFmtId="0" fontId="26" fillId="0" borderId="15" xfId="0" applyFont="1" applyBorder="1" applyAlignment="1">
      <alignment horizontal="center"/>
    </xf>
    <xf numFmtId="49" fontId="26" fillId="0" borderId="15" xfId="1" applyNumberFormat="1" applyFont="1" applyBorder="1"/>
    <xf numFmtId="49" fontId="36" fillId="3" borderId="21" xfId="1" applyNumberFormat="1" applyFont="1" applyFill="1" applyBorder="1" applyAlignment="1">
      <alignment horizontal="center" vertical="center"/>
    </xf>
    <xf numFmtId="49" fontId="36" fillId="3" borderId="0" xfId="1" applyNumberFormat="1" applyFont="1" applyFill="1" applyAlignment="1">
      <alignment horizontal="center" vertical="center"/>
    </xf>
    <xf numFmtId="0" fontId="26" fillId="3" borderId="0" xfId="1" applyFont="1" applyFill="1"/>
    <xf numFmtId="1" fontId="26" fillId="3" borderId="0" xfId="1" applyNumberFormat="1" applyFont="1" applyFill="1" applyAlignment="1">
      <alignment horizontal="center"/>
    </xf>
    <xf numFmtId="164" fontId="26" fillId="3" borderId="0" xfId="1" applyNumberFormat="1" applyFont="1" applyFill="1" applyAlignment="1">
      <alignment horizontal="center" wrapText="1"/>
    </xf>
    <xf numFmtId="0" fontId="26" fillId="3" borderId="20" xfId="1" applyFont="1" applyFill="1" applyBorder="1" applyAlignment="1">
      <alignment horizontal="center"/>
    </xf>
    <xf numFmtId="0" fontId="26" fillId="2" borderId="42" xfId="1" applyFont="1" applyFill="1" applyBorder="1" applyAlignment="1">
      <alignment horizontal="center"/>
    </xf>
    <xf numFmtId="0" fontId="26" fillId="2" borderId="37" xfId="1" applyFont="1" applyFill="1" applyBorder="1" applyAlignment="1">
      <alignment horizontal="center"/>
    </xf>
    <xf numFmtId="0" fontId="26" fillId="2" borderId="37" xfId="1" applyFont="1" applyFill="1" applyBorder="1"/>
    <xf numFmtId="0" fontId="33" fillId="2" borderId="37" xfId="1" applyFont="1" applyFill="1" applyBorder="1" applyAlignment="1">
      <alignment horizontal="center"/>
    </xf>
    <xf numFmtId="1" fontId="33" fillId="2" borderId="37" xfId="1" applyNumberFormat="1" applyFont="1" applyFill="1" applyBorder="1" applyAlignment="1">
      <alignment horizontal="center"/>
    </xf>
    <xf numFmtId="164" fontId="26" fillId="2" borderId="37" xfId="1" applyNumberFormat="1" applyFont="1" applyFill="1" applyBorder="1" applyAlignment="1">
      <alignment horizontal="center" wrapText="1"/>
    </xf>
    <xf numFmtId="0" fontId="26" fillId="2" borderId="38" xfId="1" applyFont="1" applyFill="1" applyBorder="1" applyAlignment="1">
      <alignment horizontal="center"/>
    </xf>
    <xf numFmtId="1" fontId="26" fillId="0" borderId="11" xfId="0" applyNumberFormat="1" applyFont="1" applyBorder="1" applyAlignment="1">
      <alignment horizontal="center"/>
    </xf>
    <xf numFmtId="0" fontId="26" fillId="0" borderId="27" xfId="0" applyFont="1" applyBorder="1" applyAlignment="1">
      <alignment horizontal="center"/>
    </xf>
    <xf numFmtId="1" fontId="26" fillId="0" borderId="2" xfId="0" applyNumberFormat="1" applyFont="1" applyBorder="1" applyAlignment="1">
      <alignment horizontal="center"/>
    </xf>
    <xf numFmtId="0" fontId="26" fillId="0" borderId="2" xfId="0" applyFont="1" applyBorder="1" applyAlignment="1">
      <alignment horizontal="center"/>
    </xf>
    <xf numFmtId="0" fontId="32" fillId="0" borderId="8" xfId="0" applyFont="1" applyBorder="1" applyAlignment="1">
      <alignment horizontal="center"/>
    </xf>
    <xf numFmtId="0" fontId="37" fillId="4" borderId="0" xfId="0" applyFont="1" applyFill="1" applyAlignment="1">
      <alignment vertical="center"/>
    </xf>
    <xf numFmtId="0" fontId="38" fillId="7" borderId="15" xfId="0" applyFont="1" applyFill="1" applyBorder="1" applyAlignment="1">
      <alignment horizontal="center" vertical="center" wrapText="1"/>
    </xf>
    <xf numFmtId="0" fontId="38" fillId="7" borderId="15" xfId="0" applyFont="1" applyFill="1" applyBorder="1" applyAlignment="1">
      <alignment horizontal="center" vertical="center"/>
    </xf>
    <xf numFmtId="0" fontId="38" fillId="0" borderId="0" xfId="0" applyFont="1" applyAlignment="1">
      <alignment horizontal="center" vertical="center"/>
    </xf>
    <xf numFmtId="0" fontId="39" fillId="0" borderId="0" xfId="0" applyFont="1" applyAlignment="1">
      <alignment vertical="center"/>
    </xf>
    <xf numFmtId="0" fontId="37" fillId="0" borderId="0" xfId="0" applyFont="1" applyAlignment="1">
      <alignment vertical="center"/>
    </xf>
    <xf numFmtId="43" fontId="38" fillId="0" borderId="15" xfId="9" applyFont="1" applyFill="1" applyBorder="1" applyAlignment="1">
      <alignment horizontal="center" vertical="center"/>
    </xf>
    <xf numFmtId="43" fontId="38" fillId="0" borderId="0" xfId="9" applyFont="1" applyFill="1" applyBorder="1" applyAlignment="1">
      <alignment horizontal="center" vertical="center"/>
    </xf>
    <xf numFmtId="43" fontId="40" fillId="0" borderId="0" xfId="9" applyFont="1" applyFill="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169" fontId="43" fillId="0" borderId="0" xfId="0" applyNumberFormat="1" applyFont="1" applyAlignment="1">
      <alignment horizontal="center" vertical="center" wrapText="1"/>
    </xf>
    <xf numFmtId="0" fontId="38" fillId="8" borderId="52" xfId="0" applyFont="1" applyFill="1" applyBorder="1" applyAlignment="1">
      <alignment horizontal="center" vertical="center"/>
    </xf>
    <xf numFmtId="0" fontId="38" fillId="8" borderId="53" xfId="0" applyFont="1" applyFill="1" applyBorder="1" applyAlignment="1">
      <alignment horizontal="center" vertical="center"/>
    </xf>
    <xf numFmtId="0" fontId="38" fillId="8" borderId="53" xfId="0" applyFont="1" applyFill="1" applyBorder="1" applyAlignment="1">
      <alignment horizontal="center" vertical="center" wrapText="1"/>
    </xf>
    <xf numFmtId="0" fontId="38" fillId="8" borderId="54" xfId="0" applyFont="1" applyFill="1" applyBorder="1" applyAlignment="1">
      <alignment horizontal="center" vertical="center" wrapText="1"/>
    </xf>
    <xf numFmtId="0" fontId="38" fillId="0" borderId="0" xfId="0" applyFont="1" applyAlignment="1">
      <alignment horizontal="center" vertical="center" wrapText="1"/>
    </xf>
    <xf numFmtId="2" fontId="44" fillId="0" borderId="0" xfId="0" applyNumberFormat="1" applyFont="1" applyAlignment="1">
      <alignment horizontal="center"/>
    </xf>
    <xf numFmtId="4" fontId="44" fillId="0" borderId="0" xfId="10" applyNumberFormat="1" applyFont="1" applyFill="1" applyAlignment="1">
      <alignment horizontal="center" vertical="center"/>
    </xf>
    <xf numFmtId="4" fontId="38" fillId="0" borderId="0" xfId="10" applyNumberFormat="1" applyFont="1" applyFill="1" applyAlignment="1">
      <alignment horizontal="center" vertical="center"/>
    </xf>
    <xf numFmtId="10" fontId="38" fillId="0" borderId="0" xfId="7" applyNumberFormat="1" applyFont="1" applyFill="1" applyAlignment="1">
      <alignment vertical="center"/>
    </xf>
    <xf numFmtId="49" fontId="38" fillId="0" borderId="0" xfId="0" applyNumberFormat="1" applyFont="1" applyAlignment="1">
      <alignment horizontal="center" vertical="center"/>
    </xf>
    <xf numFmtId="10" fontId="39" fillId="0" borderId="0" xfId="7" applyNumberFormat="1" applyFont="1" applyFill="1" applyAlignment="1">
      <alignment vertical="center"/>
    </xf>
    <xf numFmtId="0" fontId="37" fillId="0" borderId="0" xfId="0" applyFont="1"/>
    <xf numFmtId="49" fontId="38" fillId="0" borderId="0" xfId="0" applyNumberFormat="1" applyFont="1" applyAlignment="1">
      <alignment horizontal="center"/>
    </xf>
    <xf numFmtId="170" fontId="37" fillId="0" borderId="0" xfId="0" applyNumberFormat="1" applyFont="1" applyAlignment="1">
      <alignment vertical="center"/>
    </xf>
    <xf numFmtId="0" fontId="37" fillId="0" borderId="0" xfId="0" applyFont="1" applyAlignment="1">
      <alignment horizontal="left" vertical="center"/>
    </xf>
    <xf numFmtId="43" fontId="37" fillId="0" borderId="0" xfId="9" applyFont="1" applyFill="1" applyAlignment="1">
      <alignment vertical="center"/>
    </xf>
    <xf numFmtId="49" fontId="45"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right" vertical="center"/>
    </xf>
    <xf numFmtId="4" fontId="38" fillId="0" borderId="0" xfId="9" applyNumberFormat="1" applyFont="1" applyFill="1" applyAlignment="1">
      <alignment vertical="center"/>
    </xf>
    <xf numFmtId="43" fontId="46" fillId="0" borderId="0" xfId="9" applyFont="1" applyFill="1" applyAlignment="1">
      <alignment horizontal="center" vertical="center"/>
    </xf>
    <xf numFmtId="10" fontId="39" fillId="8" borderId="55" xfId="7" applyNumberFormat="1" applyFont="1" applyFill="1" applyBorder="1" applyAlignment="1">
      <alignment vertical="center"/>
    </xf>
    <xf numFmtId="0" fontId="37" fillId="8" borderId="37" xfId="0" applyFont="1" applyFill="1" applyBorder="1" applyAlignment="1">
      <alignment vertical="center"/>
    </xf>
    <xf numFmtId="0" fontId="37" fillId="8" borderId="55" xfId="0" applyFont="1" applyFill="1" applyBorder="1" applyAlignment="1">
      <alignment vertical="center"/>
    </xf>
    <xf numFmtId="43" fontId="46" fillId="8" borderId="56" xfId="9" applyFont="1" applyFill="1" applyBorder="1" applyAlignment="1">
      <alignment horizontal="center" vertical="center"/>
    </xf>
    <xf numFmtId="43" fontId="48" fillId="0" borderId="0" xfId="9" applyFont="1" applyFill="1" applyBorder="1" applyAlignment="1">
      <alignment horizontal="right"/>
    </xf>
    <xf numFmtId="0" fontId="37" fillId="8" borderId="56" xfId="0" applyFont="1" applyFill="1" applyBorder="1" applyAlignment="1">
      <alignment vertical="center"/>
    </xf>
    <xf numFmtId="10" fontId="39" fillId="8" borderId="56" xfId="7" applyNumberFormat="1" applyFont="1" applyFill="1" applyBorder="1" applyAlignment="1">
      <alignment vertical="center"/>
    </xf>
    <xf numFmtId="0" fontId="47" fillId="0" borderId="0" xfId="0" applyFont="1" applyAlignment="1">
      <alignment horizontal="right"/>
    </xf>
    <xf numFmtId="0" fontId="47" fillId="0" borderId="0" xfId="0" applyFont="1"/>
    <xf numFmtId="9" fontId="47" fillId="0" borderId="0" xfId="0" applyNumberFormat="1" applyFont="1"/>
    <xf numFmtId="9" fontId="49" fillId="0" borderId="0" xfId="7" applyFont="1" applyFill="1" applyAlignment="1">
      <alignment horizontal="center"/>
    </xf>
    <xf numFmtId="0" fontId="46" fillId="0" borderId="0" xfId="0" applyFont="1" applyAlignment="1">
      <alignment horizontal="right" vertical="center"/>
    </xf>
    <xf numFmtId="4" fontId="46" fillId="0" borderId="0" xfId="9" applyNumberFormat="1" applyFont="1" applyFill="1" applyAlignment="1">
      <alignment vertical="center"/>
    </xf>
    <xf numFmtId="4" fontId="46" fillId="0" borderId="0" xfId="10" applyNumberFormat="1" applyFont="1" applyAlignment="1">
      <alignment horizontal="center" vertical="center"/>
    </xf>
    <xf numFmtId="0" fontId="50" fillId="0" borderId="0" xfId="0" applyFont="1" applyAlignment="1">
      <alignment horizontal="right"/>
    </xf>
    <xf numFmtId="0" fontId="51" fillId="0" borderId="0" xfId="0" applyFont="1" applyAlignment="1">
      <alignment horizontal="right"/>
    </xf>
    <xf numFmtId="0" fontId="51" fillId="0" borderId="20" xfId="0" applyFont="1" applyBorder="1" applyAlignment="1">
      <alignment horizontal="right"/>
    </xf>
    <xf numFmtId="43" fontId="52" fillId="5" borderId="57" xfId="9" applyFont="1" applyFill="1" applyBorder="1" applyAlignment="1">
      <alignment horizontal="right"/>
    </xf>
    <xf numFmtId="43" fontId="52" fillId="0" borderId="0" xfId="9" applyFont="1" applyFill="1" applyBorder="1" applyAlignment="1">
      <alignment horizontal="right"/>
    </xf>
    <xf numFmtId="43" fontId="38" fillId="0" borderId="15" xfId="9" applyFont="1" applyFill="1" applyBorder="1" applyAlignment="1">
      <alignment vertical="center"/>
    </xf>
    <xf numFmtId="0" fontId="53" fillId="0" borderId="0" xfId="0" applyFont="1" applyAlignment="1">
      <alignment horizontal="left" vertical="center"/>
    </xf>
    <xf numFmtId="4" fontId="46" fillId="0" borderId="0" xfId="10" applyNumberFormat="1" applyFont="1" applyFill="1" applyAlignment="1">
      <alignment horizontal="center" vertical="center"/>
    </xf>
    <xf numFmtId="10" fontId="54" fillId="0" borderId="0" xfId="7" applyNumberFormat="1" applyFont="1" applyFill="1" applyAlignment="1">
      <alignment horizontal="right"/>
    </xf>
    <xf numFmtId="171" fontId="38" fillId="8" borderId="15" xfId="9" applyNumberFormat="1" applyFont="1" applyFill="1" applyBorder="1" applyAlignment="1">
      <alignment vertical="center"/>
    </xf>
    <xf numFmtId="4" fontId="37" fillId="0" borderId="0" xfId="0" applyNumberFormat="1" applyFont="1" applyAlignment="1">
      <alignment horizontal="center" vertical="center"/>
    </xf>
    <xf numFmtId="43" fontId="38" fillId="9" borderId="15" xfId="9" applyFont="1" applyFill="1" applyBorder="1" applyAlignment="1">
      <alignment vertical="center"/>
    </xf>
    <xf numFmtId="168" fontId="55" fillId="0" borderId="0" xfId="0" applyNumberFormat="1" applyFont="1" applyAlignment="1">
      <alignment horizontal="center" vertical="center"/>
    </xf>
    <xf numFmtId="0" fontId="37" fillId="4" borderId="0" xfId="0" applyFont="1" applyFill="1" applyAlignment="1">
      <alignment horizontal="center" vertical="center"/>
    </xf>
    <xf numFmtId="4" fontId="38" fillId="0" borderId="0" xfId="0" applyNumberFormat="1" applyFont="1" applyAlignment="1">
      <alignment horizontal="center" vertical="center"/>
    </xf>
    <xf numFmtId="0" fontId="39" fillId="8" borderId="58" xfId="0" applyFont="1" applyFill="1" applyBorder="1" applyAlignment="1">
      <alignment vertical="center"/>
    </xf>
    <xf numFmtId="0" fontId="57" fillId="0" borderId="0" xfId="0" applyFont="1" applyAlignment="1">
      <alignment vertical="center"/>
    </xf>
    <xf numFmtId="2" fontId="54" fillId="0" borderId="0" xfId="9" applyNumberFormat="1" applyFont="1" applyFill="1" applyBorder="1" applyAlignment="1">
      <alignment horizontal="center"/>
    </xf>
    <xf numFmtId="2" fontId="51" fillId="0" borderId="0" xfId="9" applyNumberFormat="1" applyFont="1" applyFill="1" applyBorder="1" applyAlignment="1">
      <alignment horizontal="center"/>
    </xf>
    <xf numFmtId="0" fontId="37" fillId="8" borderId="58" xfId="0" applyFont="1" applyFill="1" applyBorder="1" applyAlignment="1">
      <alignment vertical="center"/>
    </xf>
    <xf numFmtId="10" fontId="37" fillId="0" borderId="0" xfId="7" applyNumberFormat="1" applyFont="1" applyFill="1" applyAlignment="1">
      <alignment vertical="center"/>
    </xf>
    <xf numFmtId="4" fontId="37" fillId="0" borderId="0" xfId="9" applyNumberFormat="1" applyFont="1" applyFill="1" applyAlignment="1">
      <alignment vertical="center"/>
    </xf>
    <xf numFmtId="43" fontId="52" fillId="8" borderId="37" xfId="9" applyFont="1" applyFill="1" applyBorder="1" applyAlignment="1">
      <alignment horizontal="right"/>
    </xf>
    <xf numFmtId="0" fontId="38" fillId="8" borderId="38" xfId="0" applyFont="1" applyFill="1" applyBorder="1" applyAlignment="1">
      <alignment horizontal="right" vertical="center"/>
    </xf>
    <xf numFmtId="10" fontId="58" fillId="0" borderId="0" xfId="9" applyNumberFormat="1" applyFont="1" applyFill="1" applyAlignment="1">
      <alignment vertical="center"/>
    </xf>
    <xf numFmtId="10" fontId="39" fillId="0" borderId="0" xfId="7" applyNumberFormat="1" applyFont="1" applyFill="1" applyBorder="1" applyAlignment="1">
      <alignment vertical="center"/>
    </xf>
    <xf numFmtId="168" fontId="59" fillId="0" borderId="0" xfId="0" applyNumberFormat="1" applyFont="1" applyAlignment="1">
      <alignment horizontal="center" vertical="center"/>
    </xf>
    <xf numFmtId="0" fontId="37" fillId="4" borderId="57" xfId="0" applyFont="1" applyFill="1" applyBorder="1" applyAlignment="1">
      <alignment horizontal="center" vertical="center"/>
    </xf>
    <xf numFmtId="43" fontId="60" fillId="0" borderId="0" xfId="9" applyFont="1" applyFill="1" applyAlignment="1">
      <alignment vertical="center"/>
    </xf>
    <xf numFmtId="4" fontId="61" fillId="0" borderId="0" xfId="10" applyNumberFormat="1" applyFont="1" applyFill="1" applyAlignment="1">
      <alignment horizontal="center" vertical="center" wrapText="1"/>
    </xf>
    <xf numFmtId="9" fontId="37" fillId="0" borderId="0" xfId="9" applyNumberFormat="1" applyFont="1" applyFill="1" applyAlignment="1">
      <alignment vertical="center"/>
    </xf>
    <xf numFmtId="0" fontId="46" fillId="0" borderId="0" xfId="0" applyFont="1" applyAlignment="1">
      <alignment horizontal="center" vertical="center"/>
    </xf>
    <xf numFmtId="0" fontId="37" fillId="0" borderId="0" xfId="0" applyFont="1" applyAlignment="1">
      <alignment horizontal="center" vertical="center" wrapText="1"/>
    </xf>
    <xf numFmtId="0" fontId="45" fillId="0" borderId="0" xfId="0" applyFont="1" applyAlignment="1">
      <alignment horizontal="right" vertical="center"/>
    </xf>
    <xf numFmtId="4" fontId="45" fillId="0" borderId="0" xfId="9" applyNumberFormat="1" applyFont="1" applyFill="1" applyAlignment="1">
      <alignment vertical="center"/>
    </xf>
    <xf numFmtId="4" fontId="38" fillId="11" borderId="57" xfId="9" applyNumberFormat="1" applyFont="1" applyFill="1" applyBorder="1" applyAlignment="1">
      <alignment horizontal="center" vertical="center"/>
    </xf>
    <xf numFmtId="0" fontId="62" fillId="0" borderId="0" xfId="0" applyFont="1" applyAlignment="1">
      <alignment vertical="center"/>
    </xf>
    <xf numFmtId="43" fontId="62" fillId="0" borderId="0" xfId="9" applyFont="1" applyFill="1" applyAlignment="1">
      <alignment vertical="center"/>
    </xf>
    <xf numFmtId="9" fontId="62" fillId="0" borderId="0" xfId="9" applyNumberFormat="1" applyFont="1" applyFill="1" applyAlignment="1">
      <alignment vertical="center"/>
    </xf>
    <xf numFmtId="4" fontId="38" fillId="0" borderId="0" xfId="9" applyNumberFormat="1" applyFont="1" applyFill="1" applyAlignment="1">
      <alignment horizontal="center" vertical="center"/>
    </xf>
    <xf numFmtId="10" fontId="55" fillId="0" borderId="0" xfId="7" applyNumberFormat="1" applyFont="1" applyFill="1" applyAlignment="1">
      <alignment vertical="center"/>
    </xf>
    <xf numFmtId="43" fontId="55" fillId="0" borderId="0" xfId="9" applyFont="1" applyFill="1" applyBorder="1" applyAlignment="1">
      <alignment vertical="center"/>
    </xf>
    <xf numFmtId="4" fontId="37" fillId="0" borderId="0" xfId="0" applyNumberFormat="1" applyFont="1" applyAlignment="1">
      <alignment horizontal="center"/>
    </xf>
    <xf numFmtId="43" fontId="37" fillId="0" borderId="0" xfId="9" applyFont="1" applyFill="1" applyBorder="1"/>
    <xf numFmtId="10" fontId="55" fillId="0" borderId="0" xfId="7" applyNumberFormat="1" applyFont="1" applyFill="1" applyBorder="1" applyAlignment="1">
      <alignment vertical="center"/>
    </xf>
    <xf numFmtId="0" fontId="55" fillId="0" borderId="0" xfId="0" applyFont="1" applyAlignment="1">
      <alignment horizontal="right"/>
    </xf>
    <xf numFmtId="43" fontId="37" fillId="0" borderId="0" xfId="9" applyFont="1" applyFill="1" applyBorder="1" applyAlignment="1">
      <alignment horizontal="center"/>
    </xf>
    <xf numFmtId="9" fontId="65" fillId="0" borderId="0" xfId="0" applyNumberFormat="1" applyFont="1" applyAlignment="1">
      <alignment horizontal="left"/>
    </xf>
    <xf numFmtId="4" fontId="38" fillId="0" borderId="0" xfId="0" applyNumberFormat="1" applyFont="1" applyAlignment="1">
      <alignment horizontal="center"/>
    </xf>
    <xf numFmtId="168" fontId="38" fillId="0" borderId="0" xfId="0" applyNumberFormat="1" applyFont="1"/>
    <xf numFmtId="0" fontId="31" fillId="12" borderId="15" xfId="0" applyFont="1" applyFill="1" applyBorder="1" applyAlignment="1">
      <alignment horizontal="center"/>
    </xf>
    <xf numFmtId="0" fontId="31" fillId="12" borderId="15" xfId="0" applyFont="1" applyFill="1" applyBorder="1"/>
    <xf numFmtId="16" fontId="27" fillId="12" borderId="15" xfId="0" applyNumberFormat="1" applyFont="1" applyFill="1" applyBorder="1" applyAlignment="1">
      <alignment horizontal="center"/>
    </xf>
    <xf numFmtId="0" fontId="31" fillId="12" borderId="0" xfId="0" applyFont="1" applyFill="1" applyAlignment="1">
      <alignment horizontal="center"/>
    </xf>
    <xf numFmtId="0" fontId="31" fillId="13" borderId="15" xfId="0" applyFont="1" applyFill="1" applyBorder="1" applyAlignment="1">
      <alignment horizontal="center"/>
    </xf>
    <xf numFmtId="0" fontId="31" fillId="13" borderId="15" xfId="0" applyFont="1" applyFill="1" applyBorder="1"/>
    <xf numFmtId="1" fontId="66" fillId="0" borderId="15" xfId="1" applyNumberFormat="1" applyFont="1" applyBorder="1" applyAlignment="1">
      <alignment horizontal="center"/>
    </xf>
    <xf numFmtId="0" fontId="66" fillId="0" borderId="15" xfId="1" applyFont="1" applyBorder="1" applyAlignment="1">
      <alignment horizontal="center" vertical="center"/>
    </xf>
    <xf numFmtId="0" fontId="66" fillId="0" borderId="16" xfId="1" applyFont="1" applyBorder="1" applyAlignment="1">
      <alignment horizontal="center" vertical="center"/>
    </xf>
    <xf numFmtId="0" fontId="66" fillId="0" borderId="8" xfId="1" applyFont="1" applyBorder="1" applyAlignment="1">
      <alignment horizontal="center" vertical="center"/>
    </xf>
    <xf numFmtId="0" fontId="67" fillId="0" borderId="15" xfId="1" applyFont="1" applyBorder="1" applyAlignment="1">
      <alignment vertical="center"/>
    </xf>
    <xf numFmtId="166" fontId="33" fillId="4" borderId="15" xfId="11" applyNumberFormat="1" applyFont="1" applyFill="1" applyBorder="1" applyAlignment="1">
      <alignment horizontal="center"/>
    </xf>
    <xf numFmtId="1" fontId="66" fillId="0" borderId="15" xfId="1" applyNumberFormat="1" applyFont="1" applyBorder="1" applyAlignment="1">
      <alignment horizontal="center" wrapText="1"/>
    </xf>
    <xf numFmtId="0" fontId="68" fillId="4" borderId="16" xfId="0" applyFont="1" applyFill="1" applyBorder="1" applyAlignment="1">
      <alignment horizontal="center"/>
    </xf>
    <xf numFmtId="0" fontId="68" fillId="4" borderId="15" xfId="0" applyFont="1" applyFill="1" applyBorder="1" applyAlignment="1">
      <alignment horizontal="center"/>
    </xf>
    <xf numFmtId="0" fontId="68" fillId="4" borderId="11" xfId="0" applyFont="1" applyFill="1" applyBorder="1"/>
    <xf numFmtId="0" fontId="10" fillId="4" borderId="8" xfId="0" applyFont="1" applyFill="1" applyBorder="1" applyAlignment="1">
      <alignment horizontal="center"/>
    </xf>
    <xf numFmtId="1" fontId="10" fillId="4" borderId="15" xfId="0" applyNumberFormat="1" applyFont="1" applyFill="1" applyBorder="1" applyAlignment="1">
      <alignment horizontal="center"/>
    </xf>
    <xf numFmtId="1" fontId="10" fillId="4" borderId="15" xfId="0" applyNumberFormat="1" applyFont="1" applyFill="1" applyBorder="1" applyAlignment="1">
      <alignment horizontal="center" wrapText="1"/>
    </xf>
    <xf numFmtId="0" fontId="10" fillId="0" borderId="11" xfId="0" applyFont="1" applyBorder="1" applyAlignment="1">
      <alignment horizontal="center" wrapText="1"/>
    </xf>
    <xf numFmtId="12" fontId="10" fillId="0" borderId="11" xfId="0" applyNumberFormat="1" applyFont="1" applyBorder="1" applyAlignment="1">
      <alignment horizontal="center"/>
    </xf>
    <xf numFmtId="0" fontId="68" fillId="4" borderId="8" xfId="0" applyFont="1" applyFill="1" applyBorder="1" applyAlignment="1">
      <alignment horizontal="center"/>
    </xf>
    <xf numFmtId="0" fontId="68" fillId="4" borderId="15" xfId="0" applyFont="1" applyFill="1" applyBorder="1"/>
    <xf numFmtId="1" fontId="10" fillId="4" borderId="11" xfId="0" applyNumberFormat="1" applyFont="1" applyFill="1" applyBorder="1" applyAlignment="1">
      <alignment horizontal="center"/>
    </xf>
    <xf numFmtId="1" fontId="10" fillId="4" borderId="11" xfId="0" applyNumberFormat="1" applyFont="1" applyFill="1" applyBorder="1" applyAlignment="1">
      <alignment horizontal="center" wrapText="1"/>
    </xf>
    <xf numFmtId="0" fontId="10" fillId="0" borderId="15" xfId="0" applyFont="1" applyBorder="1" applyAlignment="1">
      <alignment horizontal="center"/>
    </xf>
    <xf numFmtId="0" fontId="69" fillId="0" borderId="15" xfId="0" applyFont="1" applyBorder="1" applyAlignment="1">
      <alignment horizontal="center"/>
    </xf>
    <xf numFmtId="0" fontId="69" fillId="0" borderId="15" xfId="0" applyFont="1" applyBorder="1" applyAlignment="1">
      <alignment horizontal="center" vertical="center"/>
    </xf>
    <xf numFmtId="0" fontId="69" fillId="14" borderId="15" xfId="0" applyFont="1" applyFill="1" applyBorder="1"/>
    <xf numFmtId="0" fontId="10" fillId="0" borderId="15" xfId="0" applyFont="1" applyBorder="1" applyAlignment="1">
      <alignment horizontal="center" wrapText="1"/>
    </xf>
    <xf numFmtId="0" fontId="69" fillId="14" borderId="0" xfId="0" applyFont="1" applyFill="1" applyAlignment="1">
      <alignment horizontal="center"/>
    </xf>
    <xf numFmtId="0" fontId="69" fillId="14" borderId="0" xfId="0" applyFont="1" applyFill="1"/>
    <xf numFmtId="0" fontId="7" fillId="14" borderId="15" xfId="0" applyFont="1" applyFill="1" applyBorder="1" applyAlignment="1">
      <alignment horizontal="left"/>
    </xf>
    <xf numFmtId="0" fontId="10" fillId="0" borderId="11" xfId="0" applyFont="1" applyBorder="1" applyAlignment="1">
      <alignment horizontal="center"/>
    </xf>
    <xf numFmtId="0" fontId="69" fillId="14" borderId="15" xfId="0" applyFont="1" applyFill="1" applyBorder="1" applyAlignment="1">
      <alignment horizontal="left" vertical="center"/>
    </xf>
    <xf numFmtId="0" fontId="3" fillId="0" borderId="15" xfId="0" applyFont="1" applyBorder="1"/>
    <xf numFmtId="16" fontId="6" fillId="0" borderId="8" xfId="0" applyNumberFormat="1" applyFont="1" applyBorder="1" applyAlignment="1">
      <alignment horizontal="center"/>
    </xf>
    <xf numFmtId="0" fontId="66" fillId="4" borderId="15" xfId="1" applyFont="1" applyFill="1" applyBorder="1" applyAlignment="1">
      <alignment horizontal="left"/>
    </xf>
    <xf numFmtId="167" fontId="6" fillId="0" borderId="15" xfId="1" applyNumberFormat="1" applyFont="1" applyBorder="1" applyAlignment="1">
      <alignment horizontal="center"/>
    </xf>
    <xf numFmtId="0" fontId="68" fillId="4" borderId="12" xfId="0" applyFont="1" applyFill="1" applyBorder="1" applyAlignment="1">
      <alignment horizontal="center"/>
    </xf>
    <xf numFmtId="1" fontId="10" fillId="0" borderId="15" xfId="0" applyNumberFormat="1" applyFont="1" applyBorder="1" applyAlignment="1">
      <alignment horizontal="center"/>
    </xf>
    <xf numFmtId="1" fontId="10" fillId="4" borderId="15" xfId="1" applyNumberFormat="1" applyFont="1" applyFill="1" applyBorder="1" applyAlignment="1">
      <alignment horizontal="center"/>
    </xf>
    <xf numFmtId="1" fontId="10" fillId="4" borderId="15" xfId="1" applyNumberFormat="1" applyFont="1" applyFill="1" applyBorder="1" applyAlignment="1">
      <alignment horizontal="center" wrapText="1"/>
    </xf>
    <xf numFmtId="0" fontId="3" fillId="0" borderId="0" xfId="0" applyFont="1" applyAlignment="1">
      <alignment horizontal="center"/>
    </xf>
    <xf numFmtId="0" fontId="3" fillId="0" borderId="0" xfId="0" applyFont="1"/>
    <xf numFmtId="16" fontId="10" fillId="4" borderId="15" xfId="0" applyNumberFormat="1" applyFont="1" applyFill="1" applyBorder="1" applyAlignment="1">
      <alignment horizontal="center"/>
    </xf>
    <xf numFmtId="0" fontId="10" fillId="3" borderId="15" xfId="0" applyFont="1" applyFill="1" applyBorder="1" applyAlignment="1">
      <alignment horizontal="center"/>
    </xf>
    <xf numFmtId="1" fontId="10" fillId="0" borderId="11" xfId="0" applyNumberFormat="1" applyFont="1" applyBorder="1" applyAlignment="1">
      <alignment horizontal="center" wrapText="1"/>
    </xf>
    <xf numFmtId="16" fontId="10" fillId="0" borderId="15" xfId="0" applyNumberFormat="1" applyFont="1" applyBorder="1" applyAlignment="1">
      <alignment horizontal="center"/>
    </xf>
    <xf numFmtId="1" fontId="10" fillId="0" borderId="11" xfId="0" applyNumberFormat="1" applyFont="1" applyBorder="1" applyAlignment="1">
      <alignment horizontal="center"/>
    </xf>
    <xf numFmtId="49" fontId="66" fillId="0" borderId="7" xfId="1" applyNumberFormat="1" applyFont="1" applyBorder="1" applyAlignment="1">
      <alignment horizontal="center"/>
    </xf>
    <xf numFmtId="49" fontId="66" fillId="0" borderId="6" xfId="1" applyNumberFormat="1" applyFont="1" applyBorder="1" applyAlignment="1">
      <alignment horizontal="center"/>
    </xf>
    <xf numFmtId="0" fontId="67" fillId="4" borderId="15" xfId="1" applyFont="1" applyFill="1" applyBorder="1" applyAlignment="1">
      <alignment vertical="center"/>
    </xf>
    <xf numFmtId="0" fontId="66" fillId="0" borderId="8" xfId="1" applyFont="1" applyBorder="1" applyAlignment="1">
      <alignment horizontal="center"/>
    </xf>
    <xf numFmtId="167" fontId="66" fillId="0" borderId="15" xfId="1" applyNumberFormat="1" applyFont="1" applyBorder="1" applyAlignment="1">
      <alignment horizontal="center"/>
    </xf>
    <xf numFmtId="49" fontId="6" fillId="0" borderId="15" xfId="1" applyNumberFormat="1" applyFont="1" applyBorder="1" applyAlignment="1">
      <alignment horizontal="center"/>
    </xf>
    <xf numFmtId="16" fontId="6" fillId="0" borderId="15" xfId="1" applyNumberFormat="1" applyFont="1" applyBorder="1" applyAlignment="1">
      <alignment horizontal="center"/>
    </xf>
    <xf numFmtId="1" fontId="10" fillId="0" borderId="11" xfId="1" applyNumberFormat="1" applyFont="1" applyBorder="1" applyAlignment="1">
      <alignment horizontal="center"/>
    </xf>
    <xf numFmtId="0" fontId="10" fillId="0" borderId="11" xfId="1" applyFont="1" applyBorder="1" applyAlignment="1">
      <alignment horizontal="center"/>
    </xf>
    <xf numFmtId="166" fontId="7" fillId="4" borderId="15" xfId="9" applyNumberFormat="1" applyFont="1" applyFill="1" applyBorder="1" applyAlignment="1">
      <alignment horizontal="center"/>
    </xf>
    <xf numFmtId="0" fontId="3" fillId="0" borderId="15" xfId="0" applyFont="1" applyBorder="1" applyAlignment="1">
      <alignment horizontal="center" vertical="center"/>
    </xf>
    <xf numFmtId="0" fontId="3" fillId="0" borderId="15" xfId="0" applyFont="1" applyBorder="1" applyAlignment="1">
      <alignment horizontal="left" vertical="center"/>
    </xf>
    <xf numFmtId="0" fontId="6" fillId="0" borderId="28" xfId="0" applyFont="1" applyBorder="1" applyAlignment="1">
      <alignment horizontal="center"/>
    </xf>
    <xf numFmtId="0" fontId="6" fillId="0" borderId="15" xfId="0" applyFont="1" applyBorder="1" applyAlignment="1">
      <alignment horizontal="center" wrapText="1"/>
    </xf>
    <xf numFmtId="1" fontId="3" fillId="0" borderId="15" xfId="0" applyNumberFormat="1" applyFont="1" applyBorder="1" applyAlignment="1">
      <alignment horizontal="left" vertical="center"/>
    </xf>
    <xf numFmtId="12" fontId="6" fillId="0" borderId="15" xfId="1" applyNumberFormat="1" applyFont="1" applyBorder="1" applyAlignment="1">
      <alignment horizontal="center"/>
    </xf>
    <xf numFmtId="0" fontId="6" fillId="4" borderId="16" xfId="0" applyFont="1" applyFill="1" applyBorder="1" applyAlignment="1">
      <alignment horizontal="center"/>
    </xf>
    <xf numFmtId="0" fontId="70" fillId="4" borderId="0" xfId="0" applyFont="1" applyFill="1" applyAlignment="1">
      <alignment horizontal="center"/>
    </xf>
    <xf numFmtId="1" fontId="6" fillId="4" borderId="15" xfId="0" applyNumberFormat="1" applyFont="1" applyFill="1" applyBorder="1"/>
    <xf numFmtId="0" fontId="6" fillId="4" borderId="15" xfId="0" applyFont="1" applyFill="1" applyBorder="1" applyAlignment="1">
      <alignment horizontal="center"/>
    </xf>
    <xf numFmtId="0" fontId="6" fillId="4" borderId="15" xfId="0" applyFont="1" applyFill="1" applyBorder="1" applyAlignment="1">
      <alignment horizontal="center" wrapText="1"/>
    </xf>
    <xf numFmtId="0" fontId="10" fillId="0" borderId="27" xfId="0" applyFont="1" applyBorder="1" applyAlignment="1">
      <alignment horizontal="center"/>
    </xf>
    <xf numFmtId="1" fontId="10" fillId="0" borderId="2" xfId="0" applyNumberFormat="1" applyFont="1" applyBorder="1" applyAlignment="1">
      <alignment horizontal="center"/>
    </xf>
    <xf numFmtId="0" fontId="10" fillId="0" borderId="2" xfId="0" applyFont="1" applyBorder="1" applyAlignment="1">
      <alignment horizontal="center"/>
    </xf>
    <xf numFmtId="0" fontId="26" fillId="0" borderId="15" xfId="0" applyFont="1" applyBorder="1" applyAlignment="1">
      <alignment horizontal="center" vertical="center"/>
    </xf>
    <xf numFmtId="16" fontId="26" fillId="4" borderId="15" xfId="0" applyNumberFormat="1" applyFont="1" applyFill="1" applyBorder="1" applyAlignment="1">
      <alignment horizontal="center"/>
    </xf>
    <xf numFmtId="1" fontId="26" fillId="0" borderId="15" xfId="0" applyNumberFormat="1" applyFont="1" applyBorder="1" applyAlignment="1">
      <alignment horizontal="center" vertical="center" wrapText="1"/>
    </xf>
    <xf numFmtId="1" fontId="26" fillId="0" borderId="27" xfId="1" applyNumberFormat="1" applyFont="1" applyBorder="1" applyAlignment="1">
      <alignment horizontal="center"/>
    </xf>
    <xf numFmtId="0" fontId="32" fillId="0" borderId="11" xfId="0" applyFont="1" applyBorder="1" applyAlignment="1">
      <alignment horizontal="center"/>
    </xf>
    <xf numFmtId="0" fontId="26" fillId="0" borderId="8" xfId="1" applyFont="1" applyBorder="1" applyAlignment="1">
      <alignment horizontal="center"/>
    </xf>
    <xf numFmtId="0" fontId="26" fillId="0" borderId="15" xfId="1" applyFont="1" applyBorder="1"/>
    <xf numFmtId="1" fontId="26" fillId="0" borderId="9" xfId="1" applyNumberFormat="1" applyFont="1" applyBorder="1" applyAlignment="1">
      <alignment horizontal="center"/>
    </xf>
    <xf numFmtId="0" fontId="33" fillId="0" borderId="15" xfId="1" applyFont="1" applyBorder="1"/>
    <xf numFmtId="1" fontId="26" fillId="0" borderId="15" xfId="1" applyNumberFormat="1" applyFont="1" applyBorder="1" applyAlignment="1">
      <alignment horizontal="center"/>
    </xf>
    <xf numFmtId="0" fontId="26" fillId="4" borderId="15" xfId="0" applyFont="1" applyFill="1" applyBorder="1" applyAlignment="1">
      <alignment horizontal="center"/>
    </xf>
    <xf numFmtId="0" fontId="26" fillId="4" borderId="15" xfId="0" applyFont="1" applyFill="1" applyBorder="1"/>
    <xf numFmtId="0" fontId="26" fillId="4" borderId="15" xfId="0" applyFont="1" applyFill="1" applyBorder="1" applyAlignment="1">
      <alignment horizontal="center" vertical="center"/>
    </xf>
    <xf numFmtId="0" fontId="1" fillId="3" borderId="17" xfId="2" applyFont="1" applyFill="1" applyBorder="1" applyAlignment="1">
      <alignment horizontal="center"/>
    </xf>
    <xf numFmtId="14" fontId="71" fillId="3" borderId="0" xfId="2" applyNumberFormat="1" applyFont="1" applyFill="1" applyAlignment="1">
      <alignment horizontal="center" vertical="center" wrapText="1"/>
    </xf>
    <xf numFmtId="0" fontId="72" fillId="0" borderId="16" xfId="1" applyFont="1" applyBorder="1" applyAlignment="1">
      <alignment horizontal="center" vertical="center"/>
    </xf>
    <xf numFmtId="0" fontId="72" fillId="0" borderId="8" xfId="1" applyFont="1" applyBorder="1" applyAlignment="1">
      <alignment horizontal="center" vertical="center"/>
    </xf>
    <xf numFmtId="0" fontId="73" fillId="0" borderId="15" xfId="1" applyFont="1" applyBorder="1" applyAlignment="1">
      <alignment vertical="center"/>
    </xf>
    <xf numFmtId="0" fontId="72" fillId="0" borderId="15" xfId="1" applyFont="1" applyBorder="1" applyAlignment="1">
      <alignment horizontal="center" vertical="center"/>
    </xf>
    <xf numFmtId="1" fontId="72" fillId="0" borderId="15" xfId="1" applyNumberFormat="1" applyFont="1" applyBorder="1" applyAlignment="1">
      <alignment horizontal="center"/>
    </xf>
    <xf numFmtId="1" fontId="72" fillId="0" borderId="15" xfId="1" applyNumberFormat="1" applyFont="1" applyBorder="1" applyAlignment="1">
      <alignment horizontal="center" wrapText="1"/>
    </xf>
    <xf numFmtId="0" fontId="2" fillId="0" borderId="14" xfId="1" applyFont="1" applyBorder="1" applyAlignment="1">
      <alignment horizontal="center"/>
    </xf>
    <xf numFmtId="1" fontId="0" fillId="0" borderId="15" xfId="0" applyNumberFormat="1" applyBorder="1"/>
    <xf numFmtId="0" fontId="0" fillId="0" borderId="15" xfId="0" applyBorder="1" applyAlignment="1">
      <alignment horizontal="center"/>
    </xf>
    <xf numFmtId="0" fontId="5" fillId="0" borderId="15" xfId="0" applyFont="1" applyBorder="1" applyAlignment="1">
      <alignment horizontal="center" vertical="center"/>
    </xf>
    <xf numFmtId="1" fontId="5" fillId="0" borderId="15" xfId="0" applyNumberFormat="1" applyFont="1" applyBorder="1" applyAlignment="1">
      <alignment horizontal="center" vertical="center"/>
    </xf>
    <xf numFmtId="1" fontId="5" fillId="0" borderId="15" xfId="0" applyNumberFormat="1" applyFont="1" applyBorder="1" applyAlignment="1">
      <alignment horizontal="center" vertical="center" wrapText="1"/>
    </xf>
    <xf numFmtId="0" fontId="5" fillId="0" borderId="11" xfId="0" applyFont="1" applyBorder="1" applyAlignment="1">
      <alignment horizontal="center" wrapText="1"/>
    </xf>
    <xf numFmtId="12" fontId="5" fillId="0" borderId="11" xfId="0" applyNumberFormat="1" applyFont="1" applyBorder="1" applyAlignment="1">
      <alignment horizontal="center"/>
    </xf>
    <xf numFmtId="0" fontId="5" fillId="0" borderId="15" xfId="0" applyFont="1" applyBorder="1" applyAlignment="1">
      <alignment horizontal="left" vertical="center"/>
    </xf>
    <xf numFmtId="0" fontId="0" fillId="0" borderId="8" xfId="0" applyBorder="1" applyAlignment="1">
      <alignment horizontal="center"/>
    </xf>
    <xf numFmtId="0" fontId="5" fillId="0" borderId="15" xfId="0" applyFont="1" applyBorder="1" applyAlignment="1">
      <alignment horizontal="center"/>
    </xf>
    <xf numFmtId="49" fontId="2" fillId="0" borderId="16" xfId="1" applyNumberFormat="1" applyFont="1" applyBorder="1" applyAlignment="1">
      <alignment horizontal="center"/>
    </xf>
    <xf numFmtId="49" fontId="2" fillId="0" borderId="8" xfId="1" applyNumberFormat="1" applyFont="1" applyBorder="1" applyAlignment="1">
      <alignment horizontal="center"/>
    </xf>
    <xf numFmtId="0" fontId="5" fillId="4" borderId="15" xfId="1" applyFont="1" applyFill="1" applyBorder="1" applyAlignment="1">
      <alignment horizontal="center"/>
    </xf>
    <xf numFmtId="1" fontId="0" fillId="0" borderId="8" xfId="0" applyNumberFormat="1" applyBorder="1"/>
    <xf numFmtId="167" fontId="2" fillId="0" borderId="15" xfId="1" applyNumberFormat="1" applyFont="1" applyBorder="1" applyAlignment="1">
      <alignment horizontal="center"/>
    </xf>
    <xf numFmtId="1" fontId="2" fillId="0" borderId="15" xfId="1" applyNumberFormat="1" applyFont="1" applyBorder="1" applyAlignment="1">
      <alignment horizontal="center" wrapText="1"/>
    </xf>
    <xf numFmtId="0" fontId="74" fillId="4" borderId="16" xfId="0" applyFont="1" applyFill="1" applyBorder="1" applyAlignment="1">
      <alignment horizontal="center"/>
    </xf>
    <xf numFmtId="0" fontId="74" fillId="4" borderId="12" xfId="0" applyFont="1" applyFill="1" applyBorder="1" applyAlignment="1">
      <alignment horizontal="center"/>
    </xf>
    <xf numFmtId="0" fontId="74" fillId="4" borderId="11" xfId="0" applyFont="1" applyFill="1" applyBorder="1"/>
    <xf numFmtId="0" fontId="5" fillId="4" borderId="8" xfId="0" applyFont="1" applyFill="1" applyBorder="1" applyAlignment="1">
      <alignment horizontal="center"/>
    </xf>
    <xf numFmtId="1" fontId="5" fillId="4" borderId="11" xfId="0" applyNumberFormat="1" applyFont="1" applyFill="1" applyBorder="1" applyAlignment="1">
      <alignment horizontal="center"/>
    </xf>
    <xf numFmtId="1" fontId="5" fillId="4" borderId="11" xfId="0" applyNumberFormat="1" applyFont="1" applyFill="1" applyBorder="1" applyAlignment="1">
      <alignment horizontal="center" wrapText="1"/>
    </xf>
    <xf numFmtId="16" fontId="5" fillId="0" borderId="15" xfId="0" applyNumberFormat="1" applyFont="1" applyBorder="1" applyAlignment="1">
      <alignment horizontal="center"/>
    </xf>
    <xf numFmtId="1" fontId="5" fillId="0" borderId="15" xfId="0" applyNumberFormat="1" applyFont="1" applyBorder="1" applyAlignment="1">
      <alignment horizontal="center"/>
    </xf>
    <xf numFmtId="1" fontId="5" fillId="0" borderId="15" xfId="0" applyNumberFormat="1" applyFont="1" applyBorder="1" applyAlignment="1">
      <alignment horizontal="center" wrapText="1"/>
    </xf>
    <xf numFmtId="49" fontId="72" fillId="0" borderId="7" xfId="1" applyNumberFormat="1" applyFont="1" applyBorder="1" applyAlignment="1">
      <alignment horizontal="center"/>
    </xf>
    <xf numFmtId="49" fontId="72" fillId="0" borderId="6" xfId="1" applyNumberFormat="1" applyFont="1" applyBorder="1" applyAlignment="1">
      <alignment horizontal="center"/>
    </xf>
    <xf numFmtId="0" fontId="72" fillId="0" borderId="8" xfId="1" applyFont="1" applyBorder="1" applyAlignment="1">
      <alignment horizontal="center"/>
    </xf>
    <xf numFmtId="167" fontId="72" fillId="0" borderId="15" xfId="1" applyNumberFormat="1" applyFont="1" applyBorder="1" applyAlignment="1">
      <alignment horizontal="center"/>
    </xf>
    <xf numFmtId="49" fontId="2" fillId="0" borderId="16" xfId="0" applyNumberFormat="1" applyFont="1" applyBorder="1" applyAlignment="1">
      <alignment horizontal="center"/>
    </xf>
    <xf numFmtId="49" fontId="2" fillId="0" borderId="8" xfId="0" applyNumberFormat="1" applyFont="1" applyBorder="1" applyAlignment="1">
      <alignment horizontal="center"/>
    </xf>
    <xf numFmtId="49" fontId="38" fillId="0" borderId="15" xfId="0" applyNumberFormat="1" applyFont="1" applyBorder="1"/>
    <xf numFmtId="0" fontId="2" fillId="0" borderId="15" xfId="0" applyFont="1" applyBorder="1" applyAlignment="1">
      <alignment horizontal="center"/>
    </xf>
    <xf numFmtId="1" fontId="2" fillId="0" borderId="15" xfId="0" applyNumberFormat="1" applyFont="1" applyBorder="1" applyAlignment="1">
      <alignment horizontal="center"/>
    </xf>
    <xf numFmtId="166" fontId="9" fillId="4" borderId="15" xfId="9" applyNumberFormat="1" applyFont="1" applyFill="1" applyBorder="1" applyAlignment="1">
      <alignment horizontal="center"/>
    </xf>
    <xf numFmtId="0" fontId="75" fillId="0" borderId="16" xfId="0" applyFont="1" applyBorder="1" applyAlignment="1">
      <alignment horizontal="center"/>
    </xf>
    <xf numFmtId="0" fontId="0" fillId="0" borderId="15" xfId="0" applyBorder="1" applyAlignment="1">
      <alignment horizontal="center" vertical="center"/>
    </xf>
    <xf numFmtId="0" fontId="0" fillId="0" borderId="15" xfId="0" applyBorder="1" applyAlignment="1">
      <alignment horizontal="left" vertical="center"/>
    </xf>
    <xf numFmtId="12" fontId="2" fillId="0" borderId="15" xfId="1" applyNumberFormat="1" applyFont="1" applyBorder="1" applyAlignment="1">
      <alignment horizontal="center"/>
    </xf>
    <xf numFmtId="0" fontId="5" fillId="0" borderId="15" xfId="0" quotePrefix="1" applyFont="1" applyBorder="1" applyAlignment="1">
      <alignment horizontal="center"/>
    </xf>
    <xf numFmtId="0" fontId="5" fillId="0" borderId="15" xfId="0" quotePrefix="1" applyFont="1" applyBorder="1"/>
    <xf numFmtId="49" fontId="76" fillId="3" borderId="21" xfId="1" applyNumberFormat="1" applyFont="1" applyFill="1" applyBorder="1" applyAlignment="1">
      <alignment horizontal="center" vertical="center"/>
    </xf>
    <xf numFmtId="49" fontId="76" fillId="3" borderId="0" xfId="1" applyNumberFormat="1" applyFont="1" applyFill="1" applyAlignment="1">
      <alignment horizontal="center" vertical="center"/>
    </xf>
    <xf numFmtId="0" fontId="5" fillId="3" borderId="0" xfId="1" applyFont="1" applyFill="1"/>
    <xf numFmtId="1" fontId="5" fillId="3" borderId="0" xfId="1" applyNumberFormat="1" applyFont="1" applyFill="1" applyAlignment="1">
      <alignment horizontal="center"/>
    </xf>
    <xf numFmtId="164" fontId="5" fillId="3" borderId="0" xfId="1" applyNumberFormat="1" applyFont="1" applyFill="1" applyAlignment="1">
      <alignment horizontal="center" wrapText="1"/>
    </xf>
    <xf numFmtId="0" fontId="5" fillId="3" borderId="20" xfId="1" applyFont="1" applyFill="1" applyBorder="1" applyAlignment="1">
      <alignment horizontal="center"/>
    </xf>
    <xf numFmtId="0" fontId="5" fillId="2" borderId="42" xfId="1" applyFont="1" applyFill="1" applyBorder="1" applyAlignment="1">
      <alignment horizontal="center"/>
    </xf>
    <xf numFmtId="0" fontId="5" fillId="2" borderId="37" xfId="1" applyFont="1" applyFill="1" applyBorder="1" applyAlignment="1">
      <alignment horizontal="center"/>
    </xf>
    <xf numFmtId="0" fontId="5" fillId="2" borderId="37" xfId="1" applyFont="1" applyFill="1" applyBorder="1"/>
    <xf numFmtId="0" fontId="9" fillId="2" borderId="37" xfId="1" applyFont="1" applyFill="1" applyBorder="1" applyAlignment="1">
      <alignment horizontal="center"/>
    </xf>
    <xf numFmtId="1" fontId="9" fillId="2" borderId="37" xfId="1" applyNumberFormat="1" applyFont="1" applyFill="1" applyBorder="1" applyAlignment="1">
      <alignment horizontal="center"/>
    </xf>
    <xf numFmtId="164" fontId="5" fillId="2" borderId="37" xfId="1" applyNumberFormat="1" applyFont="1" applyFill="1" applyBorder="1" applyAlignment="1">
      <alignment horizontal="center" wrapText="1"/>
    </xf>
    <xf numFmtId="0" fontId="5" fillId="2" borderId="38" xfId="1" applyFont="1" applyFill="1" applyBorder="1" applyAlignment="1">
      <alignment horizontal="center"/>
    </xf>
    <xf numFmtId="1" fontId="5" fillId="0" borderId="11" xfId="0" applyNumberFormat="1" applyFont="1" applyBorder="1" applyAlignment="1">
      <alignment horizontal="center"/>
    </xf>
    <xf numFmtId="0" fontId="5" fillId="0" borderId="27" xfId="0" applyFont="1" applyBorder="1" applyAlignment="1">
      <alignment horizontal="center"/>
    </xf>
    <xf numFmtId="1" fontId="5" fillId="0" borderId="2" xfId="0" applyNumberFormat="1" applyFont="1" applyBorder="1" applyAlignment="1">
      <alignment horizontal="center"/>
    </xf>
    <xf numFmtId="0" fontId="5" fillId="0" borderId="2" xfId="0" applyFont="1" applyBorder="1" applyAlignment="1">
      <alignment horizontal="center"/>
    </xf>
    <xf numFmtId="1" fontId="26" fillId="0" borderId="15" xfId="0" applyNumberFormat="1" applyFont="1" applyBorder="1"/>
    <xf numFmtId="0" fontId="26" fillId="0" borderId="15" xfId="0" applyFont="1" applyBorder="1"/>
    <xf numFmtId="1" fontId="26" fillId="0" borderId="15" xfId="0" applyNumberFormat="1" applyFont="1" applyBorder="1" applyAlignment="1">
      <alignment horizontal="center" vertical="center"/>
    </xf>
    <xf numFmtId="0" fontId="26" fillId="0" borderId="15" xfId="0" applyFont="1" applyBorder="1" applyAlignment="1">
      <alignment horizontal="left" vertical="center"/>
    </xf>
    <xf numFmtId="0" fontId="26" fillId="0" borderId="0" xfId="0" applyFont="1"/>
    <xf numFmtId="0" fontId="26" fillId="0" borderId="48" xfId="1" applyFont="1" applyBorder="1" applyAlignment="1">
      <alignment horizontal="center" vertical="center"/>
    </xf>
    <xf numFmtId="0" fontId="26" fillId="0" borderId="15" xfId="1" applyFont="1" applyBorder="1" applyAlignment="1">
      <alignment horizontal="center" vertical="center"/>
    </xf>
    <xf numFmtId="0" fontId="26" fillId="0" borderId="63" xfId="1" applyFont="1" applyBorder="1" applyAlignment="1">
      <alignment horizontal="left" vertical="center"/>
    </xf>
    <xf numFmtId="16" fontId="26" fillId="0" borderId="11" xfId="1" applyNumberFormat="1" applyFont="1" applyBorder="1" applyAlignment="1">
      <alignment horizontal="center"/>
    </xf>
    <xf numFmtId="43" fontId="0" fillId="0" borderId="0" xfId="9" applyFont="1"/>
    <xf numFmtId="0" fontId="26" fillId="0" borderId="9" xfId="1" quotePrefix="1" applyFont="1" applyBorder="1" applyAlignment="1">
      <alignment horizontal="center"/>
    </xf>
    <xf numFmtId="0" fontId="26" fillId="0" borderId="15" xfId="1" quotePrefix="1" applyFont="1" applyBorder="1" applyAlignment="1">
      <alignment horizontal="center"/>
    </xf>
    <xf numFmtId="0" fontId="26" fillId="0" borderId="8" xfId="1" quotePrefix="1" applyFont="1" applyBorder="1"/>
    <xf numFmtId="16" fontId="26" fillId="0" borderId="15" xfId="1" applyNumberFormat="1" applyFont="1" applyBorder="1" applyAlignment="1">
      <alignment horizontal="center"/>
    </xf>
    <xf numFmtId="0" fontId="26" fillId="0" borderId="15" xfId="0" applyFont="1" applyBorder="1" applyAlignment="1">
      <alignment horizontal="left"/>
    </xf>
    <xf numFmtId="0" fontId="36" fillId="0" borderId="15" xfId="0" applyFont="1" applyBorder="1" applyAlignment="1">
      <alignment horizontal="center" vertical="center"/>
    </xf>
    <xf numFmtId="0" fontId="36" fillId="15" borderId="15" xfId="0" applyFont="1" applyFill="1" applyBorder="1" applyAlignment="1">
      <alignment horizontal="center" vertical="center"/>
    </xf>
    <xf numFmtId="0" fontId="33" fillId="15" borderId="15" xfId="0" applyFont="1" applyFill="1" applyBorder="1" applyAlignment="1">
      <alignment horizontal="left" vertical="center"/>
    </xf>
    <xf numFmtId="0" fontId="26" fillId="0" borderId="15" xfId="0" applyFont="1" applyBorder="1" applyAlignment="1">
      <alignment horizontal="center" wrapText="1"/>
    </xf>
    <xf numFmtId="0" fontId="26" fillId="15" borderId="15" xfId="0" applyFont="1" applyFill="1" applyBorder="1" applyAlignment="1">
      <alignment horizontal="center"/>
    </xf>
    <xf numFmtId="0" fontId="33" fillId="0" borderId="15" xfId="0" applyFont="1" applyBorder="1"/>
    <xf numFmtId="49" fontId="26" fillId="0" borderId="16" xfId="0" applyNumberFormat="1" applyFont="1" applyBorder="1" applyAlignment="1">
      <alignment horizontal="center"/>
    </xf>
    <xf numFmtId="49" fontId="26" fillId="0" borderId="8" xfId="0" applyNumberFormat="1" applyFont="1" applyBorder="1" applyAlignment="1">
      <alignment horizontal="center"/>
    </xf>
    <xf numFmtId="49" fontId="33" fillId="0" borderId="15" xfId="0" applyNumberFormat="1" applyFont="1" applyBorder="1"/>
    <xf numFmtId="0" fontId="36" fillId="0" borderId="16" xfId="0" applyFont="1" applyBorder="1" applyAlignment="1">
      <alignment horizontal="center"/>
    </xf>
    <xf numFmtId="0" fontId="36" fillId="0" borderId="8" xfId="0" applyFont="1" applyBorder="1" applyAlignment="1">
      <alignment horizontal="center"/>
    </xf>
    <xf numFmtId="0" fontId="36" fillId="0" borderId="15" xfId="0" applyFont="1" applyBorder="1"/>
    <xf numFmtId="12" fontId="26" fillId="0" borderId="15" xfId="1" applyNumberFormat="1" applyFont="1" applyBorder="1" applyAlignment="1">
      <alignment horizontal="center"/>
    </xf>
    <xf numFmtId="0" fontId="26" fillId="0" borderId="15" xfId="0" quotePrefix="1" applyFont="1" applyBorder="1" applyAlignment="1">
      <alignment horizontal="center"/>
    </xf>
    <xf numFmtId="0" fontId="26" fillId="0" borderId="15" xfId="0" quotePrefix="1" applyFont="1" applyBorder="1"/>
    <xf numFmtId="0" fontId="74" fillId="4" borderId="15" xfId="0" applyFont="1" applyFill="1" applyBorder="1" applyAlignment="1">
      <alignment horizontal="center"/>
    </xf>
    <xf numFmtId="1" fontId="5" fillId="4" borderId="15" xfId="0" applyNumberFormat="1" applyFont="1" applyFill="1" applyBorder="1" applyAlignment="1">
      <alignment horizontal="center"/>
    </xf>
    <xf numFmtId="1" fontId="5" fillId="4" borderId="15" xfId="0" applyNumberFormat="1" applyFont="1" applyFill="1" applyBorder="1" applyAlignment="1">
      <alignment horizontal="center" wrapText="1"/>
    </xf>
    <xf numFmtId="0" fontId="74" fillId="4" borderId="8" xfId="0" applyFont="1" applyFill="1" applyBorder="1" applyAlignment="1">
      <alignment horizontal="center"/>
    </xf>
    <xf numFmtId="0" fontId="74" fillId="4" borderId="15" xfId="0" applyFont="1" applyFill="1" applyBorder="1"/>
    <xf numFmtId="0" fontId="79" fillId="0" borderId="15" xfId="0" applyFont="1" applyBorder="1" applyAlignment="1">
      <alignment horizontal="center"/>
    </xf>
    <xf numFmtId="0" fontId="79" fillId="0" borderId="15" xfId="0" applyFont="1" applyBorder="1" applyAlignment="1">
      <alignment horizontal="center" vertical="center"/>
    </xf>
    <xf numFmtId="0" fontId="79" fillId="14" borderId="15" xfId="0" applyFont="1" applyFill="1" applyBorder="1"/>
    <xf numFmtId="0" fontId="5" fillId="0" borderId="15" xfId="0" applyFont="1" applyBorder="1" applyAlignment="1">
      <alignment horizontal="center" wrapText="1"/>
    </xf>
    <xf numFmtId="0" fontId="79" fillId="14" borderId="0" xfId="0" applyFont="1" applyFill="1" applyAlignment="1">
      <alignment horizontal="center"/>
    </xf>
    <xf numFmtId="0" fontId="79" fillId="14" borderId="0" xfId="0" applyFont="1" applyFill="1"/>
    <xf numFmtId="0" fontId="9" fillId="14" borderId="15" xfId="0" applyFont="1" applyFill="1" applyBorder="1" applyAlignment="1">
      <alignment horizontal="left"/>
    </xf>
    <xf numFmtId="0" fontId="5" fillId="0" borderId="11" xfId="0" applyFont="1" applyBorder="1" applyAlignment="1">
      <alignment horizontal="center"/>
    </xf>
    <xf numFmtId="0" fontId="79" fillId="14" borderId="15" xfId="0" applyFont="1" applyFill="1" applyBorder="1" applyAlignment="1">
      <alignment horizontal="left" vertical="center"/>
    </xf>
    <xf numFmtId="1" fontId="5" fillId="4" borderId="15" xfId="1" applyNumberFormat="1" applyFont="1" applyFill="1" applyBorder="1" applyAlignment="1">
      <alignment horizontal="center"/>
    </xf>
    <xf numFmtId="1" fontId="5" fillId="4" borderId="15" xfId="1" applyNumberFormat="1" applyFont="1" applyFill="1" applyBorder="1" applyAlignment="1">
      <alignment horizontal="center" wrapText="1"/>
    </xf>
    <xf numFmtId="0" fontId="0" fillId="0" borderId="0" xfId="0" applyAlignment="1">
      <alignment horizontal="center"/>
    </xf>
    <xf numFmtId="16" fontId="5" fillId="4" borderId="15" xfId="0" applyNumberFormat="1" applyFont="1" applyFill="1" applyBorder="1" applyAlignment="1">
      <alignment horizontal="center"/>
    </xf>
    <xf numFmtId="0" fontId="5" fillId="3" borderId="15" xfId="0" applyFont="1" applyFill="1" applyBorder="1" applyAlignment="1">
      <alignment horizontal="center"/>
    </xf>
    <xf numFmtId="1" fontId="5" fillId="0" borderId="11" xfId="0" applyNumberFormat="1" applyFont="1" applyBorder="1" applyAlignment="1">
      <alignment horizontal="center" wrapText="1"/>
    </xf>
    <xf numFmtId="49" fontId="37" fillId="0" borderId="15" xfId="1" applyNumberFormat="1" applyFont="1" applyBorder="1"/>
    <xf numFmtId="16" fontId="2" fillId="0" borderId="15" xfId="1" applyNumberFormat="1" applyFont="1" applyBorder="1" applyAlignment="1">
      <alignment horizontal="center"/>
    </xf>
    <xf numFmtId="1" fontId="5" fillId="0" borderId="11" xfId="1" applyNumberFormat="1" applyFont="1" applyBorder="1" applyAlignment="1">
      <alignment horizontal="center"/>
    </xf>
    <xf numFmtId="0" fontId="5" fillId="0" borderId="11" xfId="1" applyFont="1" applyBorder="1" applyAlignment="1">
      <alignment horizontal="center"/>
    </xf>
    <xf numFmtId="0" fontId="1" fillId="0" borderId="15" xfId="0" applyFont="1" applyBorder="1" applyAlignment="1">
      <alignment horizontal="center" vertical="center"/>
    </xf>
    <xf numFmtId="0" fontId="1" fillId="0" borderId="15" xfId="0" applyFont="1" applyBorder="1" applyAlignment="1">
      <alignment horizontal="left" vertical="center"/>
    </xf>
    <xf numFmtId="0" fontId="2" fillId="0" borderId="28" xfId="0" applyFont="1" applyBorder="1" applyAlignment="1">
      <alignment horizontal="center"/>
    </xf>
    <xf numFmtId="0" fontId="2" fillId="0" borderId="15" xfId="0" applyFont="1" applyBorder="1" applyAlignment="1">
      <alignment horizontal="center" wrapText="1"/>
    </xf>
    <xf numFmtId="1" fontId="1" fillId="0" borderId="15" xfId="0" applyNumberFormat="1" applyFont="1" applyBorder="1" applyAlignment="1">
      <alignment horizontal="left" vertical="center"/>
    </xf>
    <xf numFmtId="0" fontId="2" fillId="4" borderId="16" xfId="0" applyFont="1" applyFill="1" applyBorder="1" applyAlignment="1">
      <alignment horizontal="center"/>
    </xf>
    <xf numFmtId="0" fontId="80" fillId="4" borderId="0" xfId="0" applyFont="1" applyFill="1" applyAlignment="1">
      <alignment horizontal="center"/>
    </xf>
    <xf numFmtId="1" fontId="37" fillId="4" borderId="15" xfId="0" applyNumberFormat="1" applyFont="1" applyFill="1" applyBorder="1"/>
    <xf numFmtId="0" fontId="37" fillId="4" borderId="15" xfId="0" applyFont="1" applyFill="1" applyBorder="1" applyAlignment="1">
      <alignment horizontal="center"/>
    </xf>
    <xf numFmtId="0" fontId="82" fillId="3" borderId="18" xfId="2" applyFont="1" applyFill="1" applyBorder="1" applyAlignment="1">
      <alignment horizontal="right"/>
    </xf>
    <xf numFmtId="0" fontId="81" fillId="3" borderId="17" xfId="2" applyFont="1" applyFill="1" applyBorder="1" applyAlignment="1">
      <alignment horizontal="center"/>
    </xf>
    <xf numFmtId="0" fontId="82" fillId="3" borderId="15" xfId="2" applyFont="1" applyFill="1" applyBorder="1" applyAlignment="1">
      <alignment horizontal="right"/>
    </xf>
    <xf numFmtId="49" fontId="81" fillId="3" borderId="14" xfId="2" applyNumberFormat="1" applyFont="1" applyFill="1" applyBorder="1" applyAlignment="1">
      <alignment horizontal="center"/>
    </xf>
    <xf numFmtId="0" fontId="81" fillId="3" borderId="11" xfId="2" applyFont="1" applyFill="1" applyBorder="1" applyAlignment="1">
      <alignment horizontal="right"/>
    </xf>
    <xf numFmtId="0" fontId="81" fillId="3" borderId="15" xfId="2" applyFont="1" applyFill="1" applyBorder="1" applyAlignment="1">
      <alignment horizontal="right"/>
    </xf>
    <xf numFmtId="14" fontId="84" fillId="3" borderId="0" xfId="2" applyNumberFormat="1" applyFont="1" applyFill="1" applyAlignment="1">
      <alignment horizontal="center" vertical="center" wrapText="1"/>
    </xf>
    <xf numFmtId="0" fontId="82" fillId="2" borderId="17" xfId="1" applyFont="1" applyFill="1" applyBorder="1" applyAlignment="1">
      <alignment horizontal="center" vertical="center" wrapText="1"/>
    </xf>
    <xf numFmtId="1" fontId="82" fillId="2" borderId="2" xfId="1" applyNumberFormat="1" applyFont="1" applyFill="1" applyBorder="1" applyAlignment="1">
      <alignment horizontal="center"/>
    </xf>
    <xf numFmtId="1" fontId="82" fillId="2" borderId="2" xfId="1" applyNumberFormat="1" applyFont="1" applyFill="1" applyBorder="1" applyAlignment="1">
      <alignment horizontal="center" wrapText="1"/>
    </xf>
    <xf numFmtId="0" fontId="82" fillId="2" borderId="1" xfId="1" applyFont="1" applyFill="1" applyBorder="1" applyAlignment="1">
      <alignment horizontal="center"/>
    </xf>
    <xf numFmtId="0" fontId="85" fillId="0" borderId="16" xfId="1" applyFont="1" applyBorder="1" applyAlignment="1">
      <alignment horizontal="center" vertical="center"/>
    </xf>
    <xf numFmtId="0" fontId="85" fillId="0" borderId="8" xfId="1" applyFont="1" applyBorder="1" applyAlignment="1">
      <alignment horizontal="center" vertical="center"/>
    </xf>
    <xf numFmtId="0" fontId="86" fillId="0" borderId="15" xfId="1" applyFont="1" applyBorder="1" applyAlignment="1">
      <alignment vertical="center"/>
    </xf>
    <xf numFmtId="0" fontId="85" fillId="0" borderId="15" xfId="1" applyFont="1" applyBorder="1" applyAlignment="1">
      <alignment horizontal="center" vertical="center"/>
    </xf>
    <xf numFmtId="1" fontId="85" fillId="0" borderId="15" xfId="1" applyNumberFormat="1" applyFont="1" applyBorder="1" applyAlignment="1">
      <alignment horizontal="center"/>
    </xf>
    <xf numFmtId="1" fontId="85" fillId="0" borderId="15" xfId="1" applyNumberFormat="1" applyFont="1" applyBorder="1" applyAlignment="1">
      <alignment horizontal="center" wrapText="1"/>
    </xf>
    <xf numFmtId="0" fontId="87" fillId="0" borderId="14" xfId="1" applyFont="1" applyBorder="1" applyAlignment="1">
      <alignment horizontal="center"/>
    </xf>
    <xf numFmtId="49" fontId="88" fillId="4" borderId="15" xfId="1" applyNumberFormat="1" applyFont="1" applyFill="1" applyBorder="1" applyAlignment="1">
      <alignment horizontal="center"/>
    </xf>
    <xf numFmtId="0" fontId="88" fillId="0" borderId="15" xfId="1" applyFont="1" applyBorder="1" applyAlignment="1">
      <alignment horizontal="left" wrapText="1"/>
    </xf>
    <xf numFmtId="16" fontId="87" fillId="0" borderId="15" xfId="1" applyNumberFormat="1" applyFont="1" applyBorder="1" applyAlignment="1">
      <alignment horizontal="center"/>
    </xf>
    <xf numFmtId="1" fontId="87" fillId="0" borderId="15" xfId="1" applyNumberFormat="1" applyFont="1" applyBorder="1" applyAlignment="1">
      <alignment horizontal="center"/>
    </xf>
    <xf numFmtId="1" fontId="87" fillId="0" borderId="15" xfId="1" applyNumberFormat="1" applyFont="1" applyBorder="1" applyAlignment="1">
      <alignment horizontal="center" wrapText="1"/>
    </xf>
    <xf numFmtId="0" fontId="81" fillId="0" borderId="11" xfId="0" applyFont="1" applyBorder="1" applyAlignment="1">
      <alignment horizontal="center" wrapText="1"/>
    </xf>
    <xf numFmtId="12" fontId="81" fillId="0" borderId="11" xfId="0" applyNumberFormat="1" applyFont="1" applyBorder="1" applyAlignment="1">
      <alignment horizontal="center"/>
    </xf>
    <xf numFmtId="0" fontId="89" fillId="0" borderId="15" xfId="0" applyFont="1" applyBorder="1" applyAlignment="1">
      <alignment horizontal="center" vertical="top"/>
    </xf>
    <xf numFmtId="0" fontId="89" fillId="0" borderId="8" xfId="0" applyFont="1" applyBorder="1" applyAlignment="1">
      <alignment horizontal="center" vertical="top"/>
    </xf>
    <xf numFmtId="0" fontId="89" fillId="4" borderId="15" xfId="0" applyFont="1" applyFill="1" applyBorder="1"/>
    <xf numFmtId="16" fontId="87" fillId="3" borderId="15" xfId="0" applyNumberFormat="1" applyFont="1" applyFill="1" applyBorder="1" applyAlignment="1">
      <alignment horizontal="center"/>
    </xf>
    <xf numFmtId="1" fontId="87" fillId="3" borderId="15" xfId="0" applyNumberFormat="1" applyFont="1" applyFill="1" applyBorder="1" applyAlignment="1">
      <alignment horizontal="center"/>
    </xf>
    <xf numFmtId="1" fontId="87" fillId="3" borderId="15" xfId="0" applyNumberFormat="1" applyFont="1" applyFill="1" applyBorder="1" applyAlignment="1">
      <alignment horizontal="center" wrapText="1"/>
    </xf>
    <xf numFmtId="0" fontId="89" fillId="0" borderId="16" xfId="0" quotePrefix="1" applyFont="1" applyBorder="1" applyAlignment="1">
      <alignment horizontal="center"/>
    </xf>
    <xf numFmtId="0" fontId="89" fillId="0" borderId="8" xfId="0" quotePrefix="1" applyFont="1" applyBorder="1" applyAlignment="1">
      <alignment horizontal="center"/>
    </xf>
    <xf numFmtId="0" fontId="89" fillId="0" borderId="15" xfId="0" quotePrefix="1" applyFont="1" applyBorder="1"/>
    <xf numFmtId="0" fontId="87" fillId="0" borderId="15" xfId="0" applyFont="1" applyBorder="1" applyAlignment="1">
      <alignment horizontal="center"/>
    </xf>
    <xf numFmtId="0" fontId="81" fillId="0" borderId="15" xfId="0" applyFont="1" applyBorder="1" applyAlignment="1">
      <alignment horizontal="center"/>
    </xf>
    <xf numFmtId="0" fontId="89" fillId="0" borderId="15" xfId="0" applyFont="1" applyBorder="1" applyAlignment="1">
      <alignment horizontal="center"/>
    </xf>
    <xf numFmtId="0" fontId="87" fillId="0" borderId="15" xfId="1" applyFont="1" applyBorder="1" applyAlignment="1">
      <alignment horizontal="center"/>
    </xf>
    <xf numFmtId="1" fontId="89" fillId="0" borderId="15" xfId="0" applyNumberFormat="1" applyFont="1" applyBorder="1"/>
    <xf numFmtId="0" fontId="89" fillId="0" borderId="15" xfId="0" applyFont="1" applyBorder="1"/>
    <xf numFmtId="0" fontId="81" fillId="4" borderId="15" xfId="1" applyFont="1" applyFill="1" applyBorder="1" applyAlignment="1">
      <alignment horizontal="center"/>
    </xf>
    <xf numFmtId="49" fontId="87" fillId="0" borderId="16" xfId="1" applyNumberFormat="1" applyFont="1" applyBorder="1" applyAlignment="1">
      <alignment horizontal="center"/>
    </xf>
    <xf numFmtId="49" fontId="87" fillId="0" borderId="8" xfId="1" applyNumberFormat="1" applyFont="1" applyBorder="1" applyAlignment="1">
      <alignment horizontal="center"/>
    </xf>
    <xf numFmtId="0" fontId="85" fillId="4" borderId="15" xfId="1" applyFont="1" applyFill="1" applyBorder="1" applyAlignment="1">
      <alignment horizontal="left"/>
    </xf>
    <xf numFmtId="167" fontId="87" fillId="0" borderId="15" xfId="1" applyNumberFormat="1" applyFont="1" applyBorder="1" applyAlignment="1">
      <alignment horizontal="center"/>
    </xf>
    <xf numFmtId="0" fontId="90" fillId="4" borderId="16" xfId="0" applyFont="1" applyFill="1" applyBorder="1" applyAlignment="1">
      <alignment horizontal="center"/>
    </xf>
    <xf numFmtId="0" fontId="90" fillId="4" borderId="12" xfId="0" applyFont="1" applyFill="1" applyBorder="1" applyAlignment="1">
      <alignment horizontal="center"/>
    </xf>
    <xf numFmtId="0" fontId="90" fillId="4" borderId="11" xfId="0" applyFont="1" applyFill="1" applyBorder="1"/>
    <xf numFmtId="0" fontId="81" fillId="4" borderId="8" xfId="0" applyFont="1" applyFill="1" applyBorder="1" applyAlignment="1">
      <alignment horizontal="center"/>
    </xf>
    <xf numFmtId="1" fontId="81" fillId="4" borderId="11" xfId="0" applyNumberFormat="1" applyFont="1" applyFill="1" applyBorder="1" applyAlignment="1">
      <alignment horizontal="center"/>
    </xf>
    <xf numFmtId="1" fontId="81" fillId="4" borderId="11" xfId="0" applyNumberFormat="1" applyFont="1" applyFill="1" applyBorder="1" applyAlignment="1">
      <alignment horizontal="center" wrapText="1"/>
    </xf>
    <xf numFmtId="49" fontId="81" fillId="4" borderId="11" xfId="0" applyNumberFormat="1" applyFont="1" applyFill="1" applyBorder="1" applyAlignment="1">
      <alignment horizontal="center"/>
    </xf>
    <xf numFmtId="1" fontId="81" fillId="4" borderId="15" xfId="1" applyNumberFormat="1" applyFont="1" applyFill="1" applyBorder="1" applyAlignment="1">
      <alignment horizontal="center"/>
    </xf>
    <xf numFmtId="1" fontId="81" fillId="4" borderId="15" xfId="1" applyNumberFormat="1" applyFont="1" applyFill="1" applyBorder="1" applyAlignment="1">
      <alignment horizontal="center" wrapText="1"/>
    </xf>
    <xf numFmtId="1" fontId="81" fillId="4" borderId="15" xfId="0" applyNumberFormat="1" applyFont="1" applyFill="1" applyBorder="1" applyAlignment="1">
      <alignment horizontal="center"/>
    </xf>
    <xf numFmtId="0" fontId="89" fillId="0" borderId="0" xfId="0" applyFont="1" applyAlignment="1">
      <alignment horizontal="center"/>
    </xf>
    <xf numFmtId="0" fontId="89" fillId="0" borderId="0" xfId="0" applyFont="1"/>
    <xf numFmtId="16" fontId="81" fillId="4" borderId="15" xfId="0" applyNumberFormat="1" applyFont="1" applyFill="1" applyBorder="1" applyAlignment="1">
      <alignment horizontal="center"/>
    </xf>
    <xf numFmtId="0" fontId="81" fillId="3" borderId="15" xfId="0" applyFont="1" applyFill="1" applyBorder="1" applyAlignment="1">
      <alignment horizontal="center"/>
    </xf>
    <xf numFmtId="1" fontId="81" fillId="0" borderId="11" xfId="0" applyNumberFormat="1" applyFont="1" applyBorder="1" applyAlignment="1">
      <alignment horizontal="center" wrapText="1"/>
    </xf>
    <xf numFmtId="16" fontId="81" fillId="0" borderId="15" xfId="0" applyNumberFormat="1" applyFont="1" applyBorder="1" applyAlignment="1">
      <alignment horizontal="center"/>
    </xf>
    <xf numFmtId="1" fontId="81" fillId="0" borderId="11" xfId="0" applyNumberFormat="1" applyFont="1" applyBorder="1" applyAlignment="1">
      <alignment horizontal="center"/>
    </xf>
    <xf numFmtId="1" fontId="81" fillId="0" borderId="15" xfId="0" applyNumberFormat="1" applyFont="1" applyBorder="1" applyAlignment="1">
      <alignment horizontal="center"/>
    </xf>
    <xf numFmtId="1" fontId="81" fillId="0" borderId="15" xfId="0" applyNumberFormat="1" applyFont="1" applyBorder="1" applyAlignment="1">
      <alignment horizontal="center" wrapText="1"/>
    </xf>
    <xf numFmtId="49" fontId="85" fillId="0" borderId="7" xfId="1" applyNumberFormat="1" applyFont="1" applyBorder="1" applyAlignment="1">
      <alignment horizontal="center"/>
    </xf>
    <xf numFmtId="49" fontId="85" fillId="0" borderId="6" xfId="1" applyNumberFormat="1" applyFont="1" applyBorder="1" applyAlignment="1">
      <alignment horizontal="center"/>
    </xf>
    <xf numFmtId="0" fontId="86" fillId="4" borderId="15" xfId="1" applyFont="1" applyFill="1" applyBorder="1" applyAlignment="1">
      <alignment vertical="center"/>
    </xf>
    <xf numFmtId="0" fontId="85" fillId="0" borderId="8" xfId="1" applyFont="1" applyBorder="1" applyAlignment="1">
      <alignment horizontal="center"/>
    </xf>
    <xf numFmtId="167" fontId="85" fillId="0" borderId="15" xfId="1" applyNumberFormat="1" applyFont="1" applyBorder="1" applyAlignment="1">
      <alignment horizontal="center"/>
    </xf>
    <xf numFmtId="49" fontId="87" fillId="0" borderId="15" xfId="0" applyNumberFormat="1" applyFont="1" applyBorder="1" applyAlignment="1">
      <alignment horizontal="center"/>
    </xf>
    <xf numFmtId="49" fontId="87" fillId="0" borderId="15" xfId="0" applyNumberFormat="1" applyFont="1" applyBorder="1"/>
    <xf numFmtId="1" fontId="87" fillId="0" borderId="15" xfId="0" applyNumberFormat="1" applyFont="1" applyBorder="1" applyAlignment="1">
      <alignment horizontal="center"/>
    </xf>
    <xf numFmtId="1" fontId="87" fillId="0" borderId="15" xfId="0" applyNumberFormat="1" applyFont="1" applyBorder="1" applyAlignment="1">
      <alignment horizontal="center" wrapText="1"/>
    </xf>
    <xf numFmtId="166" fontId="82" fillId="4" borderId="15" xfId="9" applyNumberFormat="1" applyFont="1" applyFill="1" applyBorder="1" applyAlignment="1">
      <alignment horizontal="center"/>
    </xf>
    <xf numFmtId="0" fontId="91" fillId="0" borderId="15" xfId="5" applyFont="1" applyBorder="1" applyAlignment="1">
      <alignment horizontal="center"/>
    </xf>
    <xf numFmtId="0" fontId="91" fillId="0" borderId="15" xfId="5" applyFont="1" applyBorder="1" applyAlignment="1">
      <alignment horizontal="left"/>
    </xf>
    <xf numFmtId="16" fontId="87" fillId="0" borderId="15" xfId="0" applyNumberFormat="1" applyFont="1" applyBorder="1" applyAlignment="1">
      <alignment horizontal="center"/>
    </xf>
    <xf numFmtId="0" fontId="89" fillId="0" borderId="15" xfId="0" applyFont="1" applyBorder="1" applyAlignment="1">
      <alignment horizontal="center" vertical="center"/>
    </xf>
    <xf numFmtId="0" fontId="89" fillId="0" borderId="15" xfId="0" applyFont="1" applyBorder="1" applyAlignment="1">
      <alignment horizontal="left" vertical="center"/>
    </xf>
    <xf numFmtId="12" fontId="87" fillId="0" borderId="15" xfId="1" applyNumberFormat="1" applyFont="1" applyBorder="1" applyAlignment="1">
      <alignment horizontal="center"/>
    </xf>
    <xf numFmtId="0" fontId="81" fillId="0" borderId="15" xfId="0" quotePrefix="1" applyFont="1" applyBorder="1" applyAlignment="1">
      <alignment horizontal="center"/>
    </xf>
    <xf numFmtId="0" fontId="81" fillId="0" borderId="15" xfId="0" quotePrefix="1" applyFont="1" applyBorder="1"/>
    <xf numFmtId="49" fontId="87" fillId="0" borderId="15" xfId="1" applyNumberFormat="1" applyFont="1" applyBorder="1"/>
    <xf numFmtId="49" fontId="92" fillId="3" borderId="21" xfId="1" applyNumberFormat="1" applyFont="1" applyFill="1" applyBorder="1" applyAlignment="1">
      <alignment horizontal="center" vertical="center"/>
    </xf>
    <xf numFmtId="49" fontId="92" fillId="3" borderId="0" xfId="1" applyNumberFormat="1" applyFont="1" applyFill="1" applyAlignment="1">
      <alignment horizontal="center" vertical="center"/>
    </xf>
    <xf numFmtId="0" fontId="81" fillId="3" borderId="0" xfId="1" applyFont="1" applyFill="1"/>
    <xf numFmtId="1" fontId="81" fillId="3" borderId="0" xfId="1" applyNumberFormat="1" applyFont="1" applyFill="1" applyAlignment="1">
      <alignment horizontal="center"/>
    </xf>
    <xf numFmtId="164" fontId="81" fillId="3" borderId="0" xfId="1" applyNumberFormat="1" applyFont="1" applyFill="1" applyAlignment="1">
      <alignment horizontal="center" wrapText="1"/>
    </xf>
    <xf numFmtId="0" fontId="81" fillId="3" borderId="20" xfId="1" applyFont="1" applyFill="1" applyBorder="1" applyAlignment="1">
      <alignment horizontal="center"/>
    </xf>
    <xf numFmtId="0" fontId="81" fillId="2" borderId="42" xfId="1" applyFont="1" applyFill="1" applyBorder="1" applyAlignment="1">
      <alignment horizontal="center"/>
    </xf>
    <xf numFmtId="0" fontId="81" fillId="2" borderId="37" xfId="1" applyFont="1" applyFill="1" applyBorder="1" applyAlignment="1">
      <alignment horizontal="center"/>
    </xf>
    <xf numFmtId="0" fontId="81" fillId="2" borderId="37" xfId="1" applyFont="1" applyFill="1" applyBorder="1"/>
    <xf numFmtId="0" fontId="82" fillId="2" borderId="37" xfId="1" applyFont="1" applyFill="1" applyBorder="1" applyAlignment="1">
      <alignment horizontal="center"/>
    </xf>
    <xf numFmtId="1" fontId="82" fillId="2" borderId="37" xfId="1" applyNumberFormat="1" applyFont="1" applyFill="1" applyBorder="1" applyAlignment="1">
      <alignment horizontal="center"/>
    </xf>
    <xf numFmtId="164" fontId="81" fillId="2" borderId="37" xfId="1" applyNumberFormat="1" applyFont="1" applyFill="1" applyBorder="1" applyAlignment="1">
      <alignment horizontal="center" wrapText="1"/>
    </xf>
    <xf numFmtId="0" fontId="81" fillId="2" borderId="38" xfId="1" applyFont="1" applyFill="1" applyBorder="1" applyAlignment="1">
      <alignment horizontal="center"/>
    </xf>
    <xf numFmtId="0" fontId="81" fillId="0" borderId="27" xfId="0" applyFont="1" applyBorder="1" applyAlignment="1">
      <alignment horizontal="center"/>
    </xf>
    <xf numFmtId="1" fontId="81" fillId="0" borderId="2" xfId="0" applyNumberFormat="1" applyFont="1" applyBorder="1" applyAlignment="1">
      <alignment horizontal="center"/>
    </xf>
    <xf numFmtId="0" fontId="81" fillId="0" borderId="2" xfId="0" applyFont="1" applyBorder="1" applyAlignment="1">
      <alignment horizontal="center"/>
    </xf>
    <xf numFmtId="0" fontId="26" fillId="0" borderId="12" xfId="0" applyFont="1" applyBorder="1" applyAlignment="1">
      <alignment horizontal="center"/>
    </xf>
    <xf numFmtId="0" fontId="26" fillId="0" borderId="11" xfId="0" applyFont="1" applyBorder="1" applyAlignment="1">
      <alignment horizontal="center"/>
    </xf>
    <xf numFmtId="1" fontId="26" fillId="0" borderId="11" xfId="0" applyNumberFormat="1" applyFont="1" applyBorder="1" applyAlignment="1">
      <alignment horizontal="center" wrapText="1"/>
    </xf>
    <xf numFmtId="2" fontId="33" fillId="0" borderId="15" xfId="1" applyNumberFormat="1" applyFont="1" applyBorder="1" applyAlignment="1">
      <alignment horizontal="center"/>
    </xf>
    <xf numFmtId="0" fontId="26" fillId="0" borderId="0" xfId="0" applyFont="1" applyAlignment="1">
      <alignment horizontal="center"/>
    </xf>
    <xf numFmtId="1" fontId="26" fillId="0" borderId="15" xfId="4" applyNumberFormat="1" applyFont="1" applyBorder="1" applyAlignment="1">
      <alignment horizontal="center"/>
    </xf>
    <xf numFmtId="1" fontId="26" fillId="0" borderId="15" xfId="4" applyNumberFormat="1" applyFont="1" applyBorder="1" applyAlignment="1">
      <alignment horizontal="center" wrapText="1"/>
    </xf>
    <xf numFmtId="0" fontId="1" fillId="0" borderId="0" xfId="1"/>
    <xf numFmtId="0" fontId="5" fillId="3" borderId="0" xfId="1" applyFont="1" applyFill="1" applyAlignment="1">
      <alignment horizontal="left" indent="1"/>
    </xf>
    <xf numFmtId="0" fontId="33" fillId="0" borderId="15" xfId="0" applyFont="1" applyBorder="1" applyAlignment="1">
      <alignment horizontal="center"/>
    </xf>
    <xf numFmtId="9" fontId="5" fillId="3" borderId="0" xfId="13" applyFont="1" applyFill="1"/>
    <xf numFmtId="0" fontId="26" fillId="0" borderId="11" xfId="0" applyFont="1" applyBorder="1" applyAlignment="1">
      <alignment horizontal="center" vertical="center"/>
    </xf>
    <xf numFmtId="0" fontId="26" fillId="0" borderId="11" xfId="0" applyFont="1" applyBorder="1" applyAlignment="1">
      <alignment horizontal="left" vertical="center"/>
    </xf>
    <xf numFmtId="16" fontId="26" fillId="4" borderId="11" xfId="0" applyNumberFormat="1" applyFont="1" applyFill="1" applyBorder="1" applyAlignment="1">
      <alignment horizontal="center"/>
    </xf>
    <xf numFmtId="1" fontId="26" fillId="4" borderId="11" xfId="0" applyNumberFormat="1" applyFont="1" applyFill="1" applyBorder="1" applyAlignment="1">
      <alignment horizontal="center"/>
    </xf>
    <xf numFmtId="0" fontId="93" fillId="15" borderId="0" xfId="0" applyFont="1" applyFill="1"/>
    <xf numFmtId="0" fontId="0" fillId="15" borderId="0" xfId="0" applyFill="1"/>
    <xf numFmtId="0" fontId="2" fillId="0" borderId="8" xfId="0" applyFont="1" applyBorder="1" applyAlignment="1">
      <alignment horizontal="center" vertical="center"/>
    </xf>
    <xf numFmtId="0" fontId="0" fillId="0" borderId="15" xfId="0" applyBorder="1" applyAlignment="1">
      <alignment horizontal="left"/>
    </xf>
    <xf numFmtId="0" fontId="94" fillId="0" borderId="15" xfId="0" applyFont="1" applyBorder="1" applyAlignment="1">
      <alignment horizontal="center" vertical="top"/>
    </xf>
    <xf numFmtId="0" fontId="95" fillId="0" borderId="15" xfId="0" applyFont="1" applyBorder="1" applyAlignment="1">
      <alignment horizontal="center" vertical="top"/>
    </xf>
    <xf numFmtId="0" fontId="95" fillId="0" borderId="15" xfId="0" applyFont="1" applyBorder="1" applyAlignment="1">
      <alignment vertical="top"/>
    </xf>
    <xf numFmtId="0" fontId="1" fillId="0" borderId="15" xfId="0" applyFont="1" applyBorder="1" applyAlignment="1">
      <alignment horizontal="left"/>
    </xf>
    <xf numFmtId="43" fontId="5" fillId="0" borderId="11" xfId="9" applyFont="1" applyBorder="1" applyAlignment="1">
      <alignment horizontal="center"/>
    </xf>
    <xf numFmtId="2" fontId="72" fillId="0" borderId="15" xfId="1" applyNumberFormat="1" applyFont="1" applyBorder="1" applyAlignment="1">
      <alignment horizontal="center"/>
    </xf>
    <xf numFmtId="0" fontId="96" fillId="0" borderId="15" xfId="0" applyFont="1" applyBorder="1" applyAlignment="1">
      <alignment horizontal="center" vertical="top" wrapText="1"/>
    </xf>
    <xf numFmtId="0" fontId="96" fillId="0" borderId="15" xfId="0" applyFont="1" applyBorder="1" applyAlignment="1">
      <alignment horizontal="left" vertical="top" wrapText="1"/>
    </xf>
    <xf numFmtId="16" fontId="2" fillId="0" borderId="28" xfId="0" applyNumberFormat="1" applyFont="1" applyBorder="1" applyAlignment="1">
      <alignment horizontal="center"/>
    </xf>
    <xf numFmtId="16" fontId="2" fillId="0" borderId="15" xfId="0" applyNumberFormat="1" applyFont="1" applyBorder="1" applyAlignment="1">
      <alignment horizontal="center"/>
    </xf>
    <xf numFmtId="0" fontId="0" fillId="4" borderId="15" xfId="0" applyFill="1" applyBorder="1"/>
    <xf numFmtId="0" fontId="1" fillId="0" borderId="16" xfId="4" applyBorder="1" applyAlignment="1">
      <alignment horizontal="center"/>
    </xf>
    <xf numFmtId="0" fontId="1" fillId="0" borderId="15" xfId="1" applyBorder="1" applyAlignment="1">
      <alignment horizontal="center"/>
    </xf>
    <xf numFmtId="0" fontId="1" fillId="4" borderId="15" xfId="4" applyFill="1" applyBorder="1"/>
    <xf numFmtId="16" fontId="2" fillId="0" borderId="15" xfId="4" applyNumberFormat="1" applyFont="1" applyBorder="1" applyAlignment="1">
      <alignment horizontal="center"/>
    </xf>
    <xf numFmtId="0" fontId="1" fillId="0" borderId="15" xfId="4" applyBorder="1" applyAlignment="1">
      <alignment horizontal="center"/>
    </xf>
    <xf numFmtId="1" fontId="2" fillId="0" borderId="15" xfId="4" applyNumberFormat="1" applyFont="1" applyBorder="1" applyAlignment="1">
      <alignment horizontal="center"/>
    </xf>
    <xf numFmtId="1" fontId="2" fillId="0" borderId="15" xfId="4" applyNumberFormat="1" applyFont="1" applyBorder="1" applyAlignment="1">
      <alignment horizontal="center" wrapText="1"/>
    </xf>
    <xf numFmtId="16" fontId="2" fillId="0" borderId="8" xfId="0" applyNumberFormat="1" applyFont="1" applyBorder="1" applyAlignment="1">
      <alignment horizontal="center"/>
    </xf>
    <xf numFmtId="2" fontId="2" fillId="0" borderId="15" xfId="1" applyNumberFormat="1" applyFont="1" applyBorder="1" applyAlignment="1">
      <alignment horizontal="center"/>
    </xf>
    <xf numFmtId="49" fontId="2" fillId="4" borderId="16" xfId="1" applyNumberFormat="1" applyFont="1" applyFill="1" applyBorder="1" applyAlignment="1">
      <alignment horizontal="center"/>
    </xf>
    <xf numFmtId="49" fontId="2" fillId="4" borderId="8" xfId="1" applyNumberFormat="1" applyFont="1" applyFill="1" applyBorder="1" applyAlignment="1">
      <alignment horizontal="center"/>
    </xf>
    <xf numFmtId="49" fontId="37" fillId="4" borderId="15" xfId="1" applyNumberFormat="1" applyFont="1" applyFill="1" applyBorder="1"/>
    <xf numFmtId="0" fontId="0" fillId="4" borderId="15" xfId="0" applyFill="1" applyBorder="1" applyAlignment="1">
      <alignment horizontal="center"/>
    </xf>
    <xf numFmtId="1" fontId="1" fillId="0" borderId="11" xfId="0" applyNumberFormat="1" applyFont="1" applyBorder="1" applyAlignment="1">
      <alignment horizontal="center"/>
    </xf>
    <xf numFmtId="0" fontId="1" fillId="0" borderId="27" xfId="0" applyFont="1" applyBorder="1" applyAlignment="1">
      <alignment horizontal="center"/>
    </xf>
    <xf numFmtId="0" fontId="93" fillId="0" borderId="15" xfId="0" applyFont="1" applyBorder="1" applyAlignment="1">
      <alignment horizontal="center"/>
    </xf>
    <xf numFmtId="0" fontId="1" fillId="0" borderId="15" xfId="0" applyFont="1" applyBorder="1" applyAlignment="1">
      <alignment horizontal="center"/>
    </xf>
    <xf numFmtId="1" fontId="1" fillId="0" borderId="15" xfId="0" applyNumberFormat="1" applyFont="1" applyBorder="1" applyAlignment="1">
      <alignment horizontal="center"/>
    </xf>
    <xf numFmtId="1" fontId="1" fillId="0" borderId="2" xfId="0" applyNumberFormat="1" applyFont="1" applyBorder="1" applyAlignment="1">
      <alignment horizontal="center"/>
    </xf>
    <xf numFmtId="0" fontId="1" fillId="0" borderId="2" xfId="0" applyFont="1" applyBorder="1" applyAlignment="1">
      <alignment horizontal="center"/>
    </xf>
    <xf numFmtId="0" fontId="2" fillId="0" borderId="6" xfId="0" applyFont="1" applyBorder="1" applyAlignment="1">
      <alignment horizontal="left"/>
    </xf>
    <xf numFmtId="0" fontId="26" fillId="3" borderId="15" xfId="2" applyFont="1" applyFill="1" applyBorder="1" applyAlignment="1">
      <alignment horizontal="left"/>
    </xf>
    <xf numFmtId="0" fontId="33" fillId="0" borderId="4" xfId="1" applyFont="1" applyBorder="1" applyAlignment="1">
      <alignment horizontal="right"/>
    </xf>
    <xf numFmtId="0" fontId="33" fillId="0" borderId="3" xfId="1" applyFont="1" applyBorder="1" applyAlignment="1">
      <alignment horizontal="right"/>
    </xf>
    <xf numFmtId="0" fontId="33" fillId="0" borderId="2" xfId="1" applyFont="1" applyBorder="1" applyAlignment="1">
      <alignment horizontal="right"/>
    </xf>
    <xf numFmtId="0" fontId="26" fillId="0" borderId="2" xfId="1" applyFont="1" applyBorder="1" applyAlignment="1">
      <alignment horizontal="right"/>
    </xf>
    <xf numFmtId="164" fontId="26" fillId="0" borderId="9" xfId="1" applyNumberFormat="1" applyFont="1" applyBorder="1" applyAlignment="1">
      <alignment horizontal="center"/>
    </xf>
    <xf numFmtId="164" fontId="26" fillId="0" borderId="5" xfId="1" applyNumberFormat="1" applyFont="1" applyBorder="1" applyAlignment="1">
      <alignment horizontal="center"/>
    </xf>
    <xf numFmtId="0" fontId="33" fillId="2" borderId="42" xfId="1" applyFont="1" applyFill="1" applyBorder="1" applyAlignment="1">
      <alignment horizontal="center"/>
    </xf>
    <xf numFmtId="0" fontId="33" fillId="2" borderId="37" xfId="1" applyFont="1" applyFill="1" applyBorder="1" applyAlignment="1">
      <alignment horizontal="center"/>
    </xf>
    <xf numFmtId="0" fontId="33" fillId="2" borderId="38" xfId="1" applyFont="1" applyFill="1" applyBorder="1" applyAlignment="1">
      <alignment horizontal="center"/>
    </xf>
    <xf numFmtId="0" fontId="33" fillId="0" borderId="7" xfId="1" applyFont="1" applyBorder="1" applyAlignment="1">
      <alignment horizontal="right"/>
    </xf>
    <xf numFmtId="0" fontId="33" fillId="0" borderId="6" xfId="1" applyFont="1" applyBorder="1" applyAlignment="1">
      <alignment horizontal="right"/>
    </xf>
    <xf numFmtId="0" fontId="33" fillId="0" borderId="8" xfId="1" applyFont="1" applyBorder="1" applyAlignment="1">
      <alignment horizontal="right"/>
    </xf>
    <xf numFmtId="0" fontId="26" fillId="0" borderId="15" xfId="1" applyFont="1" applyBorder="1" applyAlignment="1">
      <alignment horizontal="right"/>
    </xf>
    <xf numFmtId="164" fontId="26" fillId="0" borderId="9" xfId="1" applyNumberFormat="1" applyFont="1" applyBorder="1" applyAlignment="1">
      <alignment horizontal="right" wrapText="1"/>
    </xf>
    <xf numFmtId="164" fontId="26" fillId="0" borderId="8" xfId="1" applyNumberFormat="1" applyFont="1" applyBorder="1" applyAlignment="1">
      <alignment horizontal="right" wrapText="1"/>
    </xf>
    <xf numFmtId="164" fontId="26" fillId="0" borderId="9" xfId="0" applyNumberFormat="1" applyFont="1" applyBorder="1" applyAlignment="1">
      <alignment horizontal="center" wrapText="1"/>
    </xf>
    <xf numFmtId="164" fontId="26" fillId="0" borderId="5" xfId="0" applyNumberFormat="1" applyFont="1" applyBorder="1" applyAlignment="1">
      <alignment horizontal="center" wrapText="1"/>
    </xf>
    <xf numFmtId="0" fontId="33" fillId="0" borderId="39" xfId="1" applyFont="1" applyBorder="1" applyAlignment="1">
      <alignment horizontal="right"/>
    </xf>
    <xf numFmtId="0" fontId="33" fillId="0" borderId="40" xfId="1" applyFont="1" applyBorder="1" applyAlignment="1">
      <alignment horizontal="right"/>
    </xf>
    <xf numFmtId="0" fontId="33" fillId="0" borderId="12" xfId="1" applyFont="1" applyBorder="1" applyAlignment="1">
      <alignment horizontal="right"/>
    </xf>
    <xf numFmtId="164" fontId="26" fillId="0" borderId="11" xfId="1" applyNumberFormat="1" applyFont="1" applyBorder="1" applyAlignment="1">
      <alignment horizontal="right"/>
    </xf>
    <xf numFmtId="0" fontId="26" fillId="3" borderId="27" xfId="1" applyFont="1" applyFill="1" applyBorder="1" applyAlignment="1">
      <alignment horizontal="center"/>
    </xf>
    <xf numFmtId="0" fontId="26" fillId="3" borderId="43" xfId="1" applyFont="1" applyFill="1" applyBorder="1" applyAlignment="1">
      <alignment horizontal="center"/>
    </xf>
    <xf numFmtId="0" fontId="24" fillId="3" borderId="0" xfId="2" applyFont="1" applyFill="1" applyAlignment="1">
      <alignment horizontal="right"/>
    </xf>
    <xf numFmtId="0" fontId="11" fillId="3" borderId="30" xfId="2" applyFont="1" applyFill="1" applyBorder="1" applyAlignment="1">
      <alignment horizontal="center"/>
    </xf>
    <xf numFmtId="0" fontId="24" fillId="3" borderId="0" xfId="2" applyFont="1" applyFill="1"/>
    <xf numFmtId="0" fontId="9" fillId="2" borderId="41"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41"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18" xfId="1" applyFont="1" applyFill="1" applyBorder="1" applyAlignment="1">
      <alignment horizontal="center" vertical="center"/>
    </xf>
    <xf numFmtId="0" fontId="9" fillId="2" borderId="2" xfId="1" applyFont="1" applyFill="1" applyBorder="1" applyAlignment="1">
      <alignment horizontal="center" vertical="center"/>
    </xf>
    <xf numFmtId="14" fontId="5" fillId="3" borderId="33" xfId="2" applyNumberFormat="1" applyFont="1" applyFill="1" applyBorder="1" applyAlignment="1">
      <alignment horizontal="center" vertical="center" wrapText="1"/>
    </xf>
    <xf numFmtId="14" fontId="5" fillId="3" borderId="31" xfId="2" applyNumberFormat="1" applyFont="1" applyFill="1" applyBorder="1" applyAlignment="1">
      <alignment horizontal="center" vertical="center" wrapText="1"/>
    </xf>
    <xf numFmtId="14" fontId="5" fillId="3" borderId="10" xfId="2" applyNumberFormat="1" applyFont="1" applyFill="1" applyBorder="1" applyAlignment="1">
      <alignment horizontal="center" vertical="center" wrapText="1"/>
    </xf>
    <xf numFmtId="0" fontId="5" fillId="3" borderId="25" xfId="2" applyFont="1" applyFill="1" applyBorder="1" applyAlignment="1">
      <alignment horizontal="left"/>
    </xf>
    <xf numFmtId="0" fontId="5" fillId="3" borderId="26" xfId="2" applyFont="1" applyFill="1" applyBorder="1" applyAlignment="1">
      <alignment horizontal="left"/>
    </xf>
    <xf numFmtId="0" fontId="5" fillId="3" borderId="19" xfId="2" applyFont="1" applyFill="1" applyBorder="1" applyAlignment="1">
      <alignment horizontal="left"/>
    </xf>
    <xf numFmtId="0" fontId="5" fillId="3" borderId="9" xfId="2" applyFont="1" applyFill="1" applyBorder="1" applyAlignment="1">
      <alignment horizontal="left"/>
    </xf>
    <xf numFmtId="0" fontId="5" fillId="3" borderId="6" xfId="2" applyFont="1" applyFill="1" applyBorder="1" applyAlignment="1">
      <alignment horizontal="left"/>
    </xf>
    <xf numFmtId="0" fontId="5" fillId="3" borderId="8" xfId="2" applyFont="1" applyFill="1" applyBorder="1" applyAlignment="1">
      <alignment horizontal="left"/>
    </xf>
    <xf numFmtId="0" fontId="5" fillId="3" borderId="36" xfId="2" applyFont="1" applyFill="1" applyBorder="1" applyAlignment="1">
      <alignment horizontal="center"/>
    </xf>
    <xf numFmtId="0" fontId="5" fillId="3" borderId="35" xfId="2" applyFont="1" applyFill="1" applyBorder="1" applyAlignment="1">
      <alignment horizontal="center"/>
    </xf>
    <xf numFmtId="0" fontId="5" fillId="3" borderId="21" xfId="2" applyFont="1" applyFill="1" applyBorder="1" applyAlignment="1">
      <alignment horizontal="center"/>
    </xf>
    <xf numFmtId="0" fontId="5" fillId="3" borderId="0" xfId="2" applyFont="1" applyFill="1" applyAlignment="1">
      <alignment horizontal="center"/>
    </xf>
    <xf numFmtId="0" fontId="5" fillId="3" borderId="39" xfId="2" applyFont="1" applyFill="1" applyBorder="1" applyAlignment="1">
      <alignment horizontal="center"/>
    </xf>
    <xf numFmtId="0" fontId="5" fillId="3" borderId="40" xfId="2" applyFont="1" applyFill="1" applyBorder="1" applyAlignment="1">
      <alignment horizontal="center"/>
    </xf>
    <xf numFmtId="0" fontId="7" fillId="3" borderId="18" xfId="2" applyFont="1" applyFill="1" applyBorder="1" applyAlignment="1">
      <alignment horizontal="center"/>
    </xf>
    <xf numFmtId="0" fontId="7" fillId="3" borderId="23" xfId="2" applyFont="1" applyFill="1" applyBorder="1" applyAlignment="1">
      <alignment horizontal="center"/>
    </xf>
    <xf numFmtId="0" fontId="7" fillId="3" borderId="24" xfId="2" applyFont="1" applyFill="1" applyBorder="1" applyAlignment="1">
      <alignment horizontal="center"/>
    </xf>
    <xf numFmtId="0" fontId="7" fillId="3" borderId="3" xfId="2" applyFont="1" applyFill="1" applyBorder="1" applyAlignment="1">
      <alignment horizontal="center"/>
    </xf>
    <xf numFmtId="0" fontId="34" fillId="5" borderId="42" xfId="2" applyFont="1" applyFill="1" applyBorder="1" applyAlignment="1">
      <alignment horizontal="center" vertical="center" wrapText="1"/>
    </xf>
    <xf numFmtId="0" fontId="34" fillId="5" borderId="37" xfId="2" applyFont="1" applyFill="1" applyBorder="1" applyAlignment="1">
      <alignment horizontal="center" vertical="center" wrapText="1"/>
    </xf>
    <xf numFmtId="0" fontId="34" fillId="5" borderId="38" xfId="2" applyFont="1" applyFill="1" applyBorder="1" applyAlignment="1">
      <alignment horizontal="center" vertical="center" wrapText="1"/>
    </xf>
    <xf numFmtId="0" fontId="9" fillId="3" borderId="34" xfId="2" applyFont="1" applyFill="1" applyBorder="1" applyAlignment="1">
      <alignment horizontal="right" vertical="top" wrapText="1"/>
    </xf>
    <xf numFmtId="0" fontId="9" fillId="3" borderId="32" xfId="2" applyFont="1" applyFill="1" applyBorder="1" applyAlignment="1">
      <alignment horizontal="right" vertical="top" wrapText="1"/>
    </xf>
    <xf numFmtId="0" fontId="9" fillId="3" borderId="29" xfId="2" applyFont="1" applyFill="1" applyBorder="1" applyAlignment="1">
      <alignment horizontal="right" vertical="top" wrapText="1"/>
    </xf>
    <xf numFmtId="14" fontId="10" fillId="3" borderId="33" xfId="2" applyNumberFormat="1" applyFont="1" applyFill="1" applyBorder="1" applyAlignment="1">
      <alignment horizontal="center" vertical="center" wrapText="1"/>
    </xf>
    <xf numFmtId="14" fontId="10" fillId="3" borderId="31" xfId="2" applyNumberFormat="1" applyFont="1" applyFill="1" applyBorder="1" applyAlignment="1">
      <alignment horizontal="center" vertical="center" wrapText="1"/>
    </xf>
    <xf numFmtId="14" fontId="10" fillId="3" borderId="10" xfId="2" applyNumberFormat="1" applyFont="1" applyFill="1" applyBorder="1" applyAlignment="1">
      <alignment horizontal="center" vertical="center" wrapText="1"/>
    </xf>
    <xf numFmtId="0" fontId="10" fillId="3" borderId="25" xfId="2" applyFont="1" applyFill="1" applyBorder="1" applyAlignment="1">
      <alignment horizontal="left"/>
    </xf>
    <xf numFmtId="0" fontId="10" fillId="3" borderId="26" xfId="2" applyFont="1" applyFill="1" applyBorder="1" applyAlignment="1">
      <alignment horizontal="left"/>
    </xf>
    <xf numFmtId="0" fontId="10" fillId="3" borderId="19" xfId="2" applyFont="1" applyFill="1" applyBorder="1" applyAlignment="1">
      <alignment horizontal="left"/>
    </xf>
    <xf numFmtId="0" fontId="10" fillId="3" borderId="9" xfId="2" applyFont="1" applyFill="1" applyBorder="1" applyAlignment="1">
      <alignment horizontal="left"/>
    </xf>
    <xf numFmtId="0" fontId="10" fillId="3" borderId="6" xfId="2" applyFont="1" applyFill="1" applyBorder="1" applyAlignment="1">
      <alignment horizontal="left"/>
    </xf>
    <xf numFmtId="0" fontId="10" fillId="3" borderId="8" xfId="2" applyFont="1" applyFill="1" applyBorder="1" applyAlignment="1">
      <alignment horizontal="left"/>
    </xf>
    <xf numFmtId="0" fontId="10" fillId="3" borderId="36" xfId="2" applyFont="1" applyFill="1" applyBorder="1" applyAlignment="1">
      <alignment horizontal="center"/>
    </xf>
    <xf numFmtId="0" fontId="10" fillId="3" borderId="35" xfId="2" applyFont="1" applyFill="1" applyBorder="1" applyAlignment="1">
      <alignment horizontal="center"/>
    </xf>
    <xf numFmtId="0" fontId="10" fillId="3" borderId="21" xfId="2" applyFont="1" applyFill="1" applyBorder="1" applyAlignment="1">
      <alignment horizontal="center"/>
    </xf>
    <xf numFmtId="0" fontId="10" fillId="3" borderId="0" xfId="2" applyFont="1" applyFill="1" applyAlignment="1">
      <alignment horizontal="center"/>
    </xf>
    <xf numFmtId="0" fontId="10" fillId="3" borderId="39" xfId="2" applyFont="1" applyFill="1" applyBorder="1" applyAlignment="1">
      <alignment horizontal="center"/>
    </xf>
    <xf numFmtId="0" fontId="10" fillId="3" borderId="40" xfId="2" applyFont="1" applyFill="1" applyBorder="1" applyAlignment="1">
      <alignment horizontal="center"/>
    </xf>
    <xf numFmtId="0" fontId="7" fillId="3" borderId="28" xfId="2" applyFont="1" applyFill="1" applyBorder="1" applyAlignment="1">
      <alignment horizontal="center"/>
    </xf>
    <xf numFmtId="0" fontId="16" fillId="5" borderId="42" xfId="2" applyFont="1" applyFill="1" applyBorder="1" applyAlignment="1">
      <alignment horizontal="center" vertical="center" wrapText="1"/>
    </xf>
    <xf numFmtId="0" fontId="16" fillId="5" borderId="37" xfId="2" applyFont="1" applyFill="1" applyBorder="1" applyAlignment="1">
      <alignment horizontal="center" vertical="center" wrapText="1"/>
    </xf>
    <xf numFmtId="0" fontId="16" fillId="5" borderId="38" xfId="2" applyFont="1" applyFill="1" applyBorder="1" applyAlignment="1">
      <alignment horizontal="center" vertical="center" wrapText="1"/>
    </xf>
    <xf numFmtId="0" fontId="7" fillId="3" borderId="34" xfId="2" applyFont="1" applyFill="1" applyBorder="1" applyAlignment="1">
      <alignment horizontal="right" vertical="top" wrapText="1"/>
    </xf>
    <xf numFmtId="0" fontId="7" fillId="3" borderId="32" xfId="2" applyFont="1" applyFill="1" applyBorder="1" applyAlignment="1">
      <alignment horizontal="right" vertical="top" wrapText="1"/>
    </xf>
    <xf numFmtId="0" fontId="7" fillId="3" borderId="29" xfId="2" applyFont="1" applyFill="1" applyBorder="1" applyAlignment="1">
      <alignment horizontal="right" vertical="top" wrapText="1"/>
    </xf>
    <xf numFmtId="0" fontId="10" fillId="3" borderId="27" xfId="1" applyFont="1" applyFill="1" applyBorder="1" applyAlignment="1">
      <alignment horizontal="center"/>
    </xf>
    <xf numFmtId="0" fontId="10" fillId="3" borderId="43" xfId="1" applyFont="1" applyFill="1" applyBorder="1" applyAlignment="1">
      <alignment horizontal="center"/>
    </xf>
    <xf numFmtId="0" fontId="8" fillId="3" borderId="0" xfId="2" applyFont="1" applyFill="1"/>
    <xf numFmtId="0" fontId="7" fillId="2" borderId="41" xfId="1" applyFont="1" applyFill="1" applyBorder="1" applyAlignment="1">
      <alignment horizontal="center" vertical="center"/>
    </xf>
    <xf numFmtId="0" fontId="7" fillId="2" borderId="47" xfId="1" applyFont="1" applyFill="1" applyBorder="1" applyAlignment="1">
      <alignment horizontal="center" vertical="center"/>
    </xf>
    <xf numFmtId="0" fontId="7" fillId="2" borderId="41" xfId="1" applyFont="1" applyFill="1" applyBorder="1" applyAlignment="1">
      <alignment horizontal="center" vertical="center" wrapText="1"/>
    </xf>
    <xf numFmtId="0" fontId="7" fillId="2" borderId="47" xfId="1" applyFont="1" applyFill="1" applyBorder="1" applyAlignment="1">
      <alignment horizontal="center" vertical="center" wrapText="1"/>
    </xf>
    <xf numFmtId="0" fontId="7" fillId="2" borderId="18" xfId="1" applyFont="1" applyFill="1" applyBorder="1" applyAlignment="1">
      <alignment horizontal="center" vertical="center"/>
    </xf>
    <xf numFmtId="0" fontId="7" fillId="2" borderId="28" xfId="1" applyFont="1" applyFill="1" applyBorder="1" applyAlignment="1">
      <alignment horizontal="center" vertical="center"/>
    </xf>
    <xf numFmtId="0" fontId="8" fillId="3" borderId="0" xfId="2" applyFont="1" applyFill="1" applyAlignment="1">
      <alignment horizontal="right"/>
    </xf>
    <xf numFmtId="0" fontId="7" fillId="0" borderId="39" xfId="1" applyFont="1" applyBorder="1" applyAlignment="1">
      <alignment horizontal="right"/>
    </xf>
    <xf numFmtId="0" fontId="7" fillId="0" borderId="40" xfId="1" applyFont="1" applyBorder="1" applyAlignment="1">
      <alignment horizontal="right"/>
    </xf>
    <xf numFmtId="0" fontId="7" fillId="0" borderId="12" xfId="1" applyFont="1" applyBorder="1" applyAlignment="1">
      <alignment horizontal="right"/>
    </xf>
    <xf numFmtId="164" fontId="10" fillId="0" borderId="11" xfId="1" applyNumberFormat="1" applyFont="1" applyBorder="1" applyAlignment="1">
      <alignment horizontal="right"/>
    </xf>
    <xf numFmtId="0" fontId="7" fillId="0" borderId="7" xfId="1" applyFont="1" applyBorder="1" applyAlignment="1">
      <alignment horizontal="right"/>
    </xf>
    <xf numFmtId="0" fontId="7" fillId="0" borderId="6" xfId="1" applyFont="1" applyBorder="1" applyAlignment="1">
      <alignment horizontal="right"/>
    </xf>
    <xf numFmtId="0" fontId="7" fillId="0" borderId="8" xfId="1" applyFont="1" applyBorder="1" applyAlignment="1">
      <alignment horizontal="right"/>
    </xf>
    <xf numFmtId="0" fontId="10" fillId="0" borderId="15" xfId="1" applyFont="1" applyBorder="1" applyAlignment="1">
      <alignment horizontal="right"/>
    </xf>
    <xf numFmtId="164" fontId="10" fillId="0" borderId="9" xfId="1" applyNumberFormat="1" applyFont="1" applyBorder="1" applyAlignment="1">
      <alignment horizontal="center"/>
    </xf>
    <xf numFmtId="164" fontId="10" fillId="0" borderId="5" xfId="1" applyNumberFormat="1" applyFont="1" applyBorder="1" applyAlignment="1">
      <alignment horizontal="center"/>
    </xf>
    <xf numFmtId="164" fontId="10" fillId="0" borderId="9" xfId="1" applyNumberFormat="1" applyFont="1" applyBorder="1" applyAlignment="1">
      <alignment horizontal="right" wrapText="1"/>
    </xf>
    <xf numFmtId="164" fontId="10" fillId="0" borderId="8" xfId="1" applyNumberFormat="1" applyFont="1" applyBorder="1" applyAlignment="1">
      <alignment horizontal="right" wrapText="1"/>
    </xf>
    <xf numFmtId="0" fontId="7" fillId="0" borderId="4" xfId="1" applyFont="1" applyBorder="1" applyAlignment="1">
      <alignment horizontal="right"/>
    </xf>
    <xf numFmtId="0" fontId="7" fillId="0" borderId="3" xfId="1" applyFont="1" applyBorder="1" applyAlignment="1">
      <alignment horizontal="right"/>
    </xf>
    <xf numFmtId="0" fontId="7" fillId="0" borderId="2" xfId="1" applyFont="1" applyBorder="1" applyAlignment="1">
      <alignment horizontal="right"/>
    </xf>
    <xf numFmtId="0" fontId="7" fillId="2" borderId="42" xfId="1" applyFont="1" applyFill="1" applyBorder="1" applyAlignment="1">
      <alignment horizontal="left"/>
    </xf>
    <xf numFmtId="0" fontId="7" fillId="2" borderId="37" xfId="1" applyFont="1" applyFill="1" applyBorder="1" applyAlignment="1">
      <alignment horizontal="left"/>
    </xf>
    <xf numFmtId="0" fontId="7" fillId="2" borderId="38" xfId="1" applyFont="1" applyFill="1" applyBorder="1" applyAlignment="1">
      <alignment horizontal="left"/>
    </xf>
    <xf numFmtId="0" fontId="26" fillId="0" borderId="13" xfId="0" applyFont="1" applyBorder="1" applyAlignment="1">
      <alignment horizontal="left"/>
    </xf>
    <xf numFmtId="0" fontId="26" fillId="0" borderId="12" xfId="0" applyFont="1" applyBorder="1" applyAlignment="1">
      <alignment horizontal="left"/>
    </xf>
    <xf numFmtId="0" fontId="26" fillId="0" borderId="11" xfId="0" applyFont="1" applyBorder="1" applyAlignment="1">
      <alignment horizontal="left"/>
    </xf>
    <xf numFmtId="0" fontId="26" fillId="0" borderId="10" xfId="0" applyFont="1" applyBorder="1" applyAlignment="1">
      <alignment horizontal="left"/>
    </xf>
    <xf numFmtId="0" fontId="5" fillId="3" borderId="45" xfId="2" applyFont="1" applyFill="1" applyBorder="1" applyAlignment="1">
      <alignment horizontal="left"/>
    </xf>
    <xf numFmtId="0" fontId="5" fillId="3" borderId="0" xfId="2" applyFont="1" applyFill="1" applyAlignment="1">
      <alignment horizontal="left"/>
    </xf>
    <xf numFmtId="0" fontId="10" fillId="0" borderId="2" xfId="1" applyFont="1" applyBorder="1" applyAlignment="1">
      <alignment horizontal="right"/>
    </xf>
    <xf numFmtId="164" fontId="10" fillId="0" borderId="23" xfId="1" applyNumberFormat="1" applyFont="1" applyBorder="1" applyAlignment="1">
      <alignment horizontal="center"/>
    </xf>
    <xf numFmtId="164" fontId="10" fillId="0" borderId="22" xfId="1" applyNumberFormat="1" applyFont="1" applyBorder="1" applyAlignment="1">
      <alignment horizontal="center"/>
    </xf>
    <xf numFmtId="0" fontId="26" fillId="0" borderId="13" xfId="0" applyFont="1" applyBorder="1" applyAlignment="1">
      <alignment horizontal="left" wrapText="1"/>
    </xf>
    <xf numFmtId="0" fontId="26" fillId="0" borderId="12" xfId="0" applyFont="1" applyBorder="1" applyAlignment="1">
      <alignment horizontal="left" wrapText="1"/>
    </xf>
    <xf numFmtId="0" fontId="26" fillId="0" borderId="11" xfId="0" applyFont="1" applyBorder="1" applyAlignment="1">
      <alignment horizontal="left" wrapText="1"/>
    </xf>
    <xf numFmtId="0" fontId="26" fillId="0" borderId="10" xfId="0" applyFont="1" applyBorder="1" applyAlignment="1">
      <alignment horizontal="left" wrapText="1"/>
    </xf>
    <xf numFmtId="0" fontId="26" fillId="0" borderId="7" xfId="0" applyFont="1" applyBorder="1" applyAlignment="1">
      <alignment horizontal="left" wrapText="1"/>
    </xf>
    <xf numFmtId="0" fontId="26" fillId="0" borderId="6" xfId="0" applyFont="1" applyBorder="1" applyAlignment="1">
      <alignment horizontal="left" wrapText="1"/>
    </xf>
    <xf numFmtId="0" fontId="26" fillId="0" borderId="5" xfId="0" applyFont="1" applyBorder="1" applyAlignment="1">
      <alignment horizontal="left" wrapText="1"/>
    </xf>
    <xf numFmtId="0" fontId="21" fillId="0" borderId="13" xfId="0" applyFont="1" applyBorder="1" applyAlignment="1">
      <alignment horizontal="left"/>
    </xf>
    <xf numFmtId="0" fontId="21" fillId="0" borderId="12" xfId="0" applyFont="1" applyBorder="1" applyAlignment="1">
      <alignment horizontal="left"/>
    </xf>
    <xf numFmtId="0" fontId="21" fillId="0" borderId="11" xfId="0" applyFont="1" applyBorder="1" applyAlignment="1">
      <alignment horizontal="left"/>
    </xf>
    <xf numFmtId="0" fontId="21" fillId="0" borderId="10" xfId="0" applyFont="1" applyBorder="1" applyAlignment="1">
      <alignment horizontal="left"/>
    </xf>
    <xf numFmtId="0" fontId="10" fillId="0" borderId="7" xfId="0" applyFont="1" applyBorder="1" applyAlignment="1">
      <alignment horizontal="left"/>
    </xf>
    <xf numFmtId="0" fontId="10" fillId="0" borderId="6" xfId="0" applyFont="1" applyBorder="1" applyAlignment="1">
      <alignment horizontal="left"/>
    </xf>
    <xf numFmtId="0" fontId="10" fillId="0" borderId="5" xfId="0" applyFont="1" applyBorder="1" applyAlignment="1">
      <alignment horizontal="left"/>
    </xf>
    <xf numFmtId="0" fontId="10" fillId="0" borderId="46" xfId="1" applyFont="1" applyBorder="1" applyAlignment="1">
      <alignment horizontal="left"/>
    </xf>
    <xf numFmtId="0" fontId="10" fillId="0" borderId="24" xfId="1" applyFont="1" applyBorder="1" applyAlignment="1">
      <alignment horizontal="left"/>
    </xf>
    <xf numFmtId="0" fontId="10" fillId="0" borderId="22" xfId="1" applyFont="1" applyBorder="1" applyAlignment="1">
      <alignment horizontal="left"/>
    </xf>
    <xf numFmtId="0" fontId="9" fillId="6" borderId="44" xfId="2" applyFont="1" applyFill="1" applyBorder="1" applyAlignment="1">
      <alignment horizontal="center"/>
    </xf>
    <xf numFmtId="0" fontId="9" fillId="6" borderId="35" xfId="2" applyFont="1" applyFill="1" applyBorder="1" applyAlignment="1">
      <alignment horizontal="center"/>
    </xf>
    <xf numFmtId="0" fontId="71" fillId="3" borderId="30" xfId="2" applyFont="1" applyFill="1" applyBorder="1" applyAlignment="1">
      <alignment horizontal="center"/>
    </xf>
    <xf numFmtId="0" fontId="9" fillId="0" borderId="39" xfId="1" applyFont="1" applyBorder="1" applyAlignment="1">
      <alignment horizontal="right"/>
    </xf>
    <xf numFmtId="0" fontId="9" fillId="0" borderId="40" xfId="1" applyFont="1" applyBorder="1" applyAlignment="1">
      <alignment horizontal="right"/>
    </xf>
    <xf numFmtId="0" fontId="9" fillId="0" borderId="12" xfId="1" applyFont="1" applyBorder="1" applyAlignment="1">
      <alignment horizontal="right"/>
    </xf>
    <xf numFmtId="164" fontId="5" fillId="0" borderId="11" xfId="1" applyNumberFormat="1" applyFont="1" applyBorder="1" applyAlignment="1">
      <alignment horizontal="right"/>
    </xf>
    <xf numFmtId="0" fontId="5" fillId="3" borderId="27" xfId="1" applyFont="1" applyFill="1" applyBorder="1" applyAlignment="1">
      <alignment horizontal="center"/>
    </xf>
    <xf numFmtId="0" fontId="5" fillId="3" borderId="43" xfId="1" applyFont="1" applyFill="1" applyBorder="1" applyAlignment="1">
      <alignment horizontal="center"/>
    </xf>
    <xf numFmtId="0" fontId="9" fillId="0" borderId="7" xfId="1" applyFont="1" applyBorder="1" applyAlignment="1">
      <alignment horizontal="right"/>
    </xf>
    <xf numFmtId="0" fontId="9" fillId="0" borderId="6" xfId="1" applyFont="1" applyBorder="1" applyAlignment="1">
      <alignment horizontal="right"/>
    </xf>
    <xf numFmtId="0" fontId="9" fillId="0" borderId="8" xfId="1" applyFont="1" applyBorder="1" applyAlignment="1">
      <alignment horizontal="right"/>
    </xf>
    <xf numFmtId="0" fontId="5" fillId="0" borderId="15" xfId="1" applyFont="1" applyBorder="1" applyAlignment="1">
      <alignment horizontal="right"/>
    </xf>
    <xf numFmtId="164" fontId="5" fillId="0" borderId="9" xfId="1" applyNumberFormat="1" applyFont="1" applyBorder="1" applyAlignment="1">
      <alignment horizontal="center"/>
    </xf>
    <xf numFmtId="164" fontId="5" fillId="0" borderId="5" xfId="1" applyNumberFormat="1" applyFont="1" applyBorder="1" applyAlignment="1">
      <alignment horizontal="center"/>
    </xf>
    <xf numFmtId="164" fontId="5" fillId="0" borderId="9" xfId="1" applyNumberFormat="1" applyFont="1" applyBorder="1" applyAlignment="1">
      <alignment horizontal="right" wrapText="1"/>
    </xf>
    <xf numFmtId="164" fontId="5" fillId="0" borderId="8" xfId="1" applyNumberFormat="1" applyFont="1" applyBorder="1" applyAlignment="1">
      <alignment horizontal="right" wrapText="1"/>
    </xf>
    <xf numFmtId="164" fontId="5" fillId="0" borderId="9" xfId="0" applyNumberFormat="1" applyFont="1" applyBorder="1" applyAlignment="1">
      <alignment horizontal="center" wrapText="1"/>
    </xf>
    <xf numFmtId="164" fontId="5" fillId="0" borderId="5" xfId="0" applyNumberFormat="1" applyFont="1" applyBorder="1" applyAlignment="1">
      <alignment horizontal="center" wrapText="1"/>
    </xf>
    <xf numFmtId="0" fontId="5" fillId="0" borderId="9" xfId="0" applyFont="1" applyBorder="1" applyAlignment="1">
      <alignment horizontal="left" wrapText="1"/>
    </xf>
    <xf numFmtId="0" fontId="5" fillId="0" borderId="6" xfId="0" applyFont="1" applyBorder="1" applyAlignment="1">
      <alignment horizontal="left" wrapText="1"/>
    </xf>
    <xf numFmtId="0" fontId="5" fillId="0" borderId="8" xfId="0" applyFont="1" applyBorder="1" applyAlignment="1">
      <alignment horizontal="left" wrapText="1"/>
    </xf>
    <xf numFmtId="0" fontId="9" fillId="0" borderId="4" xfId="1" applyFont="1" applyBorder="1" applyAlignment="1">
      <alignment horizontal="right"/>
    </xf>
    <xf numFmtId="0" fontId="9" fillId="0" borderId="3" xfId="1" applyFont="1" applyBorder="1" applyAlignment="1">
      <alignment horizontal="right"/>
    </xf>
    <xf numFmtId="0" fontId="9" fillId="0" borderId="2" xfId="1" applyFont="1" applyBorder="1" applyAlignment="1">
      <alignment horizontal="right"/>
    </xf>
    <xf numFmtId="0" fontId="5" fillId="0" borderId="2" xfId="1" applyFont="1" applyBorder="1" applyAlignment="1">
      <alignment horizontal="right"/>
    </xf>
    <xf numFmtId="0" fontId="9" fillId="2" borderId="42" xfId="1" applyFont="1" applyFill="1" applyBorder="1" applyAlignment="1">
      <alignment horizontal="left"/>
    </xf>
    <xf numFmtId="0" fontId="9" fillId="2" borderId="37" xfId="1" applyFont="1" applyFill="1" applyBorder="1" applyAlignment="1">
      <alignment horizontal="left"/>
    </xf>
    <xf numFmtId="0" fontId="9" fillId="2" borderId="38" xfId="1" applyFont="1" applyFill="1" applyBorder="1" applyAlignment="1">
      <alignment horizontal="left"/>
    </xf>
    <xf numFmtId="0" fontId="5" fillId="0" borderId="61" xfId="6" applyFont="1" applyBorder="1" applyAlignment="1">
      <alignment horizontal="left"/>
    </xf>
    <xf numFmtId="0" fontId="5" fillId="0" borderId="26" xfId="6" applyFont="1" applyBorder="1" applyAlignment="1">
      <alignment horizontal="left"/>
    </xf>
    <xf numFmtId="0" fontId="5" fillId="0" borderId="62" xfId="6" applyFont="1" applyBorder="1" applyAlignment="1">
      <alignment horizontal="left"/>
    </xf>
    <xf numFmtId="0" fontId="5" fillId="0" borderId="7" xfId="6" applyFont="1" applyBorder="1" applyAlignment="1">
      <alignment horizontal="left"/>
    </xf>
    <xf numFmtId="0" fontId="5" fillId="0" borderId="6" xfId="6" applyFont="1" applyBorder="1" applyAlignment="1">
      <alignment horizontal="left"/>
    </xf>
    <xf numFmtId="0" fontId="5" fillId="0" borderId="5" xfId="6" applyFont="1" applyBorder="1" applyAlignment="1">
      <alignment horizontal="left"/>
    </xf>
    <xf numFmtId="0" fontId="5" fillId="0" borderId="46" xfId="6" applyFont="1" applyBorder="1" applyAlignment="1">
      <alignment horizontal="left"/>
    </xf>
    <xf numFmtId="0" fontId="5" fillId="0" borderId="24" xfId="6" applyFont="1" applyBorder="1" applyAlignment="1">
      <alignment horizontal="left"/>
    </xf>
    <xf numFmtId="0" fontId="5" fillId="0" borderId="22" xfId="6" applyFont="1" applyBorder="1" applyAlignment="1">
      <alignment horizontal="left"/>
    </xf>
    <xf numFmtId="0" fontId="14" fillId="0" borderId="25" xfId="1" applyFont="1" applyBorder="1" applyAlignment="1">
      <alignment horizontal="left" wrapText="1"/>
    </xf>
    <xf numFmtId="0" fontId="77" fillId="0" borderId="26" xfId="1" applyFont="1" applyBorder="1" applyAlignment="1">
      <alignment horizontal="left" wrapText="1"/>
    </xf>
    <xf numFmtId="0" fontId="77" fillId="0" borderId="19" xfId="1" applyFont="1" applyBorder="1" applyAlignment="1">
      <alignment horizontal="left" wrapText="1"/>
    </xf>
    <xf numFmtId="0" fontId="5" fillId="0" borderId="7" xfId="0" applyFont="1" applyBorder="1" applyAlignment="1">
      <alignment horizontal="left"/>
    </xf>
    <xf numFmtId="0" fontId="5" fillId="0" borderId="6" xfId="0" applyFont="1" applyBorder="1" applyAlignment="1">
      <alignment horizontal="left"/>
    </xf>
    <xf numFmtId="0" fontId="5" fillId="0" borderId="5" xfId="0" applyFont="1" applyBorder="1" applyAlignment="1">
      <alignment horizontal="left"/>
    </xf>
    <xf numFmtId="0" fontId="5" fillId="0" borderId="7" xfId="0" applyFont="1" applyBorder="1" applyAlignment="1">
      <alignment horizontal="left" wrapText="1"/>
    </xf>
    <xf numFmtId="0" fontId="5" fillId="0" borderId="5" xfId="0" applyFont="1" applyBorder="1" applyAlignment="1">
      <alignment horizontal="left" wrapText="1"/>
    </xf>
    <xf numFmtId="0" fontId="78" fillId="5" borderId="9" xfId="2" applyFont="1" applyFill="1" applyBorder="1" applyAlignment="1">
      <alignment horizontal="center" vertical="center" wrapText="1"/>
    </xf>
    <xf numFmtId="0" fontId="78" fillId="5" borderId="6" xfId="2" applyFont="1" applyFill="1" applyBorder="1" applyAlignment="1">
      <alignment horizontal="center" vertical="center" wrapText="1"/>
    </xf>
    <xf numFmtId="0" fontId="78" fillId="5" borderId="8" xfId="2" applyFont="1" applyFill="1" applyBorder="1" applyAlignment="1">
      <alignment horizontal="center" vertical="center" wrapText="1"/>
    </xf>
    <xf numFmtId="0" fontId="33" fillId="0" borderId="39" xfId="1" applyFont="1" applyBorder="1" applyAlignment="1">
      <alignment horizontal="left" wrapText="1"/>
    </xf>
    <xf numFmtId="0" fontId="33" fillId="0" borderId="40" xfId="1" applyFont="1" applyBorder="1" applyAlignment="1">
      <alignment horizontal="left" wrapText="1"/>
    </xf>
    <xf numFmtId="0" fontId="33" fillId="0" borderId="43" xfId="1" applyFont="1" applyBorder="1" applyAlignment="1">
      <alignment horizontal="left" wrapText="1"/>
    </xf>
    <xf numFmtId="0" fontId="33" fillId="0" borderId="21" xfId="1" applyFont="1" applyBorder="1" applyAlignment="1">
      <alignment horizontal="left" wrapText="1"/>
    </xf>
    <xf numFmtId="0" fontId="33" fillId="0" borderId="0" xfId="1" applyFont="1" applyAlignment="1">
      <alignment horizontal="left" wrapText="1"/>
    </xf>
    <xf numFmtId="0" fontId="33" fillId="0" borderId="20" xfId="1" applyFont="1" applyBorder="1" applyAlignment="1">
      <alignment horizontal="left" wrapText="1"/>
    </xf>
    <xf numFmtId="0" fontId="33" fillId="6" borderId="15" xfId="2" applyFont="1" applyFill="1" applyBorder="1" applyAlignment="1">
      <alignment horizontal="center"/>
    </xf>
    <xf numFmtId="0" fontId="26" fillId="4" borderId="15" xfId="2" applyFont="1" applyFill="1" applyBorder="1" applyAlignment="1">
      <alignment horizontal="left"/>
    </xf>
    <xf numFmtId="0" fontId="26" fillId="0" borderId="21" xfId="1" applyFont="1" applyBorder="1" applyAlignment="1">
      <alignment horizontal="left"/>
    </xf>
    <xf numFmtId="0" fontId="26" fillId="0" borderId="0" xfId="1" applyFont="1" applyAlignment="1">
      <alignment horizontal="left"/>
    </xf>
    <xf numFmtId="0" fontId="26" fillId="0" borderId="20" xfId="1" applyFont="1" applyBorder="1" applyAlignment="1">
      <alignment horizontal="left"/>
    </xf>
    <xf numFmtId="0" fontId="2" fillId="0" borderId="39" xfId="0" applyFont="1" applyBorder="1" applyAlignment="1">
      <alignment horizontal="left"/>
    </xf>
    <xf numFmtId="0" fontId="2" fillId="0" borderId="40" xfId="0" applyFont="1" applyBorder="1" applyAlignment="1">
      <alignment horizontal="left"/>
    </xf>
    <xf numFmtId="0" fontId="2" fillId="0" borderId="43" xfId="0" applyFont="1" applyBorder="1" applyAlignment="1">
      <alignment horizontal="left"/>
    </xf>
    <xf numFmtId="0" fontId="72" fillId="0" borderId="7" xfId="0" applyFont="1" applyBorder="1" applyAlignment="1">
      <alignment horizontal="left"/>
    </xf>
    <xf numFmtId="0" fontId="72" fillId="0" borderId="6" xfId="0" applyFont="1" applyBorder="1" applyAlignment="1">
      <alignment horizontal="left"/>
    </xf>
    <xf numFmtId="0" fontId="72" fillId="0" borderId="5" xfId="0" applyFont="1" applyBorder="1" applyAlignment="1">
      <alignment horizontal="left"/>
    </xf>
    <xf numFmtId="0" fontId="5" fillId="0" borderId="4" xfId="0" applyFont="1" applyBorder="1" applyAlignment="1">
      <alignment horizontal="left"/>
    </xf>
    <xf numFmtId="0" fontId="5" fillId="0" borderId="3" xfId="0" applyFont="1" applyBorder="1" applyAlignment="1">
      <alignment horizontal="left"/>
    </xf>
    <xf numFmtId="0" fontId="5" fillId="0" borderId="2" xfId="0" applyFont="1" applyBorder="1" applyAlignment="1">
      <alignment horizontal="left"/>
    </xf>
    <xf numFmtId="0" fontId="5" fillId="0" borderId="1" xfId="0" applyFont="1" applyBorder="1" applyAlignment="1">
      <alignment horizontal="left"/>
    </xf>
    <xf numFmtId="0" fontId="5" fillId="0" borderId="46" xfId="0" applyFont="1" applyBorder="1" applyAlignment="1">
      <alignment horizontal="left"/>
    </xf>
    <xf numFmtId="0" fontId="5" fillId="0" borderId="24" xfId="0" applyFont="1" applyBorder="1" applyAlignment="1">
      <alignment horizontal="left"/>
    </xf>
    <xf numFmtId="0" fontId="5" fillId="0" borderId="22" xfId="0" applyFont="1" applyBorder="1" applyAlignment="1">
      <alignment horizontal="left"/>
    </xf>
    <xf numFmtId="14" fontId="81" fillId="3" borderId="33" xfId="2" applyNumberFormat="1" applyFont="1" applyFill="1" applyBorder="1" applyAlignment="1">
      <alignment horizontal="center" vertical="center" wrapText="1"/>
    </xf>
    <xf numFmtId="14" fontId="81" fillId="3" borderId="31" xfId="2" applyNumberFormat="1" applyFont="1" applyFill="1" applyBorder="1" applyAlignment="1">
      <alignment horizontal="center" vertical="center" wrapText="1"/>
    </xf>
    <xf numFmtId="14" fontId="81" fillId="3" borderId="10" xfId="2" applyNumberFormat="1" applyFont="1" applyFill="1" applyBorder="1" applyAlignment="1">
      <alignment horizontal="center" vertical="center" wrapText="1"/>
    </xf>
    <xf numFmtId="0" fontId="81" fillId="3" borderId="25" xfId="2" applyFont="1" applyFill="1" applyBorder="1" applyAlignment="1">
      <alignment horizontal="left"/>
    </xf>
    <xf numFmtId="0" fontId="81" fillId="3" borderId="26" xfId="2" applyFont="1" applyFill="1" applyBorder="1" applyAlignment="1">
      <alignment horizontal="left"/>
    </xf>
    <xf numFmtId="0" fontId="81" fillId="3" borderId="19" xfId="2" applyFont="1" applyFill="1" applyBorder="1" applyAlignment="1">
      <alignment horizontal="left"/>
    </xf>
    <xf numFmtId="0" fontId="81" fillId="3" borderId="9" xfId="2" applyFont="1" applyFill="1" applyBorder="1" applyAlignment="1">
      <alignment horizontal="left"/>
    </xf>
    <xf numFmtId="0" fontId="81" fillId="3" borderId="6" xfId="2" applyFont="1" applyFill="1" applyBorder="1" applyAlignment="1">
      <alignment horizontal="left"/>
    </xf>
    <xf numFmtId="0" fontId="81" fillId="3" borderId="8" xfId="2" applyFont="1" applyFill="1" applyBorder="1" applyAlignment="1">
      <alignment horizontal="left"/>
    </xf>
    <xf numFmtId="0" fontId="81" fillId="3" borderId="36" xfId="2" applyFont="1" applyFill="1" applyBorder="1" applyAlignment="1">
      <alignment horizontal="center"/>
    </xf>
    <xf numFmtId="0" fontId="81" fillId="3" borderId="35" xfId="2" applyFont="1" applyFill="1" applyBorder="1" applyAlignment="1">
      <alignment horizontal="center"/>
    </xf>
    <xf numFmtId="0" fontId="81" fillId="3" borderId="21" xfId="2" applyFont="1" applyFill="1" applyBorder="1" applyAlignment="1">
      <alignment horizontal="center"/>
    </xf>
    <xf numFmtId="0" fontId="81" fillId="3" borderId="0" xfId="2" applyFont="1" applyFill="1" applyAlignment="1">
      <alignment horizontal="center"/>
    </xf>
    <xf numFmtId="0" fontId="81" fillId="3" borderId="39" xfId="2" applyFont="1" applyFill="1" applyBorder="1" applyAlignment="1">
      <alignment horizontal="center"/>
    </xf>
    <xf numFmtId="0" fontId="81" fillId="3" borderId="40" xfId="2" applyFont="1" applyFill="1" applyBorder="1" applyAlignment="1">
      <alignment horizontal="center"/>
    </xf>
    <xf numFmtId="0" fontId="82" fillId="3" borderId="18" xfId="2" applyFont="1" applyFill="1" applyBorder="1" applyAlignment="1">
      <alignment horizontal="center"/>
    </xf>
    <xf numFmtId="0" fontId="82" fillId="3" borderId="23" xfId="2" applyFont="1" applyFill="1" applyBorder="1" applyAlignment="1">
      <alignment horizontal="center"/>
    </xf>
    <xf numFmtId="0" fontId="82" fillId="3" borderId="24" xfId="2" applyFont="1" applyFill="1" applyBorder="1" applyAlignment="1">
      <alignment horizontal="center"/>
    </xf>
    <xf numFmtId="0" fontId="82" fillId="3" borderId="3" xfId="2" applyFont="1" applyFill="1" applyBorder="1" applyAlignment="1">
      <alignment horizontal="center"/>
    </xf>
    <xf numFmtId="0" fontId="82" fillId="5" borderId="42" xfId="2" applyFont="1" applyFill="1" applyBorder="1" applyAlignment="1">
      <alignment horizontal="center" vertical="center" wrapText="1"/>
    </xf>
    <xf numFmtId="0" fontId="82" fillId="5" borderId="37" xfId="2" applyFont="1" applyFill="1" applyBorder="1" applyAlignment="1">
      <alignment horizontal="center" vertical="center" wrapText="1"/>
    </xf>
    <xf numFmtId="0" fontId="82" fillId="5" borderId="38" xfId="2" applyFont="1" applyFill="1" applyBorder="1" applyAlignment="1">
      <alignment horizontal="center" vertical="center" wrapText="1"/>
    </xf>
    <xf numFmtId="0" fontId="82" fillId="3" borderId="34" xfId="2" applyFont="1" applyFill="1" applyBorder="1" applyAlignment="1">
      <alignment horizontal="right" vertical="top" wrapText="1"/>
    </xf>
    <xf numFmtId="0" fontId="82" fillId="3" borderId="32" xfId="2" applyFont="1" applyFill="1" applyBorder="1" applyAlignment="1">
      <alignment horizontal="right" vertical="top" wrapText="1"/>
    </xf>
    <xf numFmtId="0" fontId="82" fillId="3" borderId="29" xfId="2" applyFont="1" applyFill="1" applyBorder="1" applyAlignment="1">
      <alignment horizontal="right" vertical="top" wrapText="1"/>
    </xf>
    <xf numFmtId="0" fontId="83" fillId="3" borderId="0" xfId="2" applyFont="1" applyFill="1" applyAlignment="1">
      <alignment horizontal="right"/>
    </xf>
    <xf numFmtId="0" fontId="84" fillId="3" borderId="30" xfId="2" applyFont="1" applyFill="1" applyBorder="1" applyAlignment="1">
      <alignment horizontal="center"/>
    </xf>
    <xf numFmtId="0" fontId="83" fillId="3" borderId="0" xfId="2" applyFont="1" applyFill="1"/>
    <xf numFmtId="0" fontId="82" fillId="2" borderId="41" xfId="1" applyFont="1" applyFill="1" applyBorder="1" applyAlignment="1">
      <alignment horizontal="center" vertical="center"/>
    </xf>
    <xf numFmtId="0" fontId="82" fillId="2" borderId="4" xfId="1" applyFont="1" applyFill="1" applyBorder="1" applyAlignment="1">
      <alignment horizontal="center" vertical="center"/>
    </xf>
    <xf numFmtId="0" fontId="82" fillId="2" borderId="41" xfId="1" applyFont="1" applyFill="1" applyBorder="1" applyAlignment="1">
      <alignment horizontal="center" vertical="center" wrapText="1"/>
    </xf>
    <xf numFmtId="0" fontId="82" fillId="2" borderId="4" xfId="1" applyFont="1" applyFill="1" applyBorder="1" applyAlignment="1">
      <alignment horizontal="center" vertical="center" wrapText="1"/>
    </xf>
    <xf numFmtId="0" fontId="82" fillId="2" borderId="18" xfId="1" applyFont="1" applyFill="1" applyBorder="1" applyAlignment="1">
      <alignment horizontal="center" vertical="center"/>
    </xf>
    <xf numFmtId="0" fontId="82" fillId="2" borderId="2" xfId="1" applyFont="1" applyFill="1" applyBorder="1" applyAlignment="1">
      <alignment horizontal="center" vertical="center"/>
    </xf>
    <xf numFmtId="0" fontId="82" fillId="0" borderId="39" xfId="1" applyFont="1" applyBorder="1" applyAlignment="1">
      <alignment horizontal="right"/>
    </xf>
    <xf numFmtId="0" fontId="82" fillId="0" borderId="40" xfId="1" applyFont="1" applyBorder="1" applyAlignment="1">
      <alignment horizontal="right"/>
    </xf>
    <xf numFmtId="0" fontId="82" fillId="0" borderId="12" xfId="1" applyFont="1" applyBorder="1" applyAlignment="1">
      <alignment horizontal="right"/>
    </xf>
    <xf numFmtId="164" fontId="81" fillId="0" borderId="11" xfId="1" applyNumberFormat="1" applyFont="1" applyBorder="1" applyAlignment="1">
      <alignment horizontal="right"/>
    </xf>
    <xf numFmtId="0" fontId="81" fillId="3" borderId="27" xfId="1" applyFont="1" applyFill="1" applyBorder="1" applyAlignment="1">
      <alignment horizontal="center"/>
    </xf>
    <xf numFmtId="0" fontId="81" fillId="3" borderId="43" xfId="1" applyFont="1" applyFill="1" applyBorder="1" applyAlignment="1">
      <alignment horizontal="center"/>
    </xf>
    <xf numFmtId="0" fontId="82" fillId="0" borderId="7" xfId="1" applyFont="1" applyBorder="1" applyAlignment="1">
      <alignment horizontal="right"/>
    </xf>
    <xf numFmtId="0" fontId="82" fillId="0" borderId="6" xfId="1" applyFont="1" applyBorder="1" applyAlignment="1">
      <alignment horizontal="right"/>
    </xf>
    <xf numFmtId="0" fontId="82" fillId="0" borderId="8" xfId="1" applyFont="1" applyBorder="1" applyAlignment="1">
      <alignment horizontal="right"/>
    </xf>
    <xf numFmtId="0" fontId="81" fillId="0" borderId="15" xfId="1" applyFont="1" applyBorder="1" applyAlignment="1">
      <alignment horizontal="right"/>
    </xf>
    <xf numFmtId="164" fontId="81" fillId="0" borderId="9" xfId="1" applyNumberFormat="1" applyFont="1" applyBorder="1" applyAlignment="1">
      <alignment horizontal="center"/>
    </xf>
    <xf numFmtId="164" fontId="81" fillId="0" borderId="5" xfId="1" applyNumberFormat="1" applyFont="1" applyBorder="1" applyAlignment="1">
      <alignment horizontal="center"/>
    </xf>
    <xf numFmtId="0" fontId="87" fillId="0" borderId="15" xfId="0" applyFont="1" applyBorder="1" applyAlignment="1">
      <alignment horizontal="left" wrapText="1"/>
    </xf>
    <xf numFmtId="164" fontId="81" fillId="0" borderId="9" xfId="1" applyNumberFormat="1" applyFont="1" applyBorder="1" applyAlignment="1">
      <alignment horizontal="right" wrapText="1"/>
    </xf>
    <xf numFmtId="164" fontId="81" fillId="0" borderId="8" xfId="1" applyNumberFormat="1" applyFont="1" applyBorder="1" applyAlignment="1">
      <alignment horizontal="right" wrapText="1"/>
    </xf>
    <xf numFmtId="164" fontId="81" fillId="0" borderId="9" xfId="0" applyNumberFormat="1" applyFont="1" applyBorder="1" applyAlignment="1">
      <alignment horizontal="center" wrapText="1"/>
    </xf>
    <xf numFmtId="164" fontId="81" fillId="0" borderId="5" xfId="0" applyNumberFormat="1" applyFont="1" applyBorder="1" applyAlignment="1">
      <alignment horizontal="center" wrapText="1"/>
    </xf>
    <xf numFmtId="0" fontId="82" fillId="0" borderId="4" xfId="1" applyFont="1" applyBorder="1" applyAlignment="1">
      <alignment horizontal="right"/>
    </xf>
    <xf numFmtId="0" fontId="82" fillId="0" borderId="3" xfId="1" applyFont="1" applyBorder="1" applyAlignment="1">
      <alignment horizontal="right"/>
    </xf>
    <xf numFmtId="0" fontId="82" fillId="0" borderId="2" xfId="1" applyFont="1" applyBorder="1" applyAlignment="1">
      <alignment horizontal="right"/>
    </xf>
    <xf numFmtId="0" fontId="81" fillId="0" borderId="2" xfId="1" applyFont="1" applyBorder="1" applyAlignment="1">
      <alignment horizontal="right"/>
    </xf>
    <xf numFmtId="0" fontId="82" fillId="2" borderId="42" xfId="1" applyFont="1" applyFill="1" applyBorder="1" applyAlignment="1">
      <alignment horizontal="left"/>
    </xf>
    <xf numFmtId="0" fontId="82" fillId="2" borderId="37" xfId="1" applyFont="1" applyFill="1" applyBorder="1" applyAlignment="1">
      <alignment horizontal="left"/>
    </xf>
    <xf numFmtId="0" fontId="82" fillId="2" borderId="38" xfId="1" applyFont="1" applyFill="1" applyBorder="1" applyAlignment="1">
      <alignment horizontal="left"/>
    </xf>
    <xf numFmtId="0" fontId="87" fillId="0" borderId="15" xfId="0" applyFont="1" applyBorder="1" applyAlignment="1">
      <alignment horizontal="left"/>
    </xf>
    <xf numFmtId="0" fontId="82" fillId="6" borderId="44" xfId="2" applyFont="1" applyFill="1" applyBorder="1" applyAlignment="1">
      <alignment horizontal="center"/>
    </xf>
    <xf numFmtId="0" fontId="82" fillId="6" borderId="35" xfId="2" applyFont="1" applyFill="1" applyBorder="1" applyAlignment="1">
      <alignment horizontal="center"/>
    </xf>
    <xf numFmtId="0" fontId="81" fillId="3" borderId="45" xfId="2" applyFont="1" applyFill="1" applyBorder="1" applyAlignment="1">
      <alignment horizontal="left"/>
    </xf>
    <xf numFmtId="0" fontId="81" fillId="3" borderId="0" xfId="2" applyFont="1" applyFill="1" applyAlignment="1">
      <alignment horizontal="left"/>
    </xf>
    <xf numFmtId="0" fontId="82" fillId="0" borderId="39" xfId="1" applyFont="1" applyBorder="1" applyAlignment="1">
      <alignment horizontal="left" wrapText="1"/>
    </xf>
    <xf numFmtId="0" fontId="82" fillId="0" borderId="40" xfId="1" applyFont="1" applyBorder="1" applyAlignment="1">
      <alignment horizontal="left" wrapText="1"/>
    </xf>
    <xf numFmtId="0" fontId="82" fillId="0" borderId="43" xfId="1" applyFont="1" applyBorder="1" applyAlignment="1">
      <alignment horizontal="left" wrapText="1"/>
    </xf>
    <xf numFmtId="0" fontId="85" fillId="0" borderId="7" xfId="0" applyFont="1" applyBorder="1" applyAlignment="1">
      <alignment horizontal="left"/>
    </xf>
    <xf numFmtId="0" fontId="85" fillId="0" borderId="6" xfId="0" applyFont="1" applyBorder="1" applyAlignment="1">
      <alignment horizontal="left"/>
    </xf>
    <xf numFmtId="0" fontId="85" fillId="0" borderId="5" xfId="0" applyFont="1" applyBorder="1" applyAlignment="1">
      <alignment horizontal="left"/>
    </xf>
    <xf numFmtId="0" fontId="7" fillId="5" borderId="42" xfId="2" applyFont="1" applyFill="1" applyBorder="1" applyAlignment="1">
      <alignment horizontal="center" vertical="center" wrapText="1"/>
    </xf>
    <xf numFmtId="0" fontId="7" fillId="5" borderId="37" xfId="2" applyFont="1" applyFill="1" applyBorder="1" applyAlignment="1">
      <alignment horizontal="center" vertical="center" wrapText="1"/>
    </xf>
    <xf numFmtId="0" fontId="7" fillId="5" borderId="38" xfId="2" applyFont="1" applyFill="1" applyBorder="1" applyAlignment="1">
      <alignment horizontal="center" vertical="center" wrapText="1"/>
    </xf>
    <xf numFmtId="0" fontId="7" fillId="2" borderId="4" xfId="1" applyFont="1" applyFill="1" applyBorder="1" applyAlignment="1">
      <alignment horizontal="center" vertical="center"/>
    </xf>
    <xf numFmtId="0" fontId="7" fillId="2" borderId="4" xfId="1" applyFont="1" applyFill="1" applyBorder="1" applyAlignment="1">
      <alignment horizontal="center" vertical="center" wrapText="1"/>
    </xf>
    <xf numFmtId="0" fontId="7" fillId="2" borderId="2" xfId="1" applyFont="1" applyFill="1" applyBorder="1" applyAlignment="1">
      <alignment horizontal="center" vertical="center"/>
    </xf>
    <xf numFmtId="0" fontId="10" fillId="0" borderId="13" xfId="0" applyFont="1" applyBorder="1" applyAlignment="1">
      <alignment horizontal="left"/>
    </xf>
    <xf numFmtId="0" fontId="10" fillId="0" borderId="12" xfId="0" applyFont="1" applyBorder="1" applyAlignment="1">
      <alignment horizontal="left"/>
    </xf>
    <xf numFmtId="0" fontId="10" fillId="0" borderId="11" xfId="0" applyFont="1" applyBorder="1" applyAlignment="1">
      <alignment horizontal="left"/>
    </xf>
    <xf numFmtId="0" fontId="10" fillId="0" borderId="10" xfId="0" applyFont="1" applyBorder="1" applyAlignment="1">
      <alignment horizontal="left"/>
    </xf>
    <xf numFmtId="164" fontId="10" fillId="0" borderId="9" xfId="0" applyNumberFormat="1" applyFont="1" applyBorder="1" applyAlignment="1">
      <alignment horizontal="center" wrapText="1"/>
    </xf>
    <xf numFmtId="164" fontId="10" fillId="0" borderId="5" xfId="0" applyNumberFormat="1" applyFont="1" applyBorder="1" applyAlignment="1">
      <alignment horizontal="center" wrapText="1"/>
    </xf>
    <xf numFmtId="0" fontId="66" fillId="0" borderId="7" xfId="0" applyFont="1" applyBorder="1" applyAlignment="1">
      <alignment horizontal="left"/>
    </xf>
    <xf numFmtId="0" fontId="66" fillId="0" borderId="6" xfId="0" applyFont="1" applyBorder="1" applyAlignment="1">
      <alignment horizontal="left"/>
    </xf>
    <xf numFmtId="0" fontId="66" fillId="0" borderId="5" xfId="0" applyFont="1" applyBorder="1" applyAlignment="1">
      <alignment horizontal="left"/>
    </xf>
    <xf numFmtId="0" fontId="7" fillId="6" borderId="44" xfId="2" applyFont="1" applyFill="1" applyBorder="1" applyAlignment="1">
      <alignment horizontal="left"/>
    </xf>
    <xf numFmtId="0" fontId="7" fillId="6" borderId="35" xfId="2" applyFont="1" applyFill="1" applyBorder="1" applyAlignment="1">
      <alignment horizontal="left"/>
    </xf>
    <xf numFmtId="0" fontId="10" fillId="3" borderId="45" xfId="2" applyFont="1" applyFill="1" applyBorder="1" applyAlignment="1">
      <alignment horizontal="left"/>
    </xf>
    <xf numFmtId="0" fontId="10" fillId="3" borderId="0" xfId="2" applyFont="1" applyFill="1" applyAlignment="1">
      <alignment horizontal="left"/>
    </xf>
    <xf numFmtId="0" fontId="6" fillId="0" borderId="39" xfId="0" applyFont="1" applyBorder="1" applyAlignment="1">
      <alignment horizontal="left"/>
    </xf>
    <xf numFmtId="0" fontId="6" fillId="0" borderId="40" xfId="0" applyFont="1" applyBorder="1" applyAlignment="1">
      <alignment horizontal="left"/>
    </xf>
    <xf numFmtId="0" fontId="6" fillId="0" borderId="43" xfId="0" applyFont="1" applyBorder="1" applyAlignment="1">
      <alignment horizontal="left"/>
    </xf>
    <xf numFmtId="0" fontId="6" fillId="0" borderId="60" xfId="0" applyFont="1" applyBorder="1" applyAlignment="1">
      <alignment horizontal="left"/>
    </xf>
    <xf numFmtId="0" fontId="6" fillId="0" borderId="30" xfId="0" applyFont="1" applyBorder="1" applyAlignment="1">
      <alignment horizontal="left"/>
    </xf>
    <xf numFmtId="0" fontId="6" fillId="0" borderId="59" xfId="0" applyFont="1" applyBorder="1" applyAlignment="1">
      <alignment horizontal="left"/>
    </xf>
    <xf numFmtId="0" fontId="10" fillId="0" borderId="7" xfId="0" applyFont="1" applyBorder="1" applyAlignment="1">
      <alignment horizontal="left" wrapText="1"/>
    </xf>
    <xf numFmtId="0" fontId="10" fillId="0" borderId="6" xfId="0" applyFont="1" applyBorder="1" applyAlignment="1">
      <alignment horizontal="left" wrapText="1"/>
    </xf>
    <xf numFmtId="0" fontId="10" fillId="0" borderId="8" xfId="0" applyFont="1" applyBorder="1" applyAlignment="1">
      <alignment horizontal="left" wrapText="1"/>
    </xf>
    <xf numFmtId="0" fontId="10" fillId="0" borderId="46" xfId="0" applyFont="1" applyBorder="1" applyAlignment="1">
      <alignment horizontal="left"/>
    </xf>
    <xf numFmtId="0" fontId="10" fillId="0" borderId="24" xfId="0" applyFont="1" applyBorder="1" applyAlignment="1">
      <alignment horizontal="left"/>
    </xf>
    <xf numFmtId="0" fontId="10" fillId="0" borderId="22" xfId="0" applyFont="1" applyBorder="1" applyAlignment="1">
      <alignment horizontal="left"/>
    </xf>
    <xf numFmtId="0" fontId="33" fillId="0" borderId="15" xfId="0" applyFont="1" applyBorder="1" applyAlignment="1">
      <alignment horizontal="left" wrapText="1"/>
    </xf>
    <xf numFmtId="164" fontId="26" fillId="0" borderId="23" xfId="1" applyNumberFormat="1" applyFont="1" applyBorder="1" applyAlignment="1">
      <alignment horizontal="center"/>
    </xf>
    <xf numFmtId="164" fontId="26" fillId="0" borderId="22" xfId="1" applyNumberFormat="1" applyFont="1" applyBorder="1" applyAlignment="1">
      <alignment horizontal="center"/>
    </xf>
    <xf numFmtId="0" fontId="33" fillId="2" borderId="36" xfId="1" applyFont="1" applyFill="1" applyBorder="1" applyAlignment="1">
      <alignment horizontal="center"/>
    </xf>
    <xf numFmtId="0" fontId="33" fillId="2" borderId="35" xfId="1" applyFont="1" applyFill="1" applyBorder="1" applyAlignment="1">
      <alignment horizontal="center"/>
    </xf>
    <xf numFmtId="0" fontId="33" fillId="2" borderId="64" xfId="1" applyFont="1" applyFill="1" applyBorder="1" applyAlignment="1">
      <alignment horizontal="center"/>
    </xf>
    <xf numFmtId="0" fontId="33" fillId="0" borderId="15" xfId="0" applyFont="1" applyBorder="1" applyAlignment="1">
      <alignment horizontal="left"/>
    </xf>
    <xf numFmtId="0" fontId="33" fillId="0" borderId="7" xfId="0" applyFont="1" applyBorder="1" applyAlignment="1">
      <alignment horizontal="left"/>
    </xf>
    <xf numFmtId="0" fontId="33" fillId="0" borderId="6" xfId="0" applyFont="1" applyBorder="1" applyAlignment="1">
      <alignment horizontal="left"/>
    </xf>
    <xf numFmtId="0" fontId="33" fillId="0" borderId="5" xfId="0" applyFont="1" applyBorder="1" applyAlignment="1">
      <alignment horizontal="left"/>
    </xf>
    <xf numFmtId="0" fontId="26" fillId="0" borderId="49" xfId="1" applyFont="1" applyBorder="1" applyAlignment="1">
      <alignment horizontal="left"/>
    </xf>
    <xf numFmtId="0" fontId="26" fillId="0" borderId="50" xfId="1" applyFont="1" applyBorder="1" applyAlignment="1">
      <alignment horizontal="left"/>
    </xf>
    <xf numFmtId="0" fontId="26" fillId="0" borderId="51" xfId="1" applyFont="1" applyBorder="1" applyAlignment="1">
      <alignment horizontal="left"/>
    </xf>
    <xf numFmtId="0" fontId="26" fillId="0" borderId="7" xfId="0" applyFont="1" applyBorder="1" applyAlignment="1">
      <alignment horizontal="left"/>
    </xf>
    <xf numFmtId="0" fontId="26" fillId="0" borderId="6" xfId="0" applyFont="1" applyBorder="1" applyAlignment="1">
      <alignment horizontal="left"/>
    </xf>
    <xf numFmtId="0" fontId="26" fillId="0" borderId="5" xfId="0" applyFont="1" applyBorder="1" applyAlignment="1">
      <alignment horizontal="left"/>
    </xf>
    <xf numFmtId="0" fontId="26" fillId="0" borderId="46" xfId="0" applyFont="1" applyBorder="1" applyAlignment="1">
      <alignment horizontal="left"/>
    </xf>
    <xf numFmtId="0" fontId="26" fillId="0" borderId="24" xfId="0" applyFont="1" applyBorder="1" applyAlignment="1">
      <alignment horizontal="left"/>
    </xf>
    <xf numFmtId="0" fontId="26" fillId="0" borderId="22" xfId="0" applyFont="1" applyBorder="1" applyAlignment="1">
      <alignment horizontal="left"/>
    </xf>
    <xf numFmtId="0" fontId="5" fillId="0" borderId="13" xfId="0" applyFont="1" applyBorder="1" applyAlignment="1">
      <alignment horizontal="left"/>
    </xf>
    <xf numFmtId="0" fontId="5" fillId="0" borderId="12" xfId="0" applyFont="1" applyBorder="1" applyAlignment="1">
      <alignment horizontal="left"/>
    </xf>
    <xf numFmtId="0" fontId="5" fillId="0" borderId="11" xfId="0" applyFont="1" applyBorder="1" applyAlignment="1">
      <alignment horizontal="left"/>
    </xf>
    <xf numFmtId="0" fontId="5" fillId="0" borderId="10" xfId="0" applyFont="1" applyBorder="1" applyAlignment="1">
      <alignment horizontal="left"/>
    </xf>
    <xf numFmtId="164" fontId="5" fillId="0" borderId="23" xfId="1" applyNumberFormat="1" applyFont="1" applyBorder="1" applyAlignment="1">
      <alignment horizontal="center"/>
    </xf>
    <xf numFmtId="164" fontId="5" fillId="0" borderId="22" xfId="1" applyNumberFormat="1" applyFont="1" applyBorder="1" applyAlignment="1">
      <alignment horizontal="center"/>
    </xf>
    <xf numFmtId="0" fontId="5" fillId="0" borderId="13" xfId="0" applyFont="1" applyBorder="1" applyAlignment="1">
      <alignment horizontal="left" wrapText="1"/>
    </xf>
    <xf numFmtId="0" fontId="5" fillId="0" borderId="12" xfId="0" applyFont="1" applyBorder="1" applyAlignment="1">
      <alignment horizontal="left" wrapText="1"/>
    </xf>
    <xf numFmtId="0" fontId="5" fillId="0" borderId="11" xfId="0" applyFont="1" applyBorder="1" applyAlignment="1">
      <alignment horizontal="left" wrapText="1"/>
    </xf>
    <xf numFmtId="0" fontId="5" fillId="0" borderId="10" xfId="0" applyFont="1" applyBorder="1" applyAlignment="1">
      <alignment horizontal="left" wrapText="1"/>
    </xf>
    <xf numFmtId="0" fontId="2" fillId="0" borderId="6" xfId="0" applyFont="1" applyBorder="1" applyAlignment="1">
      <alignment horizontal="left"/>
    </xf>
    <xf numFmtId="0" fontId="5" fillId="0" borderId="46" xfId="1" applyFont="1" applyBorder="1" applyAlignment="1">
      <alignment horizontal="left"/>
    </xf>
    <xf numFmtId="0" fontId="5" fillId="0" borderId="24" xfId="1" applyFont="1" applyBorder="1" applyAlignment="1">
      <alignment horizontal="left"/>
    </xf>
    <xf numFmtId="0" fontId="5" fillId="0" borderId="22" xfId="1" applyFont="1" applyBorder="1" applyAlignment="1">
      <alignment horizontal="left"/>
    </xf>
    <xf numFmtId="0" fontId="46" fillId="0" borderId="0" xfId="0" applyFont="1" applyAlignment="1">
      <alignment horizontal="center" vertical="center"/>
    </xf>
    <xf numFmtId="0" fontId="63" fillId="0" borderId="42" xfId="0" applyFont="1" applyBorder="1" applyAlignment="1">
      <alignment horizontal="right" vertical="center"/>
    </xf>
    <xf numFmtId="0" fontId="63" fillId="0" borderId="37" xfId="0" applyFont="1" applyBorder="1" applyAlignment="1">
      <alignment horizontal="right" vertical="center"/>
    </xf>
    <xf numFmtId="0" fontId="63" fillId="0" borderId="38" xfId="0" applyFont="1" applyBorder="1" applyAlignment="1">
      <alignment horizontal="right" vertical="center"/>
    </xf>
    <xf numFmtId="0" fontId="64" fillId="0" borderId="0" xfId="0" applyFont="1" applyAlignment="1">
      <alignment horizontal="right"/>
    </xf>
    <xf numFmtId="0" fontId="54" fillId="0" borderId="30" xfId="0" applyFont="1" applyBorder="1" applyAlignment="1">
      <alignment horizontal="right"/>
    </xf>
    <xf numFmtId="0" fontId="46" fillId="0" borderId="0" xfId="0" applyFont="1" applyAlignment="1">
      <alignment horizontal="right" vertical="center"/>
    </xf>
    <xf numFmtId="0" fontId="52" fillId="8" borderId="42" xfId="0" applyFont="1" applyFill="1" applyBorder="1" applyAlignment="1">
      <alignment horizontal="right"/>
    </xf>
    <xf numFmtId="0" fontId="52" fillId="8" borderId="37" xfId="0" applyFont="1" applyFill="1" applyBorder="1" applyAlignment="1">
      <alignment horizontal="right"/>
    </xf>
    <xf numFmtId="0" fontId="37" fillId="0" borderId="0" xfId="0" applyFont="1" applyAlignment="1">
      <alignment horizontal="right" vertical="center"/>
    </xf>
    <xf numFmtId="0" fontId="38" fillId="0" borderId="30" xfId="0" applyFont="1" applyBorder="1" applyAlignment="1">
      <alignment horizontal="right" vertical="center"/>
    </xf>
    <xf numFmtId="0" fontId="38" fillId="0" borderId="59" xfId="0" applyFont="1" applyBorder="1" applyAlignment="1">
      <alignment horizontal="right" vertical="center"/>
    </xf>
    <xf numFmtId="0" fontId="38" fillId="10" borderId="42" xfId="0" applyFont="1" applyFill="1" applyBorder="1" applyAlignment="1">
      <alignment horizontal="right" vertical="center"/>
    </xf>
    <xf numFmtId="0" fontId="38" fillId="10" borderId="37" xfId="0" applyFont="1" applyFill="1" applyBorder="1" applyAlignment="1">
      <alignment horizontal="right" vertical="center"/>
    </xf>
    <xf numFmtId="0" fontId="38" fillId="10" borderId="38" xfId="0" applyFont="1" applyFill="1" applyBorder="1" applyAlignment="1">
      <alignment horizontal="right" vertical="center"/>
    </xf>
    <xf numFmtId="4" fontId="61" fillId="0" borderId="0" xfId="10" applyNumberFormat="1" applyFont="1" applyFill="1" applyAlignment="1">
      <alignment horizontal="center" vertical="center" wrapText="1"/>
    </xf>
    <xf numFmtId="0" fontId="55" fillId="0" borderId="15" xfId="0" applyFont="1" applyBorder="1" applyAlignment="1">
      <alignment horizontal="right" vertical="center"/>
    </xf>
    <xf numFmtId="0" fontId="56" fillId="0" borderId="21" xfId="0" applyFont="1" applyBorder="1" applyAlignment="1">
      <alignment horizontal="right"/>
    </xf>
    <xf numFmtId="0" fontId="56" fillId="0" borderId="0" xfId="0" applyFont="1" applyAlignment="1">
      <alignment horizontal="right"/>
    </xf>
    <xf numFmtId="0" fontId="56" fillId="0" borderId="20" xfId="0" applyFont="1" applyBorder="1" applyAlignment="1">
      <alignment horizontal="right"/>
    </xf>
    <xf numFmtId="0" fontId="38" fillId="0" borderId="0" xfId="0" applyFont="1" applyAlignment="1">
      <alignment horizontal="center" vertical="center"/>
    </xf>
    <xf numFmtId="0" fontId="38" fillId="0" borderId="0" xfId="0" applyFont="1" applyAlignment="1">
      <alignment horizontal="right" vertical="center"/>
    </xf>
    <xf numFmtId="0" fontId="47" fillId="0" borderId="36" xfId="0" applyFont="1" applyBorder="1" applyAlignment="1">
      <alignment horizontal="right"/>
    </xf>
    <xf numFmtId="0" fontId="47" fillId="0" borderId="35" xfId="0" applyFont="1" applyBorder="1" applyAlignment="1">
      <alignment horizontal="right"/>
    </xf>
    <xf numFmtId="0" fontId="37" fillId="0" borderId="15" xfId="0" applyFont="1" applyBorder="1" applyAlignment="1">
      <alignment horizontal="right" vertical="center"/>
    </xf>
    <xf numFmtId="0" fontId="47" fillId="0" borderId="0" xfId="0" applyFont="1" applyAlignment="1">
      <alignment horizontal="right"/>
    </xf>
    <xf numFmtId="0" fontId="41" fillId="0" borderId="30" xfId="0" applyFont="1" applyBorder="1" applyAlignment="1">
      <alignment horizontal="center" vertical="center"/>
    </xf>
    <xf numFmtId="0" fontId="42" fillId="0" borderId="42" xfId="0" applyFont="1" applyBorder="1" applyAlignment="1">
      <alignment horizontal="center" vertical="center" wrapText="1"/>
    </xf>
    <xf numFmtId="0" fontId="42" fillId="0" borderId="37" xfId="0" applyFont="1" applyBorder="1" applyAlignment="1">
      <alignment horizontal="center" vertical="center" wrapText="1"/>
    </xf>
    <xf numFmtId="0" fontId="42" fillId="0" borderId="38" xfId="0" applyFont="1" applyBorder="1" applyAlignment="1">
      <alignment horizontal="center" vertical="center" wrapText="1"/>
    </xf>
    <xf numFmtId="0" fontId="43" fillId="0" borderId="37" xfId="0" applyFont="1" applyBorder="1" applyAlignment="1">
      <alignment horizontal="right" vertical="center" wrapText="1"/>
    </xf>
    <xf numFmtId="0" fontId="97" fillId="0" borderId="15" xfId="0" applyFont="1" applyBorder="1" applyAlignment="1">
      <alignment horizontal="center"/>
    </xf>
    <xf numFmtId="0" fontId="32" fillId="0" borderId="15" xfId="0" applyFont="1" applyBorder="1" applyAlignment="1">
      <alignment horizontal="left"/>
    </xf>
    <xf numFmtId="1" fontId="32" fillId="0" borderId="0" xfId="0" applyNumberFormat="1" applyFont="1" applyAlignment="1">
      <alignment horizontal="center"/>
    </xf>
    <xf numFmtId="0" fontId="26" fillId="0" borderId="41" xfId="0" applyFont="1" applyBorder="1" applyAlignment="1">
      <alignment horizontal="left"/>
    </xf>
    <xf numFmtId="0" fontId="26" fillId="0" borderId="19" xfId="0" applyFont="1" applyBorder="1" applyAlignment="1">
      <alignment horizontal="left"/>
    </xf>
    <xf numFmtId="0" fontId="26" fillId="0" borderId="18" xfId="0" applyFont="1" applyBorder="1" applyAlignment="1">
      <alignment horizontal="left"/>
    </xf>
    <xf numFmtId="0" fontId="26" fillId="0" borderId="17" xfId="0" applyFont="1" applyBorder="1" applyAlignment="1">
      <alignment horizontal="left"/>
    </xf>
    <xf numFmtId="0" fontId="5" fillId="3" borderId="15" xfId="2" applyFont="1" applyFill="1" applyBorder="1" applyAlignment="1">
      <alignment horizontal="left"/>
    </xf>
  </cellXfs>
  <cellStyles count="14">
    <cellStyle name="Millares" xfId="9" builtinId="3"/>
    <cellStyle name="Millares [0]" xfId="10" builtinId="6"/>
    <cellStyle name="Millares [0] 2" xfId="12" xr:uid="{FE243DF8-AECA-4CF6-B613-53AE4F24E714}"/>
    <cellStyle name="Millares 2" xfId="11" xr:uid="{3F283DBE-A59D-460C-A3AF-7DC25586E616}"/>
    <cellStyle name="Normal" xfId="0" builtinId="0"/>
    <cellStyle name="Normal 2" xfId="1" xr:uid="{2DDBC5E7-0E7E-4491-99E3-7A5940DF1256}"/>
    <cellStyle name="Normal 2 2" xfId="6" xr:uid="{18DF5752-43FF-4BFD-89D2-0730588F24A8}"/>
    <cellStyle name="Normal 3" xfId="5" xr:uid="{75D741B7-9A8C-4961-BA15-A0EFA330802B}"/>
    <cellStyle name="Normal 3 2" xfId="4" xr:uid="{71C988F8-0287-427A-924A-7BBB9BDC240E}"/>
    <cellStyle name="Normal 4 2" xfId="8" xr:uid="{AE4E5C20-AE4F-441A-8BA1-7E71CBFF6AC0}"/>
    <cellStyle name="Normal 5" xfId="3" xr:uid="{9E162E44-7FEC-4CBF-A2D3-215B3357159E}"/>
    <cellStyle name="Normal_CRITERIOS DE EVALUACION PT DE GB 2" xfId="2" xr:uid="{91D1D7B8-FF69-4D3C-B5A7-139D9BD47895}"/>
    <cellStyle name="Porcentaje 2" xfId="7" xr:uid="{535DE1C8-4333-4DB8-BA61-0D675B7A5B2D}"/>
    <cellStyle name="Porcentaje 2 2" xfId="13" xr:uid="{2D76B357-6292-4935-9A67-3CB5431C13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156575</xdr:colOff>
      <xdr:row>1</xdr:row>
      <xdr:rowOff>125261</xdr:rowOff>
    </xdr:from>
    <xdr:to>
      <xdr:col>1</xdr:col>
      <xdr:colOff>534882</xdr:colOff>
      <xdr:row>4</xdr:row>
      <xdr:rowOff>35491</xdr:rowOff>
    </xdr:to>
    <xdr:pic>
      <xdr:nvPicPr>
        <xdr:cNvPr id="7" name="Imagen 2">
          <a:extLst>
            <a:ext uri="{FF2B5EF4-FFF2-40B4-BE49-F238E27FC236}">
              <a16:creationId xmlns:a16="http://schemas.microsoft.com/office/drawing/2014/main" id="{35A6CA98-A8D5-4247-9256-5551CECF3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575" y="323590"/>
          <a:ext cx="1411704"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59531</xdr:colOff>
      <xdr:row>0</xdr:row>
      <xdr:rowOff>119061</xdr:rowOff>
    </xdr:from>
    <xdr:to>
      <xdr:col>1</xdr:col>
      <xdr:colOff>1020504</xdr:colOff>
      <xdr:row>6</xdr:row>
      <xdr:rowOff>69533</xdr:rowOff>
    </xdr:to>
    <xdr:pic>
      <xdr:nvPicPr>
        <xdr:cNvPr id="2" name="Imagen 2">
          <a:extLst>
            <a:ext uri="{FF2B5EF4-FFF2-40B4-BE49-F238E27FC236}">
              <a16:creationId xmlns:a16="http://schemas.microsoft.com/office/drawing/2014/main" id="{2CEF0381-5D27-4983-A5F2-8F9B028D9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 y="119061"/>
          <a:ext cx="2119213" cy="9486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154782</xdr:colOff>
      <xdr:row>0</xdr:row>
      <xdr:rowOff>95249</xdr:rowOff>
    </xdr:from>
    <xdr:to>
      <xdr:col>1</xdr:col>
      <xdr:colOff>990119</xdr:colOff>
      <xdr:row>5</xdr:row>
      <xdr:rowOff>25716</xdr:rowOff>
    </xdr:to>
    <xdr:pic>
      <xdr:nvPicPr>
        <xdr:cNvPr id="2" name="Imagen 2">
          <a:extLst>
            <a:ext uri="{FF2B5EF4-FFF2-40B4-BE49-F238E27FC236}">
              <a16:creationId xmlns:a16="http://schemas.microsoft.com/office/drawing/2014/main" id="{98FABEF6-98DB-41A0-8936-681D72995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2" y="95249"/>
          <a:ext cx="2031677" cy="8905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44122</xdr:colOff>
      <xdr:row>0</xdr:row>
      <xdr:rowOff>94549</xdr:rowOff>
    </xdr:from>
    <xdr:to>
      <xdr:col>1</xdr:col>
      <xdr:colOff>1121452</xdr:colOff>
      <xdr:row>5</xdr:row>
      <xdr:rowOff>43813</xdr:rowOff>
    </xdr:to>
    <xdr:pic>
      <xdr:nvPicPr>
        <xdr:cNvPr id="2" name="Imagen 1" descr="Icono&#10;&#10;Descripción generada automáticamente con confianza media">
          <a:extLst>
            <a:ext uri="{FF2B5EF4-FFF2-40B4-BE49-F238E27FC236}">
              <a16:creationId xmlns:a16="http://schemas.microsoft.com/office/drawing/2014/main" id="{19649893-1943-4030-9C1D-B084886F6A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22" y="94549"/>
          <a:ext cx="2067930" cy="909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44824</xdr:colOff>
      <xdr:row>0</xdr:row>
      <xdr:rowOff>123265</xdr:rowOff>
    </xdr:from>
    <xdr:to>
      <xdr:col>1</xdr:col>
      <xdr:colOff>997324</xdr:colOff>
      <xdr:row>5</xdr:row>
      <xdr:rowOff>16555</xdr:rowOff>
    </xdr:to>
    <xdr:pic>
      <xdr:nvPicPr>
        <xdr:cNvPr id="2" name="Imagen 1" descr="Icono&#10;&#10;Descripción generada automáticamente con confianza media">
          <a:extLst>
            <a:ext uri="{FF2B5EF4-FFF2-40B4-BE49-F238E27FC236}">
              <a16:creationId xmlns:a16="http://schemas.microsoft.com/office/drawing/2014/main" id="{A9645320-9A7C-4FD3-9F00-AB3C7C1F0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24" y="123265"/>
          <a:ext cx="1950720" cy="845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83506</xdr:colOff>
      <xdr:row>0</xdr:row>
      <xdr:rowOff>213890</xdr:rowOff>
    </xdr:from>
    <xdr:ext cx="2039535" cy="940398"/>
    <xdr:pic>
      <xdr:nvPicPr>
        <xdr:cNvPr id="3" name="Imagen 2">
          <a:extLst>
            <a:ext uri="{FF2B5EF4-FFF2-40B4-BE49-F238E27FC236}">
              <a16:creationId xmlns:a16="http://schemas.microsoft.com/office/drawing/2014/main" id="{48D98E71-0328-4DEB-BB44-8FCB348C2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06" y="198650"/>
          <a:ext cx="2039535" cy="9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71600</xdr:colOff>
      <xdr:row>0</xdr:row>
      <xdr:rowOff>208440</xdr:rowOff>
    </xdr:from>
    <xdr:ext cx="1904837" cy="833002"/>
    <xdr:pic>
      <xdr:nvPicPr>
        <xdr:cNvPr id="2" name="Imagen 1">
          <a:extLst>
            <a:ext uri="{FF2B5EF4-FFF2-40B4-BE49-F238E27FC236}">
              <a16:creationId xmlns:a16="http://schemas.microsoft.com/office/drawing/2014/main" id="{0097A3C6-05E9-4B38-A66B-379F08E07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600" y="208440"/>
          <a:ext cx="1904837" cy="833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depast-my.sharepoint.com/Users/arodriguez/Desktop/recetas%20icg%20proyecto/Prueba%20Alejandr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depast-my.sharepoint.com/COSTOS%202013/LISTA%20COSTOS%20A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MP Planta"/>
      <sheetName val="Recetas Semielaborados"/>
      <sheetName val="SEMIELABORADOS"/>
      <sheetName val="COMPRAS LOCALES"/>
      <sheetName val="INS LOCALES RECETAS"/>
      <sheetName val="COST PLATOS"/>
      <sheetName val="Hoja1"/>
      <sheetName val="Consolidado MP"/>
    </sheetNames>
    <sheetDataSet>
      <sheetData sheetId="0" refreshError="1">
        <row r="2">
          <cell r="A2" t="str">
            <v>10500</v>
          </cell>
          <cell r="B2" t="str">
            <v>5410</v>
          </cell>
          <cell r="C2" t="str">
            <v>PAPRIKA (UND:454g)</v>
          </cell>
          <cell r="D2" t="str">
            <v>10500</v>
          </cell>
          <cell r="E2" t="str">
            <v>MATERIAS PRIMAS PLANTA</v>
          </cell>
          <cell r="F2" t="str">
            <v>1 UND</v>
          </cell>
          <cell r="G2">
            <v>500</v>
          </cell>
          <cell r="H2" t="str">
            <v>17/03/2020</v>
          </cell>
          <cell r="I2">
            <v>2482</v>
          </cell>
          <cell r="J2">
            <v>3263</v>
          </cell>
          <cell r="K2">
            <v>454</v>
          </cell>
          <cell r="L2">
            <v>7.1872246696035242</v>
          </cell>
          <cell r="M2" t="str">
            <v>Gramos</v>
          </cell>
        </row>
        <row r="3">
          <cell r="A3" t="str">
            <v>56009</v>
          </cell>
          <cell r="B3" t="str">
            <v>12133</v>
          </cell>
          <cell r="C3" t="str">
            <v>CANDELAS MAGICAS (PAQ:24 UND)</v>
          </cell>
          <cell r="D3" t="str">
            <v>56009</v>
          </cell>
          <cell r="E3" t="str">
            <v>EMPAQUES PLANTA</v>
          </cell>
          <cell r="F3" t="str">
            <v>1 PAQUETE</v>
          </cell>
          <cell r="G3">
            <v>500</v>
          </cell>
          <cell r="H3" t="str">
            <v>12/06/2020</v>
          </cell>
          <cell r="I3">
            <v>750</v>
          </cell>
          <cell r="J3">
            <v>712.5</v>
          </cell>
          <cell r="K3">
            <v>24</v>
          </cell>
          <cell r="L3">
            <v>29.6875</v>
          </cell>
        </row>
        <row r="4">
          <cell r="A4" t="str">
            <v>101005</v>
          </cell>
          <cell r="B4" t="str">
            <v>5510</v>
          </cell>
          <cell r="C4" t="str">
            <v>AJO PELADO (PAQ:1 KILO)</v>
          </cell>
          <cell r="D4" t="str">
            <v>101005</v>
          </cell>
          <cell r="E4" t="str">
            <v>MATERIAS PRIMAS PLANTA</v>
          </cell>
          <cell r="F4" t="str">
            <v>1 PAQUETE</v>
          </cell>
          <cell r="G4">
            <v>500</v>
          </cell>
          <cell r="H4" t="str">
            <v>11/06/2020</v>
          </cell>
          <cell r="I4">
            <v>3807</v>
          </cell>
          <cell r="J4">
            <v>4200</v>
          </cell>
          <cell r="K4">
            <v>1000</v>
          </cell>
          <cell r="L4">
            <v>4.2</v>
          </cell>
          <cell r="M4" t="str">
            <v>Gramos</v>
          </cell>
        </row>
        <row r="5">
          <cell r="A5" t="str">
            <v>0101022</v>
          </cell>
          <cell r="B5" t="str">
            <v>5473</v>
          </cell>
          <cell r="C5" t="str">
            <v>PAPA MINI KILO</v>
          </cell>
          <cell r="D5" t="str">
            <v>0101022</v>
          </cell>
          <cell r="E5" t="str">
            <v>MATERIAS PRIMAS PLANTA</v>
          </cell>
          <cell r="F5" t="str">
            <v>1 KILO</v>
          </cell>
          <cell r="G5">
            <v>500</v>
          </cell>
          <cell r="H5" t="str">
            <v>02/05/2020</v>
          </cell>
          <cell r="I5">
            <v>900</v>
          </cell>
          <cell r="J5">
            <v>900</v>
          </cell>
          <cell r="K5">
            <v>1000</v>
          </cell>
          <cell r="L5">
            <v>0.9</v>
          </cell>
          <cell r="M5" t="str">
            <v>Gramos</v>
          </cell>
        </row>
        <row r="6">
          <cell r="A6" t="str">
            <v>101025</v>
          </cell>
          <cell r="B6" t="str">
            <v>11331</v>
          </cell>
          <cell r="C6" t="str">
            <v>BROCOLI KILO</v>
          </cell>
          <cell r="D6" t="str">
            <v>101025</v>
          </cell>
          <cell r="E6" t="str">
            <v>MATERIAS PRIMAS PLANTA</v>
          </cell>
          <cell r="F6" t="str">
            <v>1 KILO</v>
          </cell>
          <cell r="G6">
            <v>500</v>
          </cell>
          <cell r="H6" t="str">
            <v>02/03/2020</v>
          </cell>
          <cell r="I6">
            <v>2210</v>
          </cell>
          <cell r="J6">
            <v>2210</v>
          </cell>
          <cell r="K6">
            <v>1000</v>
          </cell>
          <cell r="L6">
            <v>2.21</v>
          </cell>
          <cell r="M6" t="str">
            <v>Gramos</v>
          </cell>
        </row>
        <row r="7">
          <cell r="A7" t="str">
            <v>101035</v>
          </cell>
          <cell r="B7" t="str">
            <v>5507</v>
          </cell>
          <cell r="C7" t="str">
            <v>CEBOLLA PICADA (PAQ:KILO)</v>
          </cell>
          <cell r="D7" t="str">
            <v>101035</v>
          </cell>
          <cell r="E7" t="str">
            <v>MATERIAS PRIMAS PLANTA</v>
          </cell>
          <cell r="F7" t="str">
            <v xml:space="preserve">1 KILO   </v>
          </cell>
          <cell r="G7">
            <v>500</v>
          </cell>
          <cell r="H7" t="str">
            <v>15/06/2020</v>
          </cell>
          <cell r="I7">
            <v>1872</v>
          </cell>
          <cell r="J7">
            <v>1872</v>
          </cell>
          <cell r="K7">
            <v>1000</v>
          </cell>
          <cell r="L7">
            <v>1.8720000000000001</v>
          </cell>
          <cell r="M7" t="str">
            <v>Gramos</v>
          </cell>
        </row>
        <row r="8">
          <cell r="A8" t="str">
            <v>101040</v>
          </cell>
          <cell r="B8" t="str">
            <v>5506</v>
          </cell>
          <cell r="C8" t="str">
            <v>CEBOLLA TRENZA KILO</v>
          </cell>
          <cell r="D8" t="str">
            <v>101040</v>
          </cell>
          <cell r="E8" t="str">
            <v>MATERIAS PRIMAS PLANTA</v>
          </cell>
          <cell r="F8" t="str">
            <v>1 KILO</v>
          </cell>
          <cell r="G8">
            <v>500</v>
          </cell>
          <cell r="H8" t="str">
            <v>15/06/2020</v>
          </cell>
          <cell r="I8">
            <v>1231</v>
          </cell>
          <cell r="J8">
            <v>1231</v>
          </cell>
          <cell r="K8">
            <v>1000</v>
          </cell>
          <cell r="L8">
            <v>1.2310000000000001</v>
          </cell>
          <cell r="M8" t="str">
            <v>Gramos</v>
          </cell>
        </row>
        <row r="9">
          <cell r="A9" t="str">
            <v>101043</v>
          </cell>
          <cell r="B9" t="str">
            <v>5505</v>
          </cell>
          <cell r="C9" t="str">
            <v>CEBOLLA BLANCA JULIANA (PAQ:1 KILO )</v>
          </cell>
          <cell r="D9" t="str">
            <v>101043</v>
          </cell>
          <cell r="E9" t="str">
            <v>MATERIAS PRIMAS PLANTA</v>
          </cell>
          <cell r="F9" t="str">
            <v>1 PAQUETE</v>
          </cell>
          <cell r="G9">
            <v>500</v>
          </cell>
          <cell r="H9" t="str">
            <v>15/06/2020</v>
          </cell>
          <cell r="I9">
            <v>2000</v>
          </cell>
          <cell r="J9">
            <v>2000</v>
          </cell>
          <cell r="K9">
            <v>1000</v>
          </cell>
          <cell r="L9">
            <v>2</v>
          </cell>
          <cell r="M9" t="str">
            <v>Gramos</v>
          </cell>
        </row>
        <row r="10">
          <cell r="A10" t="str">
            <v>101045</v>
          </cell>
          <cell r="B10" t="str">
            <v>5435</v>
          </cell>
          <cell r="C10" t="str">
            <v>CEBOLLINO KILO</v>
          </cell>
          <cell r="D10" t="str">
            <v>101045</v>
          </cell>
          <cell r="E10" t="str">
            <v>MATERIAS PRIMAS PLANTA</v>
          </cell>
          <cell r="F10" t="str">
            <v>1 KILO</v>
          </cell>
          <cell r="G10">
            <v>500</v>
          </cell>
          <cell r="H10" t="str">
            <v>11/06/2020</v>
          </cell>
          <cell r="I10">
            <v>1795</v>
          </cell>
          <cell r="J10">
            <v>1795</v>
          </cell>
          <cell r="K10">
            <v>1000</v>
          </cell>
          <cell r="L10">
            <v>1.7949999999999999</v>
          </cell>
          <cell r="M10" t="str">
            <v>Gramos</v>
          </cell>
        </row>
        <row r="11">
          <cell r="A11" t="str">
            <v>101050</v>
          </cell>
          <cell r="B11" t="str">
            <v>5428</v>
          </cell>
          <cell r="C11" t="str">
            <v>CHAYOTE (UND)</v>
          </cell>
          <cell r="D11" t="str">
            <v>101050</v>
          </cell>
          <cell r="E11" t="str">
            <v>MATERIAS PRIMAS PLANTA</v>
          </cell>
          <cell r="F11" t="str">
            <v>1 UND</v>
          </cell>
          <cell r="G11">
            <v>500</v>
          </cell>
          <cell r="H11" t="str">
            <v>24/02/2020</v>
          </cell>
          <cell r="I11">
            <v>150</v>
          </cell>
          <cell r="J11">
            <v>150</v>
          </cell>
          <cell r="K11"/>
          <cell r="L11" t="e">
            <v>#DIV/0!</v>
          </cell>
          <cell r="M11"/>
        </row>
        <row r="12">
          <cell r="A12" t="str">
            <v>101051</v>
          </cell>
          <cell r="B12" t="str">
            <v>5443</v>
          </cell>
          <cell r="C12" t="str">
            <v>CHAYOTE PICADO (PAQ:1 KILO)</v>
          </cell>
          <cell r="D12" t="str">
            <v>101051</v>
          </cell>
          <cell r="E12" t="str">
            <v>MATERIAS PRIMAS PLANTA</v>
          </cell>
          <cell r="F12" t="str">
            <v>1 PAQUETE</v>
          </cell>
          <cell r="G12">
            <v>500</v>
          </cell>
          <cell r="H12" t="str">
            <v>15/06/2020</v>
          </cell>
          <cell r="I12">
            <v>1029</v>
          </cell>
          <cell r="J12">
            <v>1029</v>
          </cell>
          <cell r="K12">
            <v>1000</v>
          </cell>
          <cell r="L12">
            <v>1.0289999999999999</v>
          </cell>
        </row>
        <row r="13">
          <cell r="A13" t="str">
            <v>101055</v>
          </cell>
          <cell r="B13" t="str">
            <v>5492</v>
          </cell>
          <cell r="C13" t="str">
            <v>CHILE DULCE ENTERO KILO</v>
          </cell>
          <cell r="D13" t="str">
            <v>101055</v>
          </cell>
          <cell r="E13" t="str">
            <v>MATERIAS PRIMAS PLANTA</v>
          </cell>
          <cell r="F13" t="str">
            <v xml:space="preserve">1 KILO </v>
          </cell>
          <cell r="G13">
            <v>500</v>
          </cell>
          <cell r="H13" t="str">
            <v>15/06/2020</v>
          </cell>
          <cell r="I13">
            <v>1095</v>
          </cell>
          <cell r="J13">
            <v>1095</v>
          </cell>
          <cell r="K13">
            <v>1000</v>
          </cell>
          <cell r="L13">
            <v>1.095</v>
          </cell>
          <cell r="M13" t="str">
            <v>Gramos</v>
          </cell>
        </row>
        <row r="14">
          <cell r="A14" t="str">
            <v>101072</v>
          </cell>
          <cell r="B14" t="str">
            <v>5504</v>
          </cell>
          <cell r="C14" t="str">
            <v>CULANTRO DESINFECTADO (PAQ:100g)</v>
          </cell>
          <cell r="D14" t="str">
            <v>101072</v>
          </cell>
          <cell r="E14" t="str">
            <v>MATERIAS PRIMAS PLANTA</v>
          </cell>
          <cell r="F14" t="str">
            <v>1 PAQUETE</v>
          </cell>
          <cell r="G14">
            <v>500</v>
          </cell>
          <cell r="H14" t="str">
            <v>15/06/2020</v>
          </cell>
          <cell r="I14">
            <v>359</v>
          </cell>
          <cell r="J14">
            <v>370</v>
          </cell>
          <cell r="K14">
            <v>100</v>
          </cell>
          <cell r="L14">
            <v>3.7</v>
          </cell>
          <cell r="M14" t="str">
            <v>Gramos</v>
          </cell>
        </row>
        <row r="15">
          <cell r="A15" t="str">
            <v>101073</v>
          </cell>
          <cell r="B15" t="str">
            <v>5503</v>
          </cell>
          <cell r="C15" t="str">
            <v>CULANTRO DESINFECTADO (PAQ:250g)</v>
          </cell>
          <cell r="D15" t="str">
            <v>101073</v>
          </cell>
          <cell r="E15" t="str">
            <v>MATERIAS PRIMAS PLANTA</v>
          </cell>
          <cell r="F15" t="str">
            <v>1 PAQUETE</v>
          </cell>
          <cell r="G15">
            <v>500</v>
          </cell>
          <cell r="H15" t="str">
            <v>13/06/2020</v>
          </cell>
          <cell r="I15">
            <v>687</v>
          </cell>
          <cell r="J15">
            <v>708.25</v>
          </cell>
          <cell r="K15">
            <v>250</v>
          </cell>
          <cell r="L15">
            <v>2.8330000000000002</v>
          </cell>
          <cell r="M15" t="str">
            <v>Gramos</v>
          </cell>
        </row>
        <row r="16">
          <cell r="A16" t="str">
            <v>0101074</v>
          </cell>
          <cell r="B16" t="str">
            <v>5453</v>
          </cell>
          <cell r="C16" t="str">
            <v>PEREJIL DESINFECTADO (PAQ: 250g)</v>
          </cell>
          <cell r="D16" t="str">
            <v>0101074</v>
          </cell>
          <cell r="E16" t="str">
            <v>MATERIAS PRIMAS PLANTA</v>
          </cell>
          <cell r="F16" t="str">
            <v>1 PAQUETE</v>
          </cell>
          <cell r="G16">
            <v>500</v>
          </cell>
          <cell r="H16" t="str">
            <v>13/06/2020</v>
          </cell>
          <cell r="I16">
            <v>2051</v>
          </cell>
          <cell r="J16">
            <v>2051</v>
          </cell>
          <cell r="K16">
            <v>250</v>
          </cell>
          <cell r="L16">
            <v>8.2040000000000006</v>
          </cell>
          <cell r="M16" t="str">
            <v>Gramos</v>
          </cell>
        </row>
        <row r="17">
          <cell r="A17" t="str">
            <v>0101075</v>
          </cell>
          <cell r="B17" t="str">
            <v>5472</v>
          </cell>
          <cell r="C17" t="str">
            <v>ESPINACA EN HOJA (PAQ:500g)</v>
          </cell>
          <cell r="D17" t="str">
            <v>0101075</v>
          </cell>
          <cell r="E17" t="str">
            <v>MATERIAS PRIMAS PLANTA</v>
          </cell>
          <cell r="F17" t="str">
            <v>1 PAQUETE</v>
          </cell>
          <cell r="G17">
            <v>500</v>
          </cell>
          <cell r="H17" t="str">
            <v>15/06/2020</v>
          </cell>
          <cell r="I17">
            <v>1464.7</v>
          </cell>
          <cell r="J17">
            <v>1118</v>
          </cell>
          <cell r="K17">
            <v>500</v>
          </cell>
          <cell r="L17">
            <v>2.2360000000000002</v>
          </cell>
          <cell r="M17" t="str">
            <v>Gramos</v>
          </cell>
        </row>
        <row r="18">
          <cell r="A18" t="str">
            <v>101081</v>
          </cell>
          <cell r="B18" t="str">
            <v>5423</v>
          </cell>
          <cell r="C18" t="str">
            <v>FRESA PICADA KILO</v>
          </cell>
          <cell r="D18" t="str">
            <v>101081</v>
          </cell>
          <cell r="E18" t="str">
            <v>MATERIAS PRIMAS PLANTA</v>
          </cell>
          <cell r="F18" t="str">
            <v>1 KILO</v>
          </cell>
          <cell r="G18">
            <v>500</v>
          </cell>
          <cell r="H18" t="str">
            <v>12/06/2020</v>
          </cell>
          <cell r="I18">
            <v>2425</v>
          </cell>
          <cell r="J18">
            <v>970</v>
          </cell>
          <cell r="K18">
            <v>1000</v>
          </cell>
          <cell r="L18">
            <v>0.97</v>
          </cell>
          <cell r="M18" t="str">
            <v>Gramos</v>
          </cell>
        </row>
        <row r="19">
          <cell r="A19" t="str">
            <v>0101100</v>
          </cell>
          <cell r="B19" t="str">
            <v>8141</v>
          </cell>
          <cell r="C19" t="str">
            <v>HOJA TAMAL KILO</v>
          </cell>
          <cell r="D19" t="str">
            <v>0101100</v>
          </cell>
          <cell r="E19" t="str">
            <v>MATERIAS PRIMAS PLANTA</v>
          </cell>
          <cell r="F19" t="str">
            <v>1 KILO</v>
          </cell>
          <cell r="G19">
            <v>500</v>
          </cell>
          <cell r="H19" t="str">
            <v>12/03/2020</v>
          </cell>
          <cell r="I19">
            <v>900</v>
          </cell>
          <cell r="J19">
            <v>1300</v>
          </cell>
          <cell r="K19">
            <v>1000</v>
          </cell>
          <cell r="L19">
            <v>1.3</v>
          </cell>
          <cell r="M19" t="str">
            <v>Gramos</v>
          </cell>
        </row>
        <row r="20">
          <cell r="A20" t="str">
            <v>0101105</v>
          </cell>
          <cell r="B20" t="str">
            <v>11447</v>
          </cell>
          <cell r="C20" t="str">
            <v>HONGO FRESCO REBANADO (KILO)</v>
          </cell>
          <cell r="D20" t="str">
            <v>0101105</v>
          </cell>
          <cell r="E20" t="str">
            <v>MATERIAS PRIMAS PLANTA</v>
          </cell>
          <cell r="F20" t="str">
            <v>1 KILO</v>
          </cell>
          <cell r="G20">
            <v>500</v>
          </cell>
          <cell r="H20" t="str">
            <v>15/06/2020</v>
          </cell>
          <cell r="I20">
            <v>3335</v>
          </cell>
          <cell r="J20">
            <v>3150</v>
          </cell>
          <cell r="K20">
            <v>1000</v>
          </cell>
          <cell r="L20">
            <v>3.15</v>
          </cell>
          <cell r="M20" t="str">
            <v>Gramos</v>
          </cell>
        </row>
        <row r="21">
          <cell r="A21" t="str">
            <v>0101107</v>
          </cell>
          <cell r="B21" t="str">
            <v>5298</v>
          </cell>
          <cell r="C21" t="str">
            <v>HONGO REBANADOS (UND: 2.84 kg)</v>
          </cell>
          <cell r="D21" t="str">
            <v>0101107</v>
          </cell>
          <cell r="E21" t="str">
            <v>MATERIAS PRIMAS PLANTA</v>
          </cell>
          <cell r="F21" t="str">
            <v>1 UND</v>
          </cell>
          <cell r="G21">
            <v>500</v>
          </cell>
          <cell r="H21" t="str">
            <v>08/06/2020</v>
          </cell>
          <cell r="I21">
            <v>3416</v>
          </cell>
          <cell r="J21">
            <v>5021</v>
          </cell>
          <cell r="K21">
            <v>2840</v>
          </cell>
          <cell r="L21">
            <v>1.7679577464788732</v>
          </cell>
          <cell r="M21" t="str">
            <v>Gramos</v>
          </cell>
        </row>
        <row r="22">
          <cell r="A22" t="str">
            <v>101115</v>
          </cell>
          <cell r="B22" t="str">
            <v>5500</v>
          </cell>
          <cell r="C22" t="str">
            <v>CHILE DULCE PICADO (PAQ:500g)</v>
          </cell>
          <cell r="D22" t="str">
            <v>101115</v>
          </cell>
          <cell r="E22" t="str">
            <v>MATERIAS PRIMAS PLANTA</v>
          </cell>
          <cell r="F22" t="str">
            <v>1 PAQUETE</v>
          </cell>
          <cell r="G22">
            <v>500</v>
          </cell>
          <cell r="H22" t="str">
            <v>15/06/2020</v>
          </cell>
          <cell r="I22">
            <v>1121.7</v>
          </cell>
          <cell r="J22">
            <v>1095</v>
          </cell>
          <cell r="K22">
            <v>500</v>
          </cell>
          <cell r="L22">
            <v>2.19</v>
          </cell>
          <cell r="M22" t="str">
            <v>Gramos</v>
          </cell>
        </row>
        <row r="23">
          <cell r="A23" t="str">
            <v>0101130</v>
          </cell>
          <cell r="B23" t="str">
            <v>5497</v>
          </cell>
          <cell r="C23" t="str">
            <v>LIMONES MAYA (UND)</v>
          </cell>
          <cell r="D23" t="str">
            <v>0101130</v>
          </cell>
          <cell r="E23" t="str">
            <v>MATERIAS PRIMAS PLANTA</v>
          </cell>
          <cell r="F23" t="str">
            <v>1 UND</v>
          </cell>
          <cell r="G23">
            <v>500</v>
          </cell>
          <cell r="H23" t="str">
            <v>15/06/2020</v>
          </cell>
          <cell r="I23">
            <v>224.91</v>
          </cell>
          <cell r="J23">
            <v>230</v>
          </cell>
          <cell r="K23">
            <v>1</v>
          </cell>
          <cell r="L23">
            <v>230</v>
          </cell>
          <cell r="M23" t="str">
            <v>und</v>
          </cell>
        </row>
        <row r="24">
          <cell r="A24" t="str">
            <v>0101132</v>
          </cell>
          <cell r="B24" t="str">
            <v>5654</v>
          </cell>
          <cell r="C24" t="str">
            <v>LIMON EN POLVO (SACO:25 KG)</v>
          </cell>
          <cell r="D24" t="str">
            <v>0101132</v>
          </cell>
          <cell r="E24" t="str">
            <v>MATERIAS PRIMAS PLANTA</v>
          </cell>
          <cell r="F24" t="str">
            <v xml:space="preserve">1 SACO </v>
          </cell>
          <cell r="G24">
            <v>500</v>
          </cell>
          <cell r="H24" t="str">
            <v>08/06/2020</v>
          </cell>
          <cell r="I24">
            <v>90646.25</v>
          </cell>
          <cell r="J24">
            <v>150000</v>
          </cell>
          <cell r="K24">
            <v>25000</v>
          </cell>
          <cell r="L24">
            <v>6</v>
          </cell>
          <cell r="M24" t="str">
            <v>Gramos</v>
          </cell>
        </row>
        <row r="25">
          <cell r="A25" t="str">
            <v>0101133</v>
          </cell>
          <cell r="B25" t="str">
            <v>5496</v>
          </cell>
          <cell r="C25" t="str">
            <v>LECHUGA MIX CUADRO # 2 (PAQ:500g)</v>
          </cell>
          <cell r="D25" t="str">
            <v>0101133</v>
          </cell>
          <cell r="E25" t="str">
            <v>MATERIAS PRIMAS PLANTA</v>
          </cell>
          <cell r="F25" t="str">
            <v>1 PAQUETE</v>
          </cell>
          <cell r="G25">
            <v>500</v>
          </cell>
          <cell r="H25" t="str">
            <v>15/06/2020</v>
          </cell>
          <cell r="I25">
            <v>1046.5</v>
          </cell>
          <cell r="J25">
            <v>995</v>
          </cell>
          <cell r="K25">
            <v>500</v>
          </cell>
          <cell r="L25">
            <v>1.99</v>
          </cell>
          <cell r="M25"/>
        </row>
        <row r="26">
          <cell r="A26" t="str">
            <v>101150</v>
          </cell>
          <cell r="B26" t="str">
            <v>5494</v>
          </cell>
          <cell r="C26" t="str">
            <v>APIO PICADO (PAQ:500gr)</v>
          </cell>
          <cell r="D26" t="str">
            <v>101150</v>
          </cell>
          <cell r="E26" t="str">
            <v>MATERIAS PRIMAS PLANTA</v>
          </cell>
          <cell r="F26" t="str">
            <v>1 PAQUETE</v>
          </cell>
          <cell r="G26">
            <v>500</v>
          </cell>
          <cell r="H26" t="str">
            <v>13/06/2020</v>
          </cell>
          <cell r="I26">
            <v>893.8</v>
          </cell>
          <cell r="J26">
            <v>921.44</v>
          </cell>
          <cell r="K26">
            <v>500</v>
          </cell>
          <cell r="L26">
            <v>1.8428800000000001</v>
          </cell>
          <cell r="M26" t="str">
            <v>Gramos</v>
          </cell>
        </row>
        <row r="27">
          <cell r="A27" t="str">
            <v>0101155</v>
          </cell>
          <cell r="B27" t="str">
            <v>5516</v>
          </cell>
          <cell r="C27" t="str">
            <v>PALMITO CRUDO KILO</v>
          </cell>
          <cell r="D27" t="str">
            <v>0101155</v>
          </cell>
          <cell r="E27" t="str">
            <v>MATERIAS PRIMAS PLANTA</v>
          </cell>
          <cell r="F27" t="str">
            <v>1 KILO</v>
          </cell>
          <cell r="G27">
            <v>500</v>
          </cell>
          <cell r="H27" t="str">
            <v>08/06/2020</v>
          </cell>
          <cell r="I27">
            <v>2000</v>
          </cell>
          <cell r="J27">
            <v>3000</v>
          </cell>
          <cell r="K27">
            <v>1000</v>
          </cell>
          <cell r="L27">
            <v>3</v>
          </cell>
          <cell r="M27" t="str">
            <v>Gramos</v>
          </cell>
        </row>
        <row r="28">
          <cell r="A28" t="str">
            <v>0101166</v>
          </cell>
          <cell r="B28" t="str">
            <v>5491</v>
          </cell>
          <cell r="C28" t="str">
            <v>PAPA PICADA (PAQ:1 KILO)</v>
          </cell>
          <cell r="D28" t="str">
            <v>0101166</v>
          </cell>
          <cell r="E28" t="str">
            <v>MATERIAS PRIMAS PLANTA</v>
          </cell>
          <cell r="F28" t="str">
            <v>1 PAQUETE</v>
          </cell>
          <cell r="G28">
            <v>500</v>
          </cell>
          <cell r="H28" t="str">
            <v>13/06/2020</v>
          </cell>
          <cell r="I28">
            <v>1584.1</v>
          </cell>
          <cell r="J28">
            <v>1546.39</v>
          </cell>
          <cell r="K28">
            <v>1000</v>
          </cell>
          <cell r="L28">
            <v>1.5463900000000002</v>
          </cell>
          <cell r="M28" t="str">
            <v>Gramos</v>
          </cell>
        </row>
        <row r="29">
          <cell r="A29" t="str">
            <v>0101210</v>
          </cell>
          <cell r="B29" t="str">
            <v>5487</v>
          </cell>
          <cell r="C29" t="str">
            <v>TOMATE KILO</v>
          </cell>
          <cell r="D29" t="str">
            <v>0101210</v>
          </cell>
          <cell r="E29" t="str">
            <v>MATERIAS PRIMAS PLANTA</v>
          </cell>
          <cell r="F29" t="str">
            <v>1 KILO</v>
          </cell>
          <cell r="G29">
            <v>500</v>
          </cell>
          <cell r="H29" t="str">
            <v>15/06/2020</v>
          </cell>
          <cell r="I29">
            <v>680</v>
          </cell>
          <cell r="J29">
            <v>680</v>
          </cell>
          <cell r="K29">
            <v>1000</v>
          </cell>
          <cell r="L29">
            <v>0.68</v>
          </cell>
          <cell r="M29" t="str">
            <v>Gramos</v>
          </cell>
        </row>
        <row r="30">
          <cell r="A30" t="str">
            <v>0101236</v>
          </cell>
          <cell r="B30" t="str">
            <v>7033</v>
          </cell>
          <cell r="C30" t="str">
            <v>ZANAHORIA JULIANA (PAQ:1 KILO)</v>
          </cell>
          <cell r="D30" t="str">
            <v>0101236</v>
          </cell>
          <cell r="E30" t="str">
            <v>MATERIAS PRIMAS PLANTA</v>
          </cell>
          <cell r="F30" t="str">
            <v>1 PAQUETE</v>
          </cell>
          <cell r="G30">
            <v>500</v>
          </cell>
          <cell r="H30" t="str">
            <v>15/06/2020</v>
          </cell>
          <cell r="I30">
            <v>1841</v>
          </cell>
          <cell r="J30">
            <v>1841</v>
          </cell>
          <cell r="K30">
            <v>1000</v>
          </cell>
          <cell r="L30">
            <v>1.841</v>
          </cell>
          <cell r="M30"/>
        </row>
        <row r="31">
          <cell r="A31" t="str">
            <v>0101240</v>
          </cell>
          <cell r="B31" t="str">
            <v>5444</v>
          </cell>
          <cell r="C31" t="str">
            <v>ZANAHORIA ENTERA KILO</v>
          </cell>
          <cell r="D31" t="str">
            <v>0101240</v>
          </cell>
          <cell r="E31" t="str">
            <v>MATERIAS PRIMAS PLANTA</v>
          </cell>
          <cell r="F31" t="str">
            <v>1 KILO</v>
          </cell>
          <cell r="G31">
            <v>500</v>
          </cell>
          <cell r="H31" t="str">
            <v>13/06/2020</v>
          </cell>
          <cell r="I31">
            <v>615</v>
          </cell>
          <cell r="J31">
            <v>615</v>
          </cell>
          <cell r="K31">
            <v>1000</v>
          </cell>
          <cell r="L31">
            <v>0.61499999999999999</v>
          </cell>
          <cell r="M31" t="str">
            <v>Gramos</v>
          </cell>
        </row>
        <row r="32">
          <cell r="A32" t="str">
            <v>0101241</v>
          </cell>
          <cell r="B32" t="str">
            <v>5485</v>
          </cell>
          <cell r="C32" t="str">
            <v>ZANAHORIA PICADA (PAQ:1 KILO)</v>
          </cell>
          <cell r="D32" t="str">
            <v>0101241</v>
          </cell>
          <cell r="E32" t="str">
            <v>MATERIAS PRIMAS PLANTA</v>
          </cell>
          <cell r="F32" t="str">
            <v>1 PAQUETE</v>
          </cell>
          <cell r="G32">
            <v>500</v>
          </cell>
          <cell r="H32" t="str">
            <v>04/06/2020</v>
          </cell>
          <cell r="I32">
            <v>1020</v>
          </cell>
          <cell r="J32">
            <v>1020</v>
          </cell>
          <cell r="K32">
            <v>1000</v>
          </cell>
          <cell r="L32">
            <v>1.02</v>
          </cell>
          <cell r="M32"/>
        </row>
        <row r="33">
          <cell r="A33" t="str">
            <v>0101248</v>
          </cell>
          <cell r="B33" t="str">
            <v>5441</v>
          </cell>
          <cell r="C33" t="str">
            <v>ZUQUINI KILO</v>
          </cell>
          <cell r="D33" t="str">
            <v>0101248</v>
          </cell>
          <cell r="E33" t="str">
            <v>MATERIAS PRIMAS PLANTA</v>
          </cell>
          <cell r="F33" t="str">
            <v>1 KILO</v>
          </cell>
          <cell r="G33">
            <v>500</v>
          </cell>
          <cell r="H33" t="str">
            <v>14/05/2020</v>
          </cell>
          <cell r="I33">
            <v>575</v>
          </cell>
          <cell r="J33">
            <v>575</v>
          </cell>
          <cell r="K33">
            <v>1000</v>
          </cell>
          <cell r="L33">
            <v>0.57499999999999996</v>
          </cell>
          <cell r="M33" t="str">
            <v>Gramos</v>
          </cell>
        </row>
        <row r="34">
          <cell r="A34" t="str">
            <v>101260</v>
          </cell>
          <cell r="B34" t="str">
            <v>5457</v>
          </cell>
          <cell r="C34" t="str">
            <v>ALBAHACA KILO</v>
          </cell>
          <cell r="D34" t="str">
            <v>101260</v>
          </cell>
          <cell r="E34" t="str">
            <v>MATERIAS PRIMAS PLANTA</v>
          </cell>
          <cell r="F34" t="str">
            <v>1 KILO</v>
          </cell>
          <cell r="G34">
            <v>500</v>
          </cell>
          <cell r="H34" t="str">
            <v>13/06/2020</v>
          </cell>
          <cell r="I34">
            <v>5251</v>
          </cell>
          <cell r="J34">
            <v>5370</v>
          </cell>
          <cell r="K34">
            <v>1000</v>
          </cell>
          <cell r="L34">
            <v>5.37</v>
          </cell>
          <cell r="M34" t="str">
            <v>Gramos</v>
          </cell>
        </row>
        <row r="35">
          <cell r="A35" t="str">
            <v>109254</v>
          </cell>
          <cell r="B35" t="str">
            <v>12095</v>
          </cell>
          <cell r="C35" t="str">
            <v>VASO 3.25 ONZ (PAQ*200)</v>
          </cell>
          <cell r="D35" t="str">
            <v>109254</v>
          </cell>
          <cell r="E35" t="str">
            <v>EMPAQUES PLANTA</v>
          </cell>
          <cell r="F35" t="str">
            <v>1 PAQUETE</v>
          </cell>
          <cell r="G35">
            <v>500</v>
          </cell>
          <cell r="H35" t="str">
            <v>11/06/2020</v>
          </cell>
          <cell r="I35">
            <v>2472.6666666666702</v>
          </cell>
          <cell r="J35">
            <v>0</v>
          </cell>
          <cell r="K35">
            <v>200</v>
          </cell>
          <cell r="L35">
            <v>0</v>
          </cell>
          <cell r="M35"/>
        </row>
        <row r="36">
          <cell r="A36" t="str">
            <v>0110060</v>
          </cell>
          <cell r="B36" t="str">
            <v>5471</v>
          </cell>
          <cell r="C36" t="str">
            <v>PULPA DE TAMARINDO KILO</v>
          </cell>
          <cell r="D36" t="str">
            <v>0110060</v>
          </cell>
          <cell r="E36" t="str">
            <v>MATERIAS PRIMAS PLANTA</v>
          </cell>
          <cell r="F36" t="str">
            <v>1 KILO</v>
          </cell>
          <cell r="G36">
            <v>500</v>
          </cell>
          <cell r="H36" t="str">
            <v>16/06/2020</v>
          </cell>
          <cell r="I36">
            <v>1500</v>
          </cell>
          <cell r="J36">
            <v>2300</v>
          </cell>
          <cell r="K36">
            <v>1000</v>
          </cell>
          <cell r="L36">
            <v>2.2999999999999998</v>
          </cell>
          <cell r="M36" t="str">
            <v>Gramos</v>
          </cell>
        </row>
        <row r="37">
          <cell r="A37" t="str">
            <v>110080</v>
          </cell>
          <cell r="B37" t="str">
            <v>5502</v>
          </cell>
          <cell r="C37" t="str">
            <v>CEBOLLA MORADA KILO</v>
          </cell>
          <cell r="D37" t="str">
            <v>0110080</v>
          </cell>
          <cell r="E37" t="str">
            <v>MATERIAS PRIMAS PLANTA</v>
          </cell>
          <cell r="F37" t="str">
            <v xml:space="preserve">1 KILO </v>
          </cell>
          <cell r="G37">
            <v>500</v>
          </cell>
          <cell r="H37" t="str">
            <v>04/06/2020</v>
          </cell>
          <cell r="I37">
            <v>1500</v>
          </cell>
          <cell r="J37">
            <v>1500</v>
          </cell>
          <cell r="K37">
            <v>1000</v>
          </cell>
          <cell r="L37">
            <v>1.5</v>
          </cell>
          <cell r="M37" t="str">
            <v>Gramos</v>
          </cell>
        </row>
        <row r="38">
          <cell r="A38" t="str">
            <v>0110085</v>
          </cell>
          <cell r="B38" t="str">
            <v>5438</v>
          </cell>
          <cell r="C38" t="str">
            <v>PLATANO VERDE PICADO KILO</v>
          </cell>
          <cell r="D38" t="str">
            <v>0110085</v>
          </cell>
          <cell r="E38" t="str">
            <v>MATERIAS PRIMAS PLANTA</v>
          </cell>
          <cell r="F38" t="str">
            <v>1 KILO</v>
          </cell>
          <cell r="G38">
            <v>500</v>
          </cell>
          <cell r="H38" t="str">
            <v>30/05/2020</v>
          </cell>
          <cell r="I38">
            <v>1474</v>
          </cell>
          <cell r="J38">
            <v>1474</v>
          </cell>
          <cell r="K38">
            <v>1000</v>
          </cell>
          <cell r="L38">
            <v>1.474</v>
          </cell>
          <cell r="M38" t="str">
            <v>Gramos</v>
          </cell>
        </row>
        <row r="39">
          <cell r="A39" t="str">
            <v>0110086</v>
          </cell>
          <cell r="B39" t="str">
            <v>5461</v>
          </cell>
          <cell r="C39" t="str">
            <v>TOMILLO FRESCO ROLLO KILO</v>
          </cell>
          <cell r="D39" t="str">
            <v>0110086</v>
          </cell>
          <cell r="E39" t="str">
            <v>MATERIAS PRIMAS PLANTA</v>
          </cell>
          <cell r="F39" t="str">
            <v>1 KILO</v>
          </cell>
          <cell r="G39">
            <v>500</v>
          </cell>
          <cell r="H39" t="str">
            <v>16/06/2020</v>
          </cell>
          <cell r="I39">
            <v>5500</v>
          </cell>
          <cell r="J39">
            <v>5500</v>
          </cell>
          <cell r="K39">
            <v>1000</v>
          </cell>
          <cell r="L39">
            <v>5.5</v>
          </cell>
          <cell r="M39" t="str">
            <v>Gramos</v>
          </cell>
        </row>
        <row r="40">
          <cell r="A40" t="str">
            <v>121208</v>
          </cell>
          <cell r="B40" t="str">
            <v>5862</v>
          </cell>
          <cell r="C40" t="str">
            <v>QUEQUERA PLAST 12 CENT (CAJA:250UND)</v>
          </cell>
          <cell r="D40" t="str">
            <v>121208</v>
          </cell>
          <cell r="E40" t="str">
            <v>EMPAQUES PLANTA</v>
          </cell>
          <cell r="F40" t="str">
            <v>1 CAJA</v>
          </cell>
          <cell r="G40">
            <v>500</v>
          </cell>
          <cell r="H40" t="str">
            <v>08/06/2020</v>
          </cell>
          <cell r="I40">
            <v>17623</v>
          </cell>
          <cell r="J40">
            <v>17623</v>
          </cell>
          <cell r="K40">
            <v>250</v>
          </cell>
          <cell r="L40">
            <v>70.492000000000004</v>
          </cell>
          <cell r="M40" t="str">
            <v>UND</v>
          </cell>
        </row>
        <row r="41">
          <cell r="A41" t="str">
            <v>121603</v>
          </cell>
          <cell r="B41" t="str">
            <v>11191</v>
          </cell>
          <cell r="C41" t="str">
            <v>QUEQUERA RED  BASE/DOMO 10 (CAJA:50)</v>
          </cell>
          <cell r="D41" t="str">
            <v>121603</v>
          </cell>
          <cell r="E41" t="str">
            <v>EMPAQUES PLANTA</v>
          </cell>
          <cell r="F41" t="str">
            <v>1 CAJA</v>
          </cell>
          <cell r="G41">
            <v>500</v>
          </cell>
          <cell r="H41" t="str">
            <v>15/06/2020</v>
          </cell>
          <cell r="I41">
            <v>24141</v>
          </cell>
          <cell r="J41">
            <v>37552</v>
          </cell>
          <cell r="K41">
            <v>50</v>
          </cell>
          <cell r="L41">
            <v>751.04</v>
          </cell>
          <cell r="M41" t="str">
            <v>UND</v>
          </cell>
        </row>
        <row r="42">
          <cell r="A42" t="str">
            <v>176799</v>
          </cell>
          <cell r="B42" t="str">
            <v>12665</v>
          </cell>
          <cell r="C42" t="str">
            <v>ENELDO SECO (UND:141 G)</v>
          </cell>
          <cell r="D42" t="str">
            <v>176799</v>
          </cell>
          <cell r="E42" t="str">
            <v>MATERIAS PRIMAS PLANTA</v>
          </cell>
          <cell r="F42" t="str">
            <v>1 UND</v>
          </cell>
          <cell r="G42">
            <v>500</v>
          </cell>
          <cell r="H42" t="str">
            <v>08/06/2020</v>
          </cell>
          <cell r="I42">
            <v>2211</v>
          </cell>
          <cell r="J42">
            <v>2412</v>
          </cell>
          <cell r="K42">
            <v>141</v>
          </cell>
          <cell r="L42">
            <v>17.106382978723403</v>
          </cell>
          <cell r="M42" t="str">
            <v>Gramos</v>
          </cell>
        </row>
        <row r="43">
          <cell r="A43" t="str">
            <v>0210047</v>
          </cell>
          <cell r="B43" t="str">
            <v>5379</v>
          </cell>
          <cell r="C43" t="str">
            <v xml:space="preserve">CHICHARON KILO </v>
          </cell>
          <cell r="D43" t="str">
            <v>0210047</v>
          </cell>
          <cell r="E43" t="str">
            <v>MATERIAS PRIMAS PLANTA</v>
          </cell>
          <cell r="F43" t="str">
            <v>1 KILO</v>
          </cell>
          <cell r="G43">
            <v>500</v>
          </cell>
          <cell r="H43" t="str">
            <v>13/06/2020</v>
          </cell>
          <cell r="I43">
            <v>5900</v>
          </cell>
          <cell r="J43">
            <v>6295</v>
          </cell>
          <cell r="K43">
            <v>1000</v>
          </cell>
          <cell r="L43">
            <v>6.2949999999999999</v>
          </cell>
          <cell r="M43" t="str">
            <v>Gramos</v>
          </cell>
        </row>
        <row r="44">
          <cell r="A44" t="str">
            <v>210060</v>
          </cell>
          <cell r="B44" t="str">
            <v>5377</v>
          </cell>
          <cell r="C44" t="str">
            <v>CHORIZO  CRIOLLO KILO</v>
          </cell>
          <cell r="D44" t="str">
            <v>210060</v>
          </cell>
          <cell r="E44" t="str">
            <v>MATERIAS PRIMAS PLANTA</v>
          </cell>
          <cell r="F44" t="str">
            <v>1 KILO</v>
          </cell>
          <cell r="G44">
            <v>500</v>
          </cell>
          <cell r="H44" t="str">
            <v>02/06/2020</v>
          </cell>
          <cell r="I44">
            <v>2195</v>
          </cell>
          <cell r="J44">
            <v>2395</v>
          </cell>
          <cell r="K44">
            <v>1000</v>
          </cell>
          <cell r="L44">
            <v>2.395</v>
          </cell>
          <cell r="M44" t="str">
            <v>Gramos</v>
          </cell>
        </row>
        <row r="45">
          <cell r="A45" t="str">
            <v>210069</v>
          </cell>
          <cell r="B45" t="str">
            <v>5376</v>
          </cell>
          <cell r="C45" t="str">
            <v>CARNE MOLIDA RES PREMIUM KILO</v>
          </cell>
          <cell r="D45" t="str">
            <v>210069</v>
          </cell>
          <cell r="E45" t="str">
            <v>MATERIAS PRIMAS PLANTA</v>
          </cell>
          <cell r="F45" t="str">
            <v>1 KILO</v>
          </cell>
          <cell r="G45">
            <v>500</v>
          </cell>
          <cell r="H45" t="str">
            <v>30/05/2020</v>
          </cell>
          <cell r="I45">
            <v>3495</v>
          </cell>
          <cell r="J45">
            <v>3695</v>
          </cell>
          <cell r="K45">
            <v>1000</v>
          </cell>
          <cell r="L45">
            <v>3.6949999999999998</v>
          </cell>
          <cell r="M45" t="str">
            <v>Gramos</v>
          </cell>
        </row>
        <row r="46">
          <cell r="A46" t="str">
            <v>0210070</v>
          </cell>
          <cell r="B46" t="str">
            <v>5369</v>
          </cell>
          <cell r="C46" t="str">
            <v>PECHUGA FILET S/ PIEL Y S/ GRASA KILO</v>
          </cell>
          <cell r="D46" t="str">
            <v>0210070</v>
          </cell>
          <cell r="E46" t="str">
            <v>MATERIAS PRIMAS PLANTA</v>
          </cell>
          <cell r="F46" t="str">
            <v>1 KILO</v>
          </cell>
          <cell r="G46">
            <v>500</v>
          </cell>
          <cell r="H46" t="str">
            <v>15/06/2020</v>
          </cell>
          <cell r="I46">
            <v>3150</v>
          </cell>
          <cell r="J46">
            <v>3750</v>
          </cell>
          <cell r="K46">
            <v>1000</v>
          </cell>
          <cell r="L46">
            <v>3.75</v>
          </cell>
          <cell r="M46" t="str">
            <v>Gramos</v>
          </cell>
        </row>
        <row r="47">
          <cell r="A47" t="str">
            <v>0210076</v>
          </cell>
          <cell r="B47" t="str">
            <v>11354</v>
          </cell>
          <cell r="C47" t="str">
            <v>LOMITO DE CERDO KILO</v>
          </cell>
          <cell r="D47" t="str">
            <v>0210076</v>
          </cell>
          <cell r="E47" t="str">
            <v>MATERIAS PRIMAS PLANTA</v>
          </cell>
          <cell r="F47" t="str">
            <v>1 KILO</v>
          </cell>
          <cell r="G47">
            <v>500</v>
          </cell>
          <cell r="H47" t="str">
            <v>28/12/2019</v>
          </cell>
          <cell r="I47">
            <v>4995</v>
          </cell>
          <cell r="J47">
            <v>0</v>
          </cell>
          <cell r="K47">
            <v>1000</v>
          </cell>
          <cell r="L47">
            <v>0</v>
          </cell>
          <cell r="M47" t="str">
            <v>Gramos</v>
          </cell>
        </row>
        <row r="48">
          <cell r="A48" t="str">
            <v>0210093</v>
          </cell>
          <cell r="B48" t="str">
            <v>5375</v>
          </cell>
          <cell r="C48" t="str">
            <v>SALCHICHON KILO</v>
          </cell>
          <cell r="D48" t="str">
            <v>0210093</v>
          </cell>
          <cell r="E48" t="str">
            <v>MATERIAS PRIMAS PLANTA</v>
          </cell>
          <cell r="F48" t="str">
            <v>1 KILO</v>
          </cell>
          <cell r="G48">
            <v>500</v>
          </cell>
          <cell r="H48" t="str">
            <v>04/06/2020</v>
          </cell>
          <cell r="I48">
            <v>2190</v>
          </cell>
          <cell r="J48">
            <v>2695</v>
          </cell>
          <cell r="K48">
            <v>1000</v>
          </cell>
          <cell r="L48">
            <v>2.6949999999999998</v>
          </cell>
          <cell r="M48" t="str">
            <v>Gramos</v>
          </cell>
        </row>
        <row r="49">
          <cell r="A49" t="str">
            <v>0210096</v>
          </cell>
          <cell r="B49" t="str">
            <v>5382</v>
          </cell>
          <cell r="C49" t="str">
            <v>POSTA DE CERDO KILO</v>
          </cell>
          <cell r="D49" t="str">
            <v>0210096</v>
          </cell>
          <cell r="E49" t="str">
            <v>MATERIAS PRIMAS PLANTA</v>
          </cell>
          <cell r="F49" t="str">
            <v>1 KILO</v>
          </cell>
          <cell r="G49">
            <v>500</v>
          </cell>
          <cell r="H49" t="str">
            <v>13/06/2020</v>
          </cell>
          <cell r="I49">
            <v>3395</v>
          </cell>
          <cell r="J49">
            <v>3595</v>
          </cell>
          <cell r="K49">
            <v>1000</v>
          </cell>
          <cell r="L49">
            <v>3.5950000000000002</v>
          </cell>
          <cell r="M49" t="str">
            <v>Gramos</v>
          </cell>
        </row>
        <row r="50">
          <cell r="A50" t="str">
            <v>0210101</v>
          </cell>
          <cell r="B50" t="str">
            <v>5384</v>
          </cell>
          <cell r="C50" t="str">
            <v>BISTEK POPULAR (KILO)</v>
          </cell>
          <cell r="D50" t="str">
            <v>0210101</v>
          </cell>
          <cell r="E50" t="str">
            <v>MATERIAS PRIMAS PLANTA</v>
          </cell>
          <cell r="F50" t="str">
            <v>1 KILO</v>
          </cell>
          <cell r="G50">
            <v>700</v>
          </cell>
          <cell r="H50" t="str">
            <v>13/04/2020</v>
          </cell>
          <cell r="I50">
            <v>4395</v>
          </cell>
          <cell r="J50">
            <v>4895</v>
          </cell>
          <cell r="K50">
            <v>1000</v>
          </cell>
          <cell r="L50">
            <v>4.8949999999999996</v>
          </cell>
          <cell r="M50" t="str">
            <v>Gramos</v>
          </cell>
        </row>
        <row r="51">
          <cell r="A51" t="str">
            <v>0210104</v>
          </cell>
          <cell r="B51" t="str">
            <v>5392</v>
          </cell>
          <cell r="C51" t="str">
            <v>MANO PIEDRA KILO</v>
          </cell>
          <cell r="D51" t="str">
            <v>0210104</v>
          </cell>
          <cell r="E51" t="str">
            <v>MATERIAS PRIMAS PLANTA</v>
          </cell>
          <cell r="F51" t="str">
            <v>1 KILO</v>
          </cell>
          <cell r="G51">
            <v>500</v>
          </cell>
          <cell r="H51" t="str">
            <v>18/02/2020</v>
          </cell>
          <cell r="I51">
            <v>3775</v>
          </cell>
          <cell r="J51">
            <v>4695</v>
          </cell>
          <cell r="K51">
            <v>1000</v>
          </cell>
          <cell r="L51">
            <v>4.6950000000000003</v>
          </cell>
          <cell r="M51" t="str">
            <v>Gramos</v>
          </cell>
        </row>
        <row r="52">
          <cell r="A52" t="str">
            <v>210107</v>
          </cell>
          <cell r="B52" t="str">
            <v>5385</v>
          </cell>
          <cell r="C52" t="str">
            <v>BISTEC CERDO KILO</v>
          </cell>
          <cell r="D52" t="str">
            <v>210107</v>
          </cell>
          <cell r="E52" t="str">
            <v>MATERIAS PRIMAS PLANTA</v>
          </cell>
          <cell r="F52" t="str">
            <v>1 KILO</v>
          </cell>
          <cell r="G52">
            <v>500</v>
          </cell>
          <cell r="H52" t="str">
            <v>06/05/2020</v>
          </cell>
          <cell r="I52">
            <v>3550</v>
          </cell>
          <cell r="J52">
            <v>3795</v>
          </cell>
          <cell r="K52">
            <v>1000</v>
          </cell>
          <cell r="L52">
            <v>3.7949999999999999</v>
          </cell>
          <cell r="M52" t="str">
            <v>Gramos</v>
          </cell>
        </row>
        <row r="53">
          <cell r="A53" t="str">
            <v>0210108</v>
          </cell>
          <cell r="B53" t="str">
            <v>5386</v>
          </cell>
          <cell r="C53" t="str">
            <v>CHULETA AHUMADA KILO</v>
          </cell>
          <cell r="D53" t="str">
            <v>0210108</v>
          </cell>
          <cell r="E53" t="str">
            <v>MATERIAS PRIMAS PLANTA</v>
          </cell>
          <cell r="F53" t="str">
            <v>1 KILO</v>
          </cell>
          <cell r="G53">
            <v>500</v>
          </cell>
          <cell r="H53" t="str">
            <v>21/05/2020</v>
          </cell>
          <cell r="I53">
            <v>3550</v>
          </cell>
          <cell r="J53">
            <v>4095</v>
          </cell>
          <cell r="K53">
            <v>1000</v>
          </cell>
          <cell r="L53">
            <v>4.0949999999999998</v>
          </cell>
          <cell r="M53" t="str">
            <v>Gramos</v>
          </cell>
        </row>
        <row r="54">
          <cell r="A54" t="str">
            <v>0210117</v>
          </cell>
          <cell r="B54" t="str">
            <v>5366</v>
          </cell>
          <cell r="C54" t="str">
            <v>RECORTE FILET Nº1358 KILO</v>
          </cell>
          <cell r="D54" t="str">
            <v>0210117</v>
          </cell>
          <cell r="E54" t="str">
            <v>MATERIAS PRIMAS PLANTA</v>
          </cell>
          <cell r="F54" t="str">
            <v>1 KILO</v>
          </cell>
          <cell r="G54">
            <v>500</v>
          </cell>
          <cell r="H54" t="str">
            <v>15/06/2020</v>
          </cell>
          <cell r="I54">
            <v>2360</v>
          </cell>
          <cell r="J54">
            <v>2480</v>
          </cell>
          <cell r="K54">
            <v>1000</v>
          </cell>
          <cell r="L54">
            <v>2.48</v>
          </cell>
          <cell r="M54" t="str">
            <v>Gramos</v>
          </cell>
        </row>
        <row r="55">
          <cell r="A55" t="str">
            <v>0212254</v>
          </cell>
          <cell r="B55" t="str">
            <v>10468</v>
          </cell>
          <cell r="C55" t="str">
            <v>MANTECA DE CERDO</v>
          </cell>
          <cell r="D55" t="str">
            <v>0212254</v>
          </cell>
          <cell r="E55" t="str">
            <v>MATERIAS PRIMAS PLANTA</v>
          </cell>
          <cell r="F55" t="str">
            <v xml:space="preserve">1 KILO </v>
          </cell>
          <cell r="G55">
            <v>500</v>
          </cell>
          <cell r="H55" t="str">
            <v>17/12/2019</v>
          </cell>
          <cell r="I55">
            <v>1545</v>
          </cell>
          <cell r="J55">
            <v>0</v>
          </cell>
          <cell r="K55">
            <v>1000</v>
          </cell>
          <cell r="L55">
            <v>0</v>
          </cell>
          <cell r="M55" t="str">
            <v>Gramos</v>
          </cell>
        </row>
        <row r="56">
          <cell r="A56" t="str">
            <v>0212275</v>
          </cell>
          <cell r="B56" t="str">
            <v>5387</v>
          </cell>
          <cell r="C56" t="str">
            <v>MORTADELA ESPECIAL KILO</v>
          </cell>
          <cell r="D56" t="str">
            <v>0212275</v>
          </cell>
          <cell r="E56" t="str">
            <v>MATERIAS PRIMAS PLANTA</v>
          </cell>
          <cell r="F56" t="str">
            <v>1 KILO</v>
          </cell>
          <cell r="G56">
            <v>500</v>
          </cell>
          <cell r="H56" t="str">
            <v>06/06/2020</v>
          </cell>
          <cell r="I56">
            <v>3790</v>
          </cell>
          <cell r="J56">
            <v>2495</v>
          </cell>
          <cell r="K56">
            <v>1000</v>
          </cell>
          <cell r="L56">
            <v>2.4950000000000001</v>
          </cell>
          <cell r="M56" t="str">
            <v>Gramos</v>
          </cell>
        </row>
        <row r="57">
          <cell r="A57" t="str">
            <v>0310107</v>
          </cell>
          <cell r="B57" t="str">
            <v>5521</v>
          </cell>
          <cell r="C57" t="str">
            <v>LACTOCREMA GRANEL (CAJA:25 KG)</v>
          </cell>
          <cell r="D57" t="str">
            <v>0310107</v>
          </cell>
          <cell r="E57" t="str">
            <v>MATERIAS PRIMAS PLANTA</v>
          </cell>
          <cell r="F57" t="str">
            <v>1 CAJA</v>
          </cell>
          <cell r="G57">
            <v>500</v>
          </cell>
          <cell r="H57" t="str">
            <v>15/06/2020</v>
          </cell>
          <cell r="I57">
            <v>75611</v>
          </cell>
          <cell r="J57">
            <v>87333</v>
          </cell>
          <cell r="K57">
            <v>25000</v>
          </cell>
          <cell r="L57">
            <v>3.4933200000000002</v>
          </cell>
          <cell r="M57" t="str">
            <v>Gramos</v>
          </cell>
        </row>
        <row r="58">
          <cell r="A58" t="str">
            <v>0310112</v>
          </cell>
          <cell r="B58" t="str">
            <v>5604</v>
          </cell>
          <cell r="C58" t="str">
            <v>QUESO PRADO RICO REBANADO KILO</v>
          </cell>
          <cell r="D58" t="str">
            <v>0310112</v>
          </cell>
          <cell r="E58" t="str">
            <v>MATERIAS PRIMAS PLANTA</v>
          </cell>
          <cell r="F58" t="str">
            <v>1 KILO</v>
          </cell>
          <cell r="G58">
            <v>500</v>
          </cell>
          <cell r="H58" t="str">
            <v>15/06/2020</v>
          </cell>
          <cell r="I58">
            <v>7622</v>
          </cell>
          <cell r="J58">
            <v>6086.335</v>
          </cell>
          <cell r="K58">
            <v>1000</v>
          </cell>
          <cell r="L58">
            <v>6.0863350000000001</v>
          </cell>
          <cell r="M58" t="str">
            <v>Gramos</v>
          </cell>
        </row>
        <row r="59">
          <cell r="A59" t="str">
            <v>0310115</v>
          </cell>
          <cell r="B59" t="str">
            <v>5585</v>
          </cell>
          <cell r="C59" t="str">
            <v>QUESO CHEDDAR BLOCK (UND:2 kg)</v>
          </cell>
          <cell r="D59" t="str">
            <v>0310115</v>
          </cell>
          <cell r="E59" t="str">
            <v>MATERIAS PRIMAS PLANTA</v>
          </cell>
          <cell r="F59" t="str">
            <v>1 UND</v>
          </cell>
          <cell r="G59">
            <v>500</v>
          </cell>
          <cell r="H59" t="str">
            <v>15/06/2020</v>
          </cell>
          <cell r="I59">
            <v>18359</v>
          </cell>
          <cell r="J59">
            <v>19532</v>
          </cell>
          <cell r="K59">
            <v>2000</v>
          </cell>
          <cell r="L59">
            <v>9.766</v>
          </cell>
          <cell r="M59" t="str">
            <v>Gramos</v>
          </cell>
        </row>
        <row r="60">
          <cell r="A60" t="str">
            <v>0310116</v>
          </cell>
          <cell r="B60" t="str">
            <v>5615</v>
          </cell>
          <cell r="C60" t="str">
            <v>QUESO PARMERSANO (KILO)</v>
          </cell>
          <cell r="D60" t="str">
            <v>0310116</v>
          </cell>
          <cell r="E60" t="str">
            <v>MATERIAS PRIMAS PLANTA</v>
          </cell>
          <cell r="F60" t="str">
            <v>1 KILO</v>
          </cell>
          <cell r="G60">
            <v>500</v>
          </cell>
          <cell r="H60" t="str">
            <v>18/05/2020</v>
          </cell>
          <cell r="I60">
            <v>10763.6526908</v>
          </cell>
          <cell r="J60">
            <v>11304.66085</v>
          </cell>
          <cell r="K60">
            <v>1000</v>
          </cell>
          <cell r="L60">
            <v>11.304660849999999</v>
          </cell>
          <cell r="M60" t="str">
            <v>Gramos</v>
          </cell>
        </row>
        <row r="61">
          <cell r="A61" t="str">
            <v>0310120</v>
          </cell>
          <cell r="B61" t="str">
            <v>5612</v>
          </cell>
          <cell r="C61" t="str">
            <v>QUESO RICOTTA (UND: KILO)</v>
          </cell>
          <cell r="D61" t="str">
            <v>0310120</v>
          </cell>
          <cell r="E61" t="str">
            <v>MATERIAS PRIMAS PLANTA</v>
          </cell>
          <cell r="F61" t="str">
            <v>1 UND</v>
          </cell>
          <cell r="G61">
            <v>500</v>
          </cell>
          <cell r="H61" t="str">
            <v>15/06/2020</v>
          </cell>
          <cell r="I61">
            <v>4000</v>
          </cell>
          <cell r="J61">
            <v>3677.1390000000001</v>
          </cell>
          <cell r="K61">
            <v>1000</v>
          </cell>
          <cell r="L61">
            <v>3.6771389999999999</v>
          </cell>
          <cell r="M61" t="str">
            <v>Gramos</v>
          </cell>
        </row>
        <row r="62">
          <cell r="A62" t="str">
            <v>0310145</v>
          </cell>
          <cell r="B62" t="str">
            <v>5586</v>
          </cell>
          <cell r="C62" t="str">
            <v>LECHE POLVO INDUSTRIAL (SACO:25 KG)</v>
          </cell>
          <cell r="D62" t="str">
            <v>0310145</v>
          </cell>
          <cell r="E62" t="str">
            <v>MATERIAS PRIMAS PLANTA</v>
          </cell>
          <cell r="F62" t="str">
            <v>1 SACO</v>
          </cell>
          <cell r="G62">
            <v>500</v>
          </cell>
          <cell r="H62" t="str">
            <v>12/06/2020</v>
          </cell>
          <cell r="I62">
            <v>65957</v>
          </cell>
          <cell r="J62">
            <v>71364</v>
          </cell>
          <cell r="K62">
            <v>25000</v>
          </cell>
          <cell r="L62">
            <v>2.8545600000000002</v>
          </cell>
          <cell r="M62" t="str">
            <v>Gramos</v>
          </cell>
        </row>
        <row r="63">
          <cell r="A63" t="str">
            <v>310148</v>
          </cell>
          <cell r="B63" t="str">
            <v>5597</v>
          </cell>
          <cell r="C63" t="str">
            <v>BETTERCREME SUPREMO (UND:4 K)</v>
          </cell>
          <cell r="D63" t="str">
            <v>310148</v>
          </cell>
          <cell r="E63" t="str">
            <v>MATERIAS PRIMAS PLANTA</v>
          </cell>
          <cell r="F63" t="str">
            <v>1 UND</v>
          </cell>
          <cell r="G63">
            <v>500</v>
          </cell>
          <cell r="H63" t="str">
            <v>15/06/2020</v>
          </cell>
          <cell r="I63">
            <v>7890</v>
          </cell>
          <cell r="J63">
            <v>9704</v>
          </cell>
          <cell r="K63">
            <v>4000</v>
          </cell>
          <cell r="L63">
            <v>2.4260000000000002</v>
          </cell>
          <cell r="M63" t="str">
            <v>Gramos</v>
          </cell>
        </row>
        <row r="64">
          <cell r="A64" t="str">
            <v>10100307</v>
          </cell>
          <cell r="B64" t="str">
            <v>5620</v>
          </cell>
          <cell r="C64" t="str">
            <v>TRES LECHES LA LECHERA (UND: 900 ML)</v>
          </cell>
          <cell r="D64" t="str">
            <v>310218</v>
          </cell>
          <cell r="E64" t="str">
            <v>MATERIAS PRIMAS PLANTA</v>
          </cell>
          <cell r="F64" t="str">
            <v>1 CAJA</v>
          </cell>
          <cell r="G64">
            <v>500</v>
          </cell>
          <cell r="H64" t="str">
            <v>15/06/2020</v>
          </cell>
          <cell r="I64">
            <v>23473</v>
          </cell>
          <cell r="J64">
            <v>2015</v>
          </cell>
          <cell r="K64">
            <v>900</v>
          </cell>
          <cell r="L64">
            <v>2.2388888888888889</v>
          </cell>
          <cell r="M64" t="str">
            <v>Gramos</v>
          </cell>
        </row>
        <row r="65">
          <cell r="A65" t="str">
            <v>0312277</v>
          </cell>
          <cell r="B65" t="str">
            <v>5607</v>
          </cell>
          <cell r="C65" t="str">
            <v>QUESO BOCCONCINI (PAQ:500g)</v>
          </cell>
          <cell r="D65" t="str">
            <v>0312277</v>
          </cell>
          <cell r="E65" t="str">
            <v>MATERIAS PRIMAS PLANTA</v>
          </cell>
          <cell r="F65" t="str">
            <v>1 PAQUETE</v>
          </cell>
          <cell r="G65">
            <v>500</v>
          </cell>
          <cell r="H65" t="str">
            <v>15/06/2020</v>
          </cell>
          <cell r="I65">
            <v>4335</v>
          </cell>
          <cell r="J65">
            <v>0</v>
          </cell>
          <cell r="K65">
            <v>500</v>
          </cell>
          <cell r="L65">
            <v>0</v>
          </cell>
          <cell r="M65"/>
        </row>
        <row r="66">
          <cell r="A66" t="str">
            <v>0312278</v>
          </cell>
          <cell r="B66" t="str">
            <v>5589</v>
          </cell>
          <cell r="C66" t="str">
            <v>LECHE ESTANDAR (UND:10 L)</v>
          </cell>
          <cell r="D66" t="str">
            <v>0312278</v>
          </cell>
          <cell r="E66" t="str">
            <v>MATERIAS PRIMAS PLANTA</v>
          </cell>
          <cell r="F66" t="str">
            <v>1 UND</v>
          </cell>
          <cell r="G66">
            <v>500</v>
          </cell>
          <cell r="H66" t="str">
            <v>13/04/2020</v>
          </cell>
          <cell r="I66" t="e">
            <v>#N/A</v>
          </cell>
          <cell r="J66">
            <v>0</v>
          </cell>
          <cell r="K66">
            <v>10000</v>
          </cell>
          <cell r="L66">
            <v>0</v>
          </cell>
          <cell r="M66" t="str">
            <v>Mililitros</v>
          </cell>
        </row>
        <row r="67">
          <cell r="A67" t="str">
            <v>0410110</v>
          </cell>
          <cell r="B67" t="str">
            <v>5635</v>
          </cell>
          <cell r="C67" t="str">
            <v>RELLENO MELOCOTON BUCCA KILO</v>
          </cell>
          <cell r="D67" t="str">
            <v>0410110</v>
          </cell>
          <cell r="E67" t="str">
            <v>MATERIAS PRIMAS PLANTA</v>
          </cell>
          <cell r="F67" t="str">
            <v>1 KILO</v>
          </cell>
          <cell r="G67">
            <v>500</v>
          </cell>
          <cell r="H67" t="str">
            <v>04/05/2020</v>
          </cell>
          <cell r="I67" t="e">
            <v>#N/A</v>
          </cell>
          <cell r="J67">
            <v>0</v>
          </cell>
          <cell r="K67">
            <v>1000</v>
          </cell>
          <cell r="L67">
            <v>0</v>
          </cell>
          <cell r="M67" t="str">
            <v>Gramos</v>
          </cell>
        </row>
        <row r="68">
          <cell r="A68" t="str">
            <v>410118</v>
          </cell>
          <cell r="B68" t="str">
            <v>5416</v>
          </cell>
          <cell r="C68" t="str">
            <v>BRILLO GLIT (UND:5 KILOS)</v>
          </cell>
          <cell r="D68" t="str">
            <v>410118</v>
          </cell>
          <cell r="E68" t="str">
            <v>MATERIAS PRIMAS PLANTA</v>
          </cell>
          <cell r="F68" t="str">
            <v>1 UND</v>
          </cell>
          <cell r="G68">
            <v>500</v>
          </cell>
          <cell r="H68" t="str">
            <v>21/03/2020</v>
          </cell>
          <cell r="I68">
            <v>13719</v>
          </cell>
          <cell r="J68">
            <v>19697.82</v>
          </cell>
          <cell r="K68">
            <v>5000</v>
          </cell>
          <cell r="L68">
            <v>3.9395639999999998</v>
          </cell>
          <cell r="M68"/>
        </row>
        <row r="69">
          <cell r="A69" t="str">
            <v>410127</v>
          </cell>
          <cell r="B69" t="str">
            <v>5647</v>
          </cell>
          <cell r="C69" t="str">
            <v>CREMA PASTELERA KILO</v>
          </cell>
          <cell r="D69" t="str">
            <v>410127</v>
          </cell>
          <cell r="E69" t="str">
            <v>MATERIAS PRIMAS PLANTA</v>
          </cell>
          <cell r="F69" t="str">
            <v>1 KILO</v>
          </cell>
          <cell r="G69">
            <v>500</v>
          </cell>
          <cell r="H69" t="str">
            <v>23/03/2020</v>
          </cell>
          <cell r="I69" t="e">
            <v>#N/A</v>
          </cell>
          <cell r="J69">
            <v>0</v>
          </cell>
          <cell r="K69">
            <v>1000</v>
          </cell>
          <cell r="L69">
            <v>0</v>
          </cell>
          <cell r="M69" t="str">
            <v>Gramos</v>
          </cell>
        </row>
        <row r="70">
          <cell r="A70" t="str">
            <v>0410137</v>
          </cell>
          <cell r="B70" t="str">
            <v>5301</v>
          </cell>
          <cell r="C70" t="str">
            <v>JALEA FRESA (UND:5 K)</v>
          </cell>
          <cell r="D70" t="str">
            <v>0410137</v>
          </cell>
          <cell r="E70" t="str">
            <v>MATERIAS PRIMAS PLANTA</v>
          </cell>
          <cell r="F70" t="str">
            <v>1 UND</v>
          </cell>
          <cell r="G70">
            <v>500</v>
          </cell>
          <cell r="H70" t="str">
            <v>12/06/2020</v>
          </cell>
          <cell r="I70">
            <v>7341</v>
          </cell>
          <cell r="J70">
            <v>7708</v>
          </cell>
          <cell r="K70">
            <v>5000</v>
          </cell>
          <cell r="L70">
            <v>1.5416000000000001</v>
          </cell>
          <cell r="M70" t="str">
            <v>Gramos</v>
          </cell>
        </row>
        <row r="71">
          <cell r="A71" t="str">
            <v>0410151</v>
          </cell>
          <cell r="B71" t="str">
            <v>5646</v>
          </cell>
          <cell r="C71" t="str">
            <v>RELLENO FUDGE KILO</v>
          </cell>
          <cell r="D71" t="str">
            <v>0410151</v>
          </cell>
          <cell r="E71" t="str">
            <v>MATERIAS PRIMAS PLANTA</v>
          </cell>
          <cell r="F71" t="str">
            <v>1 KILO</v>
          </cell>
          <cell r="G71">
            <v>500</v>
          </cell>
          <cell r="H71" t="str">
            <v>16/06/2020</v>
          </cell>
          <cell r="I71">
            <v>3867</v>
          </cell>
          <cell r="J71">
            <v>3951</v>
          </cell>
          <cell r="K71">
            <v>1000</v>
          </cell>
          <cell r="L71">
            <v>3.9510000000000001</v>
          </cell>
          <cell r="M71" t="str">
            <v>Gramos</v>
          </cell>
        </row>
        <row r="72">
          <cell r="A72" t="str">
            <v>0410152</v>
          </cell>
          <cell r="B72" t="str">
            <v>5645</v>
          </cell>
          <cell r="C72" t="str">
            <v>RELLENO MELOCOTON KILO</v>
          </cell>
          <cell r="D72" t="str">
            <v>0410152</v>
          </cell>
          <cell r="E72" t="str">
            <v>MATERIAS PRIMAS PLANTA</v>
          </cell>
          <cell r="F72" t="str">
            <v>1 KILO</v>
          </cell>
          <cell r="G72">
            <v>500</v>
          </cell>
          <cell r="H72" t="str">
            <v>04/05/2020</v>
          </cell>
          <cell r="I72" t="e">
            <v>#N/A</v>
          </cell>
          <cell r="J72">
            <v>0</v>
          </cell>
          <cell r="K72">
            <v>1000</v>
          </cell>
          <cell r="L72">
            <v>0</v>
          </cell>
          <cell r="M72" t="str">
            <v>Gramos</v>
          </cell>
        </row>
        <row r="73">
          <cell r="A73" t="str">
            <v>0410153</v>
          </cell>
          <cell r="B73" t="str">
            <v>5644</v>
          </cell>
          <cell r="C73" t="str">
            <v>TOPPING MELOCOTON KILO</v>
          </cell>
          <cell r="D73" t="str">
            <v>0410153</v>
          </cell>
          <cell r="E73" t="str">
            <v>MATERIAS PRIMAS PLANTA</v>
          </cell>
          <cell r="F73" t="str">
            <v>1 KILO</v>
          </cell>
          <cell r="G73">
            <v>500</v>
          </cell>
          <cell r="H73" t="str">
            <v>04/05/2020</v>
          </cell>
          <cell r="I73" t="e">
            <v>#N/A</v>
          </cell>
          <cell r="J73">
            <v>0</v>
          </cell>
          <cell r="K73">
            <v>1000</v>
          </cell>
          <cell r="L73">
            <v>0</v>
          </cell>
          <cell r="M73" t="str">
            <v>Gramos</v>
          </cell>
        </row>
        <row r="74">
          <cell r="A74" t="str">
            <v>0410154</v>
          </cell>
          <cell r="B74" t="str">
            <v>5643</v>
          </cell>
          <cell r="C74" t="str">
            <v>RELLENO CARAMELO KILO</v>
          </cell>
          <cell r="D74" t="str">
            <v>0410154</v>
          </cell>
          <cell r="E74" t="str">
            <v>MATERIAS PRIMAS PLANTA</v>
          </cell>
          <cell r="F74" t="str">
            <v>1 KILO</v>
          </cell>
          <cell r="G74">
            <v>500</v>
          </cell>
          <cell r="H74" t="str">
            <v>15/06/2020</v>
          </cell>
          <cell r="I74">
            <v>3335</v>
          </cell>
          <cell r="J74">
            <v>3570</v>
          </cell>
          <cell r="K74">
            <v>1000</v>
          </cell>
          <cell r="L74">
            <v>3.57</v>
          </cell>
          <cell r="M74" t="str">
            <v>Gramos</v>
          </cell>
        </row>
        <row r="75">
          <cell r="A75" t="str">
            <v>0410172</v>
          </cell>
          <cell r="B75" t="str">
            <v>5642</v>
          </cell>
          <cell r="C75" t="str">
            <v>RELLENO DE FRESA KILO</v>
          </cell>
          <cell r="D75" t="str">
            <v>0410172</v>
          </cell>
          <cell r="E75" t="str">
            <v>MATERIAS PRIMAS PLANTA</v>
          </cell>
          <cell r="F75" t="str">
            <v>1 KILO</v>
          </cell>
          <cell r="G75">
            <v>500</v>
          </cell>
          <cell r="H75" t="str">
            <v>04/05/2020</v>
          </cell>
          <cell r="I75" t="e">
            <v>#N/A</v>
          </cell>
          <cell r="J75">
            <v>0</v>
          </cell>
          <cell r="K75">
            <v>1000</v>
          </cell>
          <cell r="L75">
            <v>0</v>
          </cell>
          <cell r="M75" t="str">
            <v>Gramos</v>
          </cell>
        </row>
        <row r="76">
          <cell r="A76" t="str">
            <v>0410174</v>
          </cell>
          <cell r="B76" t="str">
            <v>5640</v>
          </cell>
          <cell r="C76" t="str">
            <v>RELLENO PIÑA COLADA KILO</v>
          </cell>
          <cell r="D76" t="str">
            <v>0410174</v>
          </cell>
          <cell r="E76" t="str">
            <v>MATERIAS PRIMAS PLANTA</v>
          </cell>
          <cell r="F76" t="str">
            <v>1 KILO</v>
          </cell>
          <cell r="G76">
            <v>500</v>
          </cell>
          <cell r="H76" t="str">
            <v>11/05/2020</v>
          </cell>
          <cell r="I76">
            <v>2200</v>
          </cell>
          <cell r="J76">
            <v>0</v>
          </cell>
          <cell r="K76">
            <v>1000</v>
          </cell>
          <cell r="L76">
            <v>0</v>
          </cell>
          <cell r="M76" t="str">
            <v>Gramos</v>
          </cell>
        </row>
        <row r="77">
          <cell r="A77" t="str">
            <v>0410189</v>
          </cell>
          <cell r="B77" t="str">
            <v>5648</v>
          </cell>
          <cell r="C77" t="str">
            <v>RELLENO DE FRESA ESPESA KILO</v>
          </cell>
          <cell r="D77" t="str">
            <v>0410189</v>
          </cell>
          <cell r="E77" t="str">
            <v>MATERIAS PRIMAS PLANTA</v>
          </cell>
          <cell r="F77" t="str">
            <v>1 KILO</v>
          </cell>
          <cell r="G77">
            <v>500</v>
          </cell>
          <cell r="H77" t="str">
            <v>06/05/2020</v>
          </cell>
          <cell r="I77" t="e">
            <v>#N/A</v>
          </cell>
          <cell r="J77">
            <v>0</v>
          </cell>
          <cell r="K77">
            <v>1000</v>
          </cell>
          <cell r="L77">
            <v>0</v>
          </cell>
          <cell r="M77" t="str">
            <v>Gramos</v>
          </cell>
        </row>
        <row r="78">
          <cell r="A78" t="str">
            <v>505605</v>
          </cell>
          <cell r="B78" t="str">
            <v>3266</v>
          </cell>
          <cell r="C78" t="str">
            <v>LECHE CONDENSADA NESTLE (UND:395 G)</v>
          </cell>
          <cell r="D78" t="str">
            <v>505605</v>
          </cell>
          <cell r="E78" t="str">
            <v>MATERIAS PRIMAS PLANTA</v>
          </cell>
          <cell r="F78" t="str">
            <v>1 UND</v>
          </cell>
          <cell r="G78">
            <v>500</v>
          </cell>
          <cell r="H78" t="str">
            <v>03/03/2020</v>
          </cell>
          <cell r="I78">
            <v>895</v>
          </cell>
          <cell r="J78">
            <v>959</v>
          </cell>
          <cell r="K78">
            <v>1</v>
          </cell>
          <cell r="L78">
            <v>959</v>
          </cell>
          <cell r="M78" t="str">
            <v>Gramos</v>
          </cell>
        </row>
        <row r="79">
          <cell r="A79" t="str">
            <v>0510051</v>
          </cell>
          <cell r="B79" t="str">
            <v>5536</v>
          </cell>
          <cell r="C79" t="str">
            <v>PASTAS DE HARINA AMARILLA (CAJA:9.52 KG)</v>
          </cell>
          <cell r="D79" t="str">
            <v>0510051</v>
          </cell>
          <cell r="E79" t="str">
            <v>MATERIAS PRIMAS PLANTA</v>
          </cell>
          <cell r="F79" t="str">
            <v>1 CAJA</v>
          </cell>
          <cell r="G79">
            <v>500</v>
          </cell>
          <cell r="H79" t="str">
            <v>10/06/2020</v>
          </cell>
          <cell r="I79">
            <v>39012</v>
          </cell>
          <cell r="J79">
            <v>39072</v>
          </cell>
          <cell r="K79">
            <v>9520</v>
          </cell>
          <cell r="L79">
            <v>4.1042016806722685</v>
          </cell>
          <cell r="M79" t="str">
            <v>Gramos</v>
          </cell>
        </row>
        <row r="80">
          <cell r="A80" t="str">
            <v>510100</v>
          </cell>
          <cell r="B80" t="str">
            <v>11252</v>
          </cell>
          <cell r="C80" t="str">
            <v>ARROZ PRECOCIDO MI SABOR(BULTO:15 K)</v>
          </cell>
          <cell r="D80" t="str">
            <v>510100</v>
          </cell>
          <cell r="E80" t="str">
            <v>MATERIAS PRIMAS PLANTA</v>
          </cell>
          <cell r="F80" t="str">
            <v>1 BULTO</v>
          </cell>
          <cell r="G80">
            <v>500</v>
          </cell>
          <cell r="H80" t="str">
            <v>09/06/2020</v>
          </cell>
          <cell r="I80">
            <v>10515.04</v>
          </cell>
          <cell r="J80">
            <v>10515.04</v>
          </cell>
          <cell r="K80">
            <v>15000</v>
          </cell>
          <cell r="L80">
            <v>0.70100266666666677</v>
          </cell>
          <cell r="M80" t="str">
            <v>Gramos</v>
          </cell>
        </row>
        <row r="81">
          <cell r="A81" t="str">
            <v>0510107</v>
          </cell>
          <cell r="B81" t="str">
            <v>5567</v>
          </cell>
          <cell r="C81" t="str">
            <v>HARINA HARISOL WINTER (SACO:25 KG)</v>
          </cell>
          <cell r="D81" t="str">
            <v>0510107</v>
          </cell>
          <cell r="E81" t="str">
            <v>MATERIAS PRIMAS PLANTA</v>
          </cell>
          <cell r="F81" t="str">
            <v>1 SACO</v>
          </cell>
          <cell r="G81">
            <v>500</v>
          </cell>
          <cell r="H81" t="str">
            <v>11/06/2020</v>
          </cell>
          <cell r="I81">
            <v>11395.5</v>
          </cell>
          <cell r="J81">
            <v>15691.3176</v>
          </cell>
          <cell r="K81">
            <v>25000</v>
          </cell>
          <cell r="L81">
            <v>0.62765270400000006</v>
          </cell>
          <cell r="M81" t="str">
            <v>Gramos</v>
          </cell>
        </row>
        <row r="82">
          <cell r="A82" t="str">
            <v>510109</v>
          </cell>
          <cell r="B82" t="str">
            <v>5297</v>
          </cell>
          <cell r="C82" t="str">
            <v>AZUCAR DOÑA MARIA (PAQ:5 K)</v>
          </cell>
          <cell r="D82" t="str">
            <v>510109</v>
          </cell>
          <cell r="E82" t="str">
            <v>MATERIAS PRIMAS PLANTA</v>
          </cell>
          <cell r="F82" t="str">
            <v>1 PAQUETE</v>
          </cell>
          <cell r="G82">
            <v>500</v>
          </cell>
          <cell r="H82" t="str">
            <v>10/06/2020</v>
          </cell>
          <cell r="I82">
            <v>3240</v>
          </cell>
          <cell r="J82">
            <v>0</v>
          </cell>
          <cell r="K82">
            <v>5000</v>
          </cell>
          <cell r="L82">
            <v>0</v>
          </cell>
          <cell r="M82" t="str">
            <v>Gramos</v>
          </cell>
        </row>
        <row r="83">
          <cell r="A83" t="str">
            <v>510115</v>
          </cell>
          <cell r="B83" t="str">
            <v>7055</v>
          </cell>
          <cell r="C83" t="str">
            <v>COLOR CARAMELINA EXTRA (KILO)</v>
          </cell>
          <cell r="D83" t="str">
            <v>510115</v>
          </cell>
          <cell r="E83" t="str">
            <v>MATERIAS PRIMAS PLANTA</v>
          </cell>
          <cell r="F83" t="str">
            <v xml:space="preserve">1 KILO </v>
          </cell>
          <cell r="G83">
            <v>500</v>
          </cell>
          <cell r="H83" t="str">
            <v>06/05/2020</v>
          </cell>
          <cell r="I83">
            <v>6130.3</v>
          </cell>
          <cell r="J83">
            <v>0</v>
          </cell>
          <cell r="K83">
            <v>1000</v>
          </cell>
          <cell r="L83">
            <v>0</v>
          </cell>
          <cell r="M83" t="str">
            <v>Gramos</v>
          </cell>
        </row>
        <row r="84">
          <cell r="A84" t="str">
            <v>0510146</v>
          </cell>
          <cell r="B84" t="str">
            <v>7042</v>
          </cell>
          <cell r="C84" t="str">
            <v>AJONJOLI (PAQ:1 KILO)</v>
          </cell>
          <cell r="D84" t="str">
            <v>0510146</v>
          </cell>
          <cell r="E84" t="str">
            <v>MATERIAS PRIMAS PLANTA</v>
          </cell>
          <cell r="F84" t="str">
            <v>1 PAQUETE</v>
          </cell>
          <cell r="G84">
            <v>500</v>
          </cell>
          <cell r="H84" t="str">
            <v>18/05/2020</v>
          </cell>
          <cell r="I84">
            <v>5</v>
          </cell>
          <cell r="J84">
            <v>5</v>
          </cell>
          <cell r="K84">
            <v>1000</v>
          </cell>
          <cell r="L84">
            <v>5.0000000000000001E-3</v>
          </cell>
          <cell r="M84" t="str">
            <v>Gramos</v>
          </cell>
        </row>
        <row r="85">
          <cell r="A85" t="str">
            <v>510148</v>
          </cell>
          <cell r="B85" t="str">
            <v>5662</v>
          </cell>
          <cell r="C85" t="str">
            <v>ALMENDRA FILETEADA (CAJA: 11,34KG)</v>
          </cell>
          <cell r="D85" t="str">
            <v>510148</v>
          </cell>
          <cell r="E85" t="str">
            <v>MATERIAS PRIMAS PLANTA</v>
          </cell>
          <cell r="F85" t="str">
            <v xml:space="preserve">1 CAJA </v>
          </cell>
          <cell r="G85">
            <v>500</v>
          </cell>
          <cell r="H85" t="str">
            <v>15/06/2020</v>
          </cell>
          <cell r="I85">
            <v>63226</v>
          </cell>
          <cell r="J85">
            <v>113.4</v>
          </cell>
          <cell r="K85">
            <v>11340</v>
          </cell>
          <cell r="L85">
            <v>0.01</v>
          </cell>
          <cell r="M85" t="str">
            <v>Gramos</v>
          </cell>
        </row>
        <row r="86">
          <cell r="A86" t="str">
            <v>510149</v>
          </cell>
          <cell r="B86" t="str">
            <v>5663</v>
          </cell>
          <cell r="C86" t="str">
            <v>ALMENDRA ENTERA (CAJA:12 KG)</v>
          </cell>
          <cell r="D86" t="str">
            <v>510149</v>
          </cell>
          <cell r="E86" t="str">
            <v>MATERIAS PRIMAS PLANTA</v>
          </cell>
          <cell r="F86" t="str">
            <v xml:space="preserve">1 CAJA </v>
          </cell>
          <cell r="G86">
            <v>500</v>
          </cell>
          <cell r="H86" t="str">
            <v>24/12/2019</v>
          </cell>
          <cell r="I86">
            <v>69003</v>
          </cell>
          <cell r="J86">
            <v>99</v>
          </cell>
          <cell r="K86">
            <v>12000</v>
          </cell>
          <cell r="L86">
            <v>8.2500000000000004E-3</v>
          </cell>
          <cell r="M86" t="str">
            <v>Gramos</v>
          </cell>
        </row>
        <row r="87">
          <cell r="A87" t="str">
            <v>510151</v>
          </cell>
          <cell r="B87" t="str">
            <v>5249</v>
          </cell>
          <cell r="C87" t="str">
            <v>ARROZ TIO PELON 96% (BULTO:12/1.8 K)</v>
          </cell>
          <cell r="D87" t="str">
            <v>510151</v>
          </cell>
          <cell r="E87" t="str">
            <v>MATERIAS PRIMAS PLANTA</v>
          </cell>
          <cell r="F87" t="str">
            <v>1 BULTO</v>
          </cell>
          <cell r="G87">
            <v>500</v>
          </cell>
          <cell r="H87" t="str">
            <v>12/06/2020</v>
          </cell>
          <cell r="I87">
            <v>17094</v>
          </cell>
          <cell r="J87">
            <v>19766</v>
          </cell>
          <cell r="K87">
            <v>21600</v>
          </cell>
          <cell r="L87">
            <v>0.91509259259259257</v>
          </cell>
          <cell r="M87" t="str">
            <v>Gramos</v>
          </cell>
        </row>
        <row r="88">
          <cell r="A88" t="str">
            <v>510157</v>
          </cell>
          <cell r="B88" t="str">
            <v>5263</v>
          </cell>
          <cell r="C88" t="str">
            <v>AZUCAR MORENO (PAQ:2 K)</v>
          </cell>
          <cell r="D88" t="str">
            <v>510157</v>
          </cell>
          <cell r="E88" t="str">
            <v>MATERIAS PRIMAS PLANTA</v>
          </cell>
          <cell r="F88" t="str">
            <v>1 PAQUETE</v>
          </cell>
          <cell r="G88">
            <v>500</v>
          </cell>
          <cell r="H88" t="str">
            <v>05/06/2020</v>
          </cell>
          <cell r="I88">
            <v>1788</v>
          </cell>
          <cell r="J88">
            <v>1788</v>
          </cell>
          <cell r="K88">
            <v>2000</v>
          </cell>
          <cell r="L88">
            <v>0.89400000000000002</v>
          </cell>
          <cell r="M88" t="str">
            <v>Gramos</v>
          </cell>
        </row>
        <row r="89">
          <cell r="A89" t="str">
            <v>510171</v>
          </cell>
          <cell r="B89" t="str">
            <v>11797</v>
          </cell>
          <cell r="C89" t="str">
            <v>CEREZA CONFITADA (CAJA:10 K)</v>
          </cell>
          <cell r="D89" t="str">
            <v>510171</v>
          </cell>
          <cell r="E89" t="str">
            <v>MATERIAS PRIMAS PLANTA</v>
          </cell>
          <cell r="F89" t="str">
            <v>1 CAJA</v>
          </cell>
          <cell r="G89">
            <v>500</v>
          </cell>
          <cell r="H89" t="str">
            <v>11/12/2019</v>
          </cell>
          <cell r="I89">
            <v>28020</v>
          </cell>
          <cell r="J89">
            <v>0</v>
          </cell>
          <cell r="K89">
            <v>10000</v>
          </cell>
          <cell r="L89">
            <v>0</v>
          </cell>
          <cell r="M89"/>
        </row>
        <row r="90">
          <cell r="A90" t="str">
            <v>510173</v>
          </cell>
          <cell r="B90" t="str">
            <v>7037</v>
          </cell>
          <cell r="C90" t="str">
            <v>CIRUELA (CAJA:10 Kg)</v>
          </cell>
          <cell r="D90" t="str">
            <v>510173</v>
          </cell>
          <cell r="E90" t="str">
            <v>MATERIAS PRIMAS PLANTA</v>
          </cell>
          <cell r="F90" t="str">
            <v>1 CAJA</v>
          </cell>
          <cell r="G90">
            <v>500</v>
          </cell>
          <cell r="H90" t="str">
            <v>16/01/2020</v>
          </cell>
          <cell r="I90">
            <v>45578</v>
          </cell>
          <cell r="J90">
            <v>0</v>
          </cell>
          <cell r="K90">
            <v>11340</v>
          </cell>
          <cell r="L90">
            <v>0</v>
          </cell>
          <cell r="M90" t="str">
            <v>Gramos</v>
          </cell>
        </row>
        <row r="91">
          <cell r="A91" t="str">
            <v>510174</v>
          </cell>
          <cell r="B91" t="str">
            <v>5664</v>
          </cell>
          <cell r="C91" t="str">
            <v>COCO RALLADO (PAQ: 1 K)</v>
          </cell>
          <cell r="D91" t="str">
            <v>510174</v>
          </cell>
          <cell r="E91" t="str">
            <v>MATERIAS PRIMAS PLANTA</v>
          </cell>
          <cell r="F91" t="str">
            <v>1 PAQUETE</v>
          </cell>
          <cell r="G91">
            <v>500</v>
          </cell>
          <cell r="H91" t="str">
            <v>15/06/2020</v>
          </cell>
          <cell r="I91">
            <v>3460</v>
          </cell>
          <cell r="J91">
            <v>6.25</v>
          </cell>
          <cell r="K91">
            <v>1000</v>
          </cell>
          <cell r="L91">
            <v>6.2500000000000003E-3</v>
          </cell>
          <cell r="M91" t="str">
            <v>Gramos</v>
          </cell>
        </row>
        <row r="92">
          <cell r="A92" t="str">
            <v>510179</v>
          </cell>
          <cell r="B92" t="str">
            <v>5418</v>
          </cell>
          <cell r="C92" t="str">
            <v>CONFITURA COLORES(PAQ:1 KILO)</v>
          </cell>
          <cell r="D92" t="str">
            <v>510179</v>
          </cell>
          <cell r="E92" t="str">
            <v>MATERIAS PRIMAS PLANTA</v>
          </cell>
          <cell r="F92" t="str">
            <v>1 PAQUETE</v>
          </cell>
          <cell r="G92">
            <v>500</v>
          </cell>
          <cell r="H92" t="str">
            <v>13/06/2020</v>
          </cell>
          <cell r="I92">
            <v>4340</v>
          </cell>
          <cell r="J92">
            <v>4753.3599999999997</v>
          </cell>
          <cell r="K92">
            <v>1000</v>
          </cell>
          <cell r="L92">
            <v>4.7533599999999998</v>
          </cell>
          <cell r="M92"/>
        </row>
        <row r="93">
          <cell r="A93" t="str">
            <v>0510181</v>
          </cell>
          <cell r="B93" t="str">
            <v>9708</v>
          </cell>
          <cell r="C93" t="str">
            <v>CREMOR TARTARO (PAQ: 1 KILO)</v>
          </cell>
          <cell r="D93" t="str">
            <v>0510181</v>
          </cell>
          <cell r="E93" t="str">
            <v>MATERIAS PRIMAS PLANTA</v>
          </cell>
          <cell r="F93" t="str">
            <v>1 PAQUETE</v>
          </cell>
          <cell r="G93">
            <v>500</v>
          </cell>
          <cell r="H93" t="str">
            <v>13/06/2020</v>
          </cell>
          <cell r="I93">
            <v>2798.76</v>
          </cell>
          <cell r="J93">
            <v>0</v>
          </cell>
          <cell r="K93">
            <v>1000</v>
          </cell>
          <cell r="L93">
            <v>0</v>
          </cell>
          <cell r="M93"/>
        </row>
        <row r="94">
          <cell r="A94" t="str">
            <v>0510185</v>
          </cell>
          <cell r="B94" t="str">
            <v>5660</v>
          </cell>
          <cell r="C94" t="str">
            <v>FRUTA CONFITADA (CAJA:10 K)</v>
          </cell>
          <cell r="D94" t="str">
            <v>0510185</v>
          </cell>
          <cell r="E94" t="str">
            <v>MATERIAS PRIMAS PLANTA</v>
          </cell>
          <cell r="F94" t="str">
            <v>1 CAJA</v>
          </cell>
          <cell r="G94">
            <v>500</v>
          </cell>
          <cell r="H94" t="str">
            <v>27/02/2020</v>
          </cell>
          <cell r="I94">
            <v>16860</v>
          </cell>
          <cell r="J94">
            <v>0</v>
          </cell>
          <cell r="K94">
            <v>10000</v>
          </cell>
          <cell r="L94">
            <v>0</v>
          </cell>
          <cell r="M94"/>
        </row>
        <row r="95">
          <cell r="A95" t="str">
            <v>0510186</v>
          </cell>
          <cell r="B95" t="str">
            <v>5520</v>
          </cell>
          <cell r="C95" t="str">
            <v>GELATINA PURA  (PAQ:1 k)</v>
          </cell>
          <cell r="D95" t="str">
            <v>0510186</v>
          </cell>
          <cell r="E95" t="str">
            <v>MATERIAS PRIMAS PLANTA</v>
          </cell>
          <cell r="F95" t="str">
            <v>1 PAQUETE</v>
          </cell>
          <cell r="G95">
            <v>500</v>
          </cell>
          <cell r="H95" t="str">
            <v>15/06/2020</v>
          </cell>
          <cell r="I95">
            <v>9071</v>
          </cell>
          <cell r="J95">
            <v>9071</v>
          </cell>
          <cell r="K95">
            <v>1000</v>
          </cell>
          <cell r="L95">
            <v>9.0709999999999997</v>
          </cell>
          <cell r="M95" t="str">
            <v>Gramos</v>
          </cell>
        </row>
        <row r="96">
          <cell r="A96" t="str">
            <v>0510188</v>
          </cell>
          <cell r="B96" t="str">
            <v>5568</v>
          </cell>
          <cell r="C96" t="str">
            <v>HARINA ESTANDAR  (SACO: 25 KG )</v>
          </cell>
          <cell r="D96" t="str">
            <v>0510188</v>
          </cell>
          <cell r="E96" t="str">
            <v>MATERIAS PRIMAS PLANTA</v>
          </cell>
          <cell r="F96" t="str">
            <v>1 SACO</v>
          </cell>
          <cell r="G96">
            <v>500</v>
          </cell>
          <cell r="H96" t="str">
            <v>11/06/2020</v>
          </cell>
          <cell r="I96">
            <v>11791.5</v>
          </cell>
          <cell r="J96">
            <v>16236.6016</v>
          </cell>
          <cell r="K96">
            <v>25000</v>
          </cell>
          <cell r="L96">
            <v>0.64946406400000001</v>
          </cell>
          <cell r="M96" t="str">
            <v>Gramos</v>
          </cell>
        </row>
        <row r="97">
          <cell r="A97" t="str">
            <v>0510190</v>
          </cell>
          <cell r="B97" t="str">
            <v>5557</v>
          </cell>
          <cell r="C97" t="str">
            <v>HARINA GOLD MEDAL (PAQ:4.5 K)</v>
          </cell>
          <cell r="D97" t="str">
            <v>0510190</v>
          </cell>
          <cell r="E97" t="str">
            <v>MATERIAS PRIMAS PLANTA</v>
          </cell>
          <cell r="F97" t="str">
            <v>1 PAQUETE</v>
          </cell>
          <cell r="G97">
            <v>500</v>
          </cell>
          <cell r="H97" t="str">
            <v>03/06/2020</v>
          </cell>
          <cell r="I97">
            <v>2975.52</v>
          </cell>
          <cell r="J97">
            <v>2464.325664</v>
          </cell>
          <cell r="K97">
            <v>4500</v>
          </cell>
          <cell r="L97">
            <v>0.54762792533333338</v>
          </cell>
          <cell r="M97" t="str">
            <v>Gramos</v>
          </cell>
        </row>
        <row r="98">
          <cell r="A98" t="str">
            <v>0510194</v>
          </cell>
          <cell r="B98" t="str">
            <v>7038</v>
          </cell>
          <cell r="C98" t="str">
            <v>MACADAMIA #8 (PAQ:800g)</v>
          </cell>
          <cell r="D98" t="str">
            <v>0510194</v>
          </cell>
          <cell r="E98" t="str">
            <v>MATERIAS PRIMAS PLANTA</v>
          </cell>
          <cell r="F98" t="str">
            <v>1 PAQUETE</v>
          </cell>
          <cell r="G98">
            <v>500</v>
          </cell>
          <cell r="H98" t="str">
            <v>13/06/2020</v>
          </cell>
          <cell r="I98">
            <v>9072</v>
          </cell>
          <cell r="J98">
            <v>11670.9</v>
          </cell>
          <cell r="K98">
            <v>800</v>
          </cell>
          <cell r="L98">
            <v>14.588625</v>
          </cell>
          <cell r="M98" t="str">
            <v>Gramos</v>
          </cell>
        </row>
        <row r="99">
          <cell r="A99" t="str">
            <v>0510200</v>
          </cell>
          <cell r="B99" t="str">
            <v>5672</v>
          </cell>
          <cell r="C99" t="str">
            <v>PASAS (CAJAS:13.6KG)</v>
          </cell>
          <cell r="D99" t="str">
            <v>510200</v>
          </cell>
          <cell r="E99" t="str">
            <v>MATERIAS PRIMAS PLANTA</v>
          </cell>
          <cell r="F99" t="str">
            <v xml:space="preserve">1 CAJA </v>
          </cell>
          <cell r="G99">
            <v>500</v>
          </cell>
          <cell r="H99" t="str">
            <v>15/06/2020</v>
          </cell>
          <cell r="I99">
            <v>37290</v>
          </cell>
          <cell r="J99">
            <v>64.599999999999994</v>
          </cell>
          <cell r="K99">
            <v>13600</v>
          </cell>
          <cell r="L99">
            <v>4.7499999999999999E-3</v>
          </cell>
          <cell r="M99" t="str">
            <v>Gramos</v>
          </cell>
        </row>
        <row r="100">
          <cell r="A100" t="str">
            <v>510207</v>
          </cell>
          <cell r="B100" t="str">
            <v>5464</v>
          </cell>
          <cell r="C100" t="str">
            <v>FRIJOL BLANCO (PAQ:1KILO)</v>
          </cell>
          <cell r="D100" t="str">
            <v>510207</v>
          </cell>
          <cell r="E100" t="str">
            <v>MATERIAS PRIMAS PLANTA</v>
          </cell>
          <cell r="F100" t="str">
            <v>1 PAQUETE</v>
          </cell>
          <cell r="G100">
            <v>500</v>
          </cell>
          <cell r="H100" t="str">
            <v>04/06/2020</v>
          </cell>
          <cell r="I100" t="e">
            <v>#N/A</v>
          </cell>
          <cell r="J100">
            <v>0</v>
          </cell>
          <cell r="K100">
            <v>1000</v>
          </cell>
          <cell r="L100">
            <v>0</v>
          </cell>
          <cell r="M100"/>
        </row>
        <row r="101">
          <cell r="A101" t="str">
            <v>510215</v>
          </cell>
          <cell r="B101" t="str">
            <v>5626</v>
          </cell>
          <cell r="C101" t="str">
            <v xml:space="preserve">ALMIDON MODIFICADO (SACO:25 K) </v>
          </cell>
          <cell r="D101" t="str">
            <v>510215</v>
          </cell>
          <cell r="E101" t="str">
            <v>MATERIAS PRIMAS PLANTA</v>
          </cell>
          <cell r="F101" t="str">
            <v>1 SACO</v>
          </cell>
          <cell r="G101">
            <v>500</v>
          </cell>
          <cell r="H101" t="str">
            <v>09/06/2020</v>
          </cell>
          <cell r="I101">
            <v>30803</v>
          </cell>
          <cell r="J101">
            <v>89.75</v>
          </cell>
          <cell r="K101">
            <v>25000</v>
          </cell>
          <cell r="L101">
            <v>3.5899999999999999E-3</v>
          </cell>
          <cell r="M101" t="str">
            <v>Gramos</v>
          </cell>
        </row>
        <row r="102">
          <cell r="A102" t="str">
            <v>0510240</v>
          </cell>
          <cell r="B102" t="str">
            <v>11595</v>
          </cell>
          <cell r="C102" t="str">
            <v>PREMEZCLA PILS. CHOCOLATE (SACO:22.68 K)</v>
          </cell>
          <cell r="D102" t="str">
            <v>0510240</v>
          </cell>
          <cell r="E102" t="str">
            <v>MATERIAS PRIMAS PLANTA</v>
          </cell>
          <cell r="F102" t="str">
            <v>1 SACO</v>
          </cell>
          <cell r="G102">
            <v>500</v>
          </cell>
          <cell r="H102" t="str">
            <v>15/06/2020</v>
          </cell>
          <cell r="I102">
            <v>40212</v>
          </cell>
          <cell r="J102">
            <v>42636</v>
          </cell>
          <cell r="K102">
            <v>22680</v>
          </cell>
          <cell r="L102">
            <v>1.87989417989418</v>
          </cell>
          <cell r="M102" t="str">
            <v>Gramos</v>
          </cell>
        </row>
        <row r="103">
          <cell r="A103" t="str">
            <v>0510258</v>
          </cell>
          <cell r="B103" t="str">
            <v>5558</v>
          </cell>
          <cell r="C103" t="str">
            <v>PREMEZCLA MOIST PUDIN CAKE (SACO:25 K)</v>
          </cell>
          <cell r="D103" t="str">
            <v>0510258</v>
          </cell>
          <cell r="E103" t="str">
            <v>MATERIAS PRIMAS PLANTA</v>
          </cell>
          <cell r="F103" t="str">
            <v>1 SACO</v>
          </cell>
          <cell r="G103">
            <v>500</v>
          </cell>
          <cell r="H103" t="str">
            <v>05/05/2020</v>
          </cell>
          <cell r="I103">
            <v>27500</v>
          </cell>
          <cell r="J103">
            <v>38955.22</v>
          </cell>
          <cell r="K103">
            <v>25000</v>
          </cell>
          <cell r="L103">
            <v>1.5582088000000001</v>
          </cell>
          <cell r="M103" t="str">
            <v>Gramos</v>
          </cell>
        </row>
        <row r="104">
          <cell r="A104" t="str">
            <v>0510262</v>
          </cell>
          <cell r="B104" t="str">
            <v>5667</v>
          </cell>
          <cell r="C104" t="str">
            <v>PECANA ENTERA (CAJA:13.6 K)</v>
          </cell>
          <cell r="D104" t="str">
            <v>0510262</v>
          </cell>
          <cell r="E104" t="str">
            <v>MATERIAS PRIMAS PLANTA</v>
          </cell>
          <cell r="F104" t="str">
            <v xml:space="preserve">1 CAJA </v>
          </cell>
          <cell r="G104">
            <v>500</v>
          </cell>
          <cell r="H104" t="str">
            <v>15/06/2020</v>
          </cell>
          <cell r="I104">
            <v>231.2</v>
          </cell>
          <cell r="J104">
            <v>190.4</v>
          </cell>
          <cell r="K104">
            <v>13600</v>
          </cell>
          <cell r="L104">
            <v>1.4E-2</v>
          </cell>
          <cell r="M104" t="str">
            <v>Gramos</v>
          </cell>
        </row>
        <row r="105">
          <cell r="A105" t="str">
            <v>510268</v>
          </cell>
          <cell r="B105" t="str">
            <v>5460</v>
          </cell>
          <cell r="C105" t="str">
            <v>FRIJOL TIERNO (PAQ:1KILO)</v>
          </cell>
          <cell r="D105" t="str">
            <v>510268</v>
          </cell>
          <cell r="E105" t="str">
            <v>MATERIAS PRIMAS PLANTA</v>
          </cell>
          <cell r="F105" t="str">
            <v>1 PAQUETE</v>
          </cell>
          <cell r="G105">
            <v>500</v>
          </cell>
          <cell r="H105" t="str">
            <v>16/06/2020</v>
          </cell>
          <cell r="I105">
            <v>1700</v>
          </cell>
          <cell r="J105">
            <v>1700</v>
          </cell>
          <cell r="K105">
            <v>1000</v>
          </cell>
          <cell r="L105">
            <v>1.7</v>
          </cell>
          <cell r="M105" t="str">
            <v>Gramos</v>
          </cell>
        </row>
        <row r="106">
          <cell r="A106" t="str">
            <v>510280</v>
          </cell>
          <cell r="B106" t="str">
            <v>5627</v>
          </cell>
          <cell r="C106" t="str">
            <v>EMULCON TM (SACO:20 K)</v>
          </cell>
          <cell r="D106" t="str">
            <v>510280</v>
          </cell>
          <cell r="E106" t="str">
            <v>MATERIAS PRIMAS PLANTA</v>
          </cell>
          <cell r="F106" t="str">
            <v>1 SACO</v>
          </cell>
          <cell r="G106">
            <v>500</v>
          </cell>
          <cell r="H106" t="str">
            <v>02/06/2020</v>
          </cell>
          <cell r="I106">
            <v>100220</v>
          </cell>
          <cell r="J106">
            <v>120720</v>
          </cell>
          <cell r="K106">
            <v>20000</v>
          </cell>
          <cell r="L106">
            <v>6.0359999999999996</v>
          </cell>
          <cell r="M106" t="str">
            <v>Gramos</v>
          </cell>
        </row>
        <row r="107">
          <cell r="A107" t="str">
            <v>0510285</v>
          </cell>
          <cell r="B107" t="str">
            <v>5559</v>
          </cell>
          <cell r="C107" t="str">
            <v>PREMEZCLA P/QUEQUE YOGURT (SACO:22.67 K)</v>
          </cell>
          <cell r="D107" t="str">
            <v>0510285</v>
          </cell>
          <cell r="E107" t="str">
            <v>MATERIAS PRIMAS PLANTA</v>
          </cell>
          <cell r="F107" t="str">
            <v>1 SACO</v>
          </cell>
          <cell r="G107">
            <v>500</v>
          </cell>
          <cell r="H107" t="str">
            <v>09/12/2019</v>
          </cell>
          <cell r="I107" t="e">
            <v>#N/A</v>
          </cell>
          <cell r="J107">
            <v>0</v>
          </cell>
          <cell r="K107">
            <v>22670</v>
          </cell>
          <cell r="L107">
            <v>0</v>
          </cell>
          <cell r="M107"/>
        </row>
        <row r="108">
          <cell r="A108" t="str">
            <v>0510287</v>
          </cell>
          <cell r="B108" t="str">
            <v>5560</v>
          </cell>
          <cell r="C108" t="str">
            <v>PREMEZCLA TEGRAL CHIFON (SACO:10K)</v>
          </cell>
          <cell r="D108" t="str">
            <v>0510287</v>
          </cell>
          <cell r="E108" t="str">
            <v>MATERIAS PRIMAS PLANTA</v>
          </cell>
          <cell r="F108" t="str">
            <v>1 SACO</v>
          </cell>
          <cell r="G108">
            <v>500</v>
          </cell>
          <cell r="H108" t="str">
            <v>13/06/2020</v>
          </cell>
          <cell r="I108">
            <v>18350</v>
          </cell>
          <cell r="J108">
            <v>22052.76</v>
          </cell>
          <cell r="K108">
            <v>10000</v>
          </cell>
          <cell r="L108">
            <v>2.205276</v>
          </cell>
          <cell r="M108" t="str">
            <v>Gramos</v>
          </cell>
        </row>
        <row r="109">
          <cell r="A109" t="str">
            <v>0510294</v>
          </cell>
          <cell r="B109" t="str">
            <v>7064</v>
          </cell>
          <cell r="C109" t="str">
            <v>ANTIOXIDANTE ESPECIAL (KILO)</v>
          </cell>
          <cell r="D109" t="str">
            <v>0510294</v>
          </cell>
          <cell r="E109" t="str">
            <v>MATERIAS PRIMAS PLANTA</v>
          </cell>
          <cell r="F109" t="str">
            <v xml:space="preserve">1 KILO </v>
          </cell>
          <cell r="G109">
            <v>500</v>
          </cell>
          <cell r="H109" t="str">
            <v>18/05/2020</v>
          </cell>
          <cell r="I109">
            <v>5672.74</v>
          </cell>
          <cell r="J109">
            <v>11696.15</v>
          </cell>
          <cell r="K109">
            <v>1000</v>
          </cell>
          <cell r="L109">
            <v>11.696149999999999</v>
          </cell>
          <cell r="M109" t="str">
            <v>Gramos</v>
          </cell>
        </row>
        <row r="110">
          <cell r="A110" t="str">
            <v>0510298</v>
          </cell>
          <cell r="B110" t="str">
            <v>5561</v>
          </cell>
          <cell r="C110" t="str">
            <v>PREMEZCLA TEGRAL BIZCO MELOC (PAQ:6K)</v>
          </cell>
          <cell r="D110" t="str">
            <v>0510298</v>
          </cell>
          <cell r="E110" t="str">
            <v>MATERIAS PRIMAS PLANTA</v>
          </cell>
          <cell r="F110" t="str">
            <v>1 KILO</v>
          </cell>
          <cell r="G110">
            <v>500</v>
          </cell>
          <cell r="H110" t="str">
            <v>13/06/2020</v>
          </cell>
          <cell r="I110">
            <v>1019.49</v>
          </cell>
          <cell r="J110">
            <v>1386</v>
          </cell>
          <cell r="K110">
            <v>1000</v>
          </cell>
          <cell r="L110">
            <v>1.3859999999999999</v>
          </cell>
          <cell r="M110" t="str">
            <v>Gramos</v>
          </cell>
        </row>
        <row r="111">
          <cell r="A111" t="str">
            <v>510301</v>
          </cell>
          <cell r="B111" t="str">
            <v>5243</v>
          </cell>
          <cell r="C111" t="str">
            <v>AZUCAR BLANCO INDUSTRIAL (SACO:50 K)</v>
          </cell>
          <cell r="D111" t="str">
            <v>510301</v>
          </cell>
          <cell r="E111" t="str">
            <v>MATERIAS PRIMAS PLANTA</v>
          </cell>
          <cell r="F111" t="str">
            <v>1 SACO</v>
          </cell>
          <cell r="G111">
            <v>500</v>
          </cell>
          <cell r="H111" t="str">
            <v>09/06/2020</v>
          </cell>
          <cell r="I111">
            <v>19517</v>
          </cell>
          <cell r="J111">
            <v>19517</v>
          </cell>
          <cell r="K111">
            <v>50000</v>
          </cell>
          <cell r="L111">
            <v>0.39034000000000002</v>
          </cell>
          <cell r="M111" t="str">
            <v>Gramos</v>
          </cell>
        </row>
        <row r="112">
          <cell r="A112" t="str">
            <v>510302</v>
          </cell>
          <cell r="B112" t="str">
            <v>5244</v>
          </cell>
          <cell r="C112" t="str">
            <v>AZUCAR REFINO INDUSTRIAL (SACO:50 K)</v>
          </cell>
          <cell r="D112" t="str">
            <v>510302</v>
          </cell>
          <cell r="E112" t="str">
            <v>MATERIAS PRIMAS PLANTA</v>
          </cell>
          <cell r="F112" t="str">
            <v>1 SACO</v>
          </cell>
          <cell r="G112">
            <v>500</v>
          </cell>
          <cell r="H112" t="str">
            <v>26/05/2020</v>
          </cell>
          <cell r="I112">
            <v>21982</v>
          </cell>
          <cell r="J112">
            <v>21982</v>
          </cell>
          <cell r="K112">
            <v>50000</v>
          </cell>
          <cell r="L112">
            <v>0.43963999999999998</v>
          </cell>
          <cell r="M112" t="str">
            <v>Gramos</v>
          </cell>
        </row>
        <row r="113">
          <cell r="A113" t="str">
            <v>0510304</v>
          </cell>
          <cell r="B113" t="str">
            <v>8126</v>
          </cell>
          <cell r="C113" t="str">
            <v>PREMEZCLA PASTEL SUPER ESPONJA</v>
          </cell>
          <cell r="D113" t="str">
            <v>0510304</v>
          </cell>
          <cell r="E113" t="str">
            <v>MATERIAS PRIMAS PLANTA</v>
          </cell>
          <cell r="F113" t="str">
            <v>1 KILO</v>
          </cell>
          <cell r="G113">
            <v>500</v>
          </cell>
          <cell r="H113" t="str">
            <v>03/06/2020</v>
          </cell>
          <cell r="I113">
            <v>2048.79</v>
          </cell>
          <cell r="J113">
            <v>2477.12</v>
          </cell>
          <cell r="K113">
            <v>1000</v>
          </cell>
          <cell r="L113">
            <v>2.4771199999999998</v>
          </cell>
          <cell r="M113" t="str">
            <v>Gramos</v>
          </cell>
        </row>
        <row r="114">
          <cell r="A114" t="str">
            <v>510414</v>
          </cell>
          <cell r="B114" t="str">
            <v>5255</v>
          </cell>
          <cell r="C114" t="str">
            <v>SNACK MIX PLATANO-YUCA (PAQ:500g)</v>
          </cell>
          <cell r="D114" t="str">
            <v>510414</v>
          </cell>
          <cell r="E114" t="str">
            <v>MATERIAS PRIMAS PLANTA</v>
          </cell>
          <cell r="F114" t="str">
            <v>1 PAQUETE</v>
          </cell>
          <cell r="G114">
            <v>500</v>
          </cell>
          <cell r="H114" t="str">
            <v>10/06/2020</v>
          </cell>
          <cell r="I114">
            <v>1327.4333329999999</v>
          </cell>
          <cell r="J114">
            <v>1327.4333329999999</v>
          </cell>
          <cell r="K114">
            <v>500</v>
          </cell>
          <cell r="L114">
            <v>2.6548666659999998</v>
          </cell>
          <cell r="M114"/>
        </row>
        <row r="115">
          <cell r="A115" t="str">
            <v>0512255</v>
          </cell>
          <cell r="B115" t="str">
            <v>5282</v>
          </cell>
          <cell r="C115" t="str">
            <v>COCOA DUTCH PROCESS (SACO:25 KG)</v>
          </cell>
          <cell r="D115" t="str">
            <v>0512255</v>
          </cell>
          <cell r="E115" t="str">
            <v>MATERIAS PRIMAS PLANTA</v>
          </cell>
          <cell r="F115" t="str">
            <v>1 SACO</v>
          </cell>
          <cell r="G115">
            <v>500</v>
          </cell>
          <cell r="H115" t="str">
            <v>02/03/2020</v>
          </cell>
          <cell r="I115">
            <v>132334.38</v>
          </cell>
          <cell r="J115">
            <v>131.25</v>
          </cell>
          <cell r="K115">
            <v>25000</v>
          </cell>
          <cell r="L115">
            <v>5.2500000000000003E-3</v>
          </cell>
          <cell r="M115" t="str">
            <v>Gramos</v>
          </cell>
        </row>
        <row r="116">
          <cell r="A116" t="str">
            <v>512261</v>
          </cell>
          <cell r="B116" t="str">
            <v>7066</v>
          </cell>
          <cell r="C116" t="str">
            <v>ACIDO SORBICO (PAQ:2.5 K)</v>
          </cell>
          <cell r="D116" t="str">
            <v>512261</v>
          </cell>
          <cell r="E116" t="str">
            <v>MATERIAS PRIMAS PLANTA</v>
          </cell>
          <cell r="F116" t="str">
            <v>1 PAQUETE</v>
          </cell>
          <cell r="G116">
            <v>500</v>
          </cell>
          <cell r="H116" t="str">
            <v>01/06/2020</v>
          </cell>
          <cell r="I116">
            <v>19301.21</v>
          </cell>
          <cell r="J116">
            <v>8718.19</v>
          </cell>
          <cell r="K116">
            <v>2500</v>
          </cell>
          <cell r="L116">
            <v>3.487276</v>
          </cell>
          <cell r="M116" t="str">
            <v>Gramos</v>
          </cell>
        </row>
        <row r="117">
          <cell r="A117" t="str">
            <v>0512262</v>
          </cell>
          <cell r="B117" t="str">
            <v>7067</v>
          </cell>
          <cell r="C117" t="str">
            <v>PROPIANATO CALCIO (PAQ:2.5 K)</v>
          </cell>
          <cell r="D117" t="str">
            <v>0512262</v>
          </cell>
          <cell r="E117" t="str">
            <v>MATERIAS PRIMAS PLANTA</v>
          </cell>
          <cell r="F117" t="str">
            <v>1 PAQUETE</v>
          </cell>
          <cell r="G117">
            <v>500</v>
          </cell>
          <cell r="H117" t="str">
            <v>01/06/2020</v>
          </cell>
          <cell r="I117">
            <v>4766.87</v>
          </cell>
          <cell r="J117">
            <v>0</v>
          </cell>
          <cell r="K117">
            <v>2500</v>
          </cell>
          <cell r="L117">
            <v>0</v>
          </cell>
          <cell r="M117" t="str">
            <v>Gramos</v>
          </cell>
        </row>
        <row r="118">
          <cell r="A118" t="str">
            <v>0512319</v>
          </cell>
          <cell r="B118" t="str">
            <v>5483</v>
          </cell>
          <cell r="C118" t="str">
            <v>PASTA AJO (PAQ: 1 KILO)</v>
          </cell>
          <cell r="D118" t="str">
            <v>0512319</v>
          </cell>
          <cell r="E118" t="str">
            <v>MATERIAS PRIMAS PLANTA</v>
          </cell>
          <cell r="F118" t="str">
            <v xml:space="preserve">1 KILO </v>
          </cell>
          <cell r="G118">
            <v>500</v>
          </cell>
          <cell r="H118" t="str">
            <v>13/06/2020</v>
          </cell>
          <cell r="I118">
            <v>4458</v>
          </cell>
          <cell r="J118">
            <v>4458</v>
          </cell>
          <cell r="K118">
            <v>1000</v>
          </cell>
          <cell r="L118">
            <v>4.4580000000000002</v>
          </cell>
          <cell r="M118" t="str">
            <v>Gramos</v>
          </cell>
        </row>
        <row r="119">
          <cell r="A119" t="str">
            <v>0512334</v>
          </cell>
          <cell r="B119" t="str">
            <v>7068</v>
          </cell>
          <cell r="C119" t="str">
            <v>BENZOATO SODIO (PAQ:2.5 K)</v>
          </cell>
          <cell r="D119" t="str">
            <v>0512334</v>
          </cell>
          <cell r="E119" t="str">
            <v>MATERIAS PRIMAS PLANTA</v>
          </cell>
          <cell r="F119" t="str">
            <v>1 PAQUETE</v>
          </cell>
          <cell r="G119">
            <v>500</v>
          </cell>
          <cell r="H119" t="str">
            <v>01/06/2020</v>
          </cell>
          <cell r="I119">
            <v>4582</v>
          </cell>
          <cell r="J119">
            <v>0</v>
          </cell>
          <cell r="K119">
            <v>2500</v>
          </cell>
          <cell r="L119">
            <v>0</v>
          </cell>
          <cell r="M119" t="str">
            <v>Gramos</v>
          </cell>
        </row>
        <row r="120">
          <cell r="A120" t="str">
            <v>0610212</v>
          </cell>
          <cell r="B120" t="str">
            <v>5466</v>
          </cell>
          <cell r="C120" t="str">
            <v>JENGIBRE ENTERO KILO</v>
          </cell>
          <cell r="D120" t="str">
            <v>0610212</v>
          </cell>
          <cell r="E120" t="str">
            <v>MATERIAS PRIMAS PLANTA</v>
          </cell>
          <cell r="F120" t="str">
            <v>1 KILO</v>
          </cell>
          <cell r="G120">
            <v>500</v>
          </cell>
          <cell r="H120" t="str">
            <v>23/05/2020</v>
          </cell>
          <cell r="I120">
            <v>3060</v>
          </cell>
          <cell r="J120">
            <v>3060</v>
          </cell>
          <cell r="K120">
            <v>1000</v>
          </cell>
          <cell r="L120">
            <v>3.06</v>
          </cell>
          <cell r="M120" t="str">
            <v>Gramos</v>
          </cell>
        </row>
        <row r="121">
          <cell r="A121" t="str">
            <v>610218</v>
          </cell>
          <cell r="B121" t="str">
            <v>5409</v>
          </cell>
          <cell r="C121" t="str">
            <v>COMINO (UND:454G)</v>
          </cell>
          <cell r="D121" t="str">
            <v>610218</v>
          </cell>
          <cell r="E121" t="str">
            <v>MATERIAS PRIMAS PLANTA</v>
          </cell>
          <cell r="F121" t="str">
            <v>1 UND</v>
          </cell>
          <cell r="G121">
            <v>500</v>
          </cell>
          <cell r="H121" t="str">
            <v>19/03/2020</v>
          </cell>
          <cell r="I121">
            <v>2869</v>
          </cell>
          <cell r="J121">
            <v>3135</v>
          </cell>
          <cell r="K121">
            <v>454</v>
          </cell>
          <cell r="L121">
            <v>6.9052863436123344</v>
          </cell>
          <cell r="M121" t="str">
            <v>Gramos</v>
          </cell>
        </row>
        <row r="122">
          <cell r="A122" t="str">
            <v>610220</v>
          </cell>
          <cell r="B122" t="str">
            <v>5414</v>
          </cell>
          <cell r="C122" t="str">
            <v>CONSOME POLLO ALSERRO (PAQ: 1 K)</v>
          </cell>
          <cell r="D122" t="str">
            <v>610220</v>
          </cell>
          <cell r="E122" t="str">
            <v>MATERIAS PRIMAS PLANTA</v>
          </cell>
          <cell r="F122" t="str">
            <v>1 PAQUETE</v>
          </cell>
          <cell r="G122">
            <v>500</v>
          </cell>
          <cell r="H122" t="str">
            <v>05/06/2020</v>
          </cell>
          <cell r="I122">
            <v>1845</v>
          </cell>
          <cell r="J122">
            <v>2214</v>
          </cell>
          <cell r="K122">
            <v>1000</v>
          </cell>
          <cell r="L122">
            <v>2.214</v>
          </cell>
          <cell r="M122" t="str">
            <v>Gramos</v>
          </cell>
        </row>
        <row r="123">
          <cell r="A123" t="str">
            <v>610223</v>
          </cell>
          <cell r="B123" t="str">
            <v>5306</v>
          </cell>
          <cell r="C123" t="str">
            <v>CREMA DE HONGOS (CAJA:12 UND)</v>
          </cell>
          <cell r="D123" t="str">
            <v>610223</v>
          </cell>
          <cell r="E123" t="str">
            <v>MATERIAS PRIMAS PLANTA</v>
          </cell>
          <cell r="F123" t="str">
            <v>1 CAJA</v>
          </cell>
          <cell r="G123">
            <v>500</v>
          </cell>
          <cell r="H123" t="str">
            <v>28/05/2020</v>
          </cell>
          <cell r="I123">
            <v>6398</v>
          </cell>
          <cell r="J123">
            <v>6920</v>
          </cell>
          <cell r="K123">
            <v>780</v>
          </cell>
          <cell r="L123">
            <v>8.8717948717948723</v>
          </cell>
          <cell r="M123" t="str">
            <v>Gramos</v>
          </cell>
        </row>
        <row r="124">
          <cell r="A124" t="str">
            <v>0610236</v>
          </cell>
          <cell r="B124" t="str">
            <v>7071</v>
          </cell>
          <cell r="C124" t="str">
            <v>PIMIENTA NEGRA MOLIDA (PAQ: 5 K)</v>
          </cell>
          <cell r="D124" t="str">
            <v>0610236</v>
          </cell>
          <cell r="E124" t="str">
            <v>MATERIAS PRIMAS PLANTA</v>
          </cell>
          <cell r="F124" t="str">
            <v>1 PAQUETE</v>
          </cell>
          <cell r="G124">
            <v>500</v>
          </cell>
          <cell r="H124" t="str">
            <v>21/05/2020</v>
          </cell>
          <cell r="I124">
            <v>29615</v>
          </cell>
          <cell r="J124">
            <v>31415.599999999999</v>
          </cell>
          <cell r="K124">
            <v>5000</v>
          </cell>
          <cell r="L124">
            <v>6.2831199999999994</v>
          </cell>
          <cell r="M124" t="str">
            <v>Gramos</v>
          </cell>
        </row>
        <row r="125">
          <cell r="A125" t="str">
            <v>0610244</v>
          </cell>
          <cell r="B125" t="str">
            <v>7072</v>
          </cell>
          <cell r="C125" t="str">
            <v>JENGIBRE MOLIDO (UND:340g)</v>
          </cell>
          <cell r="D125" t="str">
            <v>0610244</v>
          </cell>
          <cell r="E125" t="str">
            <v>MATERIAS PRIMAS PLANTA</v>
          </cell>
          <cell r="F125" t="str">
            <v>1 UND</v>
          </cell>
          <cell r="G125">
            <v>500</v>
          </cell>
          <cell r="H125" t="str">
            <v>03/06/2020</v>
          </cell>
          <cell r="I125">
            <v>2798</v>
          </cell>
          <cell r="J125">
            <v>2946</v>
          </cell>
          <cell r="K125">
            <v>340</v>
          </cell>
          <cell r="L125">
            <v>8.6647058823529406</v>
          </cell>
          <cell r="M125" t="str">
            <v>Gramos</v>
          </cell>
        </row>
        <row r="126">
          <cell r="A126" t="str">
            <v>0610250</v>
          </cell>
          <cell r="B126" t="str">
            <v>5570</v>
          </cell>
          <cell r="C126" t="str">
            <v>HOJUELA PURE PAPA (SACO:15 K)</v>
          </cell>
          <cell r="D126" t="str">
            <v>0610250</v>
          </cell>
          <cell r="E126" t="str">
            <v>MATERIAS PRIMAS PLANTA</v>
          </cell>
          <cell r="F126" t="str">
            <v xml:space="preserve">1 SACO </v>
          </cell>
          <cell r="G126">
            <v>500</v>
          </cell>
          <cell r="H126" t="str">
            <v>27/05/2020</v>
          </cell>
          <cell r="I126">
            <v>30225</v>
          </cell>
          <cell r="J126">
            <v>48000</v>
          </cell>
          <cell r="K126">
            <v>15000</v>
          </cell>
          <cell r="L126">
            <v>3.2</v>
          </cell>
          <cell r="M126" t="str">
            <v>Gramos</v>
          </cell>
        </row>
        <row r="127">
          <cell r="A127" t="str">
            <v>0610253</v>
          </cell>
          <cell r="B127" t="str">
            <v>5308</v>
          </cell>
          <cell r="C127" t="str">
            <v>SOPA OLLA CARNE MAGGI (CAJA:12 UND)</v>
          </cell>
          <cell r="D127" t="str">
            <v>0610253</v>
          </cell>
          <cell r="E127" t="str">
            <v>MATERIAS PRIMAS PLANTA</v>
          </cell>
          <cell r="F127" t="str">
            <v>1 CAJA</v>
          </cell>
          <cell r="G127">
            <v>500</v>
          </cell>
          <cell r="H127" t="str">
            <v>05/06/2020</v>
          </cell>
          <cell r="I127">
            <v>3684</v>
          </cell>
          <cell r="J127">
            <v>4061</v>
          </cell>
          <cell r="K127">
            <v>480</v>
          </cell>
          <cell r="L127">
            <v>8.4604166666666671</v>
          </cell>
          <cell r="M127" t="str">
            <v>Gramos</v>
          </cell>
        </row>
        <row r="128">
          <cell r="A128" t="str">
            <v>0610254</v>
          </cell>
          <cell r="B128" t="str">
            <v>5260</v>
          </cell>
          <cell r="C128" t="str">
            <v>PIMIENTA BLANCA  MOLIDA (PAQ:5 K)</v>
          </cell>
          <cell r="D128" t="str">
            <v>0610254</v>
          </cell>
          <cell r="E128" t="str">
            <v>MATERIAS PRIMAS PLANTA</v>
          </cell>
          <cell r="F128" t="str">
            <v>1 PAQUETE</v>
          </cell>
          <cell r="G128">
            <v>500</v>
          </cell>
          <cell r="H128" t="str">
            <v>21/05/2020</v>
          </cell>
          <cell r="I128">
            <v>47385</v>
          </cell>
          <cell r="J128">
            <v>0</v>
          </cell>
          <cell r="K128">
            <v>5000</v>
          </cell>
          <cell r="L128">
            <v>0</v>
          </cell>
          <cell r="M128" t="str">
            <v>Gramos</v>
          </cell>
        </row>
        <row r="129">
          <cell r="A129" t="str">
            <v>0610256</v>
          </cell>
          <cell r="B129" t="str">
            <v>5259</v>
          </cell>
          <cell r="C129" t="str">
            <v>NUEZ MOSCADA MOLIDA (PAQ:3 K)</v>
          </cell>
          <cell r="D129" t="str">
            <v>0610256</v>
          </cell>
          <cell r="E129" t="str">
            <v>MATERIAS PRIMAS PLANTA</v>
          </cell>
          <cell r="F129" t="str">
            <v>1 PAQUETE</v>
          </cell>
          <cell r="G129">
            <v>500</v>
          </cell>
          <cell r="H129" t="str">
            <v>21/05/2020</v>
          </cell>
          <cell r="I129">
            <v>41469</v>
          </cell>
          <cell r="J129">
            <v>43990.32</v>
          </cell>
          <cell r="K129">
            <v>3000</v>
          </cell>
          <cell r="L129">
            <v>14.66344</v>
          </cell>
          <cell r="M129" t="str">
            <v>Gramos</v>
          </cell>
        </row>
        <row r="130">
          <cell r="A130" t="str">
            <v>701096</v>
          </cell>
          <cell r="B130" t="str">
            <v>5887</v>
          </cell>
          <cell r="C130" t="str">
            <v>ETIQUETA BLANCA R-153 (UND)</v>
          </cell>
          <cell r="D130" t="str">
            <v>701096</v>
          </cell>
          <cell r="E130" t="str">
            <v>ETIQUETAS PLANTA</v>
          </cell>
          <cell r="F130" t="str">
            <v>1 UND</v>
          </cell>
          <cell r="G130">
            <v>500</v>
          </cell>
          <cell r="H130" t="str">
            <v>12/06/2020</v>
          </cell>
          <cell r="I130">
            <v>0.39</v>
          </cell>
          <cell r="J130">
            <v>0.39</v>
          </cell>
          <cell r="K130">
            <v>1</v>
          </cell>
          <cell r="L130">
            <v>0.39</v>
          </cell>
          <cell r="M130" t="str">
            <v>Und</v>
          </cell>
        </row>
        <row r="131">
          <cell r="A131" t="str">
            <v>0702006</v>
          </cell>
          <cell r="B131" t="str">
            <v>5899</v>
          </cell>
          <cell r="C131" t="str">
            <v>ETIQ.FECHA VENCIMIENTO AMARILLO (ROLLO)</v>
          </cell>
          <cell r="D131" t="str">
            <v>0702006</v>
          </cell>
          <cell r="E131" t="str">
            <v>ETIQUETAS PLANTA</v>
          </cell>
          <cell r="F131" t="str">
            <v>1 ROLLO</v>
          </cell>
          <cell r="G131">
            <v>500</v>
          </cell>
          <cell r="H131" t="str">
            <v>25/03/2020</v>
          </cell>
          <cell r="I131">
            <v>180</v>
          </cell>
          <cell r="J131">
            <v>300</v>
          </cell>
          <cell r="K131">
            <v>900</v>
          </cell>
          <cell r="L131">
            <v>0.33333333333333331</v>
          </cell>
          <cell r="M131" t="str">
            <v>Und</v>
          </cell>
        </row>
        <row r="132">
          <cell r="A132" t="str">
            <v>0702008</v>
          </cell>
          <cell r="B132" t="str">
            <v>5901</v>
          </cell>
          <cell r="C132" t="str">
            <v>ETIQ.FECHA VENCIMIENTO CELESTE (ROLLO)</v>
          </cell>
          <cell r="D132" t="str">
            <v>0702008</v>
          </cell>
          <cell r="E132" t="str">
            <v>ETIQUETAS PLANTA</v>
          </cell>
          <cell r="F132" t="str">
            <v>1 ROLLO</v>
          </cell>
          <cell r="G132">
            <v>500</v>
          </cell>
          <cell r="H132" t="str">
            <v>12/06/2020</v>
          </cell>
          <cell r="I132">
            <v>180</v>
          </cell>
          <cell r="J132">
            <v>300</v>
          </cell>
          <cell r="K132">
            <v>900</v>
          </cell>
          <cell r="L132">
            <v>0.33333333333333331</v>
          </cell>
          <cell r="M132" t="str">
            <v>Und</v>
          </cell>
        </row>
        <row r="133">
          <cell r="A133" t="str">
            <v>0702009</v>
          </cell>
          <cell r="B133" t="str">
            <v>5902</v>
          </cell>
          <cell r="C133" t="str">
            <v>ETIQ.FECHA VENCIMIENTO NARANJA (ROLLO)</v>
          </cell>
          <cell r="D133" t="str">
            <v>0702009</v>
          </cell>
          <cell r="E133" t="str">
            <v>ETIQUETAS PLANTA</v>
          </cell>
          <cell r="F133" t="str">
            <v>1 ROLLO</v>
          </cell>
          <cell r="G133">
            <v>500</v>
          </cell>
          <cell r="H133" t="str">
            <v>28/04/2020</v>
          </cell>
          <cell r="I133">
            <v>180</v>
          </cell>
          <cell r="J133">
            <v>300</v>
          </cell>
          <cell r="K133">
            <v>900</v>
          </cell>
          <cell r="L133">
            <v>0.33333333333333331</v>
          </cell>
          <cell r="M133" t="str">
            <v>Und</v>
          </cell>
        </row>
        <row r="134">
          <cell r="A134" t="str">
            <v>0702010</v>
          </cell>
          <cell r="B134" t="str">
            <v>5903</v>
          </cell>
          <cell r="C134" t="str">
            <v>ETIQ.FECHA VENCIMIENTO ROJO (ROLLO)</v>
          </cell>
          <cell r="D134" t="str">
            <v>0702010</v>
          </cell>
          <cell r="E134" t="str">
            <v>ETIQUETAS PLANTA</v>
          </cell>
          <cell r="F134" t="str">
            <v>1 ROLLO</v>
          </cell>
          <cell r="G134">
            <v>500</v>
          </cell>
          <cell r="H134" t="str">
            <v>25/03/2020</v>
          </cell>
          <cell r="I134">
            <v>180</v>
          </cell>
          <cell r="J134">
            <v>300</v>
          </cell>
          <cell r="K134">
            <v>900</v>
          </cell>
          <cell r="L134">
            <v>0.33333333333333331</v>
          </cell>
          <cell r="M134" t="str">
            <v>Und</v>
          </cell>
        </row>
        <row r="135">
          <cell r="A135" t="str">
            <v>0702011</v>
          </cell>
          <cell r="B135" t="str">
            <v>5904</v>
          </cell>
          <cell r="C135" t="str">
            <v>ETIQ.FECHA VENCIMIENTO ROSADO (ROLLO)</v>
          </cell>
          <cell r="D135" t="str">
            <v>0702011</v>
          </cell>
          <cell r="E135" t="str">
            <v>ETIQUETAS PLANTA</v>
          </cell>
          <cell r="F135" t="str">
            <v>1 ROLLO</v>
          </cell>
          <cell r="G135">
            <v>500</v>
          </cell>
          <cell r="H135" t="str">
            <v>31/01/2020</v>
          </cell>
          <cell r="I135">
            <v>180</v>
          </cell>
          <cell r="J135">
            <v>0</v>
          </cell>
          <cell r="K135">
            <v>900</v>
          </cell>
          <cell r="L135">
            <v>0</v>
          </cell>
          <cell r="M135" t="str">
            <v>Und</v>
          </cell>
        </row>
        <row r="136">
          <cell r="A136" t="str">
            <v>0702012</v>
          </cell>
          <cell r="B136" t="str">
            <v>5905</v>
          </cell>
          <cell r="C136" t="str">
            <v>ETIQ.FECHA VENCIMIENTO VERDE (ROLLO)</v>
          </cell>
          <cell r="D136" t="str">
            <v>0702012</v>
          </cell>
          <cell r="E136" t="str">
            <v>ETIQUETAS PLANTA</v>
          </cell>
          <cell r="F136" t="str">
            <v>1 ROLLO</v>
          </cell>
          <cell r="G136">
            <v>500</v>
          </cell>
          <cell r="H136" t="str">
            <v>12/06/2020</v>
          </cell>
          <cell r="I136">
            <v>180</v>
          </cell>
          <cell r="J136">
            <v>300</v>
          </cell>
          <cell r="K136">
            <v>900</v>
          </cell>
          <cell r="L136">
            <v>0.33333333333333331</v>
          </cell>
          <cell r="M136" t="str">
            <v>Und</v>
          </cell>
        </row>
        <row r="137">
          <cell r="A137" t="str">
            <v>0702030</v>
          </cell>
          <cell r="B137" t="str">
            <v>5906</v>
          </cell>
          <cell r="C137" t="str">
            <v>ETIQ PRODUCCION BLANCO (ROLLO)</v>
          </cell>
          <cell r="D137" t="str">
            <v>0702030</v>
          </cell>
          <cell r="E137" t="str">
            <v>ETIQUETAS PLANTA</v>
          </cell>
          <cell r="F137" t="str">
            <v>1 ROLLO</v>
          </cell>
          <cell r="G137">
            <v>500</v>
          </cell>
          <cell r="H137" t="str">
            <v>12/06/2020</v>
          </cell>
          <cell r="I137">
            <v>157</v>
          </cell>
          <cell r="J137">
            <v>225</v>
          </cell>
          <cell r="K137">
            <v>900</v>
          </cell>
          <cell r="L137">
            <v>0.25</v>
          </cell>
          <cell r="M137" t="str">
            <v>Und</v>
          </cell>
        </row>
        <row r="138">
          <cell r="A138" t="str">
            <v>0702039</v>
          </cell>
          <cell r="B138" t="str">
            <v>5915</v>
          </cell>
          <cell r="C138" t="str">
            <v>ETIQUETA QQ GRANDE V-272 CHOCOLATE (UND)</v>
          </cell>
          <cell r="D138" t="str">
            <v>0702039</v>
          </cell>
          <cell r="E138" t="str">
            <v>ETIQUETAS PLANTA</v>
          </cell>
          <cell r="F138" t="str">
            <v>1 UND</v>
          </cell>
          <cell r="G138">
            <v>500</v>
          </cell>
          <cell r="H138" t="str">
            <v>07/05/2020</v>
          </cell>
          <cell r="I138">
            <v>47.024999999999999</v>
          </cell>
          <cell r="J138">
            <v>0</v>
          </cell>
          <cell r="K138">
            <v>1</v>
          </cell>
          <cell r="L138">
            <v>0</v>
          </cell>
          <cell r="M138" t="str">
            <v>Und</v>
          </cell>
        </row>
        <row r="139">
          <cell r="A139" t="str">
            <v>0702041</v>
          </cell>
          <cell r="B139" t="str">
            <v>5914</v>
          </cell>
          <cell r="C139" t="str">
            <v>ETIQUETA QQ GRAND  V-272 CHOCOFRESA(UND)</v>
          </cell>
          <cell r="D139" t="str">
            <v>0702041</v>
          </cell>
          <cell r="E139" t="str">
            <v>ETIQUETAS PLANTA</v>
          </cell>
          <cell r="F139" t="str">
            <v>1 UND</v>
          </cell>
          <cell r="G139">
            <v>500</v>
          </cell>
          <cell r="H139" t="str">
            <v>07/04/2020</v>
          </cell>
          <cell r="I139">
            <v>47.024999999999999</v>
          </cell>
          <cell r="J139">
            <v>0</v>
          </cell>
          <cell r="K139">
            <v>1</v>
          </cell>
          <cell r="L139">
            <v>0</v>
          </cell>
          <cell r="M139" t="str">
            <v>Und</v>
          </cell>
        </row>
        <row r="140">
          <cell r="A140" t="str">
            <v>0702048</v>
          </cell>
          <cell r="B140" t="str">
            <v>5913</v>
          </cell>
          <cell r="C140" t="str">
            <v>ETIQUETA QQ GRANDE V-272 MELOCOTON (UND)</v>
          </cell>
          <cell r="D140" t="str">
            <v>0702048</v>
          </cell>
          <cell r="E140" t="str">
            <v>ETIQUETAS PLANTA</v>
          </cell>
          <cell r="F140" t="str">
            <v>1 UND</v>
          </cell>
          <cell r="G140">
            <v>500</v>
          </cell>
          <cell r="H140" t="str">
            <v>04/03/2020</v>
          </cell>
          <cell r="I140">
            <v>47.024999999999999</v>
          </cell>
          <cell r="J140">
            <v>0</v>
          </cell>
          <cell r="K140">
            <v>1</v>
          </cell>
          <cell r="L140">
            <v>0</v>
          </cell>
          <cell r="M140" t="str">
            <v>Und</v>
          </cell>
        </row>
        <row r="141">
          <cell r="A141" t="str">
            <v>0702053</v>
          </cell>
          <cell r="B141" t="str">
            <v>5891</v>
          </cell>
          <cell r="C141" t="str">
            <v>STICKER REDONDO AMARILLO (ROLLO)</v>
          </cell>
          <cell r="D141" t="str">
            <v>0702053</v>
          </cell>
          <cell r="E141" t="str">
            <v>ETIQUETAS PLANTA</v>
          </cell>
          <cell r="F141" t="str">
            <v>1 ROLLO</v>
          </cell>
          <cell r="G141">
            <v>500</v>
          </cell>
          <cell r="H141" t="str">
            <v>12/06/2020</v>
          </cell>
          <cell r="I141">
            <v>200</v>
          </cell>
          <cell r="J141">
            <v>255</v>
          </cell>
          <cell r="K141">
            <v>900</v>
          </cell>
          <cell r="L141">
            <v>0.28333333333333333</v>
          </cell>
          <cell r="M141"/>
        </row>
        <row r="142">
          <cell r="A142" t="str">
            <v>0702056</v>
          </cell>
          <cell r="B142" t="str">
            <v>5894</v>
          </cell>
          <cell r="C142" t="str">
            <v>STICKER REDONDO CELESTE (ROLLO)</v>
          </cell>
          <cell r="D142" t="str">
            <v>0702056</v>
          </cell>
          <cell r="E142" t="str">
            <v>ETIQUETAS PLANTA</v>
          </cell>
          <cell r="F142" t="str">
            <v>1 ROLLO</v>
          </cell>
          <cell r="G142">
            <v>500</v>
          </cell>
          <cell r="H142" t="str">
            <v>20/12/2019</v>
          </cell>
          <cell r="I142">
            <v>200</v>
          </cell>
          <cell r="J142">
            <v>255</v>
          </cell>
          <cell r="K142">
            <v>900</v>
          </cell>
          <cell r="L142">
            <v>0.28333333333333333</v>
          </cell>
          <cell r="M142"/>
        </row>
        <row r="143">
          <cell r="A143" t="str">
            <v>0702057</v>
          </cell>
          <cell r="B143" t="str">
            <v>12061</v>
          </cell>
          <cell r="C143" t="str">
            <v>STICKER REDONDO NARANJA (ROLLO)</v>
          </cell>
          <cell r="D143" t="str">
            <v>0702057</v>
          </cell>
          <cell r="E143" t="str">
            <v>ETIQUETAS PLANTA</v>
          </cell>
          <cell r="F143" t="str">
            <v>1 ROLLO</v>
          </cell>
          <cell r="G143">
            <v>500</v>
          </cell>
          <cell r="H143" t="str">
            <v>12/06/2020</v>
          </cell>
          <cell r="I143">
            <v>200</v>
          </cell>
          <cell r="J143">
            <v>170</v>
          </cell>
          <cell r="K143">
            <v>900</v>
          </cell>
          <cell r="L143">
            <v>0.18888888888888888</v>
          </cell>
          <cell r="M143"/>
        </row>
        <row r="144">
          <cell r="A144" t="str">
            <v>0702058</v>
          </cell>
          <cell r="B144" t="str">
            <v>5896</v>
          </cell>
          <cell r="C144" t="str">
            <v>STICKER REDONDO ROJO (ROLLO)</v>
          </cell>
          <cell r="D144" t="str">
            <v>0702058</v>
          </cell>
          <cell r="E144" t="str">
            <v>ETIQUETAS PLANTA</v>
          </cell>
          <cell r="F144" t="str">
            <v>1 ROLLO</v>
          </cell>
          <cell r="G144">
            <v>500</v>
          </cell>
          <cell r="H144" t="str">
            <v>12/06/2020</v>
          </cell>
          <cell r="I144">
            <v>200</v>
          </cell>
          <cell r="J144">
            <v>170</v>
          </cell>
          <cell r="K144">
            <v>900</v>
          </cell>
          <cell r="L144">
            <v>0.18888888888888888</v>
          </cell>
          <cell r="M144"/>
        </row>
        <row r="145">
          <cell r="A145" t="str">
            <v>0702059</v>
          </cell>
          <cell r="B145" t="str">
            <v>5897</v>
          </cell>
          <cell r="C145" t="str">
            <v>STICKER REDONDO ROSADO (ROLLO)</v>
          </cell>
          <cell r="D145" t="str">
            <v>0702059</v>
          </cell>
          <cell r="E145" t="str">
            <v>ETIQUETAS PLANTA</v>
          </cell>
          <cell r="F145" t="str">
            <v>1 ROLLO</v>
          </cell>
          <cell r="G145">
            <v>500</v>
          </cell>
          <cell r="H145" t="str">
            <v>20/12/2019</v>
          </cell>
          <cell r="I145">
            <v>200</v>
          </cell>
          <cell r="J145">
            <v>255</v>
          </cell>
          <cell r="K145">
            <v>900</v>
          </cell>
          <cell r="L145">
            <v>0.28333333333333333</v>
          </cell>
          <cell r="M145"/>
        </row>
        <row r="146">
          <cell r="A146" t="str">
            <v>0702067</v>
          </cell>
          <cell r="B146" t="str">
            <v>5888</v>
          </cell>
          <cell r="C146" t="str">
            <v>ETIQ.BLANCA 1 13/16 * 1 7/8 (UND)</v>
          </cell>
          <cell r="D146" t="str">
            <v>0702067</v>
          </cell>
          <cell r="E146" t="str">
            <v>ETIQUETAS PLANTA</v>
          </cell>
          <cell r="F146" t="str">
            <v>1 UND</v>
          </cell>
          <cell r="G146">
            <v>500</v>
          </cell>
          <cell r="H146" t="str">
            <v>12/06/2020</v>
          </cell>
          <cell r="I146">
            <v>1.7949999999999999</v>
          </cell>
          <cell r="J146">
            <v>1.7949999999999999</v>
          </cell>
          <cell r="K146">
            <v>1</v>
          </cell>
          <cell r="L146">
            <v>1.7949999999999999</v>
          </cell>
          <cell r="M146" t="str">
            <v>Und</v>
          </cell>
        </row>
        <row r="147">
          <cell r="A147" t="str">
            <v>0702069</v>
          </cell>
          <cell r="B147" t="str">
            <v>5884</v>
          </cell>
          <cell r="C147" t="str">
            <v>ETIQ.BLANCA 1 1/4 * 3/4 (UND)</v>
          </cell>
          <cell r="D147" t="str">
            <v>0702069</v>
          </cell>
          <cell r="E147" t="str">
            <v>ETIQUETAS PLANTA</v>
          </cell>
          <cell r="F147" t="str">
            <v>1 UND</v>
          </cell>
          <cell r="G147">
            <v>500</v>
          </cell>
          <cell r="H147" t="str">
            <v>28/04/2020</v>
          </cell>
          <cell r="I147">
            <v>0.57999999999999996</v>
          </cell>
          <cell r="J147">
            <v>0.57999999999999996</v>
          </cell>
          <cell r="K147">
            <v>1</v>
          </cell>
          <cell r="L147">
            <v>0.57999999999999996</v>
          </cell>
          <cell r="M147" t="str">
            <v>Und</v>
          </cell>
        </row>
        <row r="148">
          <cell r="A148" t="str">
            <v>0702072</v>
          </cell>
          <cell r="B148" t="str">
            <v>5885</v>
          </cell>
          <cell r="C148" t="str">
            <v>ETIQ.BLANCA 3X3 (UND)</v>
          </cell>
          <cell r="D148" t="str">
            <v>0702072</v>
          </cell>
          <cell r="E148" t="str">
            <v>ETIQUETAS PLANTA</v>
          </cell>
          <cell r="F148" t="str">
            <v>1 UND</v>
          </cell>
          <cell r="G148">
            <v>500</v>
          </cell>
          <cell r="H148" t="str">
            <v>25/02/2020</v>
          </cell>
          <cell r="I148">
            <v>4.3230000000000004</v>
          </cell>
          <cell r="J148">
            <v>13</v>
          </cell>
          <cell r="K148">
            <v>1</v>
          </cell>
          <cell r="L148">
            <v>13</v>
          </cell>
          <cell r="M148" t="str">
            <v>Und</v>
          </cell>
        </row>
        <row r="149">
          <cell r="A149" t="str">
            <v>0702077</v>
          </cell>
          <cell r="B149" t="str">
            <v>5911</v>
          </cell>
          <cell r="C149" t="str">
            <v>ETIQ. GENERICA PEQUEÑA V-274 (UND)</v>
          </cell>
          <cell r="D149" t="str">
            <v>0702077</v>
          </cell>
          <cell r="E149" t="str">
            <v>ETIQUETAS PLANTA</v>
          </cell>
          <cell r="F149" t="str">
            <v>1 UND</v>
          </cell>
          <cell r="G149">
            <v>500</v>
          </cell>
          <cell r="H149" t="str">
            <v>12/06/2020</v>
          </cell>
          <cell r="I149">
            <v>12.188000000000001</v>
          </cell>
          <cell r="J149">
            <v>13.45</v>
          </cell>
          <cell r="K149">
            <v>1</v>
          </cell>
          <cell r="L149">
            <v>13.45</v>
          </cell>
          <cell r="M149" t="str">
            <v>Und</v>
          </cell>
        </row>
        <row r="150">
          <cell r="A150" t="str">
            <v>0702087</v>
          </cell>
          <cell r="B150" t="str">
            <v>11572</v>
          </cell>
          <cell r="C150" t="str">
            <v>ET.  BUCCA DULCE (UND)</v>
          </cell>
          <cell r="D150" t="str">
            <v>0702087</v>
          </cell>
          <cell r="E150" t="str">
            <v>ETIQUETAS PLANTA</v>
          </cell>
          <cell r="F150" t="str">
            <v>1 UND</v>
          </cell>
          <cell r="G150">
            <v>500</v>
          </cell>
          <cell r="H150" t="str">
            <v>08/06/2020</v>
          </cell>
          <cell r="I150">
            <v>5</v>
          </cell>
          <cell r="J150">
            <v>5</v>
          </cell>
          <cell r="K150">
            <v>1</v>
          </cell>
          <cell r="L150">
            <v>5</v>
          </cell>
          <cell r="M150" t="str">
            <v>Und</v>
          </cell>
        </row>
        <row r="151">
          <cell r="A151" t="str">
            <v>0702123</v>
          </cell>
          <cell r="B151" t="str">
            <v>12490</v>
          </cell>
          <cell r="C151" t="str">
            <v>ETIQUETA BLANCA 2 5/8X1 15/16 (UND)</v>
          </cell>
          <cell r="D151" t="str">
            <v>0702123</v>
          </cell>
          <cell r="E151" t="str">
            <v>ETIQUETAS PLANTA</v>
          </cell>
          <cell r="F151" t="str">
            <v>1 UND</v>
          </cell>
          <cell r="G151">
            <v>500</v>
          </cell>
          <cell r="H151" t="str">
            <v>12/06/2020</v>
          </cell>
          <cell r="I151">
            <v>2.1280000000000001</v>
          </cell>
          <cell r="J151">
            <v>2.1280000000000001</v>
          </cell>
          <cell r="K151">
            <v>1</v>
          </cell>
          <cell r="L151">
            <v>2.1280000000000001</v>
          </cell>
          <cell r="M151" t="str">
            <v>Und</v>
          </cell>
        </row>
        <row r="152">
          <cell r="A152" t="str">
            <v>702136</v>
          </cell>
          <cell r="B152" t="str">
            <v>5917</v>
          </cell>
          <cell r="C152" t="str">
            <v>ET. STARBUCKS ALFAJOR (UND)</v>
          </cell>
          <cell r="D152" t="str">
            <v>702136</v>
          </cell>
          <cell r="E152" t="str">
            <v>ETIQUETAS PLANTA</v>
          </cell>
          <cell r="F152" t="str">
            <v>1 UND</v>
          </cell>
          <cell r="G152">
            <v>500</v>
          </cell>
          <cell r="H152" t="str">
            <v>24/03/2020</v>
          </cell>
          <cell r="I152">
            <v>25</v>
          </cell>
          <cell r="J152">
            <v>0</v>
          </cell>
          <cell r="K152">
            <v>1</v>
          </cell>
          <cell r="L152">
            <v>0</v>
          </cell>
          <cell r="M152"/>
        </row>
        <row r="153">
          <cell r="A153" t="str">
            <v>0702137</v>
          </cell>
          <cell r="B153" t="str">
            <v>5918</v>
          </cell>
          <cell r="C153" t="str">
            <v>ET. STARBUCKS TROCITOS CHEDDAR (UND)</v>
          </cell>
          <cell r="D153" t="str">
            <v>0702137</v>
          </cell>
          <cell r="E153" t="str">
            <v>ETIQUETAS PLANTA</v>
          </cell>
          <cell r="F153" t="str">
            <v>1 UND</v>
          </cell>
          <cell r="G153">
            <v>500</v>
          </cell>
          <cell r="H153" t="str">
            <v>13/03/2020</v>
          </cell>
          <cell r="I153">
            <v>25</v>
          </cell>
          <cell r="J153">
            <v>0</v>
          </cell>
          <cell r="K153">
            <v>1</v>
          </cell>
          <cell r="L153">
            <v>0</v>
          </cell>
        </row>
        <row r="154">
          <cell r="A154" t="str">
            <v>0702147</v>
          </cell>
          <cell r="B154" t="str">
            <v>14148</v>
          </cell>
          <cell r="C154" t="str">
            <v>ETIQUETA LIVIANO GENERICA GRD (UND)</v>
          </cell>
          <cell r="D154" t="str">
            <v>0702147</v>
          </cell>
          <cell r="E154" t="str">
            <v>ETIQUETAS PLANTA</v>
          </cell>
          <cell r="F154" t="str">
            <v>1 UND</v>
          </cell>
          <cell r="G154">
            <v>500</v>
          </cell>
          <cell r="H154" t="str">
            <v>06/03/2020</v>
          </cell>
          <cell r="I154">
            <v>32</v>
          </cell>
          <cell r="J154">
            <v>125</v>
          </cell>
          <cell r="K154">
            <v>1</v>
          </cell>
          <cell r="L154">
            <v>125</v>
          </cell>
        </row>
        <row r="155">
          <cell r="A155" t="str">
            <v>0702148</v>
          </cell>
          <cell r="B155" t="str">
            <v>5882</v>
          </cell>
          <cell r="C155" t="str">
            <v>ETIQUETA LIVIANO GENERICA PEQUEÑA (UND)</v>
          </cell>
          <cell r="D155" t="str">
            <v>0702148</v>
          </cell>
          <cell r="E155" t="str">
            <v>ETIQUETAS PLANTA</v>
          </cell>
          <cell r="F155" t="str">
            <v>1 UND</v>
          </cell>
          <cell r="G155">
            <v>500</v>
          </cell>
          <cell r="H155" t="str">
            <v>20/02/2020</v>
          </cell>
          <cell r="I155">
            <v>25</v>
          </cell>
          <cell r="J155">
            <v>0</v>
          </cell>
          <cell r="K155">
            <v>1</v>
          </cell>
          <cell r="L155">
            <v>0</v>
          </cell>
        </row>
        <row r="156">
          <cell r="A156" t="str">
            <v>0702155</v>
          </cell>
          <cell r="B156" t="str">
            <v>5907</v>
          </cell>
          <cell r="C156" t="str">
            <v>ETIQUETA BLANCA VENCE (ROLLO:1000 UND)</v>
          </cell>
          <cell r="D156" t="str">
            <v>0702155</v>
          </cell>
          <cell r="E156" t="str">
            <v>ETIQUETAS PLANTA</v>
          </cell>
          <cell r="F156" t="str">
            <v>1 ROLLO</v>
          </cell>
          <cell r="G156">
            <v>500</v>
          </cell>
          <cell r="H156" t="str">
            <v>12/06/2020</v>
          </cell>
          <cell r="I156">
            <v>551</v>
          </cell>
          <cell r="J156">
            <v>595</v>
          </cell>
          <cell r="K156">
            <v>1000</v>
          </cell>
          <cell r="L156">
            <v>0.59499999999999997</v>
          </cell>
        </row>
        <row r="157">
          <cell r="A157" t="str">
            <v>0702167</v>
          </cell>
          <cell r="B157" t="str">
            <v>10088</v>
          </cell>
          <cell r="C157" t="str">
            <v>ETIQUETA D-31 TORTA BAILEYS (ROLLO)</v>
          </cell>
          <cell r="D157" t="str">
            <v>0702167</v>
          </cell>
          <cell r="E157" t="str">
            <v>ETIQUETAS PLANTA</v>
          </cell>
          <cell r="F157" t="str">
            <v>1 ROLLO</v>
          </cell>
          <cell r="G157">
            <v>500</v>
          </cell>
          <cell r="H157" t="str">
            <v>14/01/2020</v>
          </cell>
          <cell r="I157">
            <v>8000</v>
          </cell>
          <cell r="J157">
            <v>37500</v>
          </cell>
          <cell r="K157">
            <v>1000</v>
          </cell>
          <cell r="L157">
            <v>37.5</v>
          </cell>
          <cell r="M157" t="str">
            <v>und</v>
          </cell>
        </row>
        <row r="158">
          <cell r="A158" t="str">
            <v>0702169</v>
          </cell>
          <cell r="B158" t="str">
            <v>9467</v>
          </cell>
          <cell r="C158" t="str">
            <v>CARTULINA KRAFT 2.5 X 31 -8 (UND)</v>
          </cell>
          <cell r="D158" t="str">
            <v>0702169</v>
          </cell>
          <cell r="E158" t="str">
            <v>EMPAQUES PLANTA</v>
          </cell>
          <cell r="F158" t="str">
            <v>1 UND</v>
          </cell>
          <cell r="G158">
            <v>500</v>
          </cell>
          <cell r="H158" t="str">
            <v>24/03/2020</v>
          </cell>
          <cell r="I158">
            <v>15</v>
          </cell>
          <cell r="J158">
            <v>0</v>
          </cell>
          <cell r="K158">
            <v>1</v>
          </cell>
          <cell r="L158">
            <v>0</v>
          </cell>
          <cell r="M158"/>
        </row>
        <row r="159">
          <cell r="A159" t="str">
            <v>702174</v>
          </cell>
          <cell r="B159" t="str">
            <v>5908</v>
          </cell>
          <cell r="C159" t="str">
            <v>ETIQUETA SELLO SEGURIDAD (ROLLO:1000)</v>
          </cell>
          <cell r="D159" t="str">
            <v>702174</v>
          </cell>
          <cell r="E159" t="str">
            <v>ETIQUETAS PLANTA</v>
          </cell>
          <cell r="F159" t="str">
            <v>1 ROLLO</v>
          </cell>
          <cell r="G159">
            <v>500</v>
          </cell>
          <cell r="H159" t="str">
            <v>12/06/2020</v>
          </cell>
          <cell r="I159">
            <v>6000</v>
          </cell>
          <cell r="J159">
            <v>6000</v>
          </cell>
          <cell r="K159">
            <v>1000</v>
          </cell>
          <cell r="L159">
            <v>6</v>
          </cell>
          <cell r="M159" t="str">
            <v>Und</v>
          </cell>
        </row>
        <row r="160">
          <cell r="A160" t="str">
            <v>702175</v>
          </cell>
          <cell r="B160" t="str">
            <v>5912</v>
          </cell>
          <cell r="C160" t="str">
            <v>ETIQUETA IMPRES SPOON GRANDE V-272 (UND)</v>
          </cell>
          <cell r="D160" t="str">
            <v>702175</v>
          </cell>
          <cell r="E160" t="str">
            <v>ETIQUETAS PLANTA</v>
          </cell>
          <cell r="F160" t="str">
            <v>1 UND</v>
          </cell>
          <cell r="G160">
            <v>500</v>
          </cell>
          <cell r="H160" t="str">
            <v>12/06/2020</v>
          </cell>
          <cell r="I160">
            <v>47.024999999999999</v>
          </cell>
          <cell r="J160">
            <v>52.37</v>
          </cell>
          <cell r="K160">
            <v>1</v>
          </cell>
          <cell r="L160">
            <v>52.37</v>
          </cell>
          <cell r="M160" t="str">
            <v>Und</v>
          </cell>
        </row>
        <row r="161">
          <cell r="A161" t="str">
            <v>702182</v>
          </cell>
          <cell r="B161" t="str">
            <v>9535</v>
          </cell>
          <cell r="C161" t="str">
            <v>ETIQUETA IMP. SPOON MEDIANA V-273 (UND)</v>
          </cell>
          <cell r="D161" t="str">
            <v>702182</v>
          </cell>
          <cell r="E161" t="str">
            <v>ETIQUETAS PLANTA</v>
          </cell>
          <cell r="F161" t="str">
            <v>1 UND</v>
          </cell>
          <cell r="G161">
            <v>500</v>
          </cell>
          <cell r="H161" t="str">
            <v>02/06/2020</v>
          </cell>
          <cell r="I161">
            <v>32.49</v>
          </cell>
          <cell r="J161">
            <v>35.9</v>
          </cell>
          <cell r="K161">
            <v>1</v>
          </cell>
          <cell r="L161">
            <v>35.9</v>
          </cell>
          <cell r="M161" t="str">
            <v>Und</v>
          </cell>
        </row>
        <row r="162">
          <cell r="A162" t="str">
            <v>703020</v>
          </cell>
          <cell r="B162" t="str">
            <v>9444</v>
          </cell>
          <cell r="C162" t="str">
            <v>CINTA ADHESIVA TRANSPARENT 2*100 M (UND)</v>
          </cell>
          <cell r="D162" t="str">
            <v>703020</v>
          </cell>
          <cell r="E162" t="str">
            <v>EMPAQUES PLANTA</v>
          </cell>
          <cell r="F162" t="str">
            <v>1 UND</v>
          </cell>
          <cell r="G162">
            <v>500</v>
          </cell>
          <cell r="H162" t="str">
            <v>12/06/2020</v>
          </cell>
          <cell r="I162">
            <v>1750</v>
          </cell>
          <cell r="J162">
            <v>1750</v>
          </cell>
          <cell r="K162">
            <v>10000</v>
          </cell>
          <cell r="L162">
            <v>0.17499999999999999</v>
          </cell>
          <cell r="M162" t="str">
            <v>Cm</v>
          </cell>
        </row>
        <row r="163">
          <cell r="A163" t="str">
            <v>0710260</v>
          </cell>
          <cell r="B163" t="str">
            <v>12504</v>
          </cell>
          <cell r="C163" t="str">
            <v>PAN CUADRADO INTEGRAL (PAQ=22 REBANADAS)</v>
          </cell>
          <cell r="D163" t="str">
            <v>0710260</v>
          </cell>
          <cell r="E163" t="str">
            <v>MATERIAS PRIMAS PLANTA</v>
          </cell>
          <cell r="F163" t="str">
            <v>1 PAQUETE</v>
          </cell>
          <cell r="G163">
            <v>500</v>
          </cell>
          <cell r="H163" t="str">
            <v>19/05/2020</v>
          </cell>
          <cell r="I163">
            <v>1100</v>
          </cell>
          <cell r="J163">
            <v>0</v>
          </cell>
          <cell r="K163"/>
          <cell r="L163" t="e">
            <v>#DIV/0!</v>
          </cell>
          <cell r="M163"/>
        </row>
        <row r="164">
          <cell r="A164" t="str">
            <v>0710261</v>
          </cell>
          <cell r="B164" t="str">
            <v>5544</v>
          </cell>
          <cell r="C164" t="str">
            <v>PAN CUADRADO BLANCO (PAQ=22 REBANADAS )</v>
          </cell>
          <cell r="D164" t="str">
            <v>0710261</v>
          </cell>
          <cell r="E164" t="str">
            <v>MATERIAS PRIMAS PLANTA</v>
          </cell>
          <cell r="F164" t="str">
            <v>1 PAQUETE</v>
          </cell>
          <cell r="G164">
            <v>500</v>
          </cell>
          <cell r="H164" t="str">
            <v>10/06/2020</v>
          </cell>
          <cell r="I164">
            <v>1000</v>
          </cell>
          <cell r="J164">
            <v>1091.8</v>
          </cell>
          <cell r="K164">
            <v>790</v>
          </cell>
          <cell r="L164">
            <v>1.3820253164556962</v>
          </cell>
          <cell r="M164" t="str">
            <v>Gramos</v>
          </cell>
        </row>
        <row r="165">
          <cell r="A165" t="str">
            <v>0710262</v>
          </cell>
          <cell r="B165" t="str">
            <v>5550</v>
          </cell>
          <cell r="C165" t="str">
            <v>PAN MOLIDO (PAQ:5 K)</v>
          </cell>
          <cell r="D165" t="str">
            <v>0710262</v>
          </cell>
          <cell r="E165" t="str">
            <v>MATERIAS PRIMAS PLANTA</v>
          </cell>
          <cell r="F165" t="str">
            <v>1 PAQUETE</v>
          </cell>
          <cell r="G165">
            <v>500</v>
          </cell>
          <cell r="H165" t="str">
            <v>26/05/2020</v>
          </cell>
          <cell r="I165">
            <v>6534</v>
          </cell>
          <cell r="J165">
            <v>7411.74</v>
          </cell>
          <cell r="K165">
            <v>5000</v>
          </cell>
          <cell r="L165">
            <v>1.482348</v>
          </cell>
          <cell r="M165" t="str">
            <v>Gramos</v>
          </cell>
        </row>
        <row r="166">
          <cell r="A166" t="str">
            <v>0710282</v>
          </cell>
          <cell r="B166" t="str">
            <v>5553</v>
          </cell>
          <cell r="C166" t="str">
            <v>GALLETA POZUELO ENTERA KILO</v>
          </cell>
          <cell r="D166" t="str">
            <v>0710282</v>
          </cell>
          <cell r="E166" t="str">
            <v>MATERIAS PRIMAS PLANTA</v>
          </cell>
          <cell r="F166" t="str">
            <v>1 KILO</v>
          </cell>
          <cell r="G166">
            <v>500</v>
          </cell>
          <cell r="H166" t="str">
            <v>15/06/2020</v>
          </cell>
          <cell r="I166">
            <v>2000</v>
          </cell>
          <cell r="J166">
            <v>2100</v>
          </cell>
          <cell r="K166">
            <v>1000</v>
          </cell>
          <cell r="L166">
            <v>2.1</v>
          </cell>
          <cell r="M166" t="str">
            <v>Gramos</v>
          </cell>
        </row>
        <row r="167">
          <cell r="A167" t="str">
            <v>0710290</v>
          </cell>
          <cell r="B167" t="str">
            <v>5548</v>
          </cell>
          <cell r="C167" t="str">
            <v>PAPEL DE ARROZ (PAQ:36 UND)</v>
          </cell>
          <cell r="D167" t="str">
            <v>0710290</v>
          </cell>
          <cell r="E167" t="str">
            <v>MATERIAS PRIMAS PLANTA</v>
          </cell>
          <cell r="F167" t="str">
            <v>1 PAQUETE</v>
          </cell>
          <cell r="G167">
            <v>500</v>
          </cell>
          <cell r="H167" t="str">
            <v>15/06/2020</v>
          </cell>
          <cell r="I167">
            <v>1496.74</v>
          </cell>
          <cell r="J167">
            <v>0</v>
          </cell>
          <cell r="K167">
            <v>36</v>
          </cell>
          <cell r="L167">
            <v>0</v>
          </cell>
          <cell r="M167"/>
        </row>
        <row r="168">
          <cell r="A168" t="str">
            <v>710295</v>
          </cell>
          <cell r="B168" t="str">
            <v>5275</v>
          </cell>
          <cell r="C168" t="str">
            <v>BARQUILLO VETEAD CHOCOLAT (CAJA:420 UND)</v>
          </cell>
          <cell r="D168" t="str">
            <v>710295</v>
          </cell>
          <cell r="E168" t="str">
            <v>MATERIAS PRIMAS PLANTA</v>
          </cell>
          <cell r="F168" t="str">
            <v xml:space="preserve">1 CAJA </v>
          </cell>
          <cell r="G168">
            <v>500</v>
          </cell>
          <cell r="H168" t="str">
            <v>07/01/2020</v>
          </cell>
          <cell r="I168">
            <v>8091</v>
          </cell>
          <cell r="J168">
            <v>0</v>
          </cell>
          <cell r="K168">
            <v>420</v>
          </cell>
          <cell r="L168">
            <v>0</v>
          </cell>
          <cell r="M168" t="str">
            <v>Und</v>
          </cell>
        </row>
        <row r="169">
          <cell r="A169" t="str">
            <v>710305</v>
          </cell>
          <cell r="B169" t="str">
            <v>11347</v>
          </cell>
          <cell r="C169" t="str">
            <v>GALLETA DE CHOCOLATE KILO</v>
          </cell>
          <cell r="D169" t="str">
            <v>710305</v>
          </cell>
          <cell r="E169" t="str">
            <v>MATERIAS PRIMAS PLANTA</v>
          </cell>
          <cell r="F169" t="str">
            <v>1 KILO</v>
          </cell>
          <cell r="G169">
            <v>500</v>
          </cell>
          <cell r="H169" t="str">
            <v>01/06/2020</v>
          </cell>
          <cell r="I169" t="e">
            <v>#N/A</v>
          </cell>
          <cell r="J169">
            <v>0</v>
          </cell>
          <cell r="K169">
            <v>1000</v>
          </cell>
          <cell r="L169">
            <v>0</v>
          </cell>
          <cell r="M169" t="str">
            <v>Gramos</v>
          </cell>
        </row>
        <row r="170">
          <cell r="A170" t="str">
            <v>720761</v>
          </cell>
          <cell r="B170" t="str">
            <v>13074</v>
          </cell>
          <cell r="C170" t="str">
            <v>RELLENO MANZANA CUBITOS (UND:19 LB)</v>
          </cell>
          <cell r="D170" t="str">
            <v>720761</v>
          </cell>
          <cell r="E170" t="str">
            <v>MATERIAS PRIMAS PLANTA</v>
          </cell>
          <cell r="F170" t="str">
            <v>1 UND</v>
          </cell>
          <cell r="G170">
            <v>500</v>
          </cell>
          <cell r="H170" t="str">
            <v>08/02/2020</v>
          </cell>
          <cell r="I170" t="e">
            <v>#N/A</v>
          </cell>
          <cell r="J170">
            <v>28505</v>
          </cell>
          <cell r="K170">
            <v>8.61</v>
          </cell>
          <cell r="L170">
            <v>3310.6852497096402</v>
          </cell>
          <cell r="M170"/>
        </row>
        <row r="171">
          <cell r="A171" t="str">
            <v>0810288</v>
          </cell>
          <cell r="B171" t="str">
            <v>5352</v>
          </cell>
          <cell r="C171" t="str">
            <v>JUGO DE NARANJA TB (CAJA:12 UND)</v>
          </cell>
          <cell r="D171" t="str">
            <v>0810288</v>
          </cell>
          <cell r="E171" t="str">
            <v>MATERIAS PRIMAS PLANTA</v>
          </cell>
          <cell r="F171" t="str">
            <v>1 CAJA</v>
          </cell>
          <cell r="G171">
            <v>500</v>
          </cell>
          <cell r="H171" t="str">
            <v>08/06/2020</v>
          </cell>
          <cell r="I171">
            <v>7697</v>
          </cell>
          <cell r="J171">
            <v>8659</v>
          </cell>
          <cell r="K171">
            <v>12000</v>
          </cell>
          <cell r="L171">
            <v>0.72158333333333335</v>
          </cell>
          <cell r="M171" t="str">
            <v>Mililitros</v>
          </cell>
        </row>
        <row r="172">
          <cell r="A172" t="str">
            <v>0810306</v>
          </cell>
          <cell r="B172" t="str">
            <v>5309</v>
          </cell>
          <cell r="C172" t="str">
            <v>MIEL ABEJA BOTELLA (UND)</v>
          </cell>
          <cell r="D172" t="str">
            <v>0810306</v>
          </cell>
          <cell r="E172" t="str">
            <v>MATERIAS PRIMAS PLANTA</v>
          </cell>
          <cell r="F172" t="str">
            <v>1 UND</v>
          </cell>
          <cell r="G172">
            <v>500</v>
          </cell>
          <cell r="H172" t="str">
            <v>21/05/2020</v>
          </cell>
          <cell r="I172" t="e">
            <v>#N/A</v>
          </cell>
          <cell r="J172">
            <v>0</v>
          </cell>
          <cell r="K172">
            <v>1</v>
          </cell>
          <cell r="L172">
            <v>0</v>
          </cell>
          <cell r="M172"/>
        </row>
        <row r="173">
          <cell r="A173" t="str">
            <v>0906036</v>
          </cell>
          <cell r="B173" t="str">
            <v>5841</v>
          </cell>
          <cell r="C173" t="str">
            <v>PAPEL MANTEQUILLA (CAJA= 1000 UND)</v>
          </cell>
          <cell r="D173" t="str">
            <v>0906036</v>
          </cell>
          <cell r="E173" t="str">
            <v>EMPAQUES PLANTA</v>
          </cell>
          <cell r="F173" t="str">
            <v>1 CAJA</v>
          </cell>
          <cell r="G173">
            <v>500</v>
          </cell>
          <cell r="H173" t="str">
            <v>26/05/2020</v>
          </cell>
          <cell r="I173">
            <v>32000</v>
          </cell>
          <cell r="J173">
            <v>32000</v>
          </cell>
          <cell r="K173">
            <v>1000</v>
          </cell>
          <cell r="L173">
            <v>32</v>
          </cell>
          <cell r="M173" t="str">
            <v>Und</v>
          </cell>
        </row>
        <row r="174">
          <cell r="A174" t="str">
            <v>906288</v>
          </cell>
          <cell r="B174" t="str">
            <v>5422</v>
          </cell>
          <cell r="C174" t="str">
            <v>CILINDRO CHANTILLY (CAJA=10UND)</v>
          </cell>
          <cell r="D174" t="str">
            <v>906288</v>
          </cell>
          <cell r="E174" t="str">
            <v>MATERIAS PRIMAS PLANTA</v>
          </cell>
          <cell r="F174" t="str">
            <v>1 CAJA</v>
          </cell>
          <cell r="G174">
            <v>500</v>
          </cell>
          <cell r="H174" t="str">
            <v>19/05/2020</v>
          </cell>
          <cell r="I174">
            <v>3150</v>
          </cell>
          <cell r="J174">
            <v>3150</v>
          </cell>
          <cell r="K174">
            <v>10</v>
          </cell>
          <cell r="L174">
            <v>315</v>
          </cell>
          <cell r="M174"/>
        </row>
        <row r="175">
          <cell r="A175" t="str">
            <v>910311</v>
          </cell>
          <cell r="B175" t="str">
            <v>5529</v>
          </cell>
          <cell r="C175" t="str">
            <v>ACEITE DE OLIVA PLAST (UND:5 L)</v>
          </cell>
          <cell r="D175" t="str">
            <v>910311</v>
          </cell>
          <cell r="E175" t="str">
            <v>MATERIAS PRIMAS PLANTA</v>
          </cell>
          <cell r="F175" t="str">
            <v>1 UND</v>
          </cell>
          <cell r="G175">
            <v>500</v>
          </cell>
          <cell r="H175" t="str">
            <v>13/06/2020</v>
          </cell>
          <cell r="I175">
            <v>10500</v>
          </cell>
          <cell r="J175">
            <v>10616.25</v>
          </cell>
          <cell r="K175">
            <v>5000</v>
          </cell>
          <cell r="L175">
            <v>2.1232500000000001</v>
          </cell>
          <cell r="M175" t="str">
            <v>Mililitros</v>
          </cell>
        </row>
        <row r="176">
          <cell r="A176" t="str">
            <v>0910322</v>
          </cell>
          <cell r="B176" t="str">
            <v>5287</v>
          </cell>
          <cell r="C176" t="str">
            <v>VINAGRE BLANCO (UND:3.785 L)</v>
          </cell>
          <cell r="D176" t="str">
            <v>0910322</v>
          </cell>
          <cell r="E176" t="str">
            <v>MATERIAS PRIMAS PLANTA</v>
          </cell>
          <cell r="F176" t="str">
            <v>1 UND</v>
          </cell>
          <cell r="G176">
            <v>500</v>
          </cell>
          <cell r="H176" t="str">
            <v>12/06/2020</v>
          </cell>
          <cell r="I176">
            <v>3230</v>
          </cell>
          <cell r="J176">
            <v>3230</v>
          </cell>
          <cell r="K176">
            <v>3785</v>
          </cell>
          <cell r="L176">
            <v>0.8533685601056803</v>
          </cell>
          <cell r="M176" t="str">
            <v>Mililitros</v>
          </cell>
        </row>
        <row r="177">
          <cell r="A177" t="str">
            <v>0910339</v>
          </cell>
          <cell r="B177" t="str">
            <v>5235</v>
          </cell>
          <cell r="C177" t="str">
            <v>VINAGRE VINO DE ARROZ (UND:3.785)</v>
          </cell>
          <cell r="D177" t="str">
            <v>0910339</v>
          </cell>
          <cell r="E177" t="str">
            <v>MATERIAS PRIMAS PLANTA</v>
          </cell>
          <cell r="F177" t="str">
            <v>1 UND</v>
          </cell>
          <cell r="G177">
            <v>500</v>
          </cell>
          <cell r="H177" t="str">
            <v>06/06/2020</v>
          </cell>
          <cell r="I177">
            <v>10473</v>
          </cell>
          <cell r="J177">
            <v>10983.2</v>
          </cell>
          <cell r="K177">
            <v>3785</v>
          </cell>
          <cell r="L177">
            <v>2.9017701453104361</v>
          </cell>
          <cell r="M177" t="str">
            <v>Mililitros</v>
          </cell>
        </row>
        <row r="178">
          <cell r="A178" t="str">
            <v>0910341</v>
          </cell>
          <cell r="B178" t="str">
            <v>12771</v>
          </cell>
          <cell r="C178" t="str">
            <v>SALSA INGLESA LIZANO (UND:3.7 L)</v>
          </cell>
          <cell r="D178" t="str">
            <v>0910341</v>
          </cell>
          <cell r="E178" t="str">
            <v>MATERIAS PRIMAS PLANTA</v>
          </cell>
          <cell r="F178" t="str">
            <v>1 UND</v>
          </cell>
          <cell r="G178">
            <v>500</v>
          </cell>
          <cell r="H178" t="str">
            <v>15/06/2020</v>
          </cell>
          <cell r="I178">
            <v>7303</v>
          </cell>
          <cell r="J178">
            <v>7220</v>
          </cell>
          <cell r="K178">
            <v>3700</v>
          </cell>
          <cell r="L178">
            <v>1.9513513513513514</v>
          </cell>
          <cell r="M178" t="str">
            <v>Mililitros</v>
          </cell>
        </row>
        <row r="179">
          <cell r="A179" t="str">
            <v>0910351</v>
          </cell>
          <cell r="B179" t="str">
            <v>5279</v>
          </cell>
          <cell r="C179" t="str">
            <v>SALSA CHILE AJI (PAQ:1 KILO)</v>
          </cell>
          <cell r="D179" t="str">
            <v>0910351</v>
          </cell>
          <cell r="E179" t="str">
            <v>MATERIAS PRIMAS PLANTA</v>
          </cell>
          <cell r="F179" t="str">
            <v>1 PAQUETE</v>
          </cell>
          <cell r="G179">
            <v>500</v>
          </cell>
          <cell r="H179" t="str">
            <v>05/06/2020</v>
          </cell>
          <cell r="I179">
            <v>6488.05</v>
          </cell>
          <cell r="J179">
            <v>6982.3</v>
          </cell>
          <cell r="K179">
            <v>1000</v>
          </cell>
          <cell r="L179">
            <v>6.9823000000000004</v>
          </cell>
          <cell r="M179" t="str">
            <v>Gramos</v>
          </cell>
        </row>
        <row r="180">
          <cell r="A180" t="str">
            <v>1010008</v>
          </cell>
          <cell r="B180" t="str">
            <v>7079</v>
          </cell>
          <cell r="C180" t="str">
            <v>VINAGRE BALSAMICO ROLAND (UND:5 L)</v>
          </cell>
          <cell r="D180" t="str">
            <v>1010008</v>
          </cell>
          <cell r="E180" t="str">
            <v>MATERIAS PRIMAS PLANTA</v>
          </cell>
          <cell r="F180" t="str">
            <v>1 UND</v>
          </cell>
          <cell r="G180">
            <v>500</v>
          </cell>
          <cell r="H180" t="str">
            <v>23/03/2020</v>
          </cell>
          <cell r="I180">
            <v>19694.740000000002</v>
          </cell>
          <cell r="J180">
            <v>27791</v>
          </cell>
          <cell r="K180">
            <v>5000</v>
          </cell>
          <cell r="L180">
            <v>5.5582000000000003</v>
          </cell>
          <cell r="M180"/>
        </row>
        <row r="181">
          <cell r="A181" t="str">
            <v>1010009</v>
          </cell>
          <cell r="B181" t="str">
            <v>5316</v>
          </cell>
          <cell r="C181" t="str">
            <v>CHILE CHIPOTLE COSTEÑA (UND:2.9 K)</v>
          </cell>
          <cell r="D181" t="str">
            <v>1010009</v>
          </cell>
          <cell r="E181" t="str">
            <v>MATERIAS PRIMAS PLANTA</v>
          </cell>
          <cell r="F181" t="str">
            <v>1 UND</v>
          </cell>
          <cell r="G181">
            <v>500</v>
          </cell>
          <cell r="H181" t="str">
            <v>12/06/2020</v>
          </cell>
          <cell r="I181">
            <v>11231</v>
          </cell>
          <cell r="J181">
            <v>11870</v>
          </cell>
          <cell r="K181">
            <v>2900</v>
          </cell>
          <cell r="L181">
            <v>4.0931034482758619</v>
          </cell>
          <cell r="M181" t="str">
            <v>Gramos</v>
          </cell>
        </row>
        <row r="182">
          <cell r="A182" t="str">
            <v>1010047</v>
          </cell>
          <cell r="B182" t="str">
            <v>13326</v>
          </cell>
          <cell r="C182" t="str">
            <v>SIROPE CHOCOLATE HERSHEY (UND:24 ONZ)</v>
          </cell>
          <cell r="D182" t="str">
            <v>1010047</v>
          </cell>
          <cell r="E182" t="str">
            <v>MATERIAS PRIMAS PLANTA</v>
          </cell>
          <cell r="F182" t="str">
            <v>1 UND</v>
          </cell>
          <cell r="G182">
            <v>500</v>
          </cell>
          <cell r="H182" t="str">
            <v>25/02/2020</v>
          </cell>
          <cell r="I182">
            <v>1691</v>
          </cell>
          <cell r="J182">
            <v>1691</v>
          </cell>
          <cell r="K182">
            <v>681</v>
          </cell>
          <cell r="L182">
            <v>2.4831130690161527</v>
          </cell>
          <cell r="M182" t="str">
            <v>Gramos</v>
          </cell>
        </row>
        <row r="183">
          <cell r="A183" t="str">
            <v>01011701</v>
          </cell>
          <cell r="B183" t="str">
            <v>11574</v>
          </cell>
          <cell r="C183" t="str">
            <v>PAPA PREFRITA CORTE RECTO 5/16" NG 6/5 L</v>
          </cell>
          <cell r="D183" t="str">
            <v>01011701</v>
          </cell>
          <cell r="E183" t="str">
            <v>MATERIAS PRIMAS PLANTA</v>
          </cell>
          <cell r="F183" t="str">
            <v>1 CAJA</v>
          </cell>
          <cell r="G183">
            <v>500</v>
          </cell>
          <cell r="H183" t="str">
            <v>10/12/2019</v>
          </cell>
          <cell r="I183">
            <v>15467</v>
          </cell>
          <cell r="J183">
            <v>0</v>
          </cell>
          <cell r="K183"/>
          <cell r="L183" t="e">
            <v>#DIV/0!</v>
          </cell>
          <cell r="M183"/>
        </row>
        <row r="184">
          <cell r="A184" t="str">
            <v>1012301</v>
          </cell>
          <cell r="B184" t="str">
            <v>5335</v>
          </cell>
          <cell r="C184" t="str">
            <v>VINO TINTO PETER CABERNET SAUV (UND:5L)</v>
          </cell>
          <cell r="D184" t="str">
            <v>1012301</v>
          </cell>
          <cell r="E184" t="str">
            <v>MATERIAS PRIMAS PLANTA</v>
          </cell>
          <cell r="F184" t="str">
            <v>1 UND</v>
          </cell>
          <cell r="G184">
            <v>500</v>
          </cell>
          <cell r="H184" t="str">
            <v>20/03/2020</v>
          </cell>
          <cell r="I184">
            <v>17839.66</v>
          </cell>
          <cell r="J184">
            <v>0</v>
          </cell>
          <cell r="K184">
            <v>5000</v>
          </cell>
          <cell r="L184">
            <v>0</v>
          </cell>
          <cell r="M184" t="str">
            <v>Mililitros</v>
          </cell>
        </row>
        <row r="185">
          <cell r="A185" t="str">
            <v>1012341</v>
          </cell>
          <cell r="B185" t="str">
            <v>5342</v>
          </cell>
          <cell r="C185" t="str">
            <v>BAILEYS (BOTELLA=1 LITRO)</v>
          </cell>
          <cell r="D185" t="str">
            <v>1012341</v>
          </cell>
          <cell r="E185" t="str">
            <v>MATERIAS PRIMAS PLANTA</v>
          </cell>
          <cell r="F185" t="str">
            <v>1 UND</v>
          </cell>
          <cell r="G185">
            <v>500</v>
          </cell>
          <cell r="H185" t="str">
            <v>26/05/2020</v>
          </cell>
          <cell r="I185">
            <v>15950</v>
          </cell>
          <cell r="J185">
            <v>14036</v>
          </cell>
          <cell r="K185">
            <v>1000</v>
          </cell>
          <cell r="L185">
            <v>14.036</v>
          </cell>
          <cell r="M185" t="str">
            <v>Mililitros</v>
          </cell>
        </row>
        <row r="186">
          <cell r="A186" t="str">
            <v>1012431</v>
          </cell>
          <cell r="B186" t="str">
            <v>5334</v>
          </cell>
          <cell r="C186" t="str">
            <v>VINO BLANCO PETER CABERNET SAU (UND:5L)</v>
          </cell>
          <cell r="D186" t="str">
            <v>1012431</v>
          </cell>
          <cell r="E186" t="str">
            <v>MATERIAS PRIMAS PLANTA</v>
          </cell>
          <cell r="F186" t="str">
            <v>1 UND</v>
          </cell>
          <cell r="G186">
            <v>500</v>
          </cell>
          <cell r="H186" t="str">
            <v>18/05/2020</v>
          </cell>
          <cell r="I186">
            <v>17839.66</v>
          </cell>
          <cell r="J186">
            <v>0</v>
          </cell>
          <cell r="K186">
            <v>5000</v>
          </cell>
          <cell r="L186">
            <v>0</v>
          </cell>
          <cell r="M186" t="str">
            <v>Mililitros</v>
          </cell>
        </row>
        <row r="187">
          <cell r="A187" t="str">
            <v>1058121</v>
          </cell>
          <cell r="B187" t="str">
            <v>15013</v>
          </cell>
          <cell r="C187" t="str">
            <v>MORA CONG INPAK (39/80 GRS)</v>
          </cell>
          <cell r="D187" t="str">
            <v>1058121</v>
          </cell>
          <cell r="E187" t="str">
            <v>MATERIAS PRIMAS PLANTA</v>
          </cell>
          <cell r="F187" t="str">
            <v>1 PAQUETE</v>
          </cell>
          <cell r="G187">
            <v>500</v>
          </cell>
          <cell r="H187" t="str">
            <v>17/12/2019</v>
          </cell>
          <cell r="I187" t="e">
            <v>#N/A</v>
          </cell>
          <cell r="J187">
            <v>0</v>
          </cell>
          <cell r="K187">
            <v>3120</v>
          </cell>
          <cell r="L187">
            <v>0</v>
          </cell>
          <cell r="M187" t="str">
            <v>Gramos</v>
          </cell>
        </row>
        <row r="188">
          <cell r="A188" t="str">
            <v>1070002</v>
          </cell>
          <cell r="B188" t="str">
            <v>8075</v>
          </cell>
          <cell r="C188" t="str">
            <v>CHOCOLATE TRIAN OLEA  PEQ (CAJA:250 UND)</v>
          </cell>
          <cell r="D188" t="str">
            <v>1070002</v>
          </cell>
          <cell r="E188" t="str">
            <v>MATERIAS PRIMAS PLANTA</v>
          </cell>
          <cell r="F188" t="str">
            <v>1 CAJA</v>
          </cell>
          <cell r="G188">
            <v>500</v>
          </cell>
          <cell r="H188" t="str">
            <v>12/06/2020</v>
          </cell>
          <cell r="I188">
            <v>20768</v>
          </cell>
          <cell r="J188">
            <v>20768</v>
          </cell>
          <cell r="K188">
            <v>250</v>
          </cell>
          <cell r="L188">
            <v>83.072000000000003</v>
          </cell>
          <cell r="M188"/>
        </row>
        <row r="189">
          <cell r="A189" t="str">
            <v>1110354</v>
          </cell>
          <cell r="B189" t="str">
            <v>5295</v>
          </cell>
          <cell r="C189" t="str">
            <v>ALCAPARRA (UND:944g)</v>
          </cell>
          <cell r="D189" t="str">
            <v>1110354</v>
          </cell>
          <cell r="E189" t="str">
            <v>MATERIAS PRIMAS PLANTA</v>
          </cell>
          <cell r="F189" t="str">
            <v>1 UND</v>
          </cell>
          <cell r="G189">
            <v>500</v>
          </cell>
          <cell r="H189" t="str">
            <v>12/06/2020</v>
          </cell>
          <cell r="I189">
            <v>4183</v>
          </cell>
          <cell r="J189">
            <v>7056.9</v>
          </cell>
          <cell r="K189">
            <v>944</v>
          </cell>
          <cell r="L189">
            <v>7.4755296610169486</v>
          </cell>
          <cell r="M189" t="str">
            <v>Gramos</v>
          </cell>
        </row>
        <row r="190">
          <cell r="A190" t="str">
            <v>1110377</v>
          </cell>
          <cell r="B190" t="str">
            <v>5319</v>
          </cell>
          <cell r="C190" t="str">
            <v>MOSTAZA FRENCH (UND:2.98 L)</v>
          </cell>
          <cell r="D190" t="str">
            <v>1110377</v>
          </cell>
          <cell r="E190" t="str">
            <v>MATERIAS PRIMAS PLANTA</v>
          </cell>
          <cell r="F190" t="str">
            <v>1 UND</v>
          </cell>
          <cell r="G190">
            <v>500</v>
          </cell>
          <cell r="H190" t="str">
            <v>03/06/2020</v>
          </cell>
          <cell r="I190">
            <v>4106</v>
          </cell>
          <cell r="J190">
            <v>4607</v>
          </cell>
          <cell r="K190">
            <v>2980</v>
          </cell>
          <cell r="L190">
            <v>1.545973154362416</v>
          </cell>
          <cell r="M190" t="str">
            <v>Mililitros</v>
          </cell>
        </row>
        <row r="191">
          <cell r="A191" t="str">
            <v>1110378</v>
          </cell>
          <cell r="B191" t="str">
            <v>5246</v>
          </cell>
          <cell r="C191" t="str">
            <v>TOMATE LICUADO LATA (UND: 4.1 K)</v>
          </cell>
          <cell r="D191" t="str">
            <v>1110378</v>
          </cell>
          <cell r="E191" t="str">
            <v>MATERIAS PRIMAS PLANTA</v>
          </cell>
          <cell r="F191" t="str">
            <v>1 UND</v>
          </cell>
          <cell r="G191">
            <v>500</v>
          </cell>
          <cell r="H191" t="str">
            <v>25/05/2020</v>
          </cell>
          <cell r="I191">
            <v>6500</v>
          </cell>
          <cell r="J191">
            <v>7639.1</v>
          </cell>
          <cell r="K191">
            <v>4100</v>
          </cell>
          <cell r="L191">
            <v>1.8631951219512195</v>
          </cell>
          <cell r="M191" t="str">
            <v>Gramos</v>
          </cell>
        </row>
        <row r="192">
          <cell r="A192" t="str">
            <v>1110380</v>
          </cell>
          <cell r="B192" t="str">
            <v>5321</v>
          </cell>
          <cell r="C192" t="str">
            <v>PEPINILLOS REBANADOS (GALON)</v>
          </cell>
          <cell r="D192" t="str">
            <v>1110380</v>
          </cell>
          <cell r="E192" t="str">
            <v>MATERIAS PRIMAS PLANTA</v>
          </cell>
          <cell r="F192" t="str">
            <v>1 UND</v>
          </cell>
          <cell r="G192">
            <v>500</v>
          </cell>
          <cell r="H192" t="str">
            <v>17/03/2020</v>
          </cell>
          <cell r="I192" t="e">
            <v>#N/A</v>
          </cell>
          <cell r="J192">
            <v>6420</v>
          </cell>
          <cell r="K192">
            <v>3785</v>
          </cell>
          <cell r="L192">
            <v>1.6961690885072656</v>
          </cell>
          <cell r="M192"/>
        </row>
        <row r="193">
          <cell r="A193" t="str">
            <v>1110386</v>
          </cell>
          <cell r="B193" t="str">
            <v>5322</v>
          </cell>
          <cell r="C193" t="str">
            <v>TABASCO 62g (CAJA:36 UND)</v>
          </cell>
          <cell r="D193" t="str">
            <v>1110386</v>
          </cell>
          <cell r="E193" t="str">
            <v>MATERIAS PRIMAS PLANTA</v>
          </cell>
          <cell r="F193" t="str">
            <v>1 CAJA</v>
          </cell>
          <cell r="G193">
            <v>500</v>
          </cell>
          <cell r="H193" t="str">
            <v>18/05/2020</v>
          </cell>
          <cell r="I193">
            <v>16139</v>
          </cell>
          <cell r="J193">
            <v>18931</v>
          </cell>
          <cell r="K193">
            <v>2232</v>
          </cell>
          <cell r="L193">
            <v>8.4816308243727594</v>
          </cell>
          <cell r="M193" t="str">
            <v>Gramos</v>
          </cell>
        </row>
        <row r="194">
          <cell r="A194" t="str">
            <v>1110393</v>
          </cell>
          <cell r="B194" t="str">
            <v>5323</v>
          </cell>
          <cell r="C194" t="str">
            <v>PIÑA EN RODAJAS (UND: 3 K)</v>
          </cell>
          <cell r="D194" t="str">
            <v>1110393</v>
          </cell>
          <cell r="E194" t="str">
            <v>MATERIAS PRIMAS PLANTA</v>
          </cell>
          <cell r="F194" t="str">
            <v>1 UND</v>
          </cell>
          <cell r="G194">
            <v>500</v>
          </cell>
          <cell r="H194" t="str">
            <v>12/06/2020</v>
          </cell>
          <cell r="I194">
            <v>3061</v>
          </cell>
          <cell r="J194">
            <v>5234</v>
          </cell>
          <cell r="K194">
            <v>1600</v>
          </cell>
          <cell r="L194">
            <v>3.2712500000000002</v>
          </cell>
          <cell r="M194" t="str">
            <v>Gramos</v>
          </cell>
        </row>
        <row r="195">
          <cell r="A195" t="str">
            <v>1110406</v>
          </cell>
          <cell r="B195" t="str">
            <v>5394</v>
          </cell>
          <cell r="C195" t="str">
            <v>ATUN LOMO TROZOS AGUA (UND:1 K)</v>
          </cell>
          <cell r="D195" t="str">
            <v>1110406</v>
          </cell>
          <cell r="E195" t="str">
            <v>MATERIAS PRIMAS PLANTA</v>
          </cell>
          <cell r="F195" t="str">
            <v>1 UND</v>
          </cell>
          <cell r="G195">
            <v>500</v>
          </cell>
          <cell r="H195" t="str">
            <v>12/06/2020</v>
          </cell>
          <cell r="I195">
            <v>4415</v>
          </cell>
          <cell r="J195">
            <v>5221</v>
          </cell>
          <cell r="K195">
            <v>1000</v>
          </cell>
          <cell r="L195">
            <v>5.2210000000000001</v>
          </cell>
          <cell r="M195"/>
        </row>
        <row r="196">
          <cell r="A196" t="str">
            <v>1110407</v>
          </cell>
          <cell r="B196" t="str">
            <v>5513</v>
          </cell>
          <cell r="C196" t="str">
            <v>VEGETALES MIXTOS LAMB WESTON (PAQ: 1 K)</v>
          </cell>
          <cell r="D196" t="str">
            <v>1110407</v>
          </cell>
          <cell r="E196" t="str">
            <v>MATERIAS PRIMAS PLANTA</v>
          </cell>
          <cell r="F196" t="str">
            <v>1 PAQUETE</v>
          </cell>
          <cell r="G196">
            <v>500</v>
          </cell>
          <cell r="H196" t="str">
            <v>07/05/2020</v>
          </cell>
          <cell r="I196">
            <v>1819</v>
          </cell>
          <cell r="J196">
            <v>2525</v>
          </cell>
          <cell r="K196">
            <v>1000</v>
          </cell>
          <cell r="L196">
            <v>2.5249999999999999</v>
          </cell>
          <cell r="M196"/>
        </row>
        <row r="197">
          <cell r="A197" t="str">
            <v>1110408</v>
          </cell>
          <cell r="B197" t="str">
            <v>5514</v>
          </cell>
          <cell r="C197" t="str">
            <v>GUISANTES LAMB WESTON (PAQ: 1 K)</v>
          </cell>
          <cell r="D197" t="str">
            <v>1110408</v>
          </cell>
          <cell r="E197" t="str">
            <v>MATERIAS PRIMAS PLANTA</v>
          </cell>
          <cell r="F197" t="str">
            <v>1 PAQUETE</v>
          </cell>
          <cell r="G197">
            <v>500</v>
          </cell>
          <cell r="H197" t="str">
            <v>09/06/2020</v>
          </cell>
          <cell r="I197">
            <v>1393</v>
          </cell>
          <cell r="J197">
            <v>2168</v>
          </cell>
          <cell r="K197">
            <v>1000</v>
          </cell>
          <cell r="L197">
            <v>2.1680000000000001</v>
          </cell>
          <cell r="M197" t="str">
            <v>Gramos</v>
          </cell>
        </row>
        <row r="198">
          <cell r="A198" t="str">
            <v>1110414</v>
          </cell>
          <cell r="B198" t="str">
            <v>5602</v>
          </cell>
          <cell r="C198" t="str">
            <v>LECHE EVAPORADA (UND: 1 L)</v>
          </cell>
          <cell r="D198" t="str">
            <v>1110414</v>
          </cell>
          <cell r="E198" t="str">
            <v>MATERIAS PRIMAS PLANTA</v>
          </cell>
          <cell r="F198" t="str">
            <v>1 UND</v>
          </cell>
          <cell r="G198">
            <v>500</v>
          </cell>
          <cell r="H198" t="str">
            <v>15/06/2020</v>
          </cell>
          <cell r="I198">
            <v>1786</v>
          </cell>
          <cell r="J198">
            <v>1526</v>
          </cell>
          <cell r="K198">
            <v>1000</v>
          </cell>
          <cell r="L198">
            <v>1.526</v>
          </cell>
          <cell r="M198" t="str">
            <v>Mililitros</v>
          </cell>
        </row>
        <row r="199">
          <cell r="A199" t="str">
            <v>1110415</v>
          </cell>
          <cell r="B199" t="str">
            <v>5515</v>
          </cell>
          <cell r="C199" t="str">
            <v>PETI PIOS CON ZANAHORIA (PAQ: 1 K)</v>
          </cell>
          <cell r="D199" t="str">
            <v>1110415</v>
          </cell>
          <cell r="E199" t="str">
            <v>MATERIAS PRIMAS PLANTA</v>
          </cell>
          <cell r="F199" t="str">
            <v>1 PAQUETE</v>
          </cell>
          <cell r="G199">
            <v>500</v>
          </cell>
          <cell r="H199" t="str">
            <v>28/05/2020</v>
          </cell>
          <cell r="I199">
            <v>1335</v>
          </cell>
          <cell r="J199">
            <v>1597</v>
          </cell>
          <cell r="K199">
            <v>1000</v>
          </cell>
          <cell r="L199">
            <v>1.597</v>
          </cell>
          <cell r="M199" t="str">
            <v>Gramos</v>
          </cell>
        </row>
        <row r="200">
          <cell r="A200" t="str">
            <v>10100315</v>
          </cell>
          <cell r="B200" t="str">
            <v>5237</v>
          </cell>
          <cell r="C200" t="str">
            <v xml:space="preserve">MOSTAZA DIJON GRANULADA (UND: 370 G) </v>
          </cell>
          <cell r="D200" t="str">
            <v>1110418</v>
          </cell>
          <cell r="E200" t="str">
            <v>MATERIAS PRIMAS PLANTA</v>
          </cell>
          <cell r="F200" t="str">
            <v>1 UND</v>
          </cell>
          <cell r="G200">
            <v>500</v>
          </cell>
          <cell r="H200" t="str">
            <v>13/06/2020</v>
          </cell>
          <cell r="I200">
            <v>4505</v>
          </cell>
          <cell r="J200">
            <v>2460</v>
          </cell>
          <cell r="K200">
            <v>370</v>
          </cell>
          <cell r="L200">
            <v>6.6486486486486482</v>
          </cell>
          <cell r="M200" t="str">
            <v>Gramos</v>
          </cell>
        </row>
        <row r="201">
          <cell r="A201" t="str">
            <v>1110419</v>
          </cell>
          <cell r="B201" t="str">
            <v>7089</v>
          </cell>
          <cell r="C201" t="str">
            <v>ANCHOAS FILETAEADAS EN ACEITE (UND:700g)</v>
          </cell>
          <cell r="D201" t="str">
            <v>1110419</v>
          </cell>
          <cell r="E201" t="str">
            <v>MATERIAS PRIMAS PLANTA</v>
          </cell>
          <cell r="F201" t="str">
            <v>1 UND</v>
          </cell>
          <cell r="G201">
            <v>500</v>
          </cell>
          <cell r="H201" t="str">
            <v>30/05/2020</v>
          </cell>
          <cell r="I201">
            <v>13430</v>
          </cell>
          <cell r="J201">
            <v>0</v>
          </cell>
          <cell r="K201">
            <v>700</v>
          </cell>
          <cell r="L201">
            <v>0</v>
          </cell>
          <cell r="M201" t="str">
            <v>Gramos</v>
          </cell>
        </row>
        <row r="202">
          <cell r="A202" t="str">
            <v>1112431</v>
          </cell>
          <cell r="B202" t="str">
            <v>5603</v>
          </cell>
          <cell r="C202" t="str">
            <v>MANJAR LECHE CONDENSADA (PAQ: 4.5 K)</v>
          </cell>
          <cell r="D202" t="str">
            <v>1112431</v>
          </cell>
          <cell r="E202" t="str">
            <v>MATERIAS PRIMAS PLANTA</v>
          </cell>
          <cell r="F202" t="str">
            <v>1 PAQUETE</v>
          </cell>
          <cell r="G202">
            <v>500</v>
          </cell>
          <cell r="H202" t="str">
            <v>15/06/2020</v>
          </cell>
          <cell r="I202">
            <v>11335</v>
          </cell>
          <cell r="J202">
            <v>9403</v>
          </cell>
          <cell r="K202">
            <v>4500</v>
          </cell>
          <cell r="L202">
            <v>2.0895555555555556</v>
          </cell>
          <cell r="M202" t="str">
            <v>Gramos</v>
          </cell>
        </row>
        <row r="203">
          <cell r="A203" t="str">
            <v>1112441</v>
          </cell>
          <cell r="B203" t="str">
            <v>11801</v>
          </cell>
          <cell r="C203" t="str">
            <v>ACEITUNA  C/PIMIENTO (UND:1,7 Kg)</v>
          </cell>
          <cell r="D203" t="str">
            <v>1112441</v>
          </cell>
          <cell r="E203" t="str">
            <v>MATERIAS PRIMAS PLANTA</v>
          </cell>
          <cell r="F203" t="str">
            <v>1 UND</v>
          </cell>
          <cell r="G203">
            <v>500</v>
          </cell>
          <cell r="H203" t="str">
            <v>14/12/2019</v>
          </cell>
          <cell r="I203">
            <v>6906</v>
          </cell>
          <cell r="J203">
            <v>0</v>
          </cell>
          <cell r="K203">
            <v>1700</v>
          </cell>
          <cell r="L203">
            <v>0</v>
          </cell>
          <cell r="M203" t="str">
            <v>Gramos</v>
          </cell>
        </row>
        <row r="204">
          <cell r="A204" t="str">
            <v>1112444</v>
          </cell>
          <cell r="B204" t="str">
            <v>5326</v>
          </cell>
          <cell r="C204" t="str">
            <v>FRIJOL MOLIDO NEGRO D PEDRO (UND=2.2 K)</v>
          </cell>
          <cell r="D204" t="str">
            <v>1112444</v>
          </cell>
          <cell r="E204" t="str">
            <v>MATERIAS PRIMAS PLANTA</v>
          </cell>
          <cell r="F204" t="str">
            <v>1 UND</v>
          </cell>
          <cell r="G204">
            <v>500</v>
          </cell>
          <cell r="H204" t="str">
            <v>12/06/2020</v>
          </cell>
          <cell r="I204">
            <v>2027</v>
          </cell>
          <cell r="J204">
            <v>2162</v>
          </cell>
          <cell r="K204">
            <v>2200</v>
          </cell>
          <cell r="L204">
            <v>0.98272727272727278</v>
          </cell>
          <cell r="M204" t="str">
            <v>Gramos</v>
          </cell>
        </row>
        <row r="205">
          <cell r="A205" t="str">
            <v>1160001</v>
          </cell>
          <cell r="B205" t="str">
            <v>8142</v>
          </cell>
          <cell r="C205" t="str">
            <v>GOMA XANTAN (KILO)</v>
          </cell>
          <cell r="D205" t="str">
            <v>1160001</v>
          </cell>
          <cell r="E205" t="str">
            <v>MATERIAS PRIMAS PLANTA</v>
          </cell>
          <cell r="F205" t="str">
            <v>1 KILOGRAMOS</v>
          </cell>
          <cell r="G205">
            <v>500</v>
          </cell>
          <cell r="H205" t="str">
            <v>05/06/2020</v>
          </cell>
          <cell r="I205">
            <v>3402.67</v>
          </cell>
          <cell r="J205">
            <v>20796</v>
          </cell>
          <cell r="K205">
            <v>1000</v>
          </cell>
          <cell r="L205">
            <v>20.795999999999999</v>
          </cell>
          <cell r="M205" t="str">
            <v>Gramos</v>
          </cell>
        </row>
        <row r="206">
          <cell r="A206" t="str">
            <v>1200003</v>
          </cell>
          <cell r="B206" t="str">
            <v>7096</v>
          </cell>
          <cell r="C206" t="str">
            <v>CHOCOLATE OSCURO BLOSSOMS (KILO)</v>
          </cell>
          <cell r="D206" t="str">
            <v>1200003</v>
          </cell>
          <cell r="E206" t="str">
            <v>MATERIAS PRIMAS PLANTA</v>
          </cell>
          <cell r="F206" t="str">
            <v xml:space="preserve">1 KILO </v>
          </cell>
          <cell r="G206">
            <v>500</v>
          </cell>
          <cell r="H206" t="str">
            <v>15/06/2020</v>
          </cell>
          <cell r="I206">
            <v>9243</v>
          </cell>
          <cell r="J206">
            <v>9705.15</v>
          </cell>
          <cell r="K206">
            <v>1000</v>
          </cell>
          <cell r="L206">
            <v>9.7051499999999997</v>
          </cell>
          <cell r="M206" t="str">
            <v>Gramos</v>
          </cell>
        </row>
        <row r="207">
          <cell r="A207" t="str">
            <v>1210386</v>
          </cell>
          <cell r="B207" t="str">
            <v>5324</v>
          </cell>
          <cell r="C207" t="str">
            <v>COBERTURA CHOCOLATE LECHE (PAQ:5 K)</v>
          </cell>
          <cell r="D207" t="str">
            <v>1210386</v>
          </cell>
          <cell r="E207" t="str">
            <v>MATERIAS PRIMAS PLANTA</v>
          </cell>
          <cell r="F207" t="str">
            <v>1 SACO</v>
          </cell>
          <cell r="G207">
            <v>500</v>
          </cell>
          <cell r="H207" t="str">
            <v>07/05/2020</v>
          </cell>
          <cell r="I207">
            <v>22340</v>
          </cell>
          <cell r="J207">
            <v>22450</v>
          </cell>
          <cell r="K207">
            <v>5000</v>
          </cell>
          <cell r="L207">
            <v>4.49</v>
          </cell>
          <cell r="M207" t="str">
            <v>Gramos</v>
          </cell>
        </row>
        <row r="208">
          <cell r="A208" t="str">
            <v>1210387</v>
          </cell>
          <cell r="B208" t="str">
            <v>5325</v>
          </cell>
          <cell r="C208" t="str">
            <v>COBERTURA CHOCOLATE BLANCO (PAQ:5 K)</v>
          </cell>
          <cell r="D208" t="str">
            <v>1210387</v>
          </cell>
          <cell r="E208" t="str">
            <v>MATERIAS PRIMAS PLANTA</v>
          </cell>
          <cell r="F208" t="str">
            <v>1 PAQUETE</v>
          </cell>
          <cell r="G208">
            <v>500</v>
          </cell>
          <cell r="H208" t="str">
            <v>15/06/2020</v>
          </cell>
          <cell r="I208">
            <v>15818</v>
          </cell>
          <cell r="J208">
            <v>17390</v>
          </cell>
          <cell r="K208">
            <v>4500</v>
          </cell>
          <cell r="L208">
            <v>3.8644444444444446</v>
          </cell>
          <cell r="M208" t="str">
            <v>Gramos</v>
          </cell>
        </row>
        <row r="209">
          <cell r="A209" t="str">
            <v>10100289</v>
          </cell>
          <cell r="B209" t="str">
            <v>5526</v>
          </cell>
          <cell r="C209" t="str">
            <v>MARGARINA BAKER TABLETA (CAJA: 25 K)</v>
          </cell>
          <cell r="D209" t="str">
            <v>10100289</v>
          </cell>
          <cell r="E209" t="str">
            <v>MATERIAS PRIMAS PLANTA</v>
          </cell>
          <cell r="F209" t="str">
            <v>1 CAJA</v>
          </cell>
          <cell r="G209">
            <v>500</v>
          </cell>
          <cell r="H209" t="str">
            <v>15/06/2020</v>
          </cell>
          <cell r="I209">
            <v>30786</v>
          </cell>
          <cell r="J209">
            <v>34911</v>
          </cell>
          <cell r="K209">
            <v>25000</v>
          </cell>
          <cell r="L209">
            <v>1.3964399999999999</v>
          </cell>
          <cell r="M209" t="str">
            <v>Gramos</v>
          </cell>
        </row>
        <row r="210">
          <cell r="A210" t="str">
            <v>10100295</v>
          </cell>
          <cell r="B210" t="str">
            <v>17272</v>
          </cell>
          <cell r="C210" t="str">
            <v xml:space="preserve">COBERTURA CHOCOLATE BLANCO (PAQ:1 K) </v>
          </cell>
          <cell r="D210" t="str">
            <v>10100295</v>
          </cell>
          <cell r="E210" t="str">
            <v>MATERIAS PRIMAS PLANTA</v>
          </cell>
          <cell r="F210" t="str">
            <v>1 PAQ</v>
          </cell>
          <cell r="G210">
            <v>500</v>
          </cell>
          <cell r="H210" t="str">
            <v>27/02/2020</v>
          </cell>
          <cell r="I210">
            <v>10000</v>
          </cell>
          <cell r="J210">
            <v>10000</v>
          </cell>
          <cell r="K210">
            <v>1000</v>
          </cell>
          <cell r="L210">
            <v>10</v>
          </cell>
          <cell r="M210" t="str">
            <v>Gramos</v>
          </cell>
        </row>
        <row r="211">
          <cell r="A211" t="str">
            <v>1210396</v>
          </cell>
          <cell r="B211" t="str">
            <v>11328</v>
          </cell>
          <cell r="C211" t="str">
            <v>CHOCOLATE LECHE BELCOLADE (PAQ:2.5 K)</v>
          </cell>
          <cell r="D211" t="str">
            <v>1210396</v>
          </cell>
          <cell r="E211" t="str">
            <v>MATERIAS PRIMAS PLANTA</v>
          </cell>
          <cell r="F211" t="str">
            <v>1 PAQUETE</v>
          </cell>
          <cell r="G211">
            <v>500</v>
          </cell>
          <cell r="H211" t="str">
            <v>03/06/2020</v>
          </cell>
          <cell r="I211">
            <v>9380</v>
          </cell>
          <cell r="J211">
            <v>9410</v>
          </cell>
          <cell r="K211">
            <v>2500</v>
          </cell>
          <cell r="L211">
            <v>3.7639999999999998</v>
          </cell>
          <cell r="M211" t="str">
            <v>Gramos</v>
          </cell>
        </row>
        <row r="212">
          <cell r="A212" t="str">
            <v>1210397</v>
          </cell>
          <cell r="B212" t="str">
            <v>14692</v>
          </cell>
          <cell r="C212" t="str">
            <v>TROZOS CHOCOLATE BLANCO (CAJA:1 K)</v>
          </cell>
          <cell r="D212" t="str">
            <v>1210397</v>
          </cell>
          <cell r="E212" t="str">
            <v>MATERIAS PRIMAS PLANTA</v>
          </cell>
          <cell r="F212" t="str">
            <v xml:space="preserve">1 CAJA </v>
          </cell>
          <cell r="G212">
            <v>500</v>
          </cell>
          <cell r="H212" t="str">
            <v>21/12/2019</v>
          </cell>
          <cell r="I212" t="e">
            <v>#N/A</v>
          </cell>
          <cell r="J212">
            <v>0</v>
          </cell>
          <cell r="K212">
            <v>1000</v>
          </cell>
          <cell r="L212">
            <v>0</v>
          </cell>
          <cell r="M212"/>
        </row>
        <row r="213">
          <cell r="A213" t="str">
            <v>1210399</v>
          </cell>
          <cell r="B213" t="str">
            <v>14694</v>
          </cell>
          <cell r="C213" t="str">
            <v>TROZOS CHOCOLATE ROJO (CAJA:1K)</v>
          </cell>
          <cell r="D213" t="str">
            <v>1210399</v>
          </cell>
          <cell r="E213" t="str">
            <v>MATERIAS PRIMAS PLANTA</v>
          </cell>
          <cell r="F213" t="str">
            <v xml:space="preserve">1 CAJA </v>
          </cell>
          <cell r="G213">
            <v>500</v>
          </cell>
          <cell r="H213" t="str">
            <v>21/12/2019</v>
          </cell>
          <cell r="I213" t="e">
            <v>#N/A</v>
          </cell>
          <cell r="J213">
            <v>0</v>
          </cell>
          <cell r="K213">
            <v>1000</v>
          </cell>
          <cell r="L213">
            <v>0</v>
          </cell>
          <cell r="M213"/>
        </row>
        <row r="214">
          <cell r="A214" t="str">
            <v>1210401</v>
          </cell>
          <cell r="B214" t="str">
            <v>5527</v>
          </cell>
          <cell r="C214" t="str">
            <v>MANTECA MAX PAN (CAJA:25 k)</v>
          </cell>
          <cell r="D214" t="str">
            <v>1210401</v>
          </cell>
          <cell r="E214" t="str">
            <v>MATERIAS PRIMAS PLANTA</v>
          </cell>
          <cell r="F214" t="str">
            <v>1 CAJA</v>
          </cell>
          <cell r="G214">
            <v>500</v>
          </cell>
          <cell r="H214" t="str">
            <v>15/06/2020</v>
          </cell>
          <cell r="I214">
            <v>23234</v>
          </cell>
          <cell r="J214">
            <v>37711</v>
          </cell>
          <cell r="K214">
            <v>25000</v>
          </cell>
          <cell r="L214">
            <v>1.50844</v>
          </cell>
          <cell r="M214" t="str">
            <v>Gramos</v>
          </cell>
        </row>
        <row r="215">
          <cell r="A215" t="str">
            <v>1210402</v>
          </cell>
          <cell r="B215" t="str">
            <v>1981</v>
          </cell>
          <cell r="C215" t="str">
            <v>MARGARINA BLOQUE 12.5 KILOS</v>
          </cell>
          <cell r="D215" t="str">
            <v>1210402</v>
          </cell>
          <cell r="E215" t="str">
            <v>MATERIAS PRIMAS PLANTA</v>
          </cell>
          <cell r="F215" t="str">
            <v>1 CAJA</v>
          </cell>
          <cell r="G215">
            <v>500</v>
          </cell>
          <cell r="H215" t="str">
            <v>16/01/2020</v>
          </cell>
          <cell r="I215" t="e">
            <v>#N/A</v>
          </cell>
          <cell r="J215">
            <v>0</v>
          </cell>
          <cell r="K215">
            <v>12500</v>
          </cell>
          <cell r="L215">
            <v>0</v>
          </cell>
          <cell r="M215"/>
        </row>
        <row r="216">
          <cell r="A216" t="str">
            <v>1210405</v>
          </cell>
          <cell r="B216" t="str">
            <v>5565</v>
          </cell>
          <cell r="C216" t="str">
            <v>PASTA P/LASAG/(PAQ:1 KG)</v>
          </cell>
          <cell r="D216" t="str">
            <v>1210405</v>
          </cell>
          <cell r="E216" t="str">
            <v>MATERIAS PRIMAS PLANTA</v>
          </cell>
          <cell r="F216" t="str">
            <v>1 PAQUETE</v>
          </cell>
          <cell r="G216">
            <v>500</v>
          </cell>
          <cell r="H216" t="str">
            <v>15/06/2020</v>
          </cell>
          <cell r="I216">
            <v>2411</v>
          </cell>
          <cell r="J216">
            <v>2614</v>
          </cell>
          <cell r="K216">
            <v>1000</v>
          </cell>
          <cell r="L216">
            <v>2.6139999999999999</v>
          </cell>
          <cell r="M216" t="str">
            <v>Gramos</v>
          </cell>
        </row>
        <row r="217">
          <cell r="A217" t="str">
            <v>1210413</v>
          </cell>
          <cell r="B217" t="str">
            <v>5551</v>
          </cell>
          <cell r="C217" t="str">
            <v>PASTA WANTAN (PAQ:465g)</v>
          </cell>
          <cell r="D217" t="str">
            <v>1210413</v>
          </cell>
          <cell r="E217" t="str">
            <v>MATERIAS PRIMAS PLANTA</v>
          </cell>
          <cell r="F217" t="str">
            <v>1 PAQUETE</v>
          </cell>
          <cell r="G217">
            <v>500</v>
          </cell>
          <cell r="H217" t="str">
            <v>09/06/2020</v>
          </cell>
          <cell r="I217">
            <v>1485.75</v>
          </cell>
          <cell r="J217">
            <v>1663.06</v>
          </cell>
          <cell r="K217">
            <v>465</v>
          </cell>
          <cell r="L217">
            <v>3.5764731182795697</v>
          </cell>
          <cell r="M217" t="str">
            <v>Gramos</v>
          </cell>
        </row>
        <row r="218">
          <cell r="A218" t="str">
            <v>1210420</v>
          </cell>
          <cell r="B218" t="str">
            <v>5539</v>
          </cell>
          <cell r="C218" t="str">
            <v>ESPAGUETTI (PAQ: 1K)</v>
          </cell>
          <cell r="D218" t="str">
            <v>1210420</v>
          </cell>
          <cell r="E218" t="str">
            <v>MATERIAS PRIMAS PLANTA</v>
          </cell>
          <cell r="F218" t="str">
            <v>1 PAQUETE</v>
          </cell>
          <cell r="G218">
            <v>500</v>
          </cell>
          <cell r="H218" t="str">
            <v>21/03/2020</v>
          </cell>
          <cell r="I218">
            <v>1510</v>
          </cell>
          <cell r="J218">
            <v>1884</v>
          </cell>
          <cell r="K218">
            <v>1000</v>
          </cell>
          <cell r="L218">
            <v>1.8839999999999999</v>
          </cell>
          <cell r="M218"/>
        </row>
        <row r="219">
          <cell r="A219" t="str">
            <v>1210428</v>
          </cell>
          <cell r="B219" t="str">
            <v>11213</v>
          </cell>
          <cell r="C219" t="str">
            <v>PRUEBA CODIGO</v>
          </cell>
          <cell r="D219" t="str">
            <v>1210428</v>
          </cell>
          <cell r="E219" t="str">
            <v>MATERIAS PRIMAS PLANTA</v>
          </cell>
          <cell r="F219" t="str">
            <v>1 UND</v>
          </cell>
          <cell r="G219">
            <v>500</v>
          </cell>
          <cell r="H219" t="str">
            <v>06/06/2020</v>
          </cell>
          <cell r="I219">
            <v>3461</v>
          </cell>
          <cell r="J219">
            <v>22289</v>
          </cell>
          <cell r="K219"/>
          <cell r="L219" t="e">
            <v>#DIV/0!</v>
          </cell>
          <cell r="M219"/>
        </row>
        <row r="220">
          <cell r="A220" t="str">
            <v>1210437</v>
          </cell>
          <cell r="B220" t="str">
            <v>5540</v>
          </cell>
          <cell r="C220" t="str">
            <v>PASTA CARACOLITOS (PAQ: 1  K)</v>
          </cell>
          <cell r="D220" t="str">
            <v>1210437</v>
          </cell>
          <cell r="E220" t="str">
            <v>MATERIAS PRIMAS PLANTA</v>
          </cell>
          <cell r="F220" t="str">
            <v>1 PAQUETE</v>
          </cell>
          <cell r="G220">
            <v>500</v>
          </cell>
          <cell r="H220" t="str">
            <v>12/12/2019</v>
          </cell>
          <cell r="I220">
            <v>1685</v>
          </cell>
          <cell r="J220">
            <v>1937</v>
          </cell>
          <cell r="K220">
            <v>1000</v>
          </cell>
          <cell r="L220">
            <v>1.9370000000000001</v>
          </cell>
          <cell r="M220"/>
        </row>
        <row r="221">
          <cell r="A221" t="str">
            <v>1210441</v>
          </cell>
          <cell r="B221" t="str">
            <v>5577</v>
          </cell>
          <cell r="C221" t="str">
            <v>HUEVO LIQUIDO REFRIG (UND:13.6 K)</v>
          </cell>
          <cell r="D221" t="str">
            <v>1210441</v>
          </cell>
          <cell r="E221" t="str">
            <v>MATERIAS PRIMAS PLANTA</v>
          </cell>
          <cell r="F221" t="str">
            <v>1 UND</v>
          </cell>
          <cell r="G221">
            <v>500</v>
          </cell>
          <cell r="H221" t="str">
            <v>01/06/2020</v>
          </cell>
          <cell r="I221">
            <v>18034</v>
          </cell>
          <cell r="J221">
            <v>0</v>
          </cell>
          <cell r="K221">
            <v>13600</v>
          </cell>
          <cell r="L221">
            <v>0</v>
          </cell>
          <cell r="M221" t="str">
            <v>Gramos</v>
          </cell>
        </row>
        <row r="222">
          <cell r="A222" t="str">
            <v>1210443</v>
          </cell>
          <cell r="B222" t="str">
            <v>5581</v>
          </cell>
          <cell r="C222" t="str">
            <v>YEMA DE HUEVO PASTEURIZADA (CAJA:2 Kg)</v>
          </cell>
          <cell r="D222" t="str">
            <v>1210443</v>
          </cell>
          <cell r="E222" t="str">
            <v>MATERIAS PRIMAS PLANTA</v>
          </cell>
          <cell r="F222" t="str">
            <v>1 CAJA</v>
          </cell>
          <cell r="G222">
            <v>500</v>
          </cell>
          <cell r="H222" t="str">
            <v>11/06/2020</v>
          </cell>
          <cell r="I222">
            <v>4400</v>
          </cell>
          <cell r="J222">
            <v>0</v>
          </cell>
          <cell r="K222">
            <v>2000</v>
          </cell>
          <cell r="L222">
            <v>0</v>
          </cell>
          <cell r="M222" t="str">
            <v>Gramos</v>
          </cell>
        </row>
        <row r="223">
          <cell r="A223" t="str">
            <v>1210445</v>
          </cell>
          <cell r="B223" t="str">
            <v>5582</v>
          </cell>
          <cell r="C223" t="str">
            <v>CLARAS HUEVO DESHIDRATADA (CAJA:22.68 K)</v>
          </cell>
          <cell r="D223" t="str">
            <v>1210445</v>
          </cell>
          <cell r="E223" t="str">
            <v>MATERIAS PRIMAS PLANTA</v>
          </cell>
          <cell r="F223" t="str">
            <v>1 CAJA</v>
          </cell>
          <cell r="G223">
            <v>500</v>
          </cell>
          <cell r="H223" t="str">
            <v>08/06/2020</v>
          </cell>
          <cell r="I223">
            <v>433431.12959999999</v>
          </cell>
          <cell r="J223">
            <v>748440.2</v>
          </cell>
          <cell r="K223">
            <v>22680</v>
          </cell>
          <cell r="L223">
            <v>33.000008818342152</v>
          </cell>
          <cell r="M223" t="str">
            <v>Gramos</v>
          </cell>
        </row>
        <row r="224">
          <cell r="A224" t="str">
            <v>1210451</v>
          </cell>
          <cell r="B224" t="str">
            <v>11275</v>
          </cell>
          <cell r="C224" t="str">
            <v>CAPUCCINO  LATAM NESCAFE (PAQ:750 g)</v>
          </cell>
          <cell r="D224" t="str">
            <v>1210451</v>
          </cell>
          <cell r="E224" t="str">
            <v>MATERIAS PRIMAS PLANTA</v>
          </cell>
          <cell r="F224" t="str">
            <v>1 PAQUETE</v>
          </cell>
          <cell r="G224">
            <v>500</v>
          </cell>
          <cell r="H224" t="str">
            <v>05/06/2020</v>
          </cell>
          <cell r="I224" t="e">
            <v>#N/A</v>
          </cell>
          <cell r="J224">
            <v>0</v>
          </cell>
          <cell r="K224">
            <v>750</v>
          </cell>
          <cell r="L224">
            <v>0</v>
          </cell>
          <cell r="M224" t="str">
            <v>Gramos</v>
          </cell>
        </row>
        <row r="225">
          <cell r="A225" t="str">
            <v>1210453</v>
          </cell>
          <cell r="B225" t="str">
            <v>5328</v>
          </cell>
          <cell r="C225" t="str">
            <v>CAPUCCINO VAINILLA LATAM (PAQ:750 g)</v>
          </cell>
          <cell r="D225" t="str">
            <v>1210453</v>
          </cell>
          <cell r="E225" t="str">
            <v>MATERIAS PRIMAS PLANTA</v>
          </cell>
          <cell r="F225" t="str">
            <v>1 PAQUETE</v>
          </cell>
          <cell r="G225">
            <v>500</v>
          </cell>
          <cell r="H225" t="str">
            <v>20/02/2020</v>
          </cell>
          <cell r="I225" t="e">
            <v>#N/A</v>
          </cell>
          <cell r="J225">
            <v>0</v>
          </cell>
          <cell r="K225">
            <v>750</v>
          </cell>
          <cell r="L225">
            <v>0</v>
          </cell>
          <cell r="M225"/>
        </row>
        <row r="226">
          <cell r="A226" t="str">
            <v>1210461</v>
          </cell>
          <cell r="B226" t="str">
            <v>5269</v>
          </cell>
          <cell r="C226" t="str">
            <v>CHOCOLATE TULIPAN MARMOL (CAJA:150 UND)</v>
          </cell>
          <cell r="D226" t="str">
            <v>1210461</v>
          </cell>
          <cell r="E226" t="str">
            <v>MATERIAS PRIMAS PLANTA</v>
          </cell>
          <cell r="F226" t="str">
            <v xml:space="preserve">1 CAJA </v>
          </cell>
          <cell r="G226">
            <v>500</v>
          </cell>
          <cell r="H226" t="str">
            <v>12/06/2020</v>
          </cell>
          <cell r="I226">
            <v>18000</v>
          </cell>
          <cell r="J226">
            <v>18000</v>
          </cell>
          <cell r="K226">
            <v>150</v>
          </cell>
          <cell r="L226">
            <v>120</v>
          </cell>
          <cell r="M226" t="str">
            <v>Und</v>
          </cell>
        </row>
        <row r="227">
          <cell r="A227" t="str">
            <v>1210462</v>
          </cell>
          <cell r="B227" t="str">
            <v>5270</v>
          </cell>
          <cell r="C227" t="str">
            <v>MONEDAS MARMOLEADAS (CAJA:240 UND)</v>
          </cell>
          <cell r="D227" t="str">
            <v>1210462</v>
          </cell>
          <cell r="E227" t="str">
            <v>MATERIAS PRIMAS PLANTA</v>
          </cell>
          <cell r="F227" t="str">
            <v>1 CAJA</v>
          </cell>
          <cell r="G227">
            <v>500</v>
          </cell>
          <cell r="H227" t="str">
            <v>12/06/2020</v>
          </cell>
          <cell r="I227">
            <v>10080</v>
          </cell>
          <cell r="J227">
            <v>10080</v>
          </cell>
          <cell r="K227">
            <v>240</v>
          </cell>
          <cell r="L227">
            <v>42</v>
          </cell>
          <cell r="M227" t="str">
            <v>Und</v>
          </cell>
        </row>
        <row r="228">
          <cell r="A228" t="str">
            <v>1210464</v>
          </cell>
          <cell r="B228" t="str">
            <v>7086</v>
          </cell>
          <cell r="C228" t="str">
            <v>CHOCOLATE TRIAN OLEAJE GRD (CAJA:200 UN)</v>
          </cell>
          <cell r="D228" t="str">
            <v>1210464</v>
          </cell>
          <cell r="E228" t="str">
            <v>MATERIAS PRIMAS PLANTA</v>
          </cell>
          <cell r="F228" t="str">
            <v>1 CAJA</v>
          </cell>
          <cell r="G228">
            <v>500</v>
          </cell>
          <cell r="H228" t="str">
            <v>12/06/2020</v>
          </cell>
          <cell r="I228">
            <v>23000</v>
          </cell>
          <cell r="J228">
            <v>23000</v>
          </cell>
          <cell r="K228">
            <v>200</v>
          </cell>
          <cell r="L228">
            <v>115</v>
          </cell>
          <cell r="M228" t="str">
            <v>Und</v>
          </cell>
        </row>
        <row r="229">
          <cell r="A229" t="str">
            <v>1210473</v>
          </cell>
          <cell r="B229" t="str">
            <v>5274</v>
          </cell>
          <cell r="C229" t="str">
            <v>CHOCOLATE HOJA OTOÑO (CAJA:150 UND)</v>
          </cell>
          <cell r="D229" t="str">
            <v>1210473</v>
          </cell>
          <cell r="E229" t="str">
            <v>MATERIAS PRIMAS PLANTA</v>
          </cell>
          <cell r="F229" t="str">
            <v xml:space="preserve">1 CAJA </v>
          </cell>
          <cell r="G229">
            <v>500</v>
          </cell>
          <cell r="H229" t="str">
            <v>26/05/2020</v>
          </cell>
          <cell r="I229">
            <v>10500</v>
          </cell>
          <cell r="J229">
            <v>0</v>
          </cell>
          <cell r="K229">
            <v>150</v>
          </cell>
          <cell r="L229">
            <v>0</v>
          </cell>
          <cell r="M229" t="str">
            <v>Und</v>
          </cell>
        </row>
        <row r="230">
          <cell r="A230" t="str">
            <v>1210482</v>
          </cell>
          <cell r="B230" t="str">
            <v>5580</v>
          </cell>
          <cell r="C230" t="str">
            <v>HUEVO ENTERO PASTERI INNOVO (CAJA:10 K)</v>
          </cell>
          <cell r="D230" t="str">
            <v>1210482</v>
          </cell>
          <cell r="E230" t="str">
            <v>MATERIAS PRIMAS PLANTA</v>
          </cell>
          <cell r="F230" t="str">
            <v>1 CAJA</v>
          </cell>
          <cell r="G230">
            <v>500</v>
          </cell>
          <cell r="H230" t="str">
            <v>12/06/2020</v>
          </cell>
          <cell r="I230" t="e">
            <v>#N/A</v>
          </cell>
          <cell r="J230">
            <v>19780</v>
          </cell>
          <cell r="K230">
            <v>10000</v>
          </cell>
          <cell r="L230">
            <v>1.978</v>
          </cell>
          <cell r="M230" t="str">
            <v>Gramos</v>
          </cell>
        </row>
        <row r="231">
          <cell r="A231" t="str">
            <v>1210492</v>
          </cell>
          <cell r="B231" t="str">
            <v>5613</v>
          </cell>
          <cell r="C231" t="str">
            <v>CHANTILLY TOP CREAM CHOCOLATE (UND:2 K)</v>
          </cell>
          <cell r="D231" t="str">
            <v>1210492</v>
          </cell>
          <cell r="E231" t="str">
            <v>MATERIAS PRIMAS PLANTA</v>
          </cell>
          <cell r="F231" t="str">
            <v>1 UND</v>
          </cell>
          <cell r="G231">
            <v>500</v>
          </cell>
          <cell r="H231" t="str">
            <v>25/05/2020</v>
          </cell>
          <cell r="I231">
            <v>5323.04</v>
          </cell>
          <cell r="J231">
            <v>5119.6724999999997</v>
          </cell>
          <cell r="K231">
            <v>2000</v>
          </cell>
          <cell r="L231">
            <v>2.55983625</v>
          </cell>
          <cell r="M231" t="str">
            <v>Gramos</v>
          </cell>
        </row>
        <row r="232">
          <cell r="A232" t="str">
            <v>1210494</v>
          </cell>
          <cell r="B232" t="str">
            <v>11352</v>
          </cell>
          <cell r="C232" t="str">
            <v>CUCHARA CHOCOLATE (CAJA: 25 UND)</v>
          </cell>
          <cell r="D232" t="str">
            <v>1210494</v>
          </cell>
          <cell r="E232" t="str">
            <v>MATERIAS PRIMAS PLANTA</v>
          </cell>
          <cell r="F232" t="str">
            <v>1 CAJA</v>
          </cell>
          <cell r="G232">
            <v>500</v>
          </cell>
          <cell r="H232" t="str">
            <v>08/06/2020</v>
          </cell>
          <cell r="I232">
            <v>14975</v>
          </cell>
          <cell r="J232">
            <v>0</v>
          </cell>
          <cell r="K232">
            <v>25</v>
          </cell>
          <cell r="L232">
            <v>0</v>
          </cell>
          <cell r="M232"/>
        </row>
        <row r="233">
          <cell r="A233" t="str">
            <v>1210495</v>
          </cell>
          <cell r="B233" t="str">
            <v>12616</v>
          </cell>
          <cell r="C233" t="str">
            <v>CHOCOLATE TRIANGULO CURVO (CAJA:150 UND)</v>
          </cell>
          <cell r="D233" t="str">
            <v>1210495</v>
          </cell>
          <cell r="E233" t="str">
            <v>MATERIAS PRIMAS PLANTA</v>
          </cell>
          <cell r="F233" t="str">
            <v>1 CAJA</v>
          </cell>
          <cell r="G233">
            <v>500</v>
          </cell>
          <cell r="H233" t="str">
            <v>12/06/2020</v>
          </cell>
          <cell r="I233">
            <v>12946</v>
          </cell>
          <cell r="J233">
            <v>12946</v>
          </cell>
          <cell r="K233">
            <v>150</v>
          </cell>
          <cell r="L233">
            <v>86.306666666666672</v>
          </cell>
          <cell r="M233" t="str">
            <v>Und</v>
          </cell>
        </row>
        <row r="234">
          <cell r="A234" t="str">
            <v>1210496</v>
          </cell>
          <cell r="B234" t="str">
            <v>14216</v>
          </cell>
          <cell r="C234" t="str">
            <v>MONEDAS ONDEADAS COMBIN (CAJA:240 UND)</v>
          </cell>
          <cell r="D234" t="str">
            <v>1210496</v>
          </cell>
          <cell r="E234" t="str">
            <v>MATERIAS PRIMAS PLANTA</v>
          </cell>
          <cell r="F234" t="str">
            <v>1 CAJA</v>
          </cell>
          <cell r="G234">
            <v>500</v>
          </cell>
          <cell r="H234" t="str">
            <v>03/12/2019</v>
          </cell>
          <cell r="I234" t="e">
            <v>#N/A</v>
          </cell>
          <cell r="J234">
            <v>0</v>
          </cell>
          <cell r="K234">
            <v>240</v>
          </cell>
          <cell r="L234">
            <v>0</v>
          </cell>
          <cell r="M234"/>
        </row>
        <row r="235">
          <cell r="A235" t="str">
            <v>1210497</v>
          </cell>
          <cell r="B235" t="str">
            <v>16693</v>
          </cell>
          <cell r="C235" t="str">
            <v>COBERTURA CHOCO LECHE VENEZUEL (PAQ:1 K)</v>
          </cell>
          <cell r="D235" t="str">
            <v>1210497</v>
          </cell>
          <cell r="E235" t="str">
            <v>MATERIAS PRIMAS PLANTA</v>
          </cell>
          <cell r="F235" t="str">
            <v>1 PAQUETE</v>
          </cell>
          <cell r="G235">
            <v>500</v>
          </cell>
          <cell r="H235" t="str">
            <v>09/06/2020</v>
          </cell>
          <cell r="I235" t="e">
            <v>#N/A</v>
          </cell>
          <cell r="J235">
            <v>0</v>
          </cell>
          <cell r="K235">
            <v>1000</v>
          </cell>
          <cell r="L235">
            <v>0</v>
          </cell>
          <cell r="M235" t="str">
            <v>Gramos</v>
          </cell>
        </row>
        <row r="236">
          <cell r="A236" t="str">
            <v>1212410</v>
          </cell>
          <cell r="B236" t="str">
            <v>5623</v>
          </cell>
          <cell r="C236" t="str">
            <v>PRESERVANTE 1047S (PAQ=5 KILO)</v>
          </cell>
          <cell r="D236" t="str">
            <v>1212410</v>
          </cell>
          <cell r="E236" t="str">
            <v>MATERIAS PRIMAS PLANTA</v>
          </cell>
          <cell r="F236" t="str">
            <v>1 KILO</v>
          </cell>
          <cell r="G236">
            <v>500</v>
          </cell>
          <cell r="H236" t="str">
            <v>10/06/2020</v>
          </cell>
          <cell r="I236">
            <v>25491.79</v>
          </cell>
          <cell r="J236">
            <v>49514.96</v>
          </cell>
          <cell r="K236">
            <v>5000</v>
          </cell>
          <cell r="L236">
            <v>9.9029919999999994</v>
          </cell>
          <cell r="M236" t="str">
            <v>Gramos</v>
          </cell>
        </row>
        <row r="237">
          <cell r="A237" t="str">
            <v>1212412</v>
          </cell>
          <cell r="B237" t="str">
            <v>5624</v>
          </cell>
          <cell r="C237" t="str">
            <v>PRESERVANTE 1017S (PAQ=5 KILO)</v>
          </cell>
          <cell r="D237" t="str">
            <v>1212412</v>
          </cell>
          <cell r="E237" t="str">
            <v>MATERIAS PRIMAS PLANTA</v>
          </cell>
          <cell r="F237" t="str">
            <v>1 PAQUETE</v>
          </cell>
          <cell r="G237">
            <v>500</v>
          </cell>
          <cell r="H237" t="str">
            <v>29/04/2020</v>
          </cell>
          <cell r="I237">
            <v>33757.9</v>
          </cell>
          <cell r="J237">
            <v>58343.15</v>
          </cell>
          <cell r="K237">
            <v>5000</v>
          </cell>
          <cell r="L237">
            <v>11.66863</v>
          </cell>
          <cell r="M237" t="str">
            <v>Gramos</v>
          </cell>
        </row>
        <row r="238">
          <cell r="A238" t="str">
            <v>1212437</v>
          </cell>
          <cell r="B238" t="str">
            <v>5625</v>
          </cell>
          <cell r="C238" t="str">
            <v>PRESERVANTE MIXTO (UND:17 K)</v>
          </cell>
          <cell r="D238" t="str">
            <v>1212437</v>
          </cell>
          <cell r="E238" t="str">
            <v>MATERIAS PRIMAS PLANTA</v>
          </cell>
          <cell r="F238" t="str">
            <v>1 UND</v>
          </cell>
          <cell r="G238">
            <v>500</v>
          </cell>
          <cell r="H238" t="str">
            <v>13/06/2020</v>
          </cell>
          <cell r="I238">
            <v>61710</v>
          </cell>
          <cell r="J238">
            <v>73610</v>
          </cell>
          <cell r="K238">
            <v>17000</v>
          </cell>
          <cell r="L238">
            <v>4.33</v>
          </cell>
          <cell r="M238" t="str">
            <v>Gramos</v>
          </cell>
        </row>
        <row r="239">
          <cell r="A239" t="str">
            <v>1212438</v>
          </cell>
          <cell r="B239" t="str">
            <v>16435</v>
          </cell>
          <cell r="C239" t="str">
            <v>ESTABILIZANTE FRUTAS (SACO:25 K) 97178</v>
          </cell>
          <cell r="D239" t="str">
            <v>1212438</v>
          </cell>
          <cell r="E239" t="str">
            <v>MATERIAS PRIMAS PLANTA</v>
          </cell>
          <cell r="F239" t="str">
            <v>1 SACO</v>
          </cell>
          <cell r="G239">
            <v>500</v>
          </cell>
          <cell r="H239" t="str">
            <v>22/04/2020</v>
          </cell>
          <cell r="I239">
            <v>135625</v>
          </cell>
          <cell r="J239">
            <v>0</v>
          </cell>
          <cell r="K239">
            <v>25000</v>
          </cell>
          <cell r="L239">
            <v>0</v>
          </cell>
          <cell r="M239" t="str">
            <v>Gramos</v>
          </cell>
        </row>
        <row r="240">
          <cell r="A240" t="str">
            <v>1310108</v>
          </cell>
          <cell r="B240" t="str">
            <v>16364</v>
          </cell>
          <cell r="C240" t="str">
            <v>LECHE AZUL DOS PINOS (CAJA: 12 UND)</v>
          </cell>
          <cell r="D240" t="str">
            <v>1310108</v>
          </cell>
          <cell r="E240" t="str">
            <v>MATERIAS PRIMAS PLANTA</v>
          </cell>
          <cell r="F240" t="str">
            <v>1 CAJA</v>
          </cell>
          <cell r="G240">
            <v>500</v>
          </cell>
          <cell r="H240" t="str">
            <v>06/04/2020</v>
          </cell>
          <cell r="I240">
            <v>471.95</v>
          </cell>
          <cell r="J240">
            <v>0</v>
          </cell>
          <cell r="K240"/>
          <cell r="L240" t="e">
            <v>#DIV/0!</v>
          </cell>
          <cell r="M240"/>
        </row>
        <row r="241">
          <cell r="A241" t="str">
            <v>1700001</v>
          </cell>
          <cell r="B241" t="str">
            <v>5653</v>
          </cell>
          <cell r="C241" t="str">
            <v>SABORIZANTE LIMON ESPAÑA (KILO)</v>
          </cell>
          <cell r="D241" t="str">
            <v>1700001</v>
          </cell>
          <cell r="E241" t="str">
            <v>MATERIAS PRIMAS PLANTA</v>
          </cell>
          <cell r="F241" t="str">
            <v>1 KILO</v>
          </cell>
          <cell r="G241">
            <v>500</v>
          </cell>
          <cell r="H241" t="str">
            <v>26/02/2020</v>
          </cell>
          <cell r="I241">
            <v>26466</v>
          </cell>
          <cell r="J241">
            <v>0</v>
          </cell>
          <cell r="K241">
            <v>1000</v>
          </cell>
          <cell r="L241">
            <v>0</v>
          </cell>
          <cell r="M241" t="str">
            <v>Gramos</v>
          </cell>
        </row>
        <row r="242">
          <cell r="A242" t="str">
            <v>1730535</v>
          </cell>
          <cell r="B242" t="str">
            <v>9814</v>
          </cell>
          <cell r="C242" t="str">
            <v>MANZANA PICADA (PAQ:1 K)</v>
          </cell>
          <cell r="D242" t="str">
            <v>1730535</v>
          </cell>
          <cell r="E242" t="str">
            <v>MATERIAS PRIMAS PLANTA</v>
          </cell>
          <cell r="F242" t="str">
            <v>1 PAQ</v>
          </cell>
          <cell r="G242">
            <v>500</v>
          </cell>
          <cell r="H242" t="str">
            <v>03/02/2020</v>
          </cell>
          <cell r="I242" t="e">
            <v>#N/A</v>
          </cell>
          <cell r="J242">
            <v>0</v>
          </cell>
          <cell r="K242">
            <v>1000</v>
          </cell>
          <cell r="L242">
            <v>0</v>
          </cell>
          <cell r="M242"/>
        </row>
        <row r="243">
          <cell r="A243" t="str">
            <v>1730579</v>
          </cell>
          <cell r="B243" t="str">
            <v>5389</v>
          </cell>
          <cell r="C243" t="str">
            <v>CHULETAS KILO</v>
          </cell>
          <cell r="D243" t="str">
            <v>1730579</v>
          </cell>
          <cell r="E243" t="str">
            <v>MATERIAS PRIMAS PLANTA</v>
          </cell>
          <cell r="F243" t="str">
            <v>1 KILO</v>
          </cell>
          <cell r="G243">
            <v>500</v>
          </cell>
          <cell r="H243" t="str">
            <v>30/05/2020</v>
          </cell>
          <cell r="I243" t="e">
            <v>#N/A</v>
          </cell>
          <cell r="J243">
            <v>3795</v>
          </cell>
          <cell r="K243">
            <v>1000</v>
          </cell>
          <cell r="L243">
            <v>3.7949999999999999</v>
          </cell>
          <cell r="M243" t="str">
            <v>Gramos</v>
          </cell>
        </row>
        <row r="244">
          <cell r="A244" t="str">
            <v>1730580</v>
          </cell>
          <cell r="B244" t="str">
            <v>5373</v>
          </cell>
          <cell r="C244" t="str">
            <v>COSTILLA DE CERDO (PAQ:1 KILO)</v>
          </cell>
          <cell r="D244" t="str">
            <v>1730580</v>
          </cell>
          <cell r="E244" t="str">
            <v>MATERIAS PRIMAS PLANTA</v>
          </cell>
          <cell r="F244" t="str">
            <v>1 PAQUETE</v>
          </cell>
          <cell r="G244">
            <v>500</v>
          </cell>
          <cell r="H244" t="str">
            <v>06/06/2020</v>
          </cell>
          <cell r="I244">
            <v>3995</v>
          </cell>
          <cell r="J244">
            <v>4195</v>
          </cell>
          <cell r="K244">
            <v>1000</v>
          </cell>
          <cell r="L244">
            <v>4.1950000000000003</v>
          </cell>
          <cell r="M244" t="str">
            <v>Gramos</v>
          </cell>
        </row>
        <row r="245">
          <cell r="A245" t="str">
            <v>1730588</v>
          </cell>
          <cell r="B245" t="str">
            <v>5372</v>
          </cell>
          <cell r="C245" t="str">
            <v>LOMO DE AGUJA KILO</v>
          </cell>
          <cell r="D245" t="str">
            <v>1730588</v>
          </cell>
          <cell r="E245" t="str">
            <v>MATERIAS PRIMAS PLANTA</v>
          </cell>
          <cell r="F245" t="str">
            <v>1 KILO</v>
          </cell>
          <cell r="G245">
            <v>500</v>
          </cell>
          <cell r="H245" t="str">
            <v>07/03/2020</v>
          </cell>
          <cell r="I245">
            <v>5690</v>
          </cell>
          <cell r="J245">
            <v>5690</v>
          </cell>
          <cell r="K245">
            <v>1000</v>
          </cell>
          <cell r="L245">
            <v>5.69</v>
          </cell>
          <cell r="M245" t="str">
            <v>Gramos</v>
          </cell>
        </row>
        <row r="246">
          <cell r="A246" t="str">
            <v>1730589</v>
          </cell>
          <cell r="B246" t="str">
            <v>7045</v>
          </cell>
          <cell r="C246" t="str">
            <v>SALCHICHAS KILO</v>
          </cell>
          <cell r="D246" t="str">
            <v>1730589</v>
          </cell>
          <cell r="E246" t="str">
            <v>MATERIAS PRIMAS PLANTA</v>
          </cell>
          <cell r="F246" t="str">
            <v>1 KILO</v>
          </cell>
          <cell r="G246">
            <v>500</v>
          </cell>
          <cell r="H246" t="str">
            <v>18/05/2020</v>
          </cell>
          <cell r="I246">
            <v>1850</v>
          </cell>
          <cell r="J246">
            <v>1610</v>
          </cell>
          <cell r="K246">
            <v>1000</v>
          </cell>
          <cell r="L246">
            <v>1.61</v>
          </cell>
          <cell r="M246" t="str">
            <v>Gramos</v>
          </cell>
        </row>
        <row r="247">
          <cell r="A247" t="str">
            <v>1730592</v>
          </cell>
          <cell r="B247" t="str">
            <v>5391</v>
          </cell>
          <cell r="C247" t="str">
            <v>PECHO LIMPIO KILO</v>
          </cell>
          <cell r="D247" t="str">
            <v>1730592</v>
          </cell>
          <cell r="E247" t="str">
            <v>MATERIAS PRIMAS PLANTA</v>
          </cell>
          <cell r="F247" t="str">
            <v>1 KILO</v>
          </cell>
          <cell r="G247">
            <v>500</v>
          </cell>
          <cell r="H247" t="str">
            <v>06/06/2020</v>
          </cell>
          <cell r="I247">
            <v>3990</v>
          </cell>
          <cell r="J247">
            <v>4995</v>
          </cell>
          <cell r="K247">
            <v>1000</v>
          </cell>
          <cell r="L247">
            <v>4.9950000000000001</v>
          </cell>
          <cell r="M247" t="str">
            <v>Gramos</v>
          </cell>
        </row>
        <row r="248">
          <cell r="A248" t="str">
            <v>1730594</v>
          </cell>
          <cell r="B248" t="str">
            <v>11359</v>
          </cell>
          <cell r="C248" t="str">
            <v>COSTILLA DE RES</v>
          </cell>
          <cell r="D248" t="str">
            <v>1730594</v>
          </cell>
          <cell r="E248" t="str">
            <v>MATERIAS PRIMAS PLANTA</v>
          </cell>
          <cell r="F248" t="str">
            <v>1 KILO</v>
          </cell>
          <cell r="G248">
            <v>500</v>
          </cell>
          <cell r="H248" t="str">
            <v>04/02/2020</v>
          </cell>
          <cell r="I248" t="e">
            <v>#N/A</v>
          </cell>
          <cell r="J248">
            <v>0</v>
          </cell>
          <cell r="K248">
            <v>1000</v>
          </cell>
          <cell r="L248">
            <v>0</v>
          </cell>
          <cell r="M248" t="str">
            <v>Gramos</v>
          </cell>
        </row>
        <row r="249">
          <cell r="A249" t="str">
            <v>1730610</v>
          </cell>
          <cell r="B249" t="str">
            <v>5592</v>
          </cell>
          <cell r="C249" t="str">
            <v>NATILLA GALON (UND:3.785 K)</v>
          </cell>
          <cell r="D249" t="str">
            <v>1730610</v>
          </cell>
          <cell r="E249" t="str">
            <v>MATERIAS PRIMAS PLANTA</v>
          </cell>
          <cell r="F249" t="str">
            <v>1 UND</v>
          </cell>
          <cell r="G249">
            <v>500</v>
          </cell>
          <cell r="H249" t="str">
            <v>30/05/2020</v>
          </cell>
          <cell r="I249">
            <v>5953</v>
          </cell>
          <cell r="J249">
            <v>0</v>
          </cell>
          <cell r="K249">
            <v>3785</v>
          </cell>
          <cell r="L249">
            <v>0</v>
          </cell>
          <cell r="M249" t="str">
            <v>Und</v>
          </cell>
        </row>
        <row r="250">
          <cell r="A250" t="str">
            <v>1730616</v>
          </cell>
          <cell r="B250" t="str">
            <v>5434</v>
          </cell>
          <cell r="C250" t="str">
            <v>REMOLACHA KILO</v>
          </cell>
          <cell r="D250" t="str">
            <v>1730616</v>
          </cell>
          <cell r="E250" t="str">
            <v>MATERIAS PRIMAS PLANTA</v>
          </cell>
          <cell r="F250" t="str">
            <v>1 KILO</v>
          </cell>
          <cell r="G250">
            <v>500</v>
          </cell>
          <cell r="H250" t="str">
            <v>13/06/2020</v>
          </cell>
          <cell r="I250">
            <v>923</v>
          </cell>
          <cell r="J250">
            <v>923</v>
          </cell>
          <cell r="K250">
            <v>1000</v>
          </cell>
          <cell r="L250">
            <v>0.92300000000000004</v>
          </cell>
          <cell r="M250" t="str">
            <v>Gramos</v>
          </cell>
        </row>
        <row r="251">
          <cell r="A251" t="str">
            <v>1730617</v>
          </cell>
          <cell r="B251" t="str">
            <v>5436</v>
          </cell>
          <cell r="C251" t="str">
            <v>REPOLLO VERDE RAYADO KILO</v>
          </cell>
          <cell r="D251" t="str">
            <v>1730617</v>
          </cell>
          <cell r="E251" t="str">
            <v>MATERIAS PRIMAS PLANTA</v>
          </cell>
          <cell r="F251" t="str">
            <v>1 KILO</v>
          </cell>
          <cell r="G251">
            <v>500</v>
          </cell>
          <cell r="H251" t="str">
            <v>02/06/2020</v>
          </cell>
          <cell r="I251">
            <v>1384</v>
          </cell>
          <cell r="J251">
            <v>1384</v>
          </cell>
          <cell r="K251">
            <v>1000</v>
          </cell>
          <cell r="L251">
            <v>1.3839999999999999</v>
          </cell>
          <cell r="M251" t="str">
            <v>Gramos</v>
          </cell>
        </row>
        <row r="252">
          <cell r="A252" t="str">
            <v>1730640</v>
          </cell>
          <cell r="B252" t="str">
            <v>5364</v>
          </cell>
          <cell r="C252" t="str">
            <v xml:space="preserve">ALITAS DE POLLO KILO </v>
          </cell>
          <cell r="D252" t="str">
            <v>1730640</v>
          </cell>
          <cell r="E252" t="str">
            <v>MATERIAS PRIMAS PLANTA</v>
          </cell>
          <cell r="F252" t="str">
            <v>1 KILO</v>
          </cell>
          <cell r="G252">
            <v>500</v>
          </cell>
          <cell r="H252" t="str">
            <v>05/05/2020</v>
          </cell>
          <cell r="I252">
            <v>2080</v>
          </cell>
          <cell r="J252">
            <v>2200</v>
          </cell>
          <cell r="K252">
            <v>1000</v>
          </cell>
          <cell r="L252">
            <v>2.2000000000000002</v>
          </cell>
          <cell r="M252" t="str">
            <v>Gramos</v>
          </cell>
        </row>
        <row r="253">
          <cell r="A253" t="str">
            <v>1730642</v>
          </cell>
          <cell r="B253" t="str">
            <v>11344</v>
          </cell>
          <cell r="C253" t="str">
            <v>PLATANO VERDE (UND)</v>
          </cell>
          <cell r="D253" t="str">
            <v>1730642</v>
          </cell>
          <cell r="E253" t="str">
            <v>MATERIAS PRIMAS PLANTA</v>
          </cell>
          <cell r="F253" t="str">
            <v>1 KILO</v>
          </cell>
          <cell r="G253">
            <v>500</v>
          </cell>
          <cell r="H253" t="str">
            <v>06/06/2020</v>
          </cell>
          <cell r="I253" t="e">
            <v>#N/A</v>
          </cell>
          <cell r="J253">
            <v>195</v>
          </cell>
          <cell r="K253">
            <v>1000</v>
          </cell>
          <cell r="L253">
            <v>0.19500000000000001</v>
          </cell>
          <cell r="M253" t="str">
            <v>Gramos</v>
          </cell>
        </row>
        <row r="254">
          <cell r="A254" t="str">
            <v>1730647</v>
          </cell>
          <cell r="B254" t="str">
            <v>5361</v>
          </cell>
          <cell r="C254" t="str">
            <v>PECHUGA DES FILET LOMITO KILO</v>
          </cell>
          <cell r="D254" t="str">
            <v>1730647</v>
          </cell>
          <cell r="E254" t="str">
            <v>MATERIAS PRIMAS PLANTA</v>
          </cell>
          <cell r="F254" t="str">
            <v>1 KILO</v>
          </cell>
          <cell r="G254">
            <v>500</v>
          </cell>
          <cell r="H254" t="str">
            <v>06/06/2020</v>
          </cell>
          <cell r="I254">
            <v>2620</v>
          </cell>
          <cell r="J254">
            <v>0</v>
          </cell>
          <cell r="K254">
            <v>1000</v>
          </cell>
          <cell r="L254">
            <v>0</v>
          </cell>
          <cell r="M254" t="str">
            <v>Gramos</v>
          </cell>
        </row>
        <row r="255">
          <cell r="A255" t="str">
            <v>1730660</v>
          </cell>
          <cell r="B255" t="str">
            <v>5588</v>
          </cell>
          <cell r="C255" t="str">
            <v>QUESO CREMA PANADERO (CAJA: 5 K)</v>
          </cell>
          <cell r="D255" t="str">
            <v>1730660</v>
          </cell>
          <cell r="E255" t="str">
            <v>MATERIAS PRIMAS PLANTA</v>
          </cell>
          <cell r="F255" t="str">
            <v>1 CAJA</v>
          </cell>
          <cell r="G255">
            <v>500</v>
          </cell>
          <cell r="H255" t="str">
            <v>15/06/2020</v>
          </cell>
          <cell r="I255">
            <v>12950</v>
          </cell>
          <cell r="J255">
            <v>15381</v>
          </cell>
          <cell r="K255">
            <v>5000</v>
          </cell>
          <cell r="L255">
            <v>3.0762</v>
          </cell>
          <cell r="M255" t="str">
            <v>Gramos</v>
          </cell>
        </row>
        <row r="256">
          <cell r="A256" t="str">
            <v>1730663</v>
          </cell>
          <cell r="B256" t="str">
            <v>5281</v>
          </cell>
          <cell r="C256" t="str">
            <v>SALSA AJI AMARILLO DOYPACK  (UND:460g)</v>
          </cell>
          <cell r="D256" t="str">
            <v>1730663</v>
          </cell>
          <cell r="E256" t="str">
            <v>MATERIAS PRIMAS PLANTA</v>
          </cell>
          <cell r="F256" t="str">
            <v>1 UND</v>
          </cell>
          <cell r="G256">
            <v>500</v>
          </cell>
          <cell r="H256" t="str">
            <v>12/06/2020</v>
          </cell>
          <cell r="I256">
            <v>3228.98</v>
          </cell>
          <cell r="J256">
            <v>0</v>
          </cell>
          <cell r="K256">
            <v>460</v>
          </cell>
          <cell r="L256">
            <v>0</v>
          </cell>
          <cell r="M256"/>
        </row>
        <row r="257">
          <cell r="A257" t="str">
            <v>1730670</v>
          </cell>
          <cell r="B257" t="str">
            <v>12491</v>
          </cell>
          <cell r="C257" t="str">
            <v>BOLITA FALAFEL CRUDA (PAQ:100 UND)</v>
          </cell>
          <cell r="D257" t="str">
            <v>1730670</v>
          </cell>
          <cell r="E257" t="str">
            <v>MATERIAS PRIMAS PLANTA</v>
          </cell>
          <cell r="F257" t="str">
            <v>1 PAQUETE</v>
          </cell>
          <cell r="G257">
            <v>500</v>
          </cell>
          <cell r="H257" t="str">
            <v>19/05/2020</v>
          </cell>
          <cell r="I257">
            <v>7000</v>
          </cell>
          <cell r="J257">
            <v>7000</v>
          </cell>
          <cell r="K257">
            <v>100</v>
          </cell>
          <cell r="L257">
            <v>70</v>
          </cell>
          <cell r="M257"/>
        </row>
        <row r="258">
          <cell r="A258" t="str">
            <v>1840640</v>
          </cell>
          <cell r="B258" t="str">
            <v>5678</v>
          </cell>
          <cell r="C258" t="str">
            <v>BOLSAS TRANSP EXTRAGRANDE 37x55 KILO</v>
          </cell>
          <cell r="D258" t="str">
            <v>1840640</v>
          </cell>
          <cell r="E258" t="str">
            <v>EMPAQUES PLANTA</v>
          </cell>
          <cell r="F258" t="str">
            <v>1 KILO</v>
          </cell>
          <cell r="G258">
            <v>500</v>
          </cell>
          <cell r="H258" t="str">
            <v>09/06/2020</v>
          </cell>
          <cell r="I258">
            <v>1500</v>
          </cell>
          <cell r="J258">
            <v>2000</v>
          </cell>
          <cell r="K258">
            <v>150</v>
          </cell>
          <cell r="L258">
            <v>13.333333333333334</v>
          </cell>
          <cell r="M258" t="str">
            <v>Gramos</v>
          </cell>
        </row>
        <row r="259">
          <cell r="A259" t="str">
            <v>1900001</v>
          </cell>
          <cell r="B259" t="str">
            <v>7041</v>
          </cell>
          <cell r="C259" t="str">
            <v>QUINUA BLANCA (SACO:25 Kg)</v>
          </cell>
          <cell r="D259" t="str">
            <v>1900001</v>
          </cell>
          <cell r="E259" t="str">
            <v>MATERIAS PRIMAS PLANTA</v>
          </cell>
          <cell r="F259" t="str">
            <v>1 SACO</v>
          </cell>
          <cell r="G259">
            <v>500</v>
          </cell>
          <cell r="H259" t="str">
            <v>17/02/2020</v>
          </cell>
          <cell r="I259">
            <v>69403</v>
          </cell>
          <cell r="J259">
            <v>137.5</v>
          </cell>
          <cell r="K259">
            <v>25000</v>
          </cell>
          <cell r="L259">
            <v>5.4999999999999997E-3</v>
          </cell>
          <cell r="M259" t="str">
            <v>Gramos</v>
          </cell>
        </row>
        <row r="260">
          <cell r="A260" t="str">
            <v>1950387</v>
          </cell>
          <cell r="B260" t="str">
            <v>5863</v>
          </cell>
          <cell r="C260" t="str">
            <v>CONO P/AGUA (CAJA:25 PAQ)</v>
          </cell>
          <cell r="D260" t="str">
            <v>1950387</v>
          </cell>
          <cell r="E260" t="str">
            <v>EMPAQUES PLANTA</v>
          </cell>
          <cell r="F260" t="str">
            <v>1 CAJA</v>
          </cell>
          <cell r="G260">
            <v>500</v>
          </cell>
          <cell r="H260" t="str">
            <v>10/06/2020</v>
          </cell>
          <cell r="I260">
            <v>28400</v>
          </cell>
          <cell r="J260">
            <v>29687.5</v>
          </cell>
          <cell r="K260"/>
          <cell r="L260" t="e">
            <v>#DIV/0!</v>
          </cell>
          <cell r="M260"/>
        </row>
        <row r="261">
          <cell r="A261" t="str">
            <v>1950409</v>
          </cell>
          <cell r="B261" t="str">
            <v>5779</v>
          </cell>
          <cell r="C261" t="str">
            <v>TAPA P/FONDO CAJA BLANCA (PAQ:100 UND)</v>
          </cell>
          <cell r="D261" t="str">
            <v>1950409</v>
          </cell>
          <cell r="E261" t="str">
            <v>EMPAQUES PLANTA</v>
          </cell>
          <cell r="F261" t="str">
            <v>1 PAQUETE</v>
          </cell>
          <cell r="G261">
            <v>500</v>
          </cell>
          <cell r="H261" t="str">
            <v>29/05/2020</v>
          </cell>
          <cell r="I261">
            <v>5725</v>
          </cell>
          <cell r="J261">
            <v>6900</v>
          </cell>
          <cell r="K261">
            <v>100</v>
          </cell>
          <cell r="L261">
            <v>69</v>
          </cell>
          <cell r="M261"/>
        </row>
        <row r="262">
          <cell r="A262" t="str">
            <v>1950672</v>
          </cell>
          <cell r="B262" t="str">
            <v>5809</v>
          </cell>
          <cell r="C262" t="str">
            <v>CONT.48 ON TRAN.TAPA PLANA (CAJA:200UND)</v>
          </cell>
          <cell r="D262" t="str">
            <v>1950672</v>
          </cell>
          <cell r="E262" t="str">
            <v>EMPAQUES PLANTA</v>
          </cell>
          <cell r="F262" t="str">
            <v>1 CAJA</v>
          </cell>
          <cell r="G262">
            <v>500</v>
          </cell>
          <cell r="H262" t="str">
            <v>16/06/2020</v>
          </cell>
          <cell r="I262">
            <v>44000</v>
          </cell>
          <cell r="J262">
            <v>60104</v>
          </cell>
          <cell r="K262">
            <v>200</v>
          </cell>
          <cell r="L262">
            <v>300.52</v>
          </cell>
          <cell r="M262" t="str">
            <v>Und</v>
          </cell>
        </row>
        <row r="263">
          <cell r="A263" t="str">
            <v>1950682</v>
          </cell>
          <cell r="B263" t="str">
            <v>5815</v>
          </cell>
          <cell r="C263" t="str">
            <v>CONTEN LBH 692 PRALINE (CAJA:200 UND)</v>
          </cell>
          <cell r="D263" t="str">
            <v>1950682</v>
          </cell>
          <cell r="E263" t="str">
            <v>EMPAQUES PLANTA</v>
          </cell>
          <cell r="F263" t="str">
            <v xml:space="preserve">1 CAJA </v>
          </cell>
          <cell r="G263">
            <v>500</v>
          </cell>
          <cell r="H263" t="str">
            <v>12/06/2020</v>
          </cell>
          <cell r="I263">
            <v>45124</v>
          </cell>
          <cell r="J263">
            <v>58524</v>
          </cell>
          <cell r="K263">
            <v>200</v>
          </cell>
          <cell r="L263">
            <v>292.62</v>
          </cell>
          <cell r="M263" t="str">
            <v>Und</v>
          </cell>
        </row>
        <row r="264">
          <cell r="A264" t="str">
            <v>1950692</v>
          </cell>
          <cell r="B264" t="str">
            <v>10370</v>
          </cell>
          <cell r="C264" t="str">
            <v>ORLA CARTON 10" DORADA (UND)</v>
          </cell>
          <cell r="D264" t="str">
            <v>1950692</v>
          </cell>
          <cell r="E264" t="str">
            <v>EMPAQUES PLANTA</v>
          </cell>
          <cell r="F264" t="str">
            <v>1 UND</v>
          </cell>
          <cell r="G264">
            <v>500</v>
          </cell>
          <cell r="H264" t="str">
            <v>12/06/2020</v>
          </cell>
          <cell r="I264">
            <v>121</v>
          </cell>
          <cell r="J264">
            <v>137</v>
          </cell>
          <cell r="K264">
            <v>1</v>
          </cell>
          <cell r="L264">
            <v>137</v>
          </cell>
          <cell r="M264" t="str">
            <v>Und</v>
          </cell>
        </row>
        <row r="265">
          <cell r="A265" t="str">
            <v>1950693</v>
          </cell>
          <cell r="B265" t="str">
            <v>11368</v>
          </cell>
          <cell r="C265" t="str">
            <v>ORLA #9  DORADA (UND)</v>
          </cell>
          <cell r="D265" t="str">
            <v>1950693</v>
          </cell>
          <cell r="E265" t="str">
            <v>EMPAQUES PLANTA</v>
          </cell>
          <cell r="F265" t="str">
            <v>1 UND</v>
          </cell>
          <cell r="G265">
            <v>500</v>
          </cell>
          <cell r="H265" t="str">
            <v>12/06/2020</v>
          </cell>
          <cell r="I265">
            <v>115</v>
          </cell>
          <cell r="J265">
            <v>135</v>
          </cell>
          <cell r="K265">
            <v>1</v>
          </cell>
          <cell r="L265">
            <v>135</v>
          </cell>
          <cell r="M265" t="str">
            <v>Und</v>
          </cell>
        </row>
        <row r="266">
          <cell r="A266" t="str">
            <v>1950699</v>
          </cell>
          <cell r="B266" t="str">
            <v>5734</v>
          </cell>
          <cell r="C266" t="str">
            <v>BASE PARA ROSQUETE (UND)</v>
          </cell>
          <cell r="D266" t="str">
            <v>1950699</v>
          </cell>
          <cell r="E266" t="str">
            <v>EMPAQUES PLANTA</v>
          </cell>
          <cell r="F266" t="str">
            <v>1 UND</v>
          </cell>
          <cell r="G266">
            <v>500</v>
          </cell>
          <cell r="H266" t="str">
            <v>15/06/2020</v>
          </cell>
          <cell r="I266">
            <v>128</v>
          </cell>
          <cell r="J266">
            <v>128</v>
          </cell>
          <cell r="K266">
            <v>1</v>
          </cell>
          <cell r="L266">
            <v>128</v>
          </cell>
          <cell r="M266" t="str">
            <v>Und</v>
          </cell>
        </row>
        <row r="267">
          <cell r="A267" t="str">
            <v>1950702</v>
          </cell>
          <cell r="B267" t="str">
            <v>12144</v>
          </cell>
          <cell r="C267" t="str">
            <v>BOLSA 12x18 TRANSP KILO</v>
          </cell>
          <cell r="D267" t="str">
            <v>1950702</v>
          </cell>
          <cell r="E267" t="str">
            <v>EMPAQUES PLANTA</v>
          </cell>
          <cell r="F267" t="str">
            <v xml:space="preserve">1 KILO </v>
          </cell>
          <cell r="G267">
            <v>500</v>
          </cell>
          <cell r="H267" t="str">
            <v>18/05/2020</v>
          </cell>
          <cell r="I267">
            <v>1500</v>
          </cell>
          <cell r="J267">
            <v>2000</v>
          </cell>
          <cell r="K267">
            <v>125</v>
          </cell>
          <cell r="L267">
            <v>16</v>
          </cell>
          <cell r="M267" t="str">
            <v>Und</v>
          </cell>
        </row>
        <row r="268">
          <cell r="A268" t="str">
            <v>1950703</v>
          </cell>
          <cell r="B268" t="str">
            <v>5750</v>
          </cell>
          <cell r="C268" t="str">
            <v>BOLSA IMP. SPOON CAMI 8*16 KILO</v>
          </cell>
          <cell r="D268" t="str">
            <v>1950703</v>
          </cell>
          <cell r="E268" t="str">
            <v>EMPAQUES PLANTA</v>
          </cell>
          <cell r="F268" t="str">
            <v>1 KILO</v>
          </cell>
          <cell r="G268">
            <v>500</v>
          </cell>
          <cell r="H268" t="str">
            <v>14/02/2020</v>
          </cell>
          <cell r="I268" t="e">
            <v>#N/A</v>
          </cell>
          <cell r="J268">
            <v>0</v>
          </cell>
          <cell r="K268"/>
          <cell r="L268" t="e">
            <v>#DIV/0!</v>
          </cell>
          <cell r="M268" t="str">
            <v>Gramos</v>
          </cell>
        </row>
        <row r="269">
          <cell r="A269" t="str">
            <v>1950704</v>
          </cell>
          <cell r="B269" t="str">
            <v>12088</v>
          </cell>
          <cell r="C269" t="str">
            <v>BOLSA 5x8 TRANSPARENTE KILO</v>
          </cell>
          <cell r="D269" t="str">
            <v>1950704</v>
          </cell>
          <cell r="E269" t="str">
            <v>EMPAQUES PLANTA</v>
          </cell>
          <cell r="F269" t="str">
            <v xml:space="preserve">1 KILO </v>
          </cell>
          <cell r="G269">
            <v>500</v>
          </cell>
          <cell r="H269" t="str">
            <v>05/06/2020</v>
          </cell>
          <cell r="I269">
            <v>1500</v>
          </cell>
          <cell r="J269">
            <v>0</v>
          </cell>
          <cell r="K269">
            <v>500</v>
          </cell>
          <cell r="L269">
            <v>0</v>
          </cell>
          <cell r="M269" t="str">
            <v>Gramos</v>
          </cell>
        </row>
        <row r="270">
          <cell r="A270" t="str">
            <v>1950705</v>
          </cell>
          <cell r="B270" t="str">
            <v>12089</v>
          </cell>
          <cell r="C270" t="str">
            <v>BOLSA 8x12 TRANSPARENTE KILO</v>
          </cell>
          <cell r="D270" t="str">
            <v>1950705</v>
          </cell>
          <cell r="E270" t="str">
            <v>EMPAQUES PLANTA</v>
          </cell>
          <cell r="F270" t="str">
            <v xml:space="preserve">1 KILO  </v>
          </cell>
          <cell r="G270">
            <v>500</v>
          </cell>
          <cell r="H270" t="str">
            <v>09/06/2020</v>
          </cell>
          <cell r="I270">
            <v>1500</v>
          </cell>
          <cell r="J270">
            <v>2000</v>
          </cell>
          <cell r="K270">
            <v>200</v>
          </cell>
          <cell r="L270">
            <v>10</v>
          </cell>
          <cell r="M270" t="str">
            <v>Und</v>
          </cell>
        </row>
        <row r="271">
          <cell r="A271" t="str">
            <v>1950708</v>
          </cell>
          <cell r="B271" t="str">
            <v>5684</v>
          </cell>
          <cell r="C271" t="str">
            <v>BOLSA 17x25 TRANSP KILO</v>
          </cell>
          <cell r="D271" t="str">
            <v>1950708</v>
          </cell>
          <cell r="E271" t="str">
            <v>EMPAQUES PLANTA</v>
          </cell>
          <cell r="F271" t="str">
            <v>1 KILO</v>
          </cell>
          <cell r="G271">
            <v>500</v>
          </cell>
          <cell r="H271" t="str">
            <v>09/06/2020</v>
          </cell>
          <cell r="I271">
            <v>1500</v>
          </cell>
          <cell r="J271">
            <v>2000</v>
          </cell>
          <cell r="K271">
            <v>42</v>
          </cell>
          <cell r="L271">
            <v>47.61904761904762</v>
          </cell>
          <cell r="M271" t="str">
            <v>Und</v>
          </cell>
        </row>
        <row r="272">
          <cell r="A272" t="str">
            <v>1950715</v>
          </cell>
          <cell r="B272" t="str">
            <v>5807</v>
          </cell>
          <cell r="C272" t="str">
            <v>CAPSULA # 2 BLANCA (PAQ:500 UND)</v>
          </cell>
          <cell r="D272" t="str">
            <v>1950715</v>
          </cell>
          <cell r="E272" t="str">
            <v>EMPAQUES PLANTA</v>
          </cell>
          <cell r="F272" t="str">
            <v>1 PAQUETE</v>
          </cell>
          <cell r="G272">
            <v>500</v>
          </cell>
          <cell r="H272" t="str">
            <v>31/03/2020</v>
          </cell>
          <cell r="I272" t="e">
            <v>#N/A</v>
          </cell>
          <cell r="J272">
            <v>0</v>
          </cell>
          <cell r="K272">
            <v>500</v>
          </cell>
          <cell r="L272">
            <v>0</v>
          </cell>
          <cell r="M272"/>
        </row>
        <row r="273">
          <cell r="A273" t="str">
            <v>1950716</v>
          </cell>
          <cell r="B273" t="str">
            <v>5823</v>
          </cell>
          <cell r="C273" t="str">
            <v>BANDEJA  94121 24 OZ (CAJA:200 UND)</v>
          </cell>
          <cell r="D273" t="str">
            <v>1950716</v>
          </cell>
          <cell r="E273" t="str">
            <v>EMPAQUES PLANTA</v>
          </cell>
          <cell r="F273" t="str">
            <v>1 CAJA</v>
          </cell>
          <cell r="G273">
            <v>500</v>
          </cell>
          <cell r="H273" t="str">
            <v>19/05/2020</v>
          </cell>
          <cell r="I273">
            <v>23908</v>
          </cell>
          <cell r="J273">
            <v>35390</v>
          </cell>
          <cell r="K273">
            <v>200</v>
          </cell>
          <cell r="L273">
            <v>176.95</v>
          </cell>
          <cell r="M273" t="str">
            <v>Und</v>
          </cell>
        </row>
        <row r="274">
          <cell r="A274" t="str">
            <v>1950725</v>
          </cell>
          <cell r="B274" t="str">
            <v>5792</v>
          </cell>
          <cell r="C274" t="str">
            <v>CAJA TROQUELADA # 25 (UND)</v>
          </cell>
          <cell r="D274" t="str">
            <v>1950725</v>
          </cell>
          <cell r="E274" t="str">
            <v>EMPAQUES PLANTA</v>
          </cell>
          <cell r="F274" t="str">
            <v>1 UND</v>
          </cell>
          <cell r="G274">
            <v>500</v>
          </cell>
          <cell r="H274" t="str">
            <v>27/03/2020</v>
          </cell>
          <cell r="I274">
            <v>1950</v>
          </cell>
          <cell r="J274">
            <v>3.14</v>
          </cell>
          <cell r="K274">
            <v>1</v>
          </cell>
          <cell r="L274">
            <v>3.14</v>
          </cell>
          <cell r="M274" t="str">
            <v>Und</v>
          </cell>
        </row>
        <row r="275">
          <cell r="A275" t="str">
            <v>1950729</v>
          </cell>
          <cell r="B275" t="str">
            <v>5789</v>
          </cell>
          <cell r="C275" t="str">
            <v>CAJA BLANCA MEDIANA (PAQ:100 UND)</v>
          </cell>
          <cell r="D275" t="str">
            <v>1950729</v>
          </cell>
          <cell r="E275" t="str">
            <v>EMPAQUES PLANTA</v>
          </cell>
          <cell r="F275" t="str">
            <v>1 PAQUETE</v>
          </cell>
          <cell r="G275">
            <v>500</v>
          </cell>
          <cell r="H275" t="str">
            <v>27/03/2020</v>
          </cell>
          <cell r="I275">
            <v>4300</v>
          </cell>
          <cell r="J275">
            <v>4975</v>
          </cell>
          <cell r="K275">
            <v>100</v>
          </cell>
          <cell r="L275">
            <v>49.75</v>
          </cell>
          <cell r="M275" t="str">
            <v>Und</v>
          </cell>
        </row>
        <row r="276">
          <cell r="A276" t="str">
            <v>1950730</v>
          </cell>
          <cell r="B276" t="str">
            <v>5788</v>
          </cell>
          <cell r="C276" t="str">
            <v>CAJA BLANCA PEQUEÑA (PAQ:100 UND)</v>
          </cell>
          <cell r="D276" t="str">
            <v>1950730</v>
          </cell>
          <cell r="E276" t="str">
            <v>EMPAQUES PLANTA</v>
          </cell>
          <cell r="F276" t="str">
            <v>1 PAQUETE</v>
          </cell>
          <cell r="G276">
            <v>500</v>
          </cell>
          <cell r="H276" t="str">
            <v>12/06/2020</v>
          </cell>
          <cell r="I276">
            <v>2625</v>
          </cell>
          <cell r="J276">
            <v>3050</v>
          </cell>
          <cell r="K276">
            <v>100</v>
          </cell>
          <cell r="L276">
            <v>30.5</v>
          </cell>
          <cell r="M276" t="str">
            <v>Und</v>
          </cell>
        </row>
        <row r="277">
          <cell r="A277" t="str">
            <v>1950731</v>
          </cell>
          <cell r="B277" t="str">
            <v>5805</v>
          </cell>
          <cell r="C277" t="str">
            <v>CAPSULA # 3 LOGO (PAQ:1000 UND)</v>
          </cell>
          <cell r="D277" t="str">
            <v>1950731</v>
          </cell>
          <cell r="E277" t="str">
            <v>EMPAQUES PLANTA</v>
          </cell>
          <cell r="F277" t="str">
            <v>1 PAQUETE</v>
          </cell>
          <cell r="G277">
            <v>500</v>
          </cell>
          <cell r="H277" t="str">
            <v>15/06/2020</v>
          </cell>
          <cell r="I277">
            <v>7.9</v>
          </cell>
          <cell r="J277">
            <v>9850</v>
          </cell>
          <cell r="K277">
            <v>1000</v>
          </cell>
          <cell r="L277">
            <v>9.85</v>
          </cell>
          <cell r="M277"/>
        </row>
        <row r="278">
          <cell r="A278" t="str">
            <v>1950732</v>
          </cell>
          <cell r="B278" t="str">
            <v>13561</v>
          </cell>
          <cell r="C278" t="str">
            <v>CAPSULA # 3 BLANCA (UND)</v>
          </cell>
          <cell r="D278" t="str">
            <v>1950732</v>
          </cell>
          <cell r="E278" t="str">
            <v>EMPAQUES PLANTA</v>
          </cell>
          <cell r="F278" t="str">
            <v>1 UND</v>
          </cell>
          <cell r="G278">
            <v>500</v>
          </cell>
          <cell r="H278" t="str">
            <v>16/12/2019</v>
          </cell>
          <cell r="I278" t="e">
            <v>#N/A</v>
          </cell>
          <cell r="J278">
            <v>0</v>
          </cell>
          <cell r="K278">
            <v>1</v>
          </cell>
          <cell r="L278">
            <v>0</v>
          </cell>
          <cell r="M278"/>
        </row>
        <row r="279">
          <cell r="A279" t="str">
            <v>1950733</v>
          </cell>
          <cell r="B279" t="str">
            <v>12624</v>
          </cell>
          <cell r="C279" t="str">
            <v>CAPSULA # 10 BLANCA (PAQ:500 UND)</v>
          </cell>
          <cell r="D279" t="str">
            <v>1950733</v>
          </cell>
          <cell r="E279" t="str">
            <v>EMPAQUES PLANTA</v>
          </cell>
          <cell r="F279" t="str">
            <v>1 PAQUETE</v>
          </cell>
          <cell r="G279">
            <v>500</v>
          </cell>
          <cell r="H279" t="str">
            <v>18/04/2020</v>
          </cell>
          <cell r="I279">
            <v>2976.7</v>
          </cell>
          <cell r="J279">
            <v>3484.88</v>
          </cell>
          <cell r="K279">
            <v>500</v>
          </cell>
          <cell r="L279">
            <v>6.96976</v>
          </cell>
          <cell r="M279" t="str">
            <v>Und</v>
          </cell>
        </row>
        <row r="280">
          <cell r="A280" t="str">
            <v>1950735</v>
          </cell>
          <cell r="B280" t="str">
            <v>5806</v>
          </cell>
          <cell r="C280" t="str">
            <v>CAPSULA # 5 LOGO (PAQ:1000 UND)</v>
          </cell>
          <cell r="D280" t="str">
            <v>1950735</v>
          </cell>
          <cell r="E280" t="str">
            <v>EMPAQUES PLANTA</v>
          </cell>
          <cell r="F280" t="str">
            <v>1 PAQUETE</v>
          </cell>
          <cell r="G280">
            <v>500</v>
          </cell>
          <cell r="H280" t="str">
            <v>12/06/2020</v>
          </cell>
          <cell r="I280">
            <v>9911</v>
          </cell>
          <cell r="J280">
            <v>11555</v>
          </cell>
          <cell r="K280">
            <v>1000</v>
          </cell>
          <cell r="L280">
            <v>11.555</v>
          </cell>
          <cell r="M280" t="str">
            <v>Und</v>
          </cell>
        </row>
        <row r="281">
          <cell r="A281" t="str">
            <v>1959752</v>
          </cell>
          <cell r="B281" t="str">
            <v>5787</v>
          </cell>
          <cell r="C281" t="str">
            <v>CAJA BLANCA MINI (PAQ:100 UND)</v>
          </cell>
          <cell r="D281" t="str">
            <v>1959752</v>
          </cell>
          <cell r="E281" t="str">
            <v>EMPAQUES PLANTA</v>
          </cell>
          <cell r="F281" t="str">
            <v>1 PAQUETE</v>
          </cell>
          <cell r="G281">
            <v>500</v>
          </cell>
          <cell r="H281" t="str">
            <v>15/06/2020</v>
          </cell>
          <cell r="I281">
            <v>19.61</v>
          </cell>
          <cell r="J281">
            <v>2575</v>
          </cell>
          <cell r="K281">
            <v>100</v>
          </cell>
          <cell r="L281">
            <v>25.75</v>
          </cell>
          <cell r="M281" t="str">
            <v>Und</v>
          </cell>
        </row>
        <row r="282">
          <cell r="A282" t="str">
            <v>1950756</v>
          </cell>
          <cell r="B282" t="str">
            <v>5722</v>
          </cell>
          <cell r="C282" t="str">
            <v>BANDEJA ALUMINIO# 4040 6P (CAJA:250 UND)</v>
          </cell>
          <cell r="D282" t="str">
            <v>1950756</v>
          </cell>
          <cell r="E282" t="str">
            <v>EMPAQUES PLANTA</v>
          </cell>
          <cell r="F282" t="str">
            <v>1 CAJA</v>
          </cell>
          <cell r="G282">
            <v>500</v>
          </cell>
          <cell r="H282" t="str">
            <v>15/06/2020</v>
          </cell>
          <cell r="I282">
            <v>53318</v>
          </cell>
          <cell r="J282">
            <v>314.67599999999999</v>
          </cell>
          <cell r="K282">
            <v>1</v>
          </cell>
          <cell r="L282">
            <v>314.67599999999999</v>
          </cell>
          <cell r="M282" t="str">
            <v>Und</v>
          </cell>
        </row>
        <row r="283">
          <cell r="A283" t="str">
            <v>1950767</v>
          </cell>
          <cell r="B283" t="str">
            <v>5842</v>
          </cell>
          <cell r="C283" t="str">
            <v>PAPEL ALUMINIO 12 * 1000 (CAJA)</v>
          </cell>
          <cell r="D283" t="str">
            <v>1950767</v>
          </cell>
          <cell r="E283" t="str">
            <v>EMPAQUES PLANTA</v>
          </cell>
          <cell r="F283" t="str">
            <v>1 CAJA</v>
          </cell>
          <cell r="G283">
            <v>500</v>
          </cell>
          <cell r="H283" t="str">
            <v>16/01/2020</v>
          </cell>
          <cell r="I283">
            <v>16934</v>
          </cell>
          <cell r="J283">
            <v>0</v>
          </cell>
          <cell r="K283">
            <v>10000</v>
          </cell>
          <cell r="L283">
            <v>0</v>
          </cell>
          <cell r="M283" t="str">
            <v>Cm</v>
          </cell>
        </row>
        <row r="284">
          <cell r="A284" t="str">
            <v>1950769</v>
          </cell>
          <cell r="B284" t="str">
            <v>5835</v>
          </cell>
          <cell r="C284" t="str">
            <v>ORLA N°3 DORADA (UND)</v>
          </cell>
          <cell r="D284" t="str">
            <v>1950769</v>
          </cell>
          <cell r="E284" t="str">
            <v>EMPAQUES PLANTA</v>
          </cell>
          <cell r="F284" t="str">
            <v>1 UND</v>
          </cell>
          <cell r="G284">
            <v>500</v>
          </cell>
          <cell r="H284" t="str">
            <v>29/04/2020</v>
          </cell>
          <cell r="I284">
            <v>29</v>
          </cell>
          <cell r="J284">
            <v>34</v>
          </cell>
          <cell r="K284">
            <v>1</v>
          </cell>
          <cell r="L284">
            <v>34</v>
          </cell>
          <cell r="M284" t="str">
            <v>Und</v>
          </cell>
        </row>
        <row r="285">
          <cell r="A285" t="str">
            <v>1950772</v>
          </cell>
          <cell r="B285" t="str">
            <v>5843</v>
          </cell>
          <cell r="C285" t="str">
            <v>PAPEL ENCERADO 10X10 (CAJA)</v>
          </cell>
          <cell r="D285" t="str">
            <v>1950771</v>
          </cell>
          <cell r="E285" t="str">
            <v>EMPAQUES PLANTA</v>
          </cell>
          <cell r="F285" t="str">
            <v>1 CAJA</v>
          </cell>
          <cell r="G285">
            <v>500</v>
          </cell>
          <cell r="H285" t="str">
            <v>17/03/2020</v>
          </cell>
          <cell r="I285">
            <v>3021</v>
          </cell>
          <cell r="J285">
            <v>5321</v>
          </cell>
          <cell r="K285">
            <v>500</v>
          </cell>
          <cell r="L285">
            <v>10.641999999999999</v>
          </cell>
          <cell r="M285" t="str">
            <v>Und</v>
          </cell>
        </row>
        <row r="286">
          <cell r="A286" t="str">
            <v>1950786</v>
          </cell>
          <cell r="B286" t="str">
            <v>5752</v>
          </cell>
          <cell r="C286" t="str">
            <v>BOLSA IMP. SPOON CAMI 12*25 KILO</v>
          </cell>
          <cell r="D286" t="str">
            <v>1950786</v>
          </cell>
          <cell r="E286" t="str">
            <v>EMPAQUES PLANTA</v>
          </cell>
          <cell r="F286" t="str">
            <v>1 KILO</v>
          </cell>
          <cell r="G286">
            <v>500</v>
          </cell>
          <cell r="H286" t="str">
            <v>05/06/2020</v>
          </cell>
          <cell r="I286">
            <v>1850</v>
          </cell>
          <cell r="J286">
            <v>2350</v>
          </cell>
          <cell r="K286"/>
          <cell r="L286" t="e">
            <v>#DIV/0!</v>
          </cell>
          <cell r="M286" t="str">
            <v>Gramos</v>
          </cell>
        </row>
        <row r="287">
          <cell r="A287" t="str">
            <v>1950797</v>
          </cell>
          <cell r="B287" t="str">
            <v>1656</v>
          </cell>
          <cell r="C287" t="str">
            <v>VASO PLAST. TRASL 16OZ (PAQ:50 UND)</v>
          </cell>
          <cell r="D287" t="str">
            <v>1950797</v>
          </cell>
          <cell r="E287" t="str">
            <v>EMPAQUES PLANTA</v>
          </cell>
          <cell r="F287" t="str">
            <v>1 PAQUETE</v>
          </cell>
          <cell r="G287">
            <v>500</v>
          </cell>
          <cell r="H287" t="str">
            <v>29/05/2020</v>
          </cell>
          <cell r="I287">
            <v>4024</v>
          </cell>
          <cell r="J287">
            <v>0</v>
          </cell>
          <cell r="K287">
            <v>50</v>
          </cell>
          <cell r="L287">
            <v>0</v>
          </cell>
          <cell r="M287"/>
        </row>
        <row r="288">
          <cell r="A288" t="str">
            <v>1950808</v>
          </cell>
          <cell r="B288" t="str">
            <v>11369</v>
          </cell>
          <cell r="C288" t="str">
            <v>ORLA CARTON  8" DORADA (UND)</v>
          </cell>
          <cell r="D288" t="str">
            <v>1950808</v>
          </cell>
          <cell r="E288" t="str">
            <v>EMPAQUES PLANTA</v>
          </cell>
          <cell r="F288" t="str">
            <v>1 UND</v>
          </cell>
          <cell r="G288">
            <v>500</v>
          </cell>
          <cell r="H288" t="str">
            <v>12/06/2020</v>
          </cell>
          <cell r="I288">
            <v>85</v>
          </cell>
          <cell r="J288">
            <v>95</v>
          </cell>
          <cell r="K288">
            <v>1</v>
          </cell>
          <cell r="L288">
            <v>95</v>
          </cell>
          <cell r="M288" t="str">
            <v>Und</v>
          </cell>
        </row>
        <row r="289">
          <cell r="A289" t="str">
            <v>1950811</v>
          </cell>
          <cell r="B289" t="str">
            <v>5737</v>
          </cell>
          <cell r="C289" t="str">
            <v>BASE CARTON 15 PORCIONES (UND)</v>
          </cell>
          <cell r="D289" t="str">
            <v>1950811</v>
          </cell>
          <cell r="E289" t="str">
            <v>EMPAQUES PLANTA</v>
          </cell>
          <cell r="F289" t="str">
            <v>1 UND</v>
          </cell>
          <cell r="G289">
            <v>500</v>
          </cell>
          <cell r="H289" t="str">
            <v>12/06/2020</v>
          </cell>
          <cell r="I289">
            <v>180</v>
          </cell>
          <cell r="J289">
            <v>200</v>
          </cell>
          <cell r="K289">
            <v>1</v>
          </cell>
          <cell r="L289">
            <v>200</v>
          </cell>
          <cell r="M289" t="str">
            <v>Und</v>
          </cell>
        </row>
        <row r="290">
          <cell r="A290" t="str">
            <v>1950818</v>
          </cell>
          <cell r="B290" t="str">
            <v>5861</v>
          </cell>
          <cell r="C290" t="str">
            <v>QUEQUERA RECT. T41 (CAJA:50 UND)</v>
          </cell>
          <cell r="D290" t="str">
            <v>1950818</v>
          </cell>
          <cell r="E290" t="str">
            <v>EMPAQUES PLANTA</v>
          </cell>
          <cell r="F290" t="str">
            <v>1 CAJA</v>
          </cell>
          <cell r="G290">
            <v>500</v>
          </cell>
          <cell r="H290" t="str">
            <v>11/06/2020</v>
          </cell>
          <cell r="I290">
            <v>42025</v>
          </cell>
          <cell r="J290">
            <v>56388</v>
          </cell>
          <cell r="K290">
            <v>50</v>
          </cell>
          <cell r="L290">
            <v>1127.76</v>
          </cell>
          <cell r="M290" t="str">
            <v>Und</v>
          </cell>
        </row>
        <row r="291">
          <cell r="A291" t="str">
            <v>1950829</v>
          </cell>
          <cell r="B291" t="str">
            <v>5739</v>
          </cell>
          <cell r="C291" t="str">
            <v>BASE CARTON 30 PORCIONES UND</v>
          </cell>
          <cell r="D291" t="str">
            <v>1950829</v>
          </cell>
          <cell r="E291" t="str">
            <v>EMPAQUES PLANTA</v>
          </cell>
          <cell r="F291" t="str">
            <v>1 UND</v>
          </cell>
          <cell r="G291">
            <v>500</v>
          </cell>
          <cell r="H291" t="str">
            <v>20/03/2020</v>
          </cell>
          <cell r="I291">
            <v>238</v>
          </cell>
          <cell r="J291">
            <v>287</v>
          </cell>
          <cell r="K291">
            <v>1</v>
          </cell>
          <cell r="L291">
            <v>287</v>
          </cell>
          <cell r="M291" t="str">
            <v>Und</v>
          </cell>
        </row>
        <row r="292">
          <cell r="A292" t="str">
            <v>1950837</v>
          </cell>
          <cell r="B292" t="str">
            <v>5778</v>
          </cell>
          <cell r="C292" t="str">
            <v>FONDO P/CAJA BLANCA (PAQ:100 UND)</v>
          </cell>
          <cell r="D292" t="str">
            <v>1950837</v>
          </cell>
          <cell r="E292" t="str">
            <v>EMPAQUES PLANTA</v>
          </cell>
          <cell r="F292" t="str">
            <v>1 PAQUETE</v>
          </cell>
          <cell r="G292">
            <v>500</v>
          </cell>
          <cell r="H292" t="str">
            <v>05/06/2020</v>
          </cell>
          <cell r="I292">
            <v>5725</v>
          </cell>
          <cell r="J292">
            <v>6900</v>
          </cell>
          <cell r="K292">
            <v>100</v>
          </cell>
          <cell r="L292">
            <v>69</v>
          </cell>
          <cell r="M292"/>
        </row>
        <row r="293">
          <cell r="A293" t="str">
            <v>1950853</v>
          </cell>
          <cell r="B293" t="str">
            <v>5811</v>
          </cell>
          <cell r="C293" t="str">
            <v>VASO 9oz SUNDA TS9 PAQ:50(CAJA:1000 UND)</v>
          </cell>
          <cell r="D293" t="str">
            <v>1950853</v>
          </cell>
          <cell r="E293" t="str">
            <v>EMPAQUES PLANTA</v>
          </cell>
          <cell r="F293" t="str">
            <v>1 CAJA</v>
          </cell>
          <cell r="G293">
            <v>500</v>
          </cell>
          <cell r="H293" t="str">
            <v>18/05/2020</v>
          </cell>
          <cell r="I293">
            <v>45650</v>
          </cell>
          <cell r="J293">
            <v>45650</v>
          </cell>
          <cell r="K293">
            <v>1000</v>
          </cell>
          <cell r="L293">
            <v>45.65</v>
          </cell>
          <cell r="M293"/>
        </row>
        <row r="294">
          <cell r="A294" t="str">
            <v>1950854</v>
          </cell>
          <cell r="B294" t="str">
            <v>5812</v>
          </cell>
          <cell r="C294" t="str">
            <v>TAPA VASO 9oz P/SUN PAQ:50 (CAJA:2000UN)</v>
          </cell>
          <cell r="D294" t="str">
            <v>1950854</v>
          </cell>
          <cell r="E294" t="str">
            <v>EMPAQUES PLANTA</v>
          </cell>
          <cell r="F294" t="str">
            <v>1 CAJA</v>
          </cell>
          <cell r="G294">
            <v>500</v>
          </cell>
          <cell r="H294" t="str">
            <v>18/05/2020</v>
          </cell>
          <cell r="I294">
            <v>39500</v>
          </cell>
          <cell r="J294">
            <v>43450</v>
          </cell>
          <cell r="K294">
            <v>2000</v>
          </cell>
          <cell r="L294">
            <v>21.725000000000001</v>
          </cell>
          <cell r="M294"/>
        </row>
        <row r="295">
          <cell r="A295" t="str">
            <v>1950865</v>
          </cell>
          <cell r="B295" t="str">
            <v>5859</v>
          </cell>
          <cell r="C295" t="str">
            <v>QUEQUERA 8 ALTA (CAJA:70 UND)</v>
          </cell>
          <cell r="D295" t="str">
            <v>1950865</v>
          </cell>
          <cell r="E295" t="str">
            <v>EMPAQUES PLANTA</v>
          </cell>
          <cell r="F295" t="str">
            <v>1 CAJA</v>
          </cell>
          <cell r="G295">
            <v>500</v>
          </cell>
          <cell r="H295" t="str">
            <v>24/03/2020</v>
          </cell>
          <cell r="I295" t="e">
            <v>#N/A</v>
          </cell>
          <cell r="J295">
            <v>0</v>
          </cell>
          <cell r="K295">
            <v>70</v>
          </cell>
          <cell r="L295">
            <v>0</v>
          </cell>
          <cell r="M295" t="str">
            <v>Und</v>
          </cell>
        </row>
        <row r="296">
          <cell r="A296" t="str">
            <v>1950873</v>
          </cell>
          <cell r="B296" t="str">
            <v>11505</v>
          </cell>
          <cell r="C296" t="str">
            <v>BOLSA CELOFAN 30X45 (KILO)</v>
          </cell>
          <cell r="D296" t="str">
            <v>1950873</v>
          </cell>
          <cell r="E296" t="str">
            <v>EMPAQUES PLANTA</v>
          </cell>
          <cell r="F296" t="str">
            <v>1 KILO</v>
          </cell>
          <cell r="G296">
            <v>500</v>
          </cell>
          <cell r="H296" t="str">
            <v>10/06/2020</v>
          </cell>
          <cell r="I296">
            <v>4874.5600000000004</v>
          </cell>
          <cell r="J296">
            <v>4874.5600000000004</v>
          </cell>
          <cell r="K296">
            <v>100</v>
          </cell>
          <cell r="L296">
            <v>48.745600000000003</v>
          </cell>
          <cell r="M296" t="str">
            <v>Gramos</v>
          </cell>
        </row>
        <row r="297">
          <cell r="A297" t="str">
            <v>1950880</v>
          </cell>
          <cell r="B297" t="str">
            <v>12754</v>
          </cell>
          <cell r="C297" t="str">
            <v>TAPA BANDEJA PLAST 3 DIV (CAJA:250 UND)</v>
          </cell>
          <cell r="D297" t="str">
            <v>1950880</v>
          </cell>
          <cell r="E297" t="str">
            <v>EMPAQUES PLANTA</v>
          </cell>
          <cell r="F297" t="str">
            <v xml:space="preserve">1 CAJA </v>
          </cell>
          <cell r="G297">
            <v>500</v>
          </cell>
          <cell r="H297" t="str">
            <v>04/06/2020</v>
          </cell>
          <cell r="I297">
            <v>20840</v>
          </cell>
          <cell r="J297">
            <v>58602</v>
          </cell>
          <cell r="K297">
            <v>250</v>
          </cell>
          <cell r="L297">
            <v>234.40799999999999</v>
          </cell>
          <cell r="M297"/>
        </row>
        <row r="298">
          <cell r="A298" t="str">
            <v>1950887</v>
          </cell>
          <cell r="B298" t="str">
            <v>5848</v>
          </cell>
          <cell r="C298" t="str">
            <v>PLATO 9 COMPOSTABLE CAJA:500 (UND)</v>
          </cell>
          <cell r="D298" t="str">
            <v>1950887</v>
          </cell>
          <cell r="E298" t="str">
            <v>EMPAQUES PLANTA</v>
          </cell>
          <cell r="F298" t="str">
            <v>1 UND</v>
          </cell>
          <cell r="G298">
            <v>500</v>
          </cell>
          <cell r="H298" t="str">
            <v>10/03/2020</v>
          </cell>
          <cell r="I298">
            <v>61.02</v>
          </cell>
          <cell r="J298">
            <v>0</v>
          </cell>
          <cell r="K298">
            <v>1</v>
          </cell>
          <cell r="L298">
            <v>0</v>
          </cell>
          <cell r="M298"/>
        </row>
        <row r="299">
          <cell r="A299" t="str">
            <v>1950888</v>
          </cell>
          <cell r="B299" t="str">
            <v>5849</v>
          </cell>
          <cell r="C299" t="str">
            <v>PLATO  6 COMPOSTABLE (CAJA:1000 UND)</v>
          </cell>
          <cell r="D299" t="str">
            <v>1950888</v>
          </cell>
          <cell r="E299" t="str">
            <v>EMPAQUES PLANTA</v>
          </cell>
          <cell r="F299" t="str">
            <v>1 UND</v>
          </cell>
          <cell r="G299">
            <v>500</v>
          </cell>
          <cell r="H299" t="str">
            <v>25/02/2020</v>
          </cell>
          <cell r="I299">
            <v>29.945</v>
          </cell>
          <cell r="J299">
            <v>0</v>
          </cell>
          <cell r="K299">
            <v>1</v>
          </cell>
          <cell r="L299">
            <v>0</v>
          </cell>
          <cell r="M299"/>
        </row>
        <row r="300">
          <cell r="A300" t="str">
            <v>1950895</v>
          </cell>
          <cell r="B300" t="str">
            <v>5755</v>
          </cell>
          <cell r="C300" t="str">
            <v>BOLSA CELOFAN 6 X 9 (KILO)</v>
          </cell>
          <cell r="D300" t="str">
            <v>1950895</v>
          </cell>
          <cell r="E300" t="str">
            <v>EMPAQUES PLANTA</v>
          </cell>
          <cell r="F300" t="str">
            <v>1 KILO</v>
          </cell>
          <cell r="G300">
            <v>500</v>
          </cell>
          <cell r="H300" t="str">
            <v>27/02/2020</v>
          </cell>
          <cell r="I300">
            <v>4874.5600000000004</v>
          </cell>
          <cell r="J300">
            <v>4874.5600000000004</v>
          </cell>
          <cell r="K300">
            <v>334</v>
          </cell>
          <cell r="L300">
            <v>14.594491017964073</v>
          </cell>
          <cell r="M300" t="str">
            <v>Unidades</v>
          </cell>
        </row>
        <row r="301">
          <cell r="A301" t="str">
            <v>1950896</v>
          </cell>
          <cell r="B301" t="str">
            <v>5721</v>
          </cell>
          <cell r="C301" t="str">
            <v>BANDEJA 17-1 NEGRA (PAQ:500 UND)</v>
          </cell>
          <cell r="D301" t="str">
            <v>1950896</v>
          </cell>
          <cell r="E301" t="str">
            <v>EMPAQUES PLANTA</v>
          </cell>
          <cell r="F301" t="str">
            <v>1 PAQUETE</v>
          </cell>
          <cell r="G301">
            <v>500</v>
          </cell>
          <cell r="H301" t="str">
            <v>23/03/2020</v>
          </cell>
          <cell r="I301">
            <v>15040</v>
          </cell>
          <cell r="J301">
            <v>0</v>
          </cell>
          <cell r="K301">
            <v>500</v>
          </cell>
          <cell r="L301">
            <v>0</v>
          </cell>
          <cell r="M301" t="str">
            <v>Und</v>
          </cell>
        </row>
        <row r="302">
          <cell r="A302" t="str">
            <v>1950904</v>
          </cell>
          <cell r="B302" t="str">
            <v>5685</v>
          </cell>
          <cell r="C302" t="str">
            <v>BOLSA TRANSPARENTE  6 X 10 KILO</v>
          </cell>
          <cell r="D302" t="str">
            <v>1950904</v>
          </cell>
          <cell r="E302" t="str">
            <v>EMPAQUES PLANTA</v>
          </cell>
          <cell r="F302" t="str">
            <v>1 KILO</v>
          </cell>
          <cell r="G302">
            <v>500</v>
          </cell>
          <cell r="H302" t="str">
            <v>23/03/2020</v>
          </cell>
          <cell r="I302">
            <v>1400</v>
          </cell>
          <cell r="J302">
            <v>2000</v>
          </cell>
          <cell r="K302">
            <v>334</v>
          </cell>
          <cell r="L302">
            <v>5.9880239520958085</v>
          </cell>
          <cell r="M302" t="str">
            <v>Und</v>
          </cell>
        </row>
        <row r="303">
          <cell r="A303" t="str">
            <v>1950909</v>
          </cell>
          <cell r="B303" t="str">
            <v>14061</v>
          </cell>
          <cell r="C303" t="str">
            <v>CONT.24 ONZ.TAPA PLANA (CAJA:200 UND)</v>
          </cell>
          <cell r="D303" t="str">
            <v>1950909</v>
          </cell>
          <cell r="E303" t="str">
            <v>EMPAQUES PLANTA</v>
          </cell>
          <cell r="F303" t="str">
            <v>1 CAJA</v>
          </cell>
          <cell r="G303">
            <v>500</v>
          </cell>
          <cell r="H303" t="str">
            <v>02/06/2020</v>
          </cell>
          <cell r="I303">
            <v>40470</v>
          </cell>
          <cell r="J303">
            <v>44559</v>
          </cell>
          <cell r="K303">
            <v>200</v>
          </cell>
          <cell r="L303">
            <v>222.79499999999999</v>
          </cell>
          <cell r="M303" t="str">
            <v>Und</v>
          </cell>
        </row>
        <row r="304">
          <cell r="A304" t="str">
            <v>1950914</v>
          </cell>
          <cell r="B304" t="str">
            <v>5733</v>
          </cell>
          <cell r="C304" t="str">
            <v>PORTA VASO 4 CAVIDADES (UND)</v>
          </cell>
          <cell r="D304" t="str">
            <v>1950914</v>
          </cell>
          <cell r="E304" t="str">
            <v>EMPAQUES PLANTA</v>
          </cell>
          <cell r="F304" t="str">
            <v>1 UND</v>
          </cell>
          <cell r="G304">
            <v>500</v>
          </cell>
          <cell r="H304" t="str">
            <v>29/05/2020</v>
          </cell>
          <cell r="I304">
            <v>76.406666666666695</v>
          </cell>
          <cell r="J304">
            <v>131.893333333333</v>
          </cell>
          <cell r="K304">
            <v>1</v>
          </cell>
          <cell r="L304">
            <v>131.893333333333</v>
          </cell>
          <cell r="M304"/>
        </row>
        <row r="305">
          <cell r="A305" t="str">
            <v>50100052</v>
          </cell>
          <cell r="B305" t="str">
            <v>12107</v>
          </cell>
          <cell r="C305" t="str">
            <v>TAPA CONTENEDOR SUFLE 1OZ (PAQ: 100 UND)</v>
          </cell>
          <cell r="D305" t="str">
            <v>1950921</v>
          </cell>
          <cell r="E305" t="str">
            <v>EMPAQUES PLANTA</v>
          </cell>
          <cell r="F305" t="str">
            <v>1 PAQUETE</v>
          </cell>
          <cell r="G305">
            <v>500</v>
          </cell>
          <cell r="H305" t="str">
            <v>05/06/2020</v>
          </cell>
          <cell r="I305">
            <v>591.32000000000005</v>
          </cell>
          <cell r="J305">
            <v>306.60000000000002</v>
          </cell>
          <cell r="K305">
            <v>100</v>
          </cell>
          <cell r="L305">
            <v>3.0660000000000003</v>
          </cell>
          <cell r="M305"/>
        </row>
        <row r="306">
          <cell r="A306" t="str">
            <v>1950928</v>
          </cell>
          <cell r="B306" t="str">
            <v>5686</v>
          </cell>
          <cell r="C306" t="str">
            <v>BOLSA TRANSPARENTE 56X96X1.80 KILO</v>
          </cell>
          <cell r="D306" t="str">
            <v>1950928</v>
          </cell>
          <cell r="E306" t="str">
            <v>EMPAQUES PLANTA</v>
          </cell>
          <cell r="F306" t="str">
            <v>1 KILO</v>
          </cell>
          <cell r="G306">
            <v>500</v>
          </cell>
          <cell r="H306" t="str">
            <v>05/06/2020</v>
          </cell>
          <cell r="I306">
            <v>1500</v>
          </cell>
          <cell r="J306">
            <v>2000</v>
          </cell>
          <cell r="K306">
            <v>40</v>
          </cell>
          <cell r="L306">
            <v>50</v>
          </cell>
          <cell r="M306" t="str">
            <v>Und</v>
          </cell>
        </row>
        <row r="307">
          <cell r="A307" t="str">
            <v>1950942</v>
          </cell>
          <cell r="B307" t="str">
            <v>11370</v>
          </cell>
          <cell r="C307" t="str">
            <v>ORLA #4 AZUL REDONDA (UND)</v>
          </cell>
          <cell r="D307" t="str">
            <v>1950942</v>
          </cell>
          <cell r="E307" t="str">
            <v>EMPAQUES PLANTA</v>
          </cell>
          <cell r="F307" t="str">
            <v>1 UND</v>
          </cell>
          <cell r="G307">
            <v>500</v>
          </cell>
          <cell r="H307" t="str">
            <v>15/06/2020</v>
          </cell>
          <cell r="I307">
            <v>36</v>
          </cell>
          <cell r="J307">
            <v>42</v>
          </cell>
          <cell r="K307">
            <v>1</v>
          </cell>
          <cell r="L307">
            <v>42</v>
          </cell>
          <cell r="M307"/>
        </row>
        <row r="308">
          <cell r="A308" t="str">
            <v>1950959</v>
          </cell>
          <cell r="B308" t="str">
            <v>12110</v>
          </cell>
          <cell r="C308" t="str">
            <v>TAPA PLAST SUFLE 3.25 ONZ (CAJA:20 PAQ)</v>
          </cell>
          <cell r="D308" t="str">
            <v>1950959</v>
          </cell>
          <cell r="E308" t="str">
            <v>EMPAQUES PLANTA</v>
          </cell>
          <cell r="F308" t="str">
            <v>1 CAJA</v>
          </cell>
          <cell r="G308">
            <v>500</v>
          </cell>
          <cell r="H308" t="str">
            <v>11/06/2020</v>
          </cell>
          <cell r="I308">
            <v>24795</v>
          </cell>
          <cell r="J308">
            <v>0</v>
          </cell>
          <cell r="K308">
            <v>20</v>
          </cell>
          <cell r="L308">
            <v>0</v>
          </cell>
          <cell r="M308"/>
        </row>
        <row r="309">
          <cell r="A309" t="str">
            <v>1952378</v>
          </cell>
          <cell r="B309" t="str">
            <v>5819</v>
          </cell>
          <cell r="C309" t="str">
            <v>CONTEN. TAPA PLANA (CAJA: 480 UND)</v>
          </cell>
          <cell r="D309" t="str">
            <v>1952378</v>
          </cell>
          <cell r="E309" t="str">
            <v>EMPAQUES PLANTA</v>
          </cell>
          <cell r="F309" t="str">
            <v>1 CAJA</v>
          </cell>
          <cell r="G309">
            <v>500</v>
          </cell>
          <cell r="H309" t="str">
            <v>30/04/2020</v>
          </cell>
          <cell r="I309">
            <v>28880</v>
          </cell>
          <cell r="J309">
            <v>0</v>
          </cell>
          <cell r="K309">
            <v>480</v>
          </cell>
          <cell r="L309">
            <v>0</v>
          </cell>
          <cell r="M309"/>
        </row>
        <row r="310">
          <cell r="A310" t="str">
            <v>1952400</v>
          </cell>
          <cell r="B310" t="str">
            <v>5759</v>
          </cell>
          <cell r="C310" t="str">
            <v>BOLSA BUCCA PALMERITAS (10*20CM)( KILO )</v>
          </cell>
          <cell r="D310" t="str">
            <v>1952400</v>
          </cell>
          <cell r="E310" t="str">
            <v>EMPAQUES PLANTA</v>
          </cell>
          <cell r="F310" t="str">
            <v>1 KILO</v>
          </cell>
          <cell r="G310">
            <v>500</v>
          </cell>
          <cell r="H310" t="str">
            <v>01/02/2020</v>
          </cell>
          <cell r="I310">
            <v>4402</v>
          </cell>
          <cell r="J310">
            <v>5227.5</v>
          </cell>
          <cell r="K310">
            <v>1000</v>
          </cell>
          <cell r="L310">
            <v>5.2275</v>
          </cell>
          <cell r="M310" t="str">
            <v>Und</v>
          </cell>
        </row>
        <row r="311">
          <cell r="A311" t="str">
            <v>1952409</v>
          </cell>
          <cell r="B311" t="str">
            <v>5723</v>
          </cell>
          <cell r="C311" t="str">
            <v>BANDEJA ALUMINIO A-42 (4POR)(CAJA:500 U)</v>
          </cell>
          <cell r="D311" t="str">
            <v>1952409</v>
          </cell>
          <cell r="E311" t="str">
            <v>EMPAQUES PLANTA</v>
          </cell>
          <cell r="F311" t="str">
            <v>1 UND</v>
          </cell>
          <cell r="G311">
            <v>500</v>
          </cell>
          <cell r="H311" t="str">
            <v>05/06/2020</v>
          </cell>
          <cell r="I311">
            <v>95.6</v>
          </cell>
          <cell r="J311">
            <v>0</v>
          </cell>
          <cell r="K311">
            <v>1</v>
          </cell>
          <cell r="L311">
            <v>0</v>
          </cell>
          <cell r="M311" t="str">
            <v>Und</v>
          </cell>
        </row>
        <row r="312">
          <cell r="A312" t="str">
            <v>1952410</v>
          </cell>
          <cell r="B312" t="str">
            <v>5724</v>
          </cell>
          <cell r="C312" t="str">
            <v>TAPA CONTE.ALUMI A-42 (4 POR) (CAJA:500)</v>
          </cell>
          <cell r="D312" t="str">
            <v>1952410</v>
          </cell>
          <cell r="E312" t="str">
            <v>EMPAQUES PLANTA</v>
          </cell>
          <cell r="F312" t="str">
            <v>1 UND</v>
          </cell>
          <cell r="G312">
            <v>500</v>
          </cell>
          <cell r="H312" t="str">
            <v>05/06/2020</v>
          </cell>
          <cell r="I312">
            <v>66</v>
          </cell>
          <cell r="J312">
            <v>0</v>
          </cell>
          <cell r="K312">
            <v>1</v>
          </cell>
          <cell r="L312">
            <v>0</v>
          </cell>
          <cell r="M312" t="str">
            <v>Und</v>
          </cell>
        </row>
        <row r="313">
          <cell r="A313" t="str">
            <v>1952432</v>
          </cell>
          <cell r="B313" t="str">
            <v>5725</v>
          </cell>
          <cell r="C313" t="str">
            <v>TAPA BAND ALUM 4040 (CAJA:250 UND)</v>
          </cell>
          <cell r="D313" t="str">
            <v>1952432</v>
          </cell>
          <cell r="E313" t="str">
            <v>EMPAQUES PLANTA</v>
          </cell>
          <cell r="F313" t="str">
            <v>1 CAJA</v>
          </cell>
          <cell r="G313">
            <v>500</v>
          </cell>
          <cell r="H313" t="str">
            <v>15/06/2020</v>
          </cell>
          <cell r="I313">
            <v>87.968000000000004</v>
          </cell>
          <cell r="J313">
            <v>146.084</v>
          </cell>
          <cell r="K313">
            <v>1</v>
          </cell>
          <cell r="L313">
            <v>146.084</v>
          </cell>
          <cell r="M313" t="str">
            <v>Und</v>
          </cell>
        </row>
        <row r="314">
          <cell r="A314" t="str">
            <v>1952434</v>
          </cell>
          <cell r="B314" t="str">
            <v>11577</v>
          </cell>
          <cell r="C314" t="str">
            <v>CAJA SPOON #1 (20 UND) (INDUSTRIA)</v>
          </cell>
          <cell r="D314" t="str">
            <v>1952434</v>
          </cell>
          <cell r="E314" t="str">
            <v>EMPAQUES PLANTA</v>
          </cell>
          <cell r="F314" t="str">
            <v>1 UND</v>
          </cell>
          <cell r="G314">
            <v>500</v>
          </cell>
          <cell r="H314" t="str">
            <v>10/06/2020</v>
          </cell>
          <cell r="I314">
            <v>498</v>
          </cell>
          <cell r="J314">
            <v>625</v>
          </cell>
          <cell r="K314">
            <v>1</v>
          </cell>
          <cell r="L314">
            <v>625</v>
          </cell>
          <cell r="M314"/>
        </row>
        <row r="315">
          <cell r="A315" t="str">
            <v>1952445</v>
          </cell>
          <cell r="B315" t="str">
            <v>8129</v>
          </cell>
          <cell r="C315" t="str">
            <v>CAJA SIX PACK MUSMANNI (UND)</v>
          </cell>
          <cell r="D315" t="str">
            <v>1952445</v>
          </cell>
          <cell r="E315" t="str">
            <v>EMPAQUES PLANTA</v>
          </cell>
          <cell r="F315" t="str">
            <v>1 UND</v>
          </cell>
          <cell r="G315">
            <v>500</v>
          </cell>
          <cell r="H315" t="str">
            <v>20/05/2020</v>
          </cell>
          <cell r="I315">
            <v>195</v>
          </cell>
          <cell r="J315">
            <v>235</v>
          </cell>
          <cell r="K315">
            <v>1</v>
          </cell>
          <cell r="L315">
            <v>235</v>
          </cell>
          <cell r="M315"/>
        </row>
        <row r="316">
          <cell r="A316" t="str">
            <v>1952826</v>
          </cell>
          <cell r="B316" t="str">
            <v>12114</v>
          </cell>
          <cell r="C316" t="str">
            <v>TAPA DOMO P/VASO TRASL 16onz ( PAQ*100)</v>
          </cell>
          <cell r="D316" t="str">
            <v>1952826</v>
          </cell>
          <cell r="E316" t="str">
            <v>EMPAQUES PLANTA</v>
          </cell>
          <cell r="F316" t="str">
            <v>1 PAQUETE</v>
          </cell>
          <cell r="G316">
            <v>500</v>
          </cell>
          <cell r="H316" t="str">
            <v>22/05/2020</v>
          </cell>
          <cell r="I316">
            <v>4361</v>
          </cell>
          <cell r="J316">
            <v>0</v>
          </cell>
          <cell r="K316">
            <v>100</v>
          </cell>
          <cell r="L316">
            <v>0</v>
          </cell>
          <cell r="M316"/>
        </row>
        <row r="317">
          <cell r="A317" t="str">
            <v>1952831</v>
          </cell>
          <cell r="B317" t="str">
            <v>13333</v>
          </cell>
          <cell r="C317" t="str">
            <v>TAPA NESCAFE 12/14/16  ONZ (PAQ:100 UND)</v>
          </cell>
          <cell r="D317" t="str">
            <v>1952831</v>
          </cell>
          <cell r="E317" t="str">
            <v>EMPAQUES PLANTA</v>
          </cell>
          <cell r="F317" t="str">
            <v>1 PAQUETE</v>
          </cell>
          <cell r="G317">
            <v>500</v>
          </cell>
          <cell r="H317" t="str">
            <v>27/12/2019</v>
          </cell>
          <cell r="I317" t="e">
            <v>#N/A</v>
          </cell>
          <cell r="J317">
            <v>0</v>
          </cell>
          <cell r="K317">
            <v>100</v>
          </cell>
          <cell r="L317">
            <v>0</v>
          </cell>
          <cell r="M317"/>
        </row>
        <row r="318">
          <cell r="A318" t="str">
            <v>1952851</v>
          </cell>
          <cell r="B318" t="str">
            <v>5855</v>
          </cell>
          <cell r="C318" t="str">
            <v>CONTENEDOR CUADRADO 9X9X5 (CAJA:600 UND)</v>
          </cell>
          <cell r="D318" t="str">
            <v>1952851</v>
          </cell>
          <cell r="E318" t="str">
            <v>EMPAQUES PLANTA</v>
          </cell>
          <cell r="F318" t="str">
            <v>1 CAJA</v>
          </cell>
          <cell r="G318">
            <v>500</v>
          </cell>
          <cell r="H318" t="str">
            <v>09/03/2020</v>
          </cell>
          <cell r="I318" t="e">
            <v>#N/A</v>
          </cell>
          <cell r="J318">
            <v>0</v>
          </cell>
          <cell r="K318">
            <v>600</v>
          </cell>
          <cell r="L318">
            <v>0</v>
          </cell>
          <cell r="M318" t="str">
            <v>Und</v>
          </cell>
        </row>
        <row r="319">
          <cell r="A319" t="str">
            <v>1952856</v>
          </cell>
          <cell r="B319" t="str">
            <v>11225</v>
          </cell>
          <cell r="C319" t="str">
            <v>BOLSA TRANSPARENTE 76X24X210 (KILO)</v>
          </cell>
          <cell r="D319" t="str">
            <v>1952856</v>
          </cell>
          <cell r="E319" t="str">
            <v>EMPAQUES PLANTA</v>
          </cell>
          <cell r="F319" t="str">
            <v>1 KILO</v>
          </cell>
          <cell r="G319">
            <v>500</v>
          </cell>
          <cell r="H319" t="str">
            <v>25/05/2020</v>
          </cell>
          <cell r="I319">
            <v>4402</v>
          </cell>
          <cell r="J319">
            <v>0</v>
          </cell>
          <cell r="K319">
            <v>378</v>
          </cell>
          <cell r="L319">
            <v>0</v>
          </cell>
          <cell r="M319" t="str">
            <v>Und</v>
          </cell>
        </row>
        <row r="320">
          <cell r="A320" t="str">
            <v>1952871</v>
          </cell>
          <cell r="B320" t="str">
            <v>11376</v>
          </cell>
          <cell r="C320" t="str">
            <v>CAJA PRALINE (UND)</v>
          </cell>
          <cell r="D320" t="str">
            <v>1952871</v>
          </cell>
          <cell r="E320" t="str">
            <v>EMPAQUES PLANTA</v>
          </cell>
          <cell r="F320" t="str">
            <v>1 UND</v>
          </cell>
          <cell r="G320">
            <v>500</v>
          </cell>
          <cell r="H320" t="str">
            <v>22/04/2020</v>
          </cell>
          <cell r="I320">
            <v>486</v>
          </cell>
          <cell r="J320">
            <v>576</v>
          </cell>
          <cell r="K320">
            <v>1</v>
          </cell>
          <cell r="L320">
            <v>576</v>
          </cell>
          <cell r="M320"/>
        </row>
        <row r="321">
          <cell r="A321" t="str">
            <v>1952873</v>
          </cell>
          <cell r="B321" t="str">
            <v>14163</v>
          </cell>
          <cell r="C321" t="str">
            <v>CONTENEDOR CUADRADO POTE (CAJA:600 UND)</v>
          </cell>
          <cell r="D321" t="str">
            <v>1952873</v>
          </cell>
          <cell r="E321" t="str">
            <v>EMPAQUES PLANTA</v>
          </cell>
          <cell r="F321" t="str">
            <v xml:space="preserve">1 CAJA </v>
          </cell>
          <cell r="G321">
            <v>500</v>
          </cell>
          <cell r="H321" t="str">
            <v>13/03/2020</v>
          </cell>
          <cell r="I321">
            <v>31800</v>
          </cell>
          <cell r="J321">
            <v>0</v>
          </cell>
          <cell r="K321">
            <v>600</v>
          </cell>
          <cell r="L321">
            <v>0</v>
          </cell>
          <cell r="M321" t="str">
            <v>Und</v>
          </cell>
        </row>
        <row r="322">
          <cell r="A322" t="str">
            <v>1952874</v>
          </cell>
          <cell r="B322" t="str">
            <v>5834</v>
          </cell>
          <cell r="C322" t="str">
            <v>ORLA #8 BUCCA (UND)</v>
          </cell>
          <cell r="D322" t="str">
            <v>1952874</v>
          </cell>
          <cell r="E322" t="str">
            <v>EMPAQUES PLANTA</v>
          </cell>
          <cell r="F322" t="str">
            <v>1 UND</v>
          </cell>
          <cell r="G322">
            <v>500</v>
          </cell>
          <cell r="H322" t="str">
            <v>15/05/2020</v>
          </cell>
          <cell r="I322">
            <v>85</v>
          </cell>
          <cell r="J322">
            <v>95</v>
          </cell>
          <cell r="K322">
            <v>1</v>
          </cell>
          <cell r="L322">
            <v>95</v>
          </cell>
          <cell r="M322" t="str">
            <v>Und</v>
          </cell>
        </row>
        <row r="323">
          <cell r="A323" t="str">
            <v>1952875</v>
          </cell>
          <cell r="B323" t="str">
            <v>5833</v>
          </cell>
          <cell r="C323" t="str">
            <v>ORLA # 10 BUCCA (UND)</v>
          </cell>
          <cell r="D323" t="str">
            <v>1952875</v>
          </cell>
          <cell r="E323" t="str">
            <v>EMPAQUES PLANTA</v>
          </cell>
          <cell r="F323" t="str">
            <v>1 UND</v>
          </cell>
          <cell r="G323">
            <v>500</v>
          </cell>
          <cell r="H323" t="str">
            <v>12/06/2020</v>
          </cell>
          <cell r="I323">
            <v>121</v>
          </cell>
          <cell r="J323">
            <v>137</v>
          </cell>
          <cell r="K323">
            <v>1</v>
          </cell>
          <cell r="L323">
            <v>137</v>
          </cell>
          <cell r="M323"/>
        </row>
        <row r="324">
          <cell r="A324" t="str">
            <v>1952910</v>
          </cell>
          <cell r="B324" t="str">
            <v>11377</v>
          </cell>
          <cell r="C324" t="str">
            <v>CAJA CARTON GRANDE (UND)</v>
          </cell>
          <cell r="D324" t="str">
            <v>1952910</v>
          </cell>
          <cell r="E324" t="str">
            <v>EMPAQUES PLANTA</v>
          </cell>
          <cell r="F324" t="str">
            <v>1 UND</v>
          </cell>
          <cell r="G324">
            <v>500</v>
          </cell>
          <cell r="H324" t="str">
            <v>10/06/2020</v>
          </cell>
          <cell r="I324">
            <v>598</v>
          </cell>
          <cell r="J324">
            <v>758</v>
          </cell>
          <cell r="K324">
            <v>1</v>
          </cell>
          <cell r="L324">
            <v>758</v>
          </cell>
          <cell r="M324"/>
        </row>
        <row r="325">
          <cell r="A325" t="str">
            <v>1952912</v>
          </cell>
          <cell r="B325" t="str">
            <v>9465</v>
          </cell>
          <cell r="C325" t="str">
            <v>CONTENEDOR TRIANGU ALTO (CAJA:200 UND)</v>
          </cell>
          <cell r="D325" t="str">
            <v>1952912</v>
          </cell>
          <cell r="E325" t="str">
            <v>EMPAQUES PLANTA</v>
          </cell>
          <cell r="F325" t="str">
            <v>1 CAJA</v>
          </cell>
          <cell r="G325">
            <v>500</v>
          </cell>
          <cell r="H325" t="str">
            <v>16/06/2020</v>
          </cell>
          <cell r="I325">
            <v>12340</v>
          </cell>
          <cell r="J325">
            <v>13239</v>
          </cell>
          <cell r="K325">
            <v>200</v>
          </cell>
          <cell r="L325">
            <v>66.194999999999993</v>
          </cell>
          <cell r="M325"/>
        </row>
        <row r="326">
          <cell r="A326" t="str">
            <v>1952915</v>
          </cell>
          <cell r="B326" t="str">
            <v>11475</v>
          </cell>
          <cell r="C326" t="str">
            <v>BANDEJA CONCHA TRANSPAR 4X4 (CJ:500 UND)</v>
          </cell>
          <cell r="D326" t="str">
            <v>1952915</v>
          </cell>
          <cell r="E326" t="str">
            <v>EMPAQUES PLANTA</v>
          </cell>
          <cell r="F326" t="str">
            <v>1 CAJA</v>
          </cell>
          <cell r="G326">
            <v>500</v>
          </cell>
          <cell r="H326" t="str">
            <v>29/05/2020</v>
          </cell>
          <cell r="I326" t="e">
            <v>#N/A</v>
          </cell>
          <cell r="J326">
            <v>0</v>
          </cell>
          <cell r="K326">
            <v>1500</v>
          </cell>
          <cell r="L326">
            <v>0</v>
          </cell>
          <cell r="M326"/>
        </row>
        <row r="327">
          <cell r="A327" t="str">
            <v>1952919</v>
          </cell>
          <cell r="B327" t="str">
            <v>14418</v>
          </cell>
          <cell r="C327" t="str">
            <v>CAJA PRALINE 2 (UND)</v>
          </cell>
          <cell r="D327" t="str">
            <v>1952919</v>
          </cell>
          <cell r="E327" t="str">
            <v>EMPAQUES PLANTA</v>
          </cell>
          <cell r="F327" t="str">
            <v>1 UND</v>
          </cell>
          <cell r="G327">
            <v>500</v>
          </cell>
          <cell r="H327" t="str">
            <v>12/06/2020</v>
          </cell>
          <cell r="I327">
            <v>348</v>
          </cell>
          <cell r="J327">
            <v>410</v>
          </cell>
          <cell r="K327">
            <v>1</v>
          </cell>
          <cell r="L327">
            <v>410</v>
          </cell>
          <cell r="M327" t="str">
            <v>Und</v>
          </cell>
        </row>
        <row r="328">
          <cell r="A328" t="str">
            <v>2000001</v>
          </cell>
          <cell r="B328" t="str">
            <v>11436</v>
          </cell>
          <cell r="C328" t="str">
            <v>SALMON AHUMADO  (PAQ:900g)</v>
          </cell>
          <cell r="D328" t="str">
            <v>2000001</v>
          </cell>
          <cell r="E328" t="str">
            <v>MATERIAS PRIMAS PLANTA</v>
          </cell>
          <cell r="F328" t="str">
            <v>1 PAQUETE</v>
          </cell>
          <cell r="G328">
            <v>500</v>
          </cell>
          <cell r="H328" t="str">
            <v>12/06/2020</v>
          </cell>
          <cell r="I328">
            <v>17520</v>
          </cell>
          <cell r="J328">
            <v>18395</v>
          </cell>
          <cell r="K328">
            <v>900</v>
          </cell>
          <cell r="L328">
            <v>20.43888888888889</v>
          </cell>
          <cell r="M328"/>
        </row>
        <row r="329">
          <cell r="A329" t="str">
            <v>2000002</v>
          </cell>
          <cell r="B329" t="str">
            <v>11484</v>
          </cell>
          <cell r="C329" t="str">
            <v>CARNE ANALOGA POLLO (CAJA:13.6 Kg)</v>
          </cell>
          <cell r="D329" t="str">
            <v>2000002</v>
          </cell>
          <cell r="E329" t="str">
            <v>MATERIAS PRIMAS PLANTA</v>
          </cell>
          <cell r="F329" t="str">
            <v>1 CAJA</v>
          </cell>
          <cell r="G329">
            <v>500</v>
          </cell>
          <cell r="H329" t="str">
            <v>15/04/2020</v>
          </cell>
          <cell r="I329">
            <v>104940</v>
          </cell>
          <cell r="J329">
            <v>144669.51999999999</v>
          </cell>
          <cell r="K329">
            <v>13600</v>
          </cell>
          <cell r="L329">
            <v>10.637464705882353</v>
          </cell>
          <cell r="M329" t="str">
            <v>Gramos</v>
          </cell>
        </row>
        <row r="330">
          <cell r="A330" t="str">
            <v>2001001</v>
          </cell>
          <cell r="B330" t="str">
            <v>11337</v>
          </cell>
          <cell r="C330" t="str">
            <v>PEPINO ENTERO KILO</v>
          </cell>
          <cell r="D330" t="str">
            <v>2001001</v>
          </cell>
          <cell r="E330" t="str">
            <v>MATERIAS PRIMAS PLANTA</v>
          </cell>
          <cell r="F330" t="str">
            <v>1 KILO</v>
          </cell>
          <cell r="G330">
            <v>500</v>
          </cell>
          <cell r="H330" t="str">
            <v>16/06/2020</v>
          </cell>
          <cell r="I330">
            <v>600</v>
          </cell>
          <cell r="J330">
            <v>600</v>
          </cell>
          <cell r="K330">
            <v>1000</v>
          </cell>
          <cell r="L330">
            <v>0.6</v>
          </cell>
          <cell r="M330" t="str">
            <v>Gramos</v>
          </cell>
        </row>
        <row r="331">
          <cell r="A331" t="str">
            <v>2006223</v>
          </cell>
          <cell r="B331" t="str">
            <v>13315</v>
          </cell>
          <cell r="C331" t="str">
            <v>TORTILLA REDONDITA RUMBA (PAQ:1 KG)</v>
          </cell>
          <cell r="D331" t="str">
            <v>2006223</v>
          </cell>
          <cell r="E331" t="str">
            <v>MATERIAS PRIMAS PLANTA</v>
          </cell>
          <cell r="F331" t="str">
            <v>1 PAQUETE</v>
          </cell>
          <cell r="G331">
            <v>500</v>
          </cell>
          <cell r="H331" t="str">
            <v>15/06/2020</v>
          </cell>
          <cell r="I331">
            <v>1560</v>
          </cell>
          <cell r="J331">
            <v>2240</v>
          </cell>
          <cell r="K331">
            <v>1000</v>
          </cell>
          <cell r="L331">
            <v>2.2400000000000002</v>
          </cell>
          <cell r="M331"/>
        </row>
        <row r="332">
          <cell r="A332" t="str">
            <v>2172411</v>
          </cell>
          <cell r="B332" t="str">
            <v>5910</v>
          </cell>
          <cell r="C332" t="str">
            <v>ET. TORTA BUCCA GENERICA PEQUEÑA (UND)</v>
          </cell>
          <cell r="D332" t="str">
            <v>2172411</v>
          </cell>
          <cell r="E332" t="str">
            <v>ETIQUETAS PLANTA</v>
          </cell>
          <cell r="F332" t="str">
            <v>1 UND</v>
          </cell>
          <cell r="G332">
            <v>500</v>
          </cell>
          <cell r="H332" t="str">
            <v>12/06/2020</v>
          </cell>
          <cell r="I332">
            <v>25.8</v>
          </cell>
          <cell r="J332">
            <v>25.8</v>
          </cell>
          <cell r="K332">
            <v>1</v>
          </cell>
          <cell r="L332">
            <v>25.8</v>
          </cell>
          <cell r="M332" t="str">
            <v>Und</v>
          </cell>
        </row>
        <row r="333">
          <cell r="A333" t="str">
            <v>3110271</v>
          </cell>
          <cell r="B333" t="str">
            <v>15979</v>
          </cell>
          <cell r="C333" t="str">
            <v>FILET TILAPIA (5-7 ONZ P/KILO)</v>
          </cell>
          <cell r="D333" t="str">
            <v>3110271</v>
          </cell>
          <cell r="E333" t="str">
            <v>MATERIAS PRIMAS PLANTA</v>
          </cell>
          <cell r="F333" t="str">
            <v>1 KILO</v>
          </cell>
          <cell r="G333">
            <v>500</v>
          </cell>
          <cell r="H333" t="str">
            <v>19/03/2020</v>
          </cell>
          <cell r="I333">
            <v>3056.2</v>
          </cell>
          <cell r="J333">
            <v>4146</v>
          </cell>
          <cell r="K333">
            <v>1000</v>
          </cell>
          <cell r="L333">
            <v>4.1459999999999999</v>
          </cell>
          <cell r="M333" t="str">
            <v>Gramos</v>
          </cell>
        </row>
        <row r="334">
          <cell r="A334" t="str">
            <v>5000001</v>
          </cell>
          <cell r="B334" t="str">
            <v>7101</v>
          </cell>
          <cell r="C334" t="str">
            <v>SAL INDUSTRIA (SACO:25 Kg)</v>
          </cell>
          <cell r="D334" t="str">
            <v>5000001</v>
          </cell>
          <cell r="E334" t="str">
            <v>MATERIAS PRIMAS PLANTA</v>
          </cell>
          <cell r="F334" t="str">
            <v>1 SACO</v>
          </cell>
          <cell r="G334">
            <v>500</v>
          </cell>
          <cell r="H334" t="str">
            <v>05/06/2020</v>
          </cell>
          <cell r="I334">
            <v>4700</v>
          </cell>
          <cell r="J334">
            <v>7812</v>
          </cell>
          <cell r="K334">
            <v>25000</v>
          </cell>
          <cell r="L334">
            <v>0.31247999999999998</v>
          </cell>
          <cell r="M334" t="str">
            <v>Gramos</v>
          </cell>
        </row>
        <row r="335">
          <cell r="A335" t="str">
            <v>5062011</v>
          </cell>
          <cell r="B335" t="str">
            <v>14425</v>
          </cell>
          <cell r="C335" t="str">
            <v>BURBUJA # 5 (CAJA:3/125UND)</v>
          </cell>
          <cell r="D335" t="str">
            <v>5062011</v>
          </cell>
          <cell r="E335" t="str">
            <v>EMPAQUES PLANTA</v>
          </cell>
          <cell r="F335" t="str">
            <v>1 CAJA</v>
          </cell>
          <cell r="G335">
            <v>500</v>
          </cell>
          <cell r="H335" t="str">
            <v>15/06/2020</v>
          </cell>
          <cell r="I335">
            <v>20027</v>
          </cell>
          <cell r="J335">
            <v>24689</v>
          </cell>
          <cell r="K335">
            <v>350</v>
          </cell>
          <cell r="L335">
            <v>70.540000000000006</v>
          </cell>
          <cell r="M335" t="str">
            <v>Und</v>
          </cell>
        </row>
        <row r="336">
          <cell r="A336" t="str">
            <v>10100003</v>
          </cell>
          <cell r="B336" t="str">
            <v>7078</v>
          </cell>
          <cell r="C336" t="str">
            <v>AZUCAR POLVO P.REAL (PAQ:2.5 Kg)</v>
          </cell>
          <cell r="D336" t="str">
            <v>10100003</v>
          </cell>
          <cell r="E336" t="str">
            <v>MATERIAS PRIMAS PLANTA</v>
          </cell>
          <cell r="F336" t="str">
            <v>1 PAQUETE</v>
          </cell>
          <cell r="G336">
            <v>500</v>
          </cell>
          <cell r="H336" t="str">
            <v>13/06/2020</v>
          </cell>
          <cell r="I336">
            <v>3151.8</v>
          </cell>
          <cell r="J336">
            <v>2446.08</v>
          </cell>
          <cell r="K336">
            <v>2500</v>
          </cell>
          <cell r="L336">
            <v>0.97843199999999997</v>
          </cell>
          <cell r="M336" t="str">
            <v>Gramos</v>
          </cell>
        </row>
        <row r="337">
          <cell r="A337" t="str">
            <v>10100033</v>
          </cell>
          <cell r="B337" t="str">
            <v>11351</v>
          </cell>
          <cell r="C337" t="str">
            <v>MOSTAZA DE DIJON (UND:850ML)</v>
          </cell>
          <cell r="D337" t="str">
            <v>10100033</v>
          </cell>
          <cell r="E337" t="str">
            <v>MATERIAS PRIMAS PLANTA</v>
          </cell>
          <cell r="F337" t="str">
            <v>1 UND</v>
          </cell>
          <cell r="G337">
            <v>500</v>
          </cell>
          <cell r="H337" t="str">
            <v>21/03/2020</v>
          </cell>
          <cell r="I337">
            <v>4151.3999999999996</v>
          </cell>
          <cell r="J337">
            <v>0</v>
          </cell>
          <cell r="K337">
            <v>850</v>
          </cell>
          <cell r="L337">
            <v>0</v>
          </cell>
          <cell r="M337" t="str">
            <v>Mililitros</v>
          </cell>
        </row>
        <row r="338">
          <cell r="A338" t="str">
            <v>10100039</v>
          </cell>
          <cell r="B338" t="str">
            <v>8030</v>
          </cell>
          <cell r="C338" t="str">
            <v>CHIPS CHOCOLATE AMARGO (PAQ: 2,5 k)</v>
          </cell>
          <cell r="D338" t="str">
            <v>10100039</v>
          </cell>
          <cell r="E338" t="str">
            <v>MATERIAS PRIMAS PLANTA</v>
          </cell>
          <cell r="F338" t="str">
            <v>1 PAQUETE</v>
          </cell>
          <cell r="G338">
            <v>500</v>
          </cell>
          <cell r="H338" t="str">
            <v>12/05/2020</v>
          </cell>
          <cell r="I338">
            <v>15230</v>
          </cell>
          <cell r="J338">
            <v>15230</v>
          </cell>
          <cell r="K338">
            <v>2500</v>
          </cell>
          <cell r="L338">
            <v>6.0919999999999996</v>
          </cell>
          <cell r="M338" t="str">
            <v>Gramos</v>
          </cell>
        </row>
        <row r="339">
          <cell r="A339" t="str">
            <v>10100041</v>
          </cell>
          <cell r="B339" t="str">
            <v>5299</v>
          </cell>
          <cell r="C339" t="str">
            <v>GARBANZOS (UND:3 K)</v>
          </cell>
          <cell r="D339" t="str">
            <v>10100041</v>
          </cell>
          <cell r="E339" t="str">
            <v>MATERIAS PRIMAS PLANTA</v>
          </cell>
          <cell r="F339" t="str">
            <v>1 UND</v>
          </cell>
          <cell r="G339">
            <v>500</v>
          </cell>
          <cell r="H339" t="str">
            <v>12/06/2020</v>
          </cell>
          <cell r="I339">
            <v>3461</v>
          </cell>
          <cell r="J339">
            <v>612</v>
          </cell>
          <cell r="K339">
            <v>3000</v>
          </cell>
          <cell r="L339">
            <v>0.20399999999999999</v>
          </cell>
          <cell r="M339" t="str">
            <v>Gramos</v>
          </cell>
        </row>
        <row r="340">
          <cell r="A340" t="str">
            <v>10100045</v>
          </cell>
          <cell r="B340" t="str">
            <v>5304</v>
          </cell>
          <cell r="C340" t="str">
            <v>AZUCAR CARAMELO (PAQ:0.5 K)</v>
          </cell>
          <cell r="D340" t="str">
            <v>10100045</v>
          </cell>
          <cell r="E340" t="str">
            <v>MATERIAS PRIMAS PLANTA</v>
          </cell>
          <cell r="F340" t="str">
            <v>1 PAQUETE</v>
          </cell>
          <cell r="G340">
            <v>500</v>
          </cell>
          <cell r="H340" t="str">
            <v>08/06/2020</v>
          </cell>
          <cell r="I340">
            <v>686</v>
          </cell>
          <cell r="J340">
            <v>748</v>
          </cell>
          <cell r="K340">
            <v>500</v>
          </cell>
          <cell r="L340">
            <v>1.496</v>
          </cell>
          <cell r="M340" t="str">
            <v>Gramos</v>
          </cell>
        </row>
        <row r="341">
          <cell r="A341" t="str">
            <v>10100046</v>
          </cell>
          <cell r="B341" t="str">
            <v>5630</v>
          </cell>
          <cell r="C341" t="str">
            <v>POLVO HORNEAR FLEISHMAN (PAQ:2.5 K)</v>
          </cell>
          <cell r="D341" t="str">
            <v>10100046</v>
          </cell>
          <cell r="E341" t="str">
            <v>MATERIAS PRIMAS PLANTA</v>
          </cell>
          <cell r="F341" t="str">
            <v>1 PAQUETE</v>
          </cell>
          <cell r="G341">
            <v>500</v>
          </cell>
          <cell r="H341" t="str">
            <v>08/06/2020</v>
          </cell>
          <cell r="I341">
            <v>2238</v>
          </cell>
          <cell r="J341">
            <v>2462</v>
          </cell>
          <cell r="K341">
            <v>2500</v>
          </cell>
          <cell r="L341">
            <v>0.98480000000000001</v>
          </cell>
          <cell r="M341" t="str">
            <v>Gramos</v>
          </cell>
        </row>
        <row r="342">
          <cell r="A342" t="str">
            <v>10100047</v>
          </cell>
          <cell r="B342" t="str">
            <v>12770</v>
          </cell>
          <cell r="C342" t="str">
            <v>SIROPE CHOCO. LIQUIDO (UND: 680 g)</v>
          </cell>
          <cell r="D342" t="str">
            <v>10100047</v>
          </cell>
          <cell r="E342" t="str">
            <v>MATERIAS PRIMAS PLANTA</v>
          </cell>
          <cell r="F342" t="str">
            <v>1 UND</v>
          </cell>
          <cell r="G342">
            <v>500</v>
          </cell>
          <cell r="H342" t="str">
            <v>04/01/2020</v>
          </cell>
          <cell r="I342" t="e">
            <v>#N/A</v>
          </cell>
          <cell r="J342">
            <v>0</v>
          </cell>
          <cell r="K342">
            <v>680</v>
          </cell>
          <cell r="L342">
            <v>0</v>
          </cell>
          <cell r="M342"/>
        </row>
        <row r="343">
          <cell r="A343" t="str">
            <v>10100048</v>
          </cell>
          <cell r="B343" t="str">
            <v>5312</v>
          </cell>
          <cell r="C343" t="str">
            <v>SIROPE KARO DARK (UND: 3.78 K)</v>
          </cell>
          <cell r="D343" t="str">
            <v>10100048</v>
          </cell>
          <cell r="E343" t="str">
            <v>MATERIAS PRIMAS PLANTA</v>
          </cell>
          <cell r="F343" t="str">
            <v>1 UND</v>
          </cell>
          <cell r="G343">
            <v>500</v>
          </cell>
          <cell r="H343" t="str">
            <v>15/06/2020</v>
          </cell>
          <cell r="I343">
            <v>9861.5</v>
          </cell>
          <cell r="J343">
            <v>12826.75</v>
          </cell>
          <cell r="K343">
            <v>3780</v>
          </cell>
          <cell r="L343">
            <v>3.3933201058201057</v>
          </cell>
          <cell r="M343" t="str">
            <v>Mililitros</v>
          </cell>
        </row>
        <row r="344">
          <cell r="A344" t="str">
            <v>10100049</v>
          </cell>
          <cell r="B344" t="str">
            <v>12773</v>
          </cell>
          <cell r="C344" t="str">
            <v>ACEITE LIBRE TRANS INOLAS (UND:15.88 L)</v>
          </cell>
          <cell r="D344" t="str">
            <v>10100049</v>
          </cell>
          <cell r="E344" t="str">
            <v>MATERIAS PRIMAS PLANTA</v>
          </cell>
          <cell r="F344" t="str">
            <v>1 UND</v>
          </cell>
          <cell r="G344">
            <v>500</v>
          </cell>
          <cell r="H344" t="str">
            <v>08/06/2020</v>
          </cell>
          <cell r="I344">
            <v>17014</v>
          </cell>
          <cell r="J344">
            <v>33857</v>
          </cell>
          <cell r="K344">
            <v>15880</v>
          </cell>
          <cell r="L344">
            <v>2.1320528967254408</v>
          </cell>
          <cell r="M344" t="str">
            <v>Mililitros</v>
          </cell>
        </row>
        <row r="345">
          <cell r="A345" t="str">
            <v>10100050</v>
          </cell>
          <cell r="B345" t="str">
            <v>5524</v>
          </cell>
          <cell r="C345" t="str">
            <v>ACEITE CAPULLO RBD (UND:17  L)</v>
          </cell>
          <cell r="D345" t="str">
            <v>10100050</v>
          </cell>
          <cell r="E345" t="str">
            <v>MATERIAS PRIMAS PLANTA</v>
          </cell>
          <cell r="F345" t="str">
            <v>1 UND</v>
          </cell>
          <cell r="G345">
            <v>500</v>
          </cell>
          <cell r="H345" t="str">
            <v>15/06/2020</v>
          </cell>
          <cell r="I345">
            <v>21354</v>
          </cell>
          <cell r="J345">
            <v>26889</v>
          </cell>
          <cell r="K345">
            <v>17000</v>
          </cell>
          <cell r="L345">
            <v>1.5817058823529411</v>
          </cell>
          <cell r="M345" t="str">
            <v>Mililitros</v>
          </cell>
        </row>
        <row r="346">
          <cell r="A346" t="str">
            <v>10100051</v>
          </cell>
          <cell r="B346" t="str">
            <v>5313</v>
          </cell>
          <cell r="C346" t="str">
            <v>SALSA CHINA GALON</v>
          </cell>
          <cell r="D346" t="str">
            <v>10100051</v>
          </cell>
          <cell r="E346" t="str">
            <v>MATERIAS PRIMAS PLANTA</v>
          </cell>
          <cell r="F346" t="str">
            <v>1 UND</v>
          </cell>
          <cell r="G346">
            <v>500</v>
          </cell>
          <cell r="H346" t="str">
            <v>19/03/2020</v>
          </cell>
          <cell r="I346">
            <v>3396</v>
          </cell>
          <cell r="J346">
            <v>3497</v>
          </cell>
          <cell r="K346">
            <v>3785</v>
          </cell>
          <cell r="L346">
            <v>0.92391017173051515</v>
          </cell>
          <cell r="M346" t="str">
            <v>Mililitros</v>
          </cell>
        </row>
        <row r="347">
          <cell r="A347" t="str">
            <v>10100053</v>
          </cell>
          <cell r="B347" t="str">
            <v>5315</v>
          </cell>
          <cell r="C347" t="str">
            <v>SALSA TOMATE BANQUETE (PAQ:2 Kg)</v>
          </cell>
          <cell r="D347" t="str">
            <v>10100053</v>
          </cell>
          <cell r="E347" t="str">
            <v>MATERIAS PRIMAS PLANTA</v>
          </cell>
          <cell r="F347" t="str">
            <v>1 PAQUETE</v>
          </cell>
          <cell r="G347">
            <v>500</v>
          </cell>
          <cell r="H347" t="str">
            <v>01/06/2020</v>
          </cell>
          <cell r="I347">
            <v>1552</v>
          </cell>
          <cell r="J347">
            <v>1574</v>
          </cell>
          <cell r="K347">
            <v>2000</v>
          </cell>
          <cell r="L347">
            <v>0.78700000000000003</v>
          </cell>
          <cell r="M347" t="str">
            <v>Gramos</v>
          </cell>
        </row>
        <row r="348">
          <cell r="A348" t="str">
            <v>10100067</v>
          </cell>
          <cell r="B348" t="str">
            <v>5241</v>
          </cell>
          <cell r="C348" t="str">
            <v>MAÍZ DULCE GALON (1.800K= DRENADO)</v>
          </cell>
          <cell r="D348" t="str">
            <v>10100067</v>
          </cell>
          <cell r="E348" t="str">
            <v>MATERIAS PRIMAS PLANTA</v>
          </cell>
          <cell r="F348" t="str">
            <v>1 UND</v>
          </cell>
          <cell r="G348">
            <v>500</v>
          </cell>
          <cell r="H348" t="str">
            <v>04/06/2020</v>
          </cell>
          <cell r="I348">
            <v>2729</v>
          </cell>
          <cell r="J348">
            <v>2710.0695999999998</v>
          </cell>
          <cell r="K348">
            <v>1800</v>
          </cell>
          <cell r="L348">
            <v>1.5055942222222221</v>
          </cell>
          <cell r="M348" t="str">
            <v>Gramos</v>
          </cell>
        </row>
        <row r="349">
          <cell r="A349" t="str">
            <v>10100068</v>
          </cell>
          <cell r="B349" t="str">
            <v>5285</v>
          </cell>
          <cell r="C349" t="str">
            <v>PAPITA RAYADA (PAQ:1.5 KILOS)</v>
          </cell>
          <cell r="D349" t="str">
            <v>10100068</v>
          </cell>
          <cell r="E349" t="str">
            <v>MATERIAS PRIMAS PLANTA</v>
          </cell>
          <cell r="F349" t="str">
            <v>1 PAQUETE</v>
          </cell>
          <cell r="G349">
            <v>500</v>
          </cell>
          <cell r="H349" t="str">
            <v>05/06/2020</v>
          </cell>
          <cell r="I349">
            <v>15600</v>
          </cell>
          <cell r="J349">
            <v>13520</v>
          </cell>
          <cell r="K349">
            <v>1500</v>
          </cell>
          <cell r="L349">
            <v>9.0133333333333336</v>
          </cell>
          <cell r="M349"/>
        </row>
        <row r="350">
          <cell r="A350" t="str">
            <v>10100082</v>
          </cell>
          <cell r="B350" t="str">
            <v>11295</v>
          </cell>
          <cell r="C350" t="str">
            <v>MAIZ DULCE ENTERO (UND:425g)</v>
          </cell>
          <cell r="D350" t="str">
            <v>10100082</v>
          </cell>
          <cell r="E350" t="str">
            <v>MATERIAS PRIMAS PLANTA</v>
          </cell>
          <cell r="F350" t="str">
            <v>1 UND</v>
          </cell>
          <cell r="G350">
            <v>500</v>
          </cell>
          <cell r="H350" t="str">
            <v>10/02/2020</v>
          </cell>
          <cell r="I350" t="e">
            <v>#N/A</v>
          </cell>
          <cell r="J350">
            <v>0</v>
          </cell>
          <cell r="K350">
            <v>425</v>
          </cell>
          <cell r="L350">
            <v>0</v>
          </cell>
          <cell r="M350"/>
        </row>
        <row r="351">
          <cell r="A351" t="str">
            <v>10100088</v>
          </cell>
          <cell r="B351" t="str">
            <v>5234</v>
          </cell>
          <cell r="C351" t="str">
            <v>VINAGRE BALSAMICO TINTO (UND:250 ML)**</v>
          </cell>
          <cell r="D351" t="str">
            <v>10100088</v>
          </cell>
          <cell r="E351" t="str">
            <v>MATERIAS PRIMAS PLANTA</v>
          </cell>
          <cell r="F351" t="str">
            <v>1 UND</v>
          </cell>
          <cell r="G351">
            <v>500</v>
          </cell>
          <cell r="H351" t="str">
            <v>28/01/2020</v>
          </cell>
          <cell r="I351">
            <v>2542.11</v>
          </cell>
          <cell r="J351">
            <v>2697</v>
          </cell>
          <cell r="K351">
            <v>250</v>
          </cell>
          <cell r="L351">
            <v>10.788</v>
          </cell>
          <cell r="M351" t="str">
            <v>Mililitros</v>
          </cell>
        </row>
        <row r="352">
          <cell r="A352" t="str">
            <v>10100089</v>
          </cell>
          <cell r="B352" t="str">
            <v>5239</v>
          </cell>
          <cell r="C352" t="str">
            <v>CHILE MORRON LATA (UND:390g) *</v>
          </cell>
          <cell r="D352" t="str">
            <v>10100089</v>
          </cell>
          <cell r="E352" t="str">
            <v>MATERIAS PRIMAS PLANTA</v>
          </cell>
          <cell r="F352" t="str">
            <v>1 UND</v>
          </cell>
          <cell r="G352">
            <v>500</v>
          </cell>
          <cell r="H352" t="str">
            <v>13/06/2020</v>
          </cell>
          <cell r="I352">
            <v>1684.21</v>
          </cell>
          <cell r="J352">
            <v>1563.75</v>
          </cell>
          <cell r="K352">
            <v>390</v>
          </cell>
          <cell r="L352">
            <v>4.009615384615385</v>
          </cell>
          <cell r="M352"/>
        </row>
        <row r="353">
          <cell r="A353" t="str">
            <v>10100098</v>
          </cell>
          <cell r="B353" t="str">
            <v>12654</v>
          </cell>
          <cell r="C353" t="str">
            <v>SAL REFINADA (PAQ:500g)</v>
          </cell>
          <cell r="D353" t="str">
            <v>10100098</v>
          </cell>
          <cell r="E353" t="str">
            <v>MATERIAS PRIMAS PLANTA</v>
          </cell>
          <cell r="F353" t="str">
            <v>1 PAQUETE</v>
          </cell>
          <cell r="G353">
            <v>500</v>
          </cell>
          <cell r="H353" t="str">
            <v>08/06/2020</v>
          </cell>
          <cell r="I353">
            <v>237.916666666667</v>
          </cell>
          <cell r="J353">
            <v>200</v>
          </cell>
          <cell r="K353">
            <v>500</v>
          </cell>
          <cell r="L353">
            <v>0.4</v>
          </cell>
          <cell r="M353" t="str">
            <v>Gramos</v>
          </cell>
        </row>
        <row r="354">
          <cell r="A354" t="str">
            <v>10100103</v>
          </cell>
          <cell r="B354" t="str">
            <v>5528</v>
          </cell>
          <cell r="C354" t="str">
            <v>ACEITE EXTRA VIRGEN FILIPPO (UND:250 ML)</v>
          </cell>
          <cell r="D354" t="str">
            <v>10100103</v>
          </cell>
          <cell r="E354" t="str">
            <v>MATERIAS PRIMAS PLANTA</v>
          </cell>
          <cell r="F354" t="str">
            <v>1 UND</v>
          </cell>
          <cell r="G354">
            <v>500</v>
          </cell>
          <cell r="H354" t="str">
            <v>13/06/2020</v>
          </cell>
          <cell r="I354">
            <v>1902.3</v>
          </cell>
          <cell r="J354">
            <v>1861.7550000000001</v>
          </cell>
          <cell r="K354">
            <v>250</v>
          </cell>
          <cell r="L354">
            <v>7.4470200000000002</v>
          </cell>
          <cell r="M354"/>
        </row>
        <row r="355">
          <cell r="A355" t="str">
            <v>10100104</v>
          </cell>
          <cell r="B355" t="str">
            <v>7104</v>
          </cell>
          <cell r="C355" t="str">
            <v>TORTILLA MISION CONG 10.5 (PA:12 UND)</v>
          </cell>
          <cell r="D355" t="str">
            <v>10100104</v>
          </cell>
          <cell r="E355" t="str">
            <v>MATERIAS PRIMAS PLANTA</v>
          </cell>
          <cell r="F355" t="str">
            <v>1 PAQUETE</v>
          </cell>
          <cell r="G355">
            <v>500</v>
          </cell>
          <cell r="H355" t="str">
            <v>30/03/2020</v>
          </cell>
          <cell r="I355">
            <v>81.710833333333298</v>
          </cell>
          <cell r="J355">
            <v>0</v>
          </cell>
          <cell r="K355">
            <v>1</v>
          </cell>
          <cell r="L355">
            <v>0</v>
          </cell>
          <cell r="M355" t="str">
            <v>UND</v>
          </cell>
        </row>
        <row r="356">
          <cell r="A356" t="str">
            <v>10100107</v>
          </cell>
          <cell r="B356" t="str">
            <v>11492</v>
          </cell>
          <cell r="C356" t="str">
            <v>TORTILLA (PAQ:50 UND)</v>
          </cell>
          <cell r="D356" t="str">
            <v>10100107</v>
          </cell>
          <cell r="E356" t="str">
            <v>MATERIAS PRIMAS PLANTA</v>
          </cell>
          <cell r="F356" t="str">
            <v>1 PAQUETE</v>
          </cell>
          <cell r="G356">
            <v>500</v>
          </cell>
          <cell r="H356" t="str">
            <v>16/06/2020</v>
          </cell>
          <cell r="I356">
            <v>1050</v>
          </cell>
          <cell r="J356">
            <v>1300</v>
          </cell>
          <cell r="K356">
            <v>50</v>
          </cell>
          <cell r="L356">
            <v>26</v>
          </cell>
          <cell r="M356"/>
        </row>
        <row r="357">
          <cell r="A357" t="str">
            <v>10100108</v>
          </cell>
          <cell r="B357" t="str">
            <v>11495</v>
          </cell>
          <cell r="C357" t="str">
            <v>EQUAL SUCRALOSA (CAJA=2000/UND)</v>
          </cell>
          <cell r="D357" t="str">
            <v>10100108</v>
          </cell>
          <cell r="E357" t="str">
            <v>MATERIAS PRIMAS PLANTA</v>
          </cell>
          <cell r="F357" t="str">
            <v>1 CAJA</v>
          </cell>
          <cell r="G357">
            <v>500</v>
          </cell>
          <cell r="H357" t="str">
            <v>24/03/2020</v>
          </cell>
          <cell r="I357">
            <v>11945.85</v>
          </cell>
          <cell r="J357">
            <v>0</v>
          </cell>
          <cell r="K357">
            <v>2000</v>
          </cell>
          <cell r="L357">
            <v>0</v>
          </cell>
          <cell r="M357"/>
        </row>
        <row r="358">
          <cell r="A358" t="str">
            <v>10100109</v>
          </cell>
          <cell r="B358" t="str">
            <v>5549</v>
          </cell>
          <cell r="C358" t="str">
            <v>PAN MOLIDO PAQ (250g)</v>
          </cell>
          <cell r="D358" t="str">
            <v>10100109</v>
          </cell>
          <cell r="E358" t="str">
            <v>MATERIAS PRIMAS PLANTA</v>
          </cell>
          <cell r="F358" t="str">
            <v>1 PAQUETE</v>
          </cell>
          <cell r="G358">
            <v>500</v>
          </cell>
          <cell r="H358" t="str">
            <v>18/05/2020</v>
          </cell>
          <cell r="I358" t="e">
            <v>#N/A</v>
          </cell>
          <cell r="J358">
            <v>0</v>
          </cell>
          <cell r="K358">
            <v>250</v>
          </cell>
          <cell r="L358">
            <v>0</v>
          </cell>
          <cell r="M358"/>
        </row>
        <row r="359">
          <cell r="A359" t="str">
            <v>10100116</v>
          </cell>
          <cell r="B359" t="str">
            <v>12620</v>
          </cell>
          <cell r="C359" t="str">
            <v>ACEITUNA VERDE C/PIMIENTO (UND:180g)</v>
          </cell>
          <cell r="D359" t="str">
            <v>10100116</v>
          </cell>
          <cell r="E359" t="str">
            <v>MATERIAS PRIMAS PLANTA</v>
          </cell>
          <cell r="F359" t="str">
            <v>1 UND</v>
          </cell>
          <cell r="G359">
            <v>500</v>
          </cell>
          <cell r="H359" t="str">
            <v>19/05/2020</v>
          </cell>
          <cell r="I359">
            <v>495.83333333333297</v>
          </cell>
          <cell r="J359">
            <v>0</v>
          </cell>
          <cell r="K359">
            <v>180</v>
          </cell>
          <cell r="L359">
            <v>0</v>
          </cell>
          <cell r="M359" t="str">
            <v>Gramos</v>
          </cell>
        </row>
        <row r="360">
          <cell r="A360" t="str">
            <v>10100121</v>
          </cell>
          <cell r="B360" t="str">
            <v>9623</v>
          </cell>
          <cell r="C360" t="str">
            <v>DULCE GRANULADO (UND=900GR)</v>
          </cell>
          <cell r="D360" t="str">
            <v>10100121</v>
          </cell>
          <cell r="E360" t="str">
            <v>MATERIAS PRIMAS PLANTA</v>
          </cell>
          <cell r="F360" t="str">
            <v>1 UNIDAD</v>
          </cell>
          <cell r="G360">
            <v>500</v>
          </cell>
          <cell r="H360" t="str">
            <v>10/12/2019</v>
          </cell>
          <cell r="I360">
            <v>1190</v>
          </cell>
          <cell r="J360">
            <v>0</v>
          </cell>
          <cell r="K360">
            <v>900</v>
          </cell>
          <cell r="L360">
            <v>0</v>
          </cell>
          <cell r="M360"/>
        </row>
        <row r="361">
          <cell r="A361" t="str">
            <v>10100122</v>
          </cell>
          <cell r="B361" t="str">
            <v>11609</v>
          </cell>
          <cell r="C361" t="str">
            <v>CANELA EN POLVO BADIA (UND: 1.82 K)</v>
          </cell>
          <cell r="D361" t="str">
            <v>10100122</v>
          </cell>
          <cell r="E361" t="str">
            <v>MATERIAS PRIMAS PLANTA</v>
          </cell>
          <cell r="F361" t="str">
            <v>1 UND</v>
          </cell>
          <cell r="G361">
            <v>500</v>
          </cell>
          <cell r="H361" t="str">
            <v>28/05/2020</v>
          </cell>
          <cell r="I361">
            <v>10961</v>
          </cell>
          <cell r="J361">
            <v>17098</v>
          </cell>
          <cell r="K361">
            <v>1820</v>
          </cell>
          <cell r="L361">
            <v>9.3945054945054949</v>
          </cell>
          <cell r="M361" t="str">
            <v>Gramos</v>
          </cell>
        </row>
        <row r="362">
          <cell r="A362" t="str">
            <v>10100124</v>
          </cell>
          <cell r="B362" t="str">
            <v>11610</v>
          </cell>
          <cell r="C362" t="str">
            <v>BIDON DE AGUA UND</v>
          </cell>
          <cell r="D362" t="str">
            <v>10100124</v>
          </cell>
          <cell r="E362" t="str">
            <v>MATERIAS PRIMAS PLANTA</v>
          </cell>
          <cell r="F362" t="str">
            <v>1 UND</v>
          </cell>
          <cell r="G362">
            <v>500</v>
          </cell>
          <cell r="H362" t="str">
            <v>15/06/2020</v>
          </cell>
          <cell r="I362">
            <v>2654.86</v>
          </cell>
          <cell r="J362">
            <v>3200</v>
          </cell>
          <cell r="K362"/>
          <cell r="L362" t="e">
            <v>#DIV/0!</v>
          </cell>
          <cell r="M362"/>
        </row>
        <row r="363">
          <cell r="A363" t="str">
            <v>10100125</v>
          </cell>
          <cell r="B363" t="str">
            <v>5320</v>
          </cell>
          <cell r="C363" t="str">
            <v>PASTA TOMATE OLD CALI (UND:3.14 K)</v>
          </cell>
          <cell r="D363" t="str">
            <v>10100125</v>
          </cell>
          <cell r="E363" t="str">
            <v>MATERIAS PRIMAS PLANTA</v>
          </cell>
          <cell r="F363" t="str">
            <v>1 UND</v>
          </cell>
          <cell r="G363">
            <v>500</v>
          </cell>
          <cell r="H363" t="str">
            <v>02/06/2020</v>
          </cell>
          <cell r="I363">
            <v>3375</v>
          </cell>
          <cell r="J363">
            <v>4586</v>
          </cell>
          <cell r="K363">
            <v>3140</v>
          </cell>
          <cell r="L363">
            <v>1.4605095541401274</v>
          </cell>
          <cell r="M363" t="str">
            <v>Gramos</v>
          </cell>
        </row>
        <row r="364">
          <cell r="A364" t="str">
            <v>10100131</v>
          </cell>
          <cell r="B364" t="str">
            <v>12477</v>
          </cell>
          <cell r="C364" t="str">
            <v>PAN TOAST ARTESANAL BRUCHETAS (PAQ)</v>
          </cell>
          <cell r="D364" t="str">
            <v>10100131</v>
          </cell>
          <cell r="E364" t="str">
            <v>MATERIAS PRIMAS PLANTA</v>
          </cell>
          <cell r="F364" t="str">
            <v>1 PAQUETE</v>
          </cell>
          <cell r="G364">
            <v>500</v>
          </cell>
          <cell r="H364" t="str">
            <v>15/06/2020</v>
          </cell>
          <cell r="I364">
            <v>923</v>
          </cell>
          <cell r="J364">
            <v>0</v>
          </cell>
          <cell r="K364"/>
          <cell r="L364" t="e">
            <v>#DIV/0!</v>
          </cell>
          <cell r="M364"/>
        </row>
        <row r="365">
          <cell r="A365" t="str">
            <v>10100132</v>
          </cell>
          <cell r="B365" t="str">
            <v>12585</v>
          </cell>
          <cell r="C365" t="str">
            <v>CHIPS RAICES EXOTICAS (CAJA:40 UND)</v>
          </cell>
          <cell r="D365" t="str">
            <v>10100132</v>
          </cell>
          <cell r="E365" t="str">
            <v>MATERIAS PRIMAS PLANTA</v>
          </cell>
          <cell r="F365" t="str">
            <v>1 CAJA</v>
          </cell>
          <cell r="G365">
            <v>500</v>
          </cell>
          <cell r="H365" t="str">
            <v>25/03/2020</v>
          </cell>
          <cell r="I365" t="e">
            <v>#N/A</v>
          </cell>
          <cell r="J365">
            <v>0</v>
          </cell>
          <cell r="K365">
            <v>40</v>
          </cell>
          <cell r="L365">
            <v>0</v>
          </cell>
          <cell r="M365"/>
        </row>
        <row r="366">
          <cell r="A366" t="str">
            <v>10100135</v>
          </cell>
          <cell r="B366" t="str">
            <v>11762</v>
          </cell>
          <cell r="C366" t="str">
            <v>FIDEOS TORNILLITO (PAQ:1 K)</v>
          </cell>
          <cell r="D366" t="str">
            <v>10100135</v>
          </cell>
          <cell r="E366" t="str">
            <v>MATERIAS PRIMAS PLANTA</v>
          </cell>
          <cell r="F366" t="str">
            <v>1 PAQUETE</v>
          </cell>
          <cell r="G366">
            <v>500</v>
          </cell>
          <cell r="H366" t="str">
            <v>01/06/2020</v>
          </cell>
          <cell r="I366">
            <v>1655</v>
          </cell>
          <cell r="J366">
            <v>1821</v>
          </cell>
          <cell r="K366">
            <v>1000</v>
          </cell>
          <cell r="L366">
            <v>1.821</v>
          </cell>
          <cell r="M366"/>
        </row>
        <row r="367">
          <cell r="A367" t="str">
            <v>10100145</v>
          </cell>
          <cell r="B367" t="str">
            <v>12434</v>
          </cell>
          <cell r="C367" t="str">
            <v>JALEA DE GUAYABA (PAQ:200g)</v>
          </cell>
          <cell r="D367" t="str">
            <v>10100145</v>
          </cell>
          <cell r="E367" t="str">
            <v>MATERIAS PRIMAS PLANTA</v>
          </cell>
          <cell r="F367" t="str">
            <v>1 PAQUETE</v>
          </cell>
          <cell r="G367">
            <v>500</v>
          </cell>
          <cell r="H367" t="str">
            <v>16/06/2020</v>
          </cell>
          <cell r="I367">
            <v>550</v>
          </cell>
          <cell r="J367">
            <v>550</v>
          </cell>
          <cell r="K367">
            <v>200</v>
          </cell>
          <cell r="L367">
            <v>2.75</v>
          </cell>
          <cell r="M367"/>
        </row>
        <row r="368">
          <cell r="A368" t="str">
            <v>10100153</v>
          </cell>
          <cell r="B368" t="str">
            <v>12517</v>
          </cell>
          <cell r="C368" t="str">
            <v>DEDOS DE SEÑORA DIVELLA (PAQ)</v>
          </cell>
          <cell r="D368" t="str">
            <v>10100153</v>
          </cell>
          <cell r="E368" t="str">
            <v>MATERIAS PRIMAS PLANTA</v>
          </cell>
          <cell r="F368" t="str">
            <v>1 PAQUETE</v>
          </cell>
          <cell r="G368">
            <v>500</v>
          </cell>
          <cell r="H368" t="str">
            <v>18/01/2020</v>
          </cell>
          <cell r="I368">
            <v>2680</v>
          </cell>
          <cell r="J368">
            <v>0</v>
          </cell>
          <cell r="K368">
            <v>48</v>
          </cell>
          <cell r="L368">
            <v>0</v>
          </cell>
          <cell r="M368" t="str">
            <v>und</v>
          </cell>
        </row>
        <row r="369">
          <cell r="A369" t="str">
            <v>10100155</v>
          </cell>
          <cell r="B369" t="str">
            <v>12939</v>
          </cell>
          <cell r="C369" t="str">
            <v>WAFLE LUTOSA (PAQ: 70g)</v>
          </cell>
          <cell r="D369" t="str">
            <v>10100155</v>
          </cell>
          <cell r="E369" t="str">
            <v>MATERIAS PRIMAS PLANTA</v>
          </cell>
          <cell r="F369" t="str">
            <v>1 PAQUETE</v>
          </cell>
          <cell r="G369">
            <v>500</v>
          </cell>
          <cell r="H369" t="str">
            <v>15/06/2020</v>
          </cell>
          <cell r="I369" t="e">
            <v>#N/A</v>
          </cell>
          <cell r="J369">
            <v>445</v>
          </cell>
          <cell r="K369">
            <v>70</v>
          </cell>
          <cell r="L369">
            <v>6.3571428571428568</v>
          </cell>
          <cell r="M369"/>
        </row>
        <row r="370">
          <cell r="A370" t="str">
            <v>10100298</v>
          </cell>
          <cell r="B370" t="str">
            <v>13063</v>
          </cell>
          <cell r="C370" t="str">
            <v>SALSA SABOR OSTION KUM CHUN (UND: 2.2 K)</v>
          </cell>
          <cell r="D370" t="str">
            <v>10100298</v>
          </cell>
          <cell r="E370" t="str">
            <v>MATERIAS PRIMAS PLANTA</v>
          </cell>
          <cell r="F370" t="str">
            <v>1 UND</v>
          </cell>
          <cell r="G370">
            <v>500</v>
          </cell>
          <cell r="H370" t="str">
            <v>24/03/2020</v>
          </cell>
          <cell r="I370">
            <v>4950</v>
          </cell>
          <cell r="J370">
            <v>7640</v>
          </cell>
          <cell r="K370">
            <v>2200</v>
          </cell>
          <cell r="L370">
            <v>3.4727272727272727</v>
          </cell>
          <cell r="M370" t="str">
            <v>Gramos</v>
          </cell>
        </row>
        <row r="371">
          <cell r="A371" t="str">
            <v>10100163</v>
          </cell>
          <cell r="B371" t="str">
            <v>14393</v>
          </cell>
          <cell r="C371" t="str">
            <v>ARROZ PRECOCIDO MI SABOR (SACO:50K)</v>
          </cell>
          <cell r="D371" t="str">
            <v>10100163</v>
          </cell>
          <cell r="E371" t="str">
            <v>MATERIAS PRIMAS PLANTA</v>
          </cell>
          <cell r="F371" t="str">
            <v>1 SACO</v>
          </cell>
          <cell r="G371">
            <v>500</v>
          </cell>
          <cell r="H371" t="str">
            <v>05/06/2020</v>
          </cell>
          <cell r="I371">
            <v>35050.199999999997</v>
          </cell>
          <cell r="J371">
            <v>0</v>
          </cell>
          <cell r="K371">
            <v>50000</v>
          </cell>
          <cell r="L371">
            <v>0</v>
          </cell>
          <cell r="M371"/>
        </row>
        <row r="372">
          <cell r="A372" t="str">
            <v>10100164</v>
          </cell>
          <cell r="B372" t="str">
            <v>14394</v>
          </cell>
          <cell r="C372" t="str">
            <v>MELOCOTON CUBOS MONACO (UND:3 K)</v>
          </cell>
          <cell r="D372" t="str">
            <v>10100164</v>
          </cell>
          <cell r="E372" t="str">
            <v>MATERIAS PRIMAS PLANTA</v>
          </cell>
          <cell r="F372" t="str">
            <v>1 UND</v>
          </cell>
          <cell r="G372">
            <v>500</v>
          </cell>
          <cell r="H372" t="str">
            <v>28/05/2020</v>
          </cell>
          <cell r="I372" t="e">
            <v>#N/A</v>
          </cell>
          <cell r="J372">
            <v>0</v>
          </cell>
          <cell r="K372">
            <v>1800</v>
          </cell>
          <cell r="L372">
            <v>0</v>
          </cell>
          <cell r="M372" t="str">
            <v>Gramos</v>
          </cell>
        </row>
        <row r="373">
          <cell r="A373" t="str">
            <v>10100165</v>
          </cell>
          <cell r="B373" t="str">
            <v>14395</v>
          </cell>
          <cell r="C373" t="str">
            <v>FLAT BREAD REDONDO (PAQ:12 UND)</v>
          </cell>
          <cell r="D373" t="str">
            <v>10100165</v>
          </cell>
          <cell r="E373" t="str">
            <v>MATERIAS PRIMAS PLANTA</v>
          </cell>
          <cell r="F373" t="str">
            <v>1 PAQUETE</v>
          </cell>
          <cell r="G373">
            <v>500</v>
          </cell>
          <cell r="H373" t="str">
            <v>08/02/2020</v>
          </cell>
          <cell r="I373" t="e">
            <v>#N/A</v>
          </cell>
          <cell r="J373">
            <v>0</v>
          </cell>
          <cell r="K373"/>
          <cell r="L373" t="e">
            <v>#DIV/0!</v>
          </cell>
          <cell r="M373"/>
        </row>
        <row r="374">
          <cell r="A374" t="str">
            <v>10100171</v>
          </cell>
          <cell r="B374" t="str">
            <v>14743</v>
          </cell>
          <cell r="C374" t="str">
            <v>LECHE CONDENSADA COCINADA ( PAQ:4 K)</v>
          </cell>
          <cell r="D374" t="str">
            <v>10100171</v>
          </cell>
          <cell r="E374" t="str">
            <v>MATERIAS PRIMAS PLANTA</v>
          </cell>
          <cell r="F374" t="str">
            <v>1 PAQUETE</v>
          </cell>
          <cell r="G374">
            <v>500</v>
          </cell>
          <cell r="H374" t="str">
            <v>15/02/2020</v>
          </cell>
          <cell r="I374">
            <v>10076</v>
          </cell>
          <cell r="J374">
            <v>11140</v>
          </cell>
          <cell r="K374">
            <v>4000</v>
          </cell>
          <cell r="L374">
            <v>2.7850000000000001</v>
          </cell>
          <cell r="M374" t="str">
            <v>Gramos</v>
          </cell>
        </row>
        <row r="375">
          <cell r="A375" t="str">
            <v>10100172</v>
          </cell>
          <cell r="B375" t="str">
            <v>14845</v>
          </cell>
          <cell r="C375" t="str">
            <v>CHOP SUEY VIGUI 860 G (BULTO:6 UND)</v>
          </cell>
          <cell r="D375" t="str">
            <v>10100172</v>
          </cell>
          <cell r="E375" t="str">
            <v>MATERIAS PRIMAS PLANTA</v>
          </cell>
          <cell r="F375" t="str">
            <v>1 BULTO</v>
          </cell>
          <cell r="G375">
            <v>500</v>
          </cell>
          <cell r="H375" t="str">
            <v>17/03/2020</v>
          </cell>
          <cell r="I375">
            <v>21501</v>
          </cell>
          <cell r="J375">
            <v>32081</v>
          </cell>
          <cell r="K375">
            <v>5160</v>
          </cell>
          <cell r="L375">
            <v>6.2172480620155035</v>
          </cell>
          <cell r="M375" t="str">
            <v>Gramos</v>
          </cell>
        </row>
        <row r="376">
          <cell r="A376" t="str">
            <v>10100173</v>
          </cell>
          <cell r="B376" t="str">
            <v>14895</v>
          </cell>
          <cell r="C376" t="str">
            <v>MOSTAZA HELLMANNS (UND: 4 K)</v>
          </cell>
          <cell r="D376" t="str">
            <v>10100173</v>
          </cell>
          <cell r="E376" t="str">
            <v>MATERIAS PRIMAS PLANTA</v>
          </cell>
          <cell r="F376" t="str">
            <v>1 UND</v>
          </cell>
          <cell r="G376">
            <v>500</v>
          </cell>
          <cell r="H376" t="str">
            <v>12/06/2020</v>
          </cell>
          <cell r="I376">
            <v>6196</v>
          </cell>
          <cell r="J376">
            <v>7162</v>
          </cell>
          <cell r="K376">
            <v>4000</v>
          </cell>
          <cell r="L376">
            <v>1.7905</v>
          </cell>
          <cell r="M376"/>
        </row>
        <row r="377">
          <cell r="A377" t="str">
            <v>10100174</v>
          </cell>
          <cell r="B377" t="str">
            <v>14987</v>
          </cell>
          <cell r="C377" t="str">
            <v>FRIJOL NEGRO TIO PELON (BULTO:15/800 G)</v>
          </cell>
          <cell r="D377" t="str">
            <v>10100174</v>
          </cell>
          <cell r="E377" t="str">
            <v>MATERIAS PRIMAS PLANTA</v>
          </cell>
          <cell r="F377" t="str">
            <v>1 BULTO</v>
          </cell>
          <cell r="G377">
            <v>500</v>
          </cell>
          <cell r="H377" t="str">
            <v>15/06/2020</v>
          </cell>
          <cell r="I377">
            <v>13881</v>
          </cell>
          <cell r="J377">
            <v>18811</v>
          </cell>
          <cell r="K377">
            <v>12000</v>
          </cell>
          <cell r="L377">
            <v>1.5675833333333333</v>
          </cell>
          <cell r="M377" t="str">
            <v>Gramos</v>
          </cell>
        </row>
        <row r="378">
          <cell r="A378" t="str">
            <v>10100175</v>
          </cell>
          <cell r="B378" t="str">
            <v>15008</v>
          </cell>
          <cell r="C378" t="str">
            <v>SALSITA TOMATE CON CARNE (PAQ:8 UND)</v>
          </cell>
          <cell r="D378" t="str">
            <v>10100175</v>
          </cell>
          <cell r="E378" t="str">
            <v>MATERIAS PRIMAS PLANTA</v>
          </cell>
          <cell r="F378" t="str">
            <v>1 PAQUETE</v>
          </cell>
          <cell r="G378">
            <v>500</v>
          </cell>
          <cell r="H378" t="str">
            <v>21/03/2020</v>
          </cell>
          <cell r="I378" t="e">
            <v>#N/A</v>
          </cell>
          <cell r="J378">
            <v>0</v>
          </cell>
          <cell r="K378"/>
          <cell r="L378" t="e">
            <v>#DIV/0!</v>
          </cell>
          <cell r="M378"/>
        </row>
        <row r="379">
          <cell r="A379" t="str">
            <v>10100178</v>
          </cell>
          <cell r="B379" t="str">
            <v>15112</v>
          </cell>
          <cell r="C379" t="str">
            <v>CHILE ROJO TRITURADO (UND:368G)</v>
          </cell>
          <cell r="D379" t="str">
            <v>10100178</v>
          </cell>
          <cell r="E379" t="str">
            <v>MATERIAS PRIMAS PLANTA</v>
          </cell>
          <cell r="F379" t="str">
            <v>1 UND</v>
          </cell>
          <cell r="G379">
            <v>500</v>
          </cell>
          <cell r="H379" t="str">
            <v>14/12/2019</v>
          </cell>
          <cell r="I379">
            <v>2496</v>
          </cell>
          <cell r="J379">
            <v>3524.0779000000002</v>
          </cell>
          <cell r="K379">
            <v>368</v>
          </cell>
          <cell r="L379">
            <v>9.5762986413043478</v>
          </cell>
          <cell r="M379" t="str">
            <v>Gramos</v>
          </cell>
        </row>
        <row r="380">
          <cell r="A380" t="str">
            <v>10100180</v>
          </cell>
          <cell r="B380" t="str">
            <v>15119</v>
          </cell>
          <cell r="C380" t="str">
            <v>BASE ADEREZO ITALIANO (SACO: 25 KG)</v>
          </cell>
          <cell r="D380" t="str">
            <v>10100180</v>
          </cell>
          <cell r="E380" t="str">
            <v>MATERIAS PRIMAS PLANTA</v>
          </cell>
          <cell r="F380" t="str">
            <v>1 SACO</v>
          </cell>
          <cell r="G380">
            <v>500</v>
          </cell>
          <cell r="H380" t="str">
            <v>17/03/2020</v>
          </cell>
          <cell r="I380">
            <v>59242</v>
          </cell>
          <cell r="J380">
            <v>0</v>
          </cell>
          <cell r="K380">
            <v>25000</v>
          </cell>
          <cell r="L380">
            <v>0</v>
          </cell>
          <cell r="M380"/>
        </row>
        <row r="381">
          <cell r="A381" t="str">
            <v>10100181</v>
          </cell>
          <cell r="B381" t="str">
            <v>15120</v>
          </cell>
          <cell r="C381" t="str">
            <v>VINAGRE SINTETICO CLARO (GALON)</v>
          </cell>
          <cell r="D381" t="str">
            <v>10100181</v>
          </cell>
          <cell r="E381" t="str">
            <v>MATERIAS PRIMAS PLANTA</v>
          </cell>
          <cell r="F381" t="str">
            <v xml:space="preserve">1 GALON </v>
          </cell>
          <cell r="G381">
            <v>500</v>
          </cell>
          <cell r="H381" t="str">
            <v>16/03/2020</v>
          </cell>
          <cell r="I381">
            <v>1215</v>
          </cell>
          <cell r="J381">
            <v>0</v>
          </cell>
          <cell r="K381">
            <v>3785</v>
          </cell>
          <cell r="L381">
            <v>0</v>
          </cell>
          <cell r="M381"/>
        </row>
        <row r="382">
          <cell r="A382" t="str">
            <v>10100182</v>
          </cell>
          <cell r="B382" t="str">
            <v>15121</v>
          </cell>
          <cell r="C382" t="str">
            <v>MEZCLA ADEREZO AJO (PAQ:25 K)</v>
          </cell>
          <cell r="D382" t="str">
            <v>10100182</v>
          </cell>
          <cell r="E382" t="str">
            <v>MATERIAS PRIMAS PLANTA</v>
          </cell>
          <cell r="F382" t="str">
            <v>1 PAQUETE</v>
          </cell>
          <cell r="G382">
            <v>500</v>
          </cell>
          <cell r="H382" t="str">
            <v>05/02/2020</v>
          </cell>
          <cell r="I382" t="e">
            <v>#N/A</v>
          </cell>
          <cell r="J382">
            <v>0</v>
          </cell>
          <cell r="K382">
            <v>25000</v>
          </cell>
          <cell r="L382">
            <v>0</v>
          </cell>
          <cell r="M382"/>
        </row>
        <row r="383">
          <cell r="A383" t="str">
            <v>10100183</v>
          </cell>
          <cell r="B383" t="str">
            <v>15122</v>
          </cell>
          <cell r="C383" t="str">
            <v>ADEREZO MAYONESA (UND 10 K)</v>
          </cell>
          <cell r="D383" t="str">
            <v>10100183</v>
          </cell>
          <cell r="E383" t="str">
            <v>MATERIAS PRIMAS PLANTA</v>
          </cell>
          <cell r="F383" t="str">
            <v>1 UND</v>
          </cell>
          <cell r="G383">
            <v>500</v>
          </cell>
          <cell r="H383" t="str">
            <v>19/03/2020</v>
          </cell>
          <cell r="I383" t="e">
            <v>#N/A</v>
          </cell>
          <cell r="J383">
            <v>0</v>
          </cell>
          <cell r="K383">
            <v>10000</v>
          </cell>
          <cell r="L383">
            <v>0</v>
          </cell>
          <cell r="M383"/>
        </row>
        <row r="384">
          <cell r="A384" t="str">
            <v>10100184</v>
          </cell>
          <cell r="B384" t="str">
            <v>15123</v>
          </cell>
          <cell r="C384" t="str">
            <v>PLATANO VERDE PELADO (PAQ: 2 K)</v>
          </cell>
          <cell r="D384" t="str">
            <v>10100184</v>
          </cell>
          <cell r="E384" t="str">
            <v>MATERIAS PRIMAS PLANTA</v>
          </cell>
          <cell r="F384" t="str">
            <v>1 PAQUETE</v>
          </cell>
          <cell r="G384">
            <v>500</v>
          </cell>
          <cell r="H384" t="str">
            <v>21/05/2020</v>
          </cell>
          <cell r="I384" t="e">
            <v>#N/A</v>
          </cell>
          <cell r="J384">
            <v>0</v>
          </cell>
          <cell r="K384">
            <v>2000</v>
          </cell>
          <cell r="L384">
            <v>0</v>
          </cell>
          <cell r="M384"/>
        </row>
        <row r="385">
          <cell r="A385" t="str">
            <v>10100185</v>
          </cell>
          <cell r="B385" t="str">
            <v>15124</v>
          </cell>
          <cell r="C385" t="str">
            <v>SALSA TOMATE ROSTIPOLLOS (UND: 4 K)</v>
          </cell>
          <cell r="D385" t="str">
            <v>10100185</v>
          </cell>
          <cell r="E385" t="str">
            <v>MATERIAS PRIMAS PLANTA</v>
          </cell>
          <cell r="F385" t="str">
            <v>1 UND</v>
          </cell>
          <cell r="G385">
            <v>500</v>
          </cell>
          <cell r="H385" t="str">
            <v>23/04/2020</v>
          </cell>
          <cell r="I385">
            <v>2353</v>
          </cell>
          <cell r="J385">
            <v>0</v>
          </cell>
          <cell r="K385">
            <v>4000</v>
          </cell>
          <cell r="L385">
            <v>0</v>
          </cell>
          <cell r="M385"/>
        </row>
        <row r="386">
          <cell r="A386" t="str">
            <v>10100186</v>
          </cell>
          <cell r="B386" t="str">
            <v>15125</v>
          </cell>
          <cell r="C386" t="str">
            <v>PRESERVANTE T (PAQ: 5 KILO)</v>
          </cell>
          <cell r="D386" t="str">
            <v>10100186</v>
          </cell>
          <cell r="E386" t="str">
            <v>MATERIAS PRIMAS PLANTA</v>
          </cell>
          <cell r="F386" t="str">
            <v>1 PAQUETE</v>
          </cell>
          <cell r="G386">
            <v>500</v>
          </cell>
          <cell r="H386" t="str">
            <v>14/01/2020</v>
          </cell>
          <cell r="I386" t="e">
            <v>#N/A</v>
          </cell>
          <cell r="J386">
            <v>0</v>
          </cell>
          <cell r="K386">
            <v>5000</v>
          </cell>
          <cell r="L386">
            <v>0</v>
          </cell>
        </row>
        <row r="387">
          <cell r="A387" t="str">
            <v>10100187</v>
          </cell>
          <cell r="B387" t="str">
            <v>15126</v>
          </cell>
          <cell r="C387" t="str">
            <v>CMC AMTEX (PAQ: KILO)</v>
          </cell>
          <cell r="D387" t="str">
            <v>10100187</v>
          </cell>
          <cell r="E387" t="str">
            <v>MATERIAS PRIMAS PLANTA</v>
          </cell>
          <cell r="F387" t="str">
            <v>1 PAQUETE</v>
          </cell>
          <cell r="G387">
            <v>500</v>
          </cell>
          <cell r="H387" t="str">
            <v>14/01/2020</v>
          </cell>
          <cell r="I387" t="e">
            <v>#N/A</v>
          </cell>
          <cell r="J387">
            <v>0</v>
          </cell>
          <cell r="K387">
            <v>1000</v>
          </cell>
          <cell r="L387">
            <v>0</v>
          </cell>
          <cell r="M387"/>
        </row>
        <row r="388">
          <cell r="A388" t="str">
            <v>10100188</v>
          </cell>
          <cell r="B388" t="str">
            <v>15129</v>
          </cell>
          <cell r="C388" t="str">
            <v>YUCA EN TROZO (PAQ:3 K)</v>
          </cell>
          <cell r="D388" t="str">
            <v>10100188</v>
          </cell>
          <cell r="E388" t="str">
            <v>MATERIAS PRIMAS PLANTA</v>
          </cell>
          <cell r="F388" t="str">
            <v>1 PAQUETE</v>
          </cell>
          <cell r="G388">
            <v>500</v>
          </cell>
          <cell r="H388" t="str">
            <v>13/06/2020</v>
          </cell>
          <cell r="I388">
            <v>3450</v>
          </cell>
          <cell r="J388">
            <v>0</v>
          </cell>
          <cell r="K388">
            <v>3000</v>
          </cell>
          <cell r="L388">
            <v>0</v>
          </cell>
        </row>
        <row r="389">
          <cell r="A389" t="str">
            <v>10100189</v>
          </cell>
          <cell r="B389" t="str">
            <v>15130</v>
          </cell>
          <cell r="C389" t="str">
            <v>CLORURO DE CALCIO (PAQ: KILO)</v>
          </cell>
          <cell r="D389" t="str">
            <v>10100189</v>
          </cell>
          <cell r="E389" t="str">
            <v>MATERIAS PRIMAS PLANTA</v>
          </cell>
          <cell r="F389" t="str">
            <v>1 PAQUETE</v>
          </cell>
          <cell r="G389">
            <v>500</v>
          </cell>
          <cell r="H389" t="str">
            <v>10/06/2020</v>
          </cell>
          <cell r="I389" t="e">
            <v>#N/A</v>
          </cell>
          <cell r="J389">
            <v>0</v>
          </cell>
          <cell r="K389">
            <v>1000</v>
          </cell>
          <cell r="L389">
            <v>0</v>
          </cell>
          <cell r="M389"/>
        </row>
        <row r="390">
          <cell r="A390" t="str">
            <v>10100190</v>
          </cell>
          <cell r="B390" t="str">
            <v>15131</v>
          </cell>
          <cell r="C390" t="str">
            <v>LIMON MANDARINA (GALON)</v>
          </cell>
          <cell r="D390" t="str">
            <v>10100190</v>
          </cell>
          <cell r="E390" t="str">
            <v>MATERIAS PRIMAS PLANTA</v>
          </cell>
          <cell r="F390" t="str">
            <v xml:space="preserve">1 GALON </v>
          </cell>
          <cell r="G390">
            <v>500</v>
          </cell>
          <cell r="H390" t="str">
            <v>06/06/2020</v>
          </cell>
          <cell r="I390">
            <v>4000</v>
          </cell>
          <cell r="J390">
            <v>0</v>
          </cell>
          <cell r="K390">
            <v>3785</v>
          </cell>
          <cell r="L390">
            <v>0</v>
          </cell>
          <cell r="M390"/>
        </row>
        <row r="391">
          <cell r="A391" t="str">
            <v>10100191</v>
          </cell>
          <cell r="B391" t="str">
            <v>15132</v>
          </cell>
          <cell r="C391" t="str">
            <v>SORBATO DE POTASIO (PAQ: KILO)</v>
          </cell>
          <cell r="D391" t="str">
            <v>10100191</v>
          </cell>
          <cell r="E391" t="str">
            <v>MATERIAS PRIMAS PLANTA</v>
          </cell>
          <cell r="F391" t="str">
            <v>1 PAQUETE</v>
          </cell>
          <cell r="G391">
            <v>500</v>
          </cell>
          <cell r="H391" t="str">
            <v>27/03/2020</v>
          </cell>
          <cell r="I391">
            <v>4415.5</v>
          </cell>
          <cell r="J391">
            <v>0</v>
          </cell>
          <cell r="K391">
            <v>1000</v>
          </cell>
          <cell r="L391">
            <v>0</v>
          </cell>
        </row>
        <row r="392">
          <cell r="A392" t="str">
            <v>10100193</v>
          </cell>
          <cell r="B392" t="str">
            <v>15138</v>
          </cell>
          <cell r="C392" t="str">
            <v>CONSOME POLLO MAGGI (PAQ:1K)</v>
          </cell>
          <cell r="D392" t="str">
            <v>10100193</v>
          </cell>
          <cell r="E392" t="str">
            <v>MATERIAS PRIMAS PLANTA</v>
          </cell>
          <cell r="F392" t="str">
            <v>1 PAQUETE</v>
          </cell>
          <cell r="G392">
            <v>500</v>
          </cell>
          <cell r="H392" t="str">
            <v>21/05/2020</v>
          </cell>
          <cell r="I392">
            <v>3398</v>
          </cell>
          <cell r="J392">
            <v>4254</v>
          </cell>
          <cell r="K392">
            <v>1000</v>
          </cell>
          <cell r="L392">
            <v>4.2539999999999996</v>
          </cell>
          <cell r="M392"/>
        </row>
        <row r="393">
          <cell r="A393" t="str">
            <v>10100194</v>
          </cell>
          <cell r="B393" t="str">
            <v>15139</v>
          </cell>
          <cell r="C393" t="str">
            <v>NATILLA CREMOSITA 18% CON SAL(PAQ:300 G)</v>
          </cell>
          <cell r="D393" t="str">
            <v>10100194</v>
          </cell>
          <cell r="E393" t="str">
            <v>MATERIAS PRIMAS PLANTA</v>
          </cell>
          <cell r="F393" t="str">
            <v>1 PAQUETE</v>
          </cell>
          <cell r="G393">
            <v>500</v>
          </cell>
          <cell r="H393" t="str">
            <v>15/06/2020</v>
          </cell>
          <cell r="I393" t="e">
            <v>#N/A</v>
          </cell>
          <cell r="J393">
            <v>0</v>
          </cell>
          <cell r="K393">
            <v>300</v>
          </cell>
          <cell r="L393">
            <v>0</v>
          </cell>
        </row>
        <row r="394">
          <cell r="A394" t="str">
            <v>10100195</v>
          </cell>
          <cell r="B394" t="str">
            <v>15140</v>
          </cell>
          <cell r="C394" t="str">
            <v>QUESO MOLIDO (PAQ:1 K)</v>
          </cell>
          <cell r="D394" t="str">
            <v>10100195</v>
          </cell>
          <cell r="E394" t="str">
            <v>MATERIAS PRIMAS PLANTA</v>
          </cell>
          <cell r="F394" t="str">
            <v>1 PAQUETE</v>
          </cell>
          <cell r="G394">
            <v>500</v>
          </cell>
          <cell r="H394" t="str">
            <v>26/05/2020</v>
          </cell>
          <cell r="I394" t="e">
            <v>#N/A</v>
          </cell>
          <cell r="J394">
            <v>0</v>
          </cell>
          <cell r="K394">
            <v>1000</v>
          </cell>
          <cell r="L394">
            <v>0</v>
          </cell>
          <cell r="M394"/>
        </row>
        <row r="395">
          <cell r="A395" t="str">
            <v>10100197</v>
          </cell>
          <cell r="B395" t="str">
            <v>15142</v>
          </cell>
          <cell r="C395" t="str">
            <v>ARROZ PRECOC 95%TIO PELON (BULT:10/1.8K)</v>
          </cell>
          <cell r="D395" t="str">
            <v>10100197</v>
          </cell>
          <cell r="E395" t="str">
            <v>MATERIAS PRIMAS PLANTA</v>
          </cell>
          <cell r="F395" t="str">
            <v>1 BULTO</v>
          </cell>
          <cell r="G395">
            <v>500</v>
          </cell>
          <cell r="H395" t="str">
            <v>16/01/2020</v>
          </cell>
          <cell r="I395">
            <v>18503.636363599999</v>
          </cell>
          <cell r="J395">
            <v>0</v>
          </cell>
          <cell r="K395">
            <v>18000</v>
          </cell>
          <cell r="L395">
            <v>0</v>
          </cell>
          <cell r="M395" t="str">
            <v>Gramos</v>
          </cell>
        </row>
        <row r="396">
          <cell r="A396" t="str">
            <v>10100198</v>
          </cell>
          <cell r="B396" t="str">
            <v>15143</v>
          </cell>
          <cell r="C396" t="str">
            <v>CURCUMA POLVO (PAQ: 1 K)</v>
          </cell>
          <cell r="D396" t="str">
            <v>10100198</v>
          </cell>
          <cell r="E396" t="str">
            <v>MATERIAS PRIMAS PLANTA</v>
          </cell>
          <cell r="F396" t="str">
            <v>1 PAQUETE</v>
          </cell>
          <cell r="G396">
            <v>500</v>
          </cell>
          <cell r="H396" t="str">
            <v>17/01/2020</v>
          </cell>
          <cell r="I396" t="e">
            <v>#N/A</v>
          </cell>
          <cell r="J396">
            <v>0</v>
          </cell>
          <cell r="K396">
            <v>1000</v>
          </cell>
          <cell r="L396">
            <v>0</v>
          </cell>
          <cell r="M396"/>
        </row>
        <row r="397">
          <cell r="A397" t="str">
            <v>10100199</v>
          </cell>
          <cell r="B397" t="str">
            <v>15144</v>
          </cell>
          <cell r="C397" t="str">
            <v>PECHUGA VENTANITA CONCASA (KILO)</v>
          </cell>
          <cell r="D397" t="str">
            <v>10100199</v>
          </cell>
          <cell r="E397" t="str">
            <v>MATERIAS PRIMAS PLANTA</v>
          </cell>
          <cell r="F397" t="str">
            <v xml:space="preserve">1 KILO </v>
          </cell>
          <cell r="G397">
            <v>500</v>
          </cell>
          <cell r="H397" t="str">
            <v>15/06/2020</v>
          </cell>
          <cell r="I397">
            <v>4000.82</v>
          </cell>
          <cell r="J397">
            <v>0</v>
          </cell>
          <cell r="K397">
            <v>1000</v>
          </cell>
          <cell r="L397">
            <v>0</v>
          </cell>
          <cell r="M397" t="str">
            <v>Gramos</v>
          </cell>
        </row>
        <row r="398">
          <cell r="A398" t="str">
            <v>10100200</v>
          </cell>
          <cell r="B398" t="str">
            <v>15145</v>
          </cell>
          <cell r="C398" t="str">
            <v>MUSLO VENTANITA CONCASA (KILO)</v>
          </cell>
          <cell r="D398" t="str">
            <v>10100200</v>
          </cell>
          <cell r="E398" t="str">
            <v>MATERIAS PRIMAS PLANTA</v>
          </cell>
          <cell r="F398" t="str">
            <v xml:space="preserve">1 KILO  </v>
          </cell>
          <cell r="G398">
            <v>500</v>
          </cell>
          <cell r="H398" t="str">
            <v>15/06/2020</v>
          </cell>
          <cell r="I398">
            <v>4000</v>
          </cell>
          <cell r="J398">
            <v>0</v>
          </cell>
          <cell r="K398">
            <v>1000</v>
          </cell>
          <cell r="L398">
            <v>0</v>
          </cell>
          <cell r="M398" t="str">
            <v>Gramos</v>
          </cell>
        </row>
        <row r="399">
          <cell r="A399" t="str">
            <v>10100201</v>
          </cell>
          <cell r="B399" t="str">
            <v>15146</v>
          </cell>
          <cell r="C399" t="str">
            <v>COND FRIJOL MOLIDO GRIFF RP 4K(CJ:4 UND)</v>
          </cell>
          <cell r="D399" t="str">
            <v>10100201</v>
          </cell>
          <cell r="E399" t="str">
            <v>MATERIAS PRIMAS PLANTA</v>
          </cell>
          <cell r="F399" t="str">
            <v>1 CAJA</v>
          </cell>
          <cell r="G399">
            <v>500</v>
          </cell>
          <cell r="H399" t="str">
            <v>15/06/2020</v>
          </cell>
          <cell r="I399" t="e">
            <v>#N/A</v>
          </cell>
          <cell r="J399">
            <v>0</v>
          </cell>
          <cell r="K399"/>
          <cell r="L399" t="e">
            <v>#DIV/0!</v>
          </cell>
          <cell r="M399"/>
        </row>
        <row r="400">
          <cell r="A400" t="str">
            <v>10100202</v>
          </cell>
          <cell r="B400" t="str">
            <v>15148</v>
          </cell>
          <cell r="C400" t="str">
            <v>HARINA PALATINA CORRIENTE (SACO:25 K)</v>
          </cell>
          <cell r="D400" t="str">
            <v>10100202</v>
          </cell>
          <cell r="E400" t="str">
            <v>MATERIAS PRIMAS PLANTA</v>
          </cell>
          <cell r="F400" t="str">
            <v>1 SACO</v>
          </cell>
          <cell r="G400">
            <v>500</v>
          </cell>
          <cell r="H400" t="str">
            <v>13/06/2020</v>
          </cell>
          <cell r="I400">
            <v>11386.01</v>
          </cell>
          <cell r="J400">
            <v>0</v>
          </cell>
          <cell r="K400">
            <v>25000</v>
          </cell>
          <cell r="L400">
            <v>0</v>
          </cell>
          <cell r="M400"/>
        </row>
        <row r="401">
          <cell r="A401" t="str">
            <v>10100203</v>
          </cell>
          <cell r="B401" t="str">
            <v>15149</v>
          </cell>
          <cell r="C401" t="str">
            <v>GALLETA MARIA EN POLVO (PAQ:KILO)</v>
          </cell>
          <cell r="D401" t="str">
            <v>10100203</v>
          </cell>
          <cell r="E401" t="str">
            <v>MATERIAS PRIMAS PLANTA</v>
          </cell>
          <cell r="F401" t="str">
            <v>1 PAQUETE</v>
          </cell>
          <cell r="G401">
            <v>500</v>
          </cell>
          <cell r="H401" t="str">
            <v>19/03/2020</v>
          </cell>
          <cell r="I401">
            <v>3211</v>
          </cell>
          <cell r="J401">
            <v>0</v>
          </cell>
          <cell r="K401">
            <v>1000</v>
          </cell>
          <cell r="L401">
            <v>0</v>
          </cell>
          <cell r="M401"/>
        </row>
        <row r="402">
          <cell r="A402" t="str">
            <v>10100204</v>
          </cell>
          <cell r="B402" t="str">
            <v>15151</v>
          </cell>
          <cell r="C402" t="str">
            <v>QUESO CREMA IN LINE (UND: 210 G)</v>
          </cell>
          <cell r="D402" t="str">
            <v>10100204</v>
          </cell>
          <cell r="E402" t="str">
            <v>MATERIAS PRIMAS PLANTA</v>
          </cell>
          <cell r="F402" t="str">
            <v>1 UND</v>
          </cell>
          <cell r="G402">
            <v>500</v>
          </cell>
          <cell r="H402" t="str">
            <v>18/04/2020</v>
          </cell>
          <cell r="I402">
            <v>1056</v>
          </cell>
          <cell r="J402">
            <v>0</v>
          </cell>
          <cell r="K402">
            <v>210</v>
          </cell>
          <cell r="L402">
            <v>0</v>
          </cell>
          <cell r="M402"/>
        </row>
        <row r="403">
          <cell r="A403" t="str">
            <v>10100205</v>
          </cell>
          <cell r="B403" t="str">
            <v>15152</v>
          </cell>
          <cell r="C403" t="str">
            <v>CREMA DULCE (GALON) DPR</v>
          </cell>
          <cell r="D403" t="str">
            <v>10100205</v>
          </cell>
          <cell r="E403" t="str">
            <v>MATERIAS PRIMAS PLANTA</v>
          </cell>
          <cell r="F403" t="str">
            <v xml:space="preserve">1 GALON </v>
          </cell>
          <cell r="G403">
            <v>500</v>
          </cell>
          <cell r="H403" t="str">
            <v>11/06/2020</v>
          </cell>
          <cell r="I403">
            <v>9809</v>
          </cell>
          <cell r="J403">
            <v>0</v>
          </cell>
          <cell r="K403">
            <v>3785</v>
          </cell>
          <cell r="L403">
            <v>0</v>
          </cell>
          <cell r="M403" t="str">
            <v>Mililitros</v>
          </cell>
        </row>
        <row r="404">
          <cell r="A404" t="str">
            <v>10100206</v>
          </cell>
          <cell r="B404" t="str">
            <v>15153</v>
          </cell>
          <cell r="C404" t="str">
            <v>SUSTITUTO SUCRALOSA (PAQ: 5 KILOS)</v>
          </cell>
          <cell r="D404" t="str">
            <v>10100206</v>
          </cell>
          <cell r="E404" t="str">
            <v>MATERIAS PRIMAS PLANTA</v>
          </cell>
          <cell r="F404" t="str">
            <v>1 PAQUETE</v>
          </cell>
          <cell r="G404">
            <v>500</v>
          </cell>
          <cell r="H404" t="str">
            <v>27/03/2020</v>
          </cell>
          <cell r="I404" t="e">
            <v>#N/A</v>
          </cell>
          <cell r="J404">
            <v>0</v>
          </cell>
          <cell r="K404">
            <v>5000</v>
          </cell>
          <cell r="L404">
            <v>0</v>
          </cell>
          <cell r="M404"/>
        </row>
        <row r="405">
          <cell r="A405" t="str">
            <v>10100207</v>
          </cell>
          <cell r="B405" t="str">
            <v>15154</v>
          </cell>
          <cell r="C405" t="str">
            <v>LECHE DESCREMADA TB DOS PINOS(CAJA:12 L)</v>
          </cell>
          <cell r="D405" t="str">
            <v>10100207</v>
          </cell>
          <cell r="E405" t="str">
            <v>MATERIAS PRIMAS PLANTA</v>
          </cell>
          <cell r="F405" t="str">
            <v>1 CAJA</v>
          </cell>
          <cell r="G405">
            <v>500</v>
          </cell>
          <cell r="H405" t="str">
            <v>18/04/2020</v>
          </cell>
          <cell r="I405">
            <v>9320.5400000000009</v>
          </cell>
          <cell r="J405">
            <v>9796</v>
          </cell>
          <cell r="K405"/>
          <cell r="L405" t="e">
            <v>#DIV/0!</v>
          </cell>
          <cell r="M405"/>
        </row>
        <row r="406">
          <cell r="A406" t="str">
            <v>10100208</v>
          </cell>
          <cell r="B406" t="str">
            <v>15155</v>
          </cell>
          <cell r="C406" t="str">
            <v>MARACUYA (KILO)</v>
          </cell>
          <cell r="D406" t="str">
            <v>10100208</v>
          </cell>
          <cell r="E406" t="str">
            <v>MATERIAS PRIMAS PLANTA</v>
          </cell>
          <cell r="F406" t="str">
            <v xml:space="preserve">1 KILO </v>
          </cell>
          <cell r="G406">
            <v>500</v>
          </cell>
          <cell r="H406" t="str">
            <v>06/04/2020</v>
          </cell>
          <cell r="I406">
            <v>2465</v>
          </cell>
          <cell r="J406">
            <v>0</v>
          </cell>
          <cell r="K406">
            <v>1000</v>
          </cell>
          <cell r="L406">
            <v>0</v>
          </cell>
          <cell r="M406" t="str">
            <v>Gramos</v>
          </cell>
        </row>
        <row r="407">
          <cell r="A407" t="str">
            <v>10100211</v>
          </cell>
          <cell r="B407" t="str">
            <v>15177</v>
          </cell>
          <cell r="C407" t="str">
            <v>MANTECA CLOVER GRUESA 460G (CJ:40 UND)</v>
          </cell>
          <cell r="D407" t="str">
            <v>10100211</v>
          </cell>
          <cell r="E407" t="str">
            <v>MATERIAS PRIMAS PLANTA</v>
          </cell>
          <cell r="F407" t="str">
            <v>1 CAJA</v>
          </cell>
          <cell r="G407">
            <v>500</v>
          </cell>
          <cell r="H407" t="str">
            <v>28/05/2020</v>
          </cell>
          <cell r="I407" t="e">
            <v>#N/A</v>
          </cell>
          <cell r="J407">
            <v>0</v>
          </cell>
          <cell r="K407">
            <v>40</v>
          </cell>
          <cell r="L407">
            <v>0</v>
          </cell>
          <cell r="M407"/>
        </row>
        <row r="408">
          <cell r="A408" t="str">
            <v>10100212</v>
          </cell>
          <cell r="B408" t="str">
            <v>15188</v>
          </cell>
          <cell r="C408" t="str">
            <v>CEBOLLA ROSTI (PAQ: 2.5K)</v>
          </cell>
          <cell r="D408" t="str">
            <v>10100212</v>
          </cell>
          <cell r="E408" t="str">
            <v>MATERIAS PRIMAS PLANTA</v>
          </cell>
          <cell r="F408" t="str">
            <v>1 PAQUETE</v>
          </cell>
          <cell r="G408">
            <v>500</v>
          </cell>
          <cell r="H408" t="str">
            <v>16/06/2020</v>
          </cell>
          <cell r="I408" t="e">
            <v>#N/A</v>
          </cell>
          <cell r="J408">
            <v>0</v>
          </cell>
          <cell r="K408">
            <v>2500</v>
          </cell>
          <cell r="L408">
            <v>0</v>
          </cell>
          <cell r="M408"/>
        </row>
        <row r="409">
          <cell r="A409" t="str">
            <v>10100213</v>
          </cell>
          <cell r="B409" t="str">
            <v>15189</v>
          </cell>
          <cell r="C409" t="str">
            <v>VINAGRE DULCE GRIFF RP 4 K (CAJA:4 UND)</v>
          </cell>
          <cell r="D409" t="str">
            <v>10100213</v>
          </cell>
          <cell r="E409" t="str">
            <v>MATERIAS PRIMAS PLANTA</v>
          </cell>
          <cell r="F409" t="str">
            <v>1 CAJA</v>
          </cell>
          <cell r="G409">
            <v>500</v>
          </cell>
          <cell r="H409" t="str">
            <v>15/06/2020</v>
          </cell>
          <cell r="I409">
            <v>11616</v>
          </cell>
          <cell r="J409">
            <v>0</v>
          </cell>
          <cell r="K409"/>
          <cell r="L409" t="e">
            <v>#DIV/0!</v>
          </cell>
          <cell r="M409"/>
        </row>
        <row r="410">
          <cell r="A410" t="str">
            <v>10100214</v>
          </cell>
          <cell r="B410" t="str">
            <v>15234</v>
          </cell>
          <cell r="C410" t="str">
            <v>VINAGRE PICANTE GRIFF RP 4K(CAJA:4 UND )</v>
          </cell>
          <cell r="D410" t="str">
            <v>10100214</v>
          </cell>
          <cell r="E410" t="str">
            <v>MATERIAS PRIMAS PLANTA</v>
          </cell>
          <cell r="F410" t="str">
            <v>1 CAJA</v>
          </cell>
          <cell r="G410">
            <v>500</v>
          </cell>
          <cell r="H410" t="str">
            <v>15/06/2020</v>
          </cell>
          <cell r="I410" t="e">
            <v>#N/A</v>
          </cell>
          <cell r="J410">
            <v>0</v>
          </cell>
          <cell r="K410"/>
          <cell r="L410" t="e">
            <v>#DIV/0!</v>
          </cell>
          <cell r="M410"/>
        </row>
        <row r="411">
          <cell r="A411" t="str">
            <v>10100215</v>
          </cell>
          <cell r="B411" t="str">
            <v>15244</v>
          </cell>
          <cell r="C411" t="str">
            <v>COCO DESHIDRATADO MEDIO (PAQ: KILO)</v>
          </cell>
          <cell r="D411" t="str">
            <v>10100215</v>
          </cell>
          <cell r="E411" t="str">
            <v>MATERIAS PRIMAS PLANTA</v>
          </cell>
          <cell r="F411" t="str">
            <v>1 PAQUETE</v>
          </cell>
          <cell r="G411">
            <v>500</v>
          </cell>
          <cell r="H411" t="str">
            <v>22/02/2020</v>
          </cell>
          <cell r="I411">
            <v>2742</v>
          </cell>
          <cell r="J411">
            <v>0</v>
          </cell>
          <cell r="K411">
            <v>1000</v>
          </cell>
          <cell r="L411">
            <v>0</v>
          </cell>
          <cell r="M411"/>
        </row>
        <row r="412">
          <cell r="A412" t="str">
            <v>10100217</v>
          </cell>
          <cell r="B412" t="str">
            <v>15248</v>
          </cell>
          <cell r="C412" t="str">
            <v>CONDIMENTO CAJUN (PAQ:1 K)</v>
          </cell>
          <cell r="D412" t="str">
            <v>10100217</v>
          </cell>
          <cell r="E412" t="str">
            <v>MATERIAS PRIMAS PLANTA</v>
          </cell>
          <cell r="F412" t="str">
            <v>1 PAQUETE</v>
          </cell>
          <cell r="G412">
            <v>500</v>
          </cell>
          <cell r="H412" t="str">
            <v>17/01/2020</v>
          </cell>
          <cell r="I412" t="e">
            <v>#N/A</v>
          </cell>
          <cell r="J412">
            <v>0</v>
          </cell>
          <cell r="K412">
            <v>1000</v>
          </cell>
          <cell r="L412">
            <v>0</v>
          </cell>
          <cell r="M412"/>
        </row>
        <row r="413">
          <cell r="A413" t="str">
            <v>10100218</v>
          </cell>
          <cell r="B413" t="str">
            <v>15252</v>
          </cell>
          <cell r="C413" t="str">
            <v>QUESO SEMIDURO DADOS RD (KILO)</v>
          </cell>
          <cell r="D413" t="str">
            <v>10100218</v>
          </cell>
          <cell r="E413" t="str">
            <v>MATERIAS PRIMAS PLANTA</v>
          </cell>
          <cell r="F413" t="str">
            <v xml:space="preserve">1 KILO </v>
          </cell>
          <cell r="G413">
            <v>500</v>
          </cell>
          <cell r="H413" t="str">
            <v>15/06/2020</v>
          </cell>
          <cell r="I413" t="e">
            <v>#N/A</v>
          </cell>
          <cell r="J413">
            <v>0</v>
          </cell>
          <cell r="K413">
            <v>1000</v>
          </cell>
          <cell r="L413">
            <v>0</v>
          </cell>
          <cell r="M413" t="str">
            <v>Gramos</v>
          </cell>
        </row>
        <row r="414">
          <cell r="A414" t="str">
            <v>10100219</v>
          </cell>
          <cell r="B414" t="str">
            <v>15281</v>
          </cell>
          <cell r="C414" t="str">
            <v>POLLO LOMITO S/R FCO (30 KG)</v>
          </cell>
          <cell r="D414" t="str">
            <v>10100219</v>
          </cell>
          <cell r="E414" t="str">
            <v>MATERIAS PRIMAS PLANTA</v>
          </cell>
          <cell r="F414" t="str">
            <v xml:space="preserve">1 KILO </v>
          </cell>
          <cell r="G414">
            <v>500</v>
          </cell>
          <cell r="H414" t="str">
            <v>04/06/2020</v>
          </cell>
          <cell r="I414" t="e">
            <v>#N/A</v>
          </cell>
          <cell r="J414">
            <v>0</v>
          </cell>
          <cell r="K414">
            <v>1000</v>
          </cell>
          <cell r="L414">
            <v>0</v>
          </cell>
          <cell r="M414" t="str">
            <v>Gramos</v>
          </cell>
        </row>
        <row r="415">
          <cell r="A415" t="str">
            <v>10100220</v>
          </cell>
          <cell r="B415" t="str">
            <v>15282</v>
          </cell>
          <cell r="C415" t="str">
            <v>SALSA POLLO ROSTI GRIFF RP 6K (CJ:2 UND)</v>
          </cell>
          <cell r="D415" t="str">
            <v>10100220</v>
          </cell>
          <cell r="E415" t="str">
            <v>MATERIAS PRIMAS PLANTA</v>
          </cell>
          <cell r="F415" t="str">
            <v>1 CAJA</v>
          </cell>
          <cell r="G415">
            <v>500</v>
          </cell>
          <cell r="H415" t="str">
            <v>25/05/2020</v>
          </cell>
          <cell r="I415" t="e">
            <v>#N/A</v>
          </cell>
          <cell r="J415">
            <v>0</v>
          </cell>
          <cell r="K415"/>
          <cell r="L415" t="e">
            <v>#DIV/0!</v>
          </cell>
          <cell r="M415"/>
        </row>
        <row r="416">
          <cell r="A416" t="str">
            <v>10100221</v>
          </cell>
          <cell r="B416" t="str">
            <v>15283</v>
          </cell>
          <cell r="C416" t="str">
            <v>SALSA SOYA KIKOMAN (GALON)</v>
          </cell>
          <cell r="D416" t="str">
            <v>10100221</v>
          </cell>
          <cell r="E416" t="str">
            <v>MATERIAS PRIMAS PLANTA</v>
          </cell>
          <cell r="F416" t="str">
            <v xml:space="preserve">1 GALON </v>
          </cell>
          <cell r="G416">
            <v>500</v>
          </cell>
          <cell r="H416" t="str">
            <v>23/01/2020</v>
          </cell>
          <cell r="I416" t="e">
            <v>#N/A</v>
          </cell>
          <cell r="J416">
            <v>0</v>
          </cell>
          <cell r="K416">
            <v>3785</v>
          </cell>
          <cell r="L416">
            <v>0</v>
          </cell>
          <cell r="M416"/>
        </row>
        <row r="417">
          <cell r="A417" t="str">
            <v>10100222</v>
          </cell>
          <cell r="B417" t="str">
            <v>15284</v>
          </cell>
          <cell r="C417" t="str">
            <v>MAICENA DURYEA (PAQ: 2.3 K)</v>
          </cell>
          <cell r="D417" t="str">
            <v>10100222</v>
          </cell>
          <cell r="E417" t="str">
            <v>MATERIAS PRIMAS PLANTA</v>
          </cell>
          <cell r="F417" t="str">
            <v>1 PAQUETE</v>
          </cell>
          <cell r="G417">
            <v>500</v>
          </cell>
          <cell r="H417" t="str">
            <v>27/03/2020</v>
          </cell>
          <cell r="I417">
            <v>4995</v>
          </cell>
          <cell r="J417">
            <v>0</v>
          </cell>
          <cell r="K417">
            <v>2300</v>
          </cell>
          <cell r="L417">
            <v>0</v>
          </cell>
          <cell r="M417"/>
        </row>
        <row r="418">
          <cell r="A418" t="str">
            <v>10100223</v>
          </cell>
          <cell r="B418" t="str">
            <v>15285</v>
          </cell>
          <cell r="C418" t="str">
            <v>ADEREZO JENGIBRE C/AJONJOLI (UND:3.78 K)</v>
          </cell>
          <cell r="D418" t="str">
            <v>10100223</v>
          </cell>
          <cell r="E418" t="str">
            <v>MATERIAS PRIMAS PLANTA</v>
          </cell>
          <cell r="F418" t="str">
            <v>1 UND</v>
          </cell>
          <cell r="G418">
            <v>500</v>
          </cell>
          <cell r="H418" t="str">
            <v>30/05/2020</v>
          </cell>
          <cell r="I418" t="e">
            <v>#N/A</v>
          </cell>
          <cell r="J418">
            <v>0</v>
          </cell>
          <cell r="K418">
            <v>3780</v>
          </cell>
          <cell r="L418">
            <v>0</v>
          </cell>
          <cell r="M418"/>
        </row>
        <row r="419">
          <cell r="A419" t="str">
            <v>10100224</v>
          </cell>
          <cell r="B419" t="str">
            <v>15305</v>
          </cell>
          <cell r="C419" t="str">
            <v>REPOLLO VERDE GRANEL (KILO)</v>
          </cell>
          <cell r="D419" t="str">
            <v>10100224</v>
          </cell>
          <cell r="E419" t="str">
            <v>MATERIAS PRIMAS PLANTA</v>
          </cell>
          <cell r="F419" t="str">
            <v xml:space="preserve">1 KILO </v>
          </cell>
          <cell r="G419">
            <v>500</v>
          </cell>
          <cell r="H419" t="str">
            <v>16/06/2020</v>
          </cell>
          <cell r="I419">
            <v>600</v>
          </cell>
          <cell r="J419">
            <v>0</v>
          </cell>
          <cell r="K419">
            <v>1000</v>
          </cell>
          <cell r="L419">
            <v>0</v>
          </cell>
          <cell r="M419" t="str">
            <v>Gramos</v>
          </cell>
        </row>
        <row r="420">
          <cell r="A420" t="str">
            <v>10100225</v>
          </cell>
          <cell r="B420" t="str">
            <v>15309</v>
          </cell>
          <cell r="C420" t="str">
            <v>ACEITE POMACE 90% CANOLA OLIVA (GALON)</v>
          </cell>
          <cell r="D420" t="str">
            <v>10100225</v>
          </cell>
          <cell r="E420" t="str">
            <v>MATERIAS PRIMAS PLANTA</v>
          </cell>
          <cell r="F420" t="str">
            <v xml:space="preserve">1 GALON </v>
          </cell>
          <cell r="G420">
            <v>500</v>
          </cell>
          <cell r="H420" t="str">
            <v>28/05/2020</v>
          </cell>
          <cell r="I420">
            <v>8428</v>
          </cell>
          <cell r="J420">
            <v>0</v>
          </cell>
          <cell r="K420">
            <v>3785</v>
          </cell>
          <cell r="L420">
            <v>0</v>
          </cell>
          <cell r="M420" t="str">
            <v>Gramos</v>
          </cell>
        </row>
        <row r="421">
          <cell r="A421" t="str">
            <v>10100226</v>
          </cell>
          <cell r="B421" t="str">
            <v>15322</v>
          </cell>
          <cell r="C421" t="str">
            <v>PANKO COSTRA DE PAN (PAQ:20 LB)</v>
          </cell>
          <cell r="D421" t="str">
            <v>10100226</v>
          </cell>
          <cell r="E421" t="str">
            <v>MATERIAS PRIMAS PLANTA</v>
          </cell>
          <cell r="F421" t="str">
            <v>1 PAQUETE</v>
          </cell>
          <cell r="G421">
            <v>500</v>
          </cell>
          <cell r="H421" t="str">
            <v>17/01/2020</v>
          </cell>
          <cell r="I421" t="e">
            <v>#N/A</v>
          </cell>
          <cell r="J421">
            <v>0</v>
          </cell>
          <cell r="K421"/>
          <cell r="L421" t="e">
            <v>#DIV/0!</v>
          </cell>
          <cell r="M421"/>
        </row>
        <row r="422">
          <cell r="A422" t="str">
            <v>10100227</v>
          </cell>
          <cell r="B422" t="str">
            <v>15325</v>
          </cell>
          <cell r="C422" t="str">
            <v>ROSA JAMAICA (PAQ:KILO)</v>
          </cell>
          <cell r="D422" t="str">
            <v>10100227</v>
          </cell>
          <cell r="E422" t="str">
            <v>MATERIAS PRIMAS PLANTA</v>
          </cell>
          <cell r="F422" t="str">
            <v>1 PAQUETE</v>
          </cell>
          <cell r="G422">
            <v>500</v>
          </cell>
          <cell r="H422" t="str">
            <v>02/05/2020</v>
          </cell>
          <cell r="I422">
            <v>7500</v>
          </cell>
          <cell r="J422">
            <v>0</v>
          </cell>
          <cell r="K422">
            <v>1000</v>
          </cell>
          <cell r="L422">
            <v>0</v>
          </cell>
          <cell r="M422"/>
        </row>
        <row r="423">
          <cell r="A423" t="str">
            <v>10100229</v>
          </cell>
          <cell r="B423" t="str">
            <v>15328</v>
          </cell>
          <cell r="C423" t="str">
            <v>NEGRO B100 ESPECIAL (BULTO:36 PAQ)</v>
          </cell>
          <cell r="D423" t="str">
            <v>10100229</v>
          </cell>
          <cell r="E423" t="str">
            <v>MATERIAS PRIMAS PLANTA</v>
          </cell>
          <cell r="F423" t="str">
            <v>1 BULTO</v>
          </cell>
          <cell r="G423">
            <v>500</v>
          </cell>
          <cell r="H423" t="str">
            <v>13/05/2020</v>
          </cell>
          <cell r="I423">
            <v>41400</v>
          </cell>
          <cell r="J423">
            <v>43470</v>
          </cell>
          <cell r="K423">
            <v>3600</v>
          </cell>
          <cell r="L423">
            <v>12.074999999999999</v>
          </cell>
          <cell r="M423"/>
        </row>
        <row r="424">
          <cell r="A424" t="str">
            <v>10100230</v>
          </cell>
          <cell r="B424" t="str">
            <v>15334</v>
          </cell>
          <cell r="C424" t="str">
            <v>FRESA CONGELADA BEGRO (PAQ:1 K)</v>
          </cell>
          <cell r="D424" t="str">
            <v>10100230</v>
          </cell>
          <cell r="E424" t="str">
            <v>MATERIAS PRIMAS PLANTA</v>
          </cell>
          <cell r="F424" t="str">
            <v>1 PAQUETE</v>
          </cell>
          <cell r="G424">
            <v>500</v>
          </cell>
          <cell r="H424" t="str">
            <v>08/06/2020</v>
          </cell>
          <cell r="I424">
            <v>1940</v>
          </cell>
          <cell r="J424">
            <v>2470</v>
          </cell>
          <cell r="K424">
            <v>1000</v>
          </cell>
          <cell r="L424">
            <v>2.4700000000000002</v>
          </cell>
          <cell r="M424" t="str">
            <v>Gramos</v>
          </cell>
        </row>
        <row r="425">
          <cell r="A425" t="str">
            <v>10100235</v>
          </cell>
          <cell r="B425" t="str">
            <v>15344</v>
          </cell>
          <cell r="C425" t="str">
            <v>QUESO MOZA RALLADO CONGEL PIZZA (PAQ:2K)</v>
          </cell>
          <cell r="D425" t="str">
            <v>10100235</v>
          </cell>
          <cell r="E425" t="str">
            <v>MATERIAS PRIMAS PLANTA</v>
          </cell>
          <cell r="F425" t="str">
            <v>1 PAQUETE</v>
          </cell>
          <cell r="G425">
            <v>500</v>
          </cell>
          <cell r="H425" t="str">
            <v>01/06/2020</v>
          </cell>
          <cell r="I425">
            <v>9356.44</v>
          </cell>
          <cell r="J425">
            <v>0</v>
          </cell>
          <cell r="K425">
            <v>2000</v>
          </cell>
          <cell r="L425">
            <v>0</v>
          </cell>
          <cell r="M425" t="str">
            <v>Gramos</v>
          </cell>
        </row>
        <row r="426">
          <cell r="A426" t="str">
            <v>10100237</v>
          </cell>
          <cell r="B426" t="str">
            <v>15361</v>
          </cell>
          <cell r="C426" t="str">
            <v>PREMEZCLA CHOCOLATE RICHS (SACO:30 LB)</v>
          </cell>
          <cell r="D426" t="str">
            <v>10100237</v>
          </cell>
          <cell r="E426" t="str">
            <v>MATERIAS PRIMAS PLANTA</v>
          </cell>
          <cell r="F426" t="str">
            <v>1 SACO</v>
          </cell>
          <cell r="G426">
            <v>500</v>
          </cell>
          <cell r="H426" t="str">
            <v>08/06/2020</v>
          </cell>
          <cell r="I426">
            <v>28976</v>
          </cell>
          <cell r="J426">
            <v>0</v>
          </cell>
          <cell r="K426"/>
          <cell r="L426" t="e">
            <v>#DIV/0!</v>
          </cell>
          <cell r="M426"/>
        </row>
        <row r="427">
          <cell r="A427" t="str">
            <v>10100238</v>
          </cell>
          <cell r="B427" t="str">
            <v>15366</v>
          </cell>
          <cell r="C427" t="str">
            <v>COBERTURA DONA CHOCOLAT RICH (UND:23 LB)</v>
          </cell>
          <cell r="D427" t="str">
            <v>10100238</v>
          </cell>
          <cell r="E427" t="str">
            <v>MATERIAS PRIMAS PLANTA</v>
          </cell>
          <cell r="F427" t="str">
            <v>1 UND</v>
          </cell>
          <cell r="G427">
            <v>500</v>
          </cell>
          <cell r="H427" t="str">
            <v>10/06/2020</v>
          </cell>
          <cell r="I427">
            <v>30491</v>
          </cell>
          <cell r="J427">
            <v>0</v>
          </cell>
          <cell r="K427">
            <v>10432</v>
          </cell>
          <cell r="L427">
            <v>0</v>
          </cell>
          <cell r="M427" t="str">
            <v>Gramos</v>
          </cell>
        </row>
        <row r="428">
          <cell r="A428" t="str">
            <v>10100239</v>
          </cell>
          <cell r="B428" t="str">
            <v>15370</v>
          </cell>
          <cell r="C428" t="str">
            <v>TOMATE SALSA (KILO)</v>
          </cell>
          <cell r="D428" t="str">
            <v>10100239</v>
          </cell>
          <cell r="E428" t="str">
            <v>MATERIAS PRIMAS PLANTA</v>
          </cell>
          <cell r="F428" t="str">
            <v xml:space="preserve">1 KILO </v>
          </cell>
          <cell r="G428">
            <v>500</v>
          </cell>
          <cell r="H428" t="str">
            <v>26/03/2020</v>
          </cell>
          <cell r="I428">
            <v>1100</v>
          </cell>
          <cell r="J428">
            <v>0</v>
          </cell>
          <cell r="K428">
            <v>1000</v>
          </cell>
          <cell r="L428">
            <v>0</v>
          </cell>
          <cell r="M428" t="str">
            <v>Gramos</v>
          </cell>
        </row>
        <row r="429">
          <cell r="A429" t="str">
            <v>10100241</v>
          </cell>
          <cell r="B429" t="str">
            <v>15372</v>
          </cell>
          <cell r="C429" t="str">
            <v>APIO GRANEL (KILO)</v>
          </cell>
          <cell r="D429" t="str">
            <v>10100241</v>
          </cell>
          <cell r="E429" t="str">
            <v>MATERIAS PRIMAS PLANTA</v>
          </cell>
          <cell r="F429" t="str">
            <v xml:space="preserve">1 KILO </v>
          </cell>
          <cell r="G429">
            <v>500</v>
          </cell>
          <cell r="H429" t="str">
            <v>13/06/2020</v>
          </cell>
          <cell r="I429">
            <v>1000</v>
          </cell>
          <cell r="J429">
            <v>0</v>
          </cell>
          <cell r="K429">
            <v>1000</v>
          </cell>
          <cell r="L429">
            <v>0</v>
          </cell>
          <cell r="M429" t="str">
            <v>Gramos</v>
          </cell>
        </row>
        <row r="430">
          <cell r="A430" t="str">
            <v>10100242</v>
          </cell>
          <cell r="B430" t="str">
            <v>15377</v>
          </cell>
          <cell r="C430" t="str">
            <v>SALSA INGLESA DEL LLANO (GALON)</v>
          </cell>
          <cell r="D430" t="str">
            <v>10100242</v>
          </cell>
          <cell r="E430" t="str">
            <v>MATERIAS PRIMAS PLANTA</v>
          </cell>
          <cell r="F430" t="str">
            <v xml:space="preserve">1 GALON </v>
          </cell>
          <cell r="G430">
            <v>500</v>
          </cell>
          <cell r="H430" t="str">
            <v>16/04/2020</v>
          </cell>
          <cell r="I430">
            <v>4419.3999999999996</v>
          </cell>
          <cell r="J430">
            <v>0</v>
          </cell>
          <cell r="K430">
            <v>3785</v>
          </cell>
          <cell r="L430">
            <v>0</v>
          </cell>
          <cell r="M430" t="str">
            <v>Mililitros</v>
          </cell>
        </row>
        <row r="431">
          <cell r="A431" t="str">
            <v>10100243</v>
          </cell>
          <cell r="B431" t="str">
            <v>15379</v>
          </cell>
          <cell r="C431" t="str">
            <v>BATTER ZFC (PAQ: 1 K)</v>
          </cell>
          <cell r="D431" t="str">
            <v>10100243</v>
          </cell>
          <cell r="E431" t="str">
            <v>MATERIAS PRIMAS PLANTA</v>
          </cell>
          <cell r="F431" t="str">
            <v>1 PAQUETE</v>
          </cell>
          <cell r="G431">
            <v>500</v>
          </cell>
          <cell r="H431" t="str">
            <v>21/01/2020</v>
          </cell>
          <cell r="I431" t="e">
            <v>#N/A</v>
          </cell>
          <cell r="J431">
            <v>0</v>
          </cell>
          <cell r="K431">
            <v>1000</v>
          </cell>
          <cell r="L431">
            <v>0</v>
          </cell>
          <cell r="M431"/>
        </row>
        <row r="432">
          <cell r="A432" t="str">
            <v>10100244</v>
          </cell>
          <cell r="B432" t="str">
            <v>15380</v>
          </cell>
          <cell r="C432" t="str">
            <v>EMPANIZADOR ROSTIPOLLOS (UND: 25 K)</v>
          </cell>
          <cell r="D432" t="str">
            <v>10100244</v>
          </cell>
          <cell r="E432" t="str">
            <v>MATERIAS PRIMAS PLANTA</v>
          </cell>
          <cell r="F432" t="str">
            <v>1 UND</v>
          </cell>
          <cell r="G432">
            <v>500</v>
          </cell>
          <cell r="H432" t="str">
            <v>25/05/2020</v>
          </cell>
          <cell r="I432" t="e">
            <v>#N/A</v>
          </cell>
          <cell r="J432">
            <v>0</v>
          </cell>
          <cell r="K432">
            <v>25000</v>
          </cell>
          <cell r="L432">
            <v>0</v>
          </cell>
          <cell r="M432"/>
        </row>
        <row r="433">
          <cell r="A433" t="str">
            <v>10100245</v>
          </cell>
          <cell r="B433" t="str">
            <v>15387</v>
          </cell>
          <cell r="C433" t="str">
            <v>PREMEZCLA VAINILLA RICHS (SACO:30 LBS)</v>
          </cell>
          <cell r="D433" t="str">
            <v>10100245</v>
          </cell>
          <cell r="E433" t="str">
            <v>MATERIAS PRIMAS PLANTA</v>
          </cell>
          <cell r="F433" t="str">
            <v>1 SACO</v>
          </cell>
          <cell r="G433">
            <v>500</v>
          </cell>
          <cell r="H433" t="str">
            <v>18/05/2020</v>
          </cell>
          <cell r="I433">
            <v>24010</v>
          </cell>
          <cell r="J433">
            <v>0</v>
          </cell>
          <cell r="K433"/>
          <cell r="L433" t="e">
            <v>#DIV/0!</v>
          </cell>
          <cell r="M433"/>
        </row>
        <row r="434">
          <cell r="A434" t="str">
            <v>10100249</v>
          </cell>
          <cell r="B434" t="str">
            <v>15402</v>
          </cell>
          <cell r="C434" t="str">
            <v>SALSA BARBACOA CHIPOTLE MIEL (UND:3.7 K)</v>
          </cell>
          <cell r="D434" t="str">
            <v>10100249</v>
          </cell>
          <cell r="E434" t="str">
            <v>MATERIAS PRIMAS PLANTA</v>
          </cell>
          <cell r="F434" t="str">
            <v>1 UND</v>
          </cell>
          <cell r="G434">
            <v>500</v>
          </cell>
          <cell r="H434" t="str">
            <v>28/01/2020</v>
          </cell>
          <cell r="I434">
            <v>9429</v>
          </cell>
          <cell r="J434">
            <v>0</v>
          </cell>
          <cell r="K434">
            <v>3700</v>
          </cell>
          <cell r="L434">
            <v>0</v>
          </cell>
          <cell r="M434"/>
        </row>
        <row r="435">
          <cell r="A435" t="str">
            <v>10100250</v>
          </cell>
          <cell r="B435" t="str">
            <v>15436</v>
          </cell>
          <cell r="C435" t="str">
            <v>PAPA TOSTADA KITTY (PAQ: 1 K)</v>
          </cell>
          <cell r="D435" t="str">
            <v>10100250</v>
          </cell>
          <cell r="E435" t="str">
            <v>MATERIAS PRIMAS PLANTA</v>
          </cell>
          <cell r="F435" t="str">
            <v>1 PAQUETE</v>
          </cell>
          <cell r="G435">
            <v>500</v>
          </cell>
          <cell r="H435" t="str">
            <v>30/12/2019</v>
          </cell>
          <cell r="I435">
            <v>5777.3329999999996</v>
          </cell>
          <cell r="J435">
            <v>0</v>
          </cell>
          <cell r="K435">
            <v>1000</v>
          </cell>
          <cell r="L435">
            <v>0</v>
          </cell>
          <cell r="M435"/>
        </row>
        <row r="436">
          <cell r="A436" t="str">
            <v>10100252</v>
          </cell>
          <cell r="B436" t="str">
            <v>15479</v>
          </cell>
          <cell r="C436" t="str">
            <v>TORTILLA TRIGO MISION 12" CON (CJ:6 PAQ)</v>
          </cell>
          <cell r="D436" t="str">
            <v>10100252</v>
          </cell>
          <cell r="E436" t="str">
            <v>MATERIAS PRIMAS PLANTA</v>
          </cell>
          <cell r="F436" t="str">
            <v>1 CAJA</v>
          </cell>
          <cell r="G436">
            <v>500</v>
          </cell>
          <cell r="H436" t="str">
            <v>26/02/2020</v>
          </cell>
          <cell r="I436">
            <v>6050</v>
          </cell>
          <cell r="J436">
            <v>9517</v>
          </cell>
          <cell r="K436">
            <v>60</v>
          </cell>
          <cell r="L436">
            <v>158.61666666666667</v>
          </cell>
          <cell r="M436" t="str">
            <v>Unidad</v>
          </cell>
        </row>
        <row r="437">
          <cell r="A437" t="str">
            <v>10100253</v>
          </cell>
          <cell r="B437" t="str">
            <v>15538</v>
          </cell>
          <cell r="C437" t="str">
            <v>LENTEJAS ( PAQ:1 K)</v>
          </cell>
          <cell r="D437" t="str">
            <v>10100253</v>
          </cell>
          <cell r="E437" t="str">
            <v>MATERIAS PRIMAS PLANTA</v>
          </cell>
          <cell r="F437" t="str">
            <v xml:space="preserve">1 PAQUETE </v>
          </cell>
          <cell r="G437">
            <v>500</v>
          </cell>
          <cell r="H437" t="str">
            <v>29/04/2020</v>
          </cell>
          <cell r="I437">
            <v>1250</v>
          </cell>
          <cell r="J437">
            <v>1406</v>
          </cell>
          <cell r="K437">
            <v>1000</v>
          </cell>
          <cell r="L437">
            <v>1.4059999999999999</v>
          </cell>
          <cell r="M437"/>
        </row>
        <row r="438">
          <cell r="A438" t="str">
            <v>10100255</v>
          </cell>
          <cell r="B438" t="str">
            <v>15609</v>
          </cell>
          <cell r="C438" t="str">
            <v>PAPA GAJO CASCARA HIERBA (CAJA:4/2.5k)</v>
          </cell>
          <cell r="D438" t="str">
            <v>10100255</v>
          </cell>
          <cell r="E438" t="str">
            <v>MATERIAS PRIMAS PLANTA</v>
          </cell>
          <cell r="F438" t="str">
            <v>1 CAJA</v>
          </cell>
          <cell r="G438">
            <v>500</v>
          </cell>
          <cell r="H438" t="str">
            <v>19/12/2019</v>
          </cell>
          <cell r="I438">
            <v>19540</v>
          </cell>
          <cell r="J438">
            <v>0</v>
          </cell>
          <cell r="K438">
            <v>10000</v>
          </cell>
          <cell r="L438">
            <v>0</v>
          </cell>
          <cell r="M438"/>
        </row>
        <row r="439">
          <cell r="A439" t="str">
            <v>10100256</v>
          </cell>
          <cell r="B439" t="str">
            <v>15823</v>
          </cell>
          <cell r="C439" t="str">
            <v>FRIJOLES MOLIDOS SADE (PAQ: 4 K)</v>
          </cell>
          <cell r="D439" t="str">
            <v>10100256</v>
          </cell>
          <cell r="E439" t="str">
            <v>MATERIAS PRIMAS PLANTA</v>
          </cell>
          <cell r="F439" t="str">
            <v>1 PAQUETE</v>
          </cell>
          <cell r="G439">
            <v>500</v>
          </cell>
          <cell r="H439" t="str">
            <v>09/06/2020</v>
          </cell>
          <cell r="I439" t="e">
            <v>#N/A</v>
          </cell>
          <cell r="J439">
            <v>0</v>
          </cell>
          <cell r="K439">
            <v>4000</v>
          </cell>
          <cell r="L439">
            <v>0</v>
          </cell>
          <cell r="M439"/>
        </row>
        <row r="440">
          <cell r="A440" t="str">
            <v>10100259</v>
          </cell>
          <cell r="B440" t="str">
            <v>15846</v>
          </cell>
          <cell r="C440" t="str">
            <v>CHAYOTE TIERNO CUBO (PAQ:2K)</v>
          </cell>
          <cell r="D440" t="str">
            <v>10100259</v>
          </cell>
          <cell r="E440" t="str">
            <v>MATERIAS PRIMAS PLANTA</v>
          </cell>
          <cell r="F440" t="str">
            <v>1 PAQUETE</v>
          </cell>
          <cell r="G440">
            <v>500</v>
          </cell>
          <cell r="H440" t="str">
            <v>16/06/2020</v>
          </cell>
          <cell r="I440" t="e">
            <v>#N/A</v>
          </cell>
          <cell r="J440">
            <v>0</v>
          </cell>
          <cell r="K440">
            <v>2000</v>
          </cell>
          <cell r="L440">
            <v>0</v>
          </cell>
          <cell r="M440"/>
        </row>
        <row r="441">
          <cell r="A441" t="str">
            <v>10100260</v>
          </cell>
          <cell r="B441" t="str">
            <v>15847</v>
          </cell>
          <cell r="C441" t="str">
            <v>HIERBA BUENA GRANEL (KILO)</v>
          </cell>
          <cell r="D441" t="str">
            <v>10100260</v>
          </cell>
          <cell r="E441" t="str">
            <v>MATERIAS PRIMAS PLANTA</v>
          </cell>
          <cell r="F441" t="str">
            <v>1 KILO</v>
          </cell>
          <cell r="G441">
            <v>500</v>
          </cell>
          <cell r="H441" t="str">
            <v>09/05/2020</v>
          </cell>
          <cell r="I441">
            <v>6000</v>
          </cell>
          <cell r="J441">
            <v>0</v>
          </cell>
          <cell r="K441">
            <v>1000</v>
          </cell>
          <cell r="L441">
            <v>0</v>
          </cell>
          <cell r="M441" t="str">
            <v>Gramos</v>
          </cell>
        </row>
        <row r="442">
          <cell r="A442" t="str">
            <v>10100261</v>
          </cell>
          <cell r="B442" t="str">
            <v>15848</v>
          </cell>
          <cell r="C442" t="str">
            <v>GARBANZO MFS (PAQ:KILO)</v>
          </cell>
          <cell r="D442" t="str">
            <v>10100261</v>
          </cell>
          <cell r="E442" t="str">
            <v>MATERIAS PRIMAS PLANTA</v>
          </cell>
          <cell r="F442" t="str">
            <v>1 PAQUETE</v>
          </cell>
          <cell r="G442">
            <v>500</v>
          </cell>
          <cell r="H442" t="str">
            <v>15/06/2020</v>
          </cell>
          <cell r="I442" t="e">
            <v>#N/A</v>
          </cell>
          <cell r="J442">
            <v>612</v>
          </cell>
          <cell r="K442">
            <v>1000</v>
          </cell>
          <cell r="L442">
            <v>0.61199999999999999</v>
          </cell>
          <cell r="M442"/>
        </row>
        <row r="443">
          <cell r="A443" t="str">
            <v>10100262</v>
          </cell>
          <cell r="B443" t="str">
            <v>15849</v>
          </cell>
          <cell r="C443" t="str">
            <v>YOGURT NATURAL (UND:500 G)</v>
          </cell>
          <cell r="D443" t="str">
            <v>10100262</v>
          </cell>
          <cell r="E443" t="str">
            <v>MATERIAS PRIMAS PLANTA</v>
          </cell>
          <cell r="F443" t="str">
            <v>1 UND</v>
          </cell>
          <cell r="G443">
            <v>500</v>
          </cell>
          <cell r="H443" t="str">
            <v>15/06/2020</v>
          </cell>
          <cell r="I443">
            <v>1167</v>
          </cell>
          <cell r="J443">
            <v>0</v>
          </cell>
          <cell r="K443">
            <v>500</v>
          </cell>
          <cell r="L443">
            <v>0</v>
          </cell>
          <cell r="M443" t="str">
            <v>Gramos</v>
          </cell>
        </row>
        <row r="444">
          <cell r="A444" t="str">
            <v>10100263</v>
          </cell>
          <cell r="B444" t="str">
            <v>15850</v>
          </cell>
          <cell r="C444" t="str">
            <v>CHILE DULCE JULIANO (PAQ:KILO)</v>
          </cell>
          <cell r="D444" t="str">
            <v>10100263</v>
          </cell>
          <cell r="E444" t="str">
            <v>MATERIAS PRIMAS PLANTA</v>
          </cell>
          <cell r="F444" t="str">
            <v>1 PAQUETE</v>
          </cell>
          <cell r="G444">
            <v>500</v>
          </cell>
          <cell r="H444" t="str">
            <v>17/01/2020</v>
          </cell>
          <cell r="I444">
            <v>2295</v>
          </cell>
          <cell r="J444">
            <v>2295</v>
          </cell>
          <cell r="K444">
            <v>1000</v>
          </cell>
          <cell r="L444">
            <v>2.2949999999999999</v>
          </cell>
          <cell r="M444"/>
        </row>
        <row r="445">
          <cell r="A445" t="str">
            <v>10100264</v>
          </cell>
          <cell r="B445" t="str">
            <v>15854</v>
          </cell>
          <cell r="C445" t="str">
            <v>LIMON MESINO (GALON)</v>
          </cell>
          <cell r="D445" t="str">
            <v>10100264</v>
          </cell>
          <cell r="E445" t="str">
            <v>MATERIAS PRIMAS PLANTA</v>
          </cell>
          <cell r="F445" t="str">
            <v xml:space="preserve">1 GALON </v>
          </cell>
          <cell r="G445">
            <v>500</v>
          </cell>
          <cell r="H445" t="str">
            <v>21/04/2020</v>
          </cell>
          <cell r="I445">
            <v>4000</v>
          </cell>
          <cell r="J445">
            <v>0</v>
          </cell>
          <cell r="K445">
            <v>3785</v>
          </cell>
          <cell r="L445">
            <v>0</v>
          </cell>
          <cell r="M445" t="str">
            <v>Mililitros</v>
          </cell>
        </row>
        <row r="446">
          <cell r="A446" t="str">
            <v>10100270</v>
          </cell>
          <cell r="B446" t="str">
            <v>15919</v>
          </cell>
          <cell r="C446" t="str">
            <v>TABASCO BANQUETE (UND: 1/2 GALON)</v>
          </cell>
          <cell r="D446" t="str">
            <v>10100270</v>
          </cell>
          <cell r="E446" t="str">
            <v>MATERIAS PRIMAS PLANTA</v>
          </cell>
          <cell r="F446" t="str">
            <v>1 UND</v>
          </cell>
          <cell r="G446">
            <v>500</v>
          </cell>
          <cell r="H446" t="str">
            <v>18/05/2020</v>
          </cell>
          <cell r="I446">
            <v>3841</v>
          </cell>
          <cell r="J446">
            <v>4391</v>
          </cell>
          <cell r="K446">
            <v>1892.5</v>
          </cell>
          <cell r="L446">
            <v>2.3202113606340817</v>
          </cell>
          <cell r="M446"/>
        </row>
        <row r="447">
          <cell r="A447" t="str">
            <v>10100271</v>
          </cell>
          <cell r="B447" t="str">
            <v>15978</v>
          </cell>
          <cell r="C447" t="str">
            <v>FRIJOL TIERNO RP (PAQ:1 KG)</v>
          </cell>
          <cell r="D447"/>
          <cell r="E447" t="str">
            <v>MATERIAS PRIMAS PLANTA</v>
          </cell>
          <cell r="F447" t="str">
            <v>1 PAQUETE</v>
          </cell>
          <cell r="G447">
            <v>500</v>
          </cell>
          <cell r="H447" t="str">
            <v>05/06/2020</v>
          </cell>
          <cell r="I447" t="e">
            <v>#N/A</v>
          </cell>
          <cell r="J447">
            <v>0</v>
          </cell>
          <cell r="K447">
            <v>1000</v>
          </cell>
          <cell r="L447">
            <v>0</v>
          </cell>
          <cell r="M447"/>
        </row>
        <row r="448">
          <cell r="A448" t="str">
            <v>10100272</v>
          </cell>
          <cell r="B448" t="str">
            <v>16084</v>
          </cell>
          <cell r="C448" t="str">
            <v>ADEREZO RANCH (UND)</v>
          </cell>
          <cell r="D448" t="str">
            <v>10100272</v>
          </cell>
          <cell r="E448" t="str">
            <v>MATERIAS PRIMAS PLANTA</v>
          </cell>
          <cell r="F448" t="str">
            <v>1 UND</v>
          </cell>
          <cell r="G448">
            <v>500</v>
          </cell>
          <cell r="H448" t="str">
            <v>24/03/2020</v>
          </cell>
          <cell r="I448">
            <v>5625</v>
          </cell>
          <cell r="J448">
            <v>6190</v>
          </cell>
          <cell r="K448">
            <v>1</v>
          </cell>
          <cell r="L448">
            <v>6190</v>
          </cell>
          <cell r="M448"/>
        </row>
        <row r="449">
          <cell r="A449" t="str">
            <v>10100273</v>
          </cell>
          <cell r="B449" t="str">
            <v>16085</v>
          </cell>
          <cell r="C449" t="str">
            <v>ADEREZO MOSTAZA MIEL (UND)</v>
          </cell>
          <cell r="D449" t="str">
            <v>10100273</v>
          </cell>
          <cell r="E449" t="str">
            <v>MATERIAS PRIMAS PLANTA</v>
          </cell>
          <cell r="F449" t="str">
            <v>1 UND</v>
          </cell>
          <cell r="G449">
            <v>500</v>
          </cell>
          <cell r="H449" t="str">
            <v>03/03/2020</v>
          </cell>
          <cell r="I449" t="e">
            <v>#N/A</v>
          </cell>
          <cell r="J449">
            <v>0</v>
          </cell>
          <cell r="K449">
            <v>1</v>
          </cell>
          <cell r="L449">
            <v>0</v>
          </cell>
          <cell r="M449"/>
        </row>
        <row r="450">
          <cell r="A450" t="str">
            <v>10100274</v>
          </cell>
          <cell r="B450" t="str">
            <v>16086</v>
          </cell>
          <cell r="C450" t="str">
            <v>ADEREZO MIL ISLAS (UND)</v>
          </cell>
          <cell r="D450" t="str">
            <v>10100274</v>
          </cell>
          <cell r="E450" t="str">
            <v>MATERIAS PRIMAS PLANTA</v>
          </cell>
          <cell r="F450" t="str">
            <v>1 UND</v>
          </cell>
          <cell r="G450">
            <v>500</v>
          </cell>
          <cell r="H450" t="str">
            <v>14/03/2020</v>
          </cell>
          <cell r="I450">
            <v>5099</v>
          </cell>
          <cell r="J450">
            <v>5709</v>
          </cell>
          <cell r="K450">
            <v>1</v>
          </cell>
          <cell r="L450">
            <v>5709</v>
          </cell>
          <cell r="M450"/>
        </row>
        <row r="451">
          <cell r="A451" t="str">
            <v>10100275</v>
          </cell>
          <cell r="B451" t="str">
            <v>16087</v>
          </cell>
          <cell r="C451" t="str">
            <v>ADEREZO ITALIANO CREMOSO (UND)</v>
          </cell>
          <cell r="D451" t="str">
            <v>10100275</v>
          </cell>
          <cell r="E451" t="str">
            <v>MATERIAS PRIMAS PLANTA</v>
          </cell>
          <cell r="F451" t="str">
            <v>1 UND</v>
          </cell>
          <cell r="G451">
            <v>500</v>
          </cell>
          <cell r="H451" t="str">
            <v>19/03/2020</v>
          </cell>
          <cell r="I451">
            <v>6334</v>
          </cell>
          <cell r="J451">
            <v>9324</v>
          </cell>
          <cell r="K451">
            <v>1</v>
          </cell>
          <cell r="L451">
            <v>9324</v>
          </cell>
          <cell r="M451"/>
        </row>
        <row r="452">
          <cell r="A452" t="str">
            <v>10100276</v>
          </cell>
          <cell r="B452" t="str">
            <v>16088</v>
          </cell>
          <cell r="C452" t="str">
            <v>ADEREZO CESAR (UND)</v>
          </cell>
          <cell r="D452" t="str">
            <v>10100276</v>
          </cell>
          <cell r="E452" t="str">
            <v>MATERIAS PRIMAS PLANTA</v>
          </cell>
          <cell r="F452" t="str">
            <v>1 UND</v>
          </cell>
          <cell r="G452">
            <v>500</v>
          </cell>
          <cell r="H452" t="str">
            <v>07/03/2020</v>
          </cell>
          <cell r="I452">
            <v>5626</v>
          </cell>
          <cell r="J452">
            <v>6191</v>
          </cell>
          <cell r="K452">
            <v>1</v>
          </cell>
          <cell r="L452">
            <v>6191</v>
          </cell>
        </row>
        <row r="453">
          <cell r="A453" t="str">
            <v>10100278</v>
          </cell>
          <cell r="B453" t="str">
            <v>16138</v>
          </cell>
          <cell r="C453" t="str">
            <v>ARROZ LUISINA 95% PRECOCIDO (BULTO:20 K)</v>
          </cell>
          <cell r="D453" t="str">
            <v>10100278</v>
          </cell>
          <cell r="E453" t="str">
            <v>MATERIAS PRIMAS PLANTA</v>
          </cell>
          <cell r="F453" t="str">
            <v>1 BULTO</v>
          </cell>
          <cell r="G453">
            <v>500</v>
          </cell>
          <cell r="H453" t="str">
            <v>20/02/2020</v>
          </cell>
          <cell r="I453" t="e">
            <v>#N/A</v>
          </cell>
          <cell r="J453">
            <v>0</v>
          </cell>
          <cell r="K453">
            <v>20000</v>
          </cell>
          <cell r="L453">
            <v>0</v>
          </cell>
          <cell r="M453" t="str">
            <v>Gramos</v>
          </cell>
        </row>
        <row r="454">
          <cell r="A454" t="str">
            <v>10100279</v>
          </cell>
          <cell r="B454" t="str">
            <v>16467</v>
          </cell>
          <cell r="C454" t="str">
            <v>ADEREZO MAYONESA DELGA-C  (PAQ:400 GR)</v>
          </cell>
          <cell r="D454" t="str">
            <v>10100279</v>
          </cell>
          <cell r="E454" t="str">
            <v>MATERIAS PRIMAS PLANTA</v>
          </cell>
          <cell r="F454" t="str">
            <v>1 PAQUETE</v>
          </cell>
          <cell r="G454">
            <v>500</v>
          </cell>
          <cell r="H454" t="str">
            <v>16/04/2020</v>
          </cell>
          <cell r="I454">
            <v>1088.4614999999999</v>
          </cell>
          <cell r="J454">
            <v>0</v>
          </cell>
          <cell r="K454">
            <v>400</v>
          </cell>
          <cell r="L454">
            <v>0</v>
          </cell>
          <cell r="M454"/>
        </row>
        <row r="455">
          <cell r="A455" t="str">
            <v>10100280</v>
          </cell>
          <cell r="B455" t="str">
            <v>16550</v>
          </cell>
          <cell r="C455" t="str">
            <v>SALSITA TOMATE CON CARNE (UND:106 G)</v>
          </cell>
          <cell r="D455" t="str">
            <v>10100280</v>
          </cell>
          <cell r="E455" t="str">
            <v>MATERIAS PRIMAS PLANTA</v>
          </cell>
          <cell r="F455" t="str">
            <v>1 UNIDAD</v>
          </cell>
          <cell r="G455">
            <v>500</v>
          </cell>
          <cell r="H455" t="str">
            <v>03/06/2020</v>
          </cell>
          <cell r="I455" t="e">
            <v>#N/A</v>
          </cell>
          <cell r="J455">
            <v>0</v>
          </cell>
          <cell r="K455">
            <v>106</v>
          </cell>
          <cell r="L455">
            <v>0</v>
          </cell>
          <cell r="M455" t="str">
            <v>Gramos</v>
          </cell>
        </row>
        <row r="456">
          <cell r="A456" t="str">
            <v>10200001</v>
          </cell>
          <cell r="B456" t="str">
            <v>11477</v>
          </cell>
          <cell r="C456" t="str">
            <v>SIROPE DE KOLA (GALON)</v>
          </cell>
          <cell r="D456" t="str">
            <v>10200001</v>
          </cell>
          <cell r="E456" t="str">
            <v>MATERIAS PRIMAS PLANTA</v>
          </cell>
          <cell r="F456" t="str">
            <v>1 GALON</v>
          </cell>
          <cell r="G456">
            <v>500</v>
          </cell>
          <cell r="H456" t="str">
            <v>15/06/2020</v>
          </cell>
          <cell r="I456">
            <v>2931</v>
          </cell>
          <cell r="J456">
            <v>2925</v>
          </cell>
          <cell r="K456">
            <v>3785</v>
          </cell>
          <cell r="L456">
            <v>0.77278731836195513</v>
          </cell>
          <cell r="M456" t="str">
            <v>Mililitros</v>
          </cell>
        </row>
        <row r="457">
          <cell r="A457" t="str">
            <v>10200012</v>
          </cell>
          <cell r="B457" t="str">
            <v>5343</v>
          </cell>
          <cell r="C457" t="str">
            <v>TE CHAI ESPECIES (PAQ:800g)</v>
          </cell>
          <cell r="D457" t="str">
            <v>10200012</v>
          </cell>
          <cell r="E457" t="str">
            <v>MATERIAS PRIMAS PLANTA</v>
          </cell>
          <cell r="F457" t="str">
            <v>1 PAQUETE</v>
          </cell>
          <cell r="G457">
            <v>500</v>
          </cell>
          <cell r="H457" t="str">
            <v>24/03/2020</v>
          </cell>
          <cell r="I457">
            <v>4971.33</v>
          </cell>
          <cell r="J457">
            <v>6715.12</v>
          </cell>
          <cell r="K457">
            <v>800</v>
          </cell>
          <cell r="L457">
            <v>8.3939000000000004</v>
          </cell>
          <cell r="M457"/>
        </row>
        <row r="458">
          <cell r="A458" t="str">
            <v>10200018</v>
          </cell>
          <cell r="B458" t="str">
            <v>9991</v>
          </cell>
          <cell r="C458" t="str">
            <v>AGUA EMBOT SPOON (PAQ:20 UND)</v>
          </cell>
          <cell r="D458" t="str">
            <v>10200018</v>
          </cell>
          <cell r="E458" t="str">
            <v>MATERIAS PRIMAS PLANTA</v>
          </cell>
          <cell r="F458" t="str">
            <v>1 PAQUETE</v>
          </cell>
          <cell r="G458">
            <v>500</v>
          </cell>
          <cell r="H458" t="str">
            <v>30/04/2020</v>
          </cell>
          <cell r="I458">
            <v>4680</v>
          </cell>
          <cell r="J458">
            <v>4680</v>
          </cell>
          <cell r="K458"/>
          <cell r="L458" t="e">
            <v>#DIV/0!</v>
          </cell>
          <cell r="M458"/>
        </row>
        <row r="459">
          <cell r="A459" t="str">
            <v>10200022</v>
          </cell>
          <cell r="B459" t="str">
            <v>12578</v>
          </cell>
          <cell r="C459" t="str">
            <v>TE PALACIO ROYAL"ARANDANO" (PAQ:12 UND)</v>
          </cell>
          <cell r="D459" t="str">
            <v>10200022</v>
          </cell>
          <cell r="E459" t="str">
            <v>MATERIAS PRIMAS PLANTA</v>
          </cell>
          <cell r="F459" t="str">
            <v>1 PAQUETE</v>
          </cell>
          <cell r="G459">
            <v>500</v>
          </cell>
          <cell r="H459" t="str">
            <v>19/05/2020</v>
          </cell>
          <cell r="I459">
            <v>2142</v>
          </cell>
          <cell r="J459">
            <v>4020</v>
          </cell>
          <cell r="K459"/>
          <cell r="L459" t="e">
            <v>#DIV/0!</v>
          </cell>
          <cell r="M459"/>
        </row>
        <row r="460">
          <cell r="A460" t="str">
            <v>10200023</v>
          </cell>
          <cell r="B460" t="str">
            <v>12579</v>
          </cell>
          <cell r="C460" t="str">
            <v>TE ON THE BEACH "VERDE" (PAQ=12 UND)</v>
          </cell>
          <cell r="D460" t="str">
            <v>10200023</v>
          </cell>
          <cell r="E460" t="str">
            <v>MATERIAS PRIMAS PLANTA</v>
          </cell>
          <cell r="F460" t="str">
            <v>1 PAQ</v>
          </cell>
          <cell r="G460">
            <v>500</v>
          </cell>
          <cell r="H460" t="str">
            <v>24/03/2020</v>
          </cell>
          <cell r="I460">
            <v>2142</v>
          </cell>
          <cell r="J460">
            <v>0</v>
          </cell>
          <cell r="K460"/>
          <cell r="L460" t="e">
            <v>#DIV/0!</v>
          </cell>
          <cell r="M460"/>
        </row>
        <row r="461">
          <cell r="A461" t="str">
            <v>10200024</v>
          </cell>
          <cell r="B461" t="str">
            <v>12580</v>
          </cell>
          <cell r="C461" t="str">
            <v>TE MENTA DEGESTIVA (PAQ:12 UND)</v>
          </cell>
          <cell r="D461" t="str">
            <v>10200024</v>
          </cell>
          <cell r="E461" t="str">
            <v>MATERIAS PRIMAS PLANTA</v>
          </cell>
          <cell r="F461" t="str">
            <v>1 PAQUETE</v>
          </cell>
          <cell r="G461">
            <v>500</v>
          </cell>
          <cell r="H461" t="str">
            <v>24/03/2020</v>
          </cell>
          <cell r="I461">
            <v>2142</v>
          </cell>
          <cell r="J461">
            <v>2940</v>
          </cell>
          <cell r="K461"/>
          <cell r="L461" t="e">
            <v>#DIV/0!</v>
          </cell>
          <cell r="M461"/>
        </row>
        <row r="462">
          <cell r="A462" t="str">
            <v>10200025</v>
          </cell>
          <cell r="B462" t="str">
            <v>12581</v>
          </cell>
          <cell r="C462" t="str">
            <v>TE SPICY CHAI (PAQ:12 UND)</v>
          </cell>
          <cell r="D462" t="str">
            <v>10200025</v>
          </cell>
          <cell r="E462" t="str">
            <v>MATERIAS PRIMAS PLANTA</v>
          </cell>
          <cell r="F462" t="str">
            <v>1 PAQUETE</v>
          </cell>
          <cell r="G462">
            <v>500</v>
          </cell>
          <cell r="H462" t="str">
            <v>07/02/2020</v>
          </cell>
          <cell r="I462" t="e">
            <v>#N/A</v>
          </cell>
          <cell r="J462">
            <v>0</v>
          </cell>
          <cell r="K462"/>
          <cell r="L462" t="e">
            <v>#DIV/0!</v>
          </cell>
        </row>
        <row r="463">
          <cell r="A463" t="str">
            <v>10200026</v>
          </cell>
          <cell r="B463" t="str">
            <v>12582</v>
          </cell>
          <cell r="C463" t="str">
            <v>TE BED TIME "MANZANILLA" (PAQ:12 UND)</v>
          </cell>
          <cell r="D463" t="str">
            <v>10200026</v>
          </cell>
          <cell r="E463" t="str">
            <v>MATERIAS PRIMAS PLANTA</v>
          </cell>
          <cell r="F463" t="str">
            <v>1 PAQUETE</v>
          </cell>
          <cell r="G463">
            <v>500</v>
          </cell>
          <cell r="H463" t="str">
            <v>12/06/2020</v>
          </cell>
          <cell r="I463">
            <v>2142</v>
          </cell>
          <cell r="J463">
            <v>3721.32</v>
          </cell>
          <cell r="K463"/>
          <cell r="L463" t="e">
            <v>#DIV/0!</v>
          </cell>
        </row>
        <row r="464">
          <cell r="A464" t="str">
            <v>10200027</v>
          </cell>
          <cell r="B464" t="str">
            <v>12583</v>
          </cell>
          <cell r="C464" t="str">
            <v>TE GINGER FRESH (PAQ:12 UND)</v>
          </cell>
          <cell r="D464" t="str">
            <v>10200027</v>
          </cell>
          <cell r="E464" t="str">
            <v>MATERIAS PRIMAS PLANTA</v>
          </cell>
          <cell r="F464" t="str">
            <v>1 PAQUETE</v>
          </cell>
          <cell r="G464">
            <v>500</v>
          </cell>
          <cell r="H464" t="str">
            <v>24/03/2020</v>
          </cell>
          <cell r="I464">
            <v>2142</v>
          </cell>
          <cell r="J464">
            <v>3180</v>
          </cell>
          <cell r="K464"/>
          <cell r="L464" t="e">
            <v>#DIV/0!</v>
          </cell>
        </row>
        <row r="465">
          <cell r="A465" t="str">
            <v>10200028</v>
          </cell>
          <cell r="B465" t="str">
            <v>12584</v>
          </cell>
          <cell r="C465" t="str">
            <v>TE MAGIC TEA "AZUL" (PAQ:12 UND)</v>
          </cell>
          <cell r="D465" t="str">
            <v>10200028</v>
          </cell>
          <cell r="E465" t="str">
            <v>MATERIAS PRIMAS PLANTA</v>
          </cell>
          <cell r="F465" t="str">
            <v>1 PAQUETE</v>
          </cell>
          <cell r="G465">
            <v>500</v>
          </cell>
          <cell r="H465" t="str">
            <v>28/01/2020</v>
          </cell>
          <cell r="I465">
            <v>2142</v>
          </cell>
          <cell r="J465">
            <v>3900</v>
          </cell>
          <cell r="K465"/>
          <cell r="L465" t="e">
            <v>#DIV/0!</v>
          </cell>
        </row>
        <row r="466">
          <cell r="A466" t="str">
            <v>10200029</v>
          </cell>
          <cell r="B466" t="str">
            <v>12587</v>
          </cell>
          <cell r="C466" t="str">
            <v>LECHE SABORIZADA FRAPPE MIX (PAQ: 1 K)</v>
          </cell>
          <cell r="D466" t="str">
            <v>10200029</v>
          </cell>
          <cell r="E466" t="str">
            <v>MATERIAS PRIMAS PLANTA</v>
          </cell>
          <cell r="F466" t="str">
            <v>1 PAQUETE</v>
          </cell>
          <cell r="G466">
            <v>500</v>
          </cell>
          <cell r="H466" t="str">
            <v>24/03/2020</v>
          </cell>
          <cell r="I466">
            <v>5500</v>
          </cell>
          <cell r="J466">
            <v>5500</v>
          </cell>
          <cell r="K466">
            <v>1000</v>
          </cell>
          <cell r="L466">
            <v>5.5</v>
          </cell>
        </row>
        <row r="467">
          <cell r="A467" t="str">
            <v>10200030</v>
          </cell>
          <cell r="B467" t="str">
            <v>12416</v>
          </cell>
          <cell r="C467" t="str">
            <v>BASE LECHE  MILK SHAKE (PAQ:1 K)</v>
          </cell>
          <cell r="D467" t="str">
            <v>10200030</v>
          </cell>
          <cell r="E467" t="str">
            <v>MATERIAS PRIMAS PLANTA</v>
          </cell>
          <cell r="F467" t="str">
            <v>1 PAQUETE</v>
          </cell>
          <cell r="G467">
            <v>500</v>
          </cell>
          <cell r="H467" t="str">
            <v>16/12/2019</v>
          </cell>
          <cell r="I467">
            <v>6500</v>
          </cell>
          <cell r="J467">
            <v>6500</v>
          </cell>
          <cell r="K467">
            <v>1000</v>
          </cell>
          <cell r="L467">
            <v>6.5</v>
          </cell>
        </row>
        <row r="468">
          <cell r="A468" t="str">
            <v>10200088</v>
          </cell>
          <cell r="B468" t="str">
            <v>5346</v>
          </cell>
          <cell r="C468" t="str">
            <v>RON ABUELO RESERVA (UND: LITRO)</v>
          </cell>
          <cell r="D468" t="str">
            <v>10200088</v>
          </cell>
          <cell r="E468" t="str">
            <v>MATERIAS PRIMAS PLANTA</v>
          </cell>
          <cell r="F468" t="str">
            <v>1 UND</v>
          </cell>
          <cell r="G468">
            <v>500</v>
          </cell>
          <cell r="H468" t="str">
            <v>20/05/2020</v>
          </cell>
          <cell r="I468">
            <v>10200</v>
          </cell>
          <cell r="J468">
            <v>6366</v>
          </cell>
          <cell r="K468">
            <v>1000</v>
          </cell>
          <cell r="L468">
            <v>6.3659999999999997</v>
          </cell>
          <cell r="M468" t="str">
            <v>Mililitros</v>
          </cell>
        </row>
        <row r="469">
          <cell r="A469" t="str">
            <v>10200090</v>
          </cell>
          <cell r="B469" t="str">
            <v>14379</v>
          </cell>
          <cell r="C469" t="str">
            <v>CERVEZA AMBAR (UND: 350 ML)</v>
          </cell>
          <cell r="D469" t="str">
            <v>10200090</v>
          </cell>
          <cell r="E469" t="str">
            <v>MATERIAS PRIMAS PLANTA</v>
          </cell>
          <cell r="F469" t="str">
            <v>1 UND</v>
          </cell>
          <cell r="G469">
            <v>500</v>
          </cell>
          <cell r="H469" t="str">
            <v>02/12/2019</v>
          </cell>
          <cell r="I469" t="e">
            <v>#N/A</v>
          </cell>
          <cell r="J469">
            <v>0</v>
          </cell>
          <cell r="K469">
            <v>350</v>
          </cell>
          <cell r="L469">
            <v>0</v>
          </cell>
          <cell r="M469"/>
        </row>
        <row r="470">
          <cell r="A470" t="str">
            <v>10300001</v>
          </cell>
          <cell r="B470" t="str">
            <v>7048</v>
          </cell>
          <cell r="C470" t="str">
            <v>JARRETE PICADO KILO</v>
          </cell>
          <cell r="D470" t="str">
            <v>10300001</v>
          </cell>
          <cell r="E470" t="str">
            <v>MATERIAS PRIMAS PLANTA</v>
          </cell>
          <cell r="F470" t="str">
            <v>1 KILO</v>
          </cell>
          <cell r="G470">
            <v>500</v>
          </cell>
          <cell r="H470" t="str">
            <v>13/06/2020</v>
          </cell>
          <cell r="I470">
            <v>859</v>
          </cell>
          <cell r="J470">
            <v>1295</v>
          </cell>
          <cell r="K470">
            <v>1000</v>
          </cell>
          <cell r="L470">
            <v>1.2949999999999999</v>
          </cell>
          <cell r="M470" t="str">
            <v>Gramos</v>
          </cell>
        </row>
        <row r="471">
          <cell r="A471" t="str">
            <v>10300002</v>
          </cell>
          <cell r="B471" t="str">
            <v>11813</v>
          </cell>
          <cell r="C471" t="str">
            <v>JAMON PAVO PECHUGA (UND:3.1 K)</v>
          </cell>
          <cell r="D471" t="str">
            <v>10300002</v>
          </cell>
          <cell r="E471" t="str">
            <v>MATERIAS PRIMAS PLANTA</v>
          </cell>
          <cell r="F471" t="str">
            <v>1 UND</v>
          </cell>
          <cell r="G471">
            <v>500</v>
          </cell>
          <cell r="H471" t="str">
            <v>13/06/2020</v>
          </cell>
          <cell r="I471">
            <v>8376.3906666599996</v>
          </cell>
          <cell r="J471">
            <v>0</v>
          </cell>
          <cell r="K471">
            <v>3100</v>
          </cell>
          <cell r="L471">
            <v>0</v>
          </cell>
          <cell r="M471"/>
        </row>
        <row r="472">
          <cell r="A472" t="str">
            <v>10300003</v>
          </cell>
          <cell r="B472" t="str">
            <v>5368</v>
          </cell>
          <cell r="C472" t="str">
            <v>JAMON COCIDO EN TROZOS (PAQ:500g)</v>
          </cell>
          <cell r="D472" t="str">
            <v>10300003</v>
          </cell>
          <cell r="E472" t="str">
            <v>MATERIAS PRIMAS PLANTA</v>
          </cell>
          <cell r="F472" t="str">
            <v>1 PAQUETE</v>
          </cell>
          <cell r="G472">
            <v>500</v>
          </cell>
          <cell r="H472" t="str">
            <v>19/05/2020</v>
          </cell>
          <cell r="I472">
            <v>1950</v>
          </cell>
          <cell r="J472">
            <v>0</v>
          </cell>
          <cell r="K472">
            <v>500</v>
          </cell>
          <cell r="L472">
            <v>0</v>
          </cell>
          <cell r="M472"/>
        </row>
        <row r="473">
          <cell r="A473" t="str">
            <v>10300004</v>
          </cell>
          <cell r="B473" t="str">
            <v>11803</v>
          </cell>
          <cell r="C473" t="str">
            <v>CARNE MOLIDA DE POLLO (KILO)</v>
          </cell>
          <cell r="D473" t="str">
            <v>10300004</v>
          </cell>
          <cell r="E473" t="str">
            <v>MATERIAS PRIMAS PLANTA</v>
          </cell>
          <cell r="F473" t="str">
            <v>1 KILO</v>
          </cell>
          <cell r="G473">
            <v>500</v>
          </cell>
          <cell r="H473" t="str">
            <v>24/12/2019</v>
          </cell>
          <cell r="I473">
            <v>2800</v>
          </cell>
          <cell r="J473">
            <v>0</v>
          </cell>
          <cell r="K473">
            <v>1000</v>
          </cell>
          <cell r="L473">
            <v>0</v>
          </cell>
          <cell r="M473" t="str">
            <v>Gramos</v>
          </cell>
        </row>
        <row r="474">
          <cell r="A474" t="str">
            <v>10300006</v>
          </cell>
          <cell r="B474" t="str">
            <v>7044</v>
          </cell>
          <cell r="C474" t="str">
            <v>CARNE ANALOGA RES (CAJA:13.6 Kg)</v>
          </cell>
          <cell r="D474" t="str">
            <v>10300006</v>
          </cell>
          <cell r="E474" t="str">
            <v>MATERIAS PRIMAS PLANTA</v>
          </cell>
          <cell r="F474" t="str">
            <v>1 CAJA</v>
          </cell>
          <cell r="G474">
            <v>500</v>
          </cell>
          <cell r="H474" t="str">
            <v>24/03/2020</v>
          </cell>
          <cell r="I474" t="e">
            <v>#N/A</v>
          </cell>
          <cell r="J474">
            <v>141474</v>
          </cell>
          <cell r="K474">
            <v>13600</v>
          </cell>
          <cell r="L474">
            <v>10.4025</v>
          </cell>
          <cell r="M474" t="str">
            <v>Gramos</v>
          </cell>
        </row>
        <row r="475">
          <cell r="A475" t="str">
            <v>10300007</v>
          </cell>
          <cell r="B475" t="str">
            <v>12057</v>
          </cell>
          <cell r="C475" t="str">
            <v>JAMON COCIDO (PAQ:250g)</v>
          </cell>
          <cell r="D475" t="str">
            <v>10300007</v>
          </cell>
          <cell r="E475" t="str">
            <v>MATERIAS PRIMAS PLANTA</v>
          </cell>
          <cell r="F475" t="str">
            <v>1 PAQUETE</v>
          </cell>
          <cell r="G475">
            <v>500</v>
          </cell>
          <cell r="H475" t="str">
            <v>28/05/2020</v>
          </cell>
          <cell r="I475">
            <v>750</v>
          </cell>
          <cell r="J475">
            <v>1400</v>
          </cell>
          <cell r="K475">
            <v>250</v>
          </cell>
          <cell r="L475">
            <v>5.6</v>
          </cell>
          <cell r="M475" t="str">
            <v>Gramos</v>
          </cell>
        </row>
        <row r="476">
          <cell r="A476" t="str">
            <v>10300010</v>
          </cell>
          <cell r="B476" t="str">
            <v>11355</v>
          </cell>
          <cell r="C476" t="str">
            <v>BISTEC ESO. TP MILANESA (KILO)</v>
          </cell>
          <cell r="D476" t="str">
            <v>10300010</v>
          </cell>
          <cell r="E476" t="str">
            <v>MATERIAS PRIMAS PLANTA</v>
          </cell>
          <cell r="F476" t="str">
            <v>1 KILO</v>
          </cell>
          <cell r="G476">
            <v>500</v>
          </cell>
          <cell r="H476" t="str">
            <v>06/04/2020</v>
          </cell>
          <cell r="I476" t="e">
            <v>#N/A</v>
          </cell>
          <cell r="J476">
            <v>0</v>
          </cell>
          <cell r="K476">
            <v>1000</v>
          </cell>
          <cell r="L476">
            <v>0</v>
          </cell>
          <cell r="M476" t="str">
            <v>Gramos</v>
          </cell>
        </row>
        <row r="477">
          <cell r="A477" t="str">
            <v>10300019</v>
          </cell>
          <cell r="B477" t="str">
            <v>5367</v>
          </cell>
          <cell r="C477" t="str">
            <v>TOCINETA(PAQ:2 KILOS)</v>
          </cell>
          <cell r="D477" t="str">
            <v>10300019</v>
          </cell>
          <cell r="E477" t="str">
            <v>MATERIAS PRIMAS PLANTA</v>
          </cell>
          <cell r="F477" t="str">
            <v>1 PAQUETE</v>
          </cell>
          <cell r="G477">
            <v>500</v>
          </cell>
          <cell r="H477" t="str">
            <v>13/06/2020</v>
          </cell>
          <cell r="I477">
            <v>9982</v>
          </cell>
          <cell r="J477">
            <v>0</v>
          </cell>
          <cell r="K477">
            <v>2000</v>
          </cell>
          <cell r="L477">
            <v>0</v>
          </cell>
          <cell r="M477"/>
        </row>
        <row r="478">
          <cell r="A478" t="str">
            <v>10300020</v>
          </cell>
          <cell r="B478" t="str">
            <v>11214</v>
          </cell>
          <cell r="C478" t="str">
            <v>CARNITAS PORK (KILO)</v>
          </cell>
          <cell r="D478" t="str">
            <v>10300020</v>
          </cell>
          <cell r="E478" t="str">
            <v>MATERIAS PRIMAS PLANTA</v>
          </cell>
          <cell r="F478" t="str">
            <v>1 KILO</v>
          </cell>
          <cell r="G478">
            <v>500</v>
          </cell>
          <cell r="H478" t="str">
            <v>03/12/2019</v>
          </cell>
          <cell r="I478">
            <v>6455</v>
          </cell>
          <cell r="J478">
            <v>0</v>
          </cell>
          <cell r="K478">
            <v>1000</v>
          </cell>
          <cell r="L478">
            <v>0</v>
          </cell>
          <cell r="M478" t="str">
            <v>Gramos</v>
          </cell>
        </row>
        <row r="479">
          <cell r="A479" t="str">
            <v>10300028</v>
          </cell>
          <cell r="B479" t="str">
            <v>12589</v>
          </cell>
          <cell r="C479" t="str">
            <v>CARNE PARA MECHAR TD KILO</v>
          </cell>
          <cell r="D479" t="str">
            <v>10300028</v>
          </cell>
          <cell r="E479" t="str">
            <v>MATERIAS PRIMAS PLANTA</v>
          </cell>
          <cell r="F479" t="str">
            <v xml:space="preserve">1 KILO </v>
          </cell>
          <cell r="G479">
            <v>500</v>
          </cell>
          <cell r="H479" t="str">
            <v>11/06/2020</v>
          </cell>
          <cell r="I479">
            <v>3747.06</v>
          </cell>
          <cell r="J479">
            <v>5950</v>
          </cell>
          <cell r="K479">
            <v>1000</v>
          </cell>
          <cell r="L479">
            <v>5.95</v>
          </cell>
          <cell r="M479" t="str">
            <v>Gramos</v>
          </cell>
        </row>
        <row r="480">
          <cell r="A480" t="str">
            <v>10300029</v>
          </cell>
          <cell r="B480" t="str">
            <v>12766</v>
          </cell>
          <cell r="C480" t="str">
            <v>MARISCADA ECONOMICA (PAQ:1 KILO)</v>
          </cell>
          <cell r="D480" t="str">
            <v>10300029</v>
          </cell>
          <cell r="E480" t="str">
            <v>MATERIAS PRIMAS PLANTA</v>
          </cell>
          <cell r="F480" t="str">
            <v>1 PAQUETE</v>
          </cell>
          <cell r="G480">
            <v>500</v>
          </cell>
          <cell r="H480" t="str">
            <v>05/03/2020</v>
          </cell>
          <cell r="I480">
            <v>4700</v>
          </cell>
          <cell r="J480">
            <v>4290</v>
          </cell>
          <cell r="K480">
            <v>1000</v>
          </cell>
          <cell r="L480">
            <v>4.29</v>
          </cell>
          <cell r="M480"/>
        </row>
        <row r="481">
          <cell r="A481" t="str">
            <v>10300030</v>
          </cell>
          <cell r="B481" t="str">
            <v>12921</v>
          </cell>
          <cell r="C481" t="str">
            <v>BISTEC BOLITA TENDER Y MARINADO KILO</v>
          </cell>
          <cell r="D481" t="str">
            <v>10300030</v>
          </cell>
          <cell r="E481" t="str">
            <v>MATERIAS PRIMAS PLANTA</v>
          </cell>
          <cell r="F481" t="str">
            <v xml:space="preserve">1 KILO  </v>
          </cell>
          <cell r="G481">
            <v>500</v>
          </cell>
          <cell r="H481" t="str">
            <v>01/04/2020</v>
          </cell>
          <cell r="I481" t="e">
            <v>#N/A</v>
          </cell>
          <cell r="J481">
            <v>0</v>
          </cell>
          <cell r="K481">
            <v>1000</v>
          </cell>
          <cell r="L481">
            <v>0</v>
          </cell>
          <cell r="M481" t="str">
            <v>Gramos</v>
          </cell>
        </row>
        <row r="482">
          <cell r="A482" t="str">
            <v>10300032</v>
          </cell>
          <cell r="B482" t="str">
            <v>14046</v>
          </cell>
          <cell r="C482" t="str">
            <v>MUSLITO DE MUSLO KILO</v>
          </cell>
          <cell r="D482" t="str">
            <v>10300032</v>
          </cell>
          <cell r="E482" t="str">
            <v>MATERIAS PRIMAS PLANTA</v>
          </cell>
          <cell r="F482" t="str">
            <v>1 KILO</v>
          </cell>
          <cell r="G482">
            <v>500</v>
          </cell>
          <cell r="H482" t="str">
            <v>20/05/2020</v>
          </cell>
          <cell r="I482">
            <v>2295</v>
          </cell>
          <cell r="J482">
            <v>2300</v>
          </cell>
          <cell r="K482">
            <v>1000</v>
          </cell>
          <cell r="L482">
            <v>2.2999999999999998</v>
          </cell>
          <cell r="M482" t="str">
            <v>Gramos</v>
          </cell>
        </row>
        <row r="483">
          <cell r="A483" t="str">
            <v>10300033</v>
          </cell>
          <cell r="B483" t="str">
            <v>14565</v>
          </cell>
          <cell r="C483" t="str">
            <v>JAMON SERRANO (PAQ:250 G)</v>
          </cell>
          <cell r="D483" t="str">
            <v>10300033</v>
          </cell>
          <cell r="E483" t="str">
            <v>MATERIAS PRIMAS PLANTA</v>
          </cell>
          <cell r="F483" t="str">
            <v>1 PAQUETE</v>
          </cell>
          <cell r="G483">
            <v>500</v>
          </cell>
          <cell r="H483" t="str">
            <v>10/06/2020</v>
          </cell>
          <cell r="I483" t="e">
            <v>#N/A</v>
          </cell>
          <cell r="J483">
            <v>0</v>
          </cell>
          <cell r="K483">
            <v>250</v>
          </cell>
          <cell r="L483">
            <v>0</v>
          </cell>
          <cell r="M483"/>
        </row>
        <row r="484">
          <cell r="A484" t="str">
            <v>10300034</v>
          </cell>
          <cell r="B484" t="str">
            <v>14724</v>
          </cell>
          <cell r="C484" t="str">
            <v>CESINA TROZOS ( KILO)</v>
          </cell>
          <cell r="D484" t="str">
            <v>10300034</v>
          </cell>
          <cell r="E484" t="str">
            <v>MATERIAS PRIMAS PLANTA</v>
          </cell>
          <cell r="F484" t="str">
            <v xml:space="preserve">1 KILO </v>
          </cell>
          <cell r="G484">
            <v>500</v>
          </cell>
          <cell r="H484" t="str">
            <v>02/01/2020</v>
          </cell>
          <cell r="I484" t="e">
            <v>#N/A</v>
          </cell>
          <cell r="J484">
            <v>0</v>
          </cell>
          <cell r="K484">
            <v>1000</v>
          </cell>
          <cell r="L484">
            <v>0</v>
          </cell>
          <cell r="M484" t="str">
            <v>Gramos</v>
          </cell>
        </row>
        <row r="485">
          <cell r="A485" t="str">
            <v>10300035</v>
          </cell>
          <cell r="B485" t="str">
            <v>14896</v>
          </cell>
          <cell r="C485" t="str">
            <v>JAMON COCIDO DELIKA GI (PAQ:250 G)</v>
          </cell>
          <cell r="D485" t="str">
            <v>10300035</v>
          </cell>
          <cell r="E485" t="str">
            <v>MATERIAS PRIMAS PLANTA</v>
          </cell>
          <cell r="F485" t="str">
            <v>1 PAQUETE</v>
          </cell>
          <cell r="G485">
            <v>500</v>
          </cell>
          <cell r="H485" t="str">
            <v>12/06/2020</v>
          </cell>
          <cell r="I485">
            <v>1294.6500000000001</v>
          </cell>
          <cell r="J485">
            <v>1361.6234999999999</v>
          </cell>
          <cell r="K485">
            <v>250</v>
          </cell>
          <cell r="L485">
            <v>5.4464939999999995</v>
          </cell>
          <cell r="M485"/>
        </row>
        <row r="486">
          <cell r="A486" t="str">
            <v>10300036</v>
          </cell>
          <cell r="B486" t="str">
            <v>15411</v>
          </cell>
          <cell r="C486" t="str">
            <v>ATUN LIGHT LOMO TROZOS AGUA(UND:170 G)</v>
          </cell>
          <cell r="D486" t="str">
            <v>10300036</v>
          </cell>
          <cell r="E486" t="str">
            <v>MATERIAS PRIMAS PLANTA</v>
          </cell>
          <cell r="F486" t="str">
            <v>1 UND</v>
          </cell>
          <cell r="G486">
            <v>500</v>
          </cell>
          <cell r="H486" t="str">
            <v>04/02/2020</v>
          </cell>
          <cell r="I486" t="e">
            <v>#N/A</v>
          </cell>
          <cell r="J486">
            <v>0</v>
          </cell>
          <cell r="K486">
            <v>170</v>
          </cell>
          <cell r="L486">
            <v>0</v>
          </cell>
          <cell r="M486"/>
        </row>
        <row r="487">
          <cell r="A487" t="str">
            <v>10300038</v>
          </cell>
          <cell r="B487" t="str">
            <v>15543</v>
          </cell>
          <cell r="C487" t="str">
            <v>ROAF BEEF REBANADO (PAQ:1 K)</v>
          </cell>
          <cell r="D487" t="str">
            <v>10300038</v>
          </cell>
          <cell r="E487" t="str">
            <v>MATERIAS PRIMAS PLANTA</v>
          </cell>
          <cell r="F487" t="str">
            <v>1 PAQUETE</v>
          </cell>
          <cell r="G487">
            <v>500</v>
          </cell>
          <cell r="H487" t="str">
            <v>13/06/2020</v>
          </cell>
          <cell r="I487">
            <v>5835</v>
          </cell>
          <cell r="J487">
            <v>6865</v>
          </cell>
          <cell r="K487">
            <v>1000</v>
          </cell>
          <cell r="L487">
            <v>6.8650000000000002</v>
          </cell>
          <cell r="M487" t="str">
            <v>Gramos</v>
          </cell>
        </row>
        <row r="488">
          <cell r="A488" t="str">
            <v>10300039</v>
          </cell>
          <cell r="B488" t="str">
            <v>15606</v>
          </cell>
          <cell r="C488" t="str">
            <v>FILET TRUCHA PORCIONES (KILO)</v>
          </cell>
          <cell r="D488" t="str">
            <v>10300039</v>
          </cell>
          <cell r="E488" t="str">
            <v>MATERIAS PRIMAS PLANTA</v>
          </cell>
          <cell r="F488" t="str">
            <v xml:space="preserve">1 KILO  </v>
          </cell>
          <cell r="G488">
            <v>500</v>
          </cell>
          <cell r="H488" t="str">
            <v>15/06/2020</v>
          </cell>
          <cell r="I488" t="e">
            <v>#N/A</v>
          </cell>
          <cell r="J488">
            <v>0</v>
          </cell>
          <cell r="K488">
            <v>1000</v>
          </cell>
          <cell r="L488">
            <v>0</v>
          </cell>
          <cell r="M488" t="str">
            <v>Gramos</v>
          </cell>
        </row>
        <row r="489">
          <cell r="A489" t="str">
            <v>10300040</v>
          </cell>
          <cell r="B489" t="str">
            <v>15607</v>
          </cell>
          <cell r="C489" t="str">
            <v>MORTADELITA CUADRADA MIXTA (PAQ:400 G)</v>
          </cell>
          <cell r="D489" t="str">
            <v>10300040</v>
          </cell>
          <cell r="E489" t="str">
            <v>MATERIAS PRIMAS PLANTA</v>
          </cell>
          <cell r="F489" t="str">
            <v>1 PAQUETE</v>
          </cell>
          <cell r="G489">
            <v>500</v>
          </cell>
          <cell r="H489" t="str">
            <v>19/12/2019</v>
          </cell>
          <cell r="I489">
            <v>1042</v>
          </cell>
          <cell r="J489">
            <v>0</v>
          </cell>
          <cell r="K489">
            <v>400</v>
          </cell>
          <cell r="L489">
            <v>0</v>
          </cell>
          <cell r="M489"/>
        </row>
        <row r="490">
          <cell r="A490" t="str">
            <v>10300041</v>
          </cell>
          <cell r="B490" t="str">
            <v>15807</v>
          </cell>
          <cell r="C490" t="str">
            <v>JAMON DE PAVO LIGHT (PAQ:250 G)</v>
          </cell>
          <cell r="D490" t="str">
            <v>10300041</v>
          </cell>
          <cell r="E490" t="str">
            <v>MATERIAS PRIMAS PLANTA</v>
          </cell>
          <cell r="F490" t="str">
            <v>1 PAQUETE</v>
          </cell>
          <cell r="G490">
            <v>500</v>
          </cell>
          <cell r="H490" t="str">
            <v>18/01/2020</v>
          </cell>
          <cell r="I490">
            <v>2.968</v>
          </cell>
          <cell r="J490">
            <v>0</v>
          </cell>
          <cell r="K490">
            <v>250</v>
          </cell>
          <cell r="L490">
            <v>0</v>
          </cell>
          <cell r="M490" t="str">
            <v>Gramos</v>
          </cell>
        </row>
        <row r="491">
          <cell r="A491" t="str">
            <v>10300042</v>
          </cell>
          <cell r="B491" t="str">
            <v>15884</v>
          </cell>
          <cell r="C491" t="str">
            <v>MUSLO DE POLLO ENTERO (KILO)</v>
          </cell>
          <cell r="D491" t="str">
            <v>10300042</v>
          </cell>
          <cell r="E491" t="str">
            <v>MATERIAS PRIMAS PLANTA</v>
          </cell>
          <cell r="F491" t="str">
            <v>1 KILO</v>
          </cell>
          <cell r="G491">
            <v>500</v>
          </cell>
          <cell r="H491" t="str">
            <v>04/06/2020</v>
          </cell>
          <cell r="I491">
            <v>1450</v>
          </cell>
          <cell r="J491">
            <v>1700</v>
          </cell>
          <cell r="K491">
            <v>1000</v>
          </cell>
          <cell r="L491">
            <v>1.7</v>
          </cell>
          <cell r="M491" t="str">
            <v>Gramos</v>
          </cell>
        </row>
        <row r="492">
          <cell r="A492" t="str">
            <v>10300043</v>
          </cell>
          <cell r="B492" t="str">
            <v>15911</v>
          </cell>
          <cell r="C492" t="str">
            <v>CHORIZO COCIDO DE CERDO (PAQ: 600 G)</v>
          </cell>
          <cell r="D492" t="str">
            <v>10300043</v>
          </cell>
          <cell r="E492" t="str">
            <v>MATERIAS PRIMAS PLANTA</v>
          </cell>
          <cell r="F492" t="str">
            <v>1 PAQUETE</v>
          </cell>
          <cell r="G492">
            <v>500</v>
          </cell>
          <cell r="H492" t="str">
            <v>13/06/2020</v>
          </cell>
          <cell r="I492" t="e">
            <v>#N/A</v>
          </cell>
          <cell r="J492">
            <v>0</v>
          </cell>
          <cell r="K492">
            <v>600</v>
          </cell>
          <cell r="L492">
            <v>0</v>
          </cell>
          <cell r="M492"/>
        </row>
        <row r="493">
          <cell r="A493" t="str">
            <v>10400001</v>
          </cell>
          <cell r="B493" t="str">
            <v>10292</v>
          </cell>
          <cell r="C493" t="str">
            <v>COLORANTE GEL ELECTRIC GREEN (UD=130ml)</v>
          </cell>
          <cell r="D493" t="str">
            <v>10400001</v>
          </cell>
          <cell r="E493" t="str">
            <v>MATERIAS PRIMAS PLANTA</v>
          </cell>
          <cell r="F493" t="str">
            <v>1 UND</v>
          </cell>
          <cell r="G493">
            <v>500</v>
          </cell>
          <cell r="H493" t="str">
            <v>13/05/2020</v>
          </cell>
          <cell r="I493">
            <v>2400</v>
          </cell>
          <cell r="J493">
            <v>2400</v>
          </cell>
          <cell r="K493">
            <v>130</v>
          </cell>
          <cell r="L493">
            <v>18.46153846153846</v>
          </cell>
          <cell r="M493" t="str">
            <v>Mililitros</v>
          </cell>
        </row>
        <row r="494">
          <cell r="A494" t="str">
            <v>10400002</v>
          </cell>
          <cell r="B494" t="str">
            <v>10069</v>
          </cell>
          <cell r="C494" t="str">
            <v>COLORANTE GEL ELECTRIC PURPLE (UND=4.5)</v>
          </cell>
          <cell r="D494" t="str">
            <v>10400002</v>
          </cell>
          <cell r="E494" t="str">
            <v>MATERIAS PRIMAS PLANTA</v>
          </cell>
          <cell r="F494" t="str">
            <v>1 UND</v>
          </cell>
          <cell r="G494">
            <v>500</v>
          </cell>
          <cell r="H494" t="str">
            <v>13/05/2020</v>
          </cell>
          <cell r="I494">
            <v>2400</v>
          </cell>
          <cell r="J494">
            <v>2400</v>
          </cell>
          <cell r="K494">
            <v>130</v>
          </cell>
          <cell r="L494">
            <v>18.46153846153846</v>
          </cell>
          <cell r="M494" t="str">
            <v>Mililitros</v>
          </cell>
        </row>
        <row r="495">
          <cell r="A495" t="str">
            <v>10400003</v>
          </cell>
          <cell r="B495" t="str">
            <v>9704</v>
          </cell>
          <cell r="C495" t="str">
            <v>COLORANTE GEL ELECTRIC BLUE (UND=130ml)</v>
          </cell>
          <cell r="D495" t="str">
            <v>10400003</v>
          </cell>
          <cell r="E495" t="str">
            <v>MATERIAS PRIMAS PLANTA</v>
          </cell>
          <cell r="F495" t="str">
            <v>1 UND</v>
          </cell>
          <cell r="G495">
            <v>500</v>
          </cell>
          <cell r="H495" t="str">
            <v>03/06/2020</v>
          </cell>
          <cell r="I495">
            <v>2400</v>
          </cell>
          <cell r="J495">
            <v>2400</v>
          </cell>
          <cell r="K495">
            <v>130</v>
          </cell>
          <cell r="L495">
            <v>18.46153846153846</v>
          </cell>
          <cell r="M495" t="str">
            <v>Mililitros</v>
          </cell>
        </row>
        <row r="496">
          <cell r="A496" t="str">
            <v>10400004</v>
          </cell>
          <cell r="B496" t="str">
            <v>9605</v>
          </cell>
          <cell r="C496" t="str">
            <v>COLORANTE GEL MINT GREEN (UND)</v>
          </cell>
          <cell r="D496" t="str">
            <v>10400004</v>
          </cell>
          <cell r="E496" t="str">
            <v>MATERIAS PRIMAS PLANTA</v>
          </cell>
          <cell r="F496" t="str">
            <v>1 UND</v>
          </cell>
          <cell r="G496">
            <v>500</v>
          </cell>
          <cell r="H496" t="str">
            <v>03/06/2020</v>
          </cell>
          <cell r="I496">
            <v>2400</v>
          </cell>
          <cell r="J496">
            <v>2400</v>
          </cell>
          <cell r="K496">
            <v>130</v>
          </cell>
          <cell r="L496">
            <v>18.46153846153846</v>
          </cell>
          <cell r="M496" t="str">
            <v>Mililitros</v>
          </cell>
        </row>
        <row r="497">
          <cell r="A497" t="str">
            <v>10400005</v>
          </cell>
          <cell r="B497" t="str">
            <v>10068</v>
          </cell>
          <cell r="C497" t="str">
            <v>COLORANTE GEL ELECTRIC PINK (UND=4.5 OZ)</v>
          </cell>
          <cell r="D497" t="str">
            <v>10400005</v>
          </cell>
          <cell r="E497" t="str">
            <v>MATERIAS PRIMAS PLANTA</v>
          </cell>
          <cell r="F497" t="str">
            <v>1 UND</v>
          </cell>
          <cell r="G497">
            <v>500</v>
          </cell>
          <cell r="H497" t="str">
            <v>24/03/2020</v>
          </cell>
          <cell r="I497">
            <v>2400</v>
          </cell>
          <cell r="J497">
            <v>0</v>
          </cell>
          <cell r="K497">
            <v>130</v>
          </cell>
          <cell r="L497">
            <v>0</v>
          </cell>
          <cell r="M497" t="str">
            <v>Mililitros</v>
          </cell>
        </row>
        <row r="498">
          <cell r="A498" t="str">
            <v>10400006</v>
          </cell>
          <cell r="B498" t="str">
            <v>9706</v>
          </cell>
          <cell r="C498" t="str">
            <v>COLORANTE GEL LEMON YELLOW UND 130 ML</v>
          </cell>
          <cell r="D498" t="str">
            <v>10400006</v>
          </cell>
          <cell r="E498" t="str">
            <v>MATERIAS PRIMAS PLANTA</v>
          </cell>
          <cell r="F498" t="str">
            <v>1 UND</v>
          </cell>
          <cell r="G498">
            <v>500</v>
          </cell>
          <cell r="H498" t="str">
            <v>03/06/2020</v>
          </cell>
          <cell r="I498">
            <v>2400</v>
          </cell>
          <cell r="J498">
            <v>2400</v>
          </cell>
          <cell r="K498">
            <v>130</v>
          </cell>
          <cell r="L498">
            <v>18.46153846153846</v>
          </cell>
          <cell r="M498" t="str">
            <v>Mililitros</v>
          </cell>
        </row>
        <row r="499">
          <cell r="A499" t="str">
            <v>10400007</v>
          </cell>
          <cell r="B499" t="str">
            <v>9705</v>
          </cell>
          <cell r="C499" t="str">
            <v>COLORANTE GEL ELECTRIC ORANGE (UND=130m)</v>
          </cell>
          <cell r="D499" t="str">
            <v>10400007</v>
          </cell>
          <cell r="E499" t="str">
            <v>MATERIAS PRIMAS PLANTA</v>
          </cell>
          <cell r="F499" t="str">
            <v>1 UND</v>
          </cell>
          <cell r="G499">
            <v>500</v>
          </cell>
          <cell r="H499" t="str">
            <v>25/05/2020</v>
          </cell>
          <cell r="I499">
            <v>2400</v>
          </cell>
          <cell r="J499">
            <v>2400</v>
          </cell>
          <cell r="K499">
            <v>130</v>
          </cell>
          <cell r="L499">
            <v>18.46153846153846</v>
          </cell>
          <cell r="M499" t="str">
            <v>Mililitros</v>
          </cell>
        </row>
        <row r="500">
          <cell r="A500" t="str">
            <v>10400008</v>
          </cell>
          <cell r="B500" t="str">
            <v>9602</v>
          </cell>
          <cell r="C500" t="str">
            <v>COLORANTE GEL EGG YELLOW  (UND= 130 ML)</v>
          </cell>
          <cell r="D500" t="str">
            <v>10400008</v>
          </cell>
          <cell r="E500" t="str">
            <v>MATERIAS PRIMAS PLANTA</v>
          </cell>
          <cell r="F500" t="str">
            <v>1 UND</v>
          </cell>
          <cell r="G500">
            <v>500</v>
          </cell>
          <cell r="H500" t="str">
            <v>03/06/2020</v>
          </cell>
          <cell r="I500">
            <v>2400</v>
          </cell>
          <cell r="J500">
            <v>2400</v>
          </cell>
          <cell r="K500">
            <v>130</v>
          </cell>
          <cell r="L500">
            <v>18.46153846153846</v>
          </cell>
          <cell r="M500" t="str">
            <v>Mililitros</v>
          </cell>
        </row>
        <row r="501">
          <cell r="A501" t="str">
            <v>10400009</v>
          </cell>
          <cell r="B501" t="str">
            <v>10301</v>
          </cell>
          <cell r="C501" t="str">
            <v>COLORANTE GEL SUPER RED</v>
          </cell>
          <cell r="D501" t="str">
            <v>10400009</v>
          </cell>
          <cell r="E501" t="str">
            <v>MATERIAS PRIMAS PLANTA</v>
          </cell>
          <cell r="F501" t="str">
            <v>1 UND</v>
          </cell>
          <cell r="G501">
            <v>500</v>
          </cell>
          <cell r="H501" t="str">
            <v>13/05/2020</v>
          </cell>
          <cell r="I501">
            <v>2400</v>
          </cell>
          <cell r="J501">
            <v>2400</v>
          </cell>
          <cell r="K501">
            <v>130</v>
          </cell>
          <cell r="L501">
            <v>18.46153846153846</v>
          </cell>
          <cell r="M501" t="str">
            <v>Mililitros</v>
          </cell>
        </row>
        <row r="502">
          <cell r="A502" t="str">
            <v>10400011</v>
          </cell>
          <cell r="B502" t="str">
            <v>16479</v>
          </cell>
          <cell r="C502" t="str">
            <v>COLORANTE ARTIFICIAL ROSADO F225 (LITRO)</v>
          </cell>
          <cell r="D502" t="str">
            <v>10400011</v>
          </cell>
          <cell r="E502" t="str">
            <v>MATERIAS PRIMAS PLANTA</v>
          </cell>
          <cell r="F502" t="str">
            <v>1 LITRO</v>
          </cell>
          <cell r="G502">
            <v>500</v>
          </cell>
          <cell r="H502" t="str">
            <v>28/05/2020</v>
          </cell>
          <cell r="I502">
            <v>5935.78</v>
          </cell>
          <cell r="J502">
            <v>7905.14</v>
          </cell>
          <cell r="K502">
            <v>1000</v>
          </cell>
          <cell r="L502">
            <v>7.9051400000000003</v>
          </cell>
          <cell r="M502" t="str">
            <v>Mililitros</v>
          </cell>
        </row>
        <row r="503">
          <cell r="A503" t="str">
            <v>10500001</v>
          </cell>
          <cell r="B503" t="str">
            <v>11212</v>
          </cell>
          <cell r="C503" t="str">
            <v>CLAVO DE OLOR MOLIDO KG</v>
          </cell>
          <cell r="D503" t="str">
            <v>10500001</v>
          </cell>
          <cell r="E503" t="str">
            <v>MATERIAS PRIMAS PLANTA</v>
          </cell>
          <cell r="F503" t="str">
            <v>1 KILO</v>
          </cell>
          <cell r="G503">
            <v>500</v>
          </cell>
          <cell r="H503" t="str">
            <v>05/03/2020</v>
          </cell>
          <cell r="I503">
            <v>28940.63</v>
          </cell>
          <cell r="J503">
            <v>23155.3</v>
          </cell>
          <cell r="K503">
            <v>1000</v>
          </cell>
          <cell r="L503">
            <v>23.1553</v>
          </cell>
          <cell r="M503" t="str">
            <v>Gramos</v>
          </cell>
        </row>
        <row r="504">
          <cell r="A504" t="str">
            <v>10500016</v>
          </cell>
          <cell r="B504" t="str">
            <v>5398</v>
          </cell>
          <cell r="C504" t="str">
            <v>HOJA DE LAUREL (UND:43g)</v>
          </cell>
          <cell r="D504" t="str">
            <v>10500016</v>
          </cell>
          <cell r="E504" t="str">
            <v>MATERIAS PRIMAS PLANTA</v>
          </cell>
          <cell r="F504" t="str">
            <v>1 UND</v>
          </cell>
          <cell r="G504">
            <v>500</v>
          </cell>
          <cell r="H504" t="str">
            <v>25/05/2020</v>
          </cell>
          <cell r="I504">
            <v>2252</v>
          </cell>
          <cell r="J504">
            <v>2645</v>
          </cell>
          <cell r="K504">
            <v>43</v>
          </cell>
          <cell r="L504">
            <v>61.511627906976742</v>
          </cell>
          <cell r="M504" t="str">
            <v>Gramos</v>
          </cell>
        </row>
        <row r="505">
          <cell r="A505" t="str">
            <v>10700008</v>
          </cell>
          <cell r="B505" t="str">
            <v>8136</v>
          </cell>
          <cell r="C505" t="str">
            <v>CONFITE PALITO CHOCOLATE (PAQ:680 G)</v>
          </cell>
          <cell r="D505" t="str">
            <v>10700008</v>
          </cell>
          <cell r="E505" t="str">
            <v>MATERIAS PRIMAS PLANTA</v>
          </cell>
          <cell r="F505" t="str">
            <v>1 PAQUETE</v>
          </cell>
          <cell r="G505">
            <v>500</v>
          </cell>
          <cell r="H505" t="str">
            <v>12/06/2020</v>
          </cell>
          <cell r="I505">
            <v>1810</v>
          </cell>
          <cell r="J505">
            <v>1973</v>
          </cell>
          <cell r="K505">
            <v>680</v>
          </cell>
          <cell r="L505">
            <v>2.901470588235294</v>
          </cell>
          <cell r="M505" t="str">
            <v>Gramos</v>
          </cell>
        </row>
        <row r="506">
          <cell r="A506" t="str">
            <v>10700013</v>
          </cell>
          <cell r="B506" t="str">
            <v>9472</v>
          </cell>
          <cell r="C506" t="str">
            <v>STICK DORADO (CAJA:100 UND)</v>
          </cell>
          <cell r="D506" t="str">
            <v>10700013</v>
          </cell>
          <cell r="E506" t="str">
            <v>MATERIAS PRIMAS PLANTA</v>
          </cell>
          <cell r="F506" t="str">
            <v>1 CAJA</v>
          </cell>
          <cell r="G506">
            <v>500</v>
          </cell>
          <cell r="H506" t="str">
            <v>25/05/2020</v>
          </cell>
          <cell r="I506">
            <v>5838</v>
          </cell>
          <cell r="J506">
            <v>5838</v>
          </cell>
          <cell r="K506">
            <v>100</v>
          </cell>
          <cell r="L506">
            <v>58.38</v>
          </cell>
          <cell r="M506" t="str">
            <v>Und</v>
          </cell>
        </row>
        <row r="507">
          <cell r="A507" t="str">
            <v>10700015</v>
          </cell>
          <cell r="B507" t="str">
            <v>9600</v>
          </cell>
          <cell r="C507" t="str">
            <v>CHOCOLATE ESTRELLA DORADA (CAJA:215 UN)</v>
          </cell>
          <cell r="D507" t="str">
            <v>10700015</v>
          </cell>
          <cell r="E507" t="str">
            <v>MATERIAS PRIMAS PLANTA</v>
          </cell>
          <cell r="F507" t="str">
            <v>1 CAJA</v>
          </cell>
          <cell r="G507">
            <v>500</v>
          </cell>
          <cell r="H507" t="str">
            <v>01/06/2020</v>
          </cell>
          <cell r="I507">
            <v>15265</v>
          </cell>
          <cell r="J507">
            <v>15265</v>
          </cell>
          <cell r="K507">
            <v>215</v>
          </cell>
          <cell r="L507">
            <v>71</v>
          </cell>
          <cell r="M507" t="str">
            <v>Und</v>
          </cell>
        </row>
        <row r="508">
          <cell r="A508" t="str">
            <v>10700023</v>
          </cell>
          <cell r="B508" t="str">
            <v>14214</v>
          </cell>
          <cell r="C508" t="str">
            <v>CHOCOLATE CORAZON GRANDE ORO(CJ:215 UND)</v>
          </cell>
          <cell r="D508" t="str">
            <v>10700023</v>
          </cell>
          <cell r="E508" t="str">
            <v>MATERIAS PRIMAS PLANTA</v>
          </cell>
          <cell r="F508" t="str">
            <v>1 CAJA</v>
          </cell>
          <cell r="G508">
            <v>500</v>
          </cell>
          <cell r="H508" t="str">
            <v>03/12/2019</v>
          </cell>
          <cell r="I508" t="e">
            <v>#N/A</v>
          </cell>
          <cell r="J508">
            <v>0</v>
          </cell>
          <cell r="K508">
            <v>215</v>
          </cell>
          <cell r="L508">
            <v>0</v>
          </cell>
          <cell r="M508" t="str">
            <v>Und</v>
          </cell>
        </row>
        <row r="509">
          <cell r="A509" t="str">
            <v>10700026</v>
          </cell>
          <cell r="B509" t="str">
            <v>12988</v>
          </cell>
          <cell r="C509" t="str">
            <v>PLACA DE FONDANT (PAQ:10 UND)</v>
          </cell>
          <cell r="D509" t="str">
            <v>10700026</v>
          </cell>
          <cell r="E509" t="str">
            <v>MATERIAS PRIMAS PLANTA</v>
          </cell>
          <cell r="F509" t="str">
            <v>1 PAQUETE</v>
          </cell>
          <cell r="G509">
            <v>500</v>
          </cell>
          <cell r="H509" t="str">
            <v>15/06/2020</v>
          </cell>
          <cell r="I509">
            <v>700</v>
          </cell>
          <cell r="J509">
            <v>735</v>
          </cell>
          <cell r="K509"/>
          <cell r="L509" t="e">
            <v>#DIV/0!</v>
          </cell>
          <cell r="M509"/>
        </row>
        <row r="510">
          <cell r="A510" t="str">
            <v>10700029</v>
          </cell>
          <cell r="B510" t="str">
            <v>14303</v>
          </cell>
          <cell r="C510" t="str">
            <v>CHOCOLATE CORAZON ROJO PASION (CAJA:200)</v>
          </cell>
          <cell r="D510" t="str">
            <v>10700029</v>
          </cell>
          <cell r="E510" t="str">
            <v>MATERIAS PRIMAS PLANTA</v>
          </cell>
          <cell r="F510" t="str">
            <v>1 CAJA</v>
          </cell>
          <cell r="G510">
            <v>500</v>
          </cell>
          <cell r="H510" t="str">
            <v>11/02/2020</v>
          </cell>
          <cell r="I510">
            <v>8000</v>
          </cell>
          <cell r="J510">
            <v>0</v>
          </cell>
          <cell r="K510">
            <v>200</v>
          </cell>
          <cell r="L510">
            <v>0</v>
          </cell>
          <cell r="M510" t="str">
            <v>Und</v>
          </cell>
        </row>
        <row r="511">
          <cell r="A511" t="str">
            <v>10700032</v>
          </cell>
          <cell r="B511" t="str">
            <v>15413</v>
          </cell>
          <cell r="C511" t="str">
            <v>MERENGUE  POLVO MERCK BAKE (PAQ:2.27 K)</v>
          </cell>
          <cell r="D511" t="str">
            <v>10700032</v>
          </cell>
          <cell r="E511" t="str">
            <v>MATERIAS PRIMAS PLANTA</v>
          </cell>
          <cell r="F511" t="str">
            <v>1 PAQUETE</v>
          </cell>
          <cell r="G511">
            <v>500</v>
          </cell>
          <cell r="H511" t="str">
            <v>01/02/2020</v>
          </cell>
          <cell r="I511" t="e">
            <v>#N/A</v>
          </cell>
          <cell r="J511">
            <v>0</v>
          </cell>
          <cell r="K511">
            <v>2270</v>
          </cell>
          <cell r="L511">
            <v>0</v>
          </cell>
          <cell r="M511" t="str">
            <v>Gramos</v>
          </cell>
        </row>
        <row r="512">
          <cell r="A512" t="str">
            <v>10700033</v>
          </cell>
          <cell r="B512" t="str">
            <v>15654</v>
          </cell>
          <cell r="C512" t="str">
            <v>CHOCOLATE KIT KAT (CAJA:24 X41.5 G)</v>
          </cell>
          <cell r="D512" t="str">
            <v>10700033</v>
          </cell>
          <cell r="E512" t="str">
            <v>MATERIAS PRIMAS PLANTA</v>
          </cell>
          <cell r="F512" t="str">
            <v>1 CAJA</v>
          </cell>
          <cell r="G512">
            <v>500</v>
          </cell>
          <cell r="H512" t="str">
            <v>04/04/2020</v>
          </cell>
          <cell r="I512" t="e">
            <v>#N/A</v>
          </cell>
          <cell r="J512">
            <v>0</v>
          </cell>
          <cell r="K512">
            <v>996</v>
          </cell>
          <cell r="L512">
            <v>0</v>
          </cell>
          <cell r="M512"/>
        </row>
        <row r="513">
          <cell r="A513" t="str">
            <v>10700034</v>
          </cell>
          <cell r="B513" t="str">
            <v>15871</v>
          </cell>
          <cell r="C513" t="str">
            <v>MINI PERLAS COMBINADAS (CAJA: 312 UND)</v>
          </cell>
          <cell r="D513" t="str">
            <v>10700034</v>
          </cell>
          <cell r="E513" t="str">
            <v>MATERIAS PRIMAS PLANTA</v>
          </cell>
          <cell r="F513" t="str">
            <v>1 CAJA</v>
          </cell>
          <cell r="G513">
            <v>500</v>
          </cell>
          <cell r="H513" t="str">
            <v>31/01/2020</v>
          </cell>
          <cell r="I513" t="e">
            <v>#N/A</v>
          </cell>
          <cell r="J513">
            <v>0</v>
          </cell>
          <cell r="K513">
            <v>312</v>
          </cell>
          <cell r="L513">
            <v>0</v>
          </cell>
          <cell r="M513" t="str">
            <v>Und</v>
          </cell>
        </row>
        <row r="514">
          <cell r="A514" t="str">
            <v>10700035</v>
          </cell>
          <cell r="B514" t="str">
            <v>15872</v>
          </cell>
          <cell r="C514" t="str">
            <v>DOYPACK FUDGE (UND:650 G)</v>
          </cell>
          <cell r="D514" t="str">
            <v>10700035</v>
          </cell>
          <cell r="E514" t="str">
            <v>MATERIAS PRIMAS PLANTA</v>
          </cell>
          <cell r="F514" t="str">
            <v>1 UND</v>
          </cell>
          <cell r="G514">
            <v>500</v>
          </cell>
          <cell r="H514" t="str">
            <v>16/06/2020</v>
          </cell>
          <cell r="I514" t="e">
            <v>#N/A</v>
          </cell>
          <cell r="J514">
            <v>0</v>
          </cell>
          <cell r="K514">
            <v>650</v>
          </cell>
          <cell r="L514">
            <v>0</v>
          </cell>
          <cell r="M514"/>
        </row>
        <row r="515">
          <cell r="A515" t="str">
            <v>10700036</v>
          </cell>
          <cell r="B515" t="str">
            <v>15873</v>
          </cell>
          <cell r="C515" t="str">
            <v>CHOCOLATE CORAZON MINI COMB (CJ:1500 UD)</v>
          </cell>
          <cell r="D515" t="str">
            <v>10700036</v>
          </cell>
          <cell r="E515" t="str">
            <v>MATERIAS PRIMAS PLANTA</v>
          </cell>
          <cell r="F515" t="str">
            <v>1 CAJA</v>
          </cell>
          <cell r="G515">
            <v>500</v>
          </cell>
          <cell r="H515" t="str">
            <v>11/02/2020</v>
          </cell>
          <cell r="I515" t="e">
            <v>#N/A</v>
          </cell>
          <cell r="J515">
            <v>0</v>
          </cell>
          <cell r="K515">
            <v>1500</v>
          </cell>
          <cell r="L515">
            <v>0</v>
          </cell>
          <cell r="M515"/>
        </row>
        <row r="516">
          <cell r="A516" t="str">
            <v>10700037</v>
          </cell>
          <cell r="B516" t="str">
            <v>16025</v>
          </cell>
          <cell r="C516" t="str">
            <v>CHOCOLATE HERSHEYS ALMENDRA GIGANT (UND)</v>
          </cell>
          <cell r="D516" t="str">
            <v>10700037</v>
          </cell>
          <cell r="E516" t="str">
            <v>MATERIAS PRIMAS PLANTA</v>
          </cell>
          <cell r="F516" t="str">
            <v>1 UND</v>
          </cell>
          <cell r="G516">
            <v>500</v>
          </cell>
          <cell r="H516" t="str">
            <v>27/03/2020</v>
          </cell>
          <cell r="I516" t="e">
            <v>#N/A</v>
          </cell>
          <cell r="J516">
            <v>0</v>
          </cell>
          <cell r="K516"/>
          <cell r="L516" t="e">
            <v>#DIV/0!</v>
          </cell>
          <cell r="M516"/>
        </row>
        <row r="517">
          <cell r="A517" t="str">
            <v>10700038</v>
          </cell>
          <cell r="B517" t="str">
            <v>16026</v>
          </cell>
          <cell r="C517" t="str">
            <v xml:space="preserve">CHOCOLATE SURTIDO GALLITO (CAJA: 330 G) </v>
          </cell>
          <cell r="D517" t="str">
            <v>10700038</v>
          </cell>
          <cell r="E517" t="str">
            <v>MATERIAS PRIMAS PLANTA</v>
          </cell>
          <cell r="F517" t="str">
            <v>1 CAJA</v>
          </cell>
          <cell r="G517">
            <v>500</v>
          </cell>
          <cell r="H517" t="str">
            <v>16/03/2020</v>
          </cell>
          <cell r="I517" t="e">
            <v>#N/A</v>
          </cell>
          <cell r="J517">
            <v>0</v>
          </cell>
          <cell r="K517">
            <v>330</v>
          </cell>
          <cell r="L517">
            <v>0</v>
          </cell>
          <cell r="M517" t="str">
            <v>Gramos</v>
          </cell>
        </row>
        <row r="518">
          <cell r="A518" t="str">
            <v>10700040</v>
          </cell>
          <cell r="B518" t="str">
            <v>16619</v>
          </cell>
          <cell r="C518" t="str">
            <v>MONEDA CHOCOLATE SPOON ( CAJA:25 UND)</v>
          </cell>
          <cell r="D518" t="str">
            <v>10700040</v>
          </cell>
          <cell r="E518" t="str">
            <v>MATERIAS PRIMAS PLANTA</v>
          </cell>
          <cell r="F518" t="str">
            <v>1 CAJA</v>
          </cell>
          <cell r="G518">
            <v>500</v>
          </cell>
          <cell r="H518" t="str">
            <v>13/06/2020</v>
          </cell>
          <cell r="I518" t="e">
            <v>#N/A</v>
          </cell>
          <cell r="J518">
            <v>0</v>
          </cell>
          <cell r="K518">
            <v>25</v>
          </cell>
          <cell r="L518">
            <v>0</v>
          </cell>
          <cell r="M518"/>
        </row>
        <row r="519">
          <cell r="A519" t="str">
            <v>10900004</v>
          </cell>
          <cell r="B519" t="str">
            <v>9416</v>
          </cell>
          <cell r="C519" t="str">
            <v>OLLA DE CARNE MIXTO (PAQ:1KILO)</v>
          </cell>
          <cell r="D519" t="str">
            <v>10900004</v>
          </cell>
          <cell r="E519" t="str">
            <v>MATERIAS PRIMAS PLANTA</v>
          </cell>
          <cell r="F519" t="str">
            <v>1 PAQUETE</v>
          </cell>
          <cell r="G519">
            <v>500</v>
          </cell>
          <cell r="H519" t="str">
            <v>08/06/2020</v>
          </cell>
          <cell r="I519">
            <v>1900</v>
          </cell>
          <cell r="J519">
            <v>1900</v>
          </cell>
          <cell r="K519">
            <v>1000</v>
          </cell>
          <cell r="L519">
            <v>1.9</v>
          </cell>
          <cell r="M519" t="str">
            <v>Gramos</v>
          </cell>
        </row>
        <row r="520">
          <cell r="A520" t="str">
            <v>10900005</v>
          </cell>
          <cell r="B520" t="str">
            <v>11342</v>
          </cell>
          <cell r="C520" t="str">
            <v>MENTA EN RAMAS (PAQ:100g)</v>
          </cell>
          <cell r="D520" t="str">
            <v>10900005</v>
          </cell>
          <cell r="E520" t="str">
            <v>MATERIAS PRIMAS PLANTA</v>
          </cell>
          <cell r="F520" t="str">
            <v>1 PAQUETE</v>
          </cell>
          <cell r="G520">
            <v>500</v>
          </cell>
          <cell r="H520" t="str">
            <v>15/06/2020</v>
          </cell>
          <cell r="I520">
            <v>536.5</v>
          </cell>
          <cell r="J520">
            <v>550</v>
          </cell>
          <cell r="K520">
            <v>100</v>
          </cell>
          <cell r="L520">
            <v>5.5</v>
          </cell>
          <cell r="M520"/>
        </row>
        <row r="521">
          <cell r="A521" t="str">
            <v>10900020</v>
          </cell>
          <cell r="B521" t="str">
            <v>10261</v>
          </cell>
          <cell r="C521" t="str">
            <v>ZANAHORIA EN TROZOS (PAQ=2Kg)</v>
          </cell>
          <cell r="D521" t="str">
            <v>10900020</v>
          </cell>
          <cell r="E521" t="str">
            <v>MATERIAS PRIMAS PLANTA</v>
          </cell>
          <cell r="F521" t="str">
            <v>1 PAQUETE</v>
          </cell>
          <cell r="G521">
            <v>500</v>
          </cell>
          <cell r="H521" t="str">
            <v>30/05/2020</v>
          </cell>
          <cell r="I521">
            <v>2307</v>
          </cell>
          <cell r="J521">
            <v>2307</v>
          </cell>
          <cell r="K521">
            <v>2000</v>
          </cell>
          <cell r="L521">
            <v>1.1535</v>
          </cell>
          <cell r="M521" t="str">
            <v>Gramos</v>
          </cell>
        </row>
        <row r="522">
          <cell r="A522" t="str">
            <v>10900021</v>
          </cell>
          <cell r="B522" t="str">
            <v>10262</v>
          </cell>
          <cell r="C522" t="str">
            <v>AYOTE SAZON PELADO EN TROZOS (PAQ: 2Kg)</v>
          </cell>
          <cell r="D522" t="str">
            <v>10900021</v>
          </cell>
          <cell r="E522" t="str">
            <v>MATERIAS PRIMAS PLANTA</v>
          </cell>
          <cell r="F522" t="str">
            <v>1 PAQUETE</v>
          </cell>
          <cell r="G522">
            <v>500</v>
          </cell>
          <cell r="H522" t="str">
            <v>13/06/2020</v>
          </cell>
          <cell r="I522">
            <v>3241</v>
          </cell>
          <cell r="J522">
            <v>3241</v>
          </cell>
          <cell r="K522">
            <v>2000</v>
          </cell>
          <cell r="L522">
            <v>1.6205000000000001</v>
          </cell>
          <cell r="M522" t="str">
            <v>Gramos</v>
          </cell>
        </row>
        <row r="523">
          <cell r="A523" t="str">
            <v>10900022</v>
          </cell>
          <cell r="B523" t="str">
            <v>10263</v>
          </cell>
          <cell r="C523" t="str">
            <v>CHAYOTE TIERNO EN TROZOS (PAQ:2 KILOS)</v>
          </cell>
          <cell r="D523" t="str">
            <v>10900022</v>
          </cell>
          <cell r="E523" t="str">
            <v>MATERIAS PRIMAS PLANTA</v>
          </cell>
          <cell r="F523" t="str">
            <v>1 PAQUETE</v>
          </cell>
          <cell r="G523">
            <v>500</v>
          </cell>
          <cell r="H523" t="str">
            <v>06/06/2020</v>
          </cell>
          <cell r="I523">
            <v>2518</v>
          </cell>
          <cell r="J523">
            <v>2518</v>
          </cell>
          <cell r="K523">
            <v>2000</v>
          </cell>
          <cell r="L523">
            <v>1.2589999999999999</v>
          </cell>
          <cell r="M523"/>
        </row>
        <row r="524">
          <cell r="A524" t="str">
            <v>10900023</v>
          </cell>
          <cell r="B524" t="str">
            <v>10260</v>
          </cell>
          <cell r="C524" t="str">
            <v xml:space="preserve">PAPA EN TROZOS (PAQ: 2 K) </v>
          </cell>
          <cell r="D524" t="str">
            <v>10900023</v>
          </cell>
          <cell r="E524" t="str">
            <v>MATERIAS PRIMAS PLANTA</v>
          </cell>
          <cell r="F524" t="str">
            <v>1 PAQUETE</v>
          </cell>
          <cell r="G524">
            <v>500</v>
          </cell>
          <cell r="H524" t="str">
            <v>13/06/2020</v>
          </cell>
          <cell r="I524">
            <v>3641</v>
          </cell>
          <cell r="J524">
            <v>3641</v>
          </cell>
          <cell r="K524">
            <v>2000</v>
          </cell>
          <cell r="L524">
            <v>1.8205</v>
          </cell>
          <cell r="M524" t="str">
            <v>Gramos</v>
          </cell>
        </row>
        <row r="525">
          <cell r="A525" t="str">
            <v>10900024</v>
          </cell>
          <cell r="B525" t="str">
            <v>9425</v>
          </cell>
          <cell r="C525" t="str">
            <v>YUCA EN TROZOS (PAQ: 2K)</v>
          </cell>
          <cell r="D525" t="str">
            <v>10900024</v>
          </cell>
          <cell r="E525" t="str">
            <v>MATERIAS PRIMAS PLANTA</v>
          </cell>
          <cell r="F525" t="str">
            <v>1 PAQUETE</v>
          </cell>
          <cell r="G525">
            <v>500</v>
          </cell>
          <cell r="H525" t="str">
            <v>06/06/2020</v>
          </cell>
          <cell r="I525">
            <v>3450</v>
          </cell>
          <cell r="J525">
            <v>3450</v>
          </cell>
          <cell r="K525">
            <v>2000</v>
          </cell>
          <cell r="L525">
            <v>1.7250000000000001</v>
          </cell>
          <cell r="M525" t="str">
            <v>Gramos</v>
          </cell>
        </row>
        <row r="526">
          <cell r="A526" t="str">
            <v>10900025</v>
          </cell>
          <cell r="B526" t="str">
            <v>9426</v>
          </cell>
          <cell r="C526" t="str">
            <v>CAMOTE EN TROZOS (PAQ: 2K)</v>
          </cell>
          <cell r="D526" t="str">
            <v>10900025</v>
          </cell>
          <cell r="E526" t="str">
            <v>MATERIAS PRIMAS PLANTA</v>
          </cell>
          <cell r="F526" t="str">
            <v>1 PAQUETE</v>
          </cell>
          <cell r="G526">
            <v>500</v>
          </cell>
          <cell r="H526" t="str">
            <v>06/06/2020</v>
          </cell>
          <cell r="I526">
            <v>4150</v>
          </cell>
          <cell r="J526">
            <v>4150</v>
          </cell>
          <cell r="K526">
            <v>2000</v>
          </cell>
          <cell r="L526">
            <v>2.0750000000000002</v>
          </cell>
          <cell r="M526" t="str">
            <v>Gramos</v>
          </cell>
        </row>
        <row r="527">
          <cell r="A527" t="str">
            <v>10900026</v>
          </cell>
          <cell r="B527" t="str">
            <v>9427</v>
          </cell>
          <cell r="C527" t="str">
            <v>ELOTE BLANCO EN TROZOS (PAQ:2K)</v>
          </cell>
          <cell r="D527" t="str">
            <v>10900026</v>
          </cell>
          <cell r="E527" t="str">
            <v>MATERIAS PRIMAS PLANTA</v>
          </cell>
          <cell r="F527" t="str">
            <v>1 UND</v>
          </cell>
          <cell r="G527">
            <v>500</v>
          </cell>
          <cell r="H527" t="str">
            <v>06/06/2020</v>
          </cell>
          <cell r="I527">
            <v>3651</v>
          </cell>
          <cell r="J527">
            <v>3651</v>
          </cell>
          <cell r="K527">
            <v>2000</v>
          </cell>
          <cell r="L527">
            <v>1.8254999999999999</v>
          </cell>
          <cell r="M527" t="str">
            <v>Gramos</v>
          </cell>
        </row>
        <row r="528">
          <cell r="A528" t="str">
            <v>10900029</v>
          </cell>
          <cell r="B528" t="str">
            <v>5509</v>
          </cell>
          <cell r="C528" t="str">
            <v>ZANAHORIA TIRAS (PAQ:500g)</v>
          </cell>
          <cell r="D528" t="str">
            <v>10900029</v>
          </cell>
          <cell r="E528" t="str">
            <v>MATERIAS PRIMAS PLANTA</v>
          </cell>
          <cell r="F528" t="str">
            <v>1 PAQUETE</v>
          </cell>
          <cell r="G528">
            <v>500</v>
          </cell>
          <cell r="H528" t="str">
            <v>15/06/2020</v>
          </cell>
          <cell r="I528">
            <v>428</v>
          </cell>
          <cell r="J528">
            <v>428</v>
          </cell>
          <cell r="K528">
            <v>500</v>
          </cell>
          <cell r="L528">
            <v>0.85599999999999998</v>
          </cell>
          <cell r="M528" t="str">
            <v>Gramos</v>
          </cell>
        </row>
        <row r="529">
          <cell r="A529" t="str">
            <v>10900032</v>
          </cell>
          <cell r="B529" t="str">
            <v>5424</v>
          </cell>
          <cell r="C529" t="str">
            <v>FRESA ENTERA (UND:300 g)</v>
          </cell>
          <cell r="D529" t="str">
            <v>10900032</v>
          </cell>
          <cell r="E529" t="str">
            <v>MATERIAS PRIMAS PLANTA</v>
          </cell>
          <cell r="F529" t="str">
            <v>1 UND</v>
          </cell>
          <cell r="G529">
            <v>500</v>
          </cell>
          <cell r="H529" t="str">
            <v>15/06/2020</v>
          </cell>
          <cell r="I529">
            <v>875</v>
          </cell>
          <cell r="J529">
            <v>875</v>
          </cell>
          <cell r="K529">
            <v>300</v>
          </cell>
          <cell r="L529">
            <v>2.9166666666666665</v>
          </cell>
          <cell r="M529" t="str">
            <v>Gramos</v>
          </cell>
        </row>
        <row r="530">
          <cell r="A530" t="str">
            <v>10900033</v>
          </cell>
          <cell r="B530" t="str">
            <v>5470</v>
          </cell>
          <cell r="C530" t="str">
            <v>ELOTE MINI (PAQ:200g)</v>
          </cell>
          <cell r="D530" t="str">
            <v>10900033</v>
          </cell>
          <cell r="E530" t="str">
            <v>MATERIAS PRIMAS PLANTA</v>
          </cell>
          <cell r="F530" t="str">
            <v>1 PAQUETE</v>
          </cell>
          <cell r="G530">
            <v>500</v>
          </cell>
          <cell r="H530" t="str">
            <v>28/05/2020</v>
          </cell>
          <cell r="I530">
            <v>780</v>
          </cell>
          <cell r="J530">
            <v>0</v>
          </cell>
          <cell r="K530">
            <v>200</v>
          </cell>
          <cell r="L530">
            <v>0</v>
          </cell>
          <cell r="M530"/>
        </row>
        <row r="531">
          <cell r="A531" t="str">
            <v>10900034</v>
          </cell>
          <cell r="B531" t="str">
            <v>5478</v>
          </cell>
          <cell r="C531" t="str">
            <v>ALBAHACA (PAQ: 100g)</v>
          </cell>
          <cell r="D531" t="str">
            <v>10900034</v>
          </cell>
          <cell r="E531" t="str">
            <v>MATERIAS PRIMAS PLANTA</v>
          </cell>
          <cell r="F531" t="str">
            <v>1 PAQUETE</v>
          </cell>
          <cell r="G531">
            <v>500</v>
          </cell>
          <cell r="H531" t="str">
            <v>15/06/2020</v>
          </cell>
          <cell r="I531">
            <v>521.20000000000005</v>
          </cell>
          <cell r="J531">
            <v>535</v>
          </cell>
          <cell r="K531">
            <v>100</v>
          </cell>
          <cell r="L531">
            <v>5.35</v>
          </cell>
          <cell r="M531"/>
        </row>
        <row r="532">
          <cell r="A532" t="str">
            <v>10900036</v>
          </cell>
          <cell r="B532" t="str">
            <v>5499</v>
          </cell>
          <cell r="C532" t="str">
            <v>LECHUGA AMERICANA ENTERA (PAQ:500g)</v>
          </cell>
          <cell r="D532" t="str">
            <v>10900036</v>
          </cell>
          <cell r="E532" t="str">
            <v>MATERIAS PRIMAS PLANTA</v>
          </cell>
          <cell r="F532" t="str">
            <v>1 PAQUETE</v>
          </cell>
          <cell r="G532">
            <v>500</v>
          </cell>
          <cell r="H532" t="str">
            <v>15/06/2020</v>
          </cell>
          <cell r="I532">
            <v>1046.5</v>
          </cell>
          <cell r="J532">
            <v>1075</v>
          </cell>
          <cell r="K532">
            <v>500</v>
          </cell>
          <cell r="L532">
            <v>2.15</v>
          </cell>
          <cell r="M532" t="str">
            <v>Gramos</v>
          </cell>
        </row>
        <row r="533">
          <cell r="A533" t="str">
            <v>10900037</v>
          </cell>
          <cell r="B533" t="str">
            <v>5469</v>
          </cell>
          <cell r="C533" t="str">
            <v>VAINICA BABY (PAQ:200g)</v>
          </cell>
          <cell r="D533" t="str">
            <v>10900037</v>
          </cell>
          <cell r="E533" t="str">
            <v>MATERIAS PRIMAS PLANTA</v>
          </cell>
          <cell r="F533" t="str">
            <v>1 PAQUETE</v>
          </cell>
          <cell r="G533">
            <v>500</v>
          </cell>
          <cell r="H533" t="str">
            <v>30/05/2020</v>
          </cell>
          <cell r="I533">
            <v>580</v>
          </cell>
          <cell r="J533">
            <v>0</v>
          </cell>
          <cell r="K533">
            <v>200</v>
          </cell>
          <cell r="L533">
            <v>0</v>
          </cell>
          <cell r="M533"/>
        </row>
        <row r="534">
          <cell r="A534" t="str">
            <v>10900040</v>
          </cell>
          <cell r="B534" t="str">
            <v>5452</v>
          </cell>
          <cell r="C534" t="str">
            <v>PEREJIL (PAQUETE: 32 gr)</v>
          </cell>
          <cell r="D534" t="str">
            <v>10900040</v>
          </cell>
          <cell r="E534" t="str">
            <v>MATERIAS PRIMAS PLANTA</v>
          </cell>
          <cell r="F534" t="str">
            <v>1 PAQUETE</v>
          </cell>
          <cell r="G534">
            <v>500</v>
          </cell>
          <cell r="H534" t="str">
            <v>15/06/2020</v>
          </cell>
          <cell r="I534">
            <v>308</v>
          </cell>
          <cell r="J534">
            <v>308</v>
          </cell>
          <cell r="K534">
            <v>32</v>
          </cell>
          <cell r="L534">
            <v>9.625</v>
          </cell>
          <cell r="M534"/>
        </row>
        <row r="535">
          <cell r="A535" t="str">
            <v>10900041</v>
          </cell>
          <cell r="B535" t="str">
            <v>5489</v>
          </cell>
          <cell r="C535" t="str">
            <v>REPOLLO MORADO RALLADO (PAQ:250g)</v>
          </cell>
          <cell r="D535" t="str">
            <v>10900041</v>
          </cell>
          <cell r="E535" t="str">
            <v>MATERIAS PRIMAS PLANTA</v>
          </cell>
          <cell r="F535" t="str">
            <v>1 PAQUETE</v>
          </cell>
          <cell r="G535">
            <v>500</v>
          </cell>
          <cell r="H535" t="str">
            <v>15/06/2020</v>
          </cell>
          <cell r="I535">
            <v>449.1</v>
          </cell>
          <cell r="J535">
            <v>462.99</v>
          </cell>
          <cell r="K535">
            <v>250</v>
          </cell>
          <cell r="L535">
            <v>1.8519600000000001</v>
          </cell>
          <cell r="M535"/>
        </row>
        <row r="536">
          <cell r="A536" t="str">
            <v>10900042</v>
          </cell>
          <cell r="B536" t="str">
            <v>5477</v>
          </cell>
          <cell r="C536" t="str">
            <v>HIERBA BUENA (PAQ:100g)</v>
          </cell>
          <cell r="D536" t="str">
            <v>10900042</v>
          </cell>
          <cell r="E536" t="str">
            <v>MATERIAS PRIMAS PLANTA</v>
          </cell>
          <cell r="F536" t="str">
            <v>1 PAQUETE</v>
          </cell>
          <cell r="G536">
            <v>500</v>
          </cell>
          <cell r="H536" t="str">
            <v>15/06/2020</v>
          </cell>
          <cell r="I536">
            <v>907.8</v>
          </cell>
          <cell r="J536">
            <v>920</v>
          </cell>
          <cell r="K536">
            <v>100</v>
          </cell>
          <cell r="L536">
            <v>9.1999999999999993</v>
          </cell>
          <cell r="M536"/>
        </row>
        <row r="537">
          <cell r="A537" t="str">
            <v>10900043</v>
          </cell>
          <cell r="B537" t="str">
            <v>5468</v>
          </cell>
          <cell r="C537" t="str">
            <v>TOMATE CHERRY (PAQ:200g)</v>
          </cell>
          <cell r="D537" t="str">
            <v>10900043</v>
          </cell>
          <cell r="E537" t="str">
            <v>MATERIAS PRIMAS PLANTA</v>
          </cell>
          <cell r="F537" t="str">
            <v>1 PAQUETE</v>
          </cell>
          <cell r="G537">
            <v>500</v>
          </cell>
          <cell r="H537" t="str">
            <v>16/06/2020</v>
          </cell>
          <cell r="I537">
            <v>450</v>
          </cell>
          <cell r="J537">
            <v>500</v>
          </cell>
          <cell r="K537">
            <v>200</v>
          </cell>
          <cell r="L537">
            <v>2.5</v>
          </cell>
          <cell r="M537"/>
        </row>
        <row r="538">
          <cell r="A538" t="str">
            <v>10900047</v>
          </cell>
          <cell r="B538" t="str">
            <v>5459</v>
          </cell>
          <cell r="C538" t="str">
            <v>ALFALFA (PAQ:150g)</v>
          </cell>
          <cell r="D538" t="str">
            <v>10900047</v>
          </cell>
          <cell r="E538" t="str">
            <v>MATERIAS PRIMAS PLANTA</v>
          </cell>
          <cell r="F538" t="str">
            <v>1 PAQUETE</v>
          </cell>
          <cell r="G538">
            <v>500</v>
          </cell>
          <cell r="H538" t="str">
            <v>16/06/2020</v>
          </cell>
          <cell r="I538">
            <v>750</v>
          </cell>
          <cell r="J538">
            <v>950</v>
          </cell>
          <cell r="K538">
            <v>150</v>
          </cell>
          <cell r="L538">
            <v>6.333333333333333</v>
          </cell>
        </row>
        <row r="539">
          <cell r="A539" t="str">
            <v>10900051</v>
          </cell>
          <cell r="B539" t="str">
            <v>11353</v>
          </cell>
          <cell r="C539" t="str">
            <v>AGUACATE KILO</v>
          </cell>
          <cell r="D539" t="str">
            <v>10900051</v>
          </cell>
          <cell r="E539" t="str">
            <v>MATERIAS PRIMAS PLANTA</v>
          </cell>
          <cell r="F539" t="str">
            <v>1 KILO</v>
          </cell>
          <cell r="G539">
            <v>500</v>
          </cell>
          <cell r="H539" t="str">
            <v>15/06/2020</v>
          </cell>
          <cell r="I539">
            <v>2200</v>
          </cell>
          <cell r="J539">
            <v>2792</v>
          </cell>
          <cell r="K539">
            <v>1000</v>
          </cell>
          <cell r="L539">
            <v>2.7919999999999998</v>
          </cell>
          <cell r="M539" t="str">
            <v>Gramos</v>
          </cell>
        </row>
        <row r="540">
          <cell r="A540" t="str">
            <v>10900057</v>
          </cell>
          <cell r="B540" t="str">
            <v>12159</v>
          </cell>
          <cell r="C540" t="str">
            <v>ZUQUINI MINI (PAQ:200g)</v>
          </cell>
          <cell r="D540" t="str">
            <v>10900057</v>
          </cell>
          <cell r="E540" t="str">
            <v>MATERIAS PRIMAS PLANTA</v>
          </cell>
          <cell r="F540" t="str">
            <v>1 PAQUETE</v>
          </cell>
          <cell r="G540">
            <v>500</v>
          </cell>
          <cell r="H540" t="str">
            <v>16/06/2020</v>
          </cell>
          <cell r="I540">
            <v>400</v>
          </cell>
          <cell r="J540">
            <v>500</v>
          </cell>
          <cell r="K540">
            <v>200</v>
          </cell>
          <cell r="L540">
            <v>2.5</v>
          </cell>
          <cell r="M540"/>
        </row>
        <row r="541">
          <cell r="A541" t="str">
            <v>10900059</v>
          </cell>
          <cell r="B541" t="str">
            <v>5490</v>
          </cell>
          <cell r="C541" t="str">
            <v>RABANO (PAQ:125g)</v>
          </cell>
          <cell r="D541" t="str">
            <v>10900059</v>
          </cell>
          <cell r="E541" t="str">
            <v>MATERIAS PRIMAS PLANTA</v>
          </cell>
          <cell r="F541" t="str">
            <v xml:space="preserve">1 KILO </v>
          </cell>
          <cell r="G541">
            <v>500</v>
          </cell>
          <cell r="H541" t="str">
            <v>15/06/2020</v>
          </cell>
          <cell r="I541">
            <v>1149</v>
          </cell>
          <cell r="J541">
            <v>1149</v>
          </cell>
          <cell r="K541">
            <v>1000</v>
          </cell>
          <cell r="L541">
            <v>1.149</v>
          </cell>
          <cell r="M541" t="str">
            <v>Gramos</v>
          </cell>
        </row>
        <row r="542">
          <cell r="A542" t="str">
            <v>10900060</v>
          </cell>
          <cell r="B542" t="str">
            <v>8109</v>
          </cell>
          <cell r="C542" t="str">
            <v>CEREZA ROJA C/TALLO MARASCH (UND:GALON)</v>
          </cell>
          <cell r="D542" t="str">
            <v>10900060</v>
          </cell>
          <cell r="E542" t="str">
            <v>MATERIAS PRIMAS PLANTA</v>
          </cell>
          <cell r="F542" t="str">
            <v>1 UND</v>
          </cell>
          <cell r="G542">
            <v>500</v>
          </cell>
          <cell r="H542" t="str">
            <v>08/06/2020</v>
          </cell>
          <cell r="I542">
            <v>11277</v>
          </cell>
          <cell r="J542">
            <v>7467</v>
          </cell>
          <cell r="K542">
            <v>3785</v>
          </cell>
          <cell r="L542">
            <v>1.9727873183619551</v>
          </cell>
          <cell r="M542" t="str">
            <v>Gramos</v>
          </cell>
        </row>
        <row r="543">
          <cell r="A543" t="str">
            <v>10900062</v>
          </cell>
          <cell r="B543" t="str">
            <v>11812</v>
          </cell>
          <cell r="C543" t="str">
            <v>PLATANO MADURO KILO</v>
          </cell>
          <cell r="D543" t="str">
            <v>10900062</v>
          </cell>
          <cell r="E543" t="str">
            <v>MATERIAS PRIMAS PLANTA</v>
          </cell>
          <cell r="F543" t="str">
            <v xml:space="preserve">1 KILO </v>
          </cell>
          <cell r="G543">
            <v>500</v>
          </cell>
          <cell r="H543" t="str">
            <v>13/06/2020</v>
          </cell>
          <cell r="I543">
            <v>700</v>
          </cell>
          <cell r="J543">
            <v>700</v>
          </cell>
          <cell r="K543">
            <v>1000</v>
          </cell>
          <cell r="L543">
            <v>0.7</v>
          </cell>
          <cell r="M543" t="str">
            <v>Gramos</v>
          </cell>
        </row>
        <row r="544">
          <cell r="A544" t="str">
            <v>10900066</v>
          </cell>
          <cell r="B544" t="str">
            <v>12599</v>
          </cell>
          <cell r="C544" t="str">
            <v>PIÑA PICADA (PAQ:1 kg)</v>
          </cell>
          <cell r="D544" t="str">
            <v>10900066</v>
          </cell>
          <cell r="E544" t="str">
            <v>MATERIAS PRIMAS PLANTA</v>
          </cell>
          <cell r="F544" t="str">
            <v>1 PAQUETE</v>
          </cell>
          <cell r="G544">
            <v>500</v>
          </cell>
          <cell r="H544" t="str">
            <v>23/03/2020</v>
          </cell>
          <cell r="I544">
            <v>1950</v>
          </cell>
          <cell r="J544">
            <v>1365</v>
          </cell>
          <cell r="K544">
            <v>1000</v>
          </cell>
          <cell r="L544">
            <v>1.365</v>
          </cell>
          <cell r="M544" t="str">
            <v>Gramos</v>
          </cell>
        </row>
        <row r="545">
          <cell r="A545" t="str">
            <v>11000006</v>
          </cell>
          <cell r="B545" t="str">
            <v>14894</v>
          </cell>
          <cell r="C545" t="str">
            <v>ORLA 6.5'' (UND)</v>
          </cell>
          <cell r="D545" t="str">
            <v>11000006</v>
          </cell>
          <cell r="E545" t="str">
            <v>EMPAQUES PLANTA</v>
          </cell>
          <cell r="F545" t="str">
            <v>1 UND</v>
          </cell>
          <cell r="G545">
            <v>500</v>
          </cell>
          <cell r="H545" t="str">
            <v>13/03/2020</v>
          </cell>
          <cell r="I545">
            <v>76</v>
          </cell>
          <cell r="J545">
            <v>76</v>
          </cell>
          <cell r="K545">
            <v>1</v>
          </cell>
          <cell r="L545">
            <v>76</v>
          </cell>
          <cell r="M545"/>
        </row>
        <row r="546">
          <cell r="A546" t="str">
            <v>11100002</v>
          </cell>
          <cell r="B546" t="str">
            <v>12716</v>
          </cell>
          <cell r="C546" t="str">
            <v>MARGARINA LIQUIDA 17.5LB (CAJA:2 UND)</v>
          </cell>
          <cell r="D546" t="str">
            <v>11100002</v>
          </cell>
          <cell r="E546" t="str">
            <v>MATERIAS PRIMAS PLANTA</v>
          </cell>
          <cell r="F546" t="str">
            <v>1 CAJA</v>
          </cell>
          <cell r="G546">
            <v>500</v>
          </cell>
          <cell r="H546" t="str">
            <v>07/01/2020</v>
          </cell>
          <cell r="I546" t="e">
            <v>#N/A</v>
          </cell>
          <cell r="J546">
            <v>0</v>
          </cell>
          <cell r="K546">
            <v>0</v>
          </cell>
          <cell r="L546" t="e">
            <v>#DIV/0!</v>
          </cell>
          <cell r="M546"/>
        </row>
        <row r="547">
          <cell r="A547" t="str">
            <v>11100006</v>
          </cell>
          <cell r="B547" t="str">
            <v>11434</v>
          </cell>
          <cell r="C547" t="str">
            <v>MANTEQUILLA BLISTER 7g  (CAJA:120 UND)</v>
          </cell>
          <cell r="D547" t="str">
            <v>11100006</v>
          </cell>
          <cell r="E547" t="str">
            <v>MATERIAS PRIMAS PLANTA</v>
          </cell>
          <cell r="F547" t="str">
            <v xml:space="preserve">1 CAJA </v>
          </cell>
          <cell r="G547">
            <v>500</v>
          </cell>
          <cell r="H547" t="str">
            <v>20/03/2020</v>
          </cell>
          <cell r="I547">
            <v>6880</v>
          </cell>
          <cell r="J547">
            <v>8365</v>
          </cell>
          <cell r="K547">
            <v>120</v>
          </cell>
          <cell r="L547">
            <v>69.708333333333329</v>
          </cell>
          <cell r="M547" t="str">
            <v>Und</v>
          </cell>
        </row>
        <row r="548">
          <cell r="A548" t="str">
            <v>11200004</v>
          </cell>
          <cell r="B548" t="str">
            <v>11440</v>
          </cell>
          <cell r="C548" t="str">
            <v>PAN TRENZA(PAQ:10 UND)</v>
          </cell>
          <cell r="D548" t="str">
            <v>11200004</v>
          </cell>
          <cell r="E548" t="str">
            <v>MATERIAS PRIMAS PLANTA</v>
          </cell>
          <cell r="F548" t="str">
            <v>1 PAQUETE</v>
          </cell>
          <cell r="G548">
            <v>500</v>
          </cell>
          <cell r="H548" t="str">
            <v>12/06/2020</v>
          </cell>
          <cell r="I548">
            <v>2050</v>
          </cell>
          <cell r="J548">
            <v>2130</v>
          </cell>
          <cell r="K548">
            <v>10</v>
          </cell>
          <cell r="L548">
            <v>213</v>
          </cell>
          <cell r="M548" t="str">
            <v>Und</v>
          </cell>
        </row>
        <row r="549">
          <cell r="A549" t="str">
            <v>11200005</v>
          </cell>
          <cell r="B549" t="str">
            <v>11441</v>
          </cell>
          <cell r="C549" t="str">
            <v>PAN BAGUETTINO (PAQ:20 UND)</v>
          </cell>
          <cell r="D549" t="str">
            <v>11200005</v>
          </cell>
          <cell r="E549" t="str">
            <v>MATERIAS PRIMAS PLANTA</v>
          </cell>
          <cell r="F549" t="str">
            <v>1 PAQUETE</v>
          </cell>
          <cell r="G549">
            <v>500</v>
          </cell>
          <cell r="H549" t="str">
            <v>15/06/2020</v>
          </cell>
          <cell r="I549">
            <v>2400</v>
          </cell>
          <cell r="J549">
            <v>2560</v>
          </cell>
          <cell r="K549">
            <v>20</v>
          </cell>
          <cell r="L549">
            <v>128</v>
          </cell>
          <cell r="M549" t="str">
            <v>Und</v>
          </cell>
        </row>
        <row r="550">
          <cell r="A550" t="str">
            <v>11200019</v>
          </cell>
          <cell r="B550" t="str">
            <v>5573</v>
          </cell>
          <cell r="C550" t="str">
            <v>PAN MINI BAGUET (PAQ:5 UND)</v>
          </cell>
          <cell r="D550" t="str">
            <v>11200019</v>
          </cell>
          <cell r="E550" t="str">
            <v>MATERIAS PRIMAS PLANTA</v>
          </cell>
          <cell r="F550" t="str">
            <v>1 PAQUETE</v>
          </cell>
          <cell r="G550">
            <v>500</v>
          </cell>
          <cell r="H550" t="str">
            <v>15/06/2020</v>
          </cell>
          <cell r="I550">
            <v>950</v>
          </cell>
          <cell r="J550">
            <v>1015</v>
          </cell>
          <cell r="K550">
            <v>5</v>
          </cell>
          <cell r="L550">
            <v>203</v>
          </cell>
          <cell r="M550" t="str">
            <v>Und</v>
          </cell>
        </row>
        <row r="551">
          <cell r="A551" t="str">
            <v>11200041</v>
          </cell>
          <cell r="B551" t="str">
            <v>5572</v>
          </cell>
          <cell r="C551" t="str">
            <v>CONCHA PIZZA (PAQ:5 UND)</v>
          </cell>
          <cell r="D551" t="str">
            <v>11200041</v>
          </cell>
          <cell r="E551" t="str">
            <v>MATERIAS PRIMAS PLANTA</v>
          </cell>
          <cell r="F551" t="str">
            <v>1 PAQUETE</v>
          </cell>
          <cell r="G551">
            <v>500</v>
          </cell>
          <cell r="H551" t="str">
            <v>15/06/2020</v>
          </cell>
          <cell r="I551">
            <v>845</v>
          </cell>
          <cell r="J551">
            <v>631.25</v>
          </cell>
          <cell r="K551">
            <v>5</v>
          </cell>
          <cell r="L551">
            <v>126.25</v>
          </cell>
          <cell r="M551" t="str">
            <v>Und</v>
          </cell>
        </row>
        <row r="552">
          <cell r="A552" t="str">
            <v>11200043</v>
          </cell>
          <cell r="B552" t="str">
            <v>11326</v>
          </cell>
          <cell r="C552" t="str">
            <v>PREMEZCLA TEGRAL QQ VAINILLA (SACO:25K)</v>
          </cell>
          <cell r="D552" t="str">
            <v>11200043</v>
          </cell>
          <cell r="E552" t="str">
            <v>MATERIAS PRIMAS PLANTA</v>
          </cell>
          <cell r="F552" t="str">
            <v>1 SACO</v>
          </cell>
          <cell r="G552">
            <v>500</v>
          </cell>
          <cell r="H552" t="str">
            <v>13/06/2020</v>
          </cell>
          <cell r="I552">
            <v>24875</v>
          </cell>
          <cell r="J552">
            <v>29949.255000000001</v>
          </cell>
          <cell r="K552">
            <v>25000</v>
          </cell>
          <cell r="L552">
            <v>1.1979702000000001</v>
          </cell>
          <cell r="M552" t="str">
            <v>Gramos</v>
          </cell>
        </row>
        <row r="553">
          <cell r="A553" t="str">
            <v>11200048</v>
          </cell>
          <cell r="B553" t="str">
            <v>12603</v>
          </cell>
          <cell r="C553" t="str">
            <v>PREMEZCLA TEGRAL QQ CHOCOLATE (SACO:20K)</v>
          </cell>
          <cell r="D553" t="str">
            <v>11200048</v>
          </cell>
          <cell r="E553" t="str">
            <v>MATERIAS PRIMAS PLANTA</v>
          </cell>
          <cell r="F553" t="str">
            <v>1 SACO</v>
          </cell>
          <cell r="G553">
            <v>500</v>
          </cell>
          <cell r="H553" t="str">
            <v>13/06/2020</v>
          </cell>
          <cell r="I553">
            <v>25100</v>
          </cell>
          <cell r="J553">
            <v>30928.272000000001</v>
          </cell>
          <cell r="K553">
            <v>20000</v>
          </cell>
          <cell r="L553">
            <v>1.5464135999999999</v>
          </cell>
          <cell r="M553" t="str">
            <v>Gramos</v>
          </cell>
        </row>
        <row r="554">
          <cell r="A554" t="str">
            <v>11200058</v>
          </cell>
          <cell r="B554" t="str">
            <v>14508</v>
          </cell>
          <cell r="C554" t="str">
            <v>PAN ARABE BLANCO 15 CM (PAQ:5 UND)</v>
          </cell>
          <cell r="D554" t="str">
            <v>11200058</v>
          </cell>
          <cell r="E554" t="str">
            <v>MATERIAS PRIMAS PLANTA</v>
          </cell>
          <cell r="F554" t="str">
            <v>1 PAQUETE</v>
          </cell>
          <cell r="G554">
            <v>500</v>
          </cell>
          <cell r="H554" t="str">
            <v>15/06/2020</v>
          </cell>
          <cell r="I554">
            <v>910</v>
          </cell>
          <cell r="J554">
            <v>825</v>
          </cell>
          <cell r="K554">
            <v>5</v>
          </cell>
          <cell r="L554">
            <v>165</v>
          </cell>
          <cell r="M554"/>
        </row>
        <row r="555">
          <cell r="A555" t="str">
            <v>11200060</v>
          </cell>
          <cell r="B555" t="str">
            <v>14555</v>
          </cell>
          <cell r="C555" t="str">
            <v>PAN BRIOCHE (PAQ= 20 UND)</v>
          </cell>
          <cell r="D555" t="str">
            <v>11200060</v>
          </cell>
          <cell r="E555" t="str">
            <v>MATERIAS PRIMAS PLANTA</v>
          </cell>
          <cell r="F555" t="str">
            <v>1 PAQUETE</v>
          </cell>
          <cell r="G555">
            <v>500</v>
          </cell>
          <cell r="H555" t="str">
            <v>07/01/2020</v>
          </cell>
          <cell r="I555" t="e">
            <v>#N/A</v>
          </cell>
          <cell r="J555">
            <v>0</v>
          </cell>
          <cell r="K555">
            <v>20</v>
          </cell>
          <cell r="L555">
            <v>0</v>
          </cell>
          <cell r="M555"/>
        </row>
        <row r="556">
          <cell r="A556" t="str">
            <v>11200063</v>
          </cell>
          <cell r="B556" t="str">
            <v>15186</v>
          </cell>
          <cell r="C556" t="str">
            <v>PAN CIABATTA 16 CM (PAQ:10 UND)</v>
          </cell>
          <cell r="D556" t="str">
            <v>11200063</v>
          </cell>
          <cell r="E556" t="str">
            <v>MATERIAS PRIMAS PLANTA</v>
          </cell>
          <cell r="F556" t="str">
            <v xml:space="preserve">1 PAQUETE  </v>
          </cell>
          <cell r="G556">
            <v>500</v>
          </cell>
          <cell r="H556" t="str">
            <v>15/06/2020</v>
          </cell>
          <cell r="I556">
            <v>2200</v>
          </cell>
          <cell r="J556">
            <v>2350</v>
          </cell>
          <cell r="K556">
            <v>10</v>
          </cell>
          <cell r="L556">
            <v>235</v>
          </cell>
          <cell r="M556"/>
        </row>
        <row r="557">
          <cell r="A557" t="str">
            <v>11200064</v>
          </cell>
          <cell r="B557" t="str">
            <v>15550</v>
          </cell>
          <cell r="C557" t="str">
            <v>HARINA TRIGO NACARINA (SACO: 25 K)</v>
          </cell>
          <cell r="D557" t="str">
            <v>11200064</v>
          </cell>
          <cell r="E557" t="str">
            <v>MATERIAS PRIMAS PLANTA</v>
          </cell>
          <cell r="F557" t="str">
            <v>1 SACO</v>
          </cell>
          <cell r="G557">
            <v>500</v>
          </cell>
          <cell r="H557" t="str">
            <v>12/06/2020</v>
          </cell>
          <cell r="I557">
            <v>13486</v>
          </cell>
          <cell r="J557">
            <v>18833</v>
          </cell>
          <cell r="K557">
            <v>25000</v>
          </cell>
          <cell r="L557">
            <v>0.75331999999999999</v>
          </cell>
          <cell r="M557" t="str">
            <v>Gramos</v>
          </cell>
        </row>
        <row r="558">
          <cell r="A558" t="str">
            <v>11200065</v>
          </cell>
          <cell r="B558" t="str">
            <v>15852</v>
          </cell>
          <cell r="C558" t="str">
            <v>BAGUETTE FRANCES LAPIZ (CAJA:17 UND)</v>
          </cell>
          <cell r="D558" t="str">
            <v>11200065</v>
          </cell>
          <cell r="E558" t="str">
            <v>MATERIAS PRIMAS PLANTA</v>
          </cell>
          <cell r="F558" t="str">
            <v>1 CAJA</v>
          </cell>
          <cell r="G558">
            <v>500</v>
          </cell>
          <cell r="H558" t="str">
            <v>02/06/2020</v>
          </cell>
          <cell r="I558">
            <v>6480</v>
          </cell>
          <cell r="J558">
            <v>0</v>
          </cell>
          <cell r="K558"/>
          <cell r="L558" t="e">
            <v>#DIV/0!</v>
          </cell>
          <cell r="M558"/>
        </row>
        <row r="559">
          <cell r="A559" t="str">
            <v>11200066</v>
          </cell>
          <cell r="B559" t="str">
            <v>15882</v>
          </cell>
          <cell r="C559" t="str">
            <v>PREMEZCLA RED VELVET (SACO:25 K)</v>
          </cell>
          <cell r="D559" t="str">
            <v>11200066</v>
          </cell>
          <cell r="E559" t="str">
            <v>MATERIAS PRIMAS PLANTA</v>
          </cell>
          <cell r="F559" t="str">
            <v>1 SACO</v>
          </cell>
          <cell r="G559">
            <v>500</v>
          </cell>
          <cell r="H559" t="str">
            <v>15/02/2020</v>
          </cell>
          <cell r="I559" t="e">
            <v>#N/A</v>
          </cell>
          <cell r="J559">
            <v>0</v>
          </cell>
          <cell r="K559">
            <v>25000</v>
          </cell>
          <cell r="L559">
            <v>0</v>
          </cell>
          <cell r="M559"/>
        </row>
        <row r="560">
          <cell r="A560" t="str">
            <v>11200067</v>
          </cell>
          <cell r="B560" t="str">
            <v>15895</v>
          </cell>
          <cell r="C560" t="str">
            <v>PREMEZCLA PUDING CAKE PILLSB (SC:22.6 K)</v>
          </cell>
          <cell r="D560" t="str">
            <v>11200067</v>
          </cell>
          <cell r="E560" t="str">
            <v>MATERIAS PRIMAS PLANTA</v>
          </cell>
          <cell r="F560" t="str">
            <v>1 SACO</v>
          </cell>
          <cell r="G560">
            <v>500</v>
          </cell>
          <cell r="H560" t="str">
            <v>11/05/2020</v>
          </cell>
          <cell r="I560">
            <v>27590</v>
          </cell>
          <cell r="J560">
            <v>32232</v>
          </cell>
          <cell r="K560">
            <v>22600</v>
          </cell>
          <cell r="L560">
            <v>1.4261946902654867</v>
          </cell>
          <cell r="M560"/>
        </row>
        <row r="561">
          <cell r="A561" t="str">
            <v>11200068</v>
          </cell>
          <cell r="B561" t="str">
            <v>15913</v>
          </cell>
          <cell r="C561" t="str">
            <v xml:space="preserve">PAN FOCACCIA ( PAQ:10 UND) </v>
          </cell>
          <cell r="D561" t="str">
            <v>11200068</v>
          </cell>
          <cell r="E561" t="str">
            <v>MATERIAS PRIMAS PLANTA</v>
          </cell>
          <cell r="F561" t="str">
            <v>1 PAQUETE</v>
          </cell>
          <cell r="G561">
            <v>500</v>
          </cell>
          <cell r="H561" t="str">
            <v>15/06/2020</v>
          </cell>
          <cell r="I561" t="e">
            <v>#N/A</v>
          </cell>
          <cell r="J561">
            <v>0</v>
          </cell>
          <cell r="K561">
            <v>10</v>
          </cell>
          <cell r="L561">
            <v>0</v>
          </cell>
          <cell r="M561"/>
        </row>
        <row r="562">
          <cell r="A562" t="str">
            <v>11300001</v>
          </cell>
          <cell r="B562" t="str">
            <v>7092</v>
          </cell>
          <cell r="C562" t="str">
            <v>CLARA HUEVO PASTE DEB-EL (CAJA:2.267 K)</v>
          </cell>
          <cell r="D562" t="str">
            <v>11300001</v>
          </cell>
          <cell r="E562" t="str">
            <v>MATERIAS PRIMAS PLANTA</v>
          </cell>
          <cell r="F562" t="str">
            <v>1 Uds.</v>
          </cell>
          <cell r="G562">
            <v>500</v>
          </cell>
          <cell r="H562" t="str">
            <v>15/06/2020</v>
          </cell>
          <cell r="I562" t="e">
            <v>#N/A</v>
          </cell>
          <cell r="J562">
            <v>0</v>
          </cell>
          <cell r="K562">
            <v>2267</v>
          </cell>
          <cell r="L562">
            <v>0</v>
          </cell>
          <cell r="M562" t="str">
            <v>Gramos</v>
          </cell>
        </row>
        <row r="563">
          <cell r="A563" t="str">
            <v>11300005</v>
          </cell>
          <cell r="B563" t="str">
            <v>5579</v>
          </cell>
          <cell r="C563" t="str">
            <v>HUEVOS EN CARTON (30UNID)</v>
          </cell>
          <cell r="D563" t="str">
            <v>11300005</v>
          </cell>
          <cell r="E563" t="str">
            <v>MATERIAS PRIMAS PLANTA</v>
          </cell>
          <cell r="F563" t="str">
            <v>1 CARTON</v>
          </cell>
          <cell r="G563">
            <v>500</v>
          </cell>
          <cell r="H563" t="str">
            <v>15/06/2020</v>
          </cell>
          <cell r="I563">
            <v>2310.375</v>
          </cell>
          <cell r="J563">
            <v>2700.0531999999998</v>
          </cell>
          <cell r="K563">
            <v>30</v>
          </cell>
          <cell r="L563">
            <v>90.001773333333333</v>
          </cell>
          <cell r="M563"/>
        </row>
        <row r="564">
          <cell r="A564" t="str">
            <v>11300009</v>
          </cell>
          <cell r="B564" t="str">
            <v>15167</v>
          </cell>
          <cell r="C564" t="str">
            <v xml:space="preserve">CLARA DE HUEVO (CAJA:5 K) </v>
          </cell>
          <cell r="D564" t="str">
            <v>11300009</v>
          </cell>
          <cell r="E564" t="str">
            <v>MATERIAS PRIMAS PLANTA</v>
          </cell>
          <cell r="F564" t="str">
            <v>1 CAJA</v>
          </cell>
          <cell r="G564">
            <v>500</v>
          </cell>
          <cell r="H564" t="str">
            <v>21/02/2020</v>
          </cell>
          <cell r="I564">
            <v>9250</v>
          </cell>
          <cell r="J564">
            <v>11500</v>
          </cell>
          <cell r="K564">
            <v>5000</v>
          </cell>
          <cell r="L564">
            <v>2.2999999999999998</v>
          </cell>
          <cell r="M564" t="str">
            <v>Gramos</v>
          </cell>
        </row>
        <row r="565">
          <cell r="A565" t="str">
            <v>11300010</v>
          </cell>
          <cell r="B565" t="str">
            <v>15597</v>
          </cell>
          <cell r="C565" t="str">
            <v>HUEVO DURO (PAQ:4 UND)</v>
          </cell>
          <cell r="D565" t="str">
            <v>11300010</v>
          </cell>
          <cell r="E565" t="str">
            <v>MATERIAS PRIMAS PLANTA</v>
          </cell>
          <cell r="F565" t="str">
            <v>1 PAQUETE</v>
          </cell>
          <cell r="G565">
            <v>500</v>
          </cell>
          <cell r="H565" t="str">
            <v>15/06/2020</v>
          </cell>
          <cell r="I565">
            <v>680</v>
          </cell>
          <cell r="J565">
            <v>680</v>
          </cell>
          <cell r="K565">
            <v>4</v>
          </cell>
          <cell r="L565">
            <v>170</v>
          </cell>
          <cell r="M565"/>
        </row>
        <row r="566">
          <cell r="A566" t="str">
            <v>11300011</v>
          </cell>
          <cell r="B566" t="str">
            <v>16203</v>
          </cell>
          <cell r="C566" t="str">
            <v>YEMA DE HUEVO (UND: 8.34 K)</v>
          </cell>
          <cell r="D566" t="str">
            <v>11300011</v>
          </cell>
          <cell r="E566" t="str">
            <v>MATERIAS PRIMAS PLANTA</v>
          </cell>
          <cell r="F566" t="str">
            <v>1 UND</v>
          </cell>
          <cell r="G566">
            <v>500</v>
          </cell>
          <cell r="H566" t="str">
            <v>05/03/2020</v>
          </cell>
          <cell r="I566" t="e">
            <v>#N/A</v>
          </cell>
          <cell r="J566">
            <v>23978</v>
          </cell>
          <cell r="K566">
            <v>8340</v>
          </cell>
          <cell r="L566">
            <v>2.8750599520383693</v>
          </cell>
          <cell r="M566"/>
        </row>
        <row r="567">
          <cell r="A567" t="str">
            <v>11400014</v>
          </cell>
          <cell r="B567" t="str">
            <v>5605</v>
          </cell>
          <cell r="C567" t="str">
            <v>YOGURTH IN LINE NATURAL (UND:500g)</v>
          </cell>
          <cell r="D567" t="str">
            <v>11400014</v>
          </cell>
          <cell r="E567" t="str">
            <v>MATERIAS PRIMAS PLANTA</v>
          </cell>
          <cell r="F567" t="str">
            <v>1 UND</v>
          </cell>
          <cell r="G567">
            <v>500</v>
          </cell>
          <cell r="H567" t="str">
            <v>05/05/2020</v>
          </cell>
          <cell r="I567" t="e">
            <v>#N/A</v>
          </cell>
          <cell r="J567">
            <v>1056</v>
          </cell>
          <cell r="K567">
            <v>500</v>
          </cell>
          <cell r="L567">
            <v>2.1120000000000001</v>
          </cell>
          <cell r="M567" t="str">
            <v>Gramos</v>
          </cell>
        </row>
        <row r="568">
          <cell r="A568" t="str">
            <v>11400015</v>
          </cell>
          <cell r="B568" t="str">
            <v>5606</v>
          </cell>
          <cell r="C568" t="str">
            <v>QUESO GOUDA (PAQ:160g)</v>
          </cell>
          <cell r="D568" t="str">
            <v>11400015</v>
          </cell>
          <cell r="E568" t="str">
            <v>MATERIAS PRIMAS PLANTA</v>
          </cell>
          <cell r="F568" t="str">
            <v>1 PAQUETE</v>
          </cell>
          <cell r="G568">
            <v>500</v>
          </cell>
          <cell r="H568" t="str">
            <v>15/06/2020</v>
          </cell>
          <cell r="I568">
            <v>2039</v>
          </cell>
          <cell r="J568">
            <v>1887.204</v>
          </cell>
          <cell r="K568">
            <v>160</v>
          </cell>
          <cell r="L568">
            <v>11.795024999999999</v>
          </cell>
          <cell r="M568"/>
        </row>
        <row r="569">
          <cell r="A569" t="str">
            <v>11400024</v>
          </cell>
          <cell r="B569" t="str">
            <v>5590</v>
          </cell>
          <cell r="C569" t="str">
            <v>QUESO TURRIALBA (PAQ: 3 K)</v>
          </cell>
          <cell r="D569" t="str">
            <v>11400024</v>
          </cell>
          <cell r="E569" t="str">
            <v>MATERIAS PRIMAS PLANTA</v>
          </cell>
          <cell r="F569" t="str">
            <v>1 PAQUETE</v>
          </cell>
          <cell r="G569">
            <v>500</v>
          </cell>
          <cell r="H569" t="str">
            <v>15/06/2020</v>
          </cell>
          <cell r="I569">
            <v>9124</v>
          </cell>
          <cell r="J569">
            <v>10111</v>
          </cell>
          <cell r="K569">
            <v>3000</v>
          </cell>
          <cell r="L569">
            <v>3.3703333333333334</v>
          </cell>
          <cell r="M569" t="str">
            <v>Gramos</v>
          </cell>
        </row>
        <row r="570">
          <cell r="A570" t="str">
            <v>11400027</v>
          </cell>
          <cell r="B570" t="str">
            <v>5596</v>
          </cell>
          <cell r="C570" t="str">
            <v>CREMA BETTERCREAM DOBLE CHOCO (UND:4 K)</v>
          </cell>
          <cell r="D570" t="str">
            <v>11400027</v>
          </cell>
          <cell r="E570" t="str">
            <v>MATERIAS PRIMAS PLANTA</v>
          </cell>
          <cell r="F570" t="str">
            <v>1 UND</v>
          </cell>
          <cell r="G570">
            <v>500</v>
          </cell>
          <cell r="H570" t="str">
            <v>15/06/2020</v>
          </cell>
          <cell r="I570">
            <v>9152</v>
          </cell>
          <cell r="J570">
            <v>11477</v>
          </cell>
          <cell r="K570">
            <v>4000</v>
          </cell>
          <cell r="L570">
            <v>2.8692500000000001</v>
          </cell>
          <cell r="M570" t="str">
            <v>Gramos</v>
          </cell>
        </row>
        <row r="571">
          <cell r="A571" t="str">
            <v>11400029</v>
          </cell>
          <cell r="B571" t="str">
            <v>5598</v>
          </cell>
          <cell r="C571" t="str">
            <v>CREMA BETTER DULCE LECHE RICH (UND:4 K)</v>
          </cell>
          <cell r="D571" t="str">
            <v>11400029</v>
          </cell>
          <cell r="E571" t="str">
            <v>MATERIAS PRIMAS PLANTA</v>
          </cell>
          <cell r="F571" t="str">
            <v>1 UND</v>
          </cell>
          <cell r="G571">
            <v>500</v>
          </cell>
          <cell r="H571" t="str">
            <v>15/06/2020</v>
          </cell>
          <cell r="I571">
            <v>9838</v>
          </cell>
          <cell r="J571">
            <v>11830</v>
          </cell>
          <cell r="K571">
            <v>4000</v>
          </cell>
          <cell r="L571">
            <v>2.9575</v>
          </cell>
          <cell r="M571" t="str">
            <v>Gramos</v>
          </cell>
        </row>
        <row r="572">
          <cell r="A572" t="str">
            <v>11400031</v>
          </cell>
          <cell r="B572" t="str">
            <v>5600</v>
          </cell>
          <cell r="C572" t="str">
            <v>CREMA PRESTIGE GRAND (UND:4 K) *</v>
          </cell>
          <cell r="D572" t="str">
            <v>11400031</v>
          </cell>
          <cell r="E572" t="str">
            <v>MATERIAS PRIMAS PLANTA</v>
          </cell>
          <cell r="F572" t="str">
            <v>1 UND</v>
          </cell>
          <cell r="G572">
            <v>500</v>
          </cell>
          <cell r="H572" t="str">
            <v>15/06/2020</v>
          </cell>
          <cell r="I572">
            <v>6966</v>
          </cell>
          <cell r="J572">
            <v>9015</v>
          </cell>
          <cell r="K572">
            <v>4000</v>
          </cell>
          <cell r="L572">
            <v>2.2537500000000001</v>
          </cell>
          <cell r="M572" t="str">
            <v>Gramos</v>
          </cell>
        </row>
        <row r="573">
          <cell r="A573" t="str">
            <v>11400032</v>
          </cell>
          <cell r="B573" t="str">
            <v>5601</v>
          </cell>
          <cell r="C573" t="str">
            <v>LECHE CONDENSADA NEST CHILE  (PAQ:4.5 K)</v>
          </cell>
          <cell r="D573" t="str">
            <v>11400032</v>
          </cell>
          <cell r="E573" t="str">
            <v>MATERIAS PRIMAS PLANTA</v>
          </cell>
          <cell r="F573" t="str">
            <v>1 PAQUETE</v>
          </cell>
          <cell r="G573">
            <v>500</v>
          </cell>
          <cell r="H573" t="str">
            <v>12/06/2020</v>
          </cell>
          <cell r="I573">
            <v>9273</v>
          </cell>
          <cell r="J573">
            <v>8077</v>
          </cell>
          <cell r="K573">
            <v>4500</v>
          </cell>
          <cell r="L573">
            <v>1.794888888888889</v>
          </cell>
          <cell r="M573" t="str">
            <v>Gramos</v>
          </cell>
        </row>
        <row r="574">
          <cell r="A574" t="str">
            <v>11400036</v>
          </cell>
          <cell r="B574" t="str">
            <v>5616</v>
          </cell>
          <cell r="C574" t="str">
            <v>QUESO FETTA (PAQ:200g)</v>
          </cell>
          <cell r="D574" t="str">
            <v>11400036</v>
          </cell>
          <cell r="E574" t="str">
            <v>MATERIAS PRIMAS PLANTA</v>
          </cell>
          <cell r="F574" t="str">
            <v>1 PAQUETE</v>
          </cell>
          <cell r="G574">
            <v>500</v>
          </cell>
          <cell r="H574" t="str">
            <v>12/06/2020</v>
          </cell>
          <cell r="I574">
            <v>2945</v>
          </cell>
          <cell r="J574">
            <v>3090</v>
          </cell>
          <cell r="K574">
            <v>200</v>
          </cell>
          <cell r="L574">
            <v>15.45</v>
          </cell>
          <cell r="M574"/>
        </row>
        <row r="575">
          <cell r="A575" t="str">
            <v>11400038</v>
          </cell>
          <cell r="B575" t="str">
            <v>5619</v>
          </cell>
          <cell r="C575" t="str">
            <v>LECHE COND COCINADA (CAJA:18.96 K)</v>
          </cell>
          <cell r="D575" t="str">
            <v>11400038</v>
          </cell>
          <cell r="E575" t="str">
            <v>MATERIAS PRIMAS PLANTA</v>
          </cell>
          <cell r="F575" t="str">
            <v>1 CAJA</v>
          </cell>
          <cell r="G575">
            <v>500</v>
          </cell>
          <cell r="H575" t="str">
            <v>15/06/2020</v>
          </cell>
          <cell r="I575">
            <v>43392</v>
          </cell>
          <cell r="J575">
            <v>50496</v>
          </cell>
          <cell r="K575">
            <v>18960</v>
          </cell>
          <cell r="L575">
            <v>2.6632911392405063</v>
          </cell>
          <cell r="M575"/>
        </row>
        <row r="576">
          <cell r="A576" t="str">
            <v>11400040</v>
          </cell>
          <cell r="B576" t="str">
            <v>11364</v>
          </cell>
          <cell r="C576" t="str">
            <v>YOGURT BATIDO NATURAL (UND:1 K)</v>
          </cell>
          <cell r="D576" t="str">
            <v>11400040</v>
          </cell>
          <cell r="E576" t="str">
            <v>MATERIAS PRIMAS PLANTA</v>
          </cell>
          <cell r="F576" t="str">
            <v>1 UND</v>
          </cell>
          <cell r="G576">
            <v>500</v>
          </cell>
          <cell r="H576" t="str">
            <v>03/06/2020</v>
          </cell>
          <cell r="I576">
            <v>1750</v>
          </cell>
          <cell r="J576">
            <v>1750</v>
          </cell>
          <cell r="K576">
            <v>1000</v>
          </cell>
          <cell r="L576">
            <v>1.75</v>
          </cell>
          <cell r="M576"/>
        </row>
        <row r="577">
          <cell r="A577" t="str">
            <v>11400045</v>
          </cell>
          <cell r="B577" t="str">
            <v>12901</v>
          </cell>
          <cell r="C577" t="str">
            <v>QUESO RALLADO RICO DOS PINO SP (PAQ:2 K)</v>
          </cell>
          <cell r="D577" t="str">
            <v>11400045</v>
          </cell>
          <cell r="E577" t="str">
            <v>MATERIAS PRIMAS PLANTA</v>
          </cell>
          <cell r="F577" t="str">
            <v>1 PAQUETE</v>
          </cell>
          <cell r="G577">
            <v>500</v>
          </cell>
          <cell r="H577" t="str">
            <v>15/06/2020</v>
          </cell>
          <cell r="I577">
            <v>6825</v>
          </cell>
          <cell r="J577">
            <v>7794</v>
          </cell>
          <cell r="K577">
            <v>2000</v>
          </cell>
          <cell r="L577">
            <v>3.8969999999999998</v>
          </cell>
          <cell r="M577" t="str">
            <v>Gramos</v>
          </cell>
        </row>
        <row r="578">
          <cell r="A578" t="str">
            <v>11400046</v>
          </cell>
          <cell r="B578" t="str">
            <v>14097</v>
          </cell>
          <cell r="C578" t="str">
            <v>LECHE CONDENSADA (PAQ:11 K)</v>
          </cell>
          <cell r="D578" t="str">
            <v>11400046</v>
          </cell>
          <cell r="E578" t="str">
            <v>MATERIAS PRIMAS PLANTA</v>
          </cell>
          <cell r="F578" t="str">
            <v>1 PAQUETE</v>
          </cell>
          <cell r="G578">
            <v>500</v>
          </cell>
          <cell r="H578" t="str">
            <v>15/06/2020</v>
          </cell>
          <cell r="I578">
            <v>21499</v>
          </cell>
          <cell r="J578">
            <v>18725</v>
          </cell>
          <cell r="K578">
            <v>11000</v>
          </cell>
          <cell r="L578">
            <v>1.7022727272727274</v>
          </cell>
          <cell r="M578" t="str">
            <v>Gramos</v>
          </cell>
        </row>
        <row r="579">
          <cell r="A579" t="str">
            <v>11400047</v>
          </cell>
          <cell r="B579" t="str">
            <v>14289</v>
          </cell>
          <cell r="C579" t="str">
            <v>LECHE 2% PASTEURIZADA (UND)</v>
          </cell>
          <cell r="D579" t="str">
            <v>11400047</v>
          </cell>
          <cell r="E579" t="str">
            <v>MATERIAS PRIMAS PLANTA</v>
          </cell>
          <cell r="F579" t="str">
            <v>1 UND</v>
          </cell>
          <cell r="G579">
            <v>500</v>
          </cell>
          <cell r="H579" t="str">
            <v>15/06/2020</v>
          </cell>
          <cell r="I579">
            <v>2031</v>
          </cell>
          <cell r="J579">
            <v>2271</v>
          </cell>
          <cell r="K579">
            <v>3785</v>
          </cell>
          <cell r="L579">
            <v>0.6</v>
          </cell>
          <cell r="M579" t="str">
            <v>Mililitros</v>
          </cell>
        </row>
        <row r="580">
          <cell r="A580" t="str">
            <v>11400048</v>
          </cell>
          <cell r="B580" t="str">
            <v>14290</v>
          </cell>
          <cell r="C580" t="str">
            <v>QUESO AMERI CHEESE NESTLE (PAQ:52 UND)</v>
          </cell>
          <cell r="D580" t="str">
            <v>11400048</v>
          </cell>
          <cell r="E580" t="str">
            <v>MATERIAS PRIMAS PLANTA</v>
          </cell>
          <cell r="F580" t="str">
            <v>1 PAQUETE</v>
          </cell>
          <cell r="G580">
            <v>500</v>
          </cell>
          <cell r="H580" t="str">
            <v>28/05/2020</v>
          </cell>
          <cell r="I580">
            <v>3705</v>
          </cell>
          <cell r="J580">
            <v>3705</v>
          </cell>
          <cell r="K580">
            <v>52</v>
          </cell>
          <cell r="L580">
            <v>71.25</v>
          </cell>
          <cell r="M580" t="str">
            <v>Und</v>
          </cell>
        </row>
        <row r="581">
          <cell r="A581" t="str">
            <v>11400051</v>
          </cell>
          <cell r="B581" t="str">
            <v>15513</v>
          </cell>
          <cell r="C581" t="str">
            <v>CREMA PRESTIGE GRAND (UND:1 K)</v>
          </cell>
          <cell r="D581" t="str">
            <v>11400051</v>
          </cell>
          <cell r="E581" t="str">
            <v>MATERIAS PRIMAS PLANTA</v>
          </cell>
          <cell r="F581" t="str">
            <v>1 UND</v>
          </cell>
          <cell r="G581">
            <v>500</v>
          </cell>
          <cell r="H581" t="str">
            <v>12/06/2020</v>
          </cell>
          <cell r="I581">
            <v>2271.3333333333298</v>
          </cell>
          <cell r="J581">
            <v>2350.5833333333298</v>
          </cell>
          <cell r="K581">
            <v>1000</v>
          </cell>
          <cell r="L581">
            <v>2.3505833333333297</v>
          </cell>
          <cell r="M581" t="str">
            <v>Gramos</v>
          </cell>
        </row>
        <row r="582">
          <cell r="A582" t="str">
            <v>11400053</v>
          </cell>
          <cell r="B582" t="str">
            <v>15608</v>
          </cell>
          <cell r="C582" t="str">
            <v>SALSA QUESO CHEDDAR SYSCO (UND:3.03 K)</v>
          </cell>
          <cell r="D582" t="str">
            <v>11400053</v>
          </cell>
          <cell r="E582" t="str">
            <v>MATERIAS PRIMAS PLANTA</v>
          </cell>
          <cell r="F582" t="str">
            <v>1 UND</v>
          </cell>
          <cell r="G582">
            <v>500</v>
          </cell>
          <cell r="H582" t="str">
            <v>06/03/2020</v>
          </cell>
          <cell r="I582">
            <v>5805</v>
          </cell>
          <cell r="J582">
            <v>0</v>
          </cell>
          <cell r="K582">
            <v>3030</v>
          </cell>
          <cell r="L582">
            <v>0</v>
          </cell>
          <cell r="M582"/>
        </row>
        <row r="583">
          <cell r="A583" t="str">
            <v>11400054</v>
          </cell>
          <cell r="B583" t="str">
            <v>15634</v>
          </cell>
          <cell r="C583" t="str">
            <v>QUESO BOCCOCINI (PAQ:250 G)</v>
          </cell>
          <cell r="D583" t="str">
            <v>11400054</v>
          </cell>
          <cell r="E583" t="str">
            <v>MATERIAS PRIMAS PLANTA</v>
          </cell>
          <cell r="F583" t="str">
            <v>1 PAQUETE</v>
          </cell>
          <cell r="G583">
            <v>500</v>
          </cell>
          <cell r="H583" t="str">
            <v>14/05/2020</v>
          </cell>
          <cell r="I583" t="e">
            <v>#N/A</v>
          </cell>
          <cell r="J583">
            <v>0</v>
          </cell>
          <cell r="K583">
            <v>250</v>
          </cell>
          <cell r="L583">
            <v>0</v>
          </cell>
          <cell r="M583"/>
        </row>
        <row r="584">
          <cell r="A584" t="str">
            <v>11400057</v>
          </cell>
          <cell r="B584" t="str">
            <v>16027</v>
          </cell>
          <cell r="C584" t="str">
            <v>MARGARINA INDUSTRIAL OLMECA (CAJA:25 K)</v>
          </cell>
          <cell r="D584" t="str">
            <v>11400057</v>
          </cell>
          <cell r="E584" t="str">
            <v>MATERIAS PRIMAS PLANTA</v>
          </cell>
          <cell r="F584" t="str">
            <v>1 CAJA</v>
          </cell>
          <cell r="G584">
            <v>500</v>
          </cell>
          <cell r="H584" t="str">
            <v>19/05/2020</v>
          </cell>
          <cell r="I584" t="e">
            <v>#N/A</v>
          </cell>
          <cell r="J584">
            <v>0</v>
          </cell>
          <cell r="K584">
            <v>25000</v>
          </cell>
          <cell r="L584">
            <v>0</v>
          </cell>
          <cell r="M584"/>
        </row>
        <row r="585">
          <cell r="A585" t="str">
            <v>11400058</v>
          </cell>
          <cell r="B585" t="str">
            <v>16285</v>
          </cell>
          <cell r="C585" t="str">
            <v xml:space="preserve">QUESO RICOTTA (PAQ:500 GR) </v>
          </cell>
          <cell r="D585" t="str">
            <v>11400058</v>
          </cell>
          <cell r="E585" t="str">
            <v>MATERIAS PRIMAS PLANTA</v>
          </cell>
          <cell r="F585" t="str">
            <v>1 PAQUETE</v>
          </cell>
          <cell r="G585">
            <v>500</v>
          </cell>
          <cell r="H585" t="str">
            <v>02/03/2020</v>
          </cell>
          <cell r="I585" t="e">
            <v>#N/A</v>
          </cell>
          <cell r="J585">
            <v>0</v>
          </cell>
          <cell r="K585">
            <v>500</v>
          </cell>
          <cell r="L585">
            <v>0</v>
          </cell>
          <cell r="M585"/>
        </row>
        <row r="586">
          <cell r="A586" t="str">
            <v>11700002</v>
          </cell>
          <cell r="B586" t="str">
            <v>8031</v>
          </cell>
          <cell r="C586" t="str">
            <v>DULCE LECHE LA CIABATA (UND:5 K )</v>
          </cell>
          <cell r="D586" t="str">
            <v>11700002</v>
          </cell>
          <cell r="E586" t="str">
            <v>MATERIAS PRIMAS PLANTA</v>
          </cell>
          <cell r="F586" t="str">
            <v>1 UND</v>
          </cell>
          <cell r="G586">
            <v>500</v>
          </cell>
          <cell r="H586" t="str">
            <v>13/06/2020</v>
          </cell>
          <cell r="I586">
            <v>7365</v>
          </cell>
          <cell r="J586">
            <v>8425</v>
          </cell>
          <cell r="K586">
            <v>5000</v>
          </cell>
          <cell r="L586">
            <v>1.6850000000000001</v>
          </cell>
          <cell r="M586" t="str">
            <v>Gramos</v>
          </cell>
        </row>
        <row r="587">
          <cell r="A587" t="str">
            <v>11800012</v>
          </cell>
          <cell r="B587" t="str">
            <v>14247</v>
          </cell>
          <cell r="C587" t="str">
            <v>SABORIZANTE NARANJA A-0191 KILO</v>
          </cell>
          <cell r="D587" t="str">
            <v>11800012</v>
          </cell>
          <cell r="E587" t="str">
            <v>MATERIAS PRIMAS PLANTA</v>
          </cell>
          <cell r="F587" t="str">
            <v xml:space="preserve">1 KILO   </v>
          </cell>
          <cell r="G587">
            <v>500</v>
          </cell>
          <cell r="H587" t="str">
            <v>30/03/2020</v>
          </cell>
          <cell r="I587">
            <v>20686.18</v>
          </cell>
          <cell r="J587">
            <v>0</v>
          </cell>
          <cell r="K587">
            <v>1000</v>
          </cell>
          <cell r="L587">
            <v>0</v>
          </cell>
          <cell r="M587" t="str">
            <v>Gramos</v>
          </cell>
        </row>
        <row r="588">
          <cell r="A588" t="str">
            <v>11900001</v>
          </cell>
          <cell r="B588" t="str">
            <v>9601</v>
          </cell>
          <cell r="C588" t="str">
            <v>NUEZ PECANA QUEBRADURA (CAJA:10 Kg)</v>
          </cell>
          <cell r="D588" t="str">
            <v>11900001</v>
          </cell>
          <cell r="E588" t="str">
            <v>MATERIAS PRIMAS PLANTA</v>
          </cell>
          <cell r="F588" t="str">
            <v>1 CAJA</v>
          </cell>
          <cell r="G588">
            <v>500</v>
          </cell>
          <cell r="H588" t="str">
            <v>08/06/2020</v>
          </cell>
          <cell r="I588">
            <v>104876</v>
          </cell>
          <cell r="J588">
            <v>170</v>
          </cell>
          <cell r="K588">
            <v>10000</v>
          </cell>
          <cell r="L588">
            <v>1.7000000000000001E-2</v>
          </cell>
          <cell r="M588" t="str">
            <v>Gramos</v>
          </cell>
        </row>
        <row r="589">
          <cell r="A589" t="str">
            <v>11900010</v>
          </cell>
          <cell r="B589" t="str">
            <v>11431</v>
          </cell>
          <cell r="C589" t="str">
            <v>NUEZ PECANA PICADA (CAJA:13.6KG)</v>
          </cell>
          <cell r="D589" t="str">
            <v>11900010</v>
          </cell>
          <cell r="E589" t="str">
            <v>MATERIAS PRIMAS PLANTA</v>
          </cell>
          <cell r="F589" t="str">
            <v>1 CAJA</v>
          </cell>
          <cell r="G589">
            <v>500</v>
          </cell>
          <cell r="H589" t="str">
            <v>05/05/2020</v>
          </cell>
          <cell r="I589" t="e">
            <v>#N/A</v>
          </cell>
          <cell r="J589">
            <v>0</v>
          </cell>
          <cell r="K589">
            <v>13600</v>
          </cell>
          <cell r="L589">
            <v>0</v>
          </cell>
          <cell r="M589" t="str">
            <v>Gramos</v>
          </cell>
        </row>
        <row r="590">
          <cell r="A590" t="str">
            <v>11900016</v>
          </cell>
          <cell r="B590" t="str">
            <v>15551</v>
          </cell>
          <cell r="C590" t="str">
            <v>AJONJOLI NEGRO (UND:454 G)</v>
          </cell>
          <cell r="D590" t="str">
            <v>11900016</v>
          </cell>
          <cell r="E590" t="str">
            <v>MATERIAS PRIMAS PLANTA</v>
          </cell>
          <cell r="F590" t="str">
            <v>1 UND</v>
          </cell>
          <cell r="G590">
            <v>500</v>
          </cell>
          <cell r="H590" t="str">
            <v>15/06/2020</v>
          </cell>
          <cell r="I590">
            <v>2893</v>
          </cell>
          <cell r="J590">
            <v>0</v>
          </cell>
          <cell r="K590">
            <v>454</v>
          </cell>
          <cell r="L590">
            <v>0</v>
          </cell>
          <cell r="M590" t="str">
            <v>Gramos</v>
          </cell>
        </row>
        <row r="591">
          <cell r="A591" t="str">
            <v>12000003</v>
          </cell>
          <cell r="B591" t="str">
            <v>9618</v>
          </cell>
          <cell r="C591" t="str">
            <v>CREMA VERSATIE (UND: L)</v>
          </cell>
          <cell r="D591" t="str">
            <v>12000003</v>
          </cell>
          <cell r="E591" t="str">
            <v>MATERIAS PRIMAS PLANTA</v>
          </cell>
          <cell r="F591" t="str">
            <v>1 UND</v>
          </cell>
          <cell r="G591">
            <v>500</v>
          </cell>
          <cell r="H591" t="str">
            <v>15/06/2020</v>
          </cell>
          <cell r="I591">
            <v>1780</v>
          </cell>
          <cell r="J591">
            <v>1844</v>
          </cell>
          <cell r="K591">
            <v>1000</v>
          </cell>
          <cell r="L591">
            <v>1.8440000000000001</v>
          </cell>
          <cell r="M591" t="str">
            <v>Mililitros</v>
          </cell>
        </row>
        <row r="592">
          <cell r="A592" t="str">
            <v>12100006</v>
          </cell>
          <cell r="B592" t="str">
            <v>8134</v>
          </cell>
          <cell r="C592" t="str">
            <v>CHOCOLATE GUAYABITA (PAQ=36 UND)</v>
          </cell>
          <cell r="D592" t="str">
            <v>12100006</v>
          </cell>
          <cell r="E592" t="str">
            <v>MATERIAS PRIMAS PLANTA</v>
          </cell>
          <cell r="F592" t="str">
            <v>1 PAQ</v>
          </cell>
          <cell r="G592">
            <v>500</v>
          </cell>
          <cell r="H592" t="str">
            <v>30/03/2020</v>
          </cell>
          <cell r="I592">
            <v>1809</v>
          </cell>
          <cell r="J592">
            <v>2113.34</v>
          </cell>
          <cell r="K592">
            <v>234</v>
          </cell>
          <cell r="L592">
            <v>9.0313675213675229</v>
          </cell>
          <cell r="M592" t="str">
            <v>Gramos</v>
          </cell>
        </row>
        <row r="593">
          <cell r="A593" t="str">
            <v>12300004</v>
          </cell>
          <cell r="B593" t="str">
            <v>12690</v>
          </cell>
          <cell r="C593" t="str">
            <v>PURE PAPA KFC 24/22.05OZ (CAJA)</v>
          </cell>
          <cell r="D593" t="str">
            <v>12300004</v>
          </cell>
          <cell r="E593" t="str">
            <v>MATERIAS PRIMAS PLANTA</v>
          </cell>
          <cell r="F593" t="str">
            <v>1 CAJA</v>
          </cell>
          <cell r="G593">
            <v>500</v>
          </cell>
          <cell r="H593" t="str">
            <v>02/06/2020</v>
          </cell>
          <cell r="I593" t="e">
            <v>#N/A</v>
          </cell>
          <cell r="J593">
            <v>0</v>
          </cell>
          <cell r="K593"/>
          <cell r="L593" t="e">
            <v>#DIV/0!</v>
          </cell>
          <cell r="M593"/>
        </row>
        <row r="594">
          <cell r="A594" t="str">
            <v>12300005</v>
          </cell>
          <cell r="B594" t="str">
            <v>5280</v>
          </cell>
          <cell r="C594" t="str">
            <v>SALSA AJI AMARILLO (UND:160 ML)</v>
          </cell>
          <cell r="D594" t="str">
            <v>12300005</v>
          </cell>
          <cell r="E594" t="str">
            <v>MATERIAS PRIMAS PLANTA</v>
          </cell>
          <cell r="F594" t="str">
            <v>1 UND</v>
          </cell>
          <cell r="G594">
            <v>500</v>
          </cell>
          <cell r="H594" t="str">
            <v>18/05/2020</v>
          </cell>
          <cell r="I594">
            <v>1206.1300000000001</v>
          </cell>
          <cell r="J594">
            <v>1398.23</v>
          </cell>
          <cell r="K594">
            <v>160</v>
          </cell>
          <cell r="L594">
            <v>8.7389375000000005</v>
          </cell>
          <cell r="M594"/>
        </row>
        <row r="595">
          <cell r="A595" t="str">
            <v>19508791</v>
          </cell>
          <cell r="B595" t="str">
            <v>12759</v>
          </cell>
          <cell r="C595" t="str">
            <v>BANDEJA PLAST 3 DIV (CAJA:250 UND)</v>
          </cell>
          <cell r="D595" t="str">
            <v>19508791</v>
          </cell>
          <cell r="E595" t="str">
            <v>EMPAQUES PLANTA</v>
          </cell>
          <cell r="F595" t="str">
            <v>1 CAJA</v>
          </cell>
          <cell r="G595">
            <v>500</v>
          </cell>
          <cell r="H595" t="str">
            <v>03/06/2020</v>
          </cell>
          <cell r="I595" t="e">
            <v>#N/A</v>
          </cell>
          <cell r="J595">
            <v>0</v>
          </cell>
          <cell r="K595">
            <v>250</v>
          </cell>
          <cell r="L595">
            <v>0</v>
          </cell>
          <cell r="M595"/>
        </row>
        <row r="596">
          <cell r="A596" t="str">
            <v>20200036</v>
          </cell>
          <cell r="B596" t="str">
            <v>12480</v>
          </cell>
          <cell r="C596" t="str">
            <v>GALLETA PARA DECORAR MENU INFANTIL</v>
          </cell>
          <cell r="D596" t="str">
            <v>20200036</v>
          </cell>
          <cell r="E596" t="str">
            <v>MATERIAS PRIMAS PLANTA</v>
          </cell>
          <cell r="F596" t="str">
            <v>1 UND</v>
          </cell>
          <cell r="G596">
            <v>500</v>
          </cell>
          <cell r="H596" t="str">
            <v>15/06/2020</v>
          </cell>
          <cell r="I596">
            <v>625</v>
          </cell>
          <cell r="J596">
            <v>656.25</v>
          </cell>
          <cell r="K596"/>
          <cell r="L596" t="e">
            <v>#DIV/0!</v>
          </cell>
          <cell r="M596"/>
        </row>
        <row r="597">
          <cell r="A597" t="str">
            <v>20300005</v>
          </cell>
          <cell r="B597" t="str">
            <v>11503</v>
          </cell>
          <cell r="C597" t="str">
            <v>CUP CAKE FONDANT  (UND)</v>
          </cell>
          <cell r="D597" t="str">
            <v>20300005</v>
          </cell>
          <cell r="E597" t="str">
            <v>MATERIAS PRIMAS PLANTA</v>
          </cell>
          <cell r="F597" t="str">
            <v>1 UND</v>
          </cell>
          <cell r="G597">
            <v>500</v>
          </cell>
          <cell r="H597" t="str">
            <v>13/06/2020</v>
          </cell>
          <cell r="I597">
            <v>500</v>
          </cell>
          <cell r="J597">
            <v>0</v>
          </cell>
          <cell r="K597">
            <v>1</v>
          </cell>
          <cell r="L597">
            <v>0</v>
          </cell>
          <cell r="M597"/>
        </row>
        <row r="598">
          <cell r="A598" t="str">
            <v>20300007</v>
          </cell>
          <cell r="B598" t="str">
            <v>12615</v>
          </cell>
          <cell r="C598" t="str">
            <v>CUCHARA CHOCOLATE BELGA (CAJA:20 UND)</v>
          </cell>
          <cell r="D598" t="str">
            <v>20300007</v>
          </cell>
          <cell r="E598" t="str">
            <v>MATERIAS PRIMAS PLANTA</v>
          </cell>
          <cell r="F598" t="str">
            <v>1 CAJA</v>
          </cell>
          <cell r="G598">
            <v>500</v>
          </cell>
          <cell r="H598" t="str">
            <v>12/06/2020</v>
          </cell>
          <cell r="I598">
            <v>13000</v>
          </cell>
          <cell r="J598">
            <v>0</v>
          </cell>
          <cell r="K598">
            <v>20</v>
          </cell>
          <cell r="L598">
            <v>0</v>
          </cell>
        </row>
        <row r="599">
          <cell r="A599" t="str">
            <v>20300008</v>
          </cell>
          <cell r="B599" t="str">
            <v>12481</v>
          </cell>
          <cell r="C599" t="str">
            <v>GALLETA DE FIGURA BOLSA</v>
          </cell>
          <cell r="D599" t="str">
            <v>20300008</v>
          </cell>
          <cell r="E599" t="str">
            <v>MATERIAS PRIMAS PLANTA</v>
          </cell>
          <cell r="F599" t="str">
            <v>1 UND</v>
          </cell>
          <cell r="G599">
            <v>500</v>
          </cell>
          <cell r="H599" t="str">
            <v>13/06/2020</v>
          </cell>
          <cell r="I599" t="e">
            <v>#N/A</v>
          </cell>
          <cell r="J599">
            <v>0</v>
          </cell>
          <cell r="K599"/>
          <cell r="L599" t="e">
            <v>#DIV/0!</v>
          </cell>
        </row>
        <row r="600">
          <cell r="A600" t="str">
            <v>20400022</v>
          </cell>
          <cell r="B600" t="str">
            <v>11409</v>
          </cell>
          <cell r="C600" t="str">
            <v>CAJETA GRANDE (CAJA:6 UND)</v>
          </cell>
          <cell r="D600" t="str">
            <v>20400022</v>
          </cell>
          <cell r="E600" t="str">
            <v>MATERIAS PRIMAS PLANTA</v>
          </cell>
          <cell r="F600" t="str">
            <v>1 CAJA</v>
          </cell>
          <cell r="G600">
            <v>500</v>
          </cell>
          <cell r="H600" t="str">
            <v>16/06/2020</v>
          </cell>
          <cell r="I600" t="e">
            <v>#N/A</v>
          </cell>
          <cell r="J600">
            <v>1938</v>
          </cell>
          <cell r="K600"/>
          <cell r="L600" t="e">
            <v>#DIV/0!</v>
          </cell>
        </row>
        <row r="601">
          <cell r="A601" t="str">
            <v>20400051</v>
          </cell>
          <cell r="B601" t="str">
            <v>13081</v>
          </cell>
          <cell r="C601" t="str">
            <v>CROCANTE DE NUEZ (CAJA:6 UND)</v>
          </cell>
          <cell r="D601" t="str">
            <v>20400051</v>
          </cell>
          <cell r="E601" t="str">
            <v>MATERIAS PRIMAS PLANTA</v>
          </cell>
          <cell r="F601" t="str">
            <v>1 CAJA</v>
          </cell>
          <cell r="G601">
            <v>500</v>
          </cell>
          <cell r="H601" t="str">
            <v>15/06/2020</v>
          </cell>
          <cell r="I601">
            <v>3510</v>
          </cell>
          <cell r="J601">
            <v>3850</v>
          </cell>
          <cell r="K601"/>
          <cell r="L601" t="e">
            <v>#DIV/0!</v>
          </cell>
          <cell r="M601"/>
        </row>
        <row r="602">
          <cell r="A602" t="str">
            <v>20400118</v>
          </cell>
          <cell r="B602" t="str">
            <v>16622</v>
          </cell>
          <cell r="C602" t="str">
            <v>EMPANIZADOR DE POLLO (PAQ:KILO) COMEDOR</v>
          </cell>
          <cell r="D602" t="str">
            <v>20400118</v>
          </cell>
          <cell r="E602" t="str">
            <v>MATERIAS PRIMAS PLANTA</v>
          </cell>
          <cell r="F602" t="str">
            <v>1 PAQUETE</v>
          </cell>
          <cell r="G602">
            <v>500</v>
          </cell>
          <cell r="H602" t="str">
            <v>05/06/2020</v>
          </cell>
          <cell r="I602">
            <v>2057</v>
          </cell>
          <cell r="J602">
            <v>2160</v>
          </cell>
          <cell r="K602">
            <v>1000</v>
          </cell>
          <cell r="L602">
            <v>2.16</v>
          </cell>
          <cell r="M602"/>
        </row>
        <row r="603">
          <cell r="A603" t="str">
            <v>20400120</v>
          </cell>
          <cell r="B603" t="str">
            <v>16632</v>
          </cell>
          <cell r="C603" t="str">
            <v>CHOCO SNICKERS ALMENDRA (CJ:24 Paq)COMED</v>
          </cell>
          <cell r="D603" t="str">
            <v>20400120</v>
          </cell>
          <cell r="E603" t="str">
            <v>MATERIAS PRIMAS PLANTA</v>
          </cell>
          <cell r="F603" t="str">
            <v>1 CAJA</v>
          </cell>
          <cell r="G603">
            <v>500</v>
          </cell>
          <cell r="H603" t="str">
            <v>05/06/2020</v>
          </cell>
          <cell r="I603">
            <v>11216</v>
          </cell>
          <cell r="J603">
            <v>0</v>
          </cell>
          <cell r="K603"/>
          <cell r="L603" t="e">
            <v>#DIV/0!</v>
          </cell>
          <cell r="M603"/>
        </row>
        <row r="604">
          <cell r="A604" t="str">
            <v>20400121</v>
          </cell>
          <cell r="B604" t="str">
            <v>16633</v>
          </cell>
          <cell r="C604" t="str">
            <v>CHOCOLATE SNICKERS (CAJA:48 PAQ) COMEDOR</v>
          </cell>
          <cell r="D604" t="str">
            <v>20400121</v>
          </cell>
          <cell r="E604" t="str">
            <v>MATERIAS PRIMAS PLANTA</v>
          </cell>
          <cell r="F604" t="str">
            <v>1 CAJA</v>
          </cell>
          <cell r="G604">
            <v>500</v>
          </cell>
          <cell r="H604" t="str">
            <v>05/06/2020</v>
          </cell>
          <cell r="I604">
            <v>22567</v>
          </cell>
          <cell r="J604">
            <v>23924</v>
          </cell>
          <cell r="K604"/>
          <cell r="L604" t="e">
            <v>#DIV/0!</v>
          </cell>
          <cell r="M604"/>
        </row>
        <row r="605">
          <cell r="A605" t="str">
            <v>20400122</v>
          </cell>
          <cell r="B605" t="str">
            <v>16634</v>
          </cell>
          <cell r="C605" t="str">
            <v>CHOCOLATE M&amp;M ( CAJA:36 PAQ ) COMEDOR</v>
          </cell>
          <cell r="D605" t="str">
            <v>20400122</v>
          </cell>
          <cell r="E605" t="str">
            <v>MATERIAS PRIMAS PLANTA</v>
          </cell>
          <cell r="F605" t="str">
            <v>1 CAJA</v>
          </cell>
          <cell r="G605">
            <v>500</v>
          </cell>
          <cell r="H605" t="str">
            <v>05/06/2020</v>
          </cell>
          <cell r="I605" t="e">
            <v>#N/A</v>
          </cell>
          <cell r="J605">
            <v>0</v>
          </cell>
          <cell r="K605"/>
          <cell r="L605" t="e">
            <v>#DIV/0!</v>
          </cell>
          <cell r="M605"/>
        </row>
        <row r="606">
          <cell r="A606" t="str">
            <v>20400123</v>
          </cell>
          <cell r="B606" t="str">
            <v>16635</v>
          </cell>
          <cell r="C606" t="str">
            <v>CHOCOLATE M&amp;M PEANUT (CJ:48 PAQ ) COMEDO</v>
          </cell>
          <cell r="D606" t="str">
            <v>20400123</v>
          </cell>
          <cell r="E606" t="str">
            <v>MATERIAS PRIMAS PLANTA</v>
          </cell>
          <cell r="F606" t="str">
            <v>1 CAJA</v>
          </cell>
          <cell r="G606">
            <v>500</v>
          </cell>
          <cell r="H606" t="str">
            <v>05/06/2020</v>
          </cell>
          <cell r="I606">
            <v>22567</v>
          </cell>
          <cell r="J606">
            <v>0</v>
          </cell>
          <cell r="K606"/>
          <cell r="L606" t="e">
            <v>#DIV/0!</v>
          </cell>
          <cell r="M606"/>
        </row>
        <row r="607">
          <cell r="A607" t="str">
            <v>20400124</v>
          </cell>
          <cell r="B607" t="str">
            <v>16636</v>
          </cell>
          <cell r="C607" t="str">
            <v>MAYONESA ( UNIDAD ) COMEDOR</v>
          </cell>
          <cell r="D607" t="str">
            <v>20400124</v>
          </cell>
          <cell r="E607" t="str">
            <v>MATERIAS PRIMAS PLANTA</v>
          </cell>
          <cell r="F607" t="str">
            <v>1 UND</v>
          </cell>
          <cell r="G607">
            <v>500</v>
          </cell>
          <cell r="H607" t="str">
            <v>15/06/2020</v>
          </cell>
          <cell r="I607">
            <v>8074</v>
          </cell>
          <cell r="J607">
            <v>6868</v>
          </cell>
          <cell r="K607"/>
          <cell r="L607" t="e">
            <v>#DIV/0!</v>
          </cell>
          <cell r="M607"/>
        </row>
        <row r="608">
          <cell r="A608" t="str">
            <v>20400125</v>
          </cell>
          <cell r="B608" t="str">
            <v>16637</v>
          </cell>
          <cell r="C608" t="str">
            <v>CHILERA ( UNIDAD ) COMEDOR</v>
          </cell>
          <cell r="D608" t="str">
            <v>20400125</v>
          </cell>
          <cell r="E608" t="str">
            <v>MATERIAS PRIMAS PLANTA</v>
          </cell>
          <cell r="F608" t="str">
            <v>1 UND</v>
          </cell>
          <cell r="G608">
            <v>500</v>
          </cell>
          <cell r="H608" t="str">
            <v>15/06/2020</v>
          </cell>
          <cell r="I608">
            <v>2657</v>
          </cell>
          <cell r="J608">
            <v>3038</v>
          </cell>
          <cell r="L608" t="e">
            <v>#DIV/0!</v>
          </cell>
        </row>
        <row r="609">
          <cell r="A609" t="str">
            <v>20400134</v>
          </cell>
          <cell r="B609" t="str">
            <v>16646</v>
          </cell>
          <cell r="C609" t="str">
            <v>PLATANO VERDE LIMON PRO (PAQ:24 UND)COME</v>
          </cell>
          <cell r="D609" t="str">
            <v>20400134</v>
          </cell>
          <cell r="E609" t="str">
            <v>MATERIAS PRIMAS PLANTA</v>
          </cell>
          <cell r="F609" t="str">
            <v>1 PAQUETE</v>
          </cell>
          <cell r="G609">
            <v>500</v>
          </cell>
          <cell r="H609" t="str">
            <v>09/06/2020</v>
          </cell>
          <cell r="I609" t="e">
            <v>#N/A</v>
          </cell>
          <cell r="J609">
            <v>0</v>
          </cell>
          <cell r="K609">
            <v>24</v>
          </cell>
          <cell r="L609">
            <v>0</v>
          </cell>
        </row>
        <row r="610">
          <cell r="A610" t="str">
            <v>20400135</v>
          </cell>
          <cell r="B610" t="str">
            <v>16647</v>
          </cell>
          <cell r="C610" t="str">
            <v>PLATANO MADURO NAT PRO (PAQ:24 UND)COMED</v>
          </cell>
          <cell r="D610" t="str">
            <v>20400135</v>
          </cell>
          <cell r="E610" t="str">
            <v>MATERIAS PRIMAS PLANTA</v>
          </cell>
          <cell r="F610" t="str">
            <v>1 PAQUETE</v>
          </cell>
          <cell r="G610">
            <v>500</v>
          </cell>
          <cell r="H610" t="str">
            <v>05/06/2020</v>
          </cell>
          <cell r="I610" t="e">
            <v>#N/A</v>
          </cell>
          <cell r="J610">
            <v>0</v>
          </cell>
          <cell r="K610">
            <v>24</v>
          </cell>
          <cell r="L610">
            <v>0</v>
          </cell>
        </row>
        <row r="611">
          <cell r="A611" t="str">
            <v>20400136</v>
          </cell>
          <cell r="B611" t="str">
            <v>16648</v>
          </cell>
          <cell r="C611" t="str">
            <v>YUCA CREMA Y CEBOLLA (PAQ:24 UND)COMEDOR</v>
          </cell>
          <cell r="D611" t="str">
            <v>20400136</v>
          </cell>
          <cell r="E611" t="str">
            <v>MATERIAS PRIMAS PLANTA</v>
          </cell>
          <cell r="F611" t="str">
            <v>1 PAQUETE</v>
          </cell>
          <cell r="G611">
            <v>500</v>
          </cell>
          <cell r="H611" t="str">
            <v>05/06/2020</v>
          </cell>
          <cell r="I611" t="e">
            <v>#N/A</v>
          </cell>
          <cell r="J611">
            <v>0</v>
          </cell>
          <cell r="K611">
            <v>24</v>
          </cell>
          <cell r="L611">
            <v>0</v>
          </cell>
        </row>
        <row r="612">
          <cell r="A612" t="str">
            <v>20400137</v>
          </cell>
          <cell r="B612" t="str">
            <v>16649</v>
          </cell>
          <cell r="C612" t="str">
            <v>YUCA CON SAL (PAQ: 24 UND) COMEDOR</v>
          </cell>
          <cell r="D612" t="str">
            <v>20400137</v>
          </cell>
          <cell r="E612" t="str">
            <v>MATERIAS PRIMAS PLANTA</v>
          </cell>
          <cell r="F612" t="str">
            <v>1 PAQUETE</v>
          </cell>
          <cell r="G612">
            <v>500</v>
          </cell>
          <cell r="H612" t="str">
            <v>08/06/2020</v>
          </cell>
          <cell r="I612" t="e">
            <v>#N/A</v>
          </cell>
          <cell r="J612">
            <v>0</v>
          </cell>
          <cell r="K612">
            <v>24</v>
          </cell>
          <cell r="L612">
            <v>0</v>
          </cell>
        </row>
        <row r="613">
          <cell r="A613" t="str">
            <v>50100028</v>
          </cell>
          <cell r="B613" t="str">
            <v>15349</v>
          </cell>
          <cell r="C613" t="str">
            <v>BANDEJA ALUM 34*25 108 ONZ 394 (CJ:100)</v>
          </cell>
          <cell r="D613" t="str">
            <v>50100028</v>
          </cell>
          <cell r="E613" t="str">
            <v>EMPAQUES PLANTA</v>
          </cell>
          <cell r="F613" t="str">
            <v>1 CAJA</v>
          </cell>
          <cell r="G613">
            <v>500</v>
          </cell>
          <cell r="H613" t="str">
            <v>30/05/2020</v>
          </cell>
          <cell r="I613">
            <v>38609</v>
          </cell>
          <cell r="J613">
            <v>0</v>
          </cell>
          <cell r="K613">
            <v>100</v>
          </cell>
          <cell r="L613">
            <v>0</v>
          </cell>
        </row>
        <row r="614">
          <cell r="A614" t="str">
            <v>50100031</v>
          </cell>
          <cell r="B614" t="str">
            <v>15825</v>
          </cell>
          <cell r="C614" t="str">
            <v>RECIPIENTE DELI DARNEL 24OZ (CAJA:225 U)</v>
          </cell>
          <cell r="D614" t="str">
            <v>50100031</v>
          </cell>
          <cell r="E614" t="str">
            <v>EMPAQUES PLANTA</v>
          </cell>
          <cell r="F614" t="str">
            <v>1 CAJA</v>
          </cell>
          <cell r="G614">
            <v>500</v>
          </cell>
          <cell r="H614" t="str">
            <v>05/05/2020</v>
          </cell>
          <cell r="I614">
            <v>25300</v>
          </cell>
          <cell r="J614">
            <v>0</v>
          </cell>
          <cell r="K614">
            <v>225</v>
          </cell>
          <cell r="L614">
            <v>0</v>
          </cell>
        </row>
        <row r="615">
          <cell r="A615" t="str">
            <v>50100035</v>
          </cell>
          <cell r="B615" t="str">
            <v>15893</v>
          </cell>
          <cell r="C615" t="str">
            <v>TAPA CONT ALUMINIO 16 ONZ (CAJA:500 UND)</v>
          </cell>
          <cell r="D615" t="str">
            <v>50100035</v>
          </cell>
          <cell r="E615" t="str">
            <v>EMPAQUES PLANTA</v>
          </cell>
          <cell r="F615" t="str">
            <v>1 CAJA</v>
          </cell>
          <cell r="G615">
            <v>500</v>
          </cell>
          <cell r="H615" t="str">
            <v>23/03/2020</v>
          </cell>
          <cell r="I615" t="e">
            <v>#N/A</v>
          </cell>
          <cell r="J615">
            <v>0</v>
          </cell>
          <cell r="K615">
            <v>500</v>
          </cell>
          <cell r="L615">
            <v>0</v>
          </cell>
        </row>
        <row r="616">
          <cell r="A616" t="str">
            <v>50100036</v>
          </cell>
          <cell r="B616" t="str">
            <v>15894</v>
          </cell>
          <cell r="C616" t="str">
            <v>MOLDE ALUMINIO 16 ONZ (CAJA:500 UND)</v>
          </cell>
          <cell r="D616" t="str">
            <v>50100036</v>
          </cell>
          <cell r="E616" t="str">
            <v>EMPAQUES PLANTA</v>
          </cell>
          <cell r="F616" t="str">
            <v>1 CAJA</v>
          </cell>
          <cell r="G616">
            <v>500</v>
          </cell>
          <cell r="H616" t="str">
            <v>23/03/2020</v>
          </cell>
          <cell r="I616" t="e">
            <v>#N/A</v>
          </cell>
          <cell r="J616">
            <v>0</v>
          </cell>
          <cell r="K616">
            <v>500</v>
          </cell>
          <cell r="L616">
            <v>0</v>
          </cell>
        </row>
        <row r="617">
          <cell r="A617" t="str">
            <v>50100037</v>
          </cell>
          <cell r="B617" t="str">
            <v>16462</v>
          </cell>
          <cell r="C617" t="str">
            <v>MOLDE ALUMINIO RED 2058 (CAJA:500 UND)</v>
          </cell>
          <cell r="D617" t="str">
            <v>50100037</v>
          </cell>
          <cell r="E617" t="str">
            <v>EMPAQUES PLANTA</v>
          </cell>
          <cell r="F617" t="str">
            <v>1 CAJA</v>
          </cell>
          <cell r="G617">
            <v>500</v>
          </cell>
          <cell r="H617" t="str">
            <v>13/06/2020</v>
          </cell>
          <cell r="I617">
            <v>34500</v>
          </cell>
          <cell r="J617">
            <v>0</v>
          </cell>
          <cell r="K617">
            <v>1</v>
          </cell>
          <cell r="L617">
            <v>0</v>
          </cell>
        </row>
        <row r="618">
          <cell r="A618" t="str">
            <v>50100038</v>
          </cell>
          <cell r="B618" t="str">
            <v>16465</v>
          </cell>
          <cell r="C618" t="str">
            <v>TAPA MOLDE ALUMINIO RED 2058 (CAJA:500u)</v>
          </cell>
          <cell r="D618"/>
          <cell r="E618" t="str">
            <v>EMPAQUES PLANTA</v>
          </cell>
          <cell r="F618" t="str">
            <v>1 CAJA</v>
          </cell>
          <cell r="G618"/>
          <cell r="H618" t="str">
            <v>15/06/2020</v>
          </cell>
          <cell r="I618">
            <v>15750</v>
          </cell>
          <cell r="J618">
            <v>0</v>
          </cell>
          <cell r="K618">
            <v>1</v>
          </cell>
          <cell r="L618">
            <v>0</v>
          </cell>
        </row>
        <row r="619">
          <cell r="A619" t="str">
            <v>50200002</v>
          </cell>
          <cell r="B619" t="str">
            <v>16480</v>
          </cell>
          <cell r="C619" t="str">
            <v>BANDEJA ALUMINIO 18X14 (CAJA: 600 UND)</v>
          </cell>
          <cell r="D619" t="str">
            <v>50200002</v>
          </cell>
          <cell r="E619" t="str">
            <v>EMPAQUES PLANTA</v>
          </cell>
          <cell r="F619" t="str">
            <v>1 CAJA</v>
          </cell>
          <cell r="G619">
            <v>500</v>
          </cell>
          <cell r="H619" t="str">
            <v>13/06/2020</v>
          </cell>
          <cell r="I619">
            <v>85</v>
          </cell>
          <cell r="J619">
            <v>0</v>
          </cell>
          <cell r="K619">
            <v>600</v>
          </cell>
          <cell r="L619">
            <v>0</v>
          </cell>
        </row>
        <row r="620">
          <cell r="A620" t="str">
            <v>50200003</v>
          </cell>
          <cell r="B620" t="str">
            <v>16482</v>
          </cell>
          <cell r="C620" t="str">
            <v>TAPA ALUMINIO 18X14 (CAJA: 600 UND)</v>
          </cell>
          <cell r="D620" t="str">
            <v>50200003</v>
          </cell>
          <cell r="E620" t="str">
            <v>EMPAQUES PLANTA</v>
          </cell>
          <cell r="F620" t="str">
            <v>1 CAJA</v>
          </cell>
          <cell r="G620">
            <v>500</v>
          </cell>
          <cell r="H620" t="str">
            <v>13/06/2020</v>
          </cell>
          <cell r="I620">
            <v>73</v>
          </cell>
          <cell r="J620">
            <v>0</v>
          </cell>
          <cell r="K620">
            <v>600</v>
          </cell>
          <cell r="L620">
            <v>0</v>
          </cell>
        </row>
        <row r="621">
          <cell r="A621" t="str">
            <v>50400003</v>
          </cell>
          <cell r="B621" t="str">
            <v>11379</v>
          </cell>
          <cell r="C621" t="str">
            <v>CAJA MUSMANNI #2 (UND)</v>
          </cell>
          <cell r="D621" t="str">
            <v>50400003</v>
          </cell>
          <cell r="E621" t="str">
            <v>EMPAQUES PLANTA</v>
          </cell>
          <cell r="F621" t="str">
            <v>1 UND</v>
          </cell>
          <cell r="G621">
            <v>500</v>
          </cell>
          <cell r="H621" t="str">
            <v>10/06/2020</v>
          </cell>
          <cell r="I621">
            <v>205</v>
          </cell>
          <cell r="J621">
            <v>239</v>
          </cell>
          <cell r="K621">
            <v>1</v>
          </cell>
          <cell r="L621">
            <v>239</v>
          </cell>
          <cell r="M621" t="str">
            <v>Und</v>
          </cell>
        </row>
        <row r="622">
          <cell r="A622" t="str">
            <v>50400014</v>
          </cell>
          <cell r="B622" t="str">
            <v>15527</v>
          </cell>
          <cell r="C622" t="str">
            <v>CAJA PEQUEÑA OFFICE BREAK (CAJA:625 UND)</v>
          </cell>
          <cell r="D622" t="str">
            <v>50400014</v>
          </cell>
          <cell r="E622" t="str">
            <v>EMPAQUES PLANTA</v>
          </cell>
          <cell r="F622" t="str">
            <v>1 CAJA</v>
          </cell>
          <cell r="G622">
            <v>500</v>
          </cell>
          <cell r="H622" t="str">
            <v>15/06/2020</v>
          </cell>
          <cell r="I622">
            <v>43437.5</v>
          </cell>
          <cell r="J622">
            <v>60000</v>
          </cell>
          <cell r="K622">
            <v>625</v>
          </cell>
          <cell r="L622">
            <v>96</v>
          </cell>
          <cell r="M622"/>
        </row>
        <row r="623">
          <cell r="A623" t="str">
            <v>50400015</v>
          </cell>
          <cell r="B623" t="str">
            <v>15528</v>
          </cell>
          <cell r="C623" t="str">
            <v>CAJA MEDIANA OFFICE BREAK (CAJA:400 UND)</v>
          </cell>
          <cell r="D623" t="str">
            <v>50400015</v>
          </cell>
          <cell r="E623" t="str">
            <v>EMPAQUES PLANTA</v>
          </cell>
          <cell r="F623" t="str">
            <v>1 CAJA</v>
          </cell>
          <cell r="G623">
            <v>500</v>
          </cell>
          <cell r="H623" t="str">
            <v>15/06/2020</v>
          </cell>
          <cell r="I623">
            <v>34000</v>
          </cell>
          <cell r="J623">
            <v>45600</v>
          </cell>
          <cell r="K623">
            <v>400</v>
          </cell>
          <cell r="L623">
            <v>114</v>
          </cell>
          <cell r="M623"/>
        </row>
        <row r="624">
          <cell r="A624" t="str">
            <v>50400016</v>
          </cell>
          <cell r="B624" t="str">
            <v>15529</v>
          </cell>
          <cell r="C624" t="str">
            <v>CAJA GRANDE OFFICE BREAK (CAJA:280 UND)</v>
          </cell>
          <cell r="D624" t="str">
            <v>50400016</v>
          </cell>
          <cell r="E624" t="str">
            <v>EMPAQUES PLANTA</v>
          </cell>
          <cell r="F624" t="str">
            <v>1 CAJA</v>
          </cell>
          <cell r="G624">
            <v>500</v>
          </cell>
          <cell r="H624" t="str">
            <v>08/05/2020</v>
          </cell>
          <cell r="I624">
            <v>32760</v>
          </cell>
          <cell r="J624">
            <v>0</v>
          </cell>
          <cell r="K624">
            <v>280</v>
          </cell>
          <cell r="L624">
            <v>0</v>
          </cell>
          <cell r="M624"/>
        </row>
        <row r="625">
          <cell r="A625" t="str">
            <v>50400017</v>
          </cell>
          <cell r="B625" t="str">
            <v>15530</v>
          </cell>
          <cell r="C625" t="str">
            <v>CAJA PORCION OFFICE BREAK (CAJA:950 UND)</v>
          </cell>
          <cell r="D625" t="str">
            <v>50400017</v>
          </cell>
          <cell r="E625" t="str">
            <v>EMPAQUES PLANTA</v>
          </cell>
          <cell r="F625" t="str">
            <v>1 CAJA</v>
          </cell>
          <cell r="G625">
            <v>500</v>
          </cell>
          <cell r="H625" t="str">
            <v>27/05/2020</v>
          </cell>
          <cell r="I625">
            <v>56050</v>
          </cell>
          <cell r="J625">
            <v>80750</v>
          </cell>
          <cell r="K625">
            <v>950</v>
          </cell>
          <cell r="L625">
            <v>85</v>
          </cell>
          <cell r="M625"/>
        </row>
        <row r="626">
          <cell r="A626" t="str">
            <v>50500003</v>
          </cell>
          <cell r="B626" t="str">
            <v>12118</v>
          </cell>
          <cell r="C626" t="str">
            <v>CANDELA CARITAS COLORES (UND)</v>
          </cell>
          <cell r="D626" t="str">
            <v>50500003</v>
          </cell>
          <cell r="E626" t="str">
            <v>EMPAQUES PLANTA</v>
          </cell>
          <cell r="F626" t="str">
            <v>1 UND</v>
          </cell>
          <cell r="G626">
            <v>500</v>
          </cell>
          <cell r="H626" t="str">
            <v>23/05/2020</v>
          </cell>
          <cell r="I626">
            <v>765</v>
          </cell>
          <cell r="J626">
            <v>726.75</v>
          </cell>
          <cell r="K626">
            <v>1</v>
          </cell>
          <cell r="L626">
            <v>726.75</v>
          </cell>
          <cell r="M626"/>
        </row>
        <row r="627">
          <cell r="A627" t="str">
            <v>50500004</v>
          </cell>
          <cell r="B627" t="str">
            <v>12119</v>
          </cell>
          <cell r="C627" t="str">
            <v>CANDELA GLOBOS SURTIDO COLORES (UND)</v>
          </cell>
          <cell r="D627" t="str">
            <v>50500004</v>
          </cell>
          <cell r="E627" t="str">
            <v>EMPAQUES PLANTA</v>
          </cell>
          <cell r="F627" t="str">
            <v>1 UND</v>
          </cell>
          <cell r="G627">
            <v>500</v>
          </cell>
          <cell r="H627" t="str">
            <v>08/06/2020</v>
          </cell>
          <cell r="I627">
            <v>725</v>
          </cell>
          <cell r="J627">
            <v>688.75</v>
          </cell>
          <cell r="K627">
            <v>1</v>
          </cell>
          <cell r="L627">
            <v>688.75</v>
          </cell>
          <cell r="M627"/>
        </row>
        <row r="628">
          <cell r="A628" t="str">
            <v>50500005</v>
          </cell>
          <cell r="B628" t="str">
            <v>12120</v>
          </cell>
          <cell r="C628" t="str">
            <v>CANDELA FELIZ ESCARCHA SURTIDA (UND)</v>
          </cell>
          <cell r="D628" t="str">
            <v>50500005</v>
          </cell>
          <cell r="E628" t="str">
            <v>EMPAQUES PLANTA</v>
          </cell>
          <cell r="F628" t="str">
            <v>1 UND</v>
          </cell>
          <cell r="G628">
            <v>500</v>
          </cell>
          <cell r="H628" t="str">
            <v>08/06/2020</v>
          </cell>
          <cell r="I628">
            <v>750</v>
          </cell>
          <cell r="J628">
            <v>712.5</v>
          </cell>
          <cell r="K628"/>
          <cell r="L628" t="e">
            <v>#DIV/0!</v>
          </cell>
        </row>
        <row r="629">
          <cell r="A629" t="str">
            <v>50600003</v>
          </cell>
          <cell r="B629" t="str">
            <v>15524</v>
          </cell>
          <cell r="C629" t="str">
            <v>CAPSULA # 5 BLANCA (PAQ:1000 UND)</v>
          </cell>
          <cell r="D629" t="str">
            <v>50600003</v>
          </cell>
          <cell r="E629" t="str">
            <v>EMPAQUES PLANTA</v>
          </cell>
          <cell r="F629" t="str">
            <v>1 PAQUETE</v>
          </cell>
          <cell r="G629">
            <v>500</v>
          </cell>
          <cell r="H629" t="str">
            <v>27/12/2019</v>
          </cell>
          <cell r="I629">
            <v>8600</v>
          </cell>
          <cell r="J629">
            <v>11555</v>
          </cell>
          <cell r="K629">
            <v>1000</v>
          </cell>
          <cell r="L629">
            <v>11.555</v>
          </cell>
        </row>
        <row r="630">
          <cell r="A630" t="str">
            <v>50700006</v>
          </cell>
          <cell r="B630" t="str">
            <v>11250</v>
          </cell>
          <cell r="C630" t="str">
            <v xml:space="preserve">CONTENEDOR FOAM KFC 8OZ (CAJA:1000 UND) </v>
          </cell>
          <cell r="D630" t="str">
            <v>50700006</v>
          </cell>
          <cell r="E630" t="str">
            <v>EMPAQUES PLANTA</v>
          </cell>
          <cell r="F630" t="str">
            <v>1 CAJA</v>
          </cell>
          <cell r="G630">
            <v>500</v>
          </cell>
          <cell r="H630" t="str">
            <v>10/06/2020</v>
          </cell>
          <cell r="I630">
            <v>26392</v>
          </cell>
          <cell r="J630">
            <v>0</v>
          </cell>
          <cell r="K630">
            <v>1000</v>
          </cell>
          <cell r="L630">
            <v>0</v>
          </cell>
          <cell r="M630" t="str">
            <v>Und</v>
          </cell>
        </row>
        <row r="631">
          <cell r="A631" t="str">
            <v>50700007</v>
          </cell>
          <cell r="B631" t="str">
            <v>12723</v>
          </cell>
          <cell r="C631" t="str">
            <v>TAPA PLAST CONT KFC 4-8-16OZ (CAJA:1000)</v>
          </cell>
          <cell r="D631" t="str">
            <v>50700007</v>
          </cell>
          <cell r="E631" t="str">
            <v>EMPAQUES PLANTA</v>
          </cell>
          <cell r="F631" t="str">
            <v>1 CAJA</v>
          </cell>
          <cell r="G631">
            <v>500</v>
          </cell>
          <cell r="H631" t="str">
            <v>10/06/2020</v>
          </cell>
          <cell r="I631">
            <v>15140</v>
          </cell>
          <cell r="J631">
            <v>0</v>
          </cell>
          <cell r="K631">
            <v>1000</v>
          </cell>
          <cell r="L631">
            <v>0</v>
          </cell>
          <cell r="M631" t="str">
            <v>Und</v>
          </cell>
        </row>
        <row r="632">
          <cell r="A632" t="str">
            <v>50700016</v>
          </cell>
          <cell r="B632" t="str">
            <v>5810</v>
          </cell>
          <cell r="C632" t="str">
            <v>CONT.24 ONZ.TAPA PLANA (CAJA:200 UND)</v>
          </cell>
          <cell r="D632" t="str">
            <v>50700016</v>
          </cell>
          <cell r="E632" t="str">
            <v>EMPAQUES PLANTA</v>
          </cell>
          <cell r="F632" t="str">
            <v>1 CAJA</v>
          </cell>
          <cell r="G632">
            <v>500</v>
          </cell>
          <cell r="H632" t="str">
            <v>14/02/2020</v>
          </cell>
          <cell r="I632" t="e">
            <v>#N/A</v>
          </cell>
          <cell r="J632">
            <v>0</v>
          </cell>
          <cell r="K632">
            <v>200</v>
          </cell>
          <cell r="L632">
            <v>0</v>
          </cell>
          <cell r="M632" t="str">
            <v>Und</v>
          </cell>
        </row>
        <row r="633">
          <cell r="A633" t="str">
            <v>50100051</v>
          </cell>
          <cell r="B633" t="str">
            <v>13581</v>
          </cell>
          <cell r="C633" t="str">
            <v>CONTENEDOR SUFLE 1 OZ (PAQ: 250 UND)</v>
          </cell>
          <cell r="D633" t="str">
            <v>50700028</v>
          </cell>
          <cell r="E633" t="str">
            <v>EMPAQUES PLANTA</v>
          </cell>
          <cell r="F633" t="str">
            <v>1 PAQUETE</v>
          </cell>
          <cell r="G633">
            <v>500</v>
          </cell>
          <cell r="H633" t="str">
            <v>15/06/2020</v>
          </cell>
          <cell r="I633">
            <v>1320.32</v>
          </cell>
          <cell r="J633">
            <v>580.70000000000005</v>
          </cell>
          <cell r="K633">
            <v>250</v>
          </cell>
          <cell r="L633">
            <v>2.3228</v>
          </cell>
          <cell r="M633"/>
        </row>
        <row r="634">
          <cell r="A634" t="str">
            <v>50700029</v>
          </cell>
          <cell r="B634" t="str">
            <v>14055</v>
          </cell>
          <cell r="C634" t="str">
            <v>CONTENEDOR SUFLE 2 ONZ (PAQ:200 UND)</v>
          </cell>
          <cell r="D634" t="str">
            <v>50700029</v>
          </cell>
          <cell r="E634" t="str">
            <v>EMPAQUES PLANTA</v>
          </cell>
          <cell r="F634" t="str">
            <v>1 PAQUETE</v>
          </cell>
          <cell r="G634">
            <v>500</v>
          </cell>
          <cell r="H634" t="str">
            <v>21/05/2020</v>
          </cell>
          <cell r="I634">
            <v>1615.9166666666699</v>
          </cell>
          <cell r="J634">
            <v>0</v>
          </cell>
          <cell r="K634">
            <v>200</v>
          </cell>
          <cell r="L634">
            <v>0</v>
          </cell>
          <cell r="M634"/>
        </row>
        <row r="635">
          <cell r="A635" t="str">
            <v>50700039</v>
          </cell>
          <cell r="B635" t="str">
            <v>15135</v>
          </cell>
          <cell r="C635" t="str">
            <v>TAPA UNIVERL POLI BOTE 16PP (CJ:500 UND)</v>
          </cell>
          <cell r="D635" t="str">
            <v>50700039</v>
          </cell>
          <cell r="E635" t="str">
            <v>EMPAQUES PLANTA</v>
          </cell>
          <cell r="F635" t="str">
            <v>1 CAJA</v>
          </cell>
          <cell r="G635">
            <v>500</v>
          </cell>
          <cell r="H635" t="str">
            <v>12/06/2020</v>
          </cell>
          <cell r="I635">
            <v>10825.22</v>
          </cell>
          <cell r="J635">
            <v>0</v>
          </cell>
          <cell r="K635">
            <v>500</v>
          </cell>
          <cell r="L635">
            <v>0</v>
          </cell>
          <cell r="M635"/>
        </row>
        <row r="636">
          <cell r="A636" t="str">
            <v>50700040</v>
          </cell>
          <cell r="B636" t="str">
            <v>15136</v>
          </cell>
          <cell r="C636" t="str">
            <v>CONTENEDOR PLAST 4 OZ (CAJA: 15 PAQ)</v>
          </cell>
          <cell r="D636" t="str">
            <v>50700040</v>
          </cell>
          <cell r="E636" t="str">
            <v>EMPAQUES PLANTA</v>
          </cell>
          <cell r="F636" t="str">
            <v>1 CAJA</v>
          </cell>
          <cell r="G636">
            <v>500</v>
          </cell>
          <cell r="H636" t="str">
            <v>19/03/2020</v>
          </cell>
          <cell r="I636">
            <v>51805</v>
          </cell>
          <cell r="J636">
            <v>0</v>
          </cell>
          <cell r="K636"/>
          <cell r="L636" t="e">
            <v>#DIV/0!</v>
          </cell>
          <cell r="M636"/>
        </row>
        <row r="637">
          <cell r="A637" t="str">
            <v>50700042</v>
          </cell>
          <cell r="B637" t="str">
            <v>15147</v>
          </cell>
          <cell r="C637" t="str">
            <v>CONT COSTILLA BASE DOMO OP3 (CJ:250 UND)</v>
          </cell>
          <cell r="D637" t="str">
            <v>50700042</v>
          </cell>
          <cell r="E637" t="str">
            <v>EMPAQUES PLANTA</v>
          </cell>
          <cell r="F637" t="str">
            <v>1 CAJA</v>
          </cell>
          <cell r="G637">
            <v>500</v>
          </cell>
          <cell r="H637" t="str">
            <v>04/06/2020</v>
          </cell>
          <cell r="I637">
            <v>23825.1</v>
          </cell>
          <cell r="J637">
            <v>0</v>
          </cell>
          <cell r="K637">
            <v>250</v>
          </cell>
          <cell r="L637">
            <v>0</v>
          </cell>
          <cell r="M637"/>
        </row>
        <row r="638">
          <cell r="A638" t="str">
            <v>50700043</v>
          </cell>
          <cell r="B638" t="str">
            <v>15157</v>
          </cell>
          <cell r="C638" t="str">
            <v>BISAGRA P/PASTEL ROSCA (CAJA: 180 UND)</v>
          </cell>
          <cell r="D638" t="str">
            <v>50700043</v>
          </cell>
          <cell r="E638" t="str">
            <v>EMPAQUES PLANTA</v>
          </cell>
          <cell r="F638" t="str">
            <v>1 CAJA</v>
          </cell>
          <cell r="G638">
            <v>500</v>
          </cell>
          <cell r="H638" t="str">
            <v>21/05/2020</v>
          </cell>
          <cell r="I638">
            <v>39375.800000000003</v>
          </cell>
          <cell r="J638">
            <v>0</v>
          </cell>
          <cell r="K638">
            <v>180</v>
          </cell>
          <cell r="L638">
            <v>0</v>
          </cell>
          <cell r="M638"/>
        </row>
        <row r="639">
          <cell r="A639" t="str">
            <v>50700044</v>
          </cell>
          <cell r="B639" t="str">
            <v>15311</v>
          </cell>
          <cell r="C639" t="str">
            <v>CONTENEDOR POLIPROP 8 ONZ (CJ:500 UND)</v>
          </cell>
          <cell r="D639" t="str">
            <v>50700044</v>
          </cell>
          <cell r="E639" t="str">
            <v>EMPAQUES PLANTA</v>
          </cell>
          <cell r="F639" t="str">
            <v>1 CAJA</v>
          </cell>
          <cell r="G639">
            <v>500</v>
          </cell>
          <cell r="H639" t="str">
            <v>12/06/2020</v>
          </cell>
          <cell r="I639">
            <v>16576.87</v>
          </cell>
          <cell r="J639">
            <v>0</v>
          </cell>
          <cell r="K639">
            <v>500</v>
          </cell>
          <cell r="L639">
            <v>0</v>
          </cell>
        </row>
        <row r="640">
          <cell r="A640" t="str">
            <v>50700045</v>
          </cell>
          <cell r="B640" t="str">
            <v>15390</v>
          </cell>
          <cell r="C640" t="str">
            <v>BISAGRA 6 MANTECADA 24*16*8 (CJ:250 UND)</v>
          </cell>
          <cell r="D640" t="str">
            <v>50700045</v>
          </cell>
          <cell r="E640" t="str">
            <v>EMPAQUES PLANTA</v>
          </cell>
          <cell r="F640" t="str">
            <v>1 CAJA</v>
          </cell>
          <cell r="G640">
            <v>500</v>
          </cell>
          <cell r="H640" t="str">
            <v>20/02/2020</v>
          </cell>
          <cell r="I640" t="e">
            <v>#N/A</v>
          </cell>
          <cell r="J640">
            <v>0</v>
          </cell>
          <cell r="K640">
            <v>250</v>
          </cell>
          <cell r="L640">
            <v>0</v>
          </cell>
        </row>
        <row r="641">
          <cell r="A641" t="str">
            <v>51000003</v>
          </cell>
          <cell r="B641" t="str">
            <v>9473</v>
          </cell>
          <cell r="C641" t="str">
            <v>ORLA 14.5" (UND)</v>
          </cell>
          <cell r="D641" t="str">
            <v>51000003</v>
          </cell>
          <cell r="E641" t="str">
            <v>EMPAQUES PLANTA</v>
          </cell>
          <cell r="F641" t="str">
            <v>1 UND</v>
          </cell>
          <cell r="G641">
            <v>500</v>
          </cell>
          <cell r="H641" t="str">
            <v>20/03/2020</v>
          </cell>
          <cell r="I641">
            <v>305</v>
          </cell>
          <cell r="J641">
            <v>0</v>
          </cell>
          <cell r="K641">
            <v>1</v>
          </cell>
          <cell r="L641">
            <v>0</v>
          </cell>
          <cell r="M641" t="str">
            <v>Und</v>
          </cell>
        </row>
        <row r="642">
          <cell r="A642" t="str">
            <v>51100018</v>
          </cell>
          <cell r="B642" t="str">
            <v>14562</v>
          </cell>
          <cell r="C642" t="str">
            <v>PAPEL ENCERADO 12X12 (PAQ:1000 UND)</v>
          </cell>
          <cell r="D642" t="str">
            <v>51100018</v>
          </cell>
          <cell r="E642" t="str">
            <v>EMPAQUES PLANTA</v>
          </cell>
          <cell r="F642" t="str">
            <v>1 PAQUETE</v>
          </cell>
          <cell r="G642">
            <v>500</v>
          </cell>
          <cell r="H642" t="str">
            <v>19/05/2020</v>
          </cell>
          <cell r="I642">
            <v>14092.2</v>
          </cell>
          <cell r="J642">
            <v>0</v>
          </cell>
          <cell r="K642">
            <v>1000</v>
          </cell>
          <cell r="L642">
            <v>0</v>
          </cell>
          <cell r="M642"/>
        </row>
        <row r="643">
          <cell r="A643" t="str">
            <v>51400001</v>
          </cell>
          <cell r="B643" t="str">
            <v>10089</v>
          </cell>
          <cell r="C643" t="str">
            <v>QUEQUERA RECTANGULAR 1/2 (CAJA:35 UND)</v>
          </cell>
          <cell r="D643" t="str">
            <v>51400001</v>
          </cell>
          <cell r="E643" t="str">
            <v>EMPAQUES PLANTA</v>
          </cell>
          <cell r="F643" t="str">
            <v>1 CAJA</v>
          </cell>
          <cell r="G643">
            <v>500</v>
          </cell>
          <cell r="H643" t="str">
            <v>05/06/2020</v>
          </cell>
          <cell r="I643">
            <v>42933</v>
          </cell>
          <cell r="J643">
            <v>60587</v>
          </cell>
          <cell r="K643">
            <v>35</v>
          </cell>
          <cell r="L643">
            <v>1731.0571428571429</v>
          </cell>
          <cell r="M643" t="str">
            <v>Und</v>
          </cell>
        </row>
        <row r="644">
          <cell r="A644" t="str">
            <v>51400015</v>
          </cell>
          <cell r="B644" t="str">
            <v>12720</v>
          </cell>
          <cell r="C644" t="str">
            <v>QUEQUERA CHILENA (CAJA:50 UND)</v>
          </cell>
          <cell r="D644" t="str">
            <v>51400015</v>
          </cell>
          <cell r="E644" t="str">
            <v>EMPAQUES PLANTA</v>
          </cell>
          <cell r="F644" t="str">
            <v>1 CAJA</v>
          </cell>
          <cell r="G644">
            <v>500</v>
          </cell>
          <cell r="H644" t="str">
            <v>10/06/2020</v>
          </cell>
          <cell r="I644">
            <v>25542</v>
          </cell>
          <cell r="J644">
            <v>41353</v>
          </cell>
          <cell r="K644">
            <v>50</v>
          </cell>
          <cell r="L644">
            <v>827.06</v>
          </cell>
          <cell r="M644" t="str">
            <v>Und</v>
          </cell>
        </row>
        <row r="645">
          <cell r="A645" t="str">
            <v>51400016</v>
          </cell>
          <cell r="B645" t="str">
            <v>12721</v>
          </cell>
          <cell r="C645" t="str">
            <v>DOMO QUEQUERA 8" ALTA (CAJA:100 UND)</v>
          </cell>
          <cell r="D645" t="str">
            <v>51400016</v>
          </cell>
          <cell r="E645" t="str">
            <v>EMPAQUES PLANTA</v>
          </cell>
          <cell r="F645" t="str">
            <v>1 CAJA</v>
          </cell>
          <cell r="G645">
            <v>500</v>
          </cell>
          <cell r="H645" t="str">
            <v>12/06/2020</v>
          </cell>
          <cell r="I645">
            <v>18595</v>
          </cell>
          <cell r="J645">
            <v>29654</v>
          </cell>
          <cell r="K645">
            <v>100</v>
          </cell>
          <cell r="L645">
            <v>296.54000000000002</v>
          </cell>
          <cell r="M645" t="str">
            <v>Und</v>
          </cell>
        </row>
        <row r="646">
          <cell r="A646" t="str">
            <v>51400017</v>
          </cell>
          <cell r="B646" t="str">
            <v>12722</v>
          </cell>
          <cell r="C646" t="str">
            <v>BASE QUEQUERA 8" ALTA (CAJA:200 UND)</v>
          </cell>
          <cell r="D646" t="str">
            <v>51400017</v>
          </cell>
          <cell r="E646" t="str">
            <v>EMPAQUES PLANTA</v>
          </cell>
          <cell r="F646" t="str">
            <v>1 CAJA</v>
          </cell>
          <cell r="G646">
            <v>500</v>
          </cell>
          <cell r="H646" t="str">
            <v>08/06/2020</v>
          </cell>
          <cell r="I646">
            <v>22127</v>
          </cell>
          <cell r="J646">
            <v>32004</v>
          </cell>
          <cell r="K646">
            <v>200</v>
          </cell>
          <cell r="L646">
            <v>160.02000000000001</v>
          </cell>
          <cell r="M646" t="str">
            <v>Und</v>
          </cell>
        </row>
        <row r="647">
          <cell r="A647" t="str">
            <v>51400020</v>
          </cell>
          <cell r="B647" t="str">
            <v>14983</v>
          </cell>
          <cell r="C647" t="str">
            <v>BURBUJA I-3 ALTA (CAJA:250 UND)</v>
          </cell>
          <cell r="D647" t="str">
            <v>51400020</v>
          </cell>
          <cell r="E647" t="str">
            <v>EMPAQUES PLANTA</v>
          </cell>
          <cell r="F647" t="str">
            <v>1 CAJA</v>
          </cell>
          <cell r="G647">
            <v>500</v>
          </cell>
          <cell r="H647" t="str">
            <v>12/06/2020</v>
          </cell>
          <cell r="I647">
            <v>7528.32</v>
          </cell>
          <cell r="J647">
            <v>7528.32</v>
          </cell>
          <cell r="K647">
            <v>250</v>
          </cell>
          <cell r="L647">
            <v>30.11328</v>
          </cell>
          <cell r="M647"/>
        </row>
        <row r="648">
          <cell r="A648" t="str">
            <v>51400021</v>
          </cell>
          <cell r="B648" t="str">
            <v>15022</v>
          </cell>
          <cell r="C648" t="str">
            <v>QUEQUERA RED C/BASE ALTA 9" (CAJA:100 U)</v>
          </cell>
          <cell r="D648" t="str">
            <v>51400021</v>
          </cell>
          <cell r="E648" t="str">
            <v>EMPAQUES PLANTA</v>
          </cell>
          <cell r="F648" t="str">
            <v>1 CAJA</v>
          </cell>
          <cell r="G648">
            <v>500</v>
          </cell>
          <cell r="H648" t="str">
            <v>12/06/2020</v>
          </cell>
          <cell r="I648">
            <v>36645</v>
          </cell>
          <cell r="J648">
            <v>52551</v>
          </cell>
          <cell r="K648">
            <v>100</v>
          </cell>
          <cell r="L648">
            <v>525.51</v>
          </cell>
          <cell r="M648" t="str">
            <v>Und</v>
          </cell>
        </row>
        <row r="649">
          <cell r="A649" t="str">
            <v>51400022</v>
          </cell>
          <cell r="B649" t="str">
            <v>15028</v>
          </cell>
          <cell r="C649" t="str">
            <v>BOWL FIBRA 24 ONZ COMPOST (PAQ:125 UND)</v>
          </cell>
          <cell r="D649" t="str">
            <v>51400022</v>
          </cell>
          <cell r="E649" t="str">
            <v>EMPAQUES PLANTA</v>
          </cell>
          <cell r="F649" t="str">
            <v>1 PAQUETE</v>
          </cell>
          <cell r="G649">
            <v>500</v>
          </cell>
          <cell r="H649" t="str">
            <v>27/05/2020</v>
          </cell>
          <cell r="I649">
            <v>23.75</v>
          </cell>
          <cell r="J649">
            <v>22814.325000000001</v>
          </cell>
          <cell r="K649">
            <v>125</v>
          </cell>
          <cell r="L649">
            <v>182.5146</v>
          </cell>
          <cell r="M649"/>
        </row>
        <row r="650">
          <cell r="A650" t="str">
            <v>51400023</v>
          </cell>
          <cell r="B650" t="str">
            <v>15029</v>
          </cell>
          <cell r="C650" t="str">
            <v>BOWL FIBRA 32 ONZ COMPOST (PAQ:125 UND)</v>
          </cell>
          <cell r="D650" t="str">
            <v>51400023</v>
          </cell>
          <cell r="E650" t="str">
            <v>EMPAQUES PLANTA</v>
          </cell>
          <cell r="F650" t="str">
            <v>1 PAQUETE</v>
          </cell>
          <cell r="G650">
            <v>500</v>
          </cell>
          <cell r="H650" t="str">
            <v>29/05/2020</v>
          </cell>
          <cell r="I650">
            <v>25.5</v>
          </cell>
          <cell r="J650">
            <v>23524.2</v>
          </cell>
          <cell r="K650">
            <v>125</v>
          </cell>
          <cell r="L650">
            <v>188.1936</v>
          </cell>
          <cell r="M650"/>
        </row>
        <row r="651">
          <cell r="A651" t="str">
            <v>51400024</v>
          </cell>
          <cell r="B651" t="str">
            <v>15030</v>
          </cell>
          <cell r="C651" t="str">
            <v>TAPA  BOWL 16/24/32 ONZ (PAQ:125 UND)</v>
          </cell>
          <cell r="D651" t="str">
            <v>51400024</v>
          </cell>
          <cell r="E651" t="str">
            <v>EMPAQUES PLANTA</v>
          </cell>
          <cell r="F651" t="str">
            <v>1 PAQUETE</v>
          </cell>
          <cell r="G651">
            <v>500</v>
          </cell>
          <cell r="H651" t="str">
            <v>08/06/2020</v>
          </cell>
          <cell r="I651">
            <v>17.125</v>
          </cell>
          <cell r="J651">
            <v>18589.45</v>
          </cell>
          <cell r="K651">
            <v>125</v>
          </cell>
          <cell r="L651">
            <v>148.71559999999999</v>
          </cell>
          <cell r="M651"/>
        </row>
        <row r="652">
          <cell r="A652" t="str">
            <v>51400025</v>
          </cell>
          <cell r="B652" t="str">
            <v>15031</v>
          </cell>
          <cell r="C652" t="str">
            <v>BANDEJA FIBRA 2 DIVISIONES (PAQ:50 UND)</v>
          </cell>
          <cell r="D652" t="str">
            <v>51400025</v>
          </cell>
          <cell r="E652" t="str">
            <v>EMPAQUES PLANTA</v>
          </cell>
          <cell r="F652" t="str">
            <v>1 PAQUETE</v>
          </cell>
          <cell r="G652">
            <v>500</v>
          </cell>
          <cell r="H652" t="str">
            <v>11/06/2020</v>
          </cell>
          <cell r="I652">
            <v>9.4</v>
          </cell>
          <cell r="J652">
            <v>9125.73</v>
          </cell>
          <cell r="K652">
            <v>50</v>
          </cell>
          <cell r="L652">
            <v>182.5146</v>
          </cell>
          <cell r="M652"/>
        </row>
        <row r="653">
          <cell r="A653" t="str">
            <v>51400026</v>
          </cell>
          <cell r="B653" t="str">
            <v>15032</v>
          </cell>
          <cell r="C653" t="str">
            <v>BANDEJA FIBRA 3 DIVISIONES (PAQ:50 UND)</v>
          </cell>
          <cell r="D653" t="str">
            <v>51400026</v>
          </cell>
          <cell r="E653" t="str">
            <v>EMPAQUES PLANTA</v>
          </cell>
          <cell r="F653" t="str">
            <v>1 PAQUETE</v>
          </cell>
          <cell r="G653">
            <v>500</v>
          </cell>
          <cell r="H653" t="str">
            <v>11/06/2020</v>
          </cell>
          <cell r="I653">
            <v>11.15</v>
          </cell>
          <cell r="J653">
            <v>10040.1</v>
          </cell>
          <cell r="K653">
            <v>50</v>
          </cell>
          <cell r="L653">
            <v>200.80200000000002</v>
          </cell>
          <cell r="M653"/>
        </row>
        <row r="654">
          <cell r="A654" t="str">
            <v>51400027</v>
          </cell>
          <cell r="B654" t="str">
            <v>15033</v>
          </cell>
          <cell r="C654" t="str">
            <v>TAPA BOWL SOPA 8 ONZ (PAQ:50 UND)</v>
          </cell>
          <cell r="D654" t="str">
            <v>51400027</v>
          </cell>
          <cell r="E654" t="str">
            <v>EMPAQUES PLANTA</v>
          </cell>
          <cell r="F654" t="str">
            <v>1 PAQUETE</v>
          </cell>
          <cell r="G654">
            <v>500</v>
          </cell>
          <cell r="H654" t="str">
            <v>09/06/2020</v>
          </cell>
          <cell r="I654">
            <v>4.8499999999999996</v>
          </cell>
          <cell r="J654">
            <v>4169.8999999999996</v>
          </cell>
          <cell r="K654">
            <v>50</v>
          </cell>
          <cell r="L654">
            <v>83.397999999999996</v>
          </cell>
          <cell r="M654"/>
        </row>
        <row r="655">
          <cell r="A655" t="str">
            <v>51400028</v>
          </cell>
          <cell r="B655" t="str">
            <v>15034</v>
          </cell>
          <cell r="C655" t="str">
            <v>BOWL FIBRA SOPA 16 ONZ (PAQ:50 UND)</v>
          </cell>
          <cell r="D655" t="str">
            <v>51400028</v>
          </cell>
          <cell r="E655" t="str">
            <v>EMPAQUES PLANTA</v>
          </cell>
          <cell r="F655" t="str">
            <v>1 PAQUETE</v>
          </cell>
          <cell r="G655">
            <v>500</v>
          </cell>
          <cell r="H655" t="str">
            <v>27/03/2020</v>
          </cell>
          <cell r="I655">
            <v>7.65</v>
          </cell>
          <cell r="J655">
            <v>8065.44</v>
          </cell>
          <cell r="K655">
            <v>50</v>
          </cell>
          <cell r="L655">
            <v>161.30879999999999</v>
          </cell>
        </row>
        <row r="656">
          <cell r="A656" t="str">
            <v>51400029</v>
          </cell>
          <cell r="B656" t="str">
            <v>15035</v>
          </cell>
          <cell r="C656" t="str">
            <v>BOWL FIBRA 16 ONZ COMPOST (PAQ:125 UND)</v>
          </cell>
          <cell r="D656" t="str">
            <v>51400029</v>
          </cell>
          <cell r="E656" t="str">
            <v>EMPAQUES PLANTA</v>
          </cell>
          <cell r="F656" t="str">
            <v>1 PAQUETE</v>
          </cell>
          <cell r="G656">
            <v>500</v>
          </cell>
          <cell r="H656" t="str">
            <v>03/06/2020</v>
          </cell>
          <cell r="I656">
            <v>16.5</v>
          </cell>
          <cell r="J656">
            <v>0</v>
          </cell>
          <cell r="K656">
            <v>125</v>
          </cell>
          <cell r="L656">
            <v>0</v>
          </cell>
        </row>
        <row r="657">
          <cell r="A657" t="str">
            <v>51400030</v>
          </cell>
          <cell r="B657" t="str">
            <v>15036</v>
          </cell>
          <cell r="C657" t="str">
            <v>TAPA FIBRA BANDEJA 2 DIV (PAQ:50 UND)</v>
          </cell>
          <cell r="D657" t="str">
            <v>51400030</v>
          </cell>
          <cell r="E657" t="str">
            <v>EMPAQUES PLANTA</v>
          </cell>
          <cell r="F657" t="str">
            <v>1 PAQUETE</v>
          </cell>
          <cell r="G657">
            <v>500</v>
          </cell>
          <cell r="H657" t="str">
            <v>11/06/2020</v>
          </cell>
          <cell r="I657">
            <v>7.85</v>
          </cell>
          <cell r="J657">
            <v>0</v>
          </cell>
          <cell r="K657">
            <v>50</v>
          </cell>
          <cell r="L657">
            <v>0</v>
          </cell>
          <cell r="M657"/>
        </row>
        <row r="658">
          <cell r="A658" t="str">
            <v>51400031</v>
          </cell>
          <cell r="B658" t="str">
            <v>15037</v>
          </cell>
          <cell r="C658" t="str">
            <v>TAPA FIBRA BANDEJA 3 DIV  (PAQ:50 UND)</v>
          </cell>
          <cell r="D658" t="str">
            <v>51400031</v>
          </cell>
          <cell r="E658" t="str">
            <v>EMPAQUES PLANTA</v>
          </cell>
          <cell r="F658" t="str">
            <v>1 PAQUETE</v>
          </cell>
          <cell r="G658">
            <v>500</v>
          </cell>
          <cell r="H658" t="str">
            <v>13/06/2020</v>
          </cell>
          <cell r="I658">
            <v>9.75</v>
          </cell>
          <cell r="J658">
            <v>10633.28</v>
          </cell>
          <cell r="K658">
            <v>50</v>
          </cell>
          <cell r="L658">
            <v>212.66560000000001</v>
          </cell>
        </row>
        <row r="659">
          <cell r="A659" t="str">
            <v>51400032</v>
          </cell>
          <cell r="B659" t="str">
            <v>15038</v>
          </cell>
          <cell r="C659" t="str">
            <v>BOWL FIBRA SOPA 12 ONZ (PAQ:50 UND)</v>
          </cell>
          <cell r="D659" t="str">
            <v>51400032</v>
          </cell>
          <cell r="E659" t="str">
            <v>EMPAQUES PLANTA</v>
          </cell>
          <cell r="F659" t="str">
            <v>1 PAQUETE</v>
          </cell>
          <cell r="G659">
            <v>500</v>
          </cell>
          <cell r="H659" t="str">
            <v>08/06/2020</v>
          </cell>
          <cell r="I659">
            <v>6.85</v>
          </cell>
          <cell r="J659">
            <v>6602.4049999999997</v>
          </cell>
          <cell r="K659">
            <v>50</v>
          </cell>
          <cell r="L659">
            <v>132.04810000000001</v>
          </cell>
          <cell r="M659"/>
        </row>
        <row r="660">
          <cell r="A660" t="str">
            <v>51400033</v>
          </cell>
          <cell r="B660" t="str">
            <v>15039</v>
          </cell>
          <cell r="C660" t="str">
            <v>TAPA BOWL SOPA 12/16/32 ONZ (PAQ:50 UND)</v>
          </cell>
          <cell r="D660" t="str">
            <v>51400033</v>
          </cell>
          <cell r="E660" t="str">
            <v>EMPAQUES PLANTA</v>
          </cell>
          <cell r="F660" t="str">
            <v>1 PAQUETE</v>
          </cell>
          <cell r="G660">
            <v>500</v>
          </cell>
          <cell r="H660" t="str">
            <v>09/06/2020</v>
          </cell>
          <cell r="I660">
            <v>94.147000000000006</v>
          </cell>
          <cell r="J660">
            <v>6083.82</v>
          </cell>
          <cell r="K660">
            <v>50</v>
          </cell>
          <cell r="L660">
            <v>121.6764</v>
          </cell>
          <cell r="M660"/>
        </row>
        <row r="661">
          <cell r="A661" t="str">
            <v>51400034</v>
          </cell>
          <cell r="B661" t="str">
            <v>15040</v>
          </cell>
          <cell r="C661" t="str">
            <v>BOWL FIBRA SOPA 8 ONZ (PAQ:50 UND)</v>
          </cell>
          <cell r="D661" t="str">
            <v>51400034</v>
          </cell>
          <cell r="E661" t="str">
            <v>EMPAQUES PLANTA</v>
          </cell>
          <cell r="F661" t="str">
            <v>1 PAQUETE</v>
          </cell>
          <cell r="G661">
            <v>500</v>
          </cell>
          <cell r="H661" t="str">
            <v>08/06/2020</v>
          </cell>
          <cell r="I661">
            <v>5.35</v>
          </cell>
          <cell r="J661">
            <v>3474.95</v>
          </cell>
          <cell r="K661">
            <v>50</v>
          </cell>
          <cell r="L661">
            <v>69.498999999999995</v>
          </cell>
          <cell r="M661"/>
        </row>
        <row r="662">
          <cell r="A662" t="str">
            <v>51400035</v>
          </cell>
          <cell r="B662" t="str">
            <v>15369</v>
          </cell>
          <cell r="C662" t="str">
            <v>QUEQUERA PLAST RED 12" ALTA (CJ:50 UND)</v>
          </cell>
          <cell r="D662" t="str">
            <v>51400035</v>
          </cell>
          <cell r="E662" t="str">
            <v>EMPAQUES PLANTA</v>
          </cell>
          <cell r="F662" t="str">
            <v>1 CAJA</v>
          </cell>
          <cell r="G662">
            <v>500</v>
          </cell>
          <cell r="H662" t="str">
            <v>08/06/2020</v>
          </cell>
          <cell r="I662">
            <v>52578</v>
          </cell>
          <cell r="J662">
            <v>0</v>
          </cell>
          <cell r="K662">
            <v>50</v>
          </cell>
          <cell r="L662">
            <v>0</v>
          </cell>
          <cell r="M662"/>
        </row>
        <row r="663">
          <cell r="A663" t="str">
            <v>51400036</v>
          </cell>
          <cell r="B663" t="str">
            <v>15383</v>
          </cell>
          <cell r="C663" t="str">
            <v>QUEQUERA PLAST RECT 48*13*11 (CJ:25 UND)</v>
          </cell>
          <cell r="D663" t="str">
            <v>51400036</v>
          </cell>
          <cell r="E663" t="str">
            <v>EMPAQUES PLANTA</v>
          </cell>
          <cell r="F663" t="str">
            <v>1 CAJA</v>
          </cell>
          <cell r="G663">
            <v>500</v>
          </cell>
          <cell r="H663" t="str">
            <v>21/03/2020</v>
          </cell>
          <cell r="I663">
            <v>34082</v>
          </cell>
          <cell r="J663">
            <v>0</v>
          </cell>
          <cell r="K663">
            <v>25</v>
          </cell>
          <cell r="L663">
            <v>0</v>
          </cell>
          <cell r="M663"/>
        </row>
        <row r="664">
          <cell r="A664" t="str">
            <v>51500012</v>
          </cell>
          <cell r="B664" t="str">
            <v>12129</v>
          </cell>
          <cell r="C664" t="str">
            <v>VASO BIODEGRADABLE 12 ONZ (PAQ:25 UND)</v>
          </cell>
          <cell r="D664" t="str">
            <v>51500012</v>
          </cell>
          <cell r="E664" t="str">
            <v>EMPAQUES PLANTA</v>
          </cell>
          <cell r="F664" t="str">
            <v>1 PAQUETE</v>
          </cell>
          <cell r="G664">
            <v>500</v>
          </cell>
          <cell r="H664" t="str">
            <v>10/06/2020</v>
          </cell>
          <cell r="I664">
            <v>1510.35</v>
          </cell>
          <cell r="J664">
            <v>1795.9</v>
          </cell>
          <cell r="K664">
            <v>25</v>
          </cell>
          <cell r="L664">
            <v>71.835999999999999</v>
          </cell>
          <cell r="M664"/>
        </row>
        <row r="665">
          <cell r="A665" t="str">
            <v>51500013</v>
          </cell>
          <cell r="B665" t="str">
            <v>12130</v>
          </cell>
          <cell r="C665" t="str">
            <v>TAPA VASO BIODEGR 12,16 onz (PAQ:50 UND)</v>
          </cell>
          <cell r="D665" t="str">
            <v>51500013</v>
          </cell>
          <cell r="E665" t="str">
            <v>EMPAQUES PLANTA</v>
          </cell>
          <cell r="F665" t="str">
            <v>1 PAQ</v>
          </cell>
          <cell r="G665">
            <v>500</v>
          </cell>
          <cell r="H665" t="str">
            <v>21/05/2020</v>
          </cell>
          <cell r="I665">
            <v>924</v>
          </cell>
          <cell r="J665">
            <v>1551.45</v>
          </cell>
          <cell r="K665">
            <v>50</v>
          </cell>
          <cell r="L665">
            <v>31.029</v>
          </cell>
          <cell r="M665"/>
        </row>
        <row r="666">
          <cell r="A666" t="str">
            <v>51500014</v>
          </cell>
          <cell r="B666" t="str">
            <v>12131</v>
          </cell>
          <cell r="C666" t="str">
            <v>VASO BIODEGRADABLE 8 onz (PAQ:25 UND)</v>
          </cell>
          <cell r="D666" t="str">
            <v>51500014</v>
          </cell>
          <cell r="E666" t="str">
            <v>EMPAQUES PLANTA</v>
          </cell>
          <cell r="F666" t="str">
            <v>1 PAQUETE</v>
          </cell>
          <cell r="G666">
            <v>500</v>
          </cell>
          <cell r="H666" t="str">
            <v>15/06/2020</v>
          </cell>
          <cell r="I666">
            <v>1703.25</v>
          </cell>
          <cell r="J666">
            <v>2018.55</v>
          </cell>
          <cell r="K666">
            <v>25</v>
          </cell>
          <cell r="L666">
            <v>80.742000000000004</v>
          </cell>
        </row>
        <row r="667">
          <cell r="A667" t="str">
            <v>51500015</v>
          </cell>
          <cell r="B667" t="str">
            <v>12132</v>
          </cell>
          <cell r="C667" t="str">
            <v>TAPA VASO BIO 8 ONZ (PAQ:50 UND)</v>
          </cell>
          <cell r="D667" t="str">
            <v>51500015</v>
          </cell>
          <cell r="E667" t="str">
            <v>EMPAQUES PLANTA</v>
          </cell>
          <cell r="F667" t="str">
            <v>1 PAQUETE</v>
          </cell>
          <cell r="G667">
            <v>500</v>
          </cell>
          <cell r="H667" t="str">
            <v>04/06/2020</v>
          </cell>
          <cell r="I667">
            <v>990.1</v>
          </cell>
          <cell r="J667">
            <v>1446.55</v>
          </cell>
          <cell r="K667">
            <v>50</v>
          </cell>
          <cell r="L667">
            <v>28.930999999999997</v>
          </cell>
        </row>
        <row r="668">
          <cell r="A668" t="str">
            <v>51500032</v>
          </cell>
          <cell r="B668" t="str">
            <v>14054</v>
          </cell>
          <cell r="C668" t="str">
            <v>TAPA SUFLE 1,5-2-2,5 (PAQ:100 UND)</v>
          </cell>
          <cell r="D668" t="str">
            <v>51500032</v>
          </cell>
          <cell r="E668" t="str">
            <v>EMPAQUES PLANTA</v>
          </cell>
          <cell r="F668" t="str">
            <v>1 PAQUETE</v>
          </cell>
          <cell r="G668">
            <v>500</v>
          </cell>
          <cell r="H668" t="str">
            <v>30/04/2020</v>
          </cell>
          <cell r="I668">
            <v>824.04166666666697</v>
          </cell>
          <cell r="J668">
            <v>0</v>
          </cell>
          <cell r="K668">
            <v>100</v>
          </cell>
          <cell r="L668">
            <v>0</v>
          </cell>
        </row>
        <row r="669">
          <cell r="A669" t="str">
            <v>51500033</v>
          </cell>
          <cell r="B669" t="str">
            <v>15232</v>
          </cell>
          <cell r="C669" t="str">
            <v>VASO PLASTICO FABRIK 9 ONZ (CAJA:20 PAQ)</v>
          </cell>
          <cell r="D669" t="str">
            <v>51500033</v>
          </cell>
          <cell r="E669" t="str">
            <v>EMPAQUES PLANTA</v>
          </cell>
          <cell r="F669" t="str">
            <v>1 CAJA</v>
          </cell>
          <cell r="G669">
            <v>500</v>
          </cell>
          <cell r="H669" t="str">
            <v>07/05/2020</v>
          </cell>
          <cell r="I669" t="e">
            <v>#N/A</v>
          </cell>
          <cell r="J669">
            <v>0</v>
          </cell>
          <cell r="K669"/>
          <cell r="L669" t="e">
            <v>#DIV/0!</v>
          </cell>
        </row>
        <row r="670">
          <cell r="A670" t="str">
            <v>51500034</v>
          </cell>
          <cell r="B670" t="str">
            <v>15233</v>
          </cell>
          <cell r="C670" t="str">
            <v>TAPA PLAST DOMO SUND POLAR 9 (CJ:10 PAQ)</v>
          </cell>
          <cell r="D670" t="str">
            <v>51500034</v>
          </cell>
          <cell r="E670" t="str">
            <v>EMPAQUES PLANTA</v>
          </cell>
          <cell r="F670" t="str">
            <v>1 CAJA</v>
          </cell>
          <cell r="G670">
            <v>500</v>
          </cell>
          <cell r="H670" t="str">
            <v>04/05/2020</v>
          </cell>
          <cell r="I670" t="e">
            <v>#N/A</v>
          </cell>
          <cell r="J670">
            <v>0</v>
          </cell>
          <cell r="K670"/>
          <cell r="L670" t="e">
            <v>#DIV/0!</v>
          </cell>
        </row>
        <row r="671">
          <cell r="A671" t="str">
            <v>51500035</v>
          </cell>
          <cell r="B671" t="str">
            <v>15350</v>
          </cell>
          <cell r="C671" t="str">
            <v>TAPA DOMO PLAST BAND ALUM 394 (CJ:100)</v>
          </cell>
          <cell r="D671" t="str">
            <v>51500035</v>
          </cell>
          <cell r="E671" t="str">
            <v>EMPAQUES PLANTA</v>
          </cell>
          <cell r="F671" t="str">
            <v>1 CAJA</v>
          </cell>
          <cell r="G671">
            <v>500</v>
          </cell>
          <cell r="H671" t="str">
            <v>27/04/2020</v>
          </cell>
          <cell r="I671">
            <v>25840</v>
          </cell>
          <cell r="J671">
            <v>0</v>
          </cell>
          <cell r="K671">
            <v>100</v>
          </cell>
          <cell r="L671">
            <v>0</v>
          </cell>
        </row>
        <row r="672">
          <cell r="A672" t="str">
            <v>51500036</v>
          </cell>
          <cell r="B672" t="str">
            <v>15853</v>
          </cell>
          <cell r="C672" t="str">
            <v xml:space="preserve">TAPA PLAN S/HOYO 9/12/20 (CJ:10 PAQ ) </v>
          </cell>
          <cell r="D672" t="str">
            <v>51500036</v>
          </cell>
          <cell r="E672" t="str">
            <v>EMPAQUES PLANTA</v>
          </cell>
          <cell r="F672" t="str">
            <v>1 CAJA</v>
          </cell>
          <cell r="G672">
            <v>500</v>
          </cell>
          <cell r="H672" t="str">
            <v>30/04/2020</v>
          </cell>
          <cell r="I672" t="e">
            <v>#N/A</v>
          </cell>
          <cell r="J672">
            <v>0</v>
          </cell>
          <cell r="K672"/>
          <cell r="L672" t="e">
            <v>#DIV/0!</v>
          </cell>
        </row>
        <row r="673">
          <cell r="A673" t="str">
            <v>51600004</v>
          </cell>
          <cell r="B673" t="str">
            <v>9469</v>
          </cell>
          <cell r="C673" t="str">
            <v>LAZOS ROJOS (UND)</v>
          </cell>
          <cell r="D673" t="str">
            <v>51600004</v>
          </cell>
          <cell r="E673" t="str">
            <v>EMPAQUES PLANTA</v>
          </cell>
          <cell r="F673" t="str">
            <v>1 UND</v>
          </cell>
          <cell r="G673">
            <v>500</v>
          </cell>
          <cell r="H673" t="str">
            <v>03/06/2020</v>
          </cell>
          <cell r="I673">
            <v>20</v>
          </cell>
          <cell r="J673">
            <v>62</v>
          </cell>
          <cell r="K673">
            <v>1</v>
          </cell>
          <cell r="L673">
            <v>62</v>
          </cell>
        </row>
        <row r="674">
          <cell r="A674" t="str">
            <v>51600006</v>
          </cell>
          <cell r="B674" t="str">
            <v>11828</v>
          </cell>
          <cell r="C674" t="str">
            <v>ROLLO CINTA RASO 45 MTS COLOR ORO (UND)</v>
          </cell>
          <cell r="D674" t="str">
            <v>51600006</v>
          </cell>
          <cell r="E674" t="str">
            <v>EMPAQUES PLANTA</v>
          </cell>
          <cell r="F674" t="str">
            <v>1 UND</v>
          </cell>
          <cell r="G674">
            <v>500</v>
          </cell>
          <cell r="H674" t="str">
            <v>06/01/2020</v>
          </cell>
          <cell r="I674" t="e">
            <v>#N/A</v>
          </cell>
          <cell r="J674">
            <v>0</v>
          </cell>
          <cell r="K674"/>
          <cell r="L674" t="e">
            <v>#DIV/0!</v>
          </cell>
        </row>
        <row r="675">
          <cell r="A675" t="str">
            <v>51600014</v>
          </cell>
          <cell r="B675" t="str">
            <v>9667</v>
          </cell>
          <cell r="C675" t="str">
            <v>ROLLO DE CINTA DE RASO DE 45MTS COLOR FU</v>
          </cell>
          <cell r="D675" t="str">
            <v>51600014</v>
          </cell>
          <cell r="E675" t="str">
            <v>EMPAQUES PLANTA</v>
          </cell>
          <cell r="F675" t="str">
            <v>1 ROLLO</v>
          </cell>
          <cell r="G675">
            <v>500</v>
          </cell>
          <cell r="H675" t="str">
            <v>23/03/2020</v>
          </cell>
          <cell r="I675" t="e">
            <v>#N/A</v>
          </cell>
          <cell r="J675">
            <v>0</v>
          </cell>
          <cell r="K675">
            <v>45000</v>
          </cell>
          <cell r="L675">
            <v>0</v>
          </cell>
        </row>
        <row r="676">
          <cell r="A676" t="str">
            <v>51600015</v>
          </cell>
          <cell r="B676" t="str">
            <v>13573</v>
          </cell>
          <cell r="C676" t="str">
            <v>CINTA TRANS 1X40 (DELGADA)</v>
          </cell>
          <cell r="D676" t="str">
            <v>51600015</v>
          </cell>
          <cell r="E676" t="str">
            <v>EMPAQUES PLANTA</v>
          </cell>
          <cell r="F676" t="str">
            <v>1 UND</v>
          </cell>
          <cell r="G676">
            <v>500</v>
          </cell>
          <cell r="H676" t="str">
            <v>07/02/2020</v>
          </cell>
          <cell r="I676" t="e">
            <v>#N/A</v>
          </cell>
          <cell r="J676">
            <v>0</v>
          </cell>
          <cell r="K676"/>
          <cell r="L676" t="e">
            <v>#DIV/0!</v>
          </cell>
        </row>
        <row r="677">
          <cell r="A677" t="str">
            <v>51600022</v>
          </cell>
          <cell r="B677" t="str">
            <v>15567</v>
          </cell>
          <cell r="C677" t="str">
            <v>ROLLO SELLO SEGURIDAD ROJO (ROLLO)</v>
          </cell>
          <cell r="D677" t="str">
            <v>51600022</v>
          </cell>
          <cell r="E677" t="str">
            <v>ETIQUETAS PLANTA</v>
          </cell>
          <cell r="F677" t="str">
            <v>1 ROLLO</v>
          </cell>
          <cell r="G677">
            <v>500</v>
          </cell>
          <cell r="H677" t="str">
            <v>12/06/2020</v>
          </cell>
          <cell r="I677">
            <v>12500</v>
          </cell>
          <cell r="J677">
            <v>13250</v>
          </cell>
          <cell r="K677">
            <v>1000</v>
          </cell>
          <cell r="L677">
            <v>13.25</v>
          </cell>
        </row>
        <row r="678">
          <cell r="A678" t="str">
            <v>51600026</v>
          </cell>
          <cell r="B678" t="str">
            <v>16289</v>
          </cell>
          <cell r="C678" t="str">
            <v>BANDEJA FIBRA 10X7.5X1.5 (PAQ:50 UND)</v>
          </cell>
          <cell r="D678" t="str">
            <v>51600026</v>
          </cell>
          <cell r="E678" t="str">
            <v>EMPAQUES PLANTA</v>
          </cell>
          <cell r="F678" t="str">
            <v>1 PAQUETE</v>
          </cell>
          <cell r="G678">
            <v>500</v>
          </cell>
          <cell r="H678" t="str">
            <v>01/06/2020</v>
          </cell>
          <cell r="I678">
            <v>10.75</v>
          </cell>
          <cell r="J678">
            <v>9801.73</v>
          </cell>
          <cell r="K678">
            <v>50</v>
          </cell>
          <cell r="L678">
            <v>196.03459999999998</v>
          </cell>
        </row>
        <row r="679">
          <cell r="A679" t="str">
            <v>51600027</v>
          </cell>
          <cell r="B679" t="str">
            <v>16292</v>
          </cell>
          <cell r="C679" t="str">
            <v>TAPA TRANSPARENT 10X7.5X1.5 (PAQ:50 UND)</v>
          </cell>
          <cell r="D679" t="str">
            <v>51600027</v>
          </cell>
          <cell r="E679" t="str">
            <v>EMPAQUES PLANTA</v>
          </cell>
          <cell r="F679" t="str">
            <v>1 PAQUETE</v>
          </cell>
          <cell r="G679">
            <v>500</v>
          </cell>
          <cell r="H679" t="str">
            <v>17/03/2020</v>
          </cell>
          <cell r="I679">
            <v>16.149999999999999</v>
          </cell>
          <cell r="J679">
            <v>13721.47</v>
          </cell>
          <cell r="K679">
            <v>50</v>
          </cell>
          <cell r="L679">
            <v>274.42939999999999</v>
          </cell>
        </row>
        <row r="680">
          <cell r="A680" t="str">
            <v>60100001</v>
          </cell>
          <cell r="B680" t="str">
            <v>10459</v>
          </cell>
          <cell r="C680" t="str">
            <v>ETIQUETA LOGO MUSMANNI (UND)</v>
          </cell>
          <cell r="D680" t="str">
            <v>60100001</v>
          </cell>
          <cell r="E680" t="str">
            <v>ETIQUETAS PLANTA</v>
          </cell>
          <cell r="F680" t="str">
            <v>1 UND</v>
          </cell>
          <cell r="G680">
            <v>500</v>
          </cell>
          <cell r="H680" t="str">
            <v>21/05/2020</v>
          </cell>
          <cell r="I680">
            <v>5</v>
          </cell>
          <cell r="J680">
            <v>5</v>
          </cell>
          <cell r="K680">
            <v>1</v>
          </cell>
          <cell r="L680">
            <v>5</v>
          </cell>
        </row>
        <row r="681">
          <cell r="A681" t="str">
            <v>60100007</v>
          </cell>
          <cell r="B681" t="str">
            <v>10898</v>
          </cell>
          <cell r="C681" t="str">
            <v>ETiQUETA BLANCA  R-17 (UND)</v>
          </cell>
          <cell r="D681" t="str">
            <v>60100007</v>
          </cell>
          <cell r="E681" t="str">
            <v>ETIQUETAS PLANTA</v>
          </cell>
          <cell r="F681" t="str">
            <v>1 UND</v>
          </cell>
          <cell r="G681">
            <v>500</v>
          </cell>
          <cell r="H681" t="str">
            <v>02/01/2020</v>
          </cell>
          <cell r="I681">
            <v>3.2</v>
          </cell>
          <cell r="J681">
            <v>3.2</v>
          </cell>
          <cell r="K681">
            <v>1</v>
          </cell>
          <cell r="L681">
            <v>3.2</v>
          </cell>
        </row>
        <row r="682">
          <cell r="A682" t="str">
            <v>60100010</v>
          </cell>
          <cell r="B682" t="str">
            <v>11570</v>
          </cell>
          <cell r="C682" t="str">
            <v>ETIQUETA ROJA LETRA ALERJENO (UND)</v>
          </cell>
          <cell r="D682" t="str">
            <v>60100010</v>
          </cell>
          <cell r="E682" t="str">
            <v>ETIQUETAS PLANTA</v>
          </cell>
          <cell r="F682" t="str">
            <v>1 UND</v>
          </cell>
          <cell r="G682">
            <v>500</v>
          </cell>
          <cell r="H682" t="str">
            <v>02/06/2020</v>
          </cell>
          <cell r="I682">
            <v>3.6</v>
          </cell>
          <cell r="J682">
            <v>3.6</v>
          </cell>
          <cell r="K682">
            <v>1</v>
          </cell>
          <cell r="L682">
            <v>3.6</v>
          </cell>
          <cell r="M682" t="str">
            <v>Und</v>
          </cell>
        </row>
        <row r="683">
          <cell r="A683" t="str">
            <v>60100011</v>
          </cell>
          <cell r="B683" t="str">
            <v>11571</v>
          </cell>
          <cell r="C683" t="str">
            <v>ETIQ TORTA GENERICA BUCCA GRANDE (UND)</v>
          </cell>
          <cell r="D683" t="str">
            <v>60100011</v>
          </cell>
          <cell r="E683" t="str">
            <v>ETIQUETAS PLANTA</v>
          </cell>
          <cell r="F683" t="str">
            <v>1 UND</v>
          </cell>
          <cell r="G683">
            <v>500</v>
          </cell>
          <cell r="H683" t="str">
            <v>15/05/2020</v>
          </cell>
          <cell r="I683">
            <v>43.5</v>
          </cell>
          <cell r="J683">
            <v>43.5</v>
          </cell>
          <cell r="K683">
            <v>1</v>
          </cell>
          <cell r="L683">
            <v>43.5</v>
          </cell>
          <cell r="M683" t="str">
            <v>Und</v>
          </cell>
        </row>
        <row r="684">
          <cell r="A684" t="str">
            <v>60100013</v>
          </cell>
          <cell r="B684" t="str">
            <v>12920</v>
          </cell>
          <cell r="C684" t="str">
            <v>ETIQ CIRCULO BUCCA DULCE (UND)</v>
          </cell>
          <cell r="D684" t="str">
            <v>60100013</v>
          </cell>
          <cell r="E684" t="str">
            <v>ETIQUETAS PLANTA</v>
          </cell>
          <cell r="F684" t="str">
            <v>1 UND</v>
          </cell>
          <cell r="G684">
            <v>500</v>
          </cell>
          <cell r="H684" t="str">
            <v>17/01/2020</v>
          </cell>
          <cell r="I684">
            <v>3.5</v>
          </cell>
          <cell r="J684">
            <v>0</v>
          </cell>
          <cell r="K684">
            <v>1</v>
          </cell>
          <cell r="L684">
            <v>0</v>
          </cell>
          <cell r="M684" t="str">
            <v>Und</v>
          </cell>
        </row>
        <row r="685">
          <cell r="A685" t="str">
            <v>60100014</v>
          </cell>
          <cell r="B685" t="str">
            <v>9489</v>
          </cell>
          <cell r="C685" t="str">
            <v>ETIQUETA LOGO SPOON DORADO (ROLLO:1000)</v>
          </cell>
          <cell r="D685" t="str">
            <v>60100014</v>
          </cell>
          <cell r="E685" t="str">
            <v>ETIQUETAS PLANTA</v>
          </cell>
          <cell r="F685" t="str">
            <v>1 ROLLO</v>
          </cell>
          <cell r="G685">
            <v>500</v>
          </cell>
          <cell r="H685" t="str">
            <v>04/02/2020</v>
          </cell>
          <cell r="I685">
            <v>6000</v>
          </cell>
          <cell r="J685">
            <v>0</v>
          </cell>
          <cell r="K685">
            <v>1000</v>
          </cell>
          <cell r="L685">
            <v>0</v>
          </cell>
          <cell r="M685"/>
        </row>
        <row r="686">
          <cell r="A686" t="str">
            <v>60100023</v>
          </cell>
          <cell r="B686" t="str">
            <v>9210</v>
          </cell>
          <cell r="C686" t="str">
            <v>ETIQ APP SPOONERS CARD CUADRADA (UND)</v>
          </cell>
          <cell r="D686" t="str">
            <v>60100023</v>
          </cell>
          <cell r="E686" t="str">
            <v>ETIQUETAS PLANTA</v>
          </cell>
          <cell r="F686" t="str">
            <v>1 UND</v>
          </cell>
          <cell r="G686">
            <v>500</v>
          </cell>
          <cell r="H686" t="str">
            <v>02/06/2020</v>
          </cell>
          <cell r="I686">
            <v>5.6</v>
          </cell>
          <cell r="J686">
            <v>0</v>
          </cell>
          <cell r="K686">
            <v>1</v>
          </cell>
          <cell r="L686">
            <v>0</v>
          </cell>
          <cell r="M686"/>
        </row>
        <row r="687">
          <cell r="A687" t="str">
            <v>60100024</v>
          </cell>
          <cell r="B687" t="str">
            <v>9211</v>
          </cell>
          <cell r="C687" t="str">
            <v>ETIQ CIRCULO APP SPOONERS CARD (UND)</v>
          </cell>
          <cell r="D687" t="str">
            <v>60100024</v>
          </cell>
          <cell r="E687" t="str">
            <v>ETIQUETAS PLANTA</v>
          </cell>
          <cell r="F687" t="str">
            <v>1 UND</v>
          </cell>
          <cell r="G687">
            <v>500</v>
          </cell>
          <cell r="H687" t="str">
            <v>02/06/2020</v>
          </cell>
          <cell r="I687">
            <v>4</v>
          </cell>
          <cell r="J687">
            <v>4</v>
          </cell>
          <cell r="K687">
            <v>1</v>
          </cell>
          <cell r="L687">
            <v>4</v>
          </cell>
          <cell r="M687" t="str">
            <v>Und</v>
          </cell>
        </row>
        <row r="688">
          <cell r="A688" t="str">
            <v>60100026</v>
          </cell>
          <cell r="B688" t="str">
            <v>11509</v>
          </cell>
          <cell r="C688" t="str">
            <v>LOGO OVALADO SPOON GRANDE (ROLLO:1000 U)</v>
          </cell>
          <cell r="D688" t="str">
            <v>60100026</v>
          </cell>
          <cell r="E688" t="str">
            <v>ETIQUETAS PLANTA</v>
          </cell>
          <cell r="F688" t="str">
            <v>1 ROLLO</v>
          </cell>
          <cell r="G688">
            <v>500</v>
          </cell>
          <cell r="H688" t="str">
            <v>12/06/2020</v>
          </cell>
          <cell r="I688">
            <v>3961</v>
          </cell>
          <cell r="J688">
            <v>12000</v>
          </cell>
          <cell r="K688">
            <v>1000</v>
          </cell>
          <cell r="L688">
            <v>12</v>
          </cell>
          <cell r="M688" t="str">
            <v>Und</v>
          </cell>
        </row>
        <row r="689">
          <cell r="A689" t="str">
            <v>60100027</v>
          </cell>
          <cell r="B689" t="str">
            <v>11511</v>
          </cell>
          <cell r="C689" t="str">
            <v>LOGO OVALADO SPOON PEQ  (ROLLO:1000 U)</v>
          </cell>
          <cell r="D689" t="str">
            <v>60100027</v>
          </cell>
          <cell r="E689" t="str">
            <v>ETIQUETAS PLANTA</v>
          </cell>
          <cell r="F689" t="str">
            <v>1 ROLLO</v>
          </cell>
          <cell r="G689">
            <v>500</v>
          </cell>
          <cell r="H689" t="str">
            <v>15/06/2020</v>
          </cell>
          <cell r="I689">
            <v>992</v>
          </cell>
          <cell r="J689">
            <v>15000</v>
          </cell>
          <cell r="K689">
            <v>1000</v>
          </cell>
          <cell r="L689">
            <v>15</v>
          </cell>
          <cell r="M689" t="str">
            <v>Und</v>
          </cell>
        </row>
        <row r="690">
          <cell r="A690" t="str">
            <v>60100044</v>
          </cell>
          <cell r="B690" t="str">
            <v>15128</v>
          </cell>
          <cell r="C690" t="str">
            <v>ETIQUETA RP CIRCULO (UND)</v>
          </cell>
          <cell r="D690" t="str">
            <v>60100044</v>
          </cell>
          <cell r="E690" t="str">
            <v>ETIQUETAS PLANTA</v>
          </cell>
          <cell r="F690" t="str">
            <v>1 UND</v>
          </cell>
          <cell r="G690">
            <v>500</v>
          </cell>
          <cell r="H690" t="str">
            <v>06/02/2020</v>
          </cell>
          <cell r="I690">
            <v>4.0179999999999998</v>
          </cell>
          <cell r="J690">
            <v>0</v>
          </cell>
          <cell r="K690">
            <v>1</v>
          </cell>
          <cell r="L690">
            <v>0</v>
          </cell>
          <cell r="M690"/>
        </row>
        <row r="691">
          <cell r="A691" t="str">
            <v>60100046</v>
          </cell>
          <cell r="B691" t="str">
            <v>15481</v>
          </cell>
          <cell r="C691" t="str">
            <v>ETIQUETA ROMPOPE (UND)</v>
          </cell>
          <cell r="D691" t="str">
            <v>60100046</v>
          </cell>
          <cell r="E691" t="str">
            <v>ETIQUETAS PLANTA</v>
          </cell>
          <cell r="F691" t="str">
            <v>1 UND</v>
          </cell>
          <cell r="G691">
            <v>500</v>
          </cell>
          <cell r="H691" t="str">
            <v>18/12/2019</v>
          </cell>
          <cell r="I691">
            <v>94</v>
          </cell>
          <cell r="J691">
            <v>0</v>
          </cell>
          <cell r="K691">
            <v>1</v>
          </cell>
          <cell r="L691">
            <v>0</v>
          </cell>
          <cell r="M691"/>
        </row>
        <row r="692">
          <cell r="A692" t="str">
            <v>60100047</v>
          </cell>
          <cell r="B692" t="str">
            <v>15611</v>
          </cell>
          <cell r="C692" t="str">
            <v>ETIQUETA TE CHAI FRENTE (UND)</v>
          </cell>
          <cell r="D692" t="str">
            <v>60100047</v>
          </cell>
          <cell r="E692" t="str">
            <v>ETIQUETAS PLANTA</v>
          </cell>
          <cell r="F692" t="str">
            <v>1 UND</v>
          </cell>
          <cell r="G692">
            <v>500</v>
          </cell>
          <cell r="H692" t="str">
            <v>09/12/2019</v>
          </cell>
          <cell r="I692">
            <v>42</v>
          </cell>
          <cell r="J692">
            <v>0</v>
          </cell>
          <cell r="K692">
            <v>1</v>
          </cell>
          <cell r="L692">
            <v>0</v>
          </cell>
          <cell r="M692"/>
        </row>
        <row r="693">
          <cell r="A693" t="str">
            <v>60100048</v>
          </cell>
          <cell r="B693" t="str">
            <v>15612</v>
          </cell>
          <cell r="C693" t="str">
            <v>ETIQUETA TE CHAI REVERSO (UND)</v>
          </cell>
          <cell r="D693" t="str">
            <v>60100048</v>
          </cell>
          <cell r="E693" t="str">
            <v>ETIQUETAS PLANTA</v>
          </cell>
          <cell r="F693" t="str">
            <v>1 UND</v>
          </cell>
          <cell r="G693">
            <v>500</v>
          </cell>
          <cell r="H693" t="str">
            <v>09/12/2019</v>
          </cell>
          <cell r="I693">
            <v>39</v>
          </cell>
          <cell r="J693">
            <v>0</v>
          </cell>
          <cell r="K693">
            <v>1</v>
          </cell>
          <cell r="L693">
            <v>0</v>
          </cell>
          <cell r="M693"/>
        </row>
        <row r="694">
          <cell r="A694" t="str">
            <v>60100049</v>
          </cell>
          <cell r="B694" t="str">
            <v>16178</v>
          </cell>
          <cell r="C694" t="str">
            <v>ETIQUETA DATA VARIABLE (UND)</v>
          </cell>
          <cell r="D694" t="str">
            <v>60100049</v>
          </cell>
          <cell r="E694" t="str">
            <v>ETIQUETAS PLANTA</v>
          </cell>
          <cell r="F694" t="str">
            <v>1 UND</v>
          </cell>
          <cell r="G694">
            <v>500</v>
          </cell>
          <cell r="H694" t="str">
            <v>28/02/2020</v>
          </cell>
          <cell r="I694">
            <v>7.0144399999999996</v>
          </cell>
          <cell r="J694">
            <v>0</v>
          </cell>
          <cell r="K694">
            <v>1</v>
          </cell>
          <cell r="L694">
            <v>0</v>
          </cell>
          <cell r="M694"/>
        </row>
        <row r="695">
          <cell r="A695" t="str">
            <v>60100050</v>
          </cell>
          <cell r="B695" t="str">
            <v>16179</v>
          </cell>
          <cell r="C695" t="str">
            <v>ETIQUETA TE LLEVA A LA PLAYA (UND)</v>
          </cell>
          <cell r="D695" t="str">
            <v>60100050</v>
          </cell>
          <cell r="E695" t="str">
            <v>ETIQUETAS PLANTA</v>
          </cell>
          <cell r="F695" t="str">
            <v>1 UND</v>
          </cell>
          <cell r="G695">
            <v>500</v>
          </cell>
          <cell r="H695" t="str">
            <v>28/02/2020</v>
          </cell>
          <cell r="I695">
            <v>5.8</v>
          </cell>
          <cell r="J695">
            <v>0</v>
          </cell>
          <cell r="K695">
            <v>1</v>
          </cell>
          <cell r="L695">
            <v>0</v>
          </cell>
          <cell r="M695"/>
        </row>
        <row r="696">
          <cell r="A696" t="str">
            <v>60100051</v>
          </cell>
          <cell r="B696" t="str">
            <v>16441</v>
          </cell>
          <cell r="C696" t="str">
            <v xml:space="preserve">ETIQ. JUNTOS A LA DISTANCIA(ROLLO:500 U </v>
          </cell>
          <cell r="D696" t="str">
            <v>60100051</v>
          </cell>
          <cell r="E696" t="str">
            <v>ETIQUETAS PLANTA</v>
          </cell>
          <cell r="F696" t="str">
            <v>1 ROLLO</v>
          </cell>
          <cell r="G696">
            <v>500</v>
          </cell>
          <cell r="H696" t="str">
            <v>02/06/2020</v>
          </cell>
          <cell r="I696">
            <v>8800</v>
          </cell>
          <cell r="J696">
            <v>0</v>
          </cell>
          <cell r="K696">
            <v>500</v>
          </cell>
          <cell r="L696">
            <v>0</v>
          </cell>
        </row>
        <row r="697">
          <cell r="A697" t="str">
            <v>60100052</v>
          </cell>
          <cell r="B697" t="str">
            <v>16442</v>
          </cell>
          <cell r="C697" t="str">
            <v>ETIQ. PRONTO VOLVEREMOS JUNTOS (ROLLO)</v>
          </cell>
          <cell r="D697" t="str">
            <v>60100052</v>
          </cell>
          <cell r="E697" t="str">
            <v>ETIQUETAS PLANTA</v>
          </cell>
          <cell r="F697" t="str">
            <v>1 ROLLO</v>
          </cell>
          <cell r="G697">
            <v>500</v>
          </cell>
          <cell r="H697" t="str">
            <v>12/05/2020</v>
          </cell>
          <cell r="I697">
            <v>3000</v>
          </cell>
          <cell r="J697">
            <v>0</v>
          </cell>
          <cell r="K697"/>
          <cell r="L697" t="e">
            <v>#DIV/0!</v>
          </cell>
        </row>
        <row r="698">
          <cell r="A698" t="str">
            <v>60100053</v>
          </cell>
          <cell r="B698" t="str">
            <v>16443</v>
          </cell>
          <cell r="C698" t="str">
            <v>ETIQ. DESINFECTAR CELULAR (ROLLO: 500 U)</v>
          </cell>
          <cell r="D698" t="str">
            <v>60100053</v>
          </cell>
          <cell r="E698" t="str">
            <v>ETIQUETAS PLANTA</v>
          </cell>
          <cell r="F698" t="str">
            <v>1 ROLLO</v>
          </cell>
          <cell r="G698">
            <v>500</v>
          </cell>
          <cell r="H698" t="str">
            <v>11/05/2020</v>
          </cell>
          <cell r="I698">
            <v>5.8</v>
          </cell>
          <cell r="J698">
            <v>0</v>
          </cell>
          <cell r="K698">
            <v>500</v>
          </cell>
          <cell r="L698">
            <v>0</v>
          </cell>
          <cell r="M698"/>
        </row>
        <row r="699">
          <cell r="A699" t="str">
            <v>60100054</v>
          </cell>
          <cell r="B699" t="str">
            <v>16444</v>
          </cell>
          <cell r="C699" t="str">
            <v>ETIQ. RECUERDE LAVAR MANOS (ROLLO:500 U)</v>
          </cell>
          <cell r="D699" t="str">
            <v>60100054</v>
          </cell>
          <cell r="E699" t="str">
            <v>ETIQUETAS PLANTA</v>
          </cell>
          <cell r="F699" t="str">
            <v>1 ROLLO</v>
          </cell>
          <cell r="G699">
            <v>500</v>
          </cell>
          <cell r="H699" t="str">
            <v>11/05/2020</v>
          </cell>
          <cell r="I699">
            <v>5.8</v>
          </cell>
          <cell r="J699">
            <v>0</v>
          </cell>
          <cell r="K699">
            <v>500</v>
          </cell>
          <cell r="L699">
            <v>0</v>
          </cell>
          <cell r="M699"/>
        </row>
        <row r="700">
          <cell r="A700" t="str">
            <v>60100055</v>
          </cell>
          <cell r="B700" t="str">
            <v>16500</v>
          </cell>
          <cell r="C700" t="str">
            <v>STICKER TORTA KAHLUA (ROLLO: 1000 UND)</v>
          </cell>
          <cell r="D700" t="str">
            <v>60100055</v>
          </cell>
          <cell r="E700" t="str">
            <v>ETIQUETAS PLANTA</v>
          </cell>
          <cell r="F700" t="str">
            <v>1 ROLLO</v>
          </cell>
          <cell r="G700">
            <v>500</v>
          </cell>
          <cell r="H700" t="str">
            <v>08/05/2020</v>
          </cell>
          <cell r="I700">
            <v>16000</v>
          </cell>
          <cell r="J700">
            <v>16000</v>
          </cell>
          <cell r="K700">
            <v>1000</v>
          </cell>
          <cell r="L700">
            <v>16</v>
          </cell>
          <cell r="M700"/>
        </row>
        <row r="701">
          <cell r="A701" t="str">
            <v>101000015</v>
          </cell>
          <cell r="B701" t="str">
            <v>5245</v>
          </cell>
          <cell r="C701" t="str">
            <v>AZUCAR REFINADA VICTORIA (PAQ:1 K)</v>
          </cell>
          <cell r="D701" t="str">
            <v>101000015</v>
          </cell>
          <cell r="E701" t="str">
            <v>MATERIAS PRIMAS PLANTA</v>
          </cell>
          <cell r="F701" t="str">
            <v>1 PAQUETE</v>
          </cell>
          <cell r="G701">
            <v>500</v>
          </cell>
          <cell r="H701" t="str">
            <v>09/06/2020</v>
          </cell>
          <cell r="I701">
            <v>691.16666666666697</v>
          </cell>
          <cell r="J701">
            <v>732.63333333333298</v>
          </cell>
          <cell r="K701">
            <v>1000</v>
          </cell>
          <cell r="L701">
            <v>0.73263333333333303</v>
          </cell>
          <cell r="M701" t="str">
            <v>Gramos</v>
          </cell>
        </row>
        <row r="702">
          <cell r="A702" t="str">
            <v>101000073</v>
          </cell>
          <cell r="B702" t="str">
            <v>5303</v>
          </cell>
          <cell r="C702" t="str">
            <v>AZUCAR GLASS MOLIDA (PAQ: 4 K)</v>
          </cell>
          <cell r="D702" t="str">
            <v>101000073</v>
          </cell>
          <cell r="E702" t="str">
            <v>MATERIAS PRIMAS PLANTA</v>
          </cell>
          <cell r="F702" t="str">
            <v>1 PAQUETE</v>
          </cell>
          <cell r="G702">
            <v>500</v>
          </cell>
          <cell r="H702" t="str">
            <v>15/06/2020</v>
          </cell>
          <cell r="I702">
            <v>6526</v>
          </cell>
          <cell r="J702">
            <v>7467</v>
          </cell>
          <cell r="K702">
            <v>4000</v>
          </cell>
          <cell r="L702">
            <v>1.8667499999999999</v>
          </cell>
          <cell r="M702" t="str">
            <v>Gramos</v>
          </cell>
        </row>
        <row r="703">
          <cell r="A703" t="str">
            <v>101000104</v>
          </cell>
          <cell r="B703" t="str">
            <v>7077</v>
          </cell>
          <cell r="C703" t="str">
            <v>SALSA OSTION PANDA (UND:5LBS)</v>
          </cell>
          <cell r="D703" t="str">
            <v>101000104</v>
          </cell>
          <cell r="E703" t="str">
            <v>MATERIAS PRIMAS PLANTA</v>
          </cell>
          <cell r="F703" t="str">
            <v>1 UND</v>
          </cell>
          <cell r="G703">
            <v>500</v>
          </cell>
          <cell r="H703" t="str">
            <v>24/03/2020</v>
          </cell>
          <cell r="I703">
            <v>4995</v>
          </cell>
          <cell r="J703">
            <v>0</v>
          </cell>
          <cell r="K703">
            <v>2268</v>
          </cell>
          <cell r="L703">
            <v>0</v>
          </cell>
          <cell r="M703" t="str">
            <v>Mililitros</v>
          </cell>
        </row>
        <row r="704">
          <cell r="A704" t="str">
            <v>101000114</v>
          </cell>
          <cell r="B704" t="str">
            <v>7087</v>
          </cell>
          <cell r="C704" t="str">
            <v>MAIZ DULCE GALON MONACO (UND:2.5K)</v>
          </cell>
          <cell r="D704" t="str">
            <v>101000114</v>
          </cell>
          <cell r="E704" t="str">
            <v>MATERIAS PRIMAS PLANTA</v>
          </cell>
          <cell r="F704" t="str">
            <v>1 UND</v>
          </cell>
          <cell r="G704">
            <v>500</v>
          </cell>
          <cell r="H704" t="str">
            <v>28/01/2020</v>
          </cell>
          <cell r="I704" t="e">
            <v>#N/A</v>
          </cell>
          <cell r="J704">
            <v>0</v>
          </cell>
          <cell r="K704">
            <v>2500</v>
          </cell>
          <cell r="L704">
            <v>0</v>
          </cell>
          <cell r="M704"/>
        </row>
        <row r="705">
          <cell r="A705" t="str">
            <v>102000024</v>
          </cell>
          <cell r="B705" t="str">
            <v>5353</v>
          </cell>
          <cell r="C705" t="str">
            <v>MEZCLA BEBIDA MARACUYA (UND:946ML)</v>
          </cell>
          <cell r="D705" t="str">
            <v>102000024</v>
          </cell>
          <cell r="E705" t="str">
            <v>MATERIAS PRIMAS PLANTA</v>
          </cell>
          <cell r="F705" t="str">
            <v>1 UND</v>
          </cell>
          <cell r="G705">
            <v>500</v>
          </cell>
          <cell r="H705" t="str">
            <v>04/02/2020</v>
          </cell>
          <cell r="I705">
            <v>3164</v>
          </cell>
          <cell r="J705">
            <v>3753</v>
          </cell>
          <cell r="K705">
            <v>946</v>
          </cell>
          <cell r="L705">
            <v>3.9672304439746302</v>
          </cell>
          <cell r="M705" t="str">
            <v>Mililitros</v>
          </cell>
        </row>
        <row r="706">
          <cell r="A706" t="str">
            <v>102000028</v>
          </cell>
          <cell r="B706" t="str">
            <v>5357</v>
          </cell>
          <cell r="C706" t="str">
            <v>JUGO DE NARANJA NATURAL (UND:3.785 L)</v>
          </cell>
          <cell r="D706" t="str">
            <v>102000028</v>
          </cell>
          <cell r="E706" t="str">
            <v>MATERIAS PRIMAS PLANTA</v>
          </cell>
          <cell r="F706" t="str">
            <v>1 UND</v>
          </cell>
          <cell r="G706">
            <v>500</v>
          </cell>
          <cell r="H706" t="str">
            <v>15/06/2020</v>
          </cell>
          <cell r="I706">
            <v>4170</v>
          </cell>
          <cell r="J706">
            <v>4170</v>
          </cell>
          <cell r="K706">
            <v>3785</v>
          </cell>
          <cell r="L706">
            <v>1.1017173051519153</v>
          </cell>
          <cell r="M706"/>
        </row>
        <row r="707">
          <cell r="A707" t="str">
            <v>102000035</v>
          </cell>
          <cell r="B707" t="str">
            <v>12925</v>
          </cell>
          <cell r="C707" t="str">
            <v>JUGO LIMON (UND=930 ml)</v>
          </cell>
          <cell r="D707" t="str">
            <v>102000035</v>
          </cell>
          <cell r="E707" t="str">
            <v>MATERIAS PRIMAS PLANTA</v>
          </cell>
          <cell r="F707" t="str">
            <v>1 UND</v>
          </cell>
          <cell r="G707">
            <v>500</v>
          </cell>
          <cell r="H707" t="str">
            <v>10/06/2020</v>
          </cell>
          <cell r="I707">
            <v>1495.44</v>
          </cell>
          <cell r="J707">
            <v>1644.98</v>
          </cell>
          <cell r="K707">
            <v>930</v>
          </cell>
          <cell r="L707">
            <v>1.7687956989247311</v>
          </cell>
          <cell r="M707"/>
        </row>
        <row r="708">
          <cell r="A708" t="str">
            <v>102000037</v>
          </cell>
          <cell r="B708" t="str">
            <v>15159</v>
          </cell>
          <cell r="C708" t="str">
            <v xml:space="preserve">TE FRIO MELOCOTON (CAJA: 6 PAQ) </v>
          </cell>
          <cell r="D708" t="str">
            <v>102000037</v>
          </cell>
          <cell r="E708" t="str">
            <v>MATERIAS PRIMAS PLANTA</v>
          </cell>
          <cell r="F708" t="str">
            <v>1 CAJA</v>
          </cell>
          <cell r="G708">
            <v>500</v>
          </cell>
          <cell r="H708" t="str">
            <v>15/06/2020</v>
          </cell>
          <cell r="I708">
            <v>9553</v>
          </cell>
          <cell r="J708">
            <v>11177</v>
          </cell>
          <cell r="K708"/>
          <cell r="L708" t="e">
            <v>#DIV/0!</v>
          </cell>
          <cell r="M708"/>
        </row>
        <row r="709">
          <cell r="A709" t="str">
            <v>102000038</v>
          </cell>
          <cell r="B709" t="str">
            <v>15160</v>
          </cell>
          <cell r="C709" t="str">
            <v>TE VERDE DE MANZANA (CAJA: 8 PAQ)</v>
          </cell>
          <cell r="D709" t="str">
            <v>102000038</v>
          </cell>
          <cell r="E709" t="str">
            <v>MATERIAS PRIMAS PLANTA</v>
          </cell>
          <cell r="F709" t="str">
            <v>1 CAJA</v>
          </cell>
          <cell r="G709">
            <v>500</v>
          </cell>
          <cell r="H709" t="str">
            <v>15/06/2020</v>
          </cell>
          <cell r="I709" t="e">
            <v>#N/A</v>
          </cell>
          <cell r="J709">
            <v>0</v>
          </cell>
          <cell r="K709"/>
          <cell r="L709" t="e">
            <v>#DIV/0!</v>
          </cell>
          <cell r="M709"/>
        </row>
        <row r="710">
          <cell r="A710" t="str">
            <v>102000039</v>
          </cell>
          <cell r="B710" t="str">
            <v>15504</v>
          </cell>
          <cell r="C710" t="str">
            <v>ROMPOPE SPOON (UND:510 G)</v>
          </cell>
          <cell r="D710" t="str">
            <v>102000039</v>
          </cell>
          <cell r="E710" t="str">
            <v>MATERIAS PRIMAS PLANTA</v>
          </cell>
          <cell r="F710" t="str">
            <v>1 UND</v>
          </cell>
          <cell r="G710">
            <v>500</v>
          </cell>
          <cell r="H710" t="str">
            <v>20/12/2019</v>
          </cell>
          <cell r="I710">
            <v>2460</v>
          </cell>
          <cell r="J710">
            <v>0</v>
          </cell>
          <cell r="K710">
            <v>510</v>
          </cell>
          <cell r="L710">
            <v>0</v>
          </cell>
          <cell r="M710"/>
        </row>
        <row r="711">
          <cell r="A711" t="str">
            <v>102000040</v>
          </cell>
          <cell r="B711" t="str">
            <v>15624</v>
          </cell>
          <cell r="C711" t="str">
            <v>TE MATCHA NARANJA (PAQ: 20/50 G)</v>
          </cell>
          <cell r="D711" t="str">
            <v>102000040</v>
          </cell>
          <cell r="E711" t="str">
            <v>MATERIAS PRIMAS PLANTA</v>
          </cell>
          <cell r="F711" t="str">
            <v>1 PAQ</v>
          </cell>
          <cell r="G711">
            <v>500</v>
          </cell>
          <cell r="H711" t="str">
            <v>18/03/2020</v>
          </cell>
          <cell r="I711" t="e">
            <v>#N/A</v>
          </cell>
          <cell r="J711">
            <v>0</v>
          </cell>
          <cell r="K711"/>
          <cell r="L711" t="e">
            <v>#DIV/0!</v>
          </cell>
          <cell r="M711"/>
        </row>
        <row r="712">
          <cell r="A712" t="str">
            <v>102000041</v>
          </cell>
          <cell r="B712" t="str">
            <v>15625</v>
          </cell>
          <cell r="C712" t="str">
            <v>TE FRIO LIMON (PAQ:500 G)</v>
          </cell>
          <cell r="D712" t="str">
            <v>102000041</v>
          </cell>
          <cell r="E712" t="str">
            <v>MATERIAS PRIMAS PLANTA</v>
          </cell>
          <cell r="F712" t="str">
            <v>1 PAQUETE</v>
          </cell>
          <cell r="G712">
            <v>500</v>
          </cell>
          <cell r="H712" t="str">
            <v>19/05/2020</v>
          </cell>
          <cell r="I712">
            <v>1650</v>
          </cell>
          <cell r="J712">
            <v>0</v>
          </cell>
          <cell r="K712">
            <v>500</v>
          </cell>
          <cell r="L712">
            <v>0</v>
          </cell>
        </row>
        <row r="713">
          <cell r="A713" t="str">
            <v>102000046</v>
          </cell>
          <cell r="B713" t="str">
            <v>15630</v>
          </cell>
          <cell r="C713" t="str">
            <v>BEBIDA TE CHAI (PAQ: 300 G)</v>
          </cell>
          <cell r="D713" t="str">
            <v>102000046</v>
          </cell>
          <cell r="E713" t="str">
            <v>MATERIAS PRIMAS PLANTA</v>
          </cell>
          <cell r="F713" t="str">
            <v>1 PAQUETE</v>
          </cell>
          <cell r="G713">
            <v>500</v>
          </cell>
          <cell r="H713" t="str">
            <v>05/06/2020</v>
          </cell>
          <cell r="I713">
            <v>2445</v>
          </cell>
          <cell r="J713">
            <v>2843.58</v>
          </cell>
          <cell r="K713">
            <v>300</v>
          </cell>
          <cell r="L713">
            <v>9.4786000000000001</v>
          </cell>
          <cell r="M713"/>
        </row>
        <row r="714">
          <cell r="A714" t="str">
            <v>102000048</v>
          </cell>
          <cell r="B714" t="str">
            <v>15881</v>
          </cell>
          <cell r="C714" t="str">
            <v>PIPA (UND)</v>
          </cell>
          <cell r="D714" t="str">
            <v>102000048</v>
          </cell>
          <cell r="E714" t="str">
            <v>MATERIAS PRIMAS PLANTA</v>
          </cell>
          <cell r="F714" t="str">
            <v>1 UND</v>
          </cell>
          <cell r="G714">
            <v>500</v>
          </cell>
          <cell r="H714" t="str">
            <v>19/03/2020</v>
          </cell>
          <cell r="I714" t="e">
            <v>#N/A</v>
          </cell>
          <cell r="J714">
            <v>0</v>
          </cell>
          <cell r="K714"/>
          <cell r="L714" t="e">
            <v>#DIV/0!</v>
          </cell>
          <cell r="M714"/>
        </row>
        <row r="715">
          <cell r="A715" t="str">
            <v>102000049</v>
          </cell>
          <cell r="B715" t="str">
            <v>16321</v>
          </cell>
          <cell r="C715" t="str">
            <v>KAHLUA LICOR DE CAFÉ (UND: 750 ML)</v>
          </cell>
          <cell r="D715" t="str">
            <v>102000049</v>
          </cell>
          <cell r="E715" t="str">
            <v>MATERIAS PRIMAS PLANTA</v>
          </cell>
          <cell r="F715" t="str">
            <v>1 UND</v>
          </cell>
          <cell r="G715">
            <v>500</v>
          </cell>
          <cell r="H715" t="str">
            <v>01/06/2020</v>
          </cell>
          <cell r="I715">
            <v>7457</v>
          </cell>
          <cell r="J715">
            <v>6711.3</v>
          </cell>
          <cell r="K715">
            <v>750</v>
          </cell>
          <cell r="L715">
            <v>8.9483999999999995</v>
          </cell>
          <cell r="M715" t="str">
            <v>Mililitros</v>
          </cell>
        </row>
        <row r="716">
          <cell r="A716" t="str">
            <v>102000051</v>
          </cell>
          <cell r="B716" t="str">
            <v>16466</v>
          </cell>
          <cell r="C716" t="str">
            <v>SIROPE CHOCOLATE HERSHEYS (UND:7.5 LBS)</v>
          </cell>
          <cell r="D716" t="str">
            <v>102000051</v>
          </cell>
          <cell r="E716" t="str">
            <v>MATERIAS PRIMAS PLANTA</v>
          </cell>
          <cell r="F716" t="str">
            <v>1 UND</v>
          </cell>
          <cell r="G716">
            <v>500</v>
          </cell>
          <cell r="H716" t="str">
            <v>05/05/2020</v>
          </cell>
          <cell r="I716" t="e">
            <v>#N/A</v>
          </cell>
          <cell r="J716">
            <v>0</v>
          </cell>
          <cell r="K716"/>
          <cell r="L716" t="e">
            <v>#DIV/0!</v>
          </cell>
          <cell r="M716"/>
        </row>
        <row r="717">
          <cell r="A717" t="str">
            <v>102000052</v>
          </cell>
          <cell r="B717" t="str">
            <v>16488</v>
          </cell>
          <cell r="C717" t="str">
            <v>JUGO DE NARANJA 100% NATURAL (UND)</v>
          </cell>
          <cell r="D717" t="str">
            <v>102000052</v>
          </cell>
          <cell r="E717" t="str">
            <v>MATERIAS PRIMAS PLANTA</v>
          </cell>
          <cell r="F717" t="str">
            <v>1 UND</v>
          </cell>
          <cell r="G717">
            <v>500</v>
          </cell>
          <cell r="H717" t="str">
            <v>04/05/2020</v>
          </cell>
          <cell r="I717" t="e">
            <v>#N/A</v>
          </cell>
          <cell r="J717">
            <v>0</v>
          </cell>
          <cell r="K717"/>
          <cell r="L717" t="e">
            <v>#DIV/0!</v>
          </cell>
          <cell r="M717"/>
        </row>
        <row r="718">
          <cell r="A718" t="str">
            <v>103000001</v>
          </cell>
          <cell r="B718" t="str">
            <v>5358</v>
          </cell>
          <cell r="C718" t="str">
            <v>SALMON EN MEDALLON KILO</v>
          </cell>
          <cell r="D718" t="str">
            <v>103000001</v>
          </cell>
          <cell r="E718" t="str">
            <v>MATERIAS PRIMAS PLANTA</v>
          </cell>
          <cell r="F718" t="str">
            <v>1 KILO</v>
          </cell>
          <cell r="G718">
            <v>500</v>
          </cell>
          <cell r="H718" t="str">
            <v>15/06/2020</v>
          </cell>
          <cell r="I718">
            <v>7189.56</v>
          </cell>
          <cell r="J718">
            <v>11670.81</v>
          </cell>
          <cell r="K718">
            <v>1000</v>
          </cell>
          <cell r="L718">
            <v>11.670809999999999</v>
          </cell>
          <cell r="M718" t="str">
            <v>Gramos</v>
          </cell>
        </row>
        <row r="719">
          <cell r="A719" t="str">
            <v>103000021</v>
          </cell>
          <cell r="B719" t="str">
            <v>5378</v>
          </cell>
          <cell r="C719" t="str">
            <v>CARNE OSOBUCO PICADO (KILO)</v>
          </cell>
          <cell r="D719" t="str">
            <v>103000021</v>
          </cell>
          <cell r="E719" t="str">
            <v>MATERIAS PRIMAS PLANTA</v>
          </cell>
          <cell r="F719" t="str">
            <v>1 KILO</v>
          </cell>
          <cell r="G719">
            <v>500</v>
          </cell>
          <cell r="H719" t="str">
            <v>06/06/2020</v>
          </cell>
          <cell r="I719">
            <v>2995</v>
          </cell>
          <cell r="J719">
            <v>3295</v>
          </cell>
          <cell r="K719">
            <v>1000</v>
          </cell>
          <cell r="L719">
            <v>3.2949999999999999</v>
          </cell>
          <cell r="M719" t="str">
            <v>Gramos</v>
          </cell>
        </row>
        <row r="720">
          <cell r="A720" t="str">
            <v>103000027</v>
          </cell>
          <cell r="B720" t="str">
            <v>13164</v>
          </cell>
          <cell r="C720" t="str">
            <v>CHORIZO PASTA KILO</v>
          </cell>
          <cell r="D720" t="str">
            <v>103000027</v>
          </cell>
          <cell r="E720" t="str">
            <v>MATERIAS PRIMAS PLANTA</v>
          </cell>
          <cell r="F720" t="str">
            <v>1 KILO</v>
          </cell>
          <cell r="G720">
            <v>500</v>
          </cell>
          <cell r="H720" t="str">
            <v>13/06/2020</v>
          </cell>
          <cell r="I720">
            <v>2050</v>
          </cell>
          <cell r="J720">
            <v>0</v>
          </cell>
          <cell r="K720">
            <v>1000</v>
          </cell>
          <cell r="L720">
            <v>0</v>
          </cell>
          <cell r="M720" t="str">
            <v>Gramos</v>
          </cell>
        </row>
        <row r="721">
          <cell r="A721" t="str">
            <v>103000035</v>
          </cell>
          <cell r="B721" t="str">
            <v>14621</v>
          </cell>
          <cell r="C721" t="str">
            <v>ALBONDIGA ITAL COC 1.5 ONZ (1/4.53K)</v>
          </cell>
          <cell r="D721" t="str">
            <v>103000035</v>
          </cell>
          <cell r="E721" t="str">
            <v>MATERIAS PRIMAS PLANTA</v>
          </cell>
          <cell r="F721" t="str">
            <v>1 KILO</v>
          </cell>
          <cell r="G721">
            <v>500</v>
          </cell>
          <cell r="H721" t="str">
            <v>11/02/2020</v>
          </cell>
          <cell r="I721" t="e">
            <v>#N/A</v>
          </cell>
          <cell r="J721">
            <v>0</v>
          </cell>
          <cell r="K721">
            <v>1000</v>
          </cell>
          <cell r="L721">
            <v>0</v>
          </cell>
          <cell r="M721" t="str">
            <v>Gramos</v>
          </cell>
        </row>
        <row r="722">
          <cell r="A722" t="str">
            <v>103000036</v>
          </cell>
          <cell r="B722" t="str">
            <v>5393</v>
          </cell>
          <cell r="C722" t="str">
            <v>FILET TILAPIA (5-7 ONZ P/KILO)</v>
          </cell>
          <cell r="D722" t="str">
            <v>103000036</v>
          </cell>
          <cell r="E722" t="str">
            <v>MATERIAS PRIMAS PLANTA</v>
          </cell>
          <cell r="F722" t="str">
            <v>1 KILO</v>
          </cell>
          <cell r="G722">
            <v>500</v>
          </cell>
          <cell r="H722" t="str">
            <v>30/04/2020</v>
          </cell>
          <cell r="I722" t="e">
            <v>#N/A</v>
          </cell>
          <cell r="J722">
            <v>0</v>
          </cell>
          <cell r="K722">
            <v>1000</v>
          </cell>
          <cell r="L722">
            <v>0</v>
          </cell>
          <cell r="M722" t="str">
            <v>Gramos</v>
          </cell>
        </row>
        <row r="723">
          <cell r="A723" t="str">
            <v>105000001</v>
          </cell>
          <cell r="B723" t="str">
            <v>5405</v>
          </cell>
          <cell r="C723" t="str">
            <v>CURRY POLVO (UND:454 G)</v>
          </cell>
          <cell r="D723" t="str">
            <v>105000001</v>
          </cell>
          <cell r="E723" t="str">
            <v>MATERIAS PRIMAS PLANTA</v>
          </cell>
          <cell r="F723" t="str">
            <v>1 UND</v>
          </cell>
          <cell r="G723">
            <v>500</v>
          </cell>
          <cell r="H723" t="str">
            <v>28/04/2020</v>
          </cell>
          <cell r="I723">
            <v>2763</v>
          </cell>
          <cell r="J723">
            <v>3263</v>
          </cell>
          <cell r="K723">
            <v>454</v>
          </cell>
          <cell r="L723">
            <v>7.1872246696035242</v>
          </cell>
          <cell r="M723" t="str">
            <v>Gramos</v>
          </cell>
        </row>
        <row r="724">
          <cell r="A724" t="str">
            <v>105000002</v>
          </cell>
          <cell r="B724" t="str">
            <v>5399</v>
          </cell>
          <cell r="C724" t="str">
            <v>OREGANO (UND: 156 G)</v>
          </cell>
          <cell r="D724" t="str">
            <v>105000002</v>
          </cell>
          <cell r="E724" t="str">
            <v>MATERIAS PRIMAS PLANTA</v>
          </cell>
          <cell r="F724" t="str">
            <v>1 UND</v>
          </cell>
          <cell r="G724">
            <v>500</v>
          </cell>
          <cell r="H724" t="str">
            <v>28/05/2020</v>
          </cell>
          <cell r="I724">
            <v>1879</v>
          </cell>
          <cell r="J724">
            <v>2201</v>
          </cell>
          <cell r="K724">
            <v>156</v>
          </cell>
          <cell r="L724">
            <v>14.108974358974359</v>
          </cell>
          <cell r="M724" t="str">
            <v>Gramos</v>
          </cell>
        </row>
        <row r="725">
          <cell r="A725" t="str">
            <v>105000003</v>
          </cell>
          <cell r="B725" t="str">
            <v>5400</v>
          </cell>
          <cell r="C725" t="str">
            <v>PEREJIL SECO (UND:57 G)</v>
          </cell>
          <cell r="D725" t="str">
            <v>105000003</v>
          </cell>
          <cell r="E725" t="str">
            <v>MATERIAS PRIMAS PLANTA</v>
          </cell>
          <cell r="F725" t="str">
            <v>1 UND</v>
          </cell>
          <cell r="G725">
            <v>500</v>
          </cell>
          <cell r="H725" t="str">
            <v>01/06/2020</v>
          </cell>
          <cell r="I725">
            <v>1411.53</v>
          </cell>
          <cell r="J725">
            <v>1925</v>
          </cell>
          <cell r="K725">
            <v>57</v>
          </cell>
          <cell r="L725">
            <v>33.771929824561404</v>
          </cell>
          <cell r="M725" t="str">
            <v>Gramos</v>
          </cell>
        </row>
        <row r="726">
          <cell r="A726" t="str">
            <v>105000007</v>
          </cell>
          <cell r="B726" t="str">
            <v>5407</v>
          </cell>
          <cell r="C726" t="str">
            <v>PIMIENTA NEGRA MOLIDA (UND:510 G)</v>
          </cell>
          <cell r="D726" t="str">
            <v>105000007</v>
          </cell>
          <cell r="E726" t="str">
            <v>MATERIAS PRIMAS PLANTA</v>
          </cell>
          <cell r="F726" t="str">
            <v>1 UND</v>
          </cell>
          <cell r="G726">
            <v>500</v>
          </cell>
          <cell r="H726" t="str">
            <v>19/03/2020</v>
          </cell>
          <cell r="I726">
            <v>7486</v>
          </cell>
          <cell r="J726">
            <v>0</v>
          </cell>
          <cell r="K726">
            <v>510</v>
          </cell>
          <cell r="L726">
            <v>0</v>
          </cell>
          <cell r="M726" t="str">
            <v>Gramos</v>
          </cell>
        </row>
        <row r="727">
          <cell r="A727" t="str">
            <v>10100311</v>
          </cell>
          <cell r="B727" t="str">
            <v>7070</v>
          </cell>
          <cell r="C727" t="str">
            <v>CANELA EN ASTILLAS BADIA ( UND: 340,2 G)</v>
          </cell>
          <cell r="D727" t="str">
            <v>105000008</v>
          </cell>
          <cell r="E727" t="str">
            <v>MATERIAS PRIMAS PLANTA</v>
          </cell>
          <cell r="F727" t="str">
            <v>1 PAQUETE</v>
          </cell>
          <cell r="G727">
            <v>500</v>
          </cell>
          <cell r="H727" t="str">
            <v>05/06/2020</v>
          </cell>
          <cell r="I727">
            <v>4836.3</v>
          </cell>
          <cell r="J727">
            <v>5143</v>
          </cell>
          <cell r="K727">
            <v>340</v>
          </cell>
          <cell r="L727">
            <v>15.126470588235295</v>
          </cell>
          <cell r="M727" t="str">
            <v>Gramos</v>
          </cell>
        </row>
        <row r="728">
          <cell r="A728" t="str">
            <v>105000009</v>
          </cell>
          <cell r="B728" t="str">
            <v>5412</v>
          </cell>
          <cell r="C728" t="str">
            <v>ACHIOTE (UND:850g)</v>
          </cell>
          <cell r="D728" t="str">
            <v>105000009</v>
          </cell>
          <cell r="E728" t="str">
            <v>MATERIAS PRIMAS PLANTA</v>
          </cell>
          <cell r="F728" t="str">
            <v>1 UND</v>
          </cell>
          <cell r="G728">
            <v>500</v>
          </cell>
          <cell r="H728" t="str">
            <v>05/06/2020</v>
          </cell>
          <cell r="I728">
            <v>3137</v>
          </cell>
          <cell r="J728">
            <v>3778</v>
          </cell>
          <cell r="K728">
            <v>850</v>
          </cell>
          <cell r="L728">
            <v>4.4447058823529408</v>
          </cell>
          <cell r="M728" t="str">
            <v>Gramos</v>
          </cell>
        </row>
        <row r="729">
          <cell r="A729" t="str">
            <v>105000029</v>
          </cell>
          <cell r="B729" t="str">
            <v>10237</v>
          </cell>
          <cell r="C729" t="str">
            <v>CONSOME CONCEN. DE RES (UND:2 K)</v>
          </cell>
          <cell r="D729" t="str">
            <v>105000029</v>
          </cell>
          <cell r="E729" t="str">
            <v>MATERIAS PRIMAS PLANTA</v>
          </cell>
          <cell r="F729" t="str">
            <v>1 UND</v>
          </cell>
          <cell r="G729">
            <v>500</v>
          </cell>
          <cell r="H729" t="str">
            <v>28/05/2020</v>
          </cell>
          <cell r="I729">
            <v>5988</v>
          </cell>
          <cell r="J729">
            <v>7324</v>
          </cell>
          <cell r="K729">
            <v>2000</v>
          </cell>
          <cell r="L729">
            <v>3.6619999999999999</v>
          </cell>
          <cell r="M729" t="str">
            <v>Gramos</v>
          </cell>
        </row>
        <row r="730">
          <cell r="A730" t="str">
            <v>105000046</v>
          </cell>
          <cell r="B730" t="str">
            <v>15114</v>
          </cell>
          <cell r="C730" t="str">
            <v>JENGIBRE MOLIDO (UND:354 G)</v>
          </cell>
          <cell r="D730" t="str">
            <v>105000046</v>
          </cell>
          <cell r="E730" t="str">
            <v>MATERIAS PRIMAS PLANTA</v>
          </cell>
          <cell r="F730" t="str">
            <v>1 UND</v>
          </cell>
          <cell r="G730">
            <v>500</v>
          </cell>
          <cell r="H730" t="str">
            <v>07/05/2020</v>
          </cell>
          <cell r="I730">
            <v>6125</v>
          </cell>
          <cell r="J730">
            <v>2412</v>
          </cell>
          <cell r="K730">
            <v>354</v>
          </cell>
          <cell r="L730">
            <v>6.8135593220338979</v>
          </cell>
          <cell r="M730" t="str">
            <v>Gramos</v>
          </cell>
        </row>
        <row r="731">
          <cell r="A731" t="str">
            <v>105000047</v>
          </cell>
          <cell r="B731" t="str">
            <v>15115</v>
          </cell>
          <cell r="C731" t="str">
            <v>CLAVOS DE OLOR MOLIDO (UND:453G)</v>
          </cell>
          <cell r="D731" t="str">
            <v>105000047</v>
          </cell>
          <cell r="E731" t="str">
            <v>MATERIAS PRIMAS PLANTA</v>
          </cell>
          <cell r="F731" t="str">
            <v>1 UND</v>
          </cell>
          <cell r="G731">
            <v>500</v>
          </cell>
          <cell r="H731" t="str">
            <v>10/12/2019</v>
          </cell>
          <cell r="I731" t="e">
            <v>#N/A</v>
          </cell>
          <cell r="J731">
            <v>0</v>
          </cell>
          <cell r="K731">
            <v>453</v>
          </cell>
          <cell r="L731">
            <v>0</v>
          </cell>
          <cell r="M731" t="str">
            <v>Gramos</v>
          </cell>
        </row>
        <row r="732">
          <cell r="A732" t="str">
            <v>105000048</v>
          </cell>
          <cell r="B732" t="str">
            <v>16318</v>
          </cell>
          <cell r="C732" t="str">
            <v>AJO EN POLVO BADIA (UND:1.8 K)</v>
          </cell>
          <cell r="D732" t="str">
            <v>105000048</v>
          </cell>
          <cell r="E732" t="str">
            <v>MATERIAS PRIMAS PLANTA</v>
          </cell>
          <cell r="F732" t="str">
            <v>1 UND</v>
          </cell>
          <cell r="G732">
            <v>500</v>
          </cell>
          <cell r="H732" t="str">
            <v>24/03/2020</v>
          </cell>
          <cell r="I732" t="e">
            <v>#N/A</v>
          </cell>
          <cell r="J732">
            <v>0</v>
          </cell>
          <cell r="K732">
            <v>1800</v>
          </cell>
          <cell r="L732">
            <v>0</v>
          </cell>
          <cell r="M732"/>
        </row>
        <row r="733">
          <cell r="A733" t="str">
            <v>105000049</v>
          </cell>
          <cell r="B733" t="str">
            <v>16484</v>
          </cell>
          <cell r="C733" t="str">
            <v>PIMIENTA EN SOBRES (PAQ:1000 UND)</v>
          </cell>
          <cell r="D733" t="str">
            <v>105000049</v>
          </cell>
          <cell r="E733" t="str">
            <v>MATERIAS PRIMAS PLANTA</v>
          </cell>
          <cell r="F733" t="str">
            <v>1 PAQUETE</v>
          </cell>
          <cell r="G733">
            <v>500</v>
          </cell>
          <cell r="H733" t="str">
            <v>06/05/2020</v>
          </cell>
          <cell r="I733" t="e">
            <v>#N/A</v>
          </cell>
          <cell r="J733">
            <v>0</v>
          </cell>
          <cell r="K733">
            <v>1000</v>
          </cell>
          <cell r="L733">
            <v>0</v>
          </cell>
          <cell r="M733"/>
        </row>
        <row r="734">
          <cell r="A734" t="str">
            <v>105000050</v>
          </cell>
          <cell r="B734" t="str">
            <v>16486</v>
          </cell>
          <cell r="C734" t="str">
            <v>SAL EN SOBRES (PAQ:1000 UND)</v>
          </cell>
          <cell r="D734" t="str">
            <v>105000050</v>
          </cell>
          <cell r="E734" t="str">
            <v>MATERIAS PRIMAS PLANTA</v>
          </cell>
          <cell r="F734" t="str">
            <v>1 PAQUETE</v>
          </cell>
          <cell r="G734">
            <v>500</v>
          </cell>
          <cell r="H734" t="str">
            <v>12/06/2020</v>
          </cell>
          <cell r="I734" t="e">
            <v>#N/A</v>
          </cell>
          <cell r="J734">
            <v>0</v>
          </cell>
          <cell r="K734">
            <v>1000</v>
          </cell>
          <cell r="L734">
            <v>0</v>
          </cell>
          <cell r="M734"/>
        </row>
        <row r="735">
          <cell r="A735" t="str">
            <v>106000001</v>
          </cell>
          <cell r="B735" t="str">
            <v>5415</v>
          </cell>
          <cell r="C735" t="str">
            <v>HIGOS EN ALMIBAR (UND:23 K)</v>
          </cell>
          <cell r="D735" t="str">
            <v>106000001</v>
          </cell>
          <cell r="E735" t="str">
            <v>MATERIAS PRIMAS PLANTA</v>
          </cell>
          <cell r="F735" t="str">
            <v>1 UND</v>
          </cell>
          <cell r="G735">
            <v>500</v>
          </cell>
          <cell r="H735" t="str">
            <v>11/12/2019</v>
          </cell>
          <cell r="I735">
            <v>48300</v>
          </cell>
          <cell r="J735">
            <v>80000</v>
          </cell>
          <cell r="K735">
            <v>23000</v>
          </cell>
          <cell r="L735">
            <v>3.4782608695652173</v>
          </cell>
          <cell r="M735"/>
        </row>
        <row r="736">
          <cell r="A736" t="str">
            <v>106000007</v>
          </cell>
          <cell r="B736" t="str">
            <v>16293</v>
          </cell>
          <cell r="C736" t="str">
            <v>CHIVERRE CONSERVA (UND:25 K)</v>
          </cell>
          <cell r="D736" t="str">
            <v>106000007</v>
          </cell>
          <cell r="E736" t="str">
            <v>MATERIAS PRIMAS PLANTA</v>
          </cell>
          <cell r="F736" t="str">
            <v>1 UND</v>
          </cell>
          <cell r="G736">
            <v>500</v>
          </cell>
          <cell r="H736" t="str">
            <v>12/03/2020</v>
          </cell>
          <cell r="I736">
            <v>55000</v>
          </cell>
          <cell r="J736">
            <v>0</v>
          </cell>
          <cell r="K736">
            <v>25000</v>
          </cell>
          <cell r="L736">
            <v>0</v>
          </cell>
          <cell r="M736"/>
        </row>
        <row r="737">
          <cell r="A737" t="str">
            <v>107000012</v>
          </cell>
          <cell r="B737" t="str">
            <v>8693</v>
          </cell>
          <cell r="C737" t="str">
            <v>CONFITILLO CORAZON MAVALERIO (PAQ:150G)</v>
          </cell>
          <cell r="D737" t="str">
            <v>107000012</v>
          </cell>
          <cell r="E737" t="str">
            <v>MATERIAS PRIMAS PLANTA</v>
          </cell>
          <cell r="F737" t="str">
            <v>1 PAQ</v>
          </cell>
          <cell r="G737">
            <v>500</v>
          </cell>
          <cell r="H737" t="str">
            <v>13/02/2020</v>
          </cell>
          <cell r="I737">
            <v>875.5</v>
          </cell>
          <cell r="J737">
            <v>0</v>
          </cell>
          <cell r="K737">
            <v>150</v>
          </cell>
          <cell r="L737">
            <v>0</v>
          </cell>
          <cell r="M737" t="str">
            <v>Gramos</v>
          </cell>
        </row>
        <row r="738">
          <cell r="A738" t="str">
            <v>109000106</v>
          </cell>
          <cell r="B738" t="str">
            <v>9364</v>
          </cell>
          <cell r="C738" t="str">
            <v>FRESAS CONGEL  BEGRO (PAQ: 1 K)</v>
          </cell>
          <cell r="D738" t="str">
            <v>109000106</v>
          </cell>
          <cell r="E738" t="str">
            <v>MATERIAS PRIMAS PLANTA</v>
          </cell>
          <cell r="F738" t="str">
            <v>1 PAQ</v>
          </cell>
          <cell r="G738">
            <v>500</v>
          </cell>
          <cell r="H738" t="str">
            <v>12/06/2020</v>
          </cell>
          <cell r="I738">
            <v>1940</v>
          </cell>
          <cell r="J738">
            <v>0</v>
          </cell>
          <cell r="K738">
            <v>1000</v>
          </cell>
          <cell r="L738">
            <v>0</v>
          </cell>
          <cell r="M738"/>
        </row>
        <row r="739">
          <cell r="A739" t="str">
            <v>109000121</v>
          </cell>
          <cell r="B739" t="str">
            <v>15410</v>
          </cell>
          <cell r="C739" t="str">
            <v>TOMATE DESHIDRATADO SECO (UND: 800 G)</v>
          </cell>
          <cell r="D739" t="str">
            <v>109000121</v>
          </cell>
          <cell r="E739" t="str">
            <v>MATERIAS PRIMAS PLANTA</v>
          </cell>
          <cell r="F739" t="str">
            <v>1 UND</v>
          </cell>
          <cell r="G739">
            <v>500</v>
          </cell>
          <cell r="H739" t="str">
            <v>14/01/2020</v>
          </cell>
          <cell r="I739" t="e">
            <v>#N/A</v>
          </cell>
          <cell r="J739">
            <v>0</v>
          </cell>
          <cell r="K739">
            <v>800</v>
          </cell>
          <cell r="L739">
            <v>0</v>
          </cell>
          <cell r="M739"/>
        </row>
        <row r="740">
          <cell r="A740" t="str">
            <v>109000122</v>
          </cell>
          <cell r="B740" t="str">
            <v>15868</v>
          </cell>
          <cell r="C740" t="str">
            <v>RELLENO PULPA DE PIÑA (KILO)</v>
          </cell>
          <cell r="D740" t="str">
            <v>109000122</v>
          </cell>
          <cell r="E740" t="str">
            <v>MATERIAS PRIMAS PLANTA</v>
          </cell>
          <cell r="F740" t="str">
            <v>1 KILOGramos</v>
          </cell>
          <cell r="G740">
            <v>500</v>
          </cell>
          <cell r="H740" t="str">
            <v>27/05/2020</v>
          </cell>
          <cell r="I740" t="e">
            <v>#N/A</v>
          </cell>
          <cell r="J740">
            <v>0</v>
          </cell>
          <cell r="K740">
            <v>1000</v>
          </cell>
          <cell r="L740">
            <v>0</v>
          </cell>
          <cell r="M740" t="str">
            <v>Gramos</v>
          </cell>
        </row>
        <row r="741">
          <cell r="A741" t="str">
            <v>109000123</v>
          </cell>
          <cell r="B741" t="str">
            <v>15869</v>
          </cell>
          <cell r="C741" t="str">
            <v>RELLENO PULPA DE GUANABANA (KILO)</v>
          </cell>
          <cell r="D741" t="str">
            <v>109000123</v>
          </cell>
          <cell r="E741" t="str">
            <v>MATERIAS PRIMAS PLANTA</v>
          </cell>
          <cell r="F741" t="str">
            <v>1 KILOGramos</v>
          </cell>
          <cell r="G741">
            <v>500</v>
          </cell>
          <cell r="H741" t="str">
            <v>20/05/2020</v>
          </cell>
          <cell r="I741" t="e">
            <v>#N/A</v>
          </cell>
          <cell r="J741">
            <v>0</v>
          </cell>
          <cell r="K741">
            <v>1000</v>
          </cell>
          <cell r="L741">
            <v>0</v>
          </cell>
          <cell r="M741" t="str">
            <v>Gramos</v>
          </cell>
        </row>
        <row r="742">
          <cell r="A742" t="str">
            <v>109000124</v>
          </cell>
          <cell r="B742" t="str">
            <v>15927</v>
          </cell>
          <cell r="C742" t="str">
            <v>PITAHAYA INPAK (PAQ: 3 KILOS)</v>
          </cell>
          <cell r="D742" t="str">
            <v>109000124</v>
          </cell>
          <cell r="E742" t="str">
            <v>MATERIAS PRIMAS PLANTA</v>
          </cell>
          <cell r="F742" t="str">
            <v>1 PAQUETE</v>
          </cell>
          <cell r="G742">
            <v>500</v>
          </cell>
          <cell r="H742" t="str">
            <v>30/01/2020</v>
          </cell>
          <cell r="I742" t="e">
            <v>#N/A</v>
          </cell>
          <cell r="J742">
            <v>0</v>
          </cell>
          <cell r="K742">
            <v>3000</v>
          </cell>
          <cell r="L742">
            <v>0</v>
          </cell>
          <cell r="M742"/>
        </row>
        <row r="743">
          <cell r="A743" t="str">
            <v>109000125</v>
          </cell>
          <cell r="B743" t="str">
            <v>15928</v>
          </cell>
          <cell r="C743" t="str">
            <v>MARACUYA ( PAQ: 3 KILOS)</v>
          </cell>
          <cell r="D743" t="str">
            <v>0159281</v>
          </cell>
          <cell r="E743" t="str">
            <v>MATERIAS PRIMAS PLANTA</v>
          </cell>
          <cell r="F743" t="str">
            <v>1 PAQUETE</v>
          </cell>
          <cell r="G743">
            <v>500</v>
          </cell>
          <cell r="H743" t="str">
            <v>30/01/2020</v>
          </cell>
          <cell r="I743" t="e">
            <v>#N/A</v>
          </cell>
          <cell r="J743">
            <v>0</v>
          </cell>
          <cell r="K743">
            <v>3000</v>
          </cell>
          <cell r="L743">
            <v>0</v>
          </cell>
          <cell r="M743"/>
        </row>
        <row r="744">
          <cell r="A744" t="str">
            <v>109000127</v>
          </cell>
          <cell r="B744" t="str">
            <v>16666</v>
          </cell>
          <cell r="C744" t="str">
            <v>MELOCOTON EN CUBOS COUNTREE (UND:3 K)</v>
          </cell>
          <cell r="D744" t="str">
            <v>109000127</v>
          </cell>
          <cell r="E744" t="str">
            <v>MATERIAS PRIMAS PLANTA</v>
          </cell>
          <cell r="F744" t="str">
            <v>1 UND</v>
          </cell>
          <cell r="G744">
            <v>500</v>
          </cell>
          <cell r="H744" t="str">
            <v>15/06/2020</v>
          </cell>
          <cell r="I744">
            <v>3338</v>
          </cell>
          <cell r="J744">
            <v>4269</v>
          </cell>
          <cell r="K744">
            <v>1800</v>
          </cell>
          <cell r="L744">
            <v>2.3716666666666666</v>
          </cell>
          <cell r="M744" t="str">
            <v>Gramos</v>
          </cell>
        </row>
        <row r="745">
          <cell r="A745" t="str">
            <v>111000002</v>
          </cell>
          <cell r="B745" t="str">
            <v>5522</v>
          </cell>
          <cell r="C745" t="str">
            <v xml:space="preserve">ACEITE DE SESAMO (UND:1656 ml) </v>
          </cell>
          <cell r="D745" t="str">
            <v>111000002</v>
          </cell>
          <cell r="E745" t="str">
            <v>MATERIAS PRIMAS PLANTA</v>
          </cell>
          <cell r="F745" t="str">
            <v>1 UND</v>
          </cell>
          <cell r="G745">
            <v>500</v>
          </cell>
          <cell r="H745" t="str">
            <v>10/06/2020</v>
          </cell>
          <cell r="I745">
            <v>13178.8</v>
          </cell>
          <cell r="J745">
            <v>0</v>
          </cell>
          <cell r="K745">
            <v>1656</v>
          </cell>
          <cell r="L745">
            <v>0</v>
          </cell>
          <cell r="M745" t="str">
            <v>Gramos</v>
          </cell>
        </row>
        <row r="746">
          <cell r="A746" t="str">
            <v>112000004</v>
          </cell>
          <cell r="B746" t="str">
            <v>5537</v>
          </cell>
          <cell r="C746" t="str">
            <v>GALLETA OREO TROZOS (PAQ:1.13 K)</v>
          </cell>
          <cell r="D746" t="str">
            <v>112000004</v>
          </cell>
          <cell r="E746" t="str">
            <v>MATERIAS PRIMAS PLANTA</v>
          </cell>
          <cell r="F746" t="str">
            <v>1 PAQUETE</v>
          </cell>
          <cell r="G746">
            <v>500</v>
          </cell>
          <cell r="H746" t="str">
            <v>12/05/2020</v>
          </cell>
          <cell r="I746" t="e">
            <v>#N/A</v>
          </cell>
          <cell r="J746">
            <v>0</v>
          </cell>
          <cell r="K746">
            <v>1130</v>
          </cell>
          <cell r="L746">
            <v>0</v>
          </cell>
          <cell r="M746"/>
        </row>
        <row r="747">
          <cell r="A747" t="str">
            <v>112000009</v>
          </cell>
          <cell r="B747" t="str">
            <v>5542</v>
          </cell>
          <cell r="C747" t="str">
            <v>MASECA GRANEL (SACO:20 K)</v>
          </cell>
          <cell r="D747" t="str">
            <v>112000009</v>
          </cell>
          <cell r="E747" t="str">
            <v>MATERIAS PRIMAS PLANTA</v>
          </cell>
          <cell r="F747" t="str">
            <v xml:space="preserve">1 SACO </v>
          </cell>
          <cell r="G747">
            <v>500</v>
          </cell>
          <cell r="H747" t="str">
            <v>15/01/2020</v>
          </cell>
          <cell r="I747">
            <v>30890</v>
          </cell>
          <cell r="J747">
            <v>12896.4</v>
          </cell>
          <cell r="K747">
            <v>20000</v>
          </cell>
          <cell r="L747">
            <v>0.64481999999999995</v>
          </cell>
          <cell r="M747" t="str">
            <v>Gramos</v>
          </cell>
        </row>
        <row r="748">
          <cell r="A748" t="str">
            <v>112000047</v>
          </cell>
          <cell r="B748" t="str">
            <v>7074</v>
          </cell>
          <cell r="C748" t="str">
            <v>EMPANIZADOR PANKO (PAQ: 3 K)</v>
          </cell>
          <cell r="D748" t="str">
            <v>112000047</v>
          </cell>
          <cell r="E748" t="str">
            <v>MATERIAS PRIMAS PLANTA</v>
          </cell>
          <cell r="F748" t="str">
            <v>1 PAQUETE</v>
          </cell>
          <cell r="G748">
            <v>500</v>
          </cell>
          <cell r="H748" t="str">
            <v>28/02/2020</v>
          </cell>
          <cell r="I748">
            <v>15946.32</v>
          </cell>
          <cell r="J748">
            <v>16260.3</v>
          </cell>
          <cell r="K748">
            <v>3000</v>
          </cell>
          <cell r="L748">
            <v>5.4200999999999997</v>
          </cell>
          <cell r="M748"/>
        </row>
        <row r="749">
          <cell r="A749" t="str">
            <v>112000061</v>
          </cell>
          <cell r="B749" t="str">
            <v>14101</v>
          </cell>
          <cell r="C749" t="str">
            <v>PAN MUFFIN 70G (PAQ:6 UND)</v>
          </cell>
          <cell r="D749" t="str">
            <v>112000061</v>
          </cell>
          <cell r="E749" t="str">
            <v>MATERIAS PRIMAS PLANTA</v>
          </cell>
          <cell r="F749" t="str">
            <v>1 PAQUETE</v>
          </cell>
          <cell r="G749">
            <v>500</v>
          </cell>
          <cell r="H749" t="str">
            <v>15/06/2020</v>
          </cell>
          <cell r="I749">
            <v>1140</v>
          </cell>
          <cell r="J749">
            <v>1060.5</v>
          </cell>
          <cell r="K749">
            <v>6</v>
          </cell>
          <cell r="L749">
            <v>176.75</v>
          </cell>
          <cell r="M749"/>
        </row>
        <row r="750">
          <cell r="A750" t="str">
            <v>112000065</v>
          </cell>
          <cell r="B750" t="str">
            <v>15821</v>
          </cell>
          <cell r="C750" t="str">
            <v>PANINI PARRILADA 8" (PAQ:10 UND)</v>
          </cell>
          <cell r="D750" t="str">
            <v>112000065</v>
          </cell>
          <cell r="E750" t="str">
            <v>MATERIAS PRIMAS PLANTA</v>
          </cell>
          <cell r="F750" t="str">
            <v>1 PAQUETE</v>
          </cell>
          <cell r="G750">
            <v>500</v>
          </cell>
          <cell r="H750" t="str">
            <v>13/01/2020</v>
          </cell>
          <cell r="I750" t="e">
            <v>#N/A</v>
          </cell>
          <cell r="J750">
            <v>0</v>
          </cell>
          <cell r="K750">
            <v>10</v>
          </cell>
          <cell r="L750">
            <v>0</v>
          </cell>
          <cell r="M750"/>
        </row>
        <row r="751">
          <cell r="A751" t="str">
            <v>114000002</v>
          </cell>
          <cell r="B751" t="str">
            <v>5584</v>
          </cell>
          <cell r="C751" t="str">
            <v>LECHE HOMOGENIZ TB 3.5%  (CAJA:12 UND)</v>
          </cell>
          <cell r="D751" t="str">
            <v>0310108</v>
          </cell>
          <cell r="E751" t="str">
            <v>MATERIAS PRIMAS PLANTA</v>
          </cell>
          <cell r="F751" t="str">
            <v>1 CAJA</v>
          </cell>
          <cell r="G751">
            <v>500</v>
          </cell>
          <cell r="H751" t="str">
            <v>08/06/2020</v>
          </cell>
          <cell r="I751">
            <v>7867</v>
          </cell>
          <cell r="J751">
            <v>9062</v>
          </cell>
          <cell r="K751">
            <v>12000</v>
          </cell>
          <cell r="L751">
            <v>0.75516666666666665</v>
          </cell>
          <cell r="M751" t="str">
            <v>Mililitros</v>
          </cell>
        </row>
        <row r="752">
          <cell r="A752" t="str">
            <v>114000017</v>
          </cell>
          <cell r="B752" t="str">
            <v>5599</v>
          </cell>
          <cell r="C752" t="str">
            <v>BETTERCREAM CHOCOLATE (UND:4 Kg)</v>
          </cell>
          <cell r="D752" t="str">
            <v>114000017</v>
          </cell>
          <cell r="E752" t="str">
            <v>MATERIAS PRIMAS PLANTA</v>
          </cell>
          <cell r="F752" t="str">
            <v>1 UND</v>
          </cell>
          <cell r="G752">
            <v>500</v>
          </cell>
          <cell r="H752" t="str">
            <v>12/06/2020</v>
          </cell>
          <cell r="I752">
            <v>8906</v>
          </cell>
          <cell r="J752">
            <v>11309</v>
          </cell>
          <cell r="K752">
            <v>4000</v>
          </cell>
          <cell r="L752">
            <v>2.8272499999999998</v>
          </cell>
          <cell r="M752" t="str">
            <v>Gramos</v>
          </cell>
        </row>
        <row r="753">
          <cell r="A753" t="str">
            <v>116000009</v>
          </cell>
          <cell r="B753" t="str">
            <v>9534</v>
          </cell>
          <cell r="C753" t="str">
            <v>PRESERVANTE OPTIFORM PD4 (UND:25K)</v>
          </cell>
          <cell r="D753" t="str">
            <v>116000009</v>
          </cell>
          <cell r="E753" t="str">
            <v>MATERIAS PRIMAS PLANTA</v>
          </cell>
          <cell r="F753" t="str">
            <v>1 UND</v>
          </cell>
          <cell r="G753">
            <v>500</v>
          </cell>
          <cell r="H753" t="str">
            <v>05/06/2020</v>
          </cell>
          <cell r="I753">
            <v>49853</v>
          </cell>
          <cell r="J753">
            <v>80</v>
          </cell>
          <cell r="K753">
            <v>25000</v>
          </cell>
          <cell r="L753">
            <v>3.2000000000000002E-3</v>
          </cell>
          <cell r="M753" t="str">
            <v>Gramos</v>
          </cell>
        </row>
        <row r="754">
          <cell r="A754" t="str">
            <v>118000004</v>
          </cell>
          <cell r="B754" t="str">
            <v>5655</v>
          </cell>
          <cell r="C754" t="str">
            <v>VAINILLA OSCURA (UND: 3.78 L)</v>
          </cell>
          <cell r="D754" t="str">
            <v>118000004</v>
          </cell>
          <cell r="E754" t="str">
            <v>MATERIAS PRIMAS PLANTA</v>
          </cell>
          <cell r="F754" t="str">
            <v>1 UND</v>
          </cell>
          <cell r="G754">
            <v>500</v>
          </cell>
          <cell r="H754" t="str">
            <v>03/06/2020</v>
          </cell>
          <cell r="I754">
            <v>3900</v>
          </cell>
          <cell r="J754">
            <v>4648</v>
          </cell>
          <cell r="K754">
            <v>3780</v>
          </cell>
          <cell r="L754">
            <v>1.2296296296296296</v>
          </cell>
          <cell r="M754" t="str">
            <v>Mililitros</v>
          </cell>
        </row>
        <row r="755">
          <cell r="A755" t="str">
            <v>118000007</v>
          </cell>
          <cell r="B755" t="str">
            <v>7062</v>
          </cell>
          <cell r="C755" t="str">
            <v>SABORIZANTE MELO (KILO)</v>
          </cell>
          <cell r="D755" t="str">
            <v>118000007</v>
          </cell>
          <cell r="E755" t="str">
            <v>MATERIAS PRIMAS PLANTA</v>
          </cell>
          <cell r="F755" t="str">
            <v xml:space="preserve">1 KILO </v>
          </cell>
          <cell r="G755">
            <v>500</v>
          </cell>
          <cell r="H755" t="str">
            <v>07/02/2020</v>
          </cell>
          <cell r="I755">
            <v>7795</v>
          </cell>
          <cell r="J755">
            <v>9658.64</v>
          </cell>
          <cell r="K755">
            <v>1000</v>
          </cell>
          <cell r="L755">
            <v>9.6586400000000001</v>
          </cell>
          <cell r="M755" t="str">
            <v>Gramos</v>
          </cell>
        </row>
        <row r="756">
          <cell r="A756" t="str">
            <v>118000014</v>
          </cell>
          <cell r="B756" t="str">
            <v>9606</v>
          </cell>
          <cell r="C756" t="str">
            <v>SABORIZANTE MENTA (KILO)</v>
          </cell>
          <cell r="D756" t="str">
            <v>118000014</v>
          </cell>
          <cell r="E756" t="str">
            <v>MATERIAS PRIMAS PLANTA</v>
          </cell>
          <cell r="F756" t="str">
            <v xml:space="preserve">1 KILO </v>
          </cell>
          <cell r="G756">
            <v>500</v>
          </cell>
          <cell r="H756" t="str">
            <v>07/02/2020</v>
          </cell>
          <cell r="I756">
            <v>20470.53</v>
          </cell>
          <cell r="J756">
            <v>0</v>
          </cell>
          <cell r="K756">
            <v>1000</v>
          </cell>
          <cell r="L756">
            <v>0</v>
          </cell>
          <cell r="M756" t="str">
            <v>Gramos</v>
          </cell>
        </row>
        <row r="757">
          <cell r="A757" t="str">
            <v>118000017</v>
          </cell>
          <cell r="B757" t="str">
            <v>16320</v>
          </cell>
          <cell r="C757" t="str">
            <v>SABORIZANTE RON (UND)</v>
          </cell>
          <cell r="D757" t="str">
            <v>118000017</v>
          </cell>
          <cell r="E757" t="str">
            <v>MATERIAS PRIMAS PLANTA</v>
          </cell>
          <cell r="F757" t="str">
            <v>1 UNIDAD</v>
          </cell>
          <cell r="G757">
            <v>500</v>
          </cell>
          <cell r="H757" t="str">
            <v>29/05/2020</v>
          </cell>
          <cell r="I757">
            <v>8372.98</v>
          </cell>
          <cell r="J757">
            <v>0</v>
          </cell>
          <cell r="K757"/>
          <cell r="L757" t="e">
            <v>#DIV/0!</v>
          </cell>
          <cell r="M757"/>
        </row>
        <row r="758">
          <cell r="A758" t="str">
            <v>119000012</v>
          </cell>
          <cell r="B758" t="str">
            <v>5668</v>
          </cell>
          <cell r="C758" t="str">
            <v>MACADAMIA ENTERA (PAQ=1 KILO)</v>
          </cell>
          <cell r="D758" t="str">
            <v>119000012</v>
          </cell>
          <cell r="E758" t="str">
            <v>MATERIAS PRIMAS PLANTA</v>
          </cell>
          <cell r="F758" t="str">
            <v>1 PAQUETE</v>
          </cell>
          <cell r="G758">
            <v>500</v>
          </cell>
          <cell r="H758" t="str">
            <v>15/06/2020</v>
          </cell>
          <cell r="I758" t="e">
            <v>#N/A</v>
          </cell>
          <cell r="J758">
            <v>0</v>
          </cell>
          <cell r="K758">
            <v>1000</v>
          </cell>
          <cell r="L758">
            <v>0</v>
          </cell>
          <cell r="M758"/>
        </row>
        <row r="759">
          <cell r="A759" t="str">
            <v>119000026</v>
          </cell>
          <cell r="B759" t="str">
            <v>14850</v>
          </cell>
          <cell r="C759" t="str">
            <v>SEMILLA DE AMAPOLA (UND: 566 G)</v>
          </cell>
          <cell r="D759" t="str">
            <v>119000026</v>
          </cell>
          <cell r="E759" t="str">
            <v>MATERIAS PRIMAS PLANTA</v>
          </cell>
          <cell r="F759" t="str">
            <v>1 Uds.</v>
          </cell>
          <cell r="G759">
            <v>500</v>
          </cell>
          <cell r="H759" t="str">
            <v>15/06/2020</v>
          </cell>
          <cell r="I759">
            <v>5188</v>
          </cell>
          <cell r="J759">
            <v>5878</v>
          </cell>
          <cell r="K759">
            <v>566</v>
          </cell>
          <cell r="L759">
            <v>10.385159010600706</v>
          </cell>
          <cell r="M759" t="str">
            <v>Gramos</v>
          </cell>
        </row>
        <row r="760">
          <cell r="A760" t="str">
            <v>120000012</v>
          </cell>
          <cell r="B760" t="str">
            <v>10290</v>
          </cell>
          <cell r="C760" t="str">
            <v>ARO CHOCOLATE BLANCO (CAJA:150 UND)</v>
          </cell>
          <cell r="D760" t="str">
            <v>120000012</v>
          </cell>
          <cell r="E760" t="str">
            <v>MATERIAS PRIMAS PLANTA</v>
          </cell>
          <cell r="F760" t="str">
            <v>1 CAJA</v>
          </cell>
          <cell r="G760">
            <v>500</v>
          </cell>
          <cell r="H760" t="str">
            <v>03/12/2019</v>
          </cell>
          <cell r="I760" t="e">
            <v>#N/A</v>
          </cell>
          <cell r="J760">
            <v>0</v>
          </cell>
          <cell r="K760">
            <v>150</v>
          </cell>
          <cell r="L760">
            <v>0</v>
          </cell>
          <cell r="M760"/>
        </row>
        <row r="761">
          <cell r="A761" t="str">
            <v>120000017</v>
          </cell>
          <cell r="B761" t="str">
            <v>14824</v>
          </cell>
          <cell r="C761" t="str">
            <v>GALLETA DE CHOCOLATE (PAQ:3 UND)</v>
          </cell>
          <cell r="D761" t="str">
            <v>120000017</v>
          </cell>
          <cell r="E761" t="str">
            <v>MATERIAS PRIMAS PLANTA</v>
          </cell>
          <cell r="F761" t="str">
            <v>1 PAQ</v>
          </cell>
          <cell r="G761">
            <v>500</v>
          </cell>
          <cell r="H761" t="str">
            <v>13/05/2020</v>
          </cell>
          <cell r="I761" t="e">
            <v>#N/A</v>
          </cell>
          <cell r="J761">
            <v>0</v>
          </cell>
          <cell r="K761"/>
          <cell r="L761" t="e">
            <v>#DIV/0!</v>
          </cell>
          <cell r="M761"/>
        </row>
        <row r="762">
          <cell r="A762" t="str">
            <v>120000018</v>
          </cell>
          <cell r="B762" t="str">
            <v>14825</v>
          </cell>
          <cell r="C762" t="str">
            <v>GALLETA DE CRAMBERRY (PAQ:5 UND)</v>
          </cell>
          <cell r="D762" t="str">
            <v>120000018</v>
          </cell>
          <cell r="E762" t="str">
            <v>MATERIAS PRIMAS PLANTA</v>
          </cell>
          <cell r="F762" t="str">
            <v>1 PAQ</v>
          </cell>
          <cell r="G762">
            <v>500</v>
          </cell>
          <cell r="H762" t="str">
            <v>13/05/2020</v>
          </cell>
          <cell r="I762" t="e">
            <v>#N/A</v>
          </cell>
          <cell r="J762">
            <v>0</v>
          </cell>
          <cell r="K762"/>
          <cell r="L762" t="e">
            <v>#DIV/0!</v>
          </cell>
          <cell r="M762"/>
        </row>
        <row r="763">
          <cell r="A763" t="str">
            <v>120000019</v>
          </cell>
          <cell r="B763" t="str">
            <v>14826</v>
          </cell>
          <cell r="C763" t="str">
            <v>GALLETA DE CANELA (PAQ:4 UND)</v>
          </cell>
          <cell r="D763" t="str">
            <v>120000019</v>
          </cell>
          <cell r="E763" t="str">
            <v>MATERIAS PRIMAS PLANTA</v>
          </cell>
          <cell r="F763" t="str">
            <v>1 PAQ</v>
          </cell>
          <cell r="G763">
            <v>500</v>
          </cell>
          <cell r="H763" t="str">
            <v>05/06/2020</v>
          </cell>
          <cell r="I763" t="e">
            <v>#N/A</v>
          </cell>
          <cell r="J763">
            <v>0</v>
          </cell>
          <cell r="K763"/>
          <cell r="L763" t="e">
            <v>#DIV/0!</v>
          </cell>
          <cell r="M763"/>
        </row>
        <row r="764">
          <cell r="A764" t="str">
            <v>120000022</v>
          </cell>
          <cell r="B764" t="str">
            <v>15912</v>
          </cell>
          <cell r="C764" t="str">
            <v>GALLETA OREO ( PAQ: 126 G)</v>
          </cell>
          <cell r="D764" t="str">
            <v>120000022</v>
          </cell>
          <cell r="E764" t="str">
            <v>MATERIAS PRIMAS PLANTA</v>
          </cell>
          <cell r="F764" t="str">
            <v>1 PAQUETE</v>
          </cell>
          <cell r="G764">
            <v>500</v>
          </cell>
          <cell r="H764" t="str">
            <v>21/05/2020</v>
          </cell>
          <cell r="I764" t="e">
            <v>#N/A</v>
          </cell>
          <cell r="J764">
            <v>0</v>
          </cell>
          <cell r="K764">
            <v>126</v>
          </cell>
          <cell r="L764">
            <v>0</v>
          </cell>
          <cell r="M764"/>
        </row>
        <row r="765">
          <cell r="A765" t="str">
            <v>120000023</v>
          </cell>
          <cell r="B765" t="str">
            <v>16424</v>
          </cell>
          <cell r="C765" t="str">
            <v>HELADO VAINILLA CARAMELO 1/4 GALON</v>
          </cell>
          <cell r="D765" t="str">
            <v>120000023</v>
          </cell>
          <cell r="E765" t="str">
            <v>MATERIAS PRIMAS PLANTA</v>
          </cell>
          <cell r="F765" t="str">
            <v>1 UND</v>
          </cell>
          <cell r="G765">
            <v>500</v>
          </cell>
          <cell r="H765" t="str">
            <v>16/04/2020</v>
          </cell>
          <cell r="I765" t="e">
            <v>#N/A</v>
          </cell>
          <cell r="J765">
            <v>0</v>
          </cell>
          <cell r="K765"/>
          <cell r="L765" t="e">
            <v>#DIV/0!</v>
          </cell>
          <cell r="M765"/>
        </row>
        <row r="766">
          <cell r="A766" t="str">
            <v>203000096</v>
          </cell>
          <cell r="B766" t="str">
            <v>12763</v>
          </cell>
          <cell r="C766" t="str">
            <v>TARJETA CARTULINA CUCHARA BELGA</v>
          </cell>
          <cell r="D766" t="str">
            <v>203000096</v>
          </cell>
          <cell r="E766" t="str">
            <v>MATERIAS PRIMAS PLANTA</v>
          </cell>
          <cell r="F766" t="str">
            <v>1 UND</v>
          </cell>
          <cell r="G766">
            <v>500</v>
          </cell>
          <cell r="H766" t="str">
            <v>03/02/2020</v>
          </cell>
          <cell r="I766" t="e">
            <v>#N/A</v>
          </cell>
          <cell r="J766">
            <v>0</v>
          </cell>
          <cell r="K766"/>
          <cell r="L766" t="e">
            <v>#DIV/0!</v>
          </cell>
          <cell r="M766"/>
        </row>
        <row r="767">
          <cell r="A767" t="str">
            <v>207000001</v>
          </cell>
          <cell r="B767" t="str">
            <v>11323</v>
          </cell>
          <cell r="C767" t="str">
            <v>BATIDO DE PIÑA,PEPINO Y ALBAHACA (UND)</v>
          </cell>
          <cell r="D767" t="str">
            <v>207000001</v>
          </cell>
          <cell r="E767" t="str">
            <v>MATERIAS PRIMAS PLANTA</v>
          </cell>
          <cell r="F767" t="str">
            <v>1 UND</v>
          </cell>
          <cell r="G767">
            <v>500</v>
          </cell>
          <cell r="H767" t="str">
            <v>05/06/2020</v>
          </cell>
          <cell r="I767">
            <v>515</v>
          </cell>
          <cell r="J767">
            <v>0</v>
          </cell>
          <cell r="K767"/>
          <cell r="L767" t="e">
            <v>#DIV/0!</v>
          </cell>
          <cell r="M767"/>
        </row>
        <row r="768">
          <cell r="A768" t="str">
            <v>207000002</v>
          </cell>
          <cell r="B768" t="str">
            <v>11324</v>
          </cell>
          <cell r="C768" t="str">
            <v>BATIDO DE MORA Y JENJIBRE (UND)</v>
          </cell>
          <cell r="D768" t="str">
            <v>207000002</v>
          </cell>
          <cell r="E768" t="str">
            <v>MATERIAS PRIMAS PLANTA</v>
          </cell>
          <cell r="F768" t="str">
            <v>1 UND</v>
          </cell>
          <cell r="G768">
            <v>500</v>
          </cell>
          <cell r="H768" t="str">
            <v>05/06/2020</v>
          </cell>
          <cell r="I768">
            <v>515</v>
          </cell>
          <cell r="J768">
            <v>0</v>
          </cell>
          <cell r="K768"/>
          <cell r="L768" t="e">
            <v>#DIV/0!</v>
          </cell>
          <cell r="M768"/>
        </row>
        <row r="769">
          <cell r="A769" t="str">
            <v>207000003</v>
          </cell>
          <cell r="B769" t="str">
            <v>11325</v>
          </cell>
          <cell r="C769" t="str">
            <v>BATIDO MANGO, NARANJA Y MARACUYA (UND)</v>
          </cell>
          <cell r="D769" t="str">
            <v>207000003</v>
          </cell>
          <cell r="E769" t="str">
            <v>MATERIAS PRIMAS PLANTA</v>
          </cell>
          <cell r="F769" t="str">
            <v>1 UND</v>
          </cell>
          <cell r="G769">
            <v>500</v>
          </cell>
          <cell r="H769" t="str">
            <v>13/06/2020</v>
          </cell>
          <cell r="I769">
            <v>515</v>
          </cell>
          <cell r="J769">
            <v>0</v>
          </cell>
          <cell r="K769"/>
          <cell r="L769" t="e">
            <v>#DIV/0!</v>
          </cell>
          <cell r="M769"/>
        </row>
        <row r="770">
          <cell r="A770" t="str">
            <v>401000002</v>
          </cell>
          <cell r="B770" t="str">
            <v>5679</v>
          </cell>
          <cell r="C770" t="str">
            <v>BOLSA TRANSPARENTE 6X6X4 KILO</v>
          </cell>
          <cell r="D770" t="str">
            <v>401000002</v>
          </cell>
          <cell r="E770" t="str">
            <v>EMPAQUES PLANTA</v>
          </cell>
          <cell r="F770" t="str">
            <v>1 KILO</v>
          </cell>
          <cell r="G770">
            <v>500</v>
          </cell>
          <cell r="H770" t="str">
            <v>04/05/2020</v>
          </cell>
          <cell r="I770">
            <v>1400</v>
          </cell>
          <cell r="J770">
            <v>2000</v>
          </cell>
          <cell r="K770">
            <v>430</v>
          </cell>
          <cell r="L770">
            <v>4.6511627906976747</v>
          </cell>
          <cell r="M770" t="str">
            <v>Und</v>
          </cell>
        </row>
        <row r="771">
          <cell r="A771" t="str">
            <v>401000003</v>
          </cell>
          <cell r="B771" t="str">
            <v>5680</v>
          </cell>
          <cell r="C771" t="str">
            <v>BOLSA TRANSPARENTE 6X8X4 KILO</v>
          </cell>
          <cell r="D771" t="str">
            <v>401000003</v>
          </cell>
          <cell r="E771" t="str">
            <v>EMPAQUES PLANTA</v>
          </cell>
          <cell r="F771" t="str">
            <v>1 KILO</v>
          </cell>
          <cell r="G771">
            <v>500</v>
          </cell>
          <cell r="H771" t="str">
            <v>23/03/2020</v>
          </cell>
          <cell r="I771">
            <v>1400</v>
          </cell>
          <cell r="J771">
            <v>2000</v>
          </cell>
          <cell r="K771">
            <v>340</v>
          </cell>
          <cell r="L771">
            <v>5.882352941176471</v>
          </cell>
          <cell r="M771" t="str">
            <v>Und</v>
          </cell>
        </row>
        <row r="772">
          <cell r="A772" t="str">
            <v>401000004</v>
          </cell>
          <cell r="B772" t="str">
            <v>5681</v>
          </cell>
          <cell r="C772" t="str">
            <v>BOLSA TRANSPARENTE 7X9X4 KILO</v>
          </cell>
          <cell r="D772" t="str">
            <v>401000004</v>
          </cell>
          <cell r="E772" t="str">
            <v>EMPAQUES PLANTA</v>
          </cell>
          <cell r="F772" t="str">
            <v>1 KILO</v>
          </cell>
          <cell r="G772">
            <v>500</v>
          </cell>
          <cell r="H772" t="str">
            <v>27/01/2020</v>
          </cell>
          <cell r="I772">
            <v>1400</v>
          </cell>
          <cell r="J772">
            <v>0</v>
          </cell>
          <cell r="K772">
            <v>250</v>
          </cell>
          <cell r="L772">
            <v>0</v>
          </cell>
          <cell r="M772" t="str">
            <v>Und</v>
          </cell>
        </row>
        <row r="773">
          <cell r="A773" t="str">
            <v>401000005</v>
          </cell>
          <cell r="B773" t="str">
            <v>5682</v>
          </cell>
          <cell r="C773" t="str">
            <v>BOLSA TRANSPARENTE 8X10X4 KILO</v>
          </cell>
          <cell r="D773" t="str">
            <v>401000005</v>
          </cell>
          <cell r="E773" t="str">
            <v>EMPAQUES PLANTA</v>
          </cell>
          <cell r="F773" t="str">
            <v>1 KILO</v>
          </cell>
          <cell r="G773">
            <v>500</v>
          </cell>
          <cell r="H773" t="str">
            <v>07/02/2020</v>
          </cell>
          <cell r="I773">
            <v>1400</v>
          </cell>
          <cell r="J773">
            <v>0</v>
          </cell>
          <cell r="K773">
            <v>196</v>
          </cell>
          <cell r="L773">
            <v>0</v>
          </cell>
          <cell r="M773" t="str">
            <v>Und</v>
          </cell>
        </row>
        <row r="774">
          <cell r="A774" t="str">
            <v>401000006</v>
          </cell>
          <cell r="B774" t="str">
            <v>5683</v>
          </cell>
          <cell r="C774" t="str">
            <v>BOLSA TRANSPARENTE 10X12X4 KILO</v>
          </cell>
          <cell r="D774" t="str">
            <v>401000006</v>
          </cell>
          <cell r="E774" t="str">
            <v>EMPAQUES PLANTA</v>
          </cell>
          <cell r="F774" t="str">
            <v>1 KILO</v>
          </cell>
          <cell r="G774">
            <v>500</v>
          </cell>
          <cell r="H774" t="str">
            <v>27/01/2020</v>
          </cell>
          <cell r="I774">
            <v>1400</v>
          </cell>
          <cell r="J774">
            <v>0</v>
          </cell>
          <cell r="K774">
            <v>126</v>
          </cell>
          <cell r="L774">
            <v>0</v>
          </cell>
          <cell r="M774" t="str">
            <v>Und</v>
          </cell>
        </row>
        <row r="775">
          <cell r="A775" t="str">
            <v>503000036</v>
          </cell>
          <cell r="B775" t="str">
            <v>14741</v>
          </cell>
          <cell r="C775" t="str">
            <v>BICARBONATO DE SODIO (PAQ:2.5 K)</v>
          </cell>
          <cell r="D775" t="str">
            <v>503000036</v>
          </cell>
          <cell r="E775" t="str">
            <v>MATERIAS PRIMAS PLANTA</v>
          </cell>
          <cell r="F775" t="str">
            <v>1 PAQUETE</v>
          </cell>
          <cell r="G775">
            <v>500</v>
          </cell>
          <cell r="H775" t="str">
            <v>21/03/2020</v>
          </cell>
          <cell r="I775">
            <v>1766.45</v>
          </cell>
          <cell r="J775">
            <v>0</v>
          </cell>
          <cell r="K775">
            <v>2500</v>
          </cell>
          <cell r="L775">
            <v>0</v>
          </cell>
          <cell r="M775" t="str">
            <v>Gramos</v>
          </cell>
        </row>
        <row r="776">
          <cell r="A776" t="str">
            <v>510000013</v>
          </cell>
          <cell r="B776" t="str">
            <v>8045</v>
          </cell>
          <cell r="C776" t="str">
            <v>ORLA 13" C163 (UND)</v>
          </cell>
          <cell r="D776" t="str">
            <v>510000013</v>
          </cell>
          <cell r="E776" t="str">
            <v>EMPAQUES PLANTA</v>
          </cell>
          <cell r="F776" t="str">
            <v>1 UND</v>
          </cell>
          <cell r="G776">
            <v>500</v>
          </cell>
          <cell r="H776" t="str">
            <v>17/03/2020</v>
          </cell>
          <cell r="I776">
            <v>230</v>
          </cell>
          <cell r="J776">
            <v>0</v>
          </cell>
          <cell r="K776">
            <v>1</v>
          </cell>
          <cell r="L776">
            <v>0</v>
          </cell>
          <cell r="M776" t="str">
            <v>Und</v>
          </cell>
        </row>
        <row r="777">
          <cell r="A777" t="str">
            <v>510000014</v>
          </cell>
          <cell r="B777" t="str">
            <v>15367</v>
          </cell>
          <cell r="C777" t="str">
            <v>BASE CARTON ALUMINIO REDONDA # 12 (UND)</v>
          </cell>
          <cell r="D777" t="str">
            <v>510000014</v>
          </cell>
          <cell r="E777" t="str">
            <v>EMPAQUES PLANTA</v>
          </cell>
          <cell r="F777" t="str">
            <v>1 UND</v>
          </cell>
          <cell r="G777">
            <v>500</v>
          </cell>
          <cell r="H777" t="str">
            <v>28/01/2020</v>
          </cell>
          <cell r="I777" t="e">
            <v>#N/A</v>
          </cell>
          <cell r="J777">
            <v>0</v>
          </cell>
          <cell r="K777">
            <v>1</v>
          </cell>
          <cell r="L777">
            <v>0</v>
          </cell>
          <cell r="M777"/>
        </row>
        <row r="778">
          <cell r="A778" t="str">
            <v>510000015</v>
          </cell>
          <cell r="B778" t="str">
            <v>15384</v>
          </cell>
          <cell r="C778" t="str">
            <v>BASE RECTAGULAR GRANDE (UND)</v>
          </cell>
          <cell r="D778" t="str">
            <v>510000015</v>
          </cell>
          <cell r="E778" t="str">
            <v>EMPAQUES PLANTA</v>
          </cell>
          <cell r="F778" t="str">
            <v xml:space="preserve">1 UND </v>
          </cell>
          <cell r="G778">
            <v>500</v>
          </cell>
          <cell r="H778" t="str">
            <v>28/01/2020</v>
          </cell>
          <cell r="I778" t="e">
            <v>#N/A</v>
          </cell>
          <cell r="J778">
            <v>0</v>
          </cell>
          <cell r="K778">
            <v>1</v>
          </cell>
          <cell r="L778">
            <v>0</v>
          </cell>
          <cell r="M778"/>
        </row>
        <row r="779">
          <cell r="A779" t="str">
            <v>510000016</v>
          </cell>
          <cell r="B779" t="str">
            <v>15385</v>
          </cell>
          <cell r="C779" t="str">
            <v>CARTON RECTA PEQ 1/2 QUEQUE CRISTAL(UND)</v>
          </cell>
          <cell r="D779" t="str">
            <v>510000016</v>
          </cell>
          <cell r="E779" t="str">
            <v>EMPAQUES PLANTA</v>
          </cell>
          <cell r="F779" t="str">
            <v>1 UND</v>
          </cell>
          <cell r="G779">
            <v>500</v>
          </cell>
          <cell r="H779" t="str">
            <v>28/01/2020</v>
          </cell>
          <cell r="I779">
            <v>180</v>
          </cell>
          <cell r="J779">
            <v>0</v>
          </cell>
          <cell r="K779"/>
          <cell r="L779" t="e">
            <v>#DIV/0!</v>
          </cell>
          <cell r="M779"/>
        </row>
        <row r="780">
          <cell r="A780" t="str">
            <v>512000001</v>
          </cell>
          <cell r="B780" t="str">
            <v>5845</v>
          </cell>
          <cell r="C780" t="str">
            <v>PLASTICO P PALETIZAR 18X1500</v>
          </cell>
          <cell r="D780" t="str">
            <v>512000001</v>
          </cell>
          <cell r="E780" t="str">
            <v>EMPAQUES PLANTA</v>
          </cell>
          <cell r="F780" t="str">
            <v>1 UND</v>
          </cell>
          <cell r="G780">
            <v>500</v>
          </cell>
          <cell r="H780" t="str">
            <v>12/06/2020</v>
          </cell>
          <cell r="I780">
            <v>4800</v>
          </cell>
          <cell r="J780">
            <v>6900</v>
          </cell>
          <cell r="K780">
            <v>15000</v>
          </cell>
          <cell r="L780">
            <v>0.46</v>
          </cell>
          <cell r="M780" t="str">
            <v>Centimetros</v>
          </cell>
        </row>
        <row r="781">
          <cell r="A781" t="str">
            <v>512000002</v>
          </cell>
          <cell r="B781" t="str">
            <v>5846</v>
          </cell>
          <cell r="C781" t="str">
            <v>PLASTICO  AUTOAD (UND: 18 * 2000 M)</v>
          </cell>
          <cell r="D781" t="str">
            <v>51200002</v>
          </cell>
          <cell r="E781" t="str">
            <v>EMPAQUES PLANTA</v>
          </cell>
          <cell r="F781" t="str">
            <v>1 UND</v>
          </cell>
          <cell r="G781">
            <v>500</v>
          </cell>
          <cell r="H781" t="str">
            <v>12/06/2020</v>
          </cell>
          <cell r="I781">
            <v>11857</v>
          </cell>
          <cell r="J781">
            <v>16042</v>
          </cell>
          <cell r="K781">
            <v>20000</v>
          </cell>
          <cell r="L781">
            <v>0.80210000000000004</v>
          </cell>
          <cell r="M781" t="str">
            <v>Centimetros</v>
          </cell>
        </row>
        <row r="782">
          <cell r="A782" t="str">
            <v>515000012</v>
          </cell>
          <cell r="B782" t="str">
            <v>5874</v>
          </cell>
          <cell r="C782" t="str">
            <v>VASO CARTON NESCAFE 8OZ (PAQ:50 UND)</v>
          </cell>
          <cell r="D782" t="str">
            <v>515000012</v>
          </cell>
          <cell r="E782" t="str">
            <v>EMPAQUES PLANTA</v>
          </cell>
          <cell r="F782" t="str">
            <v>1 PAQUETE</v>
          </cell>
          <cell r="G782">
            <v>500</v>
          </cell>
          <cell r="H782" t="str">
            <v>22/02/2020</v>
          </cell>
          <cell r="I782" t="e">
            <v>#N/A</v>
          </cell>
          <cell r="J782">
            <v>0</v>
          </cell>
          <cell r="K782">
            <v>50</v>
          </cell>
          <cell r="L782">
            <v>0</v>
          </cell>
          <cell r="M782"/>
        </row>
        <row r="783">
          <cell r="A783" t="str">
            <v>516000002</v>
          </cell>
          <cell r="B783" t="str">
            <v>8074</v>
          </cell>
          <cell r="C783" t="str">
            <v>LAMINA ACETATO (UND)</v>
          </cell>
          <cell r="D783" t="str">
            <v>516000002</v>
          </cell>
          <cell r="E783" t="str">
            <v>EMPAQUES PLANTA</v>
          </cell>
          <cell r="F783" t="str">
            <v>1 UND</v>
          </cell>
          <cell r="G783">
            <v>500</v>
          </cell>
          <cell r="H783" t="str">
            <v>26/12/2019</v>
          </cell>
          <cell r="I783">
            <v>100</v>
          </cell>
          <cell r="J783">
            <v>0</v>
          </cell>
          <cell r="K783">
            <v>1</v>
          </cell>
          <cell r="L783">
            <v>0</v>
          </cell>
          <cell r="M783"/>
        </row>
        <row r="784">
          <cell r="A784" t="str">
            <v>906000010</v>
          </cell>
          <cell r="B784" t="str">
            <v>11228</v>
          </cell>
          <cell r="C784" t="str">
            <v>PREMEZCLA CHOCOMIX (SACO:25k)</v>
          </cell>
          <cell r="D784" t="str">
            <v>906000010</v>
          </cell>
          <cell r="E784" t="str">
            <v>MATERIAS PRIMAS PLANTA</v>
          </cell>
          <cell r="F784" t="str">
            <v>1 SACO</v>
          </cell>
          <cell r="G784">
            <v>500</v>
          </cell>
          <cell r="H784" t="str">
            <v>13/06/2020</v>
          </cell>
          <cell r="I784">
            <v>35505</v>
          </cell>
          <cell r="J784">
            <v>40623</v>
          </cell>
          <cell r="K784">
            <v>25000</v>
          </cell>
          <cell r="L784">
            <v>1.6249199999999999</v>
          </cell>
          <cell r="M784" t="str">
            <v>Gramos</v>
          </cell>
        </row>
        <row r="785">
          <cell r="A785" t="str">
            <v>403000007</v>
          </cell>
          <cell r="B785" t="str">
            <v>5717</v>
          </cell>
          <cell r="C785" t="str">
            <v>GUANTE LATEX CORRIENTE (CAJA:100 UND)</v>
          </cell>
          <cell r="D785"/>
          <cell r="E785" t="str">
            <v>ASEO</v>
          </cell>
          <cell r="F785" t="str">
            <v>1 CAJA</v>
          </cell>
          <cell r="G785">
            <v>500</v>
          </cell>
          <cell r="H785"/>
          <cell r="I785">
            <v>4295</v>
          </cell>
          <cell r="J785">
            <v>2975</v>
          </cell>
          <cell r="K785">
            <v>100</v>
          </cell>
          <cell r="L785">
            <v>29.75</v>
          </cell>
          <cell r="M785" t="str">
            <v>Und</v>
          </cell>
        </row>
        <row r="786">
          <cell r="A786" t="str">
            <v>10415</v>
          </cell>
          <cell r="B786" t="str">
            <v/>
          </cell>
          <cell r="C786" t="str">
            <v>AGUA PLANTA</v>
          </cell>
          <cell r="D786"/>
          <cell r="E786" t="str">
            <v>MATERIAS PRIMAS PLANTA</v>
          </cell>
          <cell r="F786" t="str">
            <v>LITRO</v>
          </cell>
          <cell r="G786"/>
          <cell r="H786"/>
          <cell r="I786">
            <v>100</v>
          </cell>
          <cell r="J786">
            <v>0</v>
          </cell>
          <cell r="K786">
            <v>1000</v>
          </cell>
          <cell r="L786">
            <v>0.1</v>
          </cell>
          <cell r="M786" t="str">
            <v>Mililitros</v>
          </cell>
        </row>
        <row r="787">
          <cell r="A787" t="str">
            <v>10416</v>
          </cell>
          <cell r="B787" t="str">
            <v/>
          </cell>
          <cell r="C787" t="str">
            <v>MANO OBRA</v>
          </cell>
          <cell r="D787"/>
          <cell r="E787" t="str">
            <v>MANO OBRA</v>
          </cell>
          <cell r="F787" t="str">
            <v>Minuto</v>
          </cell>
          <cell r="G787"/>
          <cell r="H787"/>
          <cell r="I787">
            <v>56</v>
          </cell>
          <cell r="J787">
            <v>0</v>
          </cell>
          <cell r="K787">
            <v>1</v>
          </cell>
          <cell r="L787">
            <v>0</v>
          </cell>
          <cell r="M787" t="str">
            <v>Minutos</v>
          </cell>
        </row>
        <row r="788">
          <cell r="A788" t="str">
            <v>1210415</v>
          </cell>
          <cell r="B788" t="str">
            <v>11830</v>
          </cell>
          <cell r="C788" t="str">
            <v>PABILO ROJO</v>
          </cell>
          <cell r="D788"/>
          <cell r="E788" t="str">
            <v>EMPAQUES PLANTA</v>
          </cell>
          <cell r="F788" t="str">
            <v>UND</v>
          </cell>
          <cell r="G788"/>
          <cell r="H788"/>
          <cell r="I788">
            <v>8990</v>
          </cell>
          <cell r="J788">
            <v>0</v>
          </cell>
          <cell r="K788">
            <v>14000</v>
          </cell>
          <cell r="L788">
            <v>0</v>
          </cell>
          <cell r="M788" t="str">
            <v>Centimetros</v>
          </cell>
        </row>
        <row r="789">
          <cell r="A789" t="str">
            <v>18406411</v>
          </cell>
          <cell r="B789" t="str">
            <v/>
          </cell>
          <cell r="C789" t="str">
            <v>CLORO 5% MFS (UND:GL)</v>
          </cell>
          <cell r="D789"/>
          <cell r="E789" t="str">
            <v>MATERIAS PRIMAS PLANTA</v>
          </cell>
          <cell r="F789"/>
          <cell r="G789"/>
          <cell r="H789"/>
          <cell r="I789" t="e">
            <v>#N/A</v>
          </cell>
          <cell r="J789">
            <v>1921</v>
          </cell>
          <cell r="K789">
            <v>3785</v>
          </cell>
          <cell r="L789">
            <v>0.50752972258916773</v>
          </cell>
          <cell r="M789" t="str">
            <v>Mililitros</v>
          </cell>
        </row>
        <row r="790">
          <cell r="A790" t="str">
            <v>1010339</v>
          </cell>
          <cell r="B790" t="str">
            <v/>
          </cell>
          <cell r="C790" t="str">
            <v xml:space="preserve">TRIPLE SEC </v>
          </cell>
          <cell r="D790"/>
          <cell r="E790" t="str">
            <v>MATERIAS PRIMAS PLANTA</v>
          </cell>
          <cell r="F790" t="str">
            <v>UND</v>
          </cell>
          <cell r="G790"/>
          <cell r="H790"/>
          <cell r="I790">
            <v>5600</v>
          </cell>
          <cell r="J790">
            <v>0</v>
          </cell>
          <cell r="K790">
            <v>750</v>
          </cell>
          <cell r="L790">
            <v>0</v>
          </cell>
          <cell r="M790" t="str">
            <v>Mililitros</v>
          </cell>
        </row>
        <row r="791">
          <cell r="A791" t="str">
            <v>10100285</v>
          </cell>
          <cell r="B791" t="str">
            <v/>
          </cell>
          <cell r="C791" t="str">
            <v>MERMELADA DE NARANJA SMUCKER (UND:361 G)</v>
          </cell>
          <cell r="D791"/>
          <cell r="E791" t="str">
            <v>MATERIAS PRIMAS PLANTA</v>
          </cell>
          <cell r="F791" t="str">
            <v>UND</v>
          </cell>
          <cell r="G791">
            <v>500</v>
          </cell>
          <cell r="H791"/>
          <cell r="I791">
            <v>2323</v>
          </cell>
          <cell r="J791">
            <v>0</v>
          </cell>
          <cell r="K791">
            <v>361</v>
          </cell>
          <cell r="L791">
            <v>0</v>
          </cell>
          <cell r="M791" t="str">
            <v>Gramos</v>
          </cell>
        </row>
        <row r="792">
          <cell r="A792" t="str">
            <v>512316</v>
          </cell>
          <cell r="B792" t="str">
            <v/>
          </cell>
          <cell r="C792" t="str">
            <v>CAFÉ INSTANTANEO (PAQ: 500 G)</v>
          </cell>
          <cell r="D792"/>
          <cell r="E792" t="str">
            <v>MATERIAS PRIMAS PLANTA</v>
          </cell>
          <cell r="F792" t="str">
            <v>PAQUETE</v>
          </cell>
          <cell r="G792"/>
          <cell r="H792"/>
          <cell r="I792">
            <v>8555</v>
          </cell>
          <cell r="J792">
            <v>9252</v>
          </cell>
          <cell r="K792">
            <v>500</v>
          </cell>
          <cell r="L792">
            <v>18.504000000000001</v>
          </cell>
          <cell r="M792" t="str">
            <v>Gramos</v>
          </cell>
        </row>
        <row r="793">
          <cell r="A793" t="str">
            <v>0702007</v>
          </cell>
          <cell r="B793" t="str">
            <v/>
          </cell>
          <cell r="C793" t="str">
            <v>ETIQ.FECHA VENCIMIENTO BLANCO (ROLLO)</v>
          </cell>
          <cell r="D793"/>
          <cell r="E793" t="str">
            <v>EMPAQUES PLANTA</v>
          </cell>
          <cell r="F793" t="str">
            <v>rollo</v>
          </cell>
          <cell r="G793"/>
          <cell r="H793"/>
          <cell r="I793">
            <v>205</v>
          </cell>
          <cell r="J793">
            <v>300</v>
          </cell>
          <cell r="K793">
            <v>900</v>
          </cell>
          <cell r="L793">
            <v>0.33333333333333331</v>
          </cell>
          <cell r="M793" t="str">
            <v>Gramos</v>
          </cell>
        </row>
        <row r="794">
          <cell r="A794" t="str">
            <v>109000137</v>
          </cell>
          <cell r="B794" t="str">
            <v/>
          </cell>
          <cell r="C794" t="str">
            <v>TOMATE PELADO ENTERO (UND: 2.89 K)</v>
          </cell>
          <cell r="D794" t="str">
            <v>109000137</v>
          </cell>
          <cell r="E794"/>
          <cell r="F794"/>
          <cell r="G794"/>
          <cell r="H794"/>
          <cell r="I794">
            <v>2728</v>
          </cell>
          <cell r="J794">
            <v>3717</v>
          </cell>
          <cell r="K794">
            <v>2890</v>
          </cell>
          <cell r="L794">
            <v>1.2861591695501731</v>
          </cell>
          <cell r="M794" t="str">
            <v>Gramos</v>
          </cell>
        </row>
        <row r="795">
          <cell r="A795" t="str">
            <v>10300049</v>
          </cell>
          <cell r="B795" t="str">
            <v/>
          </cell>
          <cell r="C795" t="str">
            <v>CARNE MOLIDA 80-20 (KILO)</v>
          </cell>
          <cell r="D795" t="str">
            <v>10300049</v>
          </cell>
          <cell r="E795"/>
          <cell r="F795"/>
          <cell r="G795"/>
          <cell r="H795"/>
          <cell r="I795">
            <v>3195</v>
          </cell>
          <cell r="J795">
            <v>3395</v>
          </cell>
          <cell r="K795">
            <v>1000</v>
          </cell>
          <cell r="L795">
            <v>3.395</v>
          </cell>
          <cell r="M795" t="str">
            <v>Gramos</v>
          </cell>
        </row>
        <row r="796">
          <cell r="A796" t="str">
            <v>112000050</v>
          </cell>
          <cell r="B796" t="str">
            <v/>
          </cell>
          <cell r="C796" t="str">
            <v>GALLETA CHOCOLATE (PAQ:KG)</v>
          </cell>
          <cell r="D796" t="str">
            <v>112000050</v>
          </cell>
          <cell r="E796"/>
          <cell r="F796"/>
          <cell r="G796"/>
          <cell r="H796"/>
          <cell r="I796">
            <v>3135</v>
          </cell>
          <cell r="J796">
            <v>3656</v>
          </cell>
          <cell r="K796">
            <v>1000</v>
          </cell>
          <cell r="L796">
            <v>3.6560000000000001</v>
          </cell>
          <cell r="M796" t="str">
            <v>Gramos</v>
          </cell>
        </row>
        <row r="797">
          <cell r="A797" t="str">
            <v>11400062</v>
          </cell>
          <cell r="B797" t="str">
            <v/>
          </cell>
          <cell r="C797" t="str">
            <v>LECHE CONDENSADA UNTABLE (PAQ:4.5 K)</v>
          </cell>
          <cell r="D797" t="str">
            <v>11400062</v>
          </cell>
          <cell r="E797"/>
          <cell r="F797"/>
          <cell r="G797"/>
          <cell r="H797"/>
          <cell r="I797">
            <v>11910</v>
          </cell>
          <cell r="J797">
            <v>11910</v>
          </cell>
          <cell r="K797">
            <v>4500</v>
          </cell>
          <cell r="L797">
            <v>2.6466666666666665</v>
          </cell>
          <cell r="M797" t="str">
            <v>Gramos</v>
          </cell>
        </row>
        <row r="798">
          <cell r="A798" t="str">
            <v>51600043</v>
          </cell>
          <cell r="B798" t="str">
            <v/>
          </cell>
          <cell r="C798" t="str">
            <v>BOLSA DOYPACK KRAFT 11X19 (UND)</v>
          </cell>
          <cell r="D798" t="str">
            <v>51600043</v>
          </cell>
          <cell r="E798"/>
          <cell r="F798"/>
          <cell r="G798"/>
          <cell r="H798"/>
          <cell r="I798">
            <v>98.76</v>
          </cell>
          <cell r="J798">
            <v>115.04</v>
          </cell>
          <cell r="K798">
            <v>1</v>
          </cell>
          <cell r="L798">
            <v>115.04</v>
          </cell>
          <cell r="M798" t="str">
            <v>Und</v>
          </cell>
        </row>
        <row r="799">
          <cell r="A799" t="str">
            <v>401000005</v>
          </cell>
          <cell r="B799" t="str">
            <v/>
          </cell>
          <cell r="C799" t="str">
            <v>BOLSA TRANSPARENTE 8X10X4 KILO</v>
          </cell>
          <cell r="D799" t="str">
            <v>401000005</v>
          </cell>
          <cell r="E799"/>
          <cell r="F799"/>
          <cell r="G799"/>
          <cell r="H799"/>
          <cell r="I799">
            <v>1400</v>
          </cell>
          <cell r="J799">
            <v>0</v>
          </cell>
          <cell r="K799">
            <v>196</v>
          </cell>
          <cell r="L799">
            <v>0</v>
          </cell>
          <cell r="M799" t="str">
            <v>Und</v>
          </cell>
        </row>
        <row r="800">
          <cell r="A800" t="str">
            <v>10200019</v>
          </cell>
          <cell r="B800" t="str">
            <v/>
          </cell>
          <cell r="C800" t="str">
            <v>RON PLATA ESPECIAL (UND: LITRO)</v>
          </cell>
          <cell r="D800" t="str">
            <v>10200019</v>
          </cell>
          <cell r="E800"/>
          <cell r="F800"/>
          <cell r="G800"/>
          <cell r="H800"/>
          <cell r="I800">
            <v>5720</v>
          </cell>
          <cell r="J800">
            <v>0</v>
          </cell>
          <cell r="K800">
            <v>1000</v>
          </cell>
          <cell r="L800">
            <v>0</v>
          </cell>
          <cell r="M800" t="str">
            <v>Mililitros</v>
          </cell>
        </row>
        <row r="801">
          <cell r="A801" t="str">
            <v>11400061</v>
          </cell>
          <cell r="B801" t="str">
            <v/>
          </cell>
          <cell r="C801" t="str">
            <v>CREMA ROSSANA (351g)</v>
          </cell>
          <cell r="D801" t="str">
            <v>11400061</v>
          </cell>
          <cell r="E801"/>
          <cell r="F801"/>
          <cell r="G801"/>
          <cell r="H801"/>
          <cell r="I801">
            <v>1345</v>
          </cell>
          <cell r="J801">
            <v>0</v>
          </cell>
          <cell r="K801">
            <v>200</v>
          </cell>
          <cell r="L801">
            <v>0</v>
          </cell>
          <cell r="M801" t="str">
            <v>Gramos</v>
          </cell>
        </row>
        <row r="802">
          <cell r="A802" t="str">
            <v>11200007</v>
          </cell>
          <cell r="B802" t="str">
            <v/>
          </cell>
          <cell r="C802" t="str">
            <v>PREMEZCLA DAWN BROWNIE (SACO=22.68K)</v>
          </cell>
          <cell r="D802" t="str">
            <v>11200007</v>
          </cell>
          <cell r="E802"/>
          <cell r="F802"/>
          <cell r="G802"/>
          <cell r="H802"/>
          <cell r="I802">
            <v>40000</v>
          </cell>
          <cell r="J802">
            <v>42566.37</v>
          </cell>
          <cell r="K802">
            <v>22680</v>
          </cell>
          <cell r="L802">
            <v>1.8768240740740743</v>
          </cell>
          <cell r="M802" t="str">
            <v>Gramos</v>
          </cell>
        </row>
        <row r="803">
          <cell r="A803" t="str">
            <v>118000018</v>
          </cell>
          <cell r="B803" t="str">
            <v/>
          </cell>
          <cell r="C803" t="str">
            <v xml:space="preserve">SABORIZANTE AVELLANA 1595 </v>
          </cell>
          <cell r="D803" t="str">
            <v>118000018</v>
          </cell>
          <cell r="E803"/>
          <cell r="F803"/>
          <cell r="G803"/>
          <cell r="H803"/>
          <cell r="I803">
            <v>10974</v>
          </cell>
          <cell r="J803">
            <v>0</v>
          </cell>
          <cell r="K803">
            <v>1000</v>
          </cell>
          <cell r="L803">
            <v>0</v>
          </cell>
          <cell r="M803" t="str">
            <v>Gramos</v>
          </cell>
        </row>
        <row r="804">
          <cell r="A804" t="str">
            <v>51600042</v>
          </cell>
          <cell r="B804" t="str">
            <v/>
          </cell>
          <cell r="C804" t="str">
            <v>CHOCOLATE LOGO ROSSANA UND</v>
          </cell>
          <cell r="D804" t="str">
            <v>51600042</v>
          </cell>
          <cell r="E804"/>
          <cell r="F804"/>
          <cell r="G804"/>
          <cell r="H804"/>
          <cell r="I804">
            <v>9750</v>
          </cell>
          <cell r="J804">
            <v>0</v>
          </cell>
          <cell r="K804">
            <v>50</v>
          </cell>
          <cell r="L804">
            <v>0</v>
          </cell>
          <cell r="M804" t="str">
            <v>UND</v>
          </cell>
        </row>
        <row r="805">
          <cell r="A805" t="str">
            <v>11400063</v>
          </cell>
          <cell r="B805" t="str">
            <v/>
          </cell>
          <cell r="C805" t="str">
            <v>MEZCLA QUESO UNIVERSAL</v>
          </cell>
          <cell r="D805" t="str">
            <v>11400063</v>
          </cell>
          <cell r="E805"/>
          <cell r="F805"/>
          <cell r="G805"/>
          <cell r="H805"/>
          <cell r="I805">
            <v>3456</v>
          </cell>
          <cell r="J805">
            <v>0</v>
          </cell>
          <cell r="K805">
            <v>1000</v>
          </cell>
          <cell r="L805">
            <v>0</v>
          </cell>
          <cell r="M805" t="str">
            <v>Gramos</v>
          </cell>
        </row>
        <row r="806">
          <cell r="A806" t="str">
            <v>109000131</v>
          </cell>
          <cell r="B806" t="str">
            <v/>
          </cell>
          <cell r="C806" t="str">
            <v>FRUTOS DEL BOSQUE (PAQ: 500 G)</v>
          </cell>
          <cell r="D806" t="str">
            <v>109000131</v>
          </cell>
          <cell r="E806"/>
          <cell r="F806"/>
          <cell r="G806"/>
          <cell r="H806"/>
          <cell r="I806">
            <v>951</v>
          </cell>
          <cell r="J806">
            <v>0</v>
          </cell>
          <cell r="K806">
            <v>500</v>
          </cell>
          <cell r="L806">
            <v>0</v>
          </cell>
          <cell r="M806" t="str">
            <v>Gramos</v>
          </cell>
        </row>
        <row r="807">
          <cell r="A807" t="str">
            <v>11400060</v>
          </cell>
          <cell r="B807" t="str">
            <v/>
          </cell>
          <cell r="C807" t="str">
            <v>CREMA PASTELERA (UND: 1 KILO)</v>
          </cell>
          <cell r="D807" t="str">
            <v>11400060</v>
          </cell>
          <cell r="E807"/>
          <cell r="F807"/>
          <cell r="G807"/>
          <cell r="H807"/>
          <cell r="I807">
            <v>1750</v>
          </cell>
          <cell r="J807">
            <v>0</v>
          </cell>
          <cell r="K807">
            <v>1000</v>
          </cell>
          <cell r="L807">
            <v>0</v>
          </cell>
          <cell r="M807" t="str">
            <v>Gramos</v>
          </cell>
        </row>
        <row r="808">
          <cell r="A808" t="str">
            <v>503000006</v>
          </cell>
          <cell r="B808" t="str">
            <v/>
          </cell>
          <cell r="C808" t="str">
            <v>BOLSA AL VACIO 10X15 UND</v>
          </cell>
          <cell r="D808" t="str">
            <v>503000006</v>
          </cell>
          <cell r="E808"/>
          <cell r="F808"/>
          <cell r="G808"/>
          <cell r="H808"/>
          <cell r="I808">
            <v>83</v>
          </cell>
          <cell r="J808">
            <v>0</v>
          </cell>
          <cell r="K808">
            <v>1</v>
          </cell>
          <cell r="L808">
            <v>0</v>
          </cell>
          <cell r="M808" t="str">
            <v>Und</v>
          </cell>
        </row>
        <row r="809">
          <cell r="A809" t="str">
            <v>10100161</v>
          </cell>
          <cell r="B809" t="str">
            <v/>
          </cell>
          <cell r="C809" t="str">
            <v>MERMELADA NARANJA UJARRAS (UND: 4.5 K)</v>
          </cell>
          <cell r="D809" t="str">
            <v>10100161</v>
          </cell>
          <cell r="E809"/>
          <cell r="F809"/>
          <cell r="G809"/>
          <cell r="H809"/>
          <cell r="I809"/>
          <cell r="J809">
            <v>0</v>
          </cell>
          <cell r="K809">
            <v>4500</v>
          </cell>
          <cell r="L809">
            <v>0</v>
          </cell>
          <cell r="M809"/>
        </row>
        <row r="810">
          <cell r="A810" t="str">
            <v>50400012</v>
          </cell>
          <cell r="B810" t="str">
            <v/>
          </cell>
          <cell r="C810" t="str">
            <v>CAJA QUEQUE NAVIDEÑO 700g (UNIDAD)</v>
          </cell>
          <cell r="D810" t="str">
            <v>50400012</v>
          </cell>
          <cell r="E810"/>
          <cell r="F810"/>
          <cell r="G810"/>
          <cell r="H810"/>
          <cell r="I810"/>
          <cell r="J810">
            <v>0</v>
          </cell>
          <cell r="K810"/>
          <cell r="L810" t="e">
            <v>#DIV/0!</v>
          </cell>
          <cell r="M810" t="str">
            <v>Und</v>
          </cell>
        </row>
        <row r="811">
          <cell r="A811" t="str">
            <v>11000008</v>
          </cell>
          <cell r="B811" t="str">
            <v/>
          </cell>
          <cell r="C811" t="str">
            <v>ORLA NAVIDEÑA GRANDE (UND)</v>
          </cell>
          <cell r="D811" t="str">
            <v>11000008</v>
          </cell>
          <cell r="E811"/>
          <cell r="F811"/>
          <cell r="G811"/>
          <cell r="H811"/>
          <cell r="I811">
            <v>140</v>
          </cell>
          <cell r="J811">
            <v>0</v>
          </cell>
          <cell r="K811">
            <v>1</v>
          </cell>
          <cell r="L811">
            <v>0</v>
          </cell>
          <cell r="M811" t="str">
            <v>und</v>
          </cell>
        </row>
        <row r="812">
          <cell r="A812" t="str">
            <v>1952393</v>
          </cell>
          <cell r="B812" t="str">
            <v/>
          </cell>
          <cell r="C812" t="str">
            <v>BOLSA AL VACIO 8*10 ( 100 * PAQ )</v>
          </cell>
          <cell r="D812" t="str">
            <v>1952393</v>
          </cell>
          <cell r="E812"/>
          <cell r="F812"/>
          <cell r="G812"/>
          <cell r="H812"/>
          <cell r="I812">
            <v>39</v>
          </cell>
          <cell r="J812">
            <v>0</v>
          </cell>
          <cell r="K812">
            <v>1</v>
          </cell>
          <cell r="L812">
            <v>0</v>
          </cell>
          <cell r="M812" t="str">
            <v>und</v>
          </cell>
        </row>
        <row r="813">
          <cell r="A813" t="str">
            <v>11000007</v>
          </cell>
          <cell r="B813" t="str">
            <v/>
          </cell>
          <cell r="C813" t="str">
            <v>ORLA NAVIDEÑA PEQUEÑA (UND)</v>
          </cell>
          <cell r="D813" t="str">
            <v>11000007</v>
          </cell>
          <cell r="E813"/>
          <cell r="F813"/>
          <cell r="G813"/>
          <cell r="H813"/>
          <cell r="I813">
            <v>57</v>
          </cell>
          <cell r="J813">
            <v>0</v>
          </cell>
          <cell r="K813">
            <v>1</v>
          </cell>
          <cell r="L813">
            <v>0</v>
          </cell>
          <cell r="M813" t="str">
            <v>und</v>
          </cell>
        </row>
        <row r="814">
          <cell r="A814" t="str">
            <v>50400031</v>
          </cell>
          <cell r="B814" t="str">
            <v/>
          </cell>
          <cell r="C814" t="str">
            <v>CAJA NAVIDEÑA PEQ</v>
          </cell>
          <cell r="D814" t="str">
            <v>50400031</v>
          </cell>
          <cell r="E814"/>
          <cell r="F814"/>
          <cell r="G814"/>
          <cell r="H814"/>
          <cell r="I814">
            <v>566</v>
          </cell>
          <cell r="J814">
            <v>0</v>
          </cell>
          <cell r="K814">
            <v>1</v>
          </cell>
          <cell r="L814">
            <v>0</v>
          </cell>
          <cell r="M814" t="str">
            <v>und</v>
          </cell>
        </row>
        <row r="815">
          <cell r="A815" t="str">
            <v>10100284</v>
          </cell>
          <cell r="B815" t="str">
            <v/>
          </cell>
          <cell r="C815" t="str">
            <v>CHILE MORRON ASADO (UND:2.9 K)</v>
          </cell>
          <cell r="D815" t="str">
            <v>10100284</v>
          </cell>
          <cell r="E815"/>
          <cell r="F815"/>
          <cell r="G815"/>
          <cell r="H815"/>
          <cell r="I815">
            <v>5450</v>
          </cell>
          <cell r="J815">
            <v>0</v>
          </cell>
          <cell r="K815">
            <v>2900</v>
          </cell>
          <cell r="L815">
            <v>0</v>
          </cell>
          <cell r="M815" t="str">
            <v>Gramos</v>
          </cell>
        </row>
        <row r="816">
          <cell r="A816" t="str">
            <v>1110372</v>
          </cell>
          <cell r="B816" t="str">
            <v/>
          </cell>
          <cell r="C816" t="str">
            <v>MANTEQUILLA MANI (2.27 Kg)</v>
          </cell>
          <cell r="D816" t="str">
            <v>1110372</v>
          </cell>
          <cell r="E816"/>
          <cell r="F816"/>
          <cell r="G816"/>
          <cell r="H816"/>
          <cell r="I816">
            <v>7736</v>
          </cell>
          <cell r="J816">
            <v>0</v>
          </cell>
          <cell r="K816">
            <v>2270</v>
          </cell>
          <cell r="L816">
            <v>0</v>
          </cell>
          <cell r="M816" t="str">
            <v>Gramos</v>
          </cell>
        </row>
        <row r="817">
          <cell r="A817" t="str">
            <v>109000136</v>
          </cell>
          <cell r="B817" t="str">
            <v/>
          </cell>
          <cell r="C817" t="str">
            <v>BANANO CONGELADO (PAQ: 3 KILOS)</v>
          </cell>
          <cell r="D817" t="str">
            <v>109000136</v>
          </cell>
          <cell r="E817"/>
          <cell r="F817"/>
          <cell r="G817"/>
          <cell r="I817">
            <v>3000</v>
          </cell>
          <cell r="J817">
            <v>0</v>
          </cell>
          <cell r="K817">
            <v>3000</v>
          </cell>
          <cell r="L817">
            <v>0</v>
          </cell>
          <cell r="M817" t="str">
            <v>Gramos</v>
          </cell>
        </row>
        <row r="818">
          <cell r="A818" t="str">
            <v>50100056</v>
          </cell>
          <cell r="B818" t="str">
            <v/>
          </cell>
          <cell r="C818" t="str">
            <v>CONTENEDOR PLASTICO FABRIKA 8oz/1/500</v>
          </cell>
          <cell r="D818" t="str">
            <v>50100056</v>
          </cell>
          <cell r="E818"/>
          <cell r="F818"/>
          <cell r="I818">
            <v>24912</v>
          </cell>
          <cell r="J818">
            <v>0</v>
          </cell>
          <cell r="K818">
            <v>500</v>
          </cell>
          <cell r="L818">
            <v>0</v>
          </cell>
          <cell r="M818" t="str">
            <v>und</v>
          </cell>
        </row>
        <row r="819">
          <cell r="A819" t="str">
            <v>50100055</v>
          </cell>
          <cell r="B819" t="str">
            <v/>
          </cell>
          <cell r="C819" t="str">
            <v>TAPA PLAST CONTENEDOR FABRIKA 8/16OZ/500</v>
          </cell>
          <cell r="D819" t="str">
            <v>50100055</v>
          </cell>
          <cell r="E819"/>
          <cell r="F819"/>
          <cell r="I819">
            <v>18041</v>
          </cell>
          <cell r="J819">
            <v>0</v>
          </cell>
          <cell r="K819">
            <v>500</v>
          </cell>
          <cell r="L819">
            <v>0</v>
          </cell>
          <cell r="M819" t="str">
            <v>und</v>
          </cell>
        </row>
        <row r="820">
          <cell r="A820" t="str">
            <v>106000006</v>
          </cell>
          <cell r="B820" t="str">
            <v/>
          </cell>
          <cell r="C820" t="str">
            <v>ENCURTIDO EN MOSTAZA (UND:960 G)</v>
          </cell>
          <cell r="D820" t="str">
            <v>106000006</v>
          </cell>
          <cell r="E820"/>
          <cell r="F820"/>
          <cell r="I820">
            <v>2590</v>
          </cell>
          <cell r="J820">
            <v>0</v>
          </cell>
          <cell r="K820">
            <v>960</v>
          </cell>
          <cell r="L820">
            <v>0</v>
          </cell>
          <cell r="M820" t="str">
            <v>Gramos</v>
          </cell>
        </row>
        <row r="821">
          <cell r="A821" t="str">
            <v>50700018</v>
          </cell>
          <cell r="B821" t="str">
            <v/>
          </cell>
          <cell r="C821" t="str">
            <v>COMBO PACK DOBLE USO 8 onz (CAJA:200 UN)</v>
          </cell>
          <cell r="D821" t="str">
            <v>50700018</v>
          </cell>
          <cell r="E821"/>
          <cell r="F821"/>
          <cell r="I821">
            <v>13985</v>
          </cell>
          <cell r="J821">
            <v>15627.5</v>
          </cell>
          <cell r="K821">
            <v>200</v>
          </cell>
          <cell r="L821">
            <v>78.137500000000003</v>
          </cell>
          <cell r="M821" t="str">
            <v>und</v>
          </cell>
        </row>
        <row r="822">
          <cell r="A822" t="str">
            <v>60100062</v>
          </cell>
          <cell r="B822" t="str">
            <v/>
          </cell>
          <cell r="C822" t="str">
            <v>ETIQUETA GALLETA MEDIA LUNA DARK ( UND)</v>
          </cell>
          <cell r="D822" t="str">
            <v>60100062</v>
          </cell>
          <cell r="E822"/>
          <cell r="F822"/>
          <cell r="I822">
            <v>42.5</v>
          </cell>
          <cell r="J822">
            <v>0</v>
          </cell>
          <cell r="K822">
            <v>1</v>
          </cell>
          <cell r="L822">
            <v>0</v>
          </cell>
          <cell r="M822" t="str">
            <v>und</v>
          </cell>
        </row>
        <row r="823">
          <cell r="A823" t="str">
            <v>10700045</v>
          </cell>
          <cell r="B823" t="str">
            <v/>
          </cell>
          <cell r="C823" t="str">
            <v>CHOCOLATE DARK MONEDAS (PAQ: 1 K)</v>
          </cell>
          <cell r="D823" t="str">
            <v>10700045</v>
          </cell>
          <cell r="E823"/>
          <cell r="F823"/>
          <cell r="G823"/>
          <cell r="I823">
            <v>9000</v>
          </cell>
          <cell r="J823">
            <v>9000</v>
          </cell>
          <cell r="K823">
            <v>1000</v>
          </cell>
          <cell r="L823">
            <v>9</v>
          </cell>
          <cell r="M823" t="str">
            <v>Gramos</v>
          </cell>
        </row>
      </sheetData>
      <sheetData sheetId="1" refreshError="1"/>
      <sheetData sheetId="2" refreshError="1">
        <row r="2">
          <cell r="A2" t="str">
            <v>20100115</v>
          </cell>
          <cell r="B2" t="str">
            <v>EMPAQ RELLENO DE FRESA ESPESA KILO</v>
          </cell>
          <cell r="C2" t="str">
            <v>ESP-RE-EMPS-195</v>
          </cell>
          <cell r="D2" t="str">
            <v>01</v>
          </cell>
          <cell r="E2" t="str">
            <v>Kilo</v>
          </cell>
          <cell r="F2" t="str">
            <v>Gramo</v>
          </cell>
          <cell r="G2">
            <v>1949.6412355246994</v>
          </cell>
          <cell r="H2">
            <v>1.9496412355246995</v>
          </cell>
          <cell r="I2">
            <v>17.530113019260611</v>
          </cell>
          <cell r="J2">
            <v>1.753011301926061E-2</v>
          </cell>
          <cell r="K2">
            <v>354.09084273791279</v>
          </cell>
          <cell r="L2">
            <v>0.3540908427379128</v>
          </cell>
          <cell r="M2">
            <v>2321.2621912818727</v>
          </cell>
        </row>
        <row r="3">
          <cell r="A3" t="str">
            <v>20100116</v>
          </cell>
          <cell r="B3" t="str">
            <v>EMPAQUE RELLENO DE FRESA  KILO</v>
          </cell>
          <cell r="C3" t="str">
            <v>ESP-RE-EMPS-194</v>
          </cell>
          <cell r="D3" t="str">
            <v>01</v>
          </cell>
          <cell r="E3" t="str">
            <v>Kilo</v>
          </cell>
          <cell r="F3" t="str">
            <v>Gramo</v>
          </cell>
          <cell r="G3">
            <v>1939.3541520052427</v>
          </cell>
          <cell r="H3">
            <v>1.9393541520052426</v>
          </cell>
          <cell r="I3">
            <v>17.526098393150953</v>
          </cell>
          <cell r="J3">
            <v>1.7526098393150953E-2</v>
          </cell>
          <cell r="K3">
            <v>352.23844507171083</v>
          </cell>
          <cell r="L3">
            <v>0.35223844507171082</v>
          </cell>
          <cell r="M3">
            <v>2309.1186954701043</v>
          </cell>
        </row>
        <row r="4">
          <cell r="A4" t="str">
            <v>20100117</v>
          </cell>
          <cell r="B4" t="str">
            <v>EMPAQUE TOPING MELO KILO</v>
          </cell>
          <cell r="C4" t="str">
            <v>ESP-RE-EMPS-197</v>
          </cell>
          <cell r="D4" t="str">
            <v>01</v>
          </cell>
          <cell r="E4" t="str">
            <v>Kilo</v>
          </cell>
          <cell r="F4" t="str">
            <v>Gramo</v>
          </cell>
          <cell r="G4">
            <v>2169.3709645769231</v>
          </cell>
          <cell r="H4">
            <v>2.169370964576923</v>
          </cell>
          <cell r="I4">
            <v>18.192522657452383</v>
          </cell>
          <cell r="J4">
            <v>1.8192522657452383E-2</v>
          </cell>
          <cell r="K4">
            <v>393.76142770218752</v>
          </cell>
          <cell r="L4">
            <v>0.39376142770218753</v>
          </cell>
          <cell r="M4">
            <v>2581.3249149365629</v>
          </cell>
        </row>
        <row r="5">
          <cell r="A5" t="str">
            <v>20400102</v>
          </cell>
          <cell r="B5" t="str">
            <v>OLLA DE CARNE FAS</v>
          </cell>
          <cell r="C5" t="str">
            <v xml:space="preserve">ESP-RE-COCS-176 </v>
          </cell>
          <cell r="D5" t="str">
            <v>03</v>
          </cell>
          <cell r="E5" t="str">
            <v>Kilo</v>
          </cell>
          <cell r="F5" t="str">
            <v>Gramo</v>
          </cell>
          <cell r="G5">
            <v>2172.2939650000003</v>
          </cell>
          <cell r="H5">
            <v>2.1722939650000002</v>
          </cell>
          <cell r="I5">
            <v>1.2689600000000002E-2</v>
          </cell>
          <cell r="J5">
            <v>1.2689600000000003E-5</v>
          </cell>
          <cell r="K5">
            <v>391.01519782800005</v>
          </cell>
          <cell r="L5">
            <v>0.39101519782800004</v>
          </cell>
          <cell r="M5">
            <v>2563.3218524280005</v>
          </cell>
        </row>
        <row r="6">
          <cell r="A6" t="str">
            <v>20500039</v>
          </cell>
          <cell r="B6" t="str">
            <v>EMPAQUE RELLENO MELO CON TOPING KILO</v>
          </cell>
          <cell r="C6" t="str">
            <v xml:space="preserve">ESP-RE-POS-199  </v>
          </cell>
          <cell r="D6" t="str">
            <v>02</v>
          </cell>
          <cell r="E6" t="str">
            <v>Kilo</v>
          </cell>
          <cell r="F6" t="str">
            <v>Gramo</v>
          </cell>
          <cell r="G6">
            <v>3650.4961688698349</v>
          </cell>
          <cell r="H6">
            <v>3.650496168869835</v>
          </cell>
          <cell r="I6">
            <v>3.9077118168688711</v>
          </cell>
          <cell r="J6">
            <v>3.9077118168688715E-3</v>
          </cell>
          <cell r="K6">
            <v>657.79269852360665</v>
          </cell>
          <cell r="L6">
            <v>0.65779269852360667</v>
          </cell>
          <cell r="M6">
            <v>4312.1965792103101</v>
          </cell>
        </row>
        <row r="7">
          <cell r="A7" t="str">
            <v>302000073</v>
          </cell>
          <cell r="B7" t="str">
            <v>EMP SALSA ROJA ECONOMICA 3000G FAS</v>
          </cell>
          <cell r="C7" t="str">
            <v>ESP-RE-EMPF-015</v>
          </cell>
          <cell r="D7" t="str">
            <v>01</v>
          </cell>
          <cell r="E7" t="str">
            <v>Kilo</v>
          </cell>
          <cell r="F7" t="str">
            <v>Gramo</v>
          </cell>
          <cell r="G7">
            <v>74.698656974358983</v>
          </cell>
          <cell r="H7">
            <v>7.4698656974358985E-2</v>
          </cell>
          <cell r="I7">
            <v>5.7822429714285715</v>
          </cell>
          <cell r="J7">
            <v>5.7822429714285712E-3</v>
          </cell>
          <cell r="K7">
            <v>14.486561990241759</v>
          </cell>
          <cell r="L7">
            <v>1.4486561990241759E-2</v>
          </cell>
          <cell r="M7">
            <v>94.967461936029309</v>
          </cell>
        </row>
        <row r="8">
          <cell r="A8" t="str">
            <v>901000001</v>
          </cell>
          <cell r="B8" t="str">
            <v>RELLENO CARNE P/LASAÑA BUCCA KILO</v>
          </cell>
          <cell r="C8" t="str">
            <v>ESP-RE-COCS-172</v>
          </cell>
          <cell r="D8" t="str">
            <v>02</v>
          </cell>
          <cell r="E8" t="str">
            <v>Kilo</v>
          </cell>
          <cell r="F8" t="str">
            <v>Gramo</v>
          </cell>
          <cell r="G8">
            <v>2894.9318021452368</v>
          </cell>
          <cell r="H8">
            <v>2.8949318021452366</v>
          </cell>
          <cell r="I8">
            <v>2.9771595809523808</v>
          </cell>
          <cell r="J8">
            <v>2.9771595809523809E-3</v>
          </cell>
          <cell r="K8">
            <v>521.62361311071402</v>
          </cell>
          <cell r="L8">
            <v>0.52162361311071404</v>
          </cell>
          <cell r="M8">
            <v>3419.5325748369032</v>
          </cell>
        </row>
        <row r="9">
          <cell r="A9" t="str">
            <v>901000005</v>
          </cell>
          <cell r="B9" t="str">
            <v>PREMEZCLA P/BATIDO CHOCO PASTELERO KILO</v>
          </cell>
          <cell r="C9" t="str">
            <v>ESP-RE-PRES-005</v>
          </cell>
          <cell r="D9" t="str">
            <v>03</v>
          </cell>
          <cell r="E9" t="str">
            <v>Kilo</v>
          </cell>
          <cell r="F9" t="str">
            <v>Gramo</v>
          </cell>
          <cell r="G9">
            <v>1357.0566029411766</v>
          </cell>
          <cell r="H9">
            <v>1.3570566029411766</v>
          </cell>
          <cell r="I9">
            <v>8.6732172909083793</v>
          </cell>
          <cell r="J9">
            <v>8.6732172909083794E-3</v>
          </cell>
          <cell r="K9">
            <v>245.83136764177527</v>
          </cell>
          <cell r="L9">
            <v>0.24583136764177527</v>
          </cell>
          <cell r="M9">
            <v>1611.56118787386</v>
          </cell>
        </row>
        <row r="10">
          <cell r="A10" t="str">
            <v>901000015</v>
          </cell>
          <cell r="B10" t="str">
            <v>PREMEZCLA SUSPIRO CLARAS DESHID KILO</v>
          </cell>
          <cell r="C10" t="str">
            <v/>
          </cell>
          <cell r="D10" t="str">
            <v>08</v>
          </cell>
          <cell r="E10" t="str">
            <v>Kilo</v>
          </cell>
          <cell r="F10" t="str">
            <v>Gramo</v>
          </cell>
          <cell r="G10">
            <v>2872.2691955238897</v>
          </cell>
          <cell r="H10">
            <v>2.8722691955238897</v>
          </cell>
          <cell r="I10">
            <v>1.7966666666666666</v>
          </cell>
          <cell r="J10">
            <v>1.7966666666666667E-3</v>
          </cell>
          <cell r="K10">
            <v>517.33185519430015</v>
          </cell>
          <cell r="L10">
            <v>0.51733185519430014</v>
          </cell>
          <cell r="M10">
            <v>3391.3977173848566</v>
          </cell>
        </row>
        <row r="11">
          <cell r="A11" t="str">
            <v>901000019</v>
          </cell>
          <cell r="B11" t="str">
            <v>PREMEZCLA P/BATIDO TAMALES KILO</v>
          </cell>
          <cell r="C11" t="str">
            <v xml:space="preserve">ESP-RE-PRES-019 </v>
          </cell>
          <cell r="D11" t="str">
            <v>10</v>
          </cell>
          <cell r="E11" t="str">
            <v>Kilo</v>
          </cell>
          <cell r="F11" t="str">
            <v>Gramo</v>
          </cell>
          <cell r="G11">
            <v>650.20895657798246</v>
          </cell>
          <cell r="H11">
            <v>0.6502089565779825</v>
          </cell>
          <cell r="I11">
            <v>8.0011161209722932</v>
          </cell>
          <cell r="J11">
            <v>8.0011161209722938E-3</v>
          </cell>
          <cell r="K11">
            <v>118.47781308581185</v>
          </cell>
          <cell r="L11">
            <v>0.11847781308581185</v>
          </cell>
          <cell r="M11">
            <v>776.68788578476654</v>
          </cell>
        </row>
        <row r="12">
          <cell r="A12" t="str">
            <v>901000020</v>
          </cell>
          <cell r="B12" t="str">
            <v>PREMEZCLA P/GALLETA FIGURA</v>
          </cell>
          <cell r="C12" t="str">
            <v xml:space="preserve">ESP-RE-PRES-020 </v>
          </cell>
          <cell r="D12" t="str">
            <v>09</v>
          </cell>
          <cell r="E12" t="str">
            <v>Kilo</v>
          </cell>
          <cell r="F12" t="str">
            <v>Gramo</v>
          </cell>
          <cell r="G12">
            <v>906.89651051130204</v>
          </cell>
          <cell r="H12">
            <v>0.90689651051130205</v>
          </cell>
          <cell r="I12">
            <v>2.6623333333333332</v>
          </cell>
          <cell r="J12">
            <v>2.6623333333333334E-3</v>
          </cell>
          <cell r="K12">
            <v>163.72059189203435</v>
          </cell>
          <cell r="L12">
            <v>0.16372059189203436</v>
          </cell>
          <cell r="M12">
            <v>1073.2794357366697</v>
          </cell>
        </row>
        <row r="13">
          <cell r="A13" t="str">
            <v>901000021</v>
          </cell>
          <cell r="B13" t="str">
            <v>PREMEZCLA P/GALLETAS MEDIA LUNA KILO</v>
          </cell>
          <cell r="C13" t="str">
            <v xml:space="preserve">ESP-RE-PRES-021 </v>
          </cell>
          <cell r="D13" t="str">
            <v>06</v>
          </cell>
          <cell r="E13" t="str">
            <v>Kilo</v>
          </cell>
          <cell r="F13" t="str">
            <v>Gramo</v>
          </cell>
          <cell r="G13">
            <v>1139.1086497044425</v>
          </cell>
          <cell r="H13">
            <v>1.1391086497044425</v>
          </cell>
          <cell r="I13">
            <v>17.495226042137656</v>
          </cell>
          <cell r="J13">
            <v>1.7495226042137657E-2</v>
          </cell>
          <cell r="K13">
            <v>208.18869763438443</v>
          </cell>
          <cell r="L13">
            <v>0.20818869763438441</v>
          </cell>
          <cell r="M13">
            <v>1364.7925733809645</v>
          </cell>
        </row>
        <row r="14">
          <cell r="A14" t="str">
            <v>901000022</v>
          </cell>
          <cell r="B14" t="str">
            <v>PREMEZCLA BATIDO SOUFFLE KILO</v>
          </cell>
          <cell r="C14" t="str">
            <v xml:space="preserve">ESP-RE-PRES-022 </v>
          </cell>
          <cell r="D14" t="str">
            <v>01</v>
          </cell>
          <cell r="E14" t="str">
            <v>Kilo</v>
          </cell>
          <cell r="F14" t="str">
            <v>Gramo</v>
          </cell>
          <cell r="G14">
            <v>2213.1788399071929</v>
          </cell>
          <cell r="H14">
            <v>2.2131788399071928</v>
          </cell>
          <cell r="I14">
            <v>2.7068832173240529</v>
          </cell>
          <cell r="J14">
            <v>2.7068832173240531E-3</v>
          </cell>
          <cell r="K14">
            <v>398.85943016241305</v>
          </cell>
          <cell r="L14">
            <v>0.39885943016241304</v>
          </cell>
          <cell r="M14">
            <v>2614.74515328693</v>
          </cell>
        </row>
        <row r="15">
          <cell r="A15" t="str">
            <v>901000024</v>
          </cell>
          <cell r="B15" t="str">
            <v>PREMEZCLA P/PASTA HOJALDRE KILO</v>
          </cell>
          <cell r="C15" t="str">
            <v>ESP-RE-PRES-024</v>
          </cell>
          <cell r="D15" t="str">
            <v>06</v>
          </cell>
          <cell r="E15" t="str">
            <v>Kilo</v>
          </cell>
          <cell r="F15" t="str">
            <v>Gramo</v>
          </cell>
          <cell r="G15">
            <v>955.81877142103883</v>
          </cell>
          <cell r="H15">
            <v>0.95581877142103888</v>
          </cell>
          <cell r="I15">
            <v>5.2697324645650507</v>
          </cell>
          <cell r="J15">
            <v>5.2697324645650506E-3</v>
          </cell>
          <cell r="K15">
            <v>172.99593069940869</v>
          </cell>
          <cell r="L15">
            <v>0.17299593069940869</v>
          </cell>
          <cell r="M15">
            <v>1134.0844345850126</v>
          </cell>
        </row>
        <row r="16">
          <cell r="A16" t="str">
            <v>901000025</v>
          </cell>
          <cell r="B16" t="str">
            <v>HUMUS GARBANZO KILO</v>
          </cell>
          <cell r="C16" t="str">
            <v>ESP-RE-COFS-057</v>
          </cell>
          <cell r="D16" t="str">
            <v>03</v>
          </cell>
          <cell r="E16" t="str">
            <v>Kilo</v>
          </cell>
          <cell r="F16" t="str">
            <v>Gramo</v>
          </cell>
          <cell r="G16">
            <v>1402.4782408590308</v>
          </cell>
          <cell r="H16">
            <v>1.4024782408590308</v>
          </cell>
          <cell r="I16">
            <v>15.247467862500002</v>
          </cell>
          <cell r="J16">
            <v>1.5247467862500003E-2</v>
          </cell>
          <cell r="K16">
            <v>255.19062756987552</v>
          </cell>
          <cell r="L16">
            <v>0.25519062756987554</v>
          </cell>
          <cell r="M16">
            <v>1672.9163362914062</v>
          </cell>
        </row>
        <row r="17">
          <cell r="A17" t="str">
            <v>901000033</v>
          </cell>
          <cell r="B17" t="str">
            <v>PREMEZCLA SUPER ESPONJA CARAMELO KILO</v>
          </cell>
          <cell r="C17" t="str">
            <v xml:space="preserve">ESP-RE-PRES-034 </v>
          </cell>
          <cell r="D17" t="str">
            <v>05</v>
          </cell>
          <cell r="E17" t="str">
            <v>Kilo</v>
          </cell>
          <cell r="F17" t="str">
            <v>Gramo</v>
          </cell>
          <cell r="G17">
            <v>1743.6379999999999</v>
          </cell>
          <cell r="H17">
            <v>1.743638</v>
          </cell>
          <cell r="I17">
            <v>52.656906187624749</v>
          </cell>
          <cell r="J17">
            <v>5.2656906187624745E-2</v>
          </cell>
          <cell r="K17">
            <v>323.33308311377243</v>
          </cell>
          <cell r="L17">
            <v>0.32333308311377246</v>
          </cell>
          <cell r="M17">
            <v>2119.6279893013971</v>
          </cell>
        </row>
        <row r="18">
          <cell r="A18" t="str">
            <v>901000051</v>
          </cell>
          <cell r="B18" t="str">
            <v>PREMEZCLA PASTA PIÑA SPOON KILO</v>
          </cell>
          <cell r="C18" t="str">
            <v>ESP-RE-PRES-055</v>
          </cell>
          <cell r="D18" t="str">
            <v>01</v>
          </cell>
          <cell r="E18" t="str">
            <v>Kilo</v>
          </cell>
          <cell r="F18" t="str">
            <v>Gramo</v>
          </cell>
          <cell r="G18">
            <v>938.90079985404805</v>
          </cell>
          <cell r="H18">
            <v>0.93890079985404806</v>
          </cell>
          <cell r="I18">
            <v>6.8288356771823144</v>
          </cell>
          <cell r="J18">
            <v>6.8288356771823147E-3</v>
          </cell>
          <cell r="K18">
            <v>170.23133439562145</v>
          </cell>
          <cell r="L18">
            <v>0.17023133439562144</v>
          </cell>
          <cell r="M18">
            <v>1115.9609699268517</v>
          </cell>
        </row>
        <row r="19">
          <cell r="A19" t="str">
            <v>901000081</v>
          </cell>
          <cell r="B19" t="str">
            <v>ADOBO PECHUGA PARRILLA KILO</v>
          </cell>
          <cell r="C19" t="str">
            <v>ESP-RE-COCS-052</v>
          </cell>
          <cell r="D19" t="str">
            <v>10</v>
          </cell>
          <cell r="E19" t="str">
            <v>Kilo</v>
          </cell>
          <cell r="F19" t="str">
            <v>Gramo</v>
          </cell>
          <cell r="G19">
            <v>2658.0325418832772</v>
          </cell>
          <cell r="H19">
            <v>2.6580325418832773</v>
          </cell>
          <cell r="I19">
            <v>7.3431699122998655</v>
          </cell>
          <cell r="J19">
            <v>7.3431699122998651E-3</v>
          </cell>
          <cell r="K19">
            <v>479.76762812320385</v>
          </cell>
          <cell r="L19">
            <v>0.47976762812320384</v>
          </cell>
          <cell r="M19">
            <v>3145.1433399187808</v>
          </cell>
        </row>
        <row r="20">
          <cell r="A20" t="str">
            <v>901000084</v>
          </cell>
          <cell r="B20" t="str">
            <v>COCCCION CREMA DE AYOTE KILO</v>
          </cell>
          <cell r="C20" t="str">
            <v>ESP-RE-COCS-208</v>
          </cell>
          <cell r="D20" t="str">
            <v>13</v>
          </cell>
          <cell r="E20" t="str">
            <v>Kilo</v>
          </cell>
          <cell r="F20" t="str">
            <v>Gramo</v>
          </cell>
          <cell r="G20">
            <v>1548.4602280798583</v>
          </cell>
          <cell r="H20">
            <v>1.5484602280798583</v>
          </cell>
          <cell r="I20">
            <v>5.5348829312598813</v>
          </cell>
          <cell r="J20">
            <v>5.5348829312598814E-3</v>
          </cell>
          <cell r="K20">
            <v>279.7191199820013</v>
          </cell>
          <cell r="L20">
            <v>0.27971911998200133</v>
          </cell>
          <cell r="M20">
            <v>1833.7142309931196</v>
          </cell>
        </row>
        <row r="21">
          <cell r="A21" t="str">
            <v>901000090</v>
          </cell>
          <cell r="B21" t="str">
            <v>ADEREZO ROSADO KILO</v>
          </cell>
          <cell r="C21" t="str">
            <v>ESP-RE-COFS-025</v>
          </cell>
          <cell r="D21" t="str">
            <v>02</v>
          </cell>
          <cell r="E21" t="str">
            <v>Kilo</v>
          </cell>
          <cell r="F21" t="str">
            <v>Gramo</v>
          </cell>
          <cell r="G21">
            <v>975.32413261801537</v>
          </cell>
          <cell r="H21">
            <v>0.97532413261801532</v>
          </cell>
          <cell r="I21">
            <v>9.2341961955505525</v>
          </cell>
          <cell r="J21">
            <v>9.2341961955505533E-3</v>
          </cell>
          <cell r="K21">
            <v>177.22049918644186</v>
          </cell>
          <cell r="L21">
            <v>0.17722049918644187</v>
          </cell>
          <cell r="M21">
            <v>1161.7788280000077</v>
          </cell>
        </row>
        <row r="22">
          <cell r="A22" t="str">
            <v>901000110</v>
          </cell>
          <cell r="B22" t="str">
            <v>RELLENO DE POLLO Y CEBOLLA KILO STB</v>
          </cell>
          <cell r="C22" t="str">
            <v>ESP-RE-COFF-064</v>
          </cell>
          <cell r="D22" t="str">
            <v>01</v>
          </cell>
          <cell r="E22" t="str">
            <v>Kilo</v>
          </cell>
          <cell r="F22" t="str">
            <v>Gramo</v>
          </cell>
          <cell r="G22">
            <v>4085.5321809020488</v>
          </cell>
          <cell r="H22">
            <v>4.0855321809020486</v>
          </cell>
          <cell r="I22">
            <v>60.157862702323911</v>
          </cell>
          <cell r="J22">
            <v>6.0157862702323914E-2</v>
          </cell>
          <cell r="K22">
            <v>746.22420784878705</v>
          </cell>
          <cell r="L22">
            <v>0.74622420784878707</v>
          </cell>
          <cell r="M22">
            <v>4891.9142514531595</v>
          </cell>
        </row>
        <row r="23">
          <cell r="A23" t="str">
            <v>901000112</v>
          </cell>
          <cell r="B23" t="str">
            <v>COCCION PICADILLO PLATANO CON CHORIZO KILO</v>
          </cell>
          <cell r="C23" t="str">
            <v>ESP-RE-COCS-141</v>
          </cell>
          <cell r="D23" t="str">
            <v>03</v>
          </cell>
          <cell r="E23" t="str">
            <v>Kilo</v>
          </cell>
          <cell r="F23" t="str">
            <v>Gramo</v>
          </cell>
          <cell r="G23">
            <v>1920.2452025208677</v>
          </cell>
          <cell r="H23">
            <v>1.9202452025208676</v>
          </cell>
          <cell r="I23">
            <v>0</v>
          </cell>
          <cell r="J23">
            <v>0</v>
          </cell>
          <cell r="K23">
            <v>345.64413645375618</v>
          </cell>
          <cell r="L23">
            <v>0.34564413645375619</v>
          </cell>
          <cell r="M23">
            <v>2265.889338974624</v>
          </cell>
        </row>
        <row r="24">
          <cell r="A24" t="str">
            <v>901000142</v>
          </cell>
          <cell r="B24" t="str">
            <v>SALSA BLANCA DE HONGOS PARA LOMO FAS</v>
          </cell>
          <cell r="C24" t="str">
            <v xml:space="preserve">ESP-RE-COCS-167 </v>
          </cell>
          <cell r="D24" t="str">
            <v>02</v>
          </cell>
          <cell r="E24" t="str">
            <v>Kilo</v>
          </cell>
          <cell r="F24" t="str">
            <v>Gramo</v>
          </cell>
          <cell r="G24">
            <v>1609.7571692307695</v>
          </cell>
          <cell r="H24">
            <v>1.6097571692307695</v>
          </cell>
          <cell r="I24">
            <v>7.251200000000001E-3</v>
          </cell>
          <cell r="J24">
            <v>7.251200000000001E-6</v>
          </cell>
          <cell r="K24">
            <v>289.75759567753846</v>
          </cell>
          <cell r="L24">
            <v>0.28975759567753845</v>
          </cell>
          <cell r="M24">
            <v>1899.522016108308</v>
          </cell>
        </row>
        <row r="25">
          <cell r="A25" t="str">
            <v>901000145</v>
          </cell>
          <cell r="B25" t="str">
            <v>POLLO MECHADO FAS (KILO)</v>
          </cell>
          <cell r="C25" t="str">
            <v>ESP-RE-COCS-171</v>
          </cell>
          <cell r="D25" t="str">
            <v>01</v>
          </cell>
          <cell r="E25" t="str">
            <v>Kilo</v>
          </cell>
          <cell r="F25" t="str">
            <v>Gramo</v>
          </cell>
          <cell r="G25">
            <v>2273.6338869585625</v>
          </cell>
          <cell r="H25">
            <v>2.2736338869585624</v>
          </cell>
          <cell r="I25">
            <v>3.8896363817239297</v>
          </cell>
          <cell r="J25">
            <v>3.8896363817239295E-3</v>
          </cell>
          <cell r="K25">
            <v>409.95423420125155</v>
          </cell>
          <cell r="L25">
            <v>0.40995423420125154</v>
          </cell>
          <cell r="M25">
            <v>2687.4777575415378</v>
          </cell>
        </row>
        <row r="26">
          <cell r="A26" t="str">
            <v>901000147</v>
          </cell>
          <cell r="B26" t="str">
            <v>ARROZ CANTONES FAS KILO</v>
          </cell>
          <cell r="C26" t="str">
            <v xml:space="preserve">ESP-RE-COCS-174 </v>
          </cell>
          <cell r="D26" t="str">
            <v>05</v>
          </cell>
          <cell r="E26" t="str">
            <v>Kilo</v>
          </cell>
          <cell r="F26" t="str">
            <v>Gramo</v>
          </cell>
          <cell r="G26">
            <v>1336.2699084964981</v>
          </cell>
          <cell r="H26">
            <v>1.3362699084964982</v>
          </cell>
          <cell r="I26">
            <v>26.261076083127865</v>
          </cell>
          <cell r="J26">
            <v>2.6261076083127863E-2</v>
          </cell>
          <cell r="K26">
            <v>245.25557722433265</v>
          </cell>
          <cell r="L26">
            <v>0.24525557722433267</v>
          </cell>
          <cell r="M26">
            <v>1607.7865618039586</v>
          </cell>
        </row>
        <row r="27">
          <cell r="A27" t="str">
            <v>90100015</v>
          </cell>
          <cell r="B27" t="str">
            <v>RELLENO POLLO BUCCA P/PASTEL KILO</v>
          </cell>
          <cell r="C27" t="str">
            <v>ESP-RE-COCS-169</v>
          </cell>
          <cell r="D27" t="str">
            <v>02</v>
          </cell>
          <cell r="E27" t="str">
            <v>Kilo</v>
          </cell>
          <cell r="F27" t="str">
            <v>Gramo</v>
          </cell>
          <cell r="G27">
            <v>2671.0632072904891</v>
          </cell>
          <cell r="H27">
            <v>2.671063207290489</v>
          </cell>
          <cell r="I27">
            <v>9.2296894379805234</v>
          </cell>
          <cell r="J27">
            <v>9.2296894379805226E-3</v>
          </cell>
          <cell r="K27">
            <v>482.45272141112451</v>
          </cell>
          <cell r="L27">
            <v>0.4824527214111245</v>
          </cell>
          <cell r="M27">
            <v>3162.7456181395942</v>
          </cell>
        </row>
        <row r="28">
          <cell r="A28" t="str">
            <v>901000156</v>
          </cell>
          <cell r="B28" t="str">
            <v>CREMA CHANTILLY TOP CREAM CHOCOLATE</v>
          </cell>
          <cell r="C28" t="str">
            <v xml:space="preserve">ESP-RE-DES-047 </v>
          </cell>
          <cell r="D28" t="str">
            <v>03</v>
          </cell>
          <cell r="E28" t="str">
            <v>Kilo</v>
          </cell>
          <cell r="F28" t="str">
            <v>Gramo</v>
          </cell>
          <cell r="G28">
            <v>2534.2812306425722</v>
          </cell>
          <cell r="H28">
            <v>2.5342812306425722</v>
          </cell>
          <cell r="I28">
            <v>2.3875190384061249E-2</v>
          </cell>
          <cell r="J28">
            <v>2.3875190384061249E-5</v>
          </cell>
          <cell r="K28">
            <v>456.1749190499321</v>
          </cell>
          <cell r="L28">
            <v>0.45617491904993213</v>
          </cell>
          <cell r="M28">
            <v>2990.4800248828883</v>
          </cell>
        </row>
        <row r="29">
          <cell r="A29" t="str">
            <v>901000165</v>
          </cell>
          <cell r="B29" t="str">
            <v>ADOBO PECHUGA RELLENA KILO</v>
          </cell>
          <cell r="C29" t="str">
            <v>ESP-RE-COCS-054</v>
          </cell>
          <cell r="D29" t="str">
            <v>10</v>
          </cell>
          <cell r="E29" t="str">
            <v>Kilo</v>
          </cell>
          <cell r="F29" t="str">
            <v>Gramo</v>
          </cell>
          <cell r="G29">
            <v>5988.7116022727269</v>
          </cell>
          <cell r="H29">
            <v>5.9887116022727271</v>
          </cell>
          <cell r="I29">
            <v>35.517727272727271</v>
          </cell>
          <cell r="J29">
            <v>3.551772727272727E-2</v>
          </cell>
          <cell r="K29">
            <v>1084.3612793181817</v>
          </cell>
          <cell r="L29">
            <v>1.0843612793181816</v>
          </cell>
          <cell r="M29">
            <v>7108.5906088636357</v>
          </cell>
        </row>
        <row r="30">
          <cell r="A30" t="str">
            <v>901000167</v>
          </cell>
          <cell r="B30" t="str">
            <v>POLLO RECORTE COCCION KILO</v>
          </cell>
          <cell r="C30" t="str">
            <v>ESP-RE-COCS-069</v>
          </cell>
          <cell r="D30" t="str">
            <v>05</v>
          </cell>
          <cell r="E30" t="str">
            <v>Kilo</v>
          </cell>
          <cell r="F30" t="str">
            <v>Gramo</v>
          </cell>
          <cell r="G30">
            <v>4255.5969303797465</v>
          </cell>
          <cell r="H30">
            <v>4.2555969303797463</v>
          </cell>
          <cell r="I30">
            <v>22.189240506329114</v>
          </cell>
          <cell r="J30">
            <v>2.2189240506329113E-2</v>
          </cell>
          <cell r="K30">
            <v>770.00151075949361</v>
          </cell>
          <cell r="L30">
            <v>0.77000151075949363</v>
          </cell>
          <cell r="M30">
            <v>5047.7876816455691</v>
          </cell>
        </row>
        <row r="31">
          <cell r="A31" t="str">
            <v>901000182</v>
          </cell>
          <cell r="B31" t="str">
            <v>ADEREZO CULANTRO KILO</v>
          </cell>
          <cell r="C31" t="str">
            <v>ESP-RE-COFS-056</v>
          </cell>
          <cell r="D31" t="str">
            <v>01</v>
          </cell>
          <cell r="E31" t="str">
            <v>Kilo</v>
          </cell>
          <cell r="F31" t="str">
            <v>Gramo</v>
          </cell>
          <cell r="G31" t="e">
            <v>#N/A</v>
          </cell>
          <cell r="H31" t="e">
            <v>#N/A</v>
          </cell>
          <cell r="I31">
            <v>15.207069488335563</v>
          </cell>
          <cell r="J31">
            <v>1.5207069488335563E-2</v>
          </cell>
          <cell r="K31" t="e">
            <v>#N/A</v>
          </cell>
          <cell r="L31" t="e">
            <v>#N/A</v>
          </cell>
          <cell r="M31" t="e">
            <v>#N/A</v>
          </cell>
        </row>
        <row r="32">
          <cell r="A32" t="str">
            <v>901000189</v>
          </cell>
          <cell r="B32" t="str">
            <v>EMPAQUE PAPA TAMAL (KILO)</v>
          </cell>
          <cell r="C32" t="str">
            <v>ESP-RE-EMPS-126</v>
          </cell>
          <cell r="D32" t="str">
            <v>02</v>
          </cell>
          <cell r="E32" t="str">
            <v>Kilo</v>
          </cell>
          <cell r="F32" t="str">
            <v>Gramo</v>
          </cell>
          <cell r="G32" t="e">
            <v>#N/A</v>
          </cell>
          <cell r="H32" t="e">
            <v>#N/A</v>
          </cell>
          <cell r="I32" t="e">
            <v>#N/A</v>
          </cell>
          <cell r="J32" t="e">
            <v>#N/A</v>
          </cell>
          <cell r="K32" t="e">
            <v>#N/A</v>
          </cell>
          <cell r="L32" t="e">
            <v>#N/A</v>
          </cell>
          <cell r="M32" t="e">
            <v>#N/A</v>
          </cell>
        </row>
        <row r="33">
          <cell r="A33" t="str">
            <v>901000199</v>
          </cell>
          <cell r="B33" t="str">
            <v>EMPAQUE SALSA BLANCA SPOON KILO</v>
          </cell>
          <cell r="C33" t="str">
            <v xml:space="preserve">ESP-RE-EMPS-013 </v>
          </cell>
          <cell r="D33" t="str">
            <v>01</v>
          </cell>
          <cell r="E33" t="str">
            <v>Kilo</v>
          </cell>
          <cell r="F33" t="str">
            <v>Gramo</v>
          </cell>
          <cell r="G33">
            <v>1408.7496497328627</v>
          </cell>
          <cell r="H33">
            <v>1.4087496497328627</v>
          </cell>
          <cell r="I33">
            <v>10.59276419047619</v>
          </cell>
          <cell r="J33">
            <v>1.059276419047619E-2</v>
          </cell>
          <cell r="K33">
            <v>255.48163450620098</v>
          </cell>
          <cell r="L33">
            <v>0.25548163450620098</v>
          </cell>
          <cell r="M33">
            <v>1674.8240484295397</v>
          </cell>
        </row>
        <row r="34">
          <cell r="A34" t="str">
            <v>901000200</v>
          </cell>
          <cell r="B34" t="str">
            <v>MAYONESA SPOON PLANTA KILO</v>
          </cell>
          <cell r="C34" t="str">
            <v>ESP-RE-COCS-064</v>
          </cell>
          <cell r="D34" t="str">
            <v>04</v>
          </cell>
          <cell r="E34" t="str">
            <v>Kilo</v>
          </cell>
          <cell r="F34" t="str">
            <v>Gramo</v>
          </cell>
          <cell r="G34">
            <v>1448.4863418449668</v>
          </cell>
          <cell r="H34">
            <v>1.4484863418449667</v>
          </cell>
          <cell r="I34">
            <v>2.2269327807486632</v>
          </cell>
          <cell r="J34">
            <v>2.2269327807486632E-3</v>
          </cell>
          <cell r="K34">
            <v>261.12838943262875</v>
          </cell>
          <cell r="L34">
            <v>0.26112838943262873</v>
          </cell>
          <cell r="M34">
            <v>1711.8416640583441</v>
          </cell>
        </row>
        <row r="35">
          <cell r="A35" t="str">
            <v>901000204</v>
          </cell>
          <cell r="B35" t="str">
            <v>TIQUEÑOS DE QUESO UND</v>
          </cell>
          <cell r="C35" t="str">
            <v>ESP-RE-COCS-214</v>
          </cell>
          <cell r="D35" t="str">
            <v>03</v>
          </cell>
          <cell r="E35" t="str">
            <v>Und</v>
          </cell>
          <cell r="F35" t="str">
            <v>Und</v>
          </cell>
          <cell r="G35">
            <v>58.103739170086641</v>
          </cell>
          <cell r="H35">
            <v>58.103739170086641</v>
          </cell>
          <cell r="I35">
            <v>1.460407694516222E-2</v>
          </cell>
          <cell r="J35">
            <v>1.460407694516222E-2</v>
          </cell>
          <cell r="K35">
            <v>10.461301784465723</v>
          </cell>
          <cell r="L35">
            <v>10.461301784465723</v>
          </cell>
          <cell r="M35">
            <v>68.57964503149752</v>
          </cell>
        </row>
        <row r="36">
          <cell r="A36" t="str">
            <v>90100030</v>
          </cell>
          <cell r="B36" t="str">
            <v>COCCION CARNE MECHADA FAS KILO</v>
          </cell>
          <cell r="C36" t="str">
            <v xml:space="preserve">ESP-RE-COCS-162 </v>
          </cell>
          <cell r="D36" t="str">
            <v>01</v>
          </cell>
          <cell r="E36" t="str">
            <v>Kilo</v>
          </cell>
          <cell r="F36" t="str">
            <v>Gramo</v>
          </cell>
          <cell r="G36">
            <v>2929.9315313494058</v>
          </cell>
          <cell r="H36">
            <v>2.9299315313494056</v>
          </cell>
          <cell r="I36">
            <v>3.0823203156957577</v>
          </cell>
          <cell r="J36">
            <v>3.0823203156957577E-3</v>
          </cell>
          <cell r="K36">
            <v>527.94249329971819</v>
          </cell>
          <cell r="L36">
            <v>0.52794249329971821</v>
          </cell>
          <cell r="M36">
            <v>3460.9563449648194</v>
          </cell>
        </row>
        <row r="37">
          <cell r="A37" t="str">
            <v>90100034</v>
          </cell>
          <cell r="B37" t="str">
            <v>SALSA PARA COSTILLA KILO</v>
          </cell>
          <cell r="C37" t="str">
            <v xml:space="preserve">ESP-RE-COCS-166 </v>
          </cell>
          <cell r="D37" t="str">
            <v>01</v>
          </cell>
          <cell r="E37" t="str">
            <v>Kilo</v>
          </cell>
          <cell r="F37" t="str">
            <v>Gramo</v>
          </cell>
          <cell r="G37">
            <v>478.85473583333334</v>
          </cell>
          <cell r="H37">
            <v>0.47885473583333332</v>
          </cell>
          <cell r="I37">
            <v>0.21686335238095236</v>
          </cell>
          <cell r="J37">
            <v>2.1686335238095235E-4</v>
          </cell>
          <cell r="K37">
            <v>86.232887853428565</v>
          </cell>
          <cell r="L37">
            <v>8.6232887853428558E-2</v>
          </cell>
          <cell r="M37">
            <v>565.30448703914283</v>
          </cell>
        </row>
        <row r="38">
          <cell r="A38" t="str">
            <v>90100052</v>
          </cell>
          <cell r="B38" t="str">
            <v>CANE CERDO P/TAMAL EMPAQ KILO</v>
          </cell>
          <cell r="C38" t="str">
            <v>ESP-RE-EMPS-093</v>
          </cell>
          <cell r="D38" t="str">
            <v>02</v>
          </cell>
          <cell r="E38" t="str">
            <v>Kilo</v>
          </cell>
          <cell r="F38" t="str">
            <v>Gramo</v>
          </cell>
          <cell r="G38" t="e">
            <v>#N/A</v>
          </cell>
          <cell r="H38" t="e">
            <v>#N/A</v>
          </cell>
          <cell r="I38" t="e">
            <v>#N/A</v>
          </cell>
          <cell r="J38" t="e">
            <v>#N/A</v>
          </cell>
          <cell r="K38" t="e">
            <v>#N/A</v>
          </cell>
          <cell r="L38" t="e">
            <v>#N/A</v>
          </cell>
          <cell r="M38" t="e">
            <v>#N/A</v>
          </cell>
        </row>
        <row r="39">
          <cell r="A39" t="str">
            <v>90100054</v>
          </cell>
          <cell r="B39" t="str">
            <v>EMPAQUE POLLO P/TAMAL KILO</v>
          </cell>
          <cell r="C39" t="str">
            <v>ESP-RE-EMPS-156</v>
          </cell>
          <cell r="D39" t="str">
            <v>01</v>
          </cell>
          <cell r="E39" t="str">
            <v>Kilo</v>
          </cell>
          <cell r="F39" t="str">
            <v>Gramo</v>
          </cell>
          <cell r="G39">
            <v>4255.5969303797465</v>
          </cell>
          <cell r="H39">
            <v>4.2555969303797463</v>
          </cell>
          <cell r="I39">
            <v>28.171590506329114</v>
          </cell>
          <cell r="J39">
            <v>2.8171590506329114E-2</v>
          </cell>
          <cell r="K39">
            <v>771.0783337594936</v>
          </cell>
          <cell r="L39">
            <v>0.77107833375949364</v>
          </cell>
          <cell r="M39">
            <v>5054.8468546455697</v>
          </cell>
        </row>
        <row r="40">
          <cell r="A40" t="str">
            <v>90100084</v>
          </cell>
          <cell r="B40" t="str">
            <v>COCCION PAPA PICADA KILO</v>
          </cell>
          <cell r="C40" t="str">
            <v>ESP-RE-COCS-138</v>
          </cell>
          <cell r="D40" t="str">
            <v>01</v>
          </cell>
          <cell r="E40" t="str">
            <v>Kilo</v>
          </cell>
          <cell r="F40" t="str">
            <v>Gramo</v>
          </cell>
          <cell r="G40">
            <v>1670.39</v>
          </cell>
          <cell r="H40">
            <v>1.67039</v>
          </cell>
          <cell r="I40">
            <v>2.1280000000000001</v>
          </cell>
          <cell r="J40">
            <v>2.1280000000000001E-3</v>
          </cell>
          <cell r="K40">
            <v>301.05324000000002</v>
          </cell>
          <cell r="L40">
            <v>0.30105324</v>
          </cell>
          <cell r="M40">
            <v>1973.57124</v>
          </cell>
        </row>
        <row r="41">
          <cell r="A41" t="str">
            <v>90100090</v>
          </cell>
          <cell r="B41" t="str">
            <v>RELLENO DE PIÑA PARA EMPANADA KILO</v>
          </cell>
          <cell r="C41">
            <v>0</v>
          </cell>
          <cell r="D41">
            <v>0</v>
          </cell>
          <cell r="E41" t="str">
            <v>Kilo</v>
          </cell>
          <cell r="F41" t="str">
            <v>Gramo</v>
          </cell>
          <cell r="G41" t="e">
            <v>#N/A</v>
          </cell>
          <cell r="H41" t="e">
            <v>#N/A</v>
          </cell>
          <cell r="I41">
            <v>22.60429465500486</v>
          </cell>
          <cell r="J41">
            <v>2.260429465500486E-2</v>
          </cell>
          <cell r="K41" t="e">
            <v>#N/A</v>
          </cell>
          <cell r="L41" t="e">
            <v>#N/A</v>
          </cell>
          <cell r="M41" t="e">
            <v>#N/A</v>
          </cell>
        </row>
        <row r="42">
          <cell r="A42" t="str">
            <v>90100091</v>
          </cell>
          <cell r="B42" t="str">
            <v>CEBOLLA CARAMELIZADA BLANCA KILO</v>
          </cell>
          <cell r="C42" t="str">
            <v xml:space="preserve">ESP-RE-COCS-220 </v>
          </cell>
          <cell r="D42" t="str">
            <v>01</v>
          </cell>
          <cell r="E42" t="str">
            <v>Kilo</v>
          </cell>
          <cell r="F42" t="str">
            <v>Gramo</v>
          </cell>
          <cell r="G42">
            <v>3479.846888235294</v>
          </cell>
          <cell r="H42">
            <v>3.479846888235294</v>
          </cell>
          <cell r="I42">
            <v>4.4333081904761906</v>
          </cell>
          <cell r="J42">
            <v>4.4333081904761908E-3</v>
          </cell>
          <cell r="K42">
            <v>627.17043535663856</v>
          </cell>
          <cell r="L42">
            <v>0.62717043535663852</v>
          </cell>
          <cell r="M42">
            <v>4111.4506317824089</v>
          </cell>
        </row>
        <row r="43">
          <cell r="A43" t="str">
            <v>90100098</v>
          </cell>
          <cell r="B43" t="str">
            <v>RELLENO PARA TARTA DE  ALMENDRAS KILO</v>
          </cell>
          <cell r="C43" t="str">
            <v>ESP-RE-POS-168</v>
          </cell>
          <cell r="D43" t="str">
            <v>01</v>
          </cell>
          <cell r="E43" t="str">
            <v>Kilo</v>
          </cell>
          <cell r="F43" t="str">
            <v>Gramo</v>
          </cell>
          <cell r="G43">
            <v>1574.5329572116402</v>
          </cell>
          <cell r="H43">
            <v>1.5745329572116402</v>
          </cell>
          <cell r="I43">
            <v>4.3118252952380951</v>
          </cell>
          <cell r="J43">
            <v>4.3118252952380953E-3</v>
          </cell>
          <cell r="K43">
            <v>284.19206085123807</v>
          </cell>
          <cell r="L43">
            <v>0.28419206085123805</v>
          </cell>
          <cell r="M43">
            <v>1863.0368433581164</v>
          </cell>
        </row>
        <row r="44">
          <cell r="A44" t="str">
            <v>90100099</v>
          </cell>
          <cell r="B44" t="str">
            <v>PIE ALMENDRAS Y PECANAS PERS. UND</v>
          </cell>
          <cell r="C44" t="str">
            <v>ESP-RE-PAPS-169</v>
          </cell>
          <cell r="D44" t="str">
            <v>01</v>
          </cell>
          <cell r="E44" t="str">
            <v>Und</v>
          </cell>
          <cell r="F44" t="str">
            <v>Und</v>
          </cell>
          <cell r="G44">
            <v>196.9434009044366</v>
          </cell>
          <cell r="H44">
            <v>196.9434009044366</v>
          </cell>
          <cell r="I44">
            <v>1.2219826024094682</v>
          </cell>
          <cell r="J44">
            <v>1.2219826024094682</v>
          </cell>
          <cell r="K44">
            <v>35.669769031232292</v>
          </cell>
          <cell r="L44">
            <v>35.669769031232292</v>
          </cell>
          <cell r="M44">
            <v>233.83515253807838</v>
          </cell>
        </row>
        <row r="45">
          <cell r="A45" t="str">
            <v>90100111</v>
          </cell>
          <cell r="B45" t="str">
            <v>FIDEO ORIENTAl KILO</v>
          </cell>
          <cell r="C45" t="str">
            <v>ESP-RE-COCS-231</v>
          </cell>
          <cell r="D45" t="str">
            <v>01</v>
          </cell>
          <cell r="E45" t="str">
            <v>Kilo</v>
          </cell>
          <cell r="F45" t="str">
            <v>Gramo</v>
          </cell>
          <cell r="G45">
            <v>2932.3803668095452</v>
          </cell>
          <cell r="H45">
            <v>2.9323803668095452</v>
          </cell>
          <cell r="I45">
            <v>1.4186666666666667</v>
          </cell>
          <cell r="J45">
            <v>1.4186666666666668E-3</v>
          </cell>
          <cell r="K45">
            <v>528.08382602571805</v>
          </cell>
          <cell r="L45">
            <v>0.52808382602571802</v>
          </cell>
          <cell r="M45">
            <v>3461.8828595019295</v>
          </cell>
        </row>
        <row r="46">
          <cell r="A46" t="str">
            <v>90100112</v>
          </cell>
          <cell r="B46" t="str">
            <v>SOPA ORIENTAL KILO</v>
          </cell>
          <cell r="C46" t="str">
            <v>ESP-RE-COCS-230</v>
          </cell>
          <cell r="D46" t="str">
            <v>01</v>
          </cell>
          <cell r="E46" t="str">
            <v>Kilo</v>
          </cell>
          <cell r="F46" t="str">
            <v>Gramo</v>
          </cell>
          <cell r="G46" t="e">
            <v>#N/A</v>
          </cell>
          <cell r="H46" t="e">
            <v>#N/A</v>
          </cell>
          <cell r="I46" t="e">
            <v>#N/A</v>
          </cell>
          <cell r="J46" t="e">
            <v>#N/A</v>
          </cell>
          <cell r="K46" t="e">
            <v>#N/A</v>
          </cell>
          <cell r="L46" t="e">
            <v>#N/A</v>
          </cell>
          <cell r="M46" t="e">
            <v>#N/A</v>
          </cell>
        </row>
        <row r="47">
          <cell r="A47" t="str">
            <v>90100115</v>
          </cell>
          <cell r="B47" t="str">
            <v>SALSA NARANJA KILO</v>
          </cell>
          <cell r="C47" t="str">
            <v>ESP-RE-COCS-233</v>
          </cell>
          <cell r="D47" t="str">
            <v>03</v>
          </cell>
          <cell r="E47" t="str">
            <v>Kilo</v>
          </cell>
          <cell r="F47" t="str">
            <v>Gramo</v>
          </cell>
          <cell r="G47">
            <v>1030.3747178670974</v>
          </cell>
          <cell r="H47">
            <v>1.0303747178670974</v>
          </cell>
          <cell r="I47">
            <v>5.1077566476190475</v>
          </cell>
          <cell r="J47">
            <v>5.1077566476190476E-3</v>
          </cell>
          <cell r="K47">
            <v>186.38684541264894</v>
          </cell>
          <cell r="L47">
            <v>0.18638684541264894</v>
          </cell>
          <cell r="M47">
            <v>1221.8693199273653</v>
          </cell>
        </row>
        <row r="48">
          <cell r="A48" t="str">
            <v>90100117</v>
          </cell>
          <cell r="B48" t="str">
            <v>RELLENO DE ESPINACA Y POLLO KILO</v>
          </cell>
          <cell r="C48">
            <v>0</v>
          </cell>
          <cell r="D48">
            <v>0</v>
          </cell>
          <cell r="E48" t="str">
            <v>Kilo</v>
          </cell>
          <cell r="F48" t="str">
            <v>Gramo</v>
          </cell>
          <cell r="G48">
            <v>3349.0237349344998</v>
          </cell>
          <cell r="H48">
            <v>3.3490237349344998</v>
          </cell>
          <cell r="I48">
            <v>42.052640971118812</v>
          </cell>
          <cell r="J48">
            <v>4.2052640971118813E-2</v>
          </cell>
          <cell r="K48">
            <v>610.39374766301137</v>
          </cell>
          <cell r="L48">
            <v>0.61039374766301135</v>
          </cell>
          <cell r="M48">
            <v>4001.4701235686298</v>
          </cell>
        </row>
        <row r="49">
          <cell r="A49" t="str">
            <v>90100120</v>
          </cell>
          <cell r="B49" t="str">
            <v>SALSA MONGOLIAN KILO</v>
          </cell>
          <cell r="C49" t="str">
            <v>ESP-RE-COCS-238</v>
          </cell>
          <cell r="D49" t="str">
            <v>02</v>
          </cell>
          <cell r="E49" t="str">
            <v>Kilo</v>
          </cell>
          <cell r="F49" t="str">
            <v>Gramo</v>
          </cell>
          <cell r="G49">
            <v>893.2482705882353</v>
          </cell>
          <cell r="H49">
            <v>0.8932482705882353</v>
          </cell>
          <cell r="I49">
            <v>0</v>
          </cell>
          <cell r="J49">
            <v>0</v>
          </cell>
          <cell r="K49">
            <v>160.78468870588236</v>
          </cell>
          <cell r="L49">
            <v>0.16078468870588236</v>
          </cell>
          <cell r="M49">
            <v>1054.0329592941177</v>
          </cell>
        </row>
        <row r="50">
          <cell r="A50" t="str">
            <v>90100126</v>
          </cell>
          <cell r="B50" t="str">
            <v>RELLENO LOMO SALTEADO KILO</v>
          </cell>
          <cell r="C50" t="str">
            <v>ESP-RE-COCS-241</v>
          </cell>
          <cell r="D50" t="str">
            <v>02</v>
          </cell>
          <cell r="E50" t="str">
            <v>Kilo</v>
          </cell>
          <cell r="F50" t="str">
            <v>Gramo</v>
          </cell>
          <cell r="G50">
            <v>896.43767519315611</v>
          </cell>
          <cell r="H50">
            <v>0.89643767519315609</v>
          </cell>
          <cell r="I50">
            <v>25.292380952380952</v>
          </cell>
          <cell r="J50">
            <v>2.5292380952380952E-2</v>
          </cell>
          <cell r="K50">
            <v>165.91141010619668</v>
          </cell>
          <cell r="L50">
            <v>0.16591141010619667</v>
          </cell>
          <cell r="M50">
            <v>1087.6414662517338</v>
          </cell>
        </row>
        <row r="51">
          <cell r="A51" t="str">
            <v>90100127</v>
          </cell>
          <cell r="B51" t="str">
            <v>SALSA DE AJI ( lasaña lomo) KILO</v>
          </cell>
          <cell r="C51" t="str">
            <v>ESP-RE-COCS-240</v>
          </cell>
          <cell r="D51" t="str">
            <v>01</v>
          </cell>
          <cell r="E51" t="str">
            <v>Kilo</v>
          </cell>
          <cell r="F51" t="str">
            <v>Gramo</v>
          </cell>
          <cell r="G51">
            <v>1890.2718194067372</v>
          </cell>
          <cell r="H51">
            <v>1.8902718194067372</v>
          </cell>
          <cell r="I51">
            <v>8.3258119658119671</v>
          </cell>
          <cell r="J51">
            <v>8.3258119658119675E-3</v>
          </cell>
          <cell r="K51">
            <v>341.74757364705886</v>
          </cell>
          <cell r="L51">
            <v>0.34174757364705888</v>
          </cell>
          <cell r="M51">
            <v>2240.3452050196079</v>
          </cell>
        </row>
        <row r="52">
          <cell r="A52" t="str">
            <v>90100129</v>
          </cell>
          <cell r="B52" t="str">
            <v>EMPAQUE ALMIDON MODIFICADO KILO</v>
          </cell>
          <cell r="C52" t="str">
            <v>ESP-RE-PRES-096</v>
          </cell>
          <cell r="D52" t="str">
            <v>01</v>
          </cell>
          <cell r="E52" t="str">
            <v>Kilo</v>
          </cell>
          <cell r="F52" t="str">
            <v>Gramo</v>
          </cell>
          <cell r="G52">
            <v>3.59</v>
          </cell>
          <cell r="H52">
            <v>3.5899999999999999E-3</v>
          </cell>
          <cell r="I52">
            <v>9.949409523809523</v>
          </cell>
          <cell r="J52">
            <v>9.9494095238095229E-3</v>
          </cell>
          <cell r="K52">
            <v>2.4370937142857141</v>
          </cell>
          <cell r="L52">
            <v>2.4370937142857139E-3</v>
          </cell>
          <cell r="M52">
            <v>15.976503238095237</v>
          </cell>
        </row>
        <row r="53">
          <cell r="A53" t="str">
            <v>90100131</v>
          </cell>
          <cell r="B53" t="str">
            <v>AZUCAR BLANCO INDUSTRIAL KILO</v>
          </cell>
          <cell r="C53" t="str">
            <v/>
          </cell>
          <cell r="D53" t="str">
            <v>01</v>
          </cell>
          <cell r="E53" t="str">
            <v>Kilo</v>
          </cell>
          <cell r="F53" t="str">
            <v>Gramo</v>
          </cell>
          <cell r="G53">
            <v>390.34000000000003</v>
          </cell>
          <cell r="H53">
            <v>0.39034000000000002</v>
          </cell>
          <cell r="I53">
            <v>33.330521904761909</v>
          </cell>
          <cell r="J53">
            <v>3.3330521904761906E-2</v>
          </cell>
          <cell r="K53">
            <v>76.260693942857145</v>
          </cell>
          <cell r="L53">
            <v>7.6260693942857144E-2</v>
          </cell>
          <cell r="M53">
            <v>499.93121584761906</v>
          </cell>
        </row>
        <row r="54">
          <cell r="A54" t="str">
            <v>90100132</v>
          </cell>
          <cell r="B54" t="str">
            <v xml:space="preserve">AZUCAR REFINADA (BOLSA:1500g) </v>
          </cell>
          <cell r="C54" t="str">
            <v>ESP-RE-PRES-108</v>
          </cell>
          <cell r="D54" t="str">
            <v>01</v>
          </cell>
          <cell r="E54" t="str">
            <v>Kilo</v>
          </cell>
          <cell r="F54" t="str">
            <v>Gramo</v>
          </cell>
          <cell r="G54">
            <v>439.64</v>
          </cell>
          <cell r="H54">
            <v>0.43963999999999998</v>
          </cell>
          <cell r="I54">
            <v>18.128</v>
          </cell>
          <cell r="J54">
            <v>1.8128000000000002E-2</v>
          </cell>
          <cell r="K54">
            <v>82.398239999999987</v>
          </cell>
          <cell r="L54">
            <v>8.2398239999999984E-2</v>
          </cell>
          <cell r="M54">
            <v>540.16624000000002</v>
          </cell>
        </row>
        <row r="55">
          <cell r="A55" t="str">
            <v>90100137</v>
          </cell>
          <cell r="B55" t="str">
            <v>EMPAQUE HARINA ESTANDAR (KILO)</v>
          </cell>
          <cell r="C55" t="str">
            <v>ESP-RE-PRES-109</v>
          </cell>
          <cell r="D55" t="str">
            <v>01</v>
          </cell>
          <cell r="E55" t="str">
            <v>Kilo</v>
          </cell>
          <cell r="F55" t="str">
            <v>Gramo</v>
          </cell>
          <cell r="G55">
            <v>649.46406400000001</v>
          </cell>
          <cell r="H55">
            <v>0.64946406400000001</v>
          </cell>
          <cell r="I55">
            <v>9.949409523809523</v>
          </cell>
          <cell r="J55">
            <v>9.9494095238095229E-3</v>
          </cell>
          <cell r="K55">
            <v>118.69442523428572</v>
          </cell>
          <cell r="L55">
            <v>0.11869442523428572</v>
          </cell>
          <cell r="M55">
            <v>778.1078987580953</v>
          </cell>
        </row>
        <row r="56">
          <cell r="A56" t="str">
            <v>90100142</v>
          </cell>
          <cell r="B56" t="str">
            <v>EMPAQUE SAL KILO</v>
          </cell>
          <cell r="C56" t="str">
            <v>ESP-RE-PRES-101</v>
          </cell>
          <cell r="D56" t="str">
            <v>01</v>
          </cell>
          <cell r="E56" t="str">
            <v>Kilo</v>
          </cell>
          <cell r="F56" t="str">
            <v>Gramo</v>
          </cell>
          <cell r="G56">
            <v>312.47999999999996</v>
          </cell>
          <cell r="H56">
            <v>0.31247999999999998</v>
          </cell>
          <cell r="I56">
            <v>3.6256000000000004</v>
          </cell>
          <cell r="J56">
            <v>3.6256000000000005E-3</v>
          </cell>
          <cell r="K56">
            <v>56.899007999999995</v>
          </cell>
          <cell r="L56">
            <v>5.6899007999999994E-2</v>
          </cell>
          <cell r="M56">
            <v>373.00460799999996</v>
          </cell>
        </row>
        <row r="57">
          <cell r="A57" t="str">
            <v>90100143</v>
          </cell>
          <cell r="B57" t="str">
            <v>ROSQUETE VAINILLA PASTELERO REAL 1400g</v>
          </cell>
          <cell r="C57" t="str">
            <v>ESP-RE-BAF-079</v>
          </cell>
          <cell r="D57" t="str">
            <v>01</v>
          </cell>
          <cell r="E57" t="str">
            <v>Und</v>
          </cell>
          <cell r="F57" t="str">
            <v>Und</v>
          </cell>
          <cell r="G57">
            <v>1346.5131531089617</v>
          </cell>
          <cell r="H57">
            <v>1346.5131531089617</v>
          </cell>
          <cell r="I57">
            <v>14.951508022028669</v>
          </cell>
          <cell r="J57">
            <v>14.951508022028669</v>
          </cell>
          <cell r="K57">
            <v>245.06363900357826</v>
          </cell>
          <cell r="L57">
            <v>245.06363900357826</v>
          </cell>
          <cell r="M57">
            <v>1606.5283001345688</v>
          </cell>
        </row>
        <row r="58">
          <cell r="A58" t="str">
            <v>90100195</v>
          </cell>
          <cell r="B58" t="str">
            <v>ROSQUETE TRES LECHES WALMART 300 g</v>
          </cell>
          <cell r="C58" t="str">
            <v>ESP-RE-BAF-069</v>
          </cell>
          <cell r="D58" t="str">
            <v>02</v>
          </cell>
          <cell r="E58" t="str">
            <v>Und</v>
          </cell>
          <cell r="F58" t="str">
            <v>Und</v>
          </cell>
          <cell r="G58">
            <v>167.95847408250557</v>
          </cell>
          <cell r="H58">
            <v>167.95847408250557</v>
          </cell>
          <cell r="I58">
            <v>2.3045042484126985</v>
          </cell>
          <cell r="J58">
            <v>2.3045042484126985</v>
          </cell>
          <cell r="K58">
            <v>30.64733609956529</v>
          </cell>
          <cell r="L58">
            <v>30.64733609956529</v>
          </cell>
          <cell r="M58">
            <v>200.91031443048357</v>
          </cell>
        </row>
        <row r="59">
          <cell r="A59" t="str">
            <v>90100279</v>
          </cell>
          <cell r="B59" t="str">
            <v>SALSA DE CULANTRO KILO</v>
          </cell>
          <cell r="C59" t="str">
            <v xml:space="preserve">ESP-RE-COFF-081 </v>
          </cell>
          <cell r="D59" t="str">
            <v>01</v>
          </cell>
          <cell r="E59" t="str">
            <v>Kilo</v>
          </cell>
          <cell r="F59" t="str">
            <v>Gramo</v>
          </cell>
          <cell r="G59">
            <v>992.90384086421352</v>
          </cell>
          <cell r="H59">
            <v>0.99290384086421357</v>
          </cell>
          <cell r="I59">
            <v>1.3208555809523808</v>
          </cell>
          <cell r="J59">
            <v>1.3208555809523807E-3</v>
          </cell>
          <cell r="K59">
            <v>178.96044536012985</v>
          </cell>
          <cell r="L59">
            <v>0.17896044536012987</v>
          </cell>
          <cell r="M59">
            <v>1173.1851418052959</v>
          </cell>
        </row>
        <row r="60">
          <cell r="A60" t="str">
            <v>90100280</v>
          </cell>
          <cell r="B60" t="str">
            <v>SALSA POMODORO KILO</v>
          </cell>
          <cell r="C60" t="str">
            <v xml:space="preserve">ESP-RE-COCS-295 </v>
          </cell>
          <cell r="D60" t="str">
            <v>01</v>
          </cell>
          <cell r="E60" t="str">
            <v>Kilo</v>
          </cell>
          <cell r="F60" t="str">
            <v>Gramo</v>
          </cell>
          <cell r="G60">
            <v>1639.6739596065008</v>
          </cell>
          <cell r="H60">
            <v>1.6396739596065009</v>
          </cell>
          <cell r="I60">
            <v>0</v>
          </cell>
          <cell r="J60">
            <v>0</v>
          </cell>
          <cell r="K60">
            <v>295.14131272917012</v>
          </cell>
          <cell r="L60">
            <v>0.2951413127291701</v>
          </cell>
          <cell r="M60">
            <v>1934.8152723356709</v>
          </cell>
        </row>
        <row r="61">
          <cell r="A61" t="str">
            <v>90100281</v>
          </cell>
          <cell r="B61" t="str">
            <v>COCCION CREMA DE GARBANZOS KILO</v>
          </cell>
          <cell r="C61" t="str">
            <v>ESP-RE-COCS-299</v>
          </cell>
          <cell r="D61" t="str">
            <v>03</v>
          </cell>
          <cell r="E61" t="str">
            <v>Kilo</v>
          </cell>
          <cell r="F61" t="str">
            <v>Gramo</v>
          </cell>
          <cell r="G61" t="e">
            <v>#N/A</v>
          </cell>
          <cell r="H61" t="e">
            <v>#N/A</v>
          </cell>
          <cell r="I61">
            <v>6.0664893617021267</v>
          </cell>
          <cell r="J61">
            <v>6.066489361702127E-3</v>
          </cell>
          <cell r="K61" t="e">
            <v>#N/A</v>
          </cell>
          <cell r="L61" t="e">
            <v>#N/A</v>
          </cell>
          <cell r="M61" t="e">
            <v>#N/A</v>
          </cell>
        </row>
        <row r="62">
          <cell r="A62" t="str">
            <v>90100284</v>
          </cell>
          <cell r="B62" t="str">
            <v>RELLENO DE FRESA ESPESA PLANTA KILO</v>
          </cell>
          <cell r="C62" t="str">
            <v xml:space="preserve">ESP-RE-COCS-302 </v>
          </cell>
          <cell r="D62" t="str">
            <v>02</v>
          </cell>
          <cell r="E62" t="str">
            <v>Kilo</v>
          </cell>
          <cell r="F62" t="str">
            <v>Gramo</v>
          </cell>
          <cell r="G62">
            <v>1949.6412355246994</v>
          </cell>
          <cell r="H62">
            <v>1.9496412355246995</v>
          </cell>
          <cell r="I62">
            <v>7.823636828784422</v>
          </cell>
          <cell r="J62">
            <v>7.8236368287844214E-3</v>
          </cell>
          <cell r="K62">
            <v>352.34367702362704</v>
          </cell>
          <cell r="L62">
            <v>0.35234367702362701</v>
          </cell>
          <cell r="M62">
            <v>2309.8085493771109</v>
          </cell>
        </row>
        <row r="63">
          <cell r="A63" t="str">
            <v>90100285</v>
          </cell>
          <cell r="B63" t="str">
            <v>RELLENO DE FRESA  PLANTA KILO</v>
          </cell>
          <cell r="C63" t="str">
            <v>ESP-RE-COCS-094</v>
          </cell>
          <cell r="D63" t="str">
            <v>03</v>
          </cell>
          <cell r="E63" t="str">
            <v>Kilo</v>
          </cell>
          <cell r="F63" t="str">
            <v>Gramo</v>
          </cell>
          <cell r="G63">
            <v>1939.3541520052427</v>
          </cell>
          <cell r="H63">
            <v>1.9393541520052426</v>
          </cell>
          <cell r="I63">
            <v>7.819622202674763</v>
          </cell>
          <cell r="J63">
            <v>7.8196222026747624E-3</v>
          </cell>
          <cell r="K63">
            <v>350.49127935742513</v>
          </cell>
          <cell r="L63">
            <v>0.35049127935742513</v>
          </cell>
          <cell r="M63">
            <v>2297.6650535653425</v>
          </cell>
        </row>
        <row r="64">
          <cell r="A64" t="str">
            <v>90100286</v>
          </cell>
          <cell r="B64" t="str">
            <v>TOPPING MELOCOTON PLANTA KILO</v>
          </cell>
          <cell r="C64" t="str">
            <v>ESP-RE-COCS-304</v>
          </cell>
          <cell r="D64" t="str">
            <v>02</v>
          </cell>
          <cell r="E64" t="str">
            <v>Kilo</v>
          </cell>
          <cell r="F64" t="str">
            <v>Gramo</v>
          </cell>
          <cell r="G64">
            <v>2169.3709645769231</v>
          </cell>
          <cell r="H64">
            <v>2.169370964576923</v>
          </cell>
          <cell r="I64">
            <v>9.7358559907857138</v>
          </cell>
          <cell r="J64">
            <v>9.7358559907857137E-3</v>
          </cell>
          <cell r="K64">
            <v>392.23922770218758</v>
          </cell>
          <cell r="L64">
            <v>0.39223922770218755</v>
          </cell>
          <cell r="M64">
            <v>2571.3460482698965</v>
          </cell>
        </row>
        <row r="65">
          <cell r="A65" t="str">
            <v>90100288</v>
          </cell>
          <cell r="B65" t="str">
            <v>RELLENO MELOCOTON BUCCA PLANTA</v>
          </cell>
          <cell r="C65" t="str">
            <v>ESP-RE-COCS-306</v>
          </cell>
          <cell r="D65" t="str">
            <v>03</v>
          </cell>
          <cell r="E65" t="str">
            <v>Kilo</v>
          </cell>
          <cell r="F65" t="str">
            <v>Gramo</v>
          </cell>
          <cell r="G65">
            <v>1369.6110610576923</v>
          </cell>
          <cell r="H65">
            <v>1.3696110610576924</v>
          </cell>
          <cell r="I65">
            <v>0</v>
          </cell>
          <cell r="J65">
            <v>0</v>
          </cell>
          <cell r="K65">
            <v>246.52999099038459</v>
          </cell>
          <cell r="L65">
            <v>0.24652999099038458</v>
          </cell>
          <cell r="M65">
            <v>1616.1410520480767</v>
          </cell>
        </row>
        <row r="66">
          <cell r="A66" t="str">
            <v>90100289</v>
          </cell>
          <cell r="B66" t="str">
            <v>EMPAQUE RELLENO MELOCOTON BUCCA KILO</v>
          </cell>
          <cell r="C66" t="str">
            <v>ESP-RE-EMPF-177</v>
          </cell>
          <cell r="D66" t="str">
            <v>01</v>
          </cell>
          <cell r="E66" t="str">
            <v>Kilo</v>
          </cell>
          <cell r="F66" t="str">
            <v>Gramo</v>
          </cell>
          <cell r="G66">
            <v>1369.6110610576923</v>
          </cell>
          <cell r="H66">
            <v>1.3696110610576924</v>
          </cell>
          <cell r="I66">
            <v>4.2283333333333326</v>
          </cell>
          <cell r="J66">
            <v>4.2283333333333322E-3</v>
          </cell>
          <cell r="K66">
            <v>247.29109099038459</v>
          </cell>
          <cell r="L66">
            <v>0.2472910909903846</v>
          </cell>
          <cell r="M66">
            <v>1621.1304853814102</v>
          </cell>
        </row>
        <row r="67">
          <cell r="A67" t="str">
            <v>90100291</v>
          </cell>
          <cell r="B67" t="str">
            <v>TOPPING DE PIÑA KILO</v>
          </cell>
          <cell r="C67" t="str">
            <v>ESP-RE-COCS-307</v>
          </cell>
          <cell r="D67" t="str">
            <v>01</v>
          </cell>
          <cell r="E67" t="str">
            <v>Kilo</v>
          </cell>
          <cell r="F67" t="str">
            <v>Gramo</v>
          </cell>
          <cell r="G67">
            <v>1650.343695</v>
          </cell>
          <cell r="H67">
            <v>1.6503436950000001</v>
          </cell>
          <cell r="I67">
            <v>5.4251782857142858</v>
          </cell>
          <cell r="J67">
            <v>5.4251782857142857E-3</v>
          </cell>
          <cell r="K67">
            <v>298.03839719142854</v>
          </cell>
          <cell r="L67">
            <v>0.29803839719142855</v>
          </cell>
          <cell r="M67">
            <v>1953.807270477143</v>
          </cell>
        </row>
        <row r="68">
          <cell r="A68" t="str">
            <v>90100295</v>
          </cell>
          <cell r="B68" t="str">
            <v>ARROZ AMARILLO SPOON KILO</v>
          </cell>
          <cell r="C68" t="str">
            <v>ESP-RE-COCS-309</v>
          </cell>
          <cell r="D68" t="str">
            <v>01</v>
          </cell>
          <cell r="E68" t="str">
            <v>Kilo</v>
          </cell>
          <cell r="F68" t="str">
            <v>Gramo</v>
          </cell>
          <cell r="G68">
            <v>538.18622690903737</v>
          </cell>
          <cell r="H68">
            <v>0.53818622690903739</v>
          </cell>
          <cell r="I68">
            <v>1.3428148148148149E-2</v>
          </cell>
          <cell r="J68">
            <v>1.3428148148148149E-5</v>
          </cell>
          <cell r="K68">
            <v>96.875937910293388</v>
          </cell>
          <cell r="L68">
            <v>9.6875937910293392E-2</v>
          </cell>
          <cell r="M68">
            <v>635.07559296747888</v>
          </cell>
        </row>
        <row r="69">
          <cell r="A69" t="str">
            <v>90100296</v>
          </cell>
          <cell r="B69" t="str">
            <v>PECHUGA DESMENUZADA A MANO KILO</v>
          </cell>
          <cell r="C69" t="str">
            <v xml:space="preserve">ESP-RE-COCS-308 </v>
          </cell>
          <cell r="D69" t="str">
            <v>01</v>
          </cell>
          <cell r="E69" t="str">
            <v>Kilo</v>
          </cell>
          <cell r="F69" t="str">
            <v>Gramo</v>
          </cell>
          <cell r="G69">
            <v>4326.5235458860752</v>
          </cell>
          <cell r="H69">
            <v>4.3265235458860749</v>
          </cell>
          <cell r="I69">
            <v>42.392394514767929</v>
          </cell>
          <cell r="J69">
            <v>4.239239451476793E-2</v>
          </cell>
          <cell r="K69">
            <v>786.40486927215181</v>
          </cell>
          <cell r="L69">
            <v>0.78640486927215181</v>
          </cell>
          <cell r="M69">
            <v>5155.320809672995</v>
          </cell>
        </row>
        <row r="70">
          <cell r="A70" t="str">
            <v>90100297</v>
          </cell>
          <cell r="B70" t="str">
            <v>ARROZ CON POLLO SPOON KILO</v>
          </cell>
          <cell r="C70" t="str">
            <v>ESP-RE-COCS-210</v>
          </cell>
          <cell r="D70" t="str">
            <v>04</v>
          </cell>
          <cell r="E70" t="str">
            <v>Kilo</v>
          </cell>
          <cell r="F70" t="str">
            <v>Gramo</v>
          </cell>
          <cell r="G70">
            <v>2004.6566788783489</v>
          </cell>
          <cell r="H70">
            <v>2.0046566788783489</v>
          </cell>
          <cell r="I70">
            <v>14.096077961341537</v>
          </cell>
          <cell r="J70">
            <v>1.4096077961341538E-2</v>
          </cell>
          <cell r="K70">
            <v>363.37549623114427</v>
          </cell>
          <cell r="L70">
            <v>0.36337549623114429</v>
          </cell>
          <cell r="M70">
            <v>2382.1282530708345</v>
          </cell>
        </row>
        <row r="71">
          <cell r="A71" t="str">
            <v>90100304</v>
          </cell>
          <cell r="B71" t="str">
            <v>COCCION COSTILLA CERDO (KILO)</v>
          </cell>
          <cell r="C71" t="str">
            <v xml:space="preserve">ESP-RE-COCS-133 </v>
          </cell>
          <cell r="D71" t="str">
            <v>01</v>
          </cell>
          <cell r="E71" t="str">
            <v>Kilo</v>
          </cell>
          <cell r="F71" t="str">
            <v>Gramo</v>
          </cell>
          <cell r="G71">
            <v>6775.4711341176471</v>
          </cell>
          <cell r="H71">
            <v>6.7754711341176472</v>
          </cell>
          <cell r="I71">
            <v>2.9004800000000004E-2</v>
          </cell>
          <cell r="J71">
            <v>2.9004800000000004E-5</v>
          </cell>
          <cell r="K71">
            <v>1219.5900250051764</v>
          </cell>
          <cell r="L71">
            <v>1.2195900250051763</v>
          </cell>
          <cell r="M71">
            <v>7995.0901639228232</v>
          </cell>
        </row>
        <row r="72">
          <cell r="A72" t="str">
            <v>90100319</v>
          </cell>
          <cell r="B72" t="str">
            <v>RAGU A LA BOLOGNESA</v>
          </cell>
          <cell r="C72">
            <v>0</v>
          </cell>
          <cell r="D72" t="str">
            <v>01</v>
          </cell>
          <cell r="E72" t="str">
            <v>Kilo</v>
          </cell>
          <cell r="F72" t="str">
            <v>Gramo</v>
          </cell>
          <cell r="G72">
            <v>2164.8507346000001</v>
          </cell>
          <cell r="H72">
            <v>2.1648507346000003</v>
          </cell>
          <cell r="I72">
            <v>2.5342944000000006E-2</v>
          </cell>
          <cell r="J72">
            <v>2.5342944000000005E-5</v>
          </cell>
          <cell r="K72">
            <v>389.67769395791998</v>
          </cell>
          <cell r="L72">
            <v>0.38967769395791996</v>
          </cell>
          <cell r="M72">
            <v>2554.55377150192</v>
          </cell>
        </row>
        <row r="73">
          <cell r="A73" t="str">
            <v>902000001</v>
          </cell>
          <cell r="B73" t="str">
            <v>BATIDO SUPER ESPONJA KILO</v>
          </cell>
          <cell r="C73" t="str">
            <v>ESP-RE-BAS-080</v>
          </cell>
          <cell r="D73" t="str">
            <v>05</v>
          </cell>
          <cell r="E73" t="str">
            <v>Kilo</v>
          </cell>
          <cell r="F73" t="str">
            <v>Gramo</v>
          </cell>
          <cell r="G73">
            <v>1276.6642129817446</v>
          </cell>
          <cell r="H73">
            <v>1.2766642129817447</v>
          </cell>
          <cell r="I73">
            <v>0.16021371051001446</v>
          </cell>
          <cell r="J73">
            <v>1.6021371051001446E-4</v>
          </cell>
          <cell r="K73">
            <v>229.82839680460586</v>
          </cell>
          <cell r="L73">
            <v>0.22982839680460587</v>
          </cell>
          <cell r="M73">
            <v>1506.6528234968605</v>
          </cell>
        </row>
        <row r="74">
          <cell r="A74" t="str">
            <v>902000002</v>
          </cell>
          <cell r="B74" t="str">
            <v>BATIDO CHOCOLATE BUCCA (KILO)</v>
          </cell>
          <cell r="C74" t="str">
            <v>ESP-RE-BAF-006</v>
          </cell>
          <cell r="D74" t="str">
            <v>05</v>
          </cell>
          <cell r="E74" t="str">
            <v>Kilo</v>
          </cell>
          <cell r="F74" t="str">
            <v>Gramo</v>
          </cell>
          <cell r="G74">
            <v>1070.815728995964</v>
          </cell>
          <cell r="H74">
            <v>1.0708157289959641</v>
          </cell>
          <cell r="I74">
            <v>6.9300069300069298E-3</v>
          </cell>
          <cell r="J74">
            <v>6.9300069300069297E-6</v>
          </cell>
          <cell r="K74">
            <v>192.74807862052091</v>
          </cell>
          <cell r="L74">
            <v>0.1927480786205209</v>
          </cell>
          <cell r="M74">
            <v>1263.570737623415</v>
          </cell>
        </row>
        <row r="75">
          <cell r="A75" t="str">
            <v>902000003</v>
          </cell>
          <cell r="B75" t="str">
            <v>BATIDO CHOCOLATE PASTELERO REAL (KILO)</v>
          </cell>
          <cell r="C75" t="str">
            <v>ESP-RE-BAF-008</v>
          </cell>
          <cell r="D75" t="str">
            <v>07</v>
          </cell>
          <cell r="E75" t="str">
            <v>Kilo</v>
          </cell>
          <cell r="F75" t="str">
            <v>Gramo</v>
          </cell>
          <cell r="G75">
            <v>1463.0780198533482</v>
          </cell>
          <cell r="H75">
            <v>1.4630780198533482</v>
          </cell>
          <cell r="I75">
            <v>0.78419338608102351</v>
          </cell>
          <cell r="J75">
            <v>7.8419338608102347E-4</v>
          </cell>
          <cell r="K75">
            <v>263.49519838309726</v>
          </cell>
          <cell r="L75">
            <v>0.26349519838309726</v>
          </cell>
          <cell r="M75">
            <v>1727.3574116225263</v>
          </cell>
        </row>
        <row r="76">
          <cell r="A76" t="str">
            <v>902000009</v>
          </cell>
          <cell r="B76" t="str">
            <v>BATIDO MELOCOTON FROM SCRATCH KILO</v>
          </cell>
          <cell r="C76" t="str">
            <v>ESP-RE-BAS-014</v>
          </cell>
          <cell r="D76" t="str">
            <v>04</v>
          </cell>
          <cell r="E76" t="str">
            <v>Kilo</v>
          </cell>
          <cell r="F76" t="str">
            <v>Gramo</v>
          </cell>
          <cell r="G76">
            <v>812.17074839999987</v>
          </cell>
          <cell r="H76">
            <v>0.81217074839999992</v>
          </cell>
          <cell r="I76">
            <v>0</v>
          </cell>
          <cell r="J76">
            <v>0</v>
          </cell>
          <cell r="K76">
            <v>146.19073471199997</v>
          </cell>
          <cell r="L76">
            <v>0.14619073471199998</v>
          </cell>
          <cell r="M76">
            <v>958.36148311199986</v>
          </cell>
        </row>
        <row r="77">
          <cell r="A77" t="str">
            <v>902000013</v>
          </cell>
          <cell r="B77" t="str">
            <v>BATIDO CHOCOLATE PILLSBURY KILO</v>
          </cell>
          <cell r="C77" t="str">
            <v>ESP-RE-BAS-028</v>
          </cell>
          <cell r="D77" t="str">
            <v>04</v>
          </cell>
          <cell r="E77" t="str">
            <v>Kilo</v>
          </cell>
          <cell r="F77" t="str">
            <v>Gramo</v>
          </cell>
          <cell r="G77">
            <v>1292.3138092010754</v>
          </cell>
          <cell r="H77">
            <v>1.2923138092010753</v>
          </cell>
          <cell r="I77">
            <v>8.1887333333333315E-3</v>
          </cell>
          <cell r="J77">
            <v>8.1887333333333318E-6</v>
          </cell>
          <cell r="K77">
            <v>232.61795962819357</v>
          </cell>
          <cell r="L77">
            <v>0.23261795962819357</v>
          </cell>
          <cell r="M77">
            <v>1524.9399575626023</v>
          </cell>
        </row>
        <row r="78">
          <cell r="A78" t="str">
            <v>902000014</v>
          </cell>
          <cell r="B78" t="str">
            <v>BATIDO BROWNIE CASERO KILO</v>
          </cell>
          <cell r="C78" t="str">
            <v>ESP-RE-BAS-036</v>
          </cell>
          <cell r="D78" t="str">
            <v>06</v>
          </cell>
          <cell r="E78" t="str">
            <v>Kilo</v>
          </cell>
          <cell r="F78" t="str">
            <v>Gramo</v>
          </cell>
          <cell r="G78">
            <v>543.60891898148157</v>
          </cell>
          <cell r="H78">
            <v>0.54360891898148156</v>
          </cell>
          <cell r="I78">
            <v>16.510047619047622</v>
          </cell>
          <cell r="J78">
            <v>1.6510047619047622E-2</v>
          </cell>
          <cell r="K78">
            <v>100.82141398809526</v>
          </cell>
          <cell r="L78">
            <v>0.10082141398809526</v>
          </cell>
          <cell r="M78">
            <v>660.94038058862452</v>
          </cell>
        </row>
        <row r="79">
          <cell r="A79" t="str">
            <v>902000015</v>
          </cell>
          <cell r="B79" t="str">
            <v>BATIDO ZANAHORIA CON PIÑA (KILO)</v>
          </cell>
          <cell r="C79" t="str">
            <v>ESP-RE-BAS-038</v>
          </cell>
          <cell r="D79" t="str">
            <v>09</v>
          </cell>
          <cell r="E79" t="str">
            <v>Kilo</v>
          </cell>
          <cell r="F79" t="str">
            <v>Gramo</v>
          </cell>
          <cell r="G79">
            <v>979.73214677243163</v>
          </cell>
          <cell r="H79">
            <v>0.97973214677243159</v>
          </cell>
          <cell r="I79">
            <v>0</v>
          </cell>
          <cell r="J79">
            <v>0</v>
          </cell>
          <cell r="K79">
            <v>176.35178641903769</v>
          </cell>
          <cell r="L79">
            <v>0.1763517864190377</v>
          </cell>
          <cell r="M79">
            <v>1156.0839331914694</v>
          </cell>
        </row>
        <row r="80">
          <cell r="A80" t="str">
            <v>902000016</v>
          </cell>
          <cell r="B80" t="str">
            <v>BATIDO TRES LECHES SPOON KILO</v>
          </cell>
          <cell r="C80" t="str">
            <v>ESP-RE-BAS-043</v>
          </cell>
          <cell r="D80" t="str">
            <v>05</v>
          </cell>
          <cell r="E80" t="str">
            <v>Kilo</v>
          </cell>
          <cell r="F80" t="str">
            <v>Gramo</v>
          </cell>
          <cell r="G80">
            <v>415.49267444808743</v>
          </cell>
          <cell r="H80">
            <v>0.41549267444808741</v>
          </cell>
          <cell r="I80">
            <v>5.4374186833203222</v>
          </cell>
          <cell r="J80">
            <v>5.4374186833203225E-3</v>
          </cell>
          <cell r="K80">
            <v>75.767416763653401</v>
          </cell>
          <cell r="L80">
            <v>7.5767416763653395E-2</v>
          </cell>
          <cell r="M80">
            <v>496.69750989506116</v>
          </cell>
        </row>
        <row r="81">
          <cell r="A81" t="str">
            <v>902000017</v>
          </cell>
          <cell r="B81" t="str">
            <v>BATIDO COCADA KILO</v>
          </cell>
          <cell r="C81" t="str">
            <v>ESP-RE-BAS-044</v>
          </cell>
          <cell r="D81" t="str">
            <v>06</v>
          </cell>
          <cell r="E81" t="str">
            <v>Kilo</v>
          </cell>
          <cell r="F81" t="str">
            <v>Gramo</v>
          </cell>
          <cell r="G81">
            <v>1572.5663220008714</v>
          </cell>
          <cell r="H81">
            <v>1.5725663220008714</v>
          </cell>
          <cell r="I81">
            <v>0</v>
          </cell>
          <cell r="J81">
            <v>0</v>
          </cell>
          <cell r="K81">
            <v>283.06193796015685</v>
          </cell>
          <cell r="L81">
            <v>0.28306193796015683</v>
          </cell>
          <cell r="M81">
            <v>1855.6282599610283</v>
          </cell>
        </row>
        <row r="82">
          <cell r="A82" t="str">
            <v>902000018</v>
          </cell>
          <cell r="B82" t="str">
            <v>BATIDO SOUFFLE (KILO)</v>
          </cell>
          <cell r="C82" t="str">
            <v>ESP-RE-BAS-049</v>
          </cell>
          <cell r="D82" t="str">
            <v>02</v>
          </cell>
          <cell r="E82" t="str">
            <v>Kilo</v>
          </cell>
          <cell r="F82" t="str">
            <v>Gramo</v>
          </cell>
          <cell r="G82">
            <v>1203.0919927927928</v>
          </cell>
          <cell r="H82">
            <v>1.2030919927927928</v>
          </cell>
          <cell r="I82">
            <v>1.4714714714714716</v>
          </cell>
          <cell r="J82">
            <v>1.4714714714714717E-3</v>
          </cell>
          <cell r="K82">
            <v>216.82142356756756</v>
          </cell>
          <cell r="L82">
            <v>0.21682142356756756</v>
          </cell>
          <cell r="M82">
            <v>1421.3848878318317</v>
          </cell>
        </row>
        <row r="83">
          <cell r="A83" t="str">
            <v>902000019</v>
          </cell>
          <cell r="B83" t="str">
            <v>MEZCLA P/ENGRASE MOLDES KILO</v>
          </cell>
          <cell r="C83" t="str">
            <v>ESP-RE-BAS-006</v>
          </cell>
          <cell r="D83" t="str">
            <v>04</v>
          </cell>
          <cell r="E83" t="str">
            <v>Kilo</v>
          </cell>
          <cell r="F83" t="str">
            <v>Gramo</v>
          </cell>
          <cell r="G83">
            <v>1374.4402791946309</v>
          </cell>
          <cell r="H83">
            <v>1.3744402791946309</v>
          </cell>
          <cell r="I83">
            <v>21.536385000000003</v>
          </cell>
          <cell r="J83">
            <v>2.1536385000000002E-2</v>
          </cell>
          <cell r="K83">
            <v>251.27579955503356</v>
          </cell>
          <cell r="L83">
            <v>0.25127579955503354</v>
          </cell>
          <cell r="M83">
            <v>1647.2524637496645</v>
          </cell>
        </row>
        <row r="84">
          <cell r="A84" t="str">
            <v>902000021</v>
          </cell>
          <cell r="B84" t="str">
            <v>MERENGUE P/SUSPIRO DESHIDRATADO KILO</v>
          </cell>
          <cell r="C84" t="str">
            <v>ESP-RE-BAS-046</v>
          </cell>
          <cell r="D84" t="str">
            <v>05</v>
          </cell>
          <cell r="E84" t="str">
            <v>Kilo</v>
          </cell>
          <cell r="F84" t="str">
            <v>Gramo</v>
          </cell>
          <cell r="G84">
            <v>2268.2376101280029</v>
          </cell>
          <cell r="H84">
            <v>2.2682376101280028</v>
          </cell>
          <cell r="I84">
            <v>1.4007611851851851</v>
          </cell>
          <cell r="J84">
            <v>1.400761185185185E-3</v>
          </cell>
          <cell r="K84">
            <v>408.53490683637386</v>
          </cell>
          <cell r="L84">
            <v>0.40853490683637389</v>
          </cell>
          <cell r="M84">
            <v>2678.1732781495621</v>
          </cell>
        </row>
        <row r="85">
          <cell r="A85" t="str">
            <v>902000033</v>
          </cell>
          <cell r="B85" t="str">
            <v>RELLENO QUESO/ MANT/LIMON KILO</v>
          </cell>
          <cell r="C85" t="str">
            <v>ESP-RE-POS-107</v>
          </cell>
          <cell r="D85" t="str">
            <v>03</v>
          </cell>
          <cell r="E85" t="str">
            <v>Kilo</v>
          </cell>
          <cell r="F85" t="str">
            <v>Gramo</v>
          </cell>
          <cell r="G85">
            <v>2555.1829395970367</v>
          </cell>
          <cell r="H85">
            <v>2.5551829395970369</v>
          </cell>
          <cell r="I85">
            <v>2.3980769230769225E-3</v>
          </cell>
          <cell r="J85">
            <v>2.3980769230769227E-6</v>
          </cell>
          <cell r="K85">
            <v>459.93336078131273</v>
          </cell>
          <cell r="L85">
            <v>0.45993336078131275</v>
          </cell>
          <cell r="M85">
            <v>3015.1186984552724</v>
          </cell>
        </row>
        <row r="86">
          <cell r="A86" t="str">
            <v>902000048</v>
          </cell>
          <cell r="B86" t="str">
            <v>TRES LECHES KFC (UND)</v>
          </cell>
          <cell r="C86" t="str">
            <v>ESP-RE-POF-059</v>
          </cell>
          <cell r="D86" t="str">
            <v>03</v>
          </cell>
          <cell r="E86" t="str">
            <v>Und</v>
          </cell>
          <cell r="F86" t="str">
            <v>Und</v>
          </cell>
          <cell r="G86">
            <v>329.30364651320235</v>
          </cell>
          <cell r="H86">
            <v>329.30364651320235</v>
          </cell>
          <cell r="I86">
            <v>2.0876286704351963</v>
          </cell>
          <cell r="J86">
            <v>2.0876286704351963</v>
          </cell>
          <cell r="K86">
            <v>59.650429533054762</v>
          </cell>
          <cell r="L86">
            <v>59.650429533054762</v>
          </cell>
          <cell r="M86">
            <v>391.04170471669232</v>
          </cell>
        </row>
        <row r="87">
          <cell r="A87" t="str">
            <v>902000062</v>
          </cell>
          <cell r="B87" t="str">
            <v>MEZCLA FLAN COCO BUCCA KILO</v>
          </cell>
          <cell r="C87" t="str">
            <v>ESP-RE-POF-091</v>
          </cell>
          <cell r="D87" t="str">
            <v>01</v>
          </cell>
          <cell r="E87" t="str">
            <v>Kilo</v>
          </cell>
          <cell r="F87" t="str">
            <v>Gramo</v>
          </cell>
          <cell r="G87">
            <v>863.91436296296297</v>
          </cell>
          <cell r="H87">
            <v>0.86391436296296298</v>
          </cell>
          <cell r="I87">
            <v>1.8446035087719299</v>
          </cell>
          <cell r="J87">
            <v>1.84460350877193E-3</v>
          </cell>
          <cell r="K87">
            <v>155.83661396491226</v>
          </cell>
          <cell r="L87">
            <v>0.15583661396491227</v>
          </cell>
          <cell r="M87">
            <v>1021.5955804366472</v>
          </cell>
        </row>
        <row r="88">
          <cell r="A88" t="str">
            <v>902000066</v>
          </cell>
          <cell r="B88" t="str">
            <v>SUSPIRO QUEBRADO KILO</v>
          </cell>
          <cell r="C88" t="str">
            <v>ESP-RE-DES-109</v>
          </cell>
          <cell r="D88" t="str">
            <v>01</v>
          </cell>
          <cell r="E88" t="str">
            <v>Kilo</v>
          </cell>
          <cell r="F88" t="str">
            <v>Gramo</v>
          </cell>
          <cell r="G88">
            <v>2413.6713177831139</v>
          </cell>
          <cell r="H88">
            <v>2.4136713177831139</v>
          </cell>
          <cell r="I88">
            <v>10.99969636895926</v>
          </cell>
          <cell r="J88">
            <v>1.099969636895926E-2</v>
          </cell>
          <cell r="K88">
            <v>436.44078254737315</v>
          </cell>
          <cell r="L88">
            <v>0.43644078254737317</v>
          </cell>
          <cell r="M88">
            <v>2861.1117966994461</v>
          </cell>
        </row>
        <row r="89">
          <cell r="A89" t="str">
            <v>902000085</v>
          </cell>
          <cell r="B89" t="str">
            <v>RELLENO DE LIMON SPOON KILO</v>
          </cell>
          <cell r="C89" t="str">
            <v>ESP-RE-POS-054</v>
          </cell>
          <cell r="D89" t="str">
            <v>02</v>
          </cell>
          <cell r="E89" t="str">
            <v>Kilo</v>
          </cell>
          <cell r="F89" t="str">
            <v>Gramo</v>
          </cell>
          <cell r="G89">
            <v>1877.7522222222224</v>
          </cell>
          <cell r="H89">
            <v>1.8777522222222223</v>
          </cell>
          <cell r="I89">
            <v>3.6674500000000001</v>
          </cell>
          <cell r="J89">
            <v>3.6674500000000001E-3</v>
          </cell>
          <cell r="K89">
            <v>338.65554099999997</v>
          </cell>
          <cell r="L89">
            <v>0.33865554099999995</v>
          </cell>
          <cell r="M89">
            <v>2220.0752132222224</v>
          </cell>
        </row>
        <row r="90">
          <cell r="A90" t="str">
            <v>902000092</v>
          </cell>
          <cell r="B90" t="str">
            <v>MOUSSE DE COCO KILO</v>
          </cell>
          <cell r="C90" t="str">
            <v>ESP-RE-POS-202</v>
          </cell>
          <cell r="D90" t="str">
            <v>02</v>
          </cell>
          <cell r="E90" t="str">
            <v>Kilo</v>
          </cell>
          <cell r="F90" t="str">
            <v>Gramo</v>
          </cell>
          <cell r="G90">
            <v>1764.3182408080811</v>
          </cell>
          <cell r="H90">
            <v>1.7643182408080811</v>
          </cell>
          <cell r="I90">
            <v>0</v>
          </cell>
          <cell r="J90">
            <v>0</v>
          </cell>
          <cell r="K90">
            <v>317.57728334545459</v>
          </cell>
          <cell r="L90">
            <v>0.3175772833454546</v>
          </cell>
          <cell r="M90">
            <v>2081.8955241535359</v>
          </cell>
        </row>
        <row r="91">
          <cell r="A91" t="str">
            <v>902000093</v>
          </cell>
          <cell r="B91" t="str">
            <v>PIÑA PICADA KILO</v>
          </cell>
          <cell r="C91" t="str">
            <v>ESP-RE-POS-203</v>
          </cell>
          <cell r="D91" t="str">
            <v>01</v>
          </cell>
          <cell r="E91" t="str">
            <v>Kilo</v>
          </cell>
          <cell r="F91" t="str">
            <v>Gramo</v>
          </cell>
          <cell r="G91">
            <v>3534.4220625000003</v>
          </cell>
          <cell r="H91">
            <v>3.5344220625000005</v>
          </cell>
          <cell r="I91">
            <v>0</v>
          </cell>
          <cell r="J91">
            <v>0</v>
          </cell>
          <cell r="K91">
            <v>636.19597125000007</v>
          </cell>
          <cell r="L91">
            <v>0.63619597125000005</v>
          </cell>
          <cell r="M91">
            <v>4170.61803375</v>
          </cell>
        </row>
        <row r="92">
          <cell r="A92" t="str">
            <v>902000094</v>
          </cell>
          <cell r="B92" t="str">
            <v>PROCESADO CHOCOLATE BLANCO KILO</v>
          </cell>
          <cell r="C92" t="str">
            <v>ESP-RE-POS-204</v>
          </cell>
          <cell r="D92" t="str">
            <v>01</v>
          </cell>
          <cell r="E92" t="str">
            <v>Kilo</v>
          </cell>
          <cell r="F92" t="str">
            <v>Gramo</v>
          </cell>
          <cell r="G92">
            <v>4111.1111111111104</v>
          </cell>
          <cell r="H92">
            <v>4.1111111111111107</v>
          </cell>
          <cell r="I92">
            <v>0.45276595744680853</v>
          </cell>
          <cell r="J92">
            <v>4.5276595744680851E-4</v>
          </cell>
          <cell r="K92">
            <v>740.08149787234026</v>
          </cell>
          <cell r="L92">
            <v>0.74008149787234023</v>
          </cell>
          <cell r="M92">
            <v>4851.6453749408975</v>
          </cell>
        </row>
        <row r="93">
          <cell r="A93" t="str">
            <v>902000095</v>
          </cell>
          <cell r="B93" t="str">
            <v>MEZCLA DE TRES LECHES ECONOMICA KILO</v>
          </cell>
          <cell r="C93" t="str">
            <v>ESP-RE-POF-161</v>
          </cell>
          <cell r="D93" t="str">
            <v>02</v>
          </cell>
          <cell r="E93" t="str">
            <v>Kilo</v>
          </cell>
          <cell r="F93" t="str">
            <v>Gramo</v>
          </cell>
          <cell r="G93">
            <v>1388.2350597530865</v>
          </cell>
          <cell r="H93">
            <v>1.3882350597530866</v>
          </cell>
          <cell r="I93">
            <v>0.68512739470899475</v>
          </cell>
          <cell r="J93">
            <v>6.8512739470899477E-4</v>
          </cell>
          <cell r="K93">
            <v>250.0056336866032</v>
          </cell>
          <cell r="L93">
            <v>0.25000563368660322</v>
          </cell>
          <cell r="M93">
            <v>1638.9258208343988</v>
          </cell>
        </row>
        <row r="94">
          <cell r="A94" t="str">
            <v>902000099</v>
          </cell>
          <cell r="B94" t="str">
            <v>PLANCHA P/BARRA PECANAS STB UND</v>
          </cell>
          <cell r="C94" t="str">
            <v xml:space="preserve">ESP-RE-POS-057 </v>
          </cell>
          <cell r="D94" t="str">
            <v>05</v>
          </cell>
          <cell r="E94" t="str">
            <v>Und</v>
          </cell>
          <cell r="F94" t="str">
            <v>Und</v>
          </cell>
          <cell r="G94">
            <v>2357.2325039323</v>
          </cell>
          <cell r="H94">
            <v>2357.2325039323</v>
          </cell>
          <cell r="I94">
            <v>19.864579180323449</v>
          </cell>
          <cell r="J94">
            <v>19.864579180323449</v>
          </cell>
          <cell r="K94">
            <v>427.8774749602722</v>
          </cell>
          <cell r="L94">
            <v>427.8774749602722</v>
          </cell>
          <cell r="M94">
            <v>2804.9745580728954</v>
          </cell>
        </row>
        <row r="95">
          <cell r="A95" t="str">
            <v>90200029</v>
          </cell>
          <cell r="B95" t="str">
            <v>RELLENO CHEESECAKE KILO</v>
          </cell>
          <cell r="C95" t="str">
            <v>ESP-RE-POS-038</v>
          </cell>
          <cell r="D95" t="str">
            <v>04</v>
          </cell>
          <cell r="E95" t="str">
            <v>Kilo</v>
          </cell>
          <cell r="F95" t="str">
            <v>Gramo</v>
          </cell>
          <cell r="G95">
            <v>2097.6815087034447</v>
          </cell>
          <cell r="H95">
            <v>2.0976815087034448</v>
          </cell>
          <cell r="I95">
            <v>7.4358974358974348E-3</v>
          </cell>
          <cell r="J95">
            <v>7.4358974358974352E-6</v>
          </cell>
          <cell r="K95">
            <v>377.58401002815845</v>
          </cell>
          <cell r="L95">
            <v>0.37758401002815845</v>
          </cell>
          <cell r="M95">
            <v>2475.2729546290388</v>
          </cell>
        </row>
        <row r="96">
          <cell r="A96" t="str">
            <v>903000001</v>
          </cell>
          <cell r="B96" t="str">
            <v xml:space="preserve">ROSQUETE ZANAHORIA/PIÑA 450g </v>
          </cell>
          <cell r="C96" t="str">
            <v>ESP-RE-BAS-001</v>
          </cell>
          <cell r="D96" t="str">
            <v>09</v>
          </cell>
          <cell r="E96" t="str">
            <v>Und</v>
          </cell>
          <cell r="F96" t="str">
            <v>Und</v>
          </cell>
          <cell r="G96">
            <v>476.18287219673095</v>
          </cell>
          <cell r="H96">
            <v>476.18287219673095</v>
          </cell>
          <cell r="I96">
            <v>0.28180393985507252</v>
          </cell>
          <cell r="J96">
            <v>0.28180393985507252</v>
          </cell>
          <cell r="K96">
            <v>85.763641704585481</v>
          </cell>
          <cell r="L96">
            <v>85.763641704585481</v>
          </cell>
          <cell r="M96">
            <v>562.22831784117147</v>
          </cell>
        </row>
        <row r="97">
          <cell r="A97" t="str">
            <v>903000002</v>
          </cell>
          <cell r="B97" t="str">
            <v>PLANCHA P/COCADAS 4300g (UND)</v>
          </cell>
          <cell r="C97" t="str">
            <v>ESP-RE-BAS-002</v>
          </cell>
          <cell r="D97" t="str">
            <v>05</v>
          </cell>
          <cell r="E97" t="str">
            <v>Und</v>
          </cell>
          <cell r="F97" t="str">
            <v>Und</v>
          </cell>
          <cell r="G97">
            <v>6831.8571846037476</v>
          </cell>
          <cell r="H97">
            <v>6831.8571846037476</v>
          </cell>
          <cell r="I97">
            <v>32</v>
          </cell>
          <cell r="J97">
            <v>32</v>
          </cell>
          <cell r="K97">
            <v>1235.4942932286745</v>
          </cell>
          <cell r="L97">
            <v>1235.4942932286745</v>
          </cell>
          <cell r="M97">
            <v>8099.3514778324225</v>
          </cell>
        </row>
        <row r="98">
          <cell r="A98" t="str">
            <v>903000003</v>
          </cell>
          <cell r="B98" t="str">
            <v>ROSQUETE P/ARROLLADO 1000g (UND)</v>
          </cell>
          <cell r="C98" t="str">
            <v>ESP-RE-BAS-110</v>
          </cell>
          <cell r="D98" t="str">
            <v>01</v>
          </cell>
          <cell r="E98" t="str">
            <v>Und</v>
          </cell>
          <cell r="F98" t="str">
            <v>Und</v>
          </cell>
          <cell r="G98">
            <v>1165.8167820170022</v>
          </cell>
          <cell r="H98">
            <v>1165.8167820170022</v>
          </cell>
          <cell r="I98">
            <v>89.036214397777769</v>
          </cell>
          <cell r="J98">
            <v>89.036214397777769</v>
          </cell>
          <cell r="K98">
            <v>225.87353935466038</v>
          </cell>
          <cell r="L98">
            <v>225.87353935466038</v>
          </cell>
          <cell r="M98">
            <v>1480.7265357694403</v>
          </cell>
        </row>
        <row r="99">
          <cell r="A99" t="str">
            <v>903000023</v>
          </cell>
          <cell r="B99" t="str">
            <v>ROSQUETE CHOCOLATE PILLSBURY (280g)</v>
          </cell>
          <cell r="C99" t="str">
            <v/>
          </cell>
          <cell r="D99" t="str">
            <v>03</v>
          </cell>
          <cell r="E99" t="str">
            <v>Und</v>
          </cell>
          <cell r="F99" t="str">
            <v>Und</v>
          </cell>
          <cell r="G99">
            <v>374.1199286163814</v>
          </cell>
          <cell r="H99">
            <v>374.1199286163814</v>
          </cell>
          <cell r="I99">
            <v>0.22628643002599999</v>
          </cell>
          <cell r="J99">
            <v>0.22628643002599999</v>
          </cell>
          <cell r="K99">
            <v>67.382318708353324</v>
          </cell>
          <cell r="L99">
            <v>67.382318708353324</v>
          </cell>
          <cell r="M99">
            <v>441.72853375476075</v>
          </cell>
        </row>
        <row r="100">
          <cell r="A100" t="str">
            <v>903000025</v>
          </cell>
          <cell r="B100" t="str">
            <v>ROSQUETE BROWNIE CASERO 2000g</v>
          </cell>
          <cell r="C100" t="str">
            <v>ESP-RE-BAS-037</v>
          </cell>
          <cell r="D100" t="str">
            <v>04</v>
          </cell>
          <cell r="E100" t="str">
            <v>Und</v>
          </cell>
          <cell r="F100" t="str">
            <v>Und</v>
          </cell>
          <cell r="G100">
            <v>1162.0559085511984</v>
          </cell>
          <cell r="H100">
            <v>1162.0559085511984</v>
          </cell>
          <cell r="I100">
            <v>61.976761904761908</v>
          </cell>
          <cell r="J100">
            <v>61.976761904761908</v>
          </cell>
          <cell r="K100">
            <v>220.32588068207284</v>
          </cell>
          <cell r="L100">
            <v>220.32588068207284</v>
          </cell>
          <cell r="M100">
            <v>1444.3585511380331</v>
          </cell>
        </row>
        <row r="101">
          <cell r="A101" t="str">
            <v>903000026</v>
          </cell>
          <cell r="B101" t="str">
            <v>ROSQUETE TRES LECHES 430g</v>
          </cell>
          <cell r="C101" t="str">
            <v>ESP-RE-BAS-039</v>
          </cell>
          <cell r="D101" t="str">
            <v>15</v>
          </cell>
          <cell r="E101" t="str">
            <v>Und</v>
          </cell>
          <cell r="F101" t="str">
            <v>Und</v>
          </cell>
          <cell r="G101">
            <v>208.52489945055927</v>
          </cell>
          <cell r="H101">
            <v>208.52489945055927</v>
          </cell>
          <cell r="I101">
            <v>323.18450547777775</v>
          </cell>
          <cell r="J101">
            <v>323.18450547777775</v>
          </cell>
          <cell r="K101">
            <v>95.707692887100649</v>
          </cell>
          <cell r="L101">
            <v>95.707692887100649</v>
          </cell>
          <cell r="M101">
            <v>627.41709781543761</v>
          </cell>
        </row>
        <row r="102">
          <cell r="A102" t="str">
            <v>903000028</v>
          </cell>
          <cell r="B102" t="str">
            <v>ROSQUETE TRES LECHES 750g</v>
          </cell>
          <cell r="C102">
            <v>0</v>
          </cell>
          <cell r="D102">
            <v>0</v>
          </cell>
          <cell r="E102" t="str">
            <v>Und</v>
          </cell>
          <cell r="F102" t="str">
            <v>Und</v>
          </cell>
          <cell r="G102">
            <v>355.29749208411636</v>
          </cell>
          <cell r="H102">
            <v>355.29749208411636</v>
          </cell>
          <cell r="I102">
            <v>10.743098145079363</v>
          </cell>
          <cell r="J102">
            <v>10.743098145079363</v>
          </cell>
          <cell r="K102">
            <v>65.887306241255231</v>
          </cell>
          <cell r="L102">
            <v>65.887306241255231</v>
          </cell>
          <cell r="M102">
            <v>431.92789647045095</v>
          </cell>
        </row>
        <row r="103">
          <cell r="A103" t="str">
            <v>903000029</v>
          </cell>
          <cell r="B103" t="str">
            <v>ROSQUETE TRES LECHES 230g</v>
          </cell>
          <cell r="C103" t="str">
            <v>ESP-RE-BAS-042</v>
          </cell>
          <cell r="D103" t="str">
            <v>04</v>
          </cell>
          <cell r="E103" t="str">
            <v>UND</v>
          </cell>
          <cell r="F103" t="str">
            <v>Und</v>
          </cell>
          <cell r="G103">
            <v>105.58664706191705</v>
          </cell>
          <cell r="H103">
            <v>105.58664706191705</v>
          </cell>
          <cell r="I103">
            <v>9.4914416844322336</v>
          </cell>
          <cell r="J103">
            <v>9.4914416844322336</v>
          </cell>
          <cell r="K103">
            <v>20.71405597434287</v>
          </cell>
          <cell r="L103">
            <v>20.71405597434287</v>
          </cell>
          <cell r="M103">
            <v>135.79214472069214</v>
          </cell>
        </row>
        <row r="104">
          <cell r="A104" t="str">
            <v>903000033</v>
          </cell>
          <cell r="B104" t="str">
            <v>ROSQUETE CHOCOLATE PILLSBURY 70g</v>
          </cell>
          <cell r="C104" t="str">
            <v>ESP-RE-BAS-050</v>
          </cell>
          <cell r="D104" t="str">
            <v>04</v>
          </cell>
          <cell r="E104" t="str">
            <v>Und</v>
          </cell>
          <cell r="F104" t="str">
            <v>Und</v>
          </cell>
          <cell r="G104">
            <v>96.182540486578105</v>
          </cell>
          <cell r="H104">
            <v>96.182540486578105</v>
          </cell>
          <cell r="I104">
            <v>1.4336167149080459</v>
          </cell>
          <cell r="J104">
            <v>1.4336167149080459</v>
          </cell>
          <cell r="K104">
            <v>17.570908296267504</v>
          </cell>
          <cell r="L104">
            <v>17.570908296267504</v>
          </cell>
          <cell r="M104">
            <v>115.18706549775365</v>
          </cell>
        </row>
        <row r="105">
          <cell r="A105" t="str">
            <v>903000039</v>
          </cell>
          <cell r="B105" t="str">
            <v>ROSQUETE CHOCOLATE BUCCA 425g</v>
          </cell>
          <cell r="C105" t="str">
            <v>ESP-RE-BAF-001</v>
          </cell>
          <cell r="D105" t="str">
            <v>05</v>
          </cell>
          <cell r="E105" t="str">
            <v>UND</v>
          </cell>
          <cell r="F105" t="str">
            <v>Und</v>
          </cell>
          <cell r="G105">
            <v>480.73631478935692</v>
          </cell>
          <cell r="H105">
            <v>480.73631478935692</v>
          </cell>
          <cell r="I105">
            <v>4.8216887665165169</v>
          </cell>
          <cell r="J105">
            <v>4.8216887665165169</v>
          </cell>
          <cell r="K105">
            <v>87.400440640057212</v>
          </cell>
          <cell r="L105">
            <v>87.400440640057212</v>
          </cell>
          <cell r="M105">
            <v>572.95844419593061</v>
          </cell>
        </row>
        <row r="106">
          <cell r="A106" t="str">
            <v>903000040</v>
          </cell>
          <cell r="B106" t="str">
            <v>ROSQUETE VAINILLA PURATOS BUCCA 350g</v>
          </cell>
          <cell r="C106" t="str">
            <v xml:space="preserve">ESP-RE-BAF-002 </v>
          </cell>
          <cell r="D106" t="str">
            <v>06</v>
          </cell>
          <cell r="E106" t="str">
            <v>Und</v>
          </cell>
          <cell r="F106" t="str">
            <v>Und</v>
          </cell>
          <cell r="G106">
            <v>334.20860188164187</v>
          </cell>
          <cell r="H106">
            <v>334.20860188164187</v>
          </cell>
          <cell r="I106">
            <v>3.8948880405392599</v>
          </cell>
          <cell r="J106">
            <v>3.8948880405392599</v>
          </cell>
          <cell r="K106">
            <v>60.858628185992607</v>
          </cell>
          <cell r="L106">
            <v>60.858628185992607</v>
          </cell>
          <cell r="M106">
            <v>398.96211810817374</v>
          </cell>
        </row>
        <row r="107">
          <cell r="A107" t="str">
            <v>903000043</v>
          </cell>
          <cell r="B107" t="str">
            <v>ROSQUETE VAINILLA PURATOS BUCCA 200g</v>
          </cell>
          <cell r="C107" t="str">
            <v>ESP-RE-BAF-007</v>
          </cell>
          <cell r="D107" t="str">
            <v>05</v>
          </cell>
          <cell r="E107" t="str">
            <v>Und</v>
          </cell>
          <cell r="F107" t="str">
            <v>Und</v>
          </cell>
          <cell r="G107">
            <v>184.53051038511796</v>
          </cell>
          <cell r="H107">
            <v>184.53051038511796</v>
          </cell>
          <cell r="I107">
            <v>2.8672181586021503</v>
          </cell>
          <cell r="J107">
            <v>2.8672181586021503</v>
          </cell>
          <cell r="K107">
            <v>33.731591137869621</v>
          </cell>
          <cell r="L107">
            <v>33.731591137869621</v>
          </cell>
          <cell r="M107">
            <v>221.12931968158975</v>
          </cell>
        </row>
        <row r="108">
          <cell r="A108" t="str">
            <v>903000045</v>
          </cell>
          <cell r="B108" t="str">
            <v>ROSQUETE CHOCOLATE PASTELERO REAL 1800g</v>
          </cell>
          <cell r="C108" t="str">
            <v>ESP-RE-BAF-010</v>
          </cell>
          <cell r="D108" t="str">
            <v>05</v>
          </cell>
          <cell r="E108" t="str">
            <v>Und</v>
          </cell>
          <cell r="F108" t="str">
            <v>Und</v>
          </cell>
          <cell r="G108">
            <v>2001.3919189528697</v>
          </cell>
          <cell r="H108">
            <v>2001.3919189528697</v>
          </cell>
          <cell r="I108">
            <v>26.197938902913215</v>
          </cell>
          <cell r="J108">
            <v>26.197938902913215</v>
          </cell>
          <cell r="K108">
            <v>364.96617441404089</v>
          </cell>
          <cell r="L108">
            <v>364.96617441404089</v>
          </cell>
          <cell r="M108">
            <v>2392.5560322698238</v>
          </cell>
        </row>
        <row r="109">
          <cell r="A109" t="str">
            <v>903000048</v>
          </cell>
          <cell r="B109" t="str">
            <v>ROSQUETE VAINILLA PASTELERO REAL 1800g</v>
          </cell>
          <cell r="C109" t="str">
            <v>ESP-RE-BAF-014</v>
          </cell>
          <cell r="D109" t="str">
            <v>05</v>
          </cell>
          <cell r="E109" t="str">
            <v>Und</v>
          </cell>
          <cell r="F109" t="str">
            <v>Und</v>
          </cell>
          <cell r="G109">
            <v>1746.060123738192</v>
          </cell>
          <cell r="H109">
            <v>1746.060123738192</v>
          </cell>
          <cell r="I109">
            <v>13.344161011077844</v>
          </cell>
          <cell r="J109">
            <v>13.344161011077844</v>
          </cell>
          <cell r="K109">
            <v>316.69277125486855</v>
          </cell>
          <cell r="L109">
            <v>316.69277125486855</v>
          </cell>
          <cell r="M109">
            <v>2076.0970560041383</v>
          </cell>
        </row>
        <row r="110">
          <cell r="A110" t="str">
            <v>903000051</v>
          </cell>
          <cell r="B110" t="str">
            <v>ROSQUETE VAINILLA PURATOS 400g</v>
          </cell>
          <cell r="C110" t="str">
            <v>ESP-RE-BAF-017</v>
          </cell>
          <cell r="D110" t="str">
            <v>02</v>
          </cell>
          <cell r="E110" t="str">
            <v>Und</v>
          </cell>
          <cell r="F110" t="str">
            <v>Und</v>
          </cell>
          <cell r="G110">
            <v>394.90839941198595</v>
          </cell>
          <cell r="H110">
            <v>394.90839941198595</v>
          </cell>
          <cell r="I110">
            <v>4.9127828999449372</v>
          </cell>
          <cell r="J110">
            <v>4.9127828999449372</v>
          </cell>
          <cell r="K110">
            <v>71.967812816147557</v>
          </cell>
          <cell r="L110">
            <v>71.967812816147557</v>
          </cell>
          <cell r="M110">
            <v>471.78899512807845</v>
          </cell>
        </row>
        <row r="111">
          <cell r="A111" t="str">
            <v>903000052</v>
          </cell>
          <cell r="B111" t="str">
            <v>ROSQUETE CHOCOLATE PURATOS 400g</v>
          </cell>
          <cell r="C111" t="str">
            <v>ESP-RE-BAF-018</v>
          </cell>
          <cell r="D111" t="str">
            <v>05</v>
          </cell>
          <cell r="E111" t="str">
            <v>Und</v>
          </cell>
          <cell r="F111" t="str">
            <v>Und</v>
          </cell>
          <cell r="G111">
            <v>457.2723876180616</v>
          </cell>
          <cell r="H111">
            <v>457.2723876180616</v>
          </cell>
          <cell r="I111">
            <v>4.8474173849396944</v>
          </cell>
          <cell r="J111">
            <v>4.8474173849396944</v>
          </cell>
          <cell r="K111">
            <v>83.181564900540238</v>
          </cell>
          <cell r="L111">
            <v>83.181564900540238</v>
          </cell>
          <cell r="M111">
            <v>545.30136990354151</v>
          </cell>
        </row>
        <row r="112">
          <cell r="A112" t="str">
            <v>903000058</v>
          </cell>
          <cell r="B112" t="str">
            <v>MUFFIN NARANJA 90g UND</v>
          </cell>
          <cell r="C112" t="str">
            <v xml:space="preserve">ESP-RE-BAF-026 </v>
          </cell>
          <cell r="D112" t="str">
            <v>07</v>
          </cell>
          <cell r="E112" t="str">
            <v>Und</v>
          </cell>
          <cell r="F112" t="str">
            <v>Und</v>
          </cell>
          <cell r="G112">
            <v>77.492132516470591</v>
          </cell>
          <cell r="H112">
            <v>77.492132516470591</v>
          </cell>
          <cell r="I112">
            <v>8.3269061876247505</v>
          </cell>
          <cell r="J112">
            <v>8.3269061876247505</v>
          </cell>
          <cell r="K112">
            <v>15.44742696673716</v>
          </cell>
          <cell r="L112">
            <v>15.44742696673716</v>
          </cell>
          <cell r="M112">
            <v>101.26646567083249</v>
          </cell>
        </row>
        <row r="113">
          <cell r="A113" t="str">
            <v>903000062</v>
          </cell>
          <cell r="B113" t="str">
            <v>ROSQUETE VAINILLA P.REAL 650g</v>
          </cell>
          <cell r="C113" t="str">
            <v xml:space="preserve">ESP-RE-BAF-035 </v>
          </cell>
          <cell r="D113" t="str">
            <v>02</v>
          </cell>
          <cell r="E113" t="str">
            <v>Und</v>
          </cell>
          <cell r="F113" t="str">
            <v>Und</v>
          </cell>
          <cell r="G113">
            <v>638.77549519855984</v>
          </cell>
          <cell r="H113">
            <v>638.77549519855984</v>
          </cell>
          <cell r="I113">
            <v>26.326301454088444</v>
          </cell>
          <cell r="J113">
            <v>26.326301454088444</v>
          </cell>
          <cell r="K113">
            <v>119.71832339747669</v>
          </cell>
          <cell r="L113">
            <v>119.71832339747669</v>
          </cell>
          <cell r="M113">
            <v>784.82012005012507</v>
          </cell>
        </row>
        <row r="114">
          <cell r="A114" t="str">
            <v>903000082</v>
          </cell>
          <cell r="B114" t="str">
            <v>PASTA ALFAJOR Y CHILENA BUCCA KILO</v>
          </cell>
          <cell r="C114" t="str">
            <v>ESP-RE-PAPS-043</v>
          </cell>
          <cell r="D114" t="str">
            <v>03</v>
          </cell>
          <cell r="E114" t="str">
            <v>Kilo</v>
          </cell>
          <cell r="F114" t="str">
            <v>Gramo</v>
          </cell>
          <cell r="G114">
            <v>1127.1891653067423</v>
          </cell>
          <cell r="H114">
            <v>1.1271891653067423</v>
          </cell>
          <cell r="I114">
            <v>4.9176877279476425</v>
          </cell>
          <cell r="J114">
            <v>4.9176877279476427E-3</v>
          </cell>
          <cell r="K114">
            <v>203.77923354624417</v>
          </cell>
          <cell r="L114">
            <v>0.20377923354624417</v>
          </cell>
          <cell r="M114">
            <v>1335.886086580934</v>
          </cell>
        </row>
        <row r="115">
          <cell r="A115" t="str">
            <v>903000100</v>
          </cell>
          <cell r="B115" t="str">
            <v>EMPANADA POLLO Y CEBOLLA (85G)</v>
          </cell>
          <cell r="C115" t="str">
            <v>ESP-RE-PAPS-161</v>
          </cell>
          <cell r="D115" t="str">
            <v>03</v>
          </cell>
          <cell r="E115" t="str">
            <v>Und</v>
          </cell>
          <cell r="F115" t="str">
            <v>Und</v>
          </cell>
          <cell r="G115">
            <v>197.52128845663506</v>
          </cell>
          <cell r="H115">
            <v>197.52128845663506</v>
          </cell>
          <cell r="I115">
            <v>3.1664621213240505</v>
          </cell>
          <cell r="J115">
            <v>3.1664621213240505</v>
          </cell>
          <cell r="K115">
            <v>36.123795104032638</v>
          </cell>
          <cell r="L115">
            <v>36.123795104032638</v>
          </cell>
          <cell r="M115">
            <v>236.81154568199176</v>
          </cell>
        </row>
        <row r="116">
          <cell r="A116" t="str">
            <v>903000101</v>
          </cell>
          <cell r="B116" t="str">
            <v>TAPA ALFAJOR PEQUEÑO (UND)</v>
          </cell>
          <cell r="C116" t="str">
            <v>ESP-RE-PAPS-110</v>
          </cell>
          <cell r="D116" t="str">
            <v>01</v>
          </cell>
          <cell r="E116" t="str">
            <v>Und</v>
          </cell>
          <cell r="F116" t="str">
            <v>Und</v>
          </cell>
          <cell r="G116">
            <v>11.124917021395646</v>
          </cell>
          <cell r="H116">
            <v>11.124917021395646</v>
          </cell>
          <cell r="I116">
            <v>4.7186384627688094E-2</v>
          </cell>
          <cell r="J116">
            <v>4.7186384627688094E-2</v>
          </cell>
          <cell r="K116">
            <v>2.0109786130842</v>
          </cell>
          <cell r="L116">
            <v>2.0109786130842</v>
          </cell>
          <cell r="M116">
            <v>13.183082019107534</v>
          </cell>
        </row>
        <row r="117">
          <cell r="A117" t="str">
            <v>903000127</v>
          </cell>
          <cell r="B117" t="str">
            <v>ENCHILADA DE CARNE CON PAPA UND</v>
          </cell>
          <cell r="C117" t="str">
            <v xml:space="preserve">ESP-RE-PAPS-144  </v>
          </cell>
          <cell r="D117" t="str">
            <v>03</v>
          </cell>
          <cell r="E117" t="str">
            <v>Und</v>
          </cell>
          <cell r="F117" t="str">
            <v>Und</v>
          </cell>
          <cell r="G117">
            <v>153.68430141795727</v>
          </cell>
          <cell r="H117">
            <v>153.68430141795727</v>
          </cell>
          <cell r="I117">
            <v>1.1027213302731091</v>
          </cell>
          <cell r="J117">
            <v>1.1027213302731091</v>
          </cell>
          <cell r="K117">
            <v>27.861664094681469</v>
          </cell>
          <cell r="L117">
            <v>27.861664094681469</v>
          </cell>
          <cell r="M117">
            <v>182.64868684291184</v>
          </cell>
        </row>
        <row r="118">
          <cell r="A118" t="str">
            <v>903000128</v>
          </cell>
          <cell r="B118" t="str">
            <v>SOMBRERO PALMITO 65g UND</v>
          </cell>
          <cell r="C118" t="str">
            <v>ESP-RE-PAPS-146</v>
          </cell>
          <cell r="D118" t="str">
            <v>01</v>
          </cell>
          <cell r="E118" t="str">
            <v>Und</v>
          </cell>
          <cell r="F118" t="str">
            <v>Und</v>
          </cell>
          <cell r="G118">
            <v>80.861116214986012</v>
          </cell>
          <cell r="H118">
            <v>80.861116214986012</v>
          </cell>
          <cell r="I118">
            <v>1.3088645629854605</v>
          </cell>
          <cell r="J118">
            <v>1.3088645629854605</v>
          </cell>
          <cell r="K118">
            <v>14.790596540034866</v>
          </cell>
          <cell r="L118">
            <v>14.790596540034866</v>
          </cell>
          <cell r="M118">
            <v>96.960577318006344</v>
          </cell>
        </row>
        <row r="119">
          <cell r="A119" t="str">
            <v>903000133</v>
          </cell>
          <cell r="B119" t="str">
            <v>ROSQUETE CHOCOLATE PASTELERO REAL 650g</v>
          </cell>
          <cell r="C119" t="str">
            <v xml:space="preserve">ESP-RE-BAF-041 </v>
          </cell>
          <cell r="D119" t="str">
            <v>03</v>
          </cell>
          <cell r="E119" t="str">
            <v>Und</v>
          </cell>
          <cell r="F119" t="str">
            <v>Und</v>
          </cell>
          <cell r="G119">
            <v>737.20144217212783</v>
          </cell>
          <cell r="H119">
            <v>737.20144217212783</v>
          </cell>
          <cell r="I119">
            <v>13.300281626629499</v>
          </cell>
          <cell r="J119">
            <v>13.300281626629499</v>
          </cell>
          <cell r="K119">
            <v>135.09031028377632</v>
          </cell>
          <cell r="L119">
            <v>135.09031028377632</v>
          </cell>
          <cell r="M119">
            <v>885.5920340825337</v>
          </cell>
        </row>
        <row r="120">
          <cell r="A120" t="str">
            <v>903000134</v>
          </cell>
          <cell r="B120" t="str">
            <v>CHILENA P/TRES LECHES (UND)</v>
          </cell>
          <cell r="C120" t="str">
            <v>ESP-RE-POS-051</v>
          </cell>
          <cell r="D120" t="str">
            <v>02</v>
          </cell>
          <cell r="E120" t="str">
            <v>Und</v>
          </cell>
          <cell r="F120" t="str">
            <v>Und</v>
          </cell>
          <cell r="G120">
            <v>574.12395552686064</v>
          </cell>
          <cell r="H120">
            <v>574.12395552686064</v>
          </cell>
          <cell r="I120">
            <v>1.4407043113950002</v>
          </cell>
          <cell r="J120">
            <v>1.4407043113950002</v>
          </cell>
          <cell r="K120">
            <v>103.60163877088603</v>
          </cell>
          <cell r="L120">
            <v>103.60163877088603</v>
          </cell>
          <cell r="M120">
            <v>679.16629860914168</v>
          </cell>
        </row>
        <row r="121">
          <cell r="A121" t="str">
            <v>903000142</v>
          </cell>
          <cell r="B121" t="str">
            <v>EMPANADA PIÑA PASTA FROLA UND</v>
          </cell>
          <cell r="C121">
            <v>0</v>
          </cell>
          <cell r="D121">
            <v>0</v>
          </cell>
          <cell r="E121" t="str">
            <v>Und</v>
          </cell>
          <cell r="F121" t="str">
            <v>Und</v>
          </cell>
          <cell r="G121" t="e">
            <v>#N/A</v>
          </cell>
          <cell r="H121" t="e">
            <v>#N/A</v>
          </cell>
          <cell r="I121">
            <v>1.6902493777216936</v>
          </cell>
          <cell r="J121">
            <v>1.6902493777216936</v>
          </cell>
          <cell r="K121" t="e">
            <v>#N/A</v>
          </cell>
          <cell r="L121" t="e">
            <v>#N/A</v>
          </cell>
          <cell r="M121" t="e">
            <v>#N/A</v>
          </cell>
        </row>
        <row r="122">
          <cell r="A122" t="str">
            <v>903000144</v>
          </cell>
          <cell r="B122" t="str">
            <v>RUEDA FROLA 14 CM</v>
          </cell>
          <cell r="C122" t="str">
            <v>ESP-RE-PAPS-163</v>
          </cell>
          <cell r="D122" t="str">
            <v>02</v>
          </cell>
          <cell r="E122" t="str">
            <v>Und</v>
          </cell>
          <cell r="F122" t="str">
            <v>Und</v>
          </cell>
          <cell r="G122">
            <v>50.414162401066655</v>
          </cell>
          <cell r="H122">
            <v>50.414162401066655</v>
          </cell>
          <cell r="I122">
            <v>0.31976190476190475</v>
          </cell>
          <cell r="J122">
            <v>0.31976190476190475</v>
          </cell>
          <cell r="K122">
            <v>9.1321063750491405</v>
          </cell>
          <cell r="L122">
            <v>9.1321063750491405</v>
          </cell>
          <cell r="M122">
            <v>59.866030680877699</v>
          </cell>
        </row>
        <row r="123">
          <cell r="A123" t="str">
            <v>903000146</v>
          </cell>
          <cell r="B123" t="str">
            <v>EMPANADA POLLO Y HONGOS UND 130g</v>
          </cell>
          <cell r="C123" t="str">
            <v>ESP-RE-PAPS-164</v>
          </cell>
          <cell r="D123" t="str">
            <v>03</v>
          </cell>
          <cell r="E123" t="str">
            <v>Und</v>
          </cell>
          <cell r="F123" t="str">
            <v>Und</v>
          </cell>
          <cell r="G123">
            <v>263.23265239268454</v>
          </cell>
          <cell r="H123">
            <v>263.23265239268454</v>
          </cell>
          <cell r="I123">
            <v>2.2578016058070545</v>
          </cell>
          <cell r="J123">
            <v>2.2578016058070545</v>
          </cell>
          <cell r="K123">
            <v>47.788281719728488</v>
          </cell>
          <cell r="L123">
            <v>47.788281719728488</v>
          </cell>
          <cell r="M123">
            <v>313.2787357182201</v>
          </cell>
        </row>
        <row r="124">
          <cell r="A124" t="str">
            <v>903000154</v>
          </cell>
          <cell r="B124" t="str">
            <v>RUEDA HOJALDRE EMPANADA POLLO PEQ</v>
          </cell>
          <cell r="C124" t="str">
            <v>ESP-RE-PAPS-173</v>
          </cell>
          <cell r="D124" t="str">
            <v>01</v>
          </cell>
          <cell r="E124" t="str">
            <v>Und</v>
          </cell>
          <cell r="F124" t="str">
            <v>Und</v>
          </cell>
          <cell r="G124">
            <v>20.164779185254904</v>
          </cell>
          <cell r="H124">
            <v>20.164779185254904</v>
          </cell>
          <cell r="I124">
            <v>0.10319654528478056</v>
          </cell>
          <cell r="J124">
            <v>0.10319654528478056</v>
          </cell>
          <cell r="K124">
            <v>3.6482356314971431</v>
          </cell>
          <cell r="L124">
            <v>3.6482356314971431</v>
          </cell>
          <cell r="M124">
            <v>23.91621136203683</v>
          </cell>
        </row>
        <row r="125">
          <cell r="A125" t="str">
            <v>903000155</v>
          </cell>
          <cell r="B125" t="str">
            <v>CUADRO HOJALDRE ENCHILADA PAPA Y CARNE</v>
          </cell>
          <cell r="C125" t="str">
            <v>ESP-RE-PAPS-172</v>
          </cell>
          <cell r="D125" t="str">
            <v>01</v>
          </cell>
          <cell r="E125" t="str">
            <v>Und</v>
          </cell>
          <cell r="F125" t="str">
            <v>Und</v>
          </cell>
          <cell r="G125">
            <v>31.895010763607846</v>
          </cell>
          <cell r="H125">
            <v>31.895010763607846</v>
          </cell>
          <cell r="I125">
            <v>0.16511447245564889</v>
          </cell>
          <cell r="J125">
            <v>0.16511447245564889</v>
          </cell>
          <cell r="K125">
            <v>5.7708225424914295</v>
          </cell>
          <cell r="L125">
            <v>5.7708225424914295</v>
          </cell>
          <cell r="M125">
            <v>37.830947778554929</v>
          </cell>
        </row>
        <row r="126">
          <cell r="A126" t="str">
            <v>903000159</v>
          </cell>
          <cell r="B126" t="str">
            <v>CORTE COSTILLAS PASTA HOJALDRE UND</v>
          </cell>
          <cell r="C126" t="str">
            <v>ESP-RE-PAPS-174</v>
          </cell>
          <cell r="D126" t="str">
            <v>01</v>
          </cell>
          <cell r="E126" t="str">
            <v>Und</v>
          </cell>
          <cell r="F126" t="str">
            <v>Und</v>
          </cell>
          <cell r="G126">
            <v>24.019132404705886</v>
          </cell>
          <cell r="H126">
            <v>24.019132404705886</v>
          </cell>
          <cell r="I126">
            <v>0.12383585434173668</v>
          </cell>
          <cell r="J126">
            <v>0.12383585434173668</v>
          </cell>
          <cell r="K126">
            <v>4.3457342866285718</v>
          </cell>
          <cell r="L126">
            <v>4.3457342866285718</v>
          </cell>
          <cell r="M126">
            <v>28.488702545676198</v>
          </cell>
        </row>
        <row r="127">
          <cell r="A127" t="str">
            <v>903000160</v>
          </cell>
          <cell r="B127" t="str">
            <v>COSTILLAS  HOJALDRE SIN RELLENO UND</v>
          </cell>
          <cell r="C127" t="str">
            <v>ESP-RE-PAPS-014</v>
          </cell>
          <cell r="D127" t="str">
            <v>05</v>
          </cell>
          <cell r="E127" t="str">
            <v>Und</v>
          </cell>
          <cell r="F127" t="str">
            <v>Und</v>
          </cell>
          <cell r="G127">
            <v>25.021328441618635</v>
          </cell>
          <cell r="H127">
            <v>25.021328441618635</v>
          </cell>
          <cell r="I127">
            <v>0.13953946840423667</v>
          </cell>
          <cell r="J127">
            <v>0.13953946840423667</v>
          </cell>
          <cell r="K127">
            <v>4.5289562238041166</v>
          </cell>
          <cell r="L127">
            <v>4.5289562238041166</v>
          </cell>
          <cell r="M127">
            <v>29.689824133826988</v>
          </cell>
        </row>
        <row r="128">
          <cell r="A128" t="str">
            <v>903000161</v>
          </cell>
          <cell r="B128" t="str">
            <v xml:space="preserve">RUEDA FROLA EMPANADA TRES QUESOS </v>
          </cell>
          <cell r="C128" t="str">
            <v>ESP-RE-PAPS-176</v>
          </cell>
          <cell r="D128" t="str">
            <v>01</v>
          </cell>
          <cell r="E128" t="str">
            <v>Und</v>
          </cell>
          <cell r="F128" t="str">
            <v>Und</v>
          </cell>
          <cell r="G128">
            <v>17.996581549889061</v>
          </cell>
          <cell r="H128">
            <v>17.996581549889061</v>
          </cell>
          <cell r="I128">
            <v>0.11551570278145126</v>
          </cell>
          <cell r="J128">
            <v>0.11551570278145126</v>
          </cell>
          <cell r="K128">
            <v>3.2601775054806921</v>
          </cell>
          <cell r="L128">
            <v>3.2601775054806921</v>
          </cell>
          <cell r="M128">
            <v>21.372274758151203</v>
          </cell>
        </row>
        <row r="129">
          <cell r="A129" t="str">
            <v>903000162</v>
          </cell>
          <cell r="B129" t="str">
            <v xml:space="preserve">RUEDA FROLA EMPANADA POLLO Y CEBOLLA </v>
          </cell>
          <cell r="C129" t="str">
            <v>ESP-RE-PAPS-175</v>
          </cell>
          <cell r="D129" t="str">
            <v>01</v>
          </cell>
          <cell r="E129" t="str">
            <v>Und</v>
          </cell>
          <cell r="F129" t="str">
            <v>Und</v>
          </cell>
          <cell r="G129">
            <v>33.371285131353993</v>
          </cell>
          <cell r="H129">
            <v>33.371285131353993</v>
          </cell>
          <cell r="I129">
            <v>0.21659194271522111</v>
          </cell>
          <cell r="J129">
            <v>0.21659194271522111</v>
          </cell>
          <cell r="K129">
            <v>6.0458178733324583</v>
          </cell>
          <cell r="L129">
            <v>6.0458178733324583</v>
          </cell>
          <cell r="M129">
            <v>39.633694947401672</v>
          </cell>
        </row>
        <row r="130">
          <cell r="A130" t="str">
            <v>903000172</v>
          </cell>
          <cell r="B130" t="str">
            <v xml:space="preserve">GALLETA CHILENA 17 CM </v>
          </cell>
          <cell r="C130" t="str">
            <v>ESP-RE-PAPS-181</v>
          </cell>
          <cell r="D130" t="str">
            <v>01</v>
          </cell>
          <cell r="E130" t="str">
            <v>Und</v>
          </cell>
          <cell r="F130" t="str">
            <v>Und</v>
          </cell>
          <cell r="G130">
            <v>97.770409055286677</v>
          </cell>
          <cell r="H130">
            <v>97.770409055286677</v>
          </cell>
          <cell r="I130">
            <v>0.37036100550000006</v>
          </cell>
          <cell r="J130">
            <v>0.37036100550000006</v>
          </cell>
          <cell r="K130">
            <v>17.6653386109416</v>
          </cell>
          <cell r="L130">
            <v>17.6653386109416</v>
          </cell>
          <cell r="M130">
            <v>115.80610867172828</v>
          </cell>
        </row>
        <row r="131">
          <cell r="A131" t="str">
            <v>903000175</v>
          </cell>
          <cell r="B131" t="str">
            <v>PREMEZCLA ALFAJOR CHOCO KILO</v>
          </cell>
          <cell r="C131">
            <v>0</v>
          </cell>
          <cell r="D131">
            <v>0</v>
          </cell>
          <cell r="E131" t="str">
            <v>Kilo</v>
          </cell>
          <cell r="F131" t="str">
            <v>Gramo</v>
          </cell>
          <cell r="G131">
            <v>1111.1105979254573</v>
          </cell>
          <cell r="H131">
            <v>1.1111105979254574</v>
          </cell>
          <cell r="I131">
            <v>7.0281628825932625</v>
          </cell>
          <cell r="J131">
            <v>7.0281628825932625E-3</v>
          </cell>
          <cell r="K131">
            <v>201.26497694544909</v>
          </cell>
          <cell r="L131">
            <v>0.20126497694544909</v>
          </cell>
          <cell r="M131">
            <v>1319.4037377534996</v>
          </cell>
        </row>
        <row r="132">
          <cell r="A132" t="str">
            <v>903000176</v>
          </cell>
          <cell r="B132" t="str">
            <v>CORTE ALFAJOR FLOR CHOCOLATE UND</v>
          </cell>
          <cell r="C132">
            <v>0</v>
          </cell>
          <cell r="D132">
            <v>0</v>
          </cell>
          <cell r="E132" t="str">
            <v>Und</v>
          </cell>
          <cell r="F132" t="str">
            <v>Und</v>
          </cell>
          <cell r="G132">
            <v>17.05858239223603</v>
          </cell>
          <cell r="H132">
            <v>17.05858239223603</v>
          </cell>
          <cell r="I132">
            <v>0.10676870748299321</v>
          </cell>
          <cell r="J132">
            <v>0.10676870748299321</v>
          </cell>
          <cell r="K132">
            <v>3.089763197949424</v>
          </cell>
          <cell r="L132">
            <v>3.089763197949424</v>
          </cell>
          <cell r="M132">
            <v>20.255114297668445</v>
          </cell>
        </row>
        <row r="133">
          <cell r="A133" t="str">
            <v>903000177</v>
          </cell>
          <cell r="B133" t="str">
            <v>CORTE GALLETA ALFAJOR FLOR UND</v>
          </cell>
          <cell r="C133" t="str">
            <v xml:space="preserve">ESP-RE-PAPS-187 </v>
          </cell>
          <cell r="D133" t="str">
            <v>01</v>
          </cell>
          <cell r="E133" t="str">
            <v>und</v>
          </cell>
          <cell r="F133" t="str">
            <v>Und</v>
          </cell>
          <cell r="G133">
            <v>17.459846158639255</v>
          </cell>
          <cell r="H133">
            <v>17.459846158639255</v>
          </cell>
          <cell r="I133">
            <v>7.5521632964910226E-2</v>
          </cell>
          <cell r="J133">
            <v>7.5521632964910226E-2</v>
          </cell>
          <cell r="K133">
            <v>3.15636620248875</v>
          </cell>
          <cell r="L133">
            <v>3.15636620248875</v>
          </cell>
          <cell r="M133">
            <v>20.691733994092917</v>
          </cell>
        </row>
        <row r="134">
          <cell r="A134" t="str">
            <v>903000179</v>
          </cell>
          <cell r="B134" t="str">
            <v>CORTE LAMINAS MIL HOJAS 57 g</v>
          </cell>
          <cell r="C134" t="str">
            <v>ESP-RE-POS-197</v>
          </cell>
          <cell r="D134" t="str">
            <v>01</v>
          </cell>
          <cell r="E134" t="str">
            <v>Und</v>
          </cell>
          <cell r="F134" t="str">
            <v>Und</v>
          </cell>
          <cell r="G134">
            <v>74.356785103247134</v>
          </cell>
          <cell r="H134">
            <v>74.356785103247134</v>
          </cell>
          <cell r="I134">
            <v>2.9973657132111082</v>
          </cell>
          <cell r="J134">
            <v>2.9973657132111082</v>
          </cell>
          <cell r="K134">
            <v>13.923747146962484</v>
          </cell>
          <cell r="L134">
            <v>13.923747146962484</v>
          </cell>
          <cell r="M134">
            <v>91.277897963420727</v>
          </cell>
        </row>
        <row r="135">
          <cell r="A135" t="str">
            <v>903000180</v>
          </cell>
          <cell r="B135" t="str">
            <v>CIRCULOS CHILENA INDIVIDUAL 14 cm</v>
          </cell>
          <cell r="C135" t="str">
            <v>ESP-RE-PAPS-103</v>
          </cell>
          <cell r="D135" t="str">
            <v>02</v>
          </cell>
          <cell r="E135" t="str">
            <v>Und</v>
          </cell>
          <cell r="F135" t="str">
            <v>Und</v>
          </cell>
          <cell r="G135">
            <v>71.366671995027176</v>
          </cell>
          <cell r="H135">
            <v>71.366671995027176</v>
          </cell>
          <cell r="I135">
            <v>0.2743414855555556</v>
          </cell>
          <cell r="J135">
            <v>0.2743414855555556</v>
          </cell>
          <cell r="K135">
            <v>12.89538242650489</v>
          </cell>
          <cell r="L135">
            <v>12.89538242650489</v>
          </cell>
          <cell r="M135">
            <v>84.536395907087623</v>
          </cell>
        </row>
        <row r="136">
          <cell r="A136" t="str">
            <v>904000002</v>
          </cell>
          <cell r="B136" t="str">
            <v>SALSA FRESA KILO</v>
          </cell>
          <cell r="C136" t="str">
            <v>ESP-RE-DES-108</v>
          </cell>
          <cell r="D136" t="str">
            <v>05</v>
          </cell>
          <cell r="E136" t="str">
            <v>Kilo</v>
          </cell>
          <cell r="F136" t="str">
            <v>Gramo</v>
          </cell>
          <cell r="G136">
            <v>2065.7138590009872</v>
          </cell>
          <cell r="H136">
            <v>2.0657138590009874</v>
          </cell>
          <cell r="I136">
            <v>18.448496951582491</v>
          </cell>
          <cell r="J136">
            <v>1.8448496951582492E-2</v>
          </cell>
          <cell r="K136">
            <v>375.14922407146253</v>
          </cell>
          <cell r="L136">
            <v>0.37514922407146251</v>
          </cell>
          <cell r="M136">
            <v>2459.3115800240321</v>
          </cell>
        </row>
        <row r="137">
          <cell r="A137" t="str">
            <v>904000003</v>
          </cell>
          <cell r="B137" t="str">
            <v>SALSA LIMON/ALCAPARRAS (KILO)</v>
          </cell>
          <cell r="C137" t="str">
            <v>ESP-RE-COCS-021</v>
          </cell>
          <cell r="D137" t="str">
            <v>06</v>
          </cell>
          <cell r="E137" t="str">
            <v>Kilo</v>
          </cell>
          <cell r="F137" t="str">
            <v>Gramo</v>
          </cell>
          <cell r="G137" t="e">
            <v>#N/A</v>
          </cell>
          <cell r="H137" t="e">
            <v>#N/A</v>
          </cell>
          <cell r="I137" t="e">
            <v>#N/A</v>
          </cell>
          <cell r="J137" t="e">
            <v>#N/A</v>
          </cell>
          <cell r="K137" t="e">
            <v>#N/A</v>
          </cell>
          <cell r="L137" t="e">
            <v>#N/A</v>
          </cell>
          <cell r="M137" t="e">
            <v>#N/A</v>
          </cell>
        </row>
        <row r="138">
          <cell r="A138" t="str">
            <v>904000004</v>
          </cell>
          <cell r="B138" t="str">
            <v>SALSA TAMARINDO (KILO)</v>
          </cell>
          <cell r="C138" t="str">
            <v xml:space="preserve">ESP-RE-COCS-023 </v>
          </cell>
          <cell r="D138" t="str">
            <v>10</v>
          </cell>
          <cell r="E138" t="str">
            <v>Kilo</v>
          </cell>
          <cell r="F138" t="str">
            <v>Gramo</v>
          </cell>
          <cell r="G138">
            <v>994.32677066597023</v>
          </cell>
          <cell r="H138">
            <v>0.99432677066597019</v>
          </cell>
          <cell r="I138">
            <v>4.7187830687830692</v>
          </cell>
          <cell r="J138">
            <v>4.7187830687830693E-3</v>
          </cell>
          <cell r="K138">
            <v>179.82819967225558</v>
          </cell>
          <cell r="L138">
            <v>0.17982819967225558</v>
          </cell>
          <cell r="M138">
            <v>1178.873753407009</v>
          </cell>
        </row>
        <row r="139">
          <cell r="A139" t="str">
            <v>904000006</v>
          </cell>
          <cell r="B139" t="str">
            <v>SALSA ROJA SPOON KILO</v>
          </cell>
          <cell r="C139" t="str">
            <v>ESP-RE-COCS-025</v>
          </cell>
          <cell r="D139" t="str">
            <v>11</v>
          </cell>
          <cell r="E139" t="str">
            <v>Kilo</v>
          </cell>
          <cell r="F139" t="str">
            <v>Gramo</v>
          </cell>
          <cell r="G139">
            <v>1352.8676339899425</v>
          </cell>
          <cell r="H139">
            <v>1.3528676339899426</v>
          </cell>
          <cell r="I139">
            <v>2.2736692913385825</v>
          </cell>
          <cell r="J139">
            <v>2.2736692913385825E-3</v>
          </cell>
          <cell r="K139">
            <v>243.9254345906306</v>
          </cell>
          <cell r="L139">
            <v>0.2439254345906306</v>
          </cell>
          <cell r="M139">
            <v>1599.0667378719118</v>
          </cell>
        </row>
        <row r="140">
          <cell r="A140" t="str">
            <v>904000007</v>
          </cell>
          <cell r="B140" t="str">
            <v>SALSA P/PECHUGA RELLENA (KILO)</v>
          </cell>
          <cell r="C140" t="str">
            <v>ESP-RE-COCS-036</v>
          </cell>
          <cell r="D140" t="str">
            <v>10</v>
          </cell>
          <cell r="E140" t="str">
            <v>Kilo</v>
          </cell>
          <cell r="F140" t="str">
            <v>Gramo</v>
          </cell>
          <cell r="G140">
            <v>2271.1665452662724</v>
          </cell>
          <cell r="H140">
            <v>2.2711665452662722</v>
          </cell>
          <cell r="I140">
            <v>0.385625</v>
          </cell>
          <cell r="J140">
            <v>3.8562500000000001E-4</v>
          </cell>
          <cell r="K140">
            <v>408.87939064792897</v>
          </cell>
          <cell r="L140">
            <v>0.408879390647929</v>
          </cell>
          <cell r="M140">
            <v>2680.4315609142013</v>
          </cell>
        </row>
        <row r="141">
          <cell r="A141" t="str">
            <v>904000009</v>
          </cell>
          <cell r="B141" t="str">
            <v>SALSA P/ARREGLADO (KILO)</v>
          </cell>
          <cell r="C141" t="str">
            <v>ESP-RE-COFS-059</v>
          </cell>
          <cell r="D141" t="str">
            <v>06</v>
          </cell>
          <cell r="E141" t="str">
            <v>Kilo</v>
          </cell>
          <cell r="F141" t="str">
            <v>Gramo</v>
          </cell>
          <cell r="G141">
            <v>843.37340622959209</v>
          </cell>
          <cell r="H141">
            <v>0.84337340622959212</v>
          </cell>
          <cell r="I141">
            <v>21.782539682539685</v>
          </cell>
          <cell r="J141">
            <v>2.1782539682539685E-2</v>
          </cell>
          <cell r="K141">
            <v>155.72807026418371</v>
          </cell>
          <cell r="L141">
            <v>0.15572807026418373</v>
          </cell>
          <cell r="M141">
            <v>1020.8840161763155</v>
          </cell>
        </row>
        <row r="142">
          <cell r="A142" t="str">
            <v>904000014</v>
          </cell>
          <cell r="B142" t="str">
            <v>ADEREZO GRILL (KILO)</v>
          </cell>
          <cell r="C142" t="str">
            <v>ESP-RE-COFS-001</v>
          </cell>
          <cell r="D142" t="str">
            <v>11</v>
          </cell>
          <cell r="E142" t="str">
            <v>Kilo</v>
          </cell>
          <cell r="F142" t="str">
            <v>Gramo</v>
          </cell>
          <cell r="G142" t="e">
            <v>#N/A</v>
          </cell>
          <cell r="H142" t="e">
            <v>#N/A</v>
          </cell>
          <cell r="I142" t="e">
            <v>#N/A</v>
          </cell>
          <cell r="J142" t="e">
            <v>#N/A</v>
          </cell>
          <cell r="K142" t="e">
            <v>#N/A</v>
          </cell>
          <cell r="L142" t="e">
            <v>#N/A</v>
          </cell>
          <cell r="M142" t="e">
            <v>#N/A</v>
          </cell>
        </row>
        <row r="143">
          <cell r="A143" t="str">
            <v>904000017</v>
          </cell>
          <cell r="B143" t="str">
            <v>ADEREZO ALCAPARRAS/ANCHOAS (KILO)</v>
          </cell>
          <cell r="C143" t="str">
            <v>ESP-RE-COFS-004</v>
          </cell>
          <cell r="D143" t="str">
            <v>08</v>
          </cell>
          <cell r="E143" t="str">
            <v>Kilo</v>
          </cell>
          <cell r="F143" t="str">
            <v>Gramo</v>
          </cell>
          <cell r="G143">
            <v>2311.4156719550401</v>
          </cell>
          <cell r="H143">
            <v>2.3114156719550403</v>
          </cell>
          <cell r="I143">
            <v>0.88238993653910436</v>
          </cell>
          <cell r="J143">
            <v>8.8238993653910432E-4</v>
          </cell>
          <cell r="K143">
            <v>416.21365114048427</v>
          </cell>
          <cell r="L143">
            <v>0.41621365114048425</v>
          </cell>
          <cell r="M143">
            <v>2728.5117130320637</v>
          </cell>
        </row>
        <row r="144">
          <cell r="A144" t="str">
            <v>904000018</v>
          </cell>
          <cell r="B144" t="str">
            <v>ADEREZO TEJANO (KILO)</v>
          </cell>
          <cell r="C144">
            <v>0</v>
          </cell>
          <cell r="D144">
            <v>0</v>
          </cell>
          <cell r="E144" t="str">
            <v>Kilo</v>
          </cell>
          <cell r="F144" t="str">
            <v>Gramo</v>
          </cell>
          <cell r="G144" t="e">
            <v>#N/A</v>
          </cell>
          <cell r="H144" t="e">
            <v>#N/A</v>
          </cell>
          <cell r="I144" t="e">
            <v>#N/A</v>
          </cell>
          <cell r="J144" t="e">
            <v>#N/A</v>
          </cell>
          <cell r="K144" t="e">
            <v>#N/A</v>
          </cell>
          <cell r="L144" t="e">
            <v>#N/A</v>
          </cell>
          <cell r="M144" t="e">
            <v>#N/A</v>
          </cell>
        </row>
        <row r="145">
          <cell r="A145" t="str">
            <v>904000020</v>
          </cell>
          <cell r="B145" t="str">
            <v>ADEREZO ACEITE AJO Y PEREJIL (KILO)</v>
          </cell>
          <cell r="C145" t="str">
            <v>ESP-RE-COFS-012</v>
          </cell>
          <cell r="D145" t="str">
            <v>05</v>
          </cell>
          <cell r="E145" t="str">
            <v>Kilo</v>
          </cell>
          <cell r="F145" t="str">
            <v>Gramo</v>
          </cell>
          <cell r="G145" t="e">
            <v>#N/A</v>
          </cell>
          <cell r="H145" t="e">
            <v>#N/A</v>
          </cell>
          <cell r="I145" t="e">
            <v>#N/A</v>
          </cell>
          <cell r="J145" t="e">
            <v>#N/A</v>
          </cell>
          <cell r="K145" t="e">
            <v>#N/A</v>
          </cell>
          <cell r="L145" t="e">
            <v>#N/A</v>
          </cell>
          <cell r="M145" t="e">
            <v>#N/A</v>
          </cell>
        </row>
        <row r="146">
          <cell r="A146" t="str">
            <v>904000021</v>
          </cell>
          <cell r="B146" t="str">
            <v>ADEREZO ALBAHACA KILO</v>
          </cell>
          <cell r="C146" t="str">
            <v>ESP-RE-COFS-013</v>
          </cell>
          <cell r="D146" t="str">
            <v>07</v>
          </cell>
          <cell r="E146" t="str">
            <v>Kilo</v>
          </cell>
          <cell r="F146" t="str">
            <v>Gramo</v>
          </cell>
          <cell r="G146">
            <v>1852.3829062013331</v>
          </cell>
          <cell r="H146">
            <v>1.8523829062013331</v>
          </cell>
          <cell r="I146">
            <v>24.634860549783554</v>
          </cell>
          <cell r="J146">
            <v>2.4634860549783553E-2</v>
          </cell>
          <cell r="K146">
            <v>337.86319801520096</v>
          </cell>
          <cell r="L146">
            <v>0.33786319801520098</v>
          </cell>
          <cell r="M146">
            <v>2214.8809647663174</v>
          </cell>
        </row>
        <row r="147">
          <cell r="A147" t="str">
            <v>904000022</v>
          </cell>
          <cell r="B147" t="str">
            <v>ADEREZO CHIPOTLE KILO</v>
          </cell>
          <cell r="C147" t="str">
            <v>ESP-RE-COFS-014</v>
          </cell>
          <cell r="D147" t="str">
            <v>09</v>
          </cell>
          <cell r="E147" t="str">
            <v>Kilo</v>
          </cell>
          <cell r="F147" t="str">
            <v>Gramo</v>
          </cell>
          <cell r="G147">
            <v>1829.1144435830888</v>
          </cell>
          <cell r="H147">
            <v>1.8291144435830888</v>
          </cell>
          <cell r="I147">
            <v>2.0263279655867694</v>
          </cell>
          <cell r="J147">
            <v>2.0263279655867695E-3</v>
          </cell>
          <cell r="K147">
            <v>329.60533887876159</v>
          </cell>
          <cell r="L147">
            <v>0.32960533887876159</v>
          </cell>
          <cell r="M147">
            <v>2160.7461104274371</v>
          </cell>
        </row>
        <row r="148">
          <cell r="A148" t="str">
            <v>904000024</v>
          </cell>
          <cell r="B148" t="str">
            <v>ADEREZO PESTO/ALBAHACA (KILO)</v>
          </cell>
          <cell r="C148" t="str">
            <v>ESP-RE-COFS-017</v>
          </cell>
          <cell r="D148" t="str">
            <v>01</v>
          </cell>
          <cell r="E148" t="str">
            <v>Kilo</v>
          </cell>
          <cell r="F148" t="str">
            <v>Gramo</v>
          </cell>
          <cell r="G148">
            <v>3237.1169253921566</v>
          </cell>
          <cell r="H148">
            <v>3.2371169253921566</v>
          </cell>
          <cell r="I148">
            <v>2.9813000000000001</v>
          </cell>
          <cell r="J148">
            <v>2.9813000000000001E-3</v>
          </cell>
          <cell r="K148">
            <v>583.21768057058819</v>
          </cell>
          <cell r="L148">
            <v>0.5832176805705882</v>
          </cell>
          <cell r="M148">
            <v>3823.3159059627446</v>
          </cell>
        </row>
        <row r="149">
          <cell r="A149" t="str">
            <v>904000026</v>
          </cell>
          <cell r="B149" t="str">
            <v>ADEREZO VINAGRETA ALBAHACA (KILO)</v>
          </cell>
          <cell r="C149" t="str">
            <v>ESP-RE-COFS-019</v>
          </cell>
          <cell r="D149" t="str">
            <v>03</v>
          </cell>
          <cell r="E149" t="str">
            <v>Kilo</v>
          </cell>
          <cell r="F149" t="str">
            <v>Gramo</v>
          </cell>
          <cell r="G149">
            <v>3118.7782368140674</v>
          </cell>
          <cell r="H149">
            <v>3.1187782368140673</v>
          </cell>
          <cell r="I149">
            <v>2.9249851632047474</v>
          </cell>
          <cell r="J149">
            <v>2.9249851632047476E-3</v>
          </cell>
          <cell r="K149">
            <v>561.90657995590902</v>
          </cell>
          <cell r="L149">
            <v>0.56190657995590898</v>
          </cell>
          <cell r="M149">
            <v>3683.6098019331812</v>
          </cell>
        </row>
        <row r="150">
          <cell r="A150" t="str">
            <v>904000030</v>
          </cell>
          <cell r="B150" t="str">
            <v>GALLETA 1/2 LUNA BAÑADO CHOCO LECHE UND</v>
          </cell>
          <cell r="C150" t="str">
            <v xml:space="preserve">ESP-RE-FIS-007 </v>
          </cell>
          <cell r="D150" t="str">
            <v>04</v>
          </cell>
          <cell r="E150" t="str">
            <v>Und</v>
          </cell>
          <cell r="F150" t="str">
            <v>Und</v>
          </cell>
          <cell r="G150">
            <v>20.63336667611064</v>
          </cell>
          <cell r="H150">
            <v>20.63336667611064</v>
          </cell>
          <cell r="I150">
            <v>0.18995501378625559</v>
          </cell>
          <cell r="J150">
            <v>0.18995501378625559</v>
          </cell>
          <cell r="K150">
            <v>3.7481979041814415</v>
          </cell>
          <cell r="L150">
            <v>3.7481979041814415</v>
          </cell>
          <cell r="M150">
            <v>24.571519594078339</v>
          </cell>
        </row>
        <row r="151">
          <cell r="A151" t="str">
            <v>904000034</v>
          </cell>
          <cell r="B151" t="str">
            <v xml:space="preserve">ALFAJOR C/ DULCE LECHE STB UND </v>
          </cell>
          <cell r="C151" t="str">
            <v xml:space="preserve">ESP-RE-FIS-014 </v>
          </cell>
          <cell r="D151" t="str">
            <v>04</v>
          </cell>
          <cell r="E151" t="str">
            <v>Und</v>
          </cell>
          <cell r="F151" t="str">
            <v>Und</v>
          </cell>
          <cell r="G151">
            <v>146.44815496592585</v>
          </cell>
          <cell r="H151">
            <v>146.44815496592585</v>
          </cell>
          <cell r="I151">
            <v>0.30698408929244192</v>
          </cell>
          <cell r="J151">
            <v>0.30698408929244192</v>
          </cell>
          <cell r="K151">
            <v>26.415925029939295</v>
          </cell>
          <cell r="L151">
            <v>26.415925029939295</v>
          </cell>
          <cell r="M151">
            <v>173.17106408515761</v>
          </cell>
        </row>
        <row r="152">
          <cell r="A152" t="str">
            <v>904000045</v>
          </cell>
          <cell r="B152" t="str">
            <v>SALSA ROJA ECONOMICA IND</v>
          </cell>
          <cell r="C152" t="str">
            <v>ESP-RE-COCS-063</v>
          </cell>
          <cell r="D152" t="str">
            <v>03</v>
          </cell>
          <cell r="E152" t="str">
            <v>Kilo</v>
          </cell>
          <cell r="F152" t="str">
            <v>Gramo</v>
          </cell>
          <cell r="G152">
            <v>74.698656974358983</v>
          </cell>
          <cell r="H152">
            <v>7.4698656974358985E-2</v>
          </cell>
          <cell r="I152">
            <v>0.20084297142857141</v>
          </cell>
          <cell r="J152">
            <v>2.0084297142857141E-4</v>
          </cell>
          <cell r="K152">
            <v>13.481909990241759</v>
          </cell>
          <cell r="L152">
            <v>1.3481909990241759E-2</v>
          </cell>
          <cell r="M152">
            <v>88.381409936029314</v>
          </cell>
        </row>
        <row r="153">
          <cell r="A153" t="str">
            <v>904000048</v>
          </cell>
          <cell r="B153" t="str">
            <v>SALSA PARA POLLO CON PAPAS FAS</v>
          </cell>
          <cell r="C153" t="str">
            <v>ESP-RE-COCS-060</v>
          </cell>
          <cell r="D153" t="str">
            <v>02</v>
          </cell>
          <cell r="E153" t="str">
            <v>Kilo</v>
          </cell>
          <cell r="F153" t="str">
            <v>Gramo</v>
          </cell>
          <cell r="G153">
            <v>674.55631484374999</v>
          </cell>
          <cell r="H153">
            <v>0.67455631484375</v>
          </cell>
          <cell r="I153">
            <v>0.73530939285714281</v>
          </cell>
          <cell r="J153">
            <v>7.3530939285714283E-4</v>
          </cell>
          <cell r="K153">
            <v>121.55249236258929</v>
          </cell>
          <cell r="L153">
            <v>0.12155249236258929</v>
          </cell>
          <cell r="M153">
            <v>796.84411659919647</v>
          </cell>
        </row>
        <row r="154">
          <cell r="A154" t="str">
            <v>904000049</v>
          </cell>
          <cell r="B154" t="str">
            <v>PROCESADO CHOCOLATE LECHE (KILO)</v>
          </cell>
          <cell r="C154" t="str">
            <v>ESP-RE-POS-209</v>
          </cell>
          <cell r="D154" t="str">
            <v>01</v>
          </cell>
          <cell r="E154" t="str">
            <v>Kilo</v>
          </cell>
          <cell r="F154" t="str">
            <v>Gramo</v>
          </cell>
          <cell r="G154">
            <v>4776.5967000000001</v>
          </cell>
          <cell r="H154">
            <v>4.7765966999999998</v>
          </cell>
          <cell r="I154">
            <v>0.45113600000000004</v>
          </cell>
          <cell r="J154">
            <v>4.5113600000000004E-4</v>
          </cell>
          <cell r="K154">
            <v>859.86861047999992</v>
          </cell>
          <cell r="L154">
            <v>0.85986861047999996</v>
          </cell>
          <cell r="M154">
            <v>5636.9164464799996</v>
          </cell>
        </row>
        <row r="155">
          <cell r="A155" t="str">
            <v>905000001</v>
          </cell>
          <cell r="B155" t="str">
            <v>BATIDO RELL P/TORTA CHOCOFRESA KILO</v>
          </cell>
          <cell r="C155" t="str">
            <v>ESP-RE-BAS-003</v>
          </cell>
          <cell r="D155" t="str">
            <v>09</v>
          </cell>
          <cell r="E155" t="str">
            <v>Kilo</v>
          </cell>
          <cell r="F155" t="str">
            <v>Gramo</v>
          </cell>
          <cell r="G155">
            <v>2733.832063092199</v>
          </cell>
          <cell r="H155">
            <v>2.7338320630921991</v>
          </cell>
          <cell r="I155">
            <v>9.6664680851063824</v>
          </cell>
          <cell r="J155">
            <v>9.666468085106383E-3</v>
          </cell>
          <cell r="K155">
            <v>493.82973561191494</v>
          </cell>
          <cell r="L155">
            <v>0.49382973561191496</v>
          </cell>
          <cell r="M155">
            <v>3237.3282667892204</v>
          </cell>
        </row>
        <row r="156">
          <cell r="A156" t="str">
            <v>905000003</v>
          </cell>
          <cell r="B156" t="str">
            <v>RELLENO POLLO P/CREPA (KILO)</v>
          </cell>
          <cell r="C156" t="str">
            <v>ESP-RE-COCS-059</v>
          </cell>
          <cell r="D156" t="str">
            <v>09</v>
          </cell>
          <cell r="E156" t="str">
            <v>Kilo</v>
          </cell>
          <cell r="F156" t="str">
            <v>Gramo</v>
          </cell>
          <cell r="G156">
            <v>3197.7230720946345</v>
          </cell>
          <cell r="H156">
            <v>3.1977230720946346</v>
          </cell>
          <cell r="I156">
            <v>22.073035384300038</v>
          </cell>
          <cell r="J156">
            <v>2.2073035384300038E-2</v>
          </cell>
          <cell r="K156">
            <v>579.56329934620817</v>
          </cell>
          <cell r="L156">
            <v>0.5795632993462082</v>
          </cell>
          <cell r="M156">
            <v>3799.3594068251427</v>
          </cell>
        </row>
        <row r="157">
          <cell r="A157" t="str">
            <v>905000004</v>
          </cell>
          <cell r="B157" t="str">
            <v>RELLENO FRIO CARNE PERUANO (KILO)</v>
          </cell>
          <cell r="C157" t="str">
            <v xml:space="preserve">ESP-RE-COFS-045 </v>
          </cell>
          <cell r="D157" t="str">
            <v>01</v>
          </cell>
          <cell r="E157" t="str">
            <v>Kilo</v>
          </cell>
          <cell r="F157" t="str">
            <v>Gramo</v>
          </cell>
          <cell r="G157">
            <v>345.47432507488986</v>
          </cell>
          <cell r="H157">
            <v>0.34547432507488984</v>
          </cell>
          <cell r="I157">
            <v>19.250399999999999</v>
          </cell>
          <cell r="J157">
            <v>1.9250399999999997E-2</v>
          </cell>
          <cell r="K157">
            <v>65.65045051348018</v>
          </cell>
          <cell r="L157">
            <v>6.5650450513480174E-2</v>
          </cell>
          <cell r="M157">
            <v>430.37517558837004</v>
          </cell>
        </row>
        <row r="158">
          <cell r="A158" t="str">
            <v>905000006</v>
          </cell>
          <cell r="B158" t="str">
            <v>RELLENO POLLO P/EMPANADA KILO</v>
          </cell>
          <cell r="C158" t="str">
            <v>ESP-RE-COCS-029</v>
          </cell>
          <cell r="D158" t="str">
            <v>18</v>
          </cell>
          <cell r="E158" t="str">
            <v>Kilo</v>
          </cell>
          <cell r="F158" t="str">
            <v>Gramo</v>
          </cell>
          <cell r="G158">
            <v>786.7699663983143</v>
          </cell>
          <cell r="H158">
            <v>0.78676996639831431</v>
          </cell>
          <cell r="I158">
            <v>0.4195121951219512</v>
          </cell>
          <cell r="J158">
            <v>4.1951219512195118E-4</v>
          </cell>
          <cell r="K158">
            <v>141.69410614681851</v>
          </cell>
          <cell r="L158">
            <v>0.14169410614681852</v>
          </cell>
          <cell r="M158">
            <v>928.88358474025472</v>
          </cell>
        </row>
        <row r="159">
          <cell r="A159" t="str">
            <v>905000007</v>
          </cell>
          <cell r="B159" t="str">
            <v>RELLENO PALMITO P/PASTEL (KILO)</v>
          </cell>
          <cell r="C159" t="str">
            <v>ESP-RE-COCS-030</v>
          </cell>
          <cell r="D159" t="str">
            <v>08</v>
          </cell>
          <cell r="E159" t="str">
            <v>Kilo</v>
          </cell>
          <cell r="F159" t="str">
            <v>Gramo</v>
          </cell>
          <cell r="G159">
            <v>2022.8413155242406</v>
          </cell>
          <cell r="H159">
            <v>2.0228413155242406</v>
          </cell>
          <cell r="I159">
            <v>22.635074153035958</v>
          </cell>
          <cell r="J159">
            <v>2.2635074153035957E-2</v>
          </cell>
          <cell r="K159">
            <v>368.18575014190975</v>
          </cell>
          <cell r="L159">
            <v>0.36818575014190974</v>
          </cell>
          <cell r="M159">
            <v>2413.6621398191865</v>
          </cell>
        </row>
        <row r="160">
          <cell r="A160" t="str">
            <v>905000010</v>
          </cell>
          <cell r="B160" t="str">
            <v>COCCION RELL POLLO/AJONJO (KILO)</v>
          </cell>
          <cell r="C160">
            <v>0</v>
          </cell>
          <cell r="D160">
            <v>0</v>
          </cell>
          <cell r="E160" t="str">
            <v>Kilo</v>
          </cell>
          <cell r="F160" t="str">
            <v>Gramo</v>
          </cell>
          <cell r="G160">
            <v>3250.5430822915569</v>
          </cell>
          <cell r="H160">
            <v>3.2505430822915566</v>
          </cell>
          <cell r="I160">
            <v>10.457021041720253</v>
          </cell>
          <cell r="J160">
            <v>1.0457021041720253E-2</v>
          </cell>
          <cell r="K160">
            <v>586.98001859998988</v>
          </cell>
          <cell r="L160">
            <v>0.58698001859998983</v>
          </cell>
          <cell r="M160">
            <v>3847.9801219332667</v>
          </cell>
        </row>
        <row r="161">
          <cell r="A161" t="str">
            <v>905000011</v>
          </cell>
          <cell r="B161" t="str">
            <v>RELLENO POLLO LAPIZ KILO</v>
          </cell>
          <cell r="C161" t="str">
            <v xml:space="preserve">ESP-RE-COFS-058 </v>
          </cell>
          <cell r="D161" t="str">
            <v>10</v>
          </cell>
          <cell r="E161" t="str">
            <v>Kilo</v>
          </cell>
          <cell r="F161" t="str">
            <v>Gramo</v>
          </cell>
          <cell r="G161">
            <v>3065.3532596191235</v>
          </cell>
          <cell r="H161">
            <v>3.0653532596191235</v>
          </cell>
          <cell r="I161">
            <v>33.575727587708244</v>
          </cell>
          <cell r="J161">
            <v>3.3575727587708243E-2</v>
          </cell>
          <cell r="K161">
            <v>557.8072176972297</v>
          </cell>
          <cell r="L161">
            <v>0.55780721769722974</v>
          </cell>
          <cell r="M161">
            <v>3656.7362049040612</v>
          </cell>
        </row>
        <row r="162">
          <cell r="A162" t="str">
            <v>905000012</v>
          </cell>
          <cell r="B162" t="str">
            <v>RELLENO TRES QUESOS KILO</v>
          </cell>
          <cell r="C162" t="str">
            <v>ESP-RE-COCS-068</v>
          </cell>
          <cell r="D162" t="str">
            <v>02</v>
          </cell>
          <cell r="E162" t="str">
            <v>Kilo</v>
          </cell>
          <cell r="F162" t="str">
            <v>Gramo</v>
          </cell>
          <cell r="G162">
            <v>4169.3859473000002</v>
          </cell>
          <cell r="H162">
            <v>4.1693859473000003</v>
          </cell>
          <cell r="I162">
            <v>11.123712234298731</v>
          </cell>
          <cell r="J162">
            <v>1.1123712234298731E-2</v>
          </cell>
          <cell r="K162">
            <v>752.49173871617381</v>
          </cell>
          <cell r="L162">
            <v>0.75249173871617381</v>
          </cell>
          <cell r="M162">
            <v>4933.0013982504734</v>
          </cell>
        </row>
        <row r="163">
          <cell r="A163" t="str">
            <v>905000013</v>
          </cell>
          <cell r="B163" t="str">
            <v/>
          </cell>
          <cell r="C163" t="str">
            <v/>
          </cell>
          <cell r="D163" t="str">
            <v/>
          </cell>
          <cell r="E163" t="str">
            <v>Kilo</v>
          </cell>
          <cell r="F163" t="str">
            <v>Gramo</v>
          </cell>
          <cell r="G163">
            <v>0</v>
          </cell>
          <cell r="H163">
            <v>0</v>
          </cell>
          <cell r="I163">
            <v>0</v>
          </cell>
          <cell r="J163">
            <v>0</v>
          </cell>
          <cell r="K163">
            <v>0</v>
          </cell>
          <cell r="L163">
            <v>0</v>
          </cell>
          <cell r="M163">
            <v>0</v>
          </cell>
        </row>
        <row r="164">
          <cell r="A164" t="str">
            <v>905000024</v>
          </cell>
          <cell r="B164" t="str">
            <v xml:space="preserve">RELLENO TOPPING FRESA P/CHEESE CAKE </v>
          </cell>
          <cell r="C164" t="str">
            <v>ESP-RE-POS-027</v>
          </cell>
          <cell r="D164" t="str">
            <v>06</v>
          </cell>
          <cell r="E164" t="str">
            <v>Kilo</v>
          </cell>
          <cell r="F164" t="str">
            <v>Gramo</v>
          </cell>
          <cell r="G164">
            <v>1731.2694774235827</v>
          </cell>
          <cell r="H164">
            <v>1.7312694774235826</v>
          </cell>
          <cell r="I164">
            <v>6.3061469376409365</v>
          </cell>
          <cell r="J164">
            <v>6.3061469376409366E-3</v>
          </cell>
          <cell r="K164">
            <v>312.76361238502022</v>
          </cell>
          <cell r="L164">
            <v>0.31276361238502021</v>
          </cell>
          <cell r="M164">
            <v>2050.3392367462438</v>
          </cell>
        </row>
        <row r="165">
          <cell r="A165" t="str">
            <v>905000026</v>
          </cell>
          <cell r="B165" t="str">
            <v>RELLENO P/PIE LIMON (KILO)</v>
          </cell>
          <cell r="C165" t="str">
            <v>ESP-RE-POS-029</v>
          </cell>
          <cell r="D165" t="str">
            <v>06</v>
          </cell>
          <cell r="E165" t="str">
            <v>Kilo</v>
          </cell>
          <cell r="F165" t="str">
            <v>Gramo</v>
          </cell>
          <cell r="G165">
            <v>1700.8062727272729</v>
          </cell>
          <cell r="H165">
            <v>1.700806272727273</v>
          </cell>
          <cell r="I165">
            <v>0</v>
          </cell>
          <cell r="J165">
            <v>0</v>
          </cell>
          <cell r="K165">
            <v>306.14512909090911</v>
          </cell>
          <cell r="L165">
            <v>0.30614512909090913</v>
          </cell>
          <cell r="M165">
            <v>2006.9514018181821</v>
          </cell>
        </row>
        <row r="166">
          <cell r="A166" t="str">
            <v>905000028</v>
          </cell>
          <cell r="B166" t="str">
            <v>RELLENO QUESO P/TORTA ZANAHORIA KILO</v>
          </cell>
          <cell r="C166" t="str">
            <v xml:space="preserve">ESP-RE-POS-035 </v>
          </cell>
          <cell r="D166" t="str">
            <v>13</v>
          </cell>
          <cell r="E166" t="str">
            <v>Kilo</v>
          </cell>
          <cell r="F166" t="str">
            <v>Gramo</v>
          </cell>
          <cell r="G166">
            <v>2905.2996276363638</v>
          </cell>
          <cell r="H166">
            <v>2.9052996276363636</v>
          </cell>
          <cell r="I166">
            <v>0</v>
          </cell>
          <cell r="J166">
            <v>0</v>
          </cell>
          <cell r="K166">
            <v>522.95393297454541</v>
          </cell>
          <cell r="L166">
            <v>0.5229539329745454</v>
          </cell>
          <cell r="M166">
            <v>3428.2535606109091</v>
          </cell>
        </row>
        <row r="167">
          <cell r="A167" t="str">
            <v>905000031</v>
          </cell>
          <cell r="B167" t="str">
            <v>RELLENO CREMA MOKA C/BAILEYS (KILO)</v>
          </cell>
          <cell r="C167" t="str">
            <v>ESP-RE-POS-039</v>
          </cell>
          <cell r="D167" t="str">
            <v>02</v>
          </cell>
          <cell r="E167" t="str">
            <v>Kilo</v>
          </cell>
          <cell r="F167" t="str">
            <v>Gramo</v>
          </cell>
          <cell r="G167">
            <v>4705.4037711398687</v>
          </cell>
          <cell r="H167">
            <v>4.7054037711398689</v>
          </cell>
          <cell r="I167">
            <v>0.61866952345679005</v>
          </cell>
          <cell r="J167">
            <v>6.1866952345679003E-4</v>
          </cell>
          <cell r="K167">
            <v>847.08403931939847</v>
          </cell>
          <cell r="L167">
            <v>0.84708403931939846</v>
          </cell>
          <cell r="M167">
            <v>5553.1064799827236</v>
          </cell>
        </row>
        <row r="168">
          <cell r="A168" t="str">
            <v>905000038</v>
          </cell>
          <cell r="B168" t="str">
            <v>RELLENO PECANA STB (KILO)</v>
          </cell>
          <cell r="C168" t="str">
            <v>ESP-RE-POS-056</v>
          </cell>
          <cell r="D168" t="str">
            <v>05</v>
          </cell>
          <cell r="E168" t="str">
            <v>Kilo</v>
          </cell>
          <cell r="F168" t="str">
            <v>Gramo</v>
          </cell>
          <cell r="G168">
            <v>1690.1221517287279</v>
          </cell>
          <cell r="H168">
            <v>1.6901221517287279</v>
          </cell>
          <cell r="I168">
            <v>4.4023736927223727</v>
          </cell>
          <cell r="J168">
            <v>4.4023736927223727E-3</v>
          </cell>
          <cell r="K168">
            <v>305.01441457586105</v>
          </cell>
          <cell r="L168">
            <v>0.30501441457586104</v>
          </cell>
          <cell r="M168">
            <v>1999.5389399973114</v>
          </cell>
        </row>
        <row r="169">
          <cell r="A169" t="str">
            <v>905000045</v>
          </cell>
          <cell r="B169" t="str">
            <v>RELLENO LECHE CONDENSADA BUCCA KILO</v>
          </cell>
          <cell r="C169" t="str">
            <v>ESP-RE-POS-074</v>
          </cell>
          <cell r="D169" t="str">
            <v>02</v>
          </cell>
          <cell r="E169" t="str">
            <v>Kilo</v>
          </cell>
          <cell r="F169" t="str">
            <v>Gramo</v>
          </cell>
          <cell r="G169">
            <v>2080.2293827160493</v>
          </cell>
          <cell r="H169">
            <v>2.0802293827160492</v>
          </cell>
          <cell r="I169">
            <v>0</v>
          </cell>
          <cell r="J169">
            <v>0</v>
          </cell>
          <cell r="K169">
            <v>374.44128888888883</v>
          </cell>
          <cell r="L169">
            <v>0.37444128888888883</v>
          </cell>
          <cell r="M169">
            <v>2454.670671604938</v>
          </cell>
        </row>
        <row r="170">
          <cell r="A170" t="str">
            <v>905000058</v>
          </cell>
          <cell r="B170" t="str">
            <v>CREMA LIMON BUCCA KILO</v>
          </cell>
          <cell r="C170" t="str">
            <v>ESP-RE-FIF-37</v>
          </cell>
          <cell r="D170">
            <v>0</v>
          </cell>
          <cell r="E170" t="str">
            <v>Kilo</v>
          </cell>
          <cell r="F170" t="str">
            <v>Gramo</v>
          </cell>
          <cell r="G170">
            <v>2311.5165807692306</v>
          </cell>
          <cell r="H170">
            <v>2.3115165807692306</v>
          </cell>
          <cell r="I170">
            <v>0.10230769230769231</v>
          </cell>
          <cell r="J170">
            <v>1.023076923076923E-4</v>
          </cell>
          <cell r="K170">
            <v>416.09139992307684</v>
          </cell>
          <cell r="L170">
            <v>0.41609139992307681</v>
          </cell>
          <cell r="M170">
            <v>2727.7102883846151</v>
          </cell>
        </row>
        <row r="171">
          <cell r="A171" t="str">
            <v>905000061</v>
          </cell>
          <cell r="B171" t="str">
            <v>CREMA CHANTILLY FUCSIA KILO</v>
          </cell>
          <cell r="C171" t="str">
            <v>ESP-RE-DES-082</v>
          </cell>
          <cell r="D171" t="str">
            <v>03</v>
          </cell>
          <cell r="E171" t="str">
            <v>Kilo</v>
          </cell>
          <cell r="F171" t="str">
            <v>Gramo</v>
          </cell>
          <cell r="G171">
            <v>2548.8797543999999</v>
          </cell>
          <cell r="H171">
            <v>2.5488797543999997</v>
          </cell>
          <cell r="I171">
            <v>0</v>
          </cell>
          <cell r="J171">
            <v>0</v>
          </cell>
          <cell r="K171">
            <v>458.798355792</v>
          </cell>
          <cell r="L171">
            <v>0.45879835579200001</v>
          </cell>
          <cell r="M171">
            <v>3007.6781101920001</v>
          </cell>
        </row>
        <row r="172">
          <cell r="A172" t="str">
            <v>905000062</v>
          </cell>
          <cell r="B172" t="str">
            <v>CREMA CHANTILLY AZUL ELECTRICO KILO</v>
          </cell>
          <cell r="C172" t="str">
            <v>ESP-RE-DES-083</v>
          </cell>
          <cell r="D172" t="str">
            <v>02</v>
          </cell>
          <cell r="E172" t="str">
            <v>Kilo</v>
          </cell>
          <cell r="F172" t="str">
            <v>Gramo</v>
          </cell>
          <cell r="G172">
            <v>2570.0837697959182</v>
          </cell>
          <cell r="H172">
            <v>2.570083769795918</v>
          </cell>
          <cell r="I172">
            <v>0</v>
          </cell>
          <cell r="J172">
            <v>0</v>
          </cell>
          <cell r="K172">
            <v>462.61507856326529</v>
          </cell>
          <cell r="L172">
            <v>0.46261507856326528</v>
          </cell>
          <cell r="M172">
            <v>3032.6988483591836</v>
          </cell>
        </row>
        <row r="173">
          <cell r="A173" t="str">
            <v>905000064</v>
          </cell>
          <cell r="B173" t="str">
            <v>CREMA CHANTILLY VERDE OSCURO KILO</v>
          </cell>
          <cell r="C173" t="str">
            <v>ESP-RE-DES-079</v>
          </cell>
          <cell r="D173" t="str">
            <v>02</v>
          </cell>
          <cell r="E173" t="str">
            <v>Kilo</v>
          </cell>
          <cell r="F173" t="str">
            <v>Gramo</v>
          </cell>
          <cell r="G173">
            <v>2552.0617917739405</v>
          </cell>
          <cell r="H173">
            <v>2.5520617917739403</v>
          </cell>
          <cell r="I173">
            <v>0</v>
          </cell>
          <cell r="J173">
            <v>0</v>
          </cell>
          <cell r="K173">
            <v>459.37112251930927</v>
          </cell>
          <cell r="L173">
            <v>0.45937112251930928</v>
          </cell>
          <cell r="M173">
            <v>3011.4329142932497</v>
          </cell>
        </row>
        <row r="174">
          <cell r="A174" t="str">
            <v>905000069</v>
          </cell>
          <cell r="B174" t="str">
            <v xml:space="preserve">RELLENO MOUSSE DE BAILEYS </v>
          </cell>
          <cell r="C174" t="str">
            <v>ESP-RE-POS-144</v>
          </cell>
          <cell r="D174" t="str">
            <v>03</v>
          </cell>
          <cell r="E174" t="str">
            <v>Kilo</v>
          </cell>
          <cell r="F174" t="str">
            <v>Gramo</v>
          </cell>
          <cell r="G174">
            <v>4671.1972836666673</v>
          </cell>
          <cell r="H174">
            <v>4.6711972836666673</v>
          </cell>
          <cell r="I174">
            <v>0</v>
          </cell>
          <cell r="J174">
            <v>0</v>
          </cell>
          <cell r="K174">
            <v>840.81551106000006</v>
          </cell>
          <cell r="L174">
            <v>0.84081551106000008</v>
          </cell>
          <cell r="M174">
            <v>5512.0127947266674</v>
          </cell>
        </row>
        <row r="175">
          <cell r="A175" t="str">
            <v>905000073</v>
          </cell>
          <cell r="B175" t="str">
            <v>RELLENO PAPA C/CARNE  ENCHILADA KILO</v>
          </cell>
          <cell r="C175" t="str">
            <v xml:space="preserve">ESP-RE-COCS-077 </v>
          </cell>
          <cell r="D175" t="str">
            <v>02</v>
          </cell>
          <cell r="E175" t="str">
            <v>Kilo</v>
          </cell>
          <cell r="F175" t="str">
            <v>Gramo</v>
          </cell>
          <cell r="G175">
            <v>3036.7236488398689</v>
          </cell>
          <cell r="H175">
            <v>3.0367236488398688</v>
          </cell>
          <cell r="I175">
            <v>2.1354365079365079</v>
          </cell>
          <cell r="J175">
            <v>2.1354365079365081E-3</v>
          </cell>
          <cell r="K175">
            <v>546.99463536260498</v>
          </cell>
          <cell r="L175">
            <v>0.54699463536260495</v>
          </cell>
          <cell r="M175">
            <v>3585.8537207104105</v>
          </cell>
        </row>
        <row r="176">
          <cell r="A176" t="str">
            <v>905000078</v>
          </cell>
          <cell r="B176" t="str">
            <v>CREMA LIQUIDA ROJA P/MARMOLEAR (KILO)</v>
          </cell>
          <cell r="C176" t="str">
            <v>ESP-RE-DES-098</v>
          </cell>
          <cell r="D176" t="str">
            <v>01</v>
          </cell>
          <cell r="E176" t="str">
            <v>Kilo</v>
          </cell>
          <cell r="F176" t="str">
            <v>Gramo</v>
          </cell>
          <cell r="G176">
            <v>2500.8875739644973</v>
          </cell>
          <cell r="H176">
            <v>2.5008875739644973</v>
          </cell>
          <cell r="I176">
            <v>20.512820512820515</v>
          </cell>
          <cell r="J176">
            <v>2.0512820512820516E-2</v>
          </cell>
          <cell r="K176">
            <v>453.85207100591714</v>
          </cell>
          <cell r="L176">
            <v>0.45385207100591712</v>
          </cell>
          <cell r="M176">
            <v>2975.2524654832346</v>
          </cell>
        </row>
        <row r="177">
          <cell r="A177" t="str">
            <v>905000094</v>
          </cell>
          <cell r="B177" t="str">
            <v xml:space="preserve">MEDIA TORTA DE CHOCOLATE </v>
          </cell>
          <cell r="C177" t="str">
            <v>ESP-RE-DES-116</v>
          </cell>
          <cell r="D177" t="str">
            <v>02</v>
          </cell>
          <cell r="E177" t="str">
            <v>Und</v>
          </cell>
          <cell r="F177" t="str">
            <v>Und</v>
          </cell>
          <cell r="G177">
            <v>980.72025084666097</v>
          </cell>
          <cell r="H177">
            <v>980.72025084666097</v>
          </cell>
          <cell r="I177">
            <v>3.7389025408215</v>
          </cell>
          <cell r="J177">
            <v>3.7389025408215</v>
          </cell>
          <cell r="K177">
            <v>177.20264760974683</v>
          </cell>
          <cell r="L177">
            <v>177.20264760974683</v>
          </cell>
          <cell r="M177">
            <v>1161.6618009972294</v>
          </cell>
        </row>
        <row r="178">
          <cell r="A178" t="str">
            <v>905000095</v>
          </cell>
          <cell r="B178" t="str">
            <v xml:space="preserve">MEDIA TORTA DE MELOCOTON </v>
          </cell>
          <cell r="C178" t="str">
            <v>ESP-RE-DES-117</v>
          </cell>
          <cell r="D178" t="str">
            <v>03</v>
          </cell>
          <cell r="E178" t="str">
            <v>Und</v>
          </cell>
          <cell r="F178" t="str">
            <v>Und</v>
          </cell>
          <cell r="G178">
            <v>1219.9338583397016</v>
          </cell>
          <cell r="H178">
            <v>1219.9338583397016</v>
          </cell>
          <cell r="I178">
            <v>5.4291053587279157</v>
          </cell>
          <cell r="J178">
            <v>5.4291053587279157</v>
          </cell>
          <cell r="K178">
            <v>220.56533346571729</v>
          </cell>
          <cell r="L178">
            <v>220.56533346571729</v>
          </cell>
          <cell r="M178">
            <v>1445.9282971641467</v>
          </cell>
        </row>
        <row r="179">
          <cell r="A179" t="str">
            <v>905000098</v>
          </cell>
          <cell r="B179" t="str">
            <v>PECANA TRITURADA KILO</v>
          </cell>
          <cell r="C179" t="str">
            <v xml:space="preserve">ESP-RE-DES-133  </v>
          </cell>
          <cell r="D179" t="str">
            <v>01</v>
          </cell>
          <cell r="E179" t="str">
            <v>Kilo</v>
          </cell>
          <cell r="F179" t="str">
            <v>Gramo</v>
          </cell>
          <cell r="G179">
            <v>14.736820000000002</v>
          </cell>
          <cell r="H179">
            <v>1.4736820000000001E-2</v>
          </cell>
          <cell r="I179">
            <v>0</v>
          </cell>
          <cell r="J179">
            <v>0</v>
          </cell>
          <cell r="K179">
            <v>2.6526276000000002</v>
          </cell>
          <cell r="L179">
            <v>2.6526276000000001E-3</v>
          </cell>
          <cell r="M179">
            <v>17.3894476</v>
          </cell>
        </row>
        <row r="180">
          <cell r="A180" t="str">
            <v>905000099</v>
          </cell>
          <cell r="B180" t="str">
            <v>ALMENDRA TRITURADA KILO</v>
          </cell>
          <cell r="C180" t="str">
            <v>ESP-RE-DES-132</v>
          </cell>
          <cell r="D180" t="str">
            <v>01</v>
          </cell>
          <cell r="E180" t="str">
            <v>Kilo</v>
          </cell>
          <cell r="F180" t="str">
            <v>Gramo</v>
          </cell>
          <cell r="G180">
            <v>8.6841975000000016</v>
          </cell>
          <cell r="H180">
            <v>8.6841975000000009E-3</v>
          </cell>
          <cell r="I180">
            <v>0</v>
          </cell>
          <cell r="J180">
            <v>0</v>
          </cell>
          <cell r="K180">
            <v>1.5631555500000003</v>
          </cell>
          <cell r="L180">
            <v>1.5631555500000003E-3</v>
          </cell>
          <cell r="M180">
            <v>10.247353050000001</v>
          </cell>
        </row>
        <row r="181">
          <cell r="A181" t="str">
            <v>905000100</v>
          </cell>
          <cell r="B181" t="str">
            <v>CREMA CHANTILLY LILA KILO</v>
          </cell>
          <cell r="C181">
            <v>0</v>
          </cell>
          <cell r="D181">
            <v>0</v>
          </cell>
          <cell r="E181" t="str">
            <v>Kilo</v>
          </cell>
          <cell r="F181" t="str">
            <v>Gramo</v>
          </cell>
          <cell r="G181">
            <v>2435.7769357988163</v>
          </cell>
          <cell r="H181">
            <v>2.4357769357988164</v>
          </cell>
          <cell r="I181">
            <v>0.10230769230769231</v>
          </cell>
          <cell r="J181">
            <v>1.023076923076923E-4</v>
          </cell>
          <cell r="K181">
            <v>438.45826382840227</v>
          </cell>
          <cell r="L181">
            <v>0.43845826382840225</v>
          </cell>
          <cell r="M181">
            <v>2874.3375073195261</v>
          </cell>
        </row>
        <row r="182">
          <cell r="A182" t="str">
            <v>905000101</v>
          </cell>
          <cell r="B182" t="str">
            <v>CREMA CHANTILLY MORADO BARNIE KILO</v>
          </cell>
          <cell r="C182">
            <v>0</v>
          </cell>
          <cell r="D182">
            <v>0</v>
          </cell>
          <cell r="E182" t="str">
            <v>Kilo</v>
          </cell>
          <cell r="F182" t="str">
            <v>Gramo</v>
          </cell>
          <cell r="G182">
            <v>2420.5462213289939</v>
          </cell>
          <cell r="H182">
            <v>2.4205462213289937</v>
          </cell>
          <cell r="I182">
            <v>0.10230769230769231</v>
          </cell>
          <cell r="J182">
            <v>1.023076923076923E-4</v>
          </cell>
          <cell r="K182">
            <v>435.71673522383423</v>
          </cell>
          <cell r="L182">
            <v>0.43571673522383425</v>
          </cell>
          <cell r="M182">
            <v>2856.3652642451357</v>
          </cell>
        </row>
        <row r="183">
          <cell r="A183" t="str">
            <v>906000002</v>
          </cell>
          <cell r="B183" t="str">
            <v>CORTE GALLETA CHILENA GRANDE (UND)</v>
          </cell>
          <cell r="C183" t="str">
            <v>ESP-RE-PAPS-003</v>
          </cell>
          <cell r="D183" t="str">
            <v>03</v>
          </cell>
          <cell r="E183" t="str">
            <v>Und</v>
          </cell>
          <cell r="F183" t="str">
            <v>Und</v>
          </cell>
          <cell r="G183">
            <v>151.01027803078128</v>
          </cell>
          <cell r="H183">
            <v>151.01027803078128</v>
          </cell>
          <cell r="I183">
            <v>0.61688794952619053</v>
          </cell>
          <cell r="J183">
            <v>0.61688794952619053</v>
          </cell>
          <cell r="K183">
            <v>27.292889876455344</v>
          </cell>
          <cell r="L183">
            <v>27.292889876455344</v>
          </cell>
          <cell r="M183">
            <v>178.92005585676281</v>
          </cell>
        </row>
        <row r="184">
          <cell r="A184" t="str">
            <v>906000003</v>
          </cell>
          <cell r="B184" t="str">
            <v>CORTE GALLETA CHILENA PEQUEÑA (UND)</v>
          </cell>
          <cell r="C184" t="str">
            <v>ESP-RE-PAPS-004</v>
          </cell>
          <cell r="D184" t="str">
            <v>02</v>
          </cell>
          <cell r="E184" t="str">
            <v>und</v>
          </cell>
          <cell r="F184" t="str">
            <v>Und</v>
          </cell>
          <cell r="G184">
            <v>116.59004176522339</v>
          </cell>
          <cell r="H184">
            <v>116.59004176522339</v>
          </cell>
          <cell r="I184">
            <v>0.45266345116666673</v>
          </cell>
          <cell r="J184">
            <v>0.45266345116666673</v>
          </cell>
          <cell r="K184">
            <v>21.06768693895021</v>
          </cell>
          <cell r="L184">
            <v>21.06768693895021</v>
          </cell>
          <cell r="M184">
            <v>138.11039215534026</v>
          </cell>
        </row>
        <row r="185">
          <cell r="A185" t="str">
            <v>906000004</v>
          </cell>
          <cell r="B185" t="str">
            <v>EMPANADA POLLO HOJALDRE GDE</v>
          </cell>
          <cell r="C185" t="str">
            <v>ESP-RE-PAPS-006</v>
          </cell>
          <cell r="D185" t="str">
            <v>04</v>
          </cell>
          <cell r="E185" t="str">
            <v>Und</v>
          </cell>
          <cell r="F185" t="str">
            <v>Und</v>
          </cell>
          <cell r="G185">
            <v>92.427997222678115</v>
          </cell>
          <cell r="H185">
            <v>92.427997222678115</v>
          </cell>
          <cell r="I185">
            <v>1.834987631804917</v>
          </cell>
          <cell r="J185">
            <v>1.834987631804917</v>
          </cell>
          <cell r="K185">
            <v>16.967337273806947</v>
          </cell>
          <cell r="L185">
            <v>16.967337273806947</v>
          </cell>
          <cell r="M185">
            <v>111.23032212828998</v>
          </cell>
        </row>
        <row r="186">
          <cell r="A186" t="str">
            <v>906000005</v>
          </cell>
          <cell r="B186" t="str">
            <v>EMPANADA POLLO PEQUEÑA UND</v>
          </cell>
          <cell r="C186" t="str">
            <v>ESP-RE-PAPS-007</v>
          </cell>
          <cell r="D186" t="str">
            <v>05</v>
          </cell>
          <cell r="E186" t="str">
            <v>Und</v>
          </cell>
          <cell r="F186" t="str">
            <v>Und</v>
          </cell>
          <cell r="G186">
            <v>32.482304723896284</v>
          </cell>
          <cell r="H186">
            <v>32.482304723896284</v>
          </cell>
          <cell r="I186">
            <v>1.2355198612274827</v>
          </cell>
          <cell r="J186">
            <v>1.2355198612274827</v>
          </cell>
          <cell r="K186">
            <v>6.0692084253222776</v>
          </cell>
          <cell r="L186">
            <v>6.0692084253222776</v>
          </cell>
          <cell r="M186">
            <v>39.787033010446045</v>
          </cell>
        </row>
        <row r="187">
          <cell r="A187" t="str">
            <v>906000008</v>
          </cell>
          <cell r="B187" t="str">
            <v>PASTEL DE PALMITO PERSONAL (UND)</v>
          </cell>
          <cell r="C187" t="str">
            <v>ESP-RE-PAPS-011</v>
          </cell>
          <cell r="D187" t="str">
            <v>07</v>
          </cell>
          <cell r="E187" t="str">
            <v>Und</v>
          </cell>
          <cell r="F187" t="str">
            <v>Und</v>
          </cell>
          <cell r="G187">
            <v>211.86587793396512</v>
          </cell>
          <cell r="H187">
            <v>211.86587793396512</v>
          </cell>
          <cell r="I187">
            <v>1.9865808882750822</v>
          </cell>
          <cell r="J187">
            <v>1.9865808882750822</v>
          </cell>
          <cell r="K187">
            <v>38.493442588003234</v>
          </cell>
          <cell r="L187">
            <v>38.493442588003234</v>
          </cell>
          <cell r="M187">
            <v>252.34590141024344</v>
          </cell>
        </row>
        <row r="188">
          <cell r="A188" t="str">
            <v>906000011</v>
          </cell>
          <cell r="B188" t="str">
            <v>CORTE OREJITAS DULCES (KILO)</v>
          </cell>
          <cell r="C188" t="str">
            <v>ESP-RE-PAPS-015</v>
          </cell>
          <cell r="D188" t="str">
            <v>07</v>
          </cell>
          <cell r="E188" t="str">
            <v>Kilo</v>
          </cell>
          <cell r="F188" t="str">
            <v>Gramo</v>
          </cell>
          <cell r="G188">
            <v>1047.3570193317335</v>
          </cell>
          <cell r="H188">
            <v>1.0473570193317334</v>
          </cell>
          <cell r="I188">
            <v>24.830661681879363</v>
          </cell>
          <cell r="J188">
            <v>2.4830661681879362E-2</v>
          </cell>
          <cell r="K188">
            <v>192.99378258245028</v>
          </cell>
          <cell r="L188">
            <v>0.19299378258245029</v>
          </cell>
          <cell r="M188">
            <v>1265.1814635960629</v>
          </cell>
        </row>
        <row r="189">
          <cell r="A189" t="str">
            <v>906000012</v>
          </cell>
          <cell r="B189" t="str">
            <v>CORTE GALLETA ALFAJOR MED (UND)</v>
          </cell>
          <cell r="C189" t="str">
            <v>ESP-RE-PAPS-016</v>
          </cell>
          <cell r="D189" t="str">
            <v>02</v>
          </cell>
          <cell r="E189" t="str">
            <v>Und</v>
          </cell>
          <cell r="F189" t="str">
            <v>Und</v>
          </cell>
          <cell r="G189">
            <v>18.183517746549324</v>
          </cell>
          <cell r="H189">
            <v>18.183517746549324</v>
          </cell>
          <cell r="I189">
            <v>8.6446774180772845E-2</v>
          </cell>
          <cell r="J189">
            <v>8.6446774180772845E-2</v>
          </cell>
          <cell r="K189">
            <v>3.2885936137314169</v>
          </cell>
          <cell r="L189">
            <v>3.2885936137314169</v>
          </cell>
          <cell r="M189">
            <v>21.558558134461514</v>
          </cell>
        </row>
        <row r="190">
          <cell r="A190" t="str">
            <v>906000014</v>
          </cell>
          <cell r="B190" t="str">
            <v>LAMINADO PASTA HOJALDRE (KILO)</v>
          </cell>
          <cell r="C190" t="str">
            <v>ESP-RE-PAPS-018</v>
          </cell>
          <cell r="D190" t="str">
            <v>06</v>
          </cell>
          <cell r="E190" t="str">
            <v>Und</v>
          </cell>
          <cell r="F190" t="str">
            <v>Und</v>
          </cell>
          <cell r="G190">
            <v>855.10302868734209</v>
          </cell>
          <cell r="H190">
            <v>855.10302868734209</v>
          </cell>
          <cell r="I190">
            <v>34.469705701927744</v>
          </cell>
          <cell r="J190">
            <v>34.469705701927744</v>
          </cell>
          <cell r="K190">
            <v>160.12309219006858</v>
          </cell>
          <cell r="L190">
            <v>160.12309219006858</v>
          </cell>
          <cell r="M190">
            <v>1049.6958265793385</v>
          </cell>
        </row>
        <row r="191">
          <cell r="A191" t="str">
            <v>906000020</v>
          </cell>
          <cell r="B191" t="str">
            <v>CORTE CANASTA (UND)</v>
          </cell>
          <cell r="C191" t="str">
            <v>ESP-RE-PAPS-026</v>
          </cell>
          <cell r="D191" t="str">
            <v>02</v>
          </cell>
          <cell r="E191" t="str">
            <v>Und</v>
          </cell>
          <cell r="F191" t="str">
            <v>Und</v>
          </cell>
          <cell r="G191">
            <v>28.199463329978187</v>
          </cell>
          <cell r="H191">
            <v>28.199463329978187</v>
          </cell>
          <cell r="I191">
            <v>0.24066015584415587</v>
          </cell>
          <cell r="J191">
            <v>0.24066015584415587</v>
          </cell>
          <cell r="K191">
            <v>5.1192222274480219</v>
          </cell>
          <cell r="L191">
            <v>5.1192222274480219</v>
          </cell>
          <cell r="M191">
            <v>33.559345713270368</v>
          </cell>
        </row>
        <row r="192">
          <cell r="A192" t="str">
            <v>906000023</v>
          </cell>
          <cell r="B192" t="str">
            <v>CORTE GALLETAS MANTEQUILLA (UND)</v>
          </cell>
          <cell r="C192" t="str">
            <v>ESP-RE-PAPS-030</v>
          </cell>
          <cell r="D192" t="str">
            <v>04</v>
          </cell>
          <cell r="E192" t="str">
            <v>Und</v>
          </cell>
          <cell r="F192" t="str">
            <v>Und</v>
          </cell>
          <cell r="G192">
            <v>13.020592326936573</v>
          </cell>
          <cell r="H192">
            <v>13.020592326936573</v>
          </cell>
          <cell r="I192">
            <v>0.14106612087472528</v>
          </cell>
          <cell r="J192">
            <v>0.14106612087472528</v>
          </cell>
          <cell r="K192">
            <v>2.3690985206060335</v>
          </cell>
          <cell r="L192">
            <v>2.3690985206060335</v>
          </cell>
          <cell r="M192">
            <v>15.530756968417332</v>
          </cell>
        </row>
        <row r="193">
          <cell r="A193" t="str">
            <v>906000027</v>
          </cell>
          <cell r="B193" t="str">
            <v>EMPANADA TRES QUESOS (UND)</v>
          </cell>
          <cell r="C193" t="str">
            <v>ESP-RE-PAPS-036</v>
          </cell>
          <cell r="D193" t="str">
            <v>03</v>
          </cell>
          <cell r="E193" t="str">
            <v>Und</v>
          </cell>
          <cell r="F193" t="str">
            <v>Und</v>
          </cell>
          <cell r="G193">
            <v>123.23849357252328</v>
          </cell>
          <cell r="H193">
            <v>123.23849357252328</v>
          </cell>
          <cell r="I193">
            <v>0.40817757283177664</v>
          </cell>
          <cell r="J193">
            <v>0.40817757283177664</v>
          </cell>
          <cell r="K193">
            <v>22.25640080616391</v>
          </cell>
          <cell r="L193">
            <v>22.25640080616391</v>
          </cell>
          <cell r="M193">
            <v>145.90307195151897</v>
          </cell>
        </row>
        <row r="194">
          <cell r="A194" t="str">
            <v>906000031</v>
          </cell>
          <cell r="B194" t="str">
            <v>PASTA P/GALLETAS MEDIA LUNA (KILO)</v>
          </cell>
          <cell r="C194" t="str">
            <v>ESP-RE-PAPS-002</v>
          </cell>
          <cell r="D194" t="str">
            <v>03</v>
          </cell>
          <cell r="E194" t="str">
            <v>Kilo</v>
          </cell>
          <cell r="F194" t="str">
            <v>Gramo</v>
          </cell>
          <cell r="G194">
            <v>1119.0113017476708</v>
          </cell>
          <cell r="H194">
            <v>1.1190113017476708</v>
          </cell>
          <cell r="I194">
            <v>31.393851377074341</v>
          </cell>
          <cell r="J194">
            <v>3.1393851377074344E-2</v>
          </cell>
          <cell r="K194">
            <v>207.07292756245411</v>
          </cell>
          <cell r="L194">
            <v>0.2070729275624541</v>
          </cell>
          <cell r="M194">
            <v>1357.4780806871993</v>
          </cell>
        </row>
        <row r="195">
          <cell r="A195" t="str">
            <v>906000032</v>
          </cell>
          <cell r="B195" t="str">
            <v>PASTA HOJALDRE KILO</v>
          </cell>
          <cell r="C195" t="str">
            <v>ESP-RE-PAPS-005</v>
          </cell>
          <cell r="D195" t="str">
            <v>04</v>
          </cell>
          <cell r="E195" t="str">
            <v>Kilo</v>
          </cell>
          <cell r="F195" t="str">
            <v>Gramo</v>
          </cell>
          <cell r="G195">
            <v>787.10724549019619</v>
          </cell>
          <cell r="H195">
            <v>0.78710724549019617</v>
          </cell>
          <cell r="I195">
            <v>4.1278618113912229</v>
          </cell>
          <cell r="J195">
            <v>4.1278618113912225E-3</v>
          </cell>
          <cell r="K195">
            <v>142.42231931428572</v>
          </cell>
          <cell r="L195">
            <v>0.14242231931428573</v>
          </cell>
          <cell r="M195">
            <v>933.65742661587308</v>
          </cell>
        </row>
        <row r="196">
          <cell r="A196" t="str">
            <v>906000033</v>
          </cell>
          <cell r="B196" t="str">
            <v>PASTA P/PALITOS DE QUESO (KILO)</v>
          </cell>
          <cell r="C196" t="str">
            <v>ESP-RE-PAPS-008</v>
          </cell>
          <cell r="D196" t="str">
            <v>06</v>
          </cell>
          <cell r="E196" t="str">
            <v>Kilo</v>
          </cell>
          <cell r="F196" t="str">
            <v>Gramo</v>
          </cell>
          <cell r="G196">
            <v>5107.0512754004876</v>
          </cell>
          <cell r="H196">
            <v>5.1070512754004875</v>
          </cell>
          <cell r="I196">
            <v>6.0775174193548374</v>
          </cell>
          <cell r="J196">
            <v>6.0775174193548375E-3</v>
          </cell>
          <cell r="K196">
            <v>920.36318270757158</v>
          </cell>
          <cell r="L196">
            <v>0.92036318270757156</v>
          </cell>
          <cell r="M196">
            <v>6033.4919755274141</v>
          </cell>
        </row>
        <row r="197">
          <cell r="A197" t="str">
            <v>906000034</v>
          </cell>
          <cell r="B197" t="str">
            <v>PASTA FROLA KILO</v>
          </cell>
          <cell r="C197" t="str">
            <v>ESP-RE-PAPS-013</v>
          </cell>
          <cell r="D197" t="str">
            <v>03</v>
          </cell>
          <cell r="E197" t="str">
            <v>Kilo</v>
          </cell>
          <cell r="F197" t="str">
            <v>Gramo</v>
          </cell>
          <cell r="G197">
            <v>729.56181257871094</v>
          </cell>
          <cell r="H197">
            <v>0.72956181257871089</v>
          </cell>
          <cell r="I197">
            <v>4.8131542825604692</v>
          </cell>
          <cell r="J197">
            <v>4.813154282560469E-3</v>
          </cell>
          <cell r="K197">
            <v>132.18749403502886</v>
          </cell>
          <cell r="L197">
            <v>0.13218749403502886</v>
          </cell>
          <cell r="M197">
            <v>866.56246089630031</v>
          </cell>
        </row>
        <row r="198">
          <cell r="A198" t="str">
            <v>906000035</v>
          </cell>
          <cell r="B198" t="str">
            <v>PASTA TORTA CHILENA SPOON KILO</v>
          </cell>
          <cell r="C198" t="str">
            <v>ESP-RE-PAPS-020</v>
          </cell>
          <cell r="D198" t="str">
            <v>04</v>
          </cell>
          <cell r="E198" t="str">
            <v>Kilo</v>
          </cell>
          <cell r="F198" t="str">
            <v>Gramo</v>
          </cell>
          <cell r="G198">
            <v>1043.0402741254074</v>
          </cell>
          <cell r="H198">
            <v>1.0430402741254075</v>
          </cell>
          <cell r="I198">
            <v>4.1151222833333341</v>
          </cell>
          <cell r="J198">
            <v>4.1151222833333339E-3</v>
          </cell>
          <cell r="K198">
            <v>188.4879713535733</v>
          </cell>
          <cell r="L198">
            <v>0.18848797135357331</v>
          </cell>
          <cell r="M198">
            <v>1235.643367762314</v>
          </cell>
        </row>
        <row r="199">
          <cell r="A199" t="str">
            <v>906000036</v>
          </cell>
          <cell r="B199" t="str">
            <v>PASTA GALLETA FIGURA KILO</v>
          </cell>
          <cell r="C199" t="str">
            <v>ESP-RE-PAPS-021</v>
          </cell>
          <cell r="D199" t="str">
            <v>02</v>
          </cell>
          <cell r="E199" t="str">
            <v>Kilo</v>
          </cell>
          <cell r="F199" t="str">
            <v>Gramo</v>
          </cell>
          <cell r="G199">
            <v>1808.4456904080816</v>
          </cell>
          <cell r="H199">
            <v>1.8084456904080817</v>
          </cell>
          <cell r="I199">
            <v>17.485861229722659</v>
          </cell>
          <cell r="J199">
            <v>1.7485861229722659E-2</v>
          </cell>
          <cell r="K199">
            <v>328.66767929480477</v>
          </cell>
          <cell r="L199">
            <v>0.32866767929480478</v>
          </cell>
          <cell r="M199">
            <v>2154.5992309326089</v>
          </cell>
        </row>
        <row r="200">
          <cell r="A200" t="str">
            <v>906000037</v>
          </cell>
          <cell r="B200" t="str">
            <v>PASTA P/CANASTA Y TARTALETAS (KILO)</v>
          </cell>
          <cell r="C200" t="str">
            <v>ESP-RE-PAPS-028</v>
          </cell>
          <cell r="D200" t="str">
            <v>06</v>
          </cell>
          <cell r="E200" t="str">
            <v>Kilo</v>
          </cell>
          <cell r="F200" t="str">
            <v>Gramo</v>
          </cell>
          <cell r="G200">
            <v>1566.6368516654547</v>
          </cell>
          <cell r="H200">
            <v>1.5666368516654547</v>
          </cell>
          <cell r="I200">
            <v>13.370008658008659</v>
          </cell>
          <cell r="J200">
            <v>1.3370008658008659E-2</v>
          </cell>
          <cell r="K200">
            <v>284.4012348582234</v>
          </cell>
          <cell r="L200">
            <v>0.28440123485822338</v>
          </cell>
          <cell r="M200">
            <v>1864.4080951816868</v>
          </cell>
        </row>
        <row r="201">
          <cell r="A201" t="str">
            <v>906000039</v>
          </cell>
          <cell r="B201" t="str">
            <v>PASTA P/EMPANADA PIÑA KILO</v>
          </cell>
          <cell r="C201" t="str">
            <v>ESP-RE-PAPS-041</v>
          </cell>
          <cell r="D201" t="str">
            <v>01</v>
          </cell>
          <cell r="E201" t="str">
            <v>Kilo</v>
          </cell>
          <cell r="F201" t="str">
            <v>Gramo</v>
          </cell>
          <cell r="G201">
            <v>1245.5018045996612</v>
          </cell>
          <cell r="H201">
            <v>1.2455018045996613</v>
          </cell>
          <cell r="I201">
            <v>13.899775837776851</v>
          </cell>
          <cell r="J201">
            <v>1.3899775837776851E-2</v>
          </cell>
          <cell r="K201">
            <v>226.69228447873883</v>
          </cell>
          <cell r="L201">
            <v>0.22669228447873882</v>
          </cell>
          <cell r="M201">
            <v>1486.0938649161769</v>
          </cell>
        </row>
        <row r="202">
          <cell r="A202" t="str">
            <v>906000041</v>
          </cell>
          <cell r="B202" t="str">
            <v>CORTE GALLETA MEDIA LUNA (UND)</v>
          </cell>
          <cell r="C202" t="str">
            <v>ESP-RE-PAPS-042</v>
          </cell>
          <cell r="D202">
            <v>0</v>
          </cell>
          <cell r="E202" t="str">
            <v>Und</v>
          </cell>
          <cell r="F202" t="str">
            <v>Und</v>
          </cell>
          <cell r="G202">
            <v>6.8179820607260249</v>
          </cell>
          <cell r="H202">
            <v>6.8179820607260249</v>
          </cell>
          <cell r="I202">
            <v>0.18995501378625559</v>
          </cell>
          <cell r="J202">
            <v>0.18995501378625559</v>
          </cell>
          <cell r="K202">
            <v>1.2614286734122104</v>
          </cell>
          <cell r="L202">
            <v>1.2614286734122104</v>
          </cell>
          <cell r="M202">
            <v>8.2693657479244909</v>
          </cell>
        </row>
        <row r="203">
          <cell r="A203" t="str">
            <v>906000050</v>
          </cell>
          <cell r="B203" t="str">
            <v>CORTE CANASTA RED AUTOMERCADO</v>
          </cell>
          <cell r="C203" t="str">
            <v>ESP-RE-PAPS-052</v>
          </cell>
          <cell r="D203" t="str">
            <v>04</v>
          </cell>
          <cell r="E203" t="str">
            <v>Und</v>
          </cell>
          <cell r="F203" t="str">
            <v>Und</v>
          </cell>
          <cell r="G203">
            <v>70.858984800828509</v>
          </cell>
          <cell r="H203">
            <v>70.858984800828509</v>
          </cell>
          <cell r="I203">
            <v>0.60472549160173161</v>
          </cell>
          <cell r="J203">
            <v>0.60472549160173161</v>
          </cell>
          <cell r="K203">
            <v>12.863467852637442</v>
          </cell>
          <cell r="L203">
            <v>12.863467852637442</v>
          </cell>
          <cell r="M203">
            <v>84.327178145067677</v>
          </cell>
        </row>
        <row r="204">
          <cell r="A204" t="str">
            <v>906000074</v>
          </cell>
          <cell r="B204" t="str">
            <v xml:space="preserve">CORTE GALLETA TRES LECHES CHILENA </v>
          </cell>
          <cell r="C204" t="str">
            <v xml:space="preserve">ESP-RE-POS-124 </v>
          </cell>
          <cell r="D204" t="str">
            <v>01</v>
          </cell>
          <cell r="E204" t="str">
            <v>Kilo</v>
          </cell>
          <cell r="F204" t="str">
            <v>Gramo</v>
          </cell>
          <cell r="G204">
            <v>1217.2279999043506</v>
          </cell>
          <cell r="H204">
            <v>1.2172279999043505</v>
          </cell>
          <cell r="I204">
            <v>4.8023477046500007</v>
          </cell>
          <cell r="J204">
            <v>4.8023477046500009E-3</v>
          </cell>
          <cell r="K204">
            <v>219.96546256962009</v>
          </cell>
          <cell r="L204">
            <v>0.21996546256962007</v>
          </cell>
          <cell r="M204">
            <v>1441.9958101786206</v>
          </cell>
        </row>
        <row r="205">
          <cell r="A205" t="str">
            <v>906000078</v>
          </cell>
          <cell r="B205" t="str">
            <v>CORTE GALLETA ALFAJOR GDE 25G UND</v>
          </cell>
          <cell r="C205" t="str">
            <v>ESP-RE-PAPS-073</v>
          </cell>
          <cell r="D205">
            <v>0</v>
          </cell>
          <cell r="E205" t="str">
            <v>Und</v>
          </cell>
          <cell r="F205" t="str">
            <v>Und</v>
          </cell>
          <cell r="G205">
            <v>29.656299705185152</v>
          </cell>
          <cell r="H205">
            <v>29.656299705185152</v>
          </cell>
          <cell r="I205">
            <v>0.13531173214622094</v>
          </cell>
          <cell r="J205">
            <v>0.13531173214622094</v>
          </cell>
          <cell r="K205">
            <v>5.3624900587196471</v>
          </cell>
          <cell r="L205">
            <v>5.3624900587196471</v>
          </cell>
          <cell r="M205">
            <v>35.15410149605102</v>
          </cell>
        </row>
        <row r="206">
          <cell r="A206" t="str">
            <v>906000086</v>
          </cell>
          <cell r="B206" t="str">
            <v>EMPANADA COCO Y PIÑA UND</v>
          </cell>
          <cell r="C206" t="str">
            <v>ESP-RE-PAPS-107</v>
          </cell>
          <cell r="D206">
            <v>0</v>
          </cell>
          <cell r="E206" t="str">
            <v>Und</v>
          </cell>
          <cell r="F206" t="str">
            <v>Und</v>
          </cell>
          <cell r="G206" t="e">
            <v>#N/A</v>
          </cell>
          <cell r="H206" t="e">
            <v>#N/A</v>
          </cell>
          <cell r="I206" t="e">
            <v>#N/A</v>
          </cell>
          <cell r="J206" t="e">
            <v>#N/A</v>
          </cell>
          <cell r="K206" t="e">
            <v>#N/A</v>
          </cell>
          <cell r="L206" t="e">
            <v>#N/A</v>
          </cell>
          <cell r="M206" t="e">
            <v>#N/A</v>
          </cell>
        </row>
        <row r="207">
          <cell r="A207" t="str">
            <v>906000089</v>
          </cell>
          <cell r="B207" t="str">
            <v>PREMEZCLA BATIDO  VAINILLA BUCCA</v>
          </cell>
          <cell r="C207" t="str">
            <v>ESP-RE-PRES-073</v>
          </cell>
          <cell r="D207" t="str">
            <v>13</v>
          </cell>
          <cell r="E207" t="str">
            <v>Kilo</v>
          </cell>
          <cell r="F207" t="str">
            <v>Gramo</v>
          </cell>
          <cell r="G207">
            <v>745.83316963709694</v>
          </cell>
          <cell r="H207">
            <v>0.74583316963709689</v>
          </cell>
          <cell r="I207">
            <v>9.6928763440860219</v>
          </cell>
          <cell r="J207">
            <v>9.6928763440860214E-3</v>
          </cell>
          <cell r="K207">
            <v>135.99468827661292</v>
          </cell>
          <cell r="L207">
            <v>0.13599468827661293</v>
          </cell>
          <cell r="M207">
            <v>891.52073425779588</v>
          </cell>
        </row>
        <row r="208">
          <cell r="A208" t="str">
            <v>906000093</v>
          </cell>
          <cell r="B208" t="str">
            <v>BASE PREMEZCLA SUPER ESPONJA KILO</v>
          </cell>
          <cell r="C208" t="str">
            <v xml:space="preserve">ESP-RE-PRES-034 </v>
          </cell>
          <cell r="D208" t="str">
            <v>05</v>
          </cell>
          <cell r="E208" t="str">
            <v>Kilo</v>
          </cell>
          <cell r="F208" t="str">
            <v>Gramo</v>
          </cell>
          <cell r="G208">
            <v>1743.6379999999999</v>
          </cell>
          <cell r="H208">
            <v>1.743638</v>
          </cell>
          <cell r="I208">
            <v>52.656906187624749</v>
          </cell>
          <cell r="J208">
            <v>5.2656906187624745E-2</v>
          </cell>
          <cell r="K208">
            <v>323.33308311377243</v>
          </cell>
          <cell r="L208">
            <v>0.32333308311377246</v>
          </cell>
          <cell r="M208">
            <v>2119.6279893013971</v>
          </cell>
        </row>
        <row r="209">
          <cell r="A209" t="str">
            <v>906000096</v>
          </cell>
          <cell r="B209" t="str">
            <v>BASE PREMEZCLA VAINILLA PURATOS KILO</v>
          </cell>
          <cell r="C209" t="str">
            <v>ESP-RE-PRES-073</v>
          </cell>
          <cell r="D209" t="str">
            <v>13</v>
          </cell>
          <cell r="E209" t="str">
            <v>Kilo</v>
          </cell>
          <cell r="F209" t="str">
            <v>Gramo</v>
          </cell>
          <cell r="G209">
            <v>1743.6379999999999</v>
          </cell>
          <cell r="H209">
            <v>1.743638</v>
          </cell>
          <cell r="I209">
            <v>89.341317365269461</v>
          </cell>
          <cell r="J209">
            <v>8.9341317365269457E-2</v>
          </cell>
          <cell r="K209">
            <v>329.93627712574852</v>
          </cell>
          <cell r="L209">
            <v>0.32993627712574852</v>
          </cell>
          <cell r="M209">
            <v>2162.9155944910181</v>
          </cell>
        </row>
        <row r="210">
          <cell r="A210" t="str">
            <v>906000102</v>
          </cell>
          <cell r="B210" t="str">
            <v>PREMEZ CHOCOLATE PILLS PLANTA KILO</v>
          </cell>
          <cell r="C210" t="str">
            <v xml:space="preserve">ESP-RE-PRES-030 </v>
          </cell>
          <cell r="D210" t="str">
            <v>02</v>
          </cell>
          <cell r="E210" t="str">
            <v>Kilo</v>
          </cell>
          <cell r="F210" t="str">
            <v>Gramo</v>
          </cell>
          <cell r="G210">
            <v>9902.9920000000002</v>
          </cell>
          <cell r="H210">
            <v>9.9029919999999994</v>
          </cell>
          <cell r="I210">
            <v>7.2466666666666661</v>
          </cell>
          <cell r="J210">
            <v>7.246666666666666E-3</v>
          </cell>
          <cell r="K210">
            <v>1783.8429599999999</v>
          </cell>
          <cell r="L210">
            <v>1.7838429599999999</v>
          </cell>
          <cell r="M210">
            <v>11694.081626666666</v>
          </cell>
        </row>
        <row r="211">
          <cell r="A211" t="str">
            <v>906000112</v>
          </cell>
          <cell r="B211" t="str">
            <v>BASE PREMEZCLA CHOCOLATE BUCCA (KILO)</v>
          </cell>
          <cell r="C211" t="str">
            <v>ESP-RE-PRES-026</v>
          </cell>
          <cell r="D211" t="str">
            <v>03</v>
          </cell>
          <cell r="E211" t="str">
            <v>Kilo</v>
          </cell>
          <cell r="F211" t="str">
            <v>Gramo</v>
          </cell>
          <cell r="G211">
            <v>9902.9920000000002</v>
          </cell>
          <cell r="H211">
            <v>9.9029919999999994</v>
          </cell>
          <cell r="I211">
            <v>13.333333333333332</v>
          </cell>
          <cell r="J211">
            <v>1.3333333333333332E-2</v>
          </cell>
          <cell r="K211">
            <v>1784.9385600000001</v>
          </cell>
          <cell r="L211">
            <v>1.7849385600000001</v>
          </cell>
          <cell r="M211">
            <v>11701.263893333335</v>
          </cell>
        </row>
        <row r="212">
          <cell r="A212" t="str">
            <v>906000115</v>
          </cell>
          <cell r="B212" t="str">
            <v>PREMEZCLA BATIDO CHOCOLATE PURATOS KILO</v>
          </cell>
          <cell r="C212" t="str">
            <v>ESP-RE-PRES-110</v>
          </cell>
          <cell r="D212" t="str">
            <v>01</v>
          </cell>
          <cell r="E212" t="str">
            <v>Kilo</v>
          </cell>
          <cell r="F212" t="str">
            <v>Gramo</v>
          </cell>
          <cell r="G212">
            <v>1743.6379999999999</v>
          </cell>
          <cell r="H212">
            <v>1.743638</v>
          </cell>
          <cell r="I212">
            <v>112.97604790419163</v>
          </cell>
          <cell r="J212">
            <v>0.11297604790419163</v>
          </cell>
          <cell r="K212">
            <v>334.19052862275447</v>
          </cell>
          <cell r="L212">
            <v>0.33419052862275445</v>
          </cell>
          <cell r="M212">
            <v>2190.8045765269458</v>
          </cell>
        </row>
        <row r="213">
          <cell r="A213" t="str">
            <v>906000116</v>
          </cell>
          <cell r="B213" t="str">
            <v>PREMEZCLA PASTA HOJALDRE DEBIL KILO</v>
          </cell>
          <cell r="C213" t="str">
            <v>ESP-RE-PRES-114</v>
          </cell>
          <cell r="D213" t="str">
            <v>01</v>
          </cell>
          <cell r="E213" t="str">
            <v>Kilo</v>
          </cell>
          <cell r="F213" t="str">
            <v>Gramo</v>
          </cell>
          <cell r="G213">
            <v>887.91940479805646</v>
          </cell>
          <cell r="H213">
            <v>0.88791940479805642</v>
          </cell>
          <cell r="I213">
            <v>6.0698740474021369</v>
          </cell>
          <cell r="J213">
            <v>6.0698740474021372E-3</v>
          </cell>
          <cell r="K213">
            <v>160.91807019218254</v>
          </cell>
          <cell r="L213">
            <v>0.16091807019218254</v>
          </cell>
          <cell r="M213">
            <v>1054.9073490376411</v>
          </cell>
        </row>
        <row r="214">
          <cell r="A214" t="str">
            <v>906000117</v>
          </cell>
          <cell r="B214" t="str">
            <v>PASTA HOJALDRE DEBIL KILO</v>
          </cell>
          <cell r="C214" t="str">
            <v>ESP-RE-PAPS-184</v>
          </cell>
          <cell r="D214" t="str">
            <v>01</v>
          </cell>
          <cell r="E214" t="str">
            <v>Kilo</v>
          </cell>
          <cell r="F214" t="str">
            <v>Gramo</v>
          </cell>
          <cell r="G214">
            <v>710.50830069705091</v>
          </cell>
          <cell r="H214">
            <v>0.71050830069705095</v>
          </cell>
          <cell r="I214">
            <v>4.5151946891357078</v>
          </cell>
          <cell r="J214">
            <v>4.5151946891357079E-3</v>
          </cell>
          <cell r="K214">
            <v>128.70422916951358</v>
          </cell>
          <cell r="L214">
            <v>0.12870422916951357</v>
          </cell>
          <cell r="M214">
            <v>843.72772455570021</v>
          </cell>
        </row>
        <row r="215">
          <cell r="A215" t="str">
            <v>906000118</v>
          </cell>
          <cell r="B215" t="str">
            <v xml:space="preserve">PREMEZCLA BATIDO SUPER ESPONJA KALUA </v>
          </cell>
          <cell r="C215" t="str">
            <v>ESP-RE-PRES-118</v>
          </cell>
          <cell r="D215" t="str">
            <v>03</v>
          </cell>
          <cell r="E215" t="str">
            <v>Kilo</v>
          </cell>
          <cell r="F215" t="str">
            <v>Gramo</v>
          </cell>
          <cell r="G215">
            <v>2063.4384707287932</v>
          </cell>
          <cell r="H215">
            <v>2.0634384707287934</v>
          </cell>
          <cell r="I215">
            <v>21.189622802526028</v>
          </cell>
          <cell r="J215">
            <v>2.1189622802526027E-2</v>
          </cell>
          <cell r="K215">
            <v>375.23305683563746</v>
          </cell>
          <cell r="L215">
            <v>0.37523305683563746</v>
          </cell>
          <cell r="M215">
            <v>2459.8611503669567</v>
          </cell>
        </row>
        <row r="216">
          <cell r="A216" t="str">
            <v>906000121</v>
          </cell>
          <cell r="B216" t="str">
            <v>PREMEZCLA TURRON DE COCO</v>
          </cell>
          <cell r="C216" t="str">
            <v>ESP-RE-PRES-119</v>
          </cell>
          <cell r="D216" t="str">
            <v>01</v>
          </cell>
          <cell r="E216" t="str">
            <v>Kilo</v>
          </cell>
          <cell r="F216" t="str">
            <v>Gramo</v>
          </cell>
          <cell r="G216">
            <v>457.04124051197903</v>
          </cell>
          <cell r="H216">
            <v>0.45704124051197903</v>
          </cell>
          <cell r="I216">
            <v>15.950114867082375</v>
          </cell>
          <cell r="J216">
            <v>1.5950114867082376E-2</v>
          </cell>
          <cell r="K216">
            <v>85.138443968231059</v>
          </cell>
          <cell r="L216">
            <v>8.5138443968231059E-2</v>
          </cell>
          <cell r="M216">
            <v>558.12979934729242</v>
          </cell>
        </row>
        <row r="217">
          <cell r="A217" t="str">
            <v>906000124</v>
          </cell>
          <cell r="B217" t="str">
            <v>PREMEZCLA BROWNIE DAWN (KILO)</v>
          </cell>
          <cell r="C217" t="str">
            <v xml:space="preserve">ESP-RE-PRES-090 </v>
          </cell>
          <cell r="D217" t="str">
            <v>03</v>
          </cell>
          <cell r="E217" t="str">
            <v>Kilo</v>
          </cell>
          <cell r="F217" t="str">
            <v>Gramo</v>
          </cell>
          <cell r="G217">
            <v>9902.9920000000002</v>
          </cell>
          <cell r="H217">
            <v>9.9029919999999994</v>
          </cell>
          <cell r="I217">
            <v>6.1726666666666663</v>
          </cell>
          <cell r="J217">
            <v>6.1726666666666666E-3</v>
          </cell>
          <cell r="K217">
            <v>1783.6496400000001</v>
          </cell>
          <cell r="L217">
            <v>1.7836496400000001</v>
          </cell>
          <cell r="M217">
            <v>11692.814306666667</v>
          </cell>
        </row>
        <row r="218">
          <cell r="A218" t="str">
            <v>907000001</v>
          </cell>
          <cell r="B218" t="str">
            <v>MEZCLA TRES LECHES PASTEURIZADA KILO</v>
          </cell>
          <cell r="C218" t="str">
            <v>ESP-RE-POS-072</v>
          </cell>
          <cell r="D218" t="str">
            <v>13</v>
          </cell>
          <cell r="E218" t="str">
            <v>Kilo</v>
          </cell>
          <cell r="F218" t="str">
            <v>Gramo</v>
          </cell>
          <cell r="G218">
            <v>1575.6340909284838</v>
          </cell>
          <cell r="H218">
            <v>1.5756340909284838</v>
          </cell>
          <cell r="I218">
            <v>0.78660031695238108</v>
          </cell>
          <cell r="J218">
            <v>7.8660031695238105E-4</v>
          </cell>
          <cell r="K218">
            <v>283.75572442417854</v>
          </cell>
          <cell r="L218">
            <v>0.28375572442417851</v>
          </cell>
          <cell r="M218">
            <v>1860.1764156696149</v>
          </cell>
        </row>
        <row r="219">
          <cell r="A219" t="str">
            <v>907000002</v>
          </cell>
          <cell r="B219" t="str">
            <v>BASE GALLETA P/CHEESE CAKE (KILO)</v>
          </cell>
          <cell r="C219" t="str">
            <v>ESP-RE-POS-031</v>
          </cell>
          <cell r="D219" t="str">
            <v>08</v>
          </cell>
          <cell r="E219" t="str">
            <v>Kilo</v>
          </cell>
          <cell r="F219" t="str">
            <v>Gramo</v>
          </cell>
          <cell r="G219">
            <v>2805.1123787540432</v>
          </cell>
          <cell r="H219">
            <v>2.8051123787540431</v>
          </cell>
          <cell r="I219">
            <v>1.84845204906981</v>
          </cell>
          <cell r="J219">
            <v>1.8484520490698101E-3</v>
          </cell>
          <cell r="K219">
            <v>505.25294954456029</v>
          </cell>
          <cell r="L219">
            <v>0.50525294954456035</v>
          </cell>
          <cell r="M219">
            <v>3312.213780347673</v>
          </cell>
        </row>
        <row r="220">
          <cell r="A220" t="str">
            <v>907000003</v>
          </cell>
          <cell r="B220" t="str">
            <v>CREMA BLANCA CON MANJAR KILO</v>
          </cell>
          <cell r="C220" t="str">
            <v>ESP-RE-DES-039</v>
          </cell>
          <cell r="D220" t="str">
            <v>06</v>
          </cell>
          <cell r="E220" t="str">
            <v>Kilo</v>
          </cell>
          <cell r="F220" t="str">
            <v>Gramo</v>
          </cell>
          <cell r="G220">
            <v>2254.9061866666666</v>
          </cell>
          <cell r="H220">
            <v>2.2549061866666666</v>
          </cell>
          <cell r="I220">
            <v>2.726E-2</v>
          </cell>
          <cell r="J220">
            <v>2.726E-5</v>
          </cell>
          <cell r="K220">
            <v>405.88802039999996</v>
          </cell>
          <cell r="L220">
            <v>0.40588802039999994</v>
          </cell>
          <cell r="M220">
            <v>2660.8214670666666</v>
          </cell>
        </row>
        <row r="221">
          <cell r="A221" t="str">
            <v>907000005</v>
          </cell>
          <cell r="B221" t="str">
            <v>MEZCLA P/FLAN COCO SPOON KILO</v>
          </cell>
          <cell r="C221" t="str">
            <v>ESP-RE-POS-018</v>
          </cell>
          <cell r="D221" t="str">
            <v>04</v>
          </cell>
          <cell r="E221" t="str">
            <v>Kilo</v>
          </cell>
          <cell r="F221" t="str">
            <v>Gramo</v>
          </cell>
          <cell r="G221">
            <v>1423.3544205714286</v>
          </cell>
          <cell r="H221">
            <v>1.4233544205714286</v>
          </cell>
          <cell r="I221">
            <v>0</v>
          </cell>
          <cell r="J221">
            <v>0</v>
          </cell>
          <cell r="K221">
            <v>256.20379570285712</v>
          </cell>
          <cell r="L221">
            <v>0.25620379570285712</v>
          </cell>
          <cell r="M221">
            <v>1679.5582162742858</v>
          </cell>
        </row>
        <row r="222">
          <cell r="A222" t="str">
            <v>907000008</v>
          </cell>
          <cell r="B222" t="str">
            <v>MEZCLA P/CUATRO LECHES (KILO)</v>
          </cell>
          <cell r="C222" t="str">
            <v>ESP-RE-POS-021</v>
          </cell>
          <cell r="D222" t="str">
            <v>02</v>
          </cell>
          <cell r="E222" t="str">
            <v>Kilo</v>
          </cell>
          <cell r="F222" t="str">
            <v>Gramo</v>
          </cell>
          <cell r="G222">
            <v>1399.525113880874</v>
          </cell>
          <cell r="H222">
            <v>1.399525113880874</v>
          </cell>
          <cell r="I222">
            <v>10.132160525108107</v>
          </cell>
          <cell r="J222">
            <v>1.0132160525108107E-2</v>
          </cell>
          <cell r="K222">
            <v>253.73830939307675</v>
          </cell>
          <cell r="L222">
            <v>0.25373830939307673</v>
          </cell>
          <cell r="M222">
            <v>1663.3955837990588</v>
          </cell>
        </row>
        <row r="223">
          <cell r="A223" t="str">
            <v>907000010</v>
          </cell>
          <cell r="B223" t="str">
            <v>MEZCLA P/CUATRO LECHES CHOCOLATE (KILO)</v>
          </cell>
          <cell r="C223" t="str">
            <v>ESP-RE-POS-023</v>
          </cell>
          <cell r="D223" t="str">
            <v>02</v>
          </cell>
          <cell r="E223" t="str">
            <v>Kilo</v>
          </cell>
          <cell r="F223" t="str">
            <v>Gramo</v>
          </cell>
          <cell r="G223">
            <v>2280.6412075640264</v>
          </cell>
          <cell r="H223">
            <v>2.2806412075640266</v>
          </cell>
          <cell r="I223">
            <v>15.966807853805742</v>
          </cell>
          <cell r="J223">
            <v>1.5966807853805741E-2</v>
          </cell>
          <cell r="K223">
            <v>413.38944277520977</v>
          </cell>
          <cell r="L223">
            <v>0.41338944277520978</v>
          </cell>
          <cell r="M223">
            <v>2709.9974581930419</v>
          </cell>
        </row>
        <row r="224">
          <cell r="A224" t="str">
            <v>907000012</v>
          </cell>
          <cell r="B224" t="str">
            <v>CARAMELO AZUCAR P/FLAN (KILO)</v>
          </cell>
          <cell r="C224" t="str">
            <v>ESP-RE-POS-105</v>
          </cell>
          <cell r="D224" t="str">
            <v>01</v>
          </cell>
          <cell r="E224" t="str">
            <v>Kilo</v>
          </cell>
          <cell r="F224" t="str">
            <v>Gramo</v>
          </cell>
          <cell r="G224">
            <v>814.03703703703673</v>
          </cell>
          <cell r="H224">
            <v>0.81403703703703667</v>
          </cell>
          <cell r="I224">
            <v>0</v>
          </cell>
          <cell r="J224">
            <v>0</v>
          </cell>
          <cell r="K224">
            <v>146.52666666666661</v>
          </cell>
          <cell r="L224">
            <v>0.14652666666666661</v>
          </cell>
          <cell r="M224">
            <v>960.56370370370337</v>
          </cell>
        </row>
        <row r="225">
          <cell r="A225" t="str">
            <v>907000015</v>
          </cell>
          <cell r="B225" t="str">
            <v>MEZCLA CHOCOLATE BLANCO C/PECANA (KILO)</v>
          </cell>
          <cell r="C225" t="str">
            <v>ESP-RE-POS-040</v>
          </cell>
          <cell r="D225" t="str">
            <v>01</v>
          </cell>
          <cell r="E225" t="str">
            <v>Kilo</v>
          </cell>
          <cell r="F225" t="str">
            <v>Gramo</v>
          </cell>
          <cell r="G225">
            <v>2441.91</v>
          </cell>
          <cell r="H225">
            <v>2.44191</v>
          </cell>
          <cell r="I225">
            <v>32</v>
          </cell>
          <cell r="J225">
            <v>3.2000000000000001E-2</v>
          </cell>
          <cell r="K225">
            <v>445.30379999999997</v>
          </cell>
          <cell r="L225">
            <v>0.44530379999999997</v>
          </cell>
          <cell r="M225">
            <v>2919.2138</v>
          </cell>
        </row>
        <row r="226">
          <cell r="A226" t="str">
            <v>907000019</v>
          </cell>
          <cell r="B226" t="str">
            <v>BASE GALLETA P/BARRA PECANA STB KILO</v>
          </cell>
          <cell r="C226" t="str">
            <v xml:space="preserve">ESP-RE-POS-055 </v>
          </cell>
          <cell r="D226" t="str">
            <v>02</v>
          </cell>
          <cell r="E226" t="str">
            <v>Kilo</v>
          </cell>
          <cell r="F226" t="str">
            <v>Gramo</v>
          </cell>
          <cell r="G226">
            <v>2589.2930639597316</v>
          </cell>
          <cell r="H226">
            <v>2.5892930639597318</v>
          </cell>
          <cell r="I226">
            <v>41.07681925</v>
          </cell>
          <cell r="J226">
            <v>4.107681925E-2</v>
          </cell>
          <cell r="K226">
            <v>473.46657897775168</v>
          </cell>
          <cell r="L226">
            <v>0.47346657897775168</v>
          </cell>
          <cell r="M226">
            <v>3103.8364621874834</v>
          </cell>
        </row>
        <row r="227">
          <cell r="A227" t="str">
            <v>907000020</v>
          </cell>
          <cell r="B227" t="str">
            <v>MEZCLA FLAN CARAMELO SPOON (KILO)</v>
          </cell>
          <cell r="C227" t="str">
            <v xml:space="preserve">ESP-RE-POS-063 </v>
          </cell>
          <cell r="D227" t="str">
            <v>07</v>
          </cell>
          <cell r="E227" t="str">
            <v>Kilo</v>
          </cell>
          <cell r="F227" t="str">
            <v>Gramo</v>
          </cell>
          <cell r="G227">
            <v>1531.6634364444446</v>
          </cell>
          <cell r="H227">
            <v>1.5316634364444446</v>
          </cell>
          <cell r="I227">
            <v>0</v>
          </cell>
          <cell r="J227">
            <v>0</v>
          </cell>
          <cell r="K227">
            <v>275.69941856000003</v>
          </cell>
          <cell r="L227">
            <v>0.27569941856000002</v>
          </cell>
          <cell r="M227">
            <v>1807.3628550044446</v>
          </cell>
        </row>
        <row r="228">
          <cell r="A228" t="str">
            <v>907000022</v>
          </cell>
          <cell r="B228" t="str">
            <v>SEMILLAS ALMENDRAS TOSTADAS (KILO)</v>
          </cell>
          <cell r="C228" t="str">
            <v xml:space="preserve">ESP-RE-DES-035 </v>
          </cell>
          <cell r="D228">
            <v>0</v>
          </cell>
          <cell r="E228" t="str">
            <v>Kilo</v>
          </cell>
          <cell r="F228" t="str">
            <v>Gramo</v>
          </cell>
          <cell r="G228">
            <v>10.666666666666668</v>
          </cell>
          <cell r="H228">
            <v>1.0666666666666668E-2</v>
          </cell>
          <cell r="I228">
            <v>21.826666666666668</v>
          </cell>
          <cell r="J228">
            <v>2.1826666666666668E-2</v>
          </cell>
          <cell r="K228">
            <v>5.8488000000000007</v>
          </cell>
          <cell r="L228">
            <v>5.8488000000000004E-3</v>
          </cell>
          <cell r="M228">
            <v>38.342133333333337</v>
          </cell>
        </row>
        <row r="229">
          <cell r="A229" t="str">
            <v>907000025</v>
          </cell>
          <cell r="B229" t="str">
            <v>CARAMELO C/CHOCOLATE BLANCO KILO</v>
          </cell>
          <cell r="C229" t="str">
            <v>ESP-RE-POS-099</v>
          </cell>
          <cell r="D229" t="str">
            <v>01</v>
          </cell>
          <cell r="E229" t="str">
            <v>Kilo</v>
          </cell>
          <cell r="F229" t="str">
            <v>Gramo</v>
          </cell>
          <cell r="G229">
            <v>2335.1705555555554</v>
          </cell>
          <cell r="H229">
            <v>2.3351705555555555</v>
          </cell>
          <cell r="I229" t="e">
            <v>#N/A</v>
          </cell>
          <cell r="J229" t="e">
            <v>#N/A</v>
          </cell>
          <cell r="K229" t="e">
            <v>#N/A</v>
          </cell>
          <cell r="L229" t="e">
            <v>#N/A</v>
          </cell>
          <cell r="M229" t="e">
            <v>#N/A</v>
          </cell>
        </row>
        <row r="230">
          <cell r="A230" t="str">
            <v>907000026</v>
          </cell>
          <cell r="B230" t="str">
            <v>MEZCLA TRES LECHES Y KOLITA (LITRO)</v>
          </cell>
          <cell r="C230" t="str">
            <v>ESP-RE-DES-107</v>
          </cell>
          <cell r="D230" t="str">
            <v>03</v>
          </cell>
          <cell r="E230" t="str">
            <v>Kilo</v>
          </cell>
          <cell r="F230" t="str">
            <v>Gramo</v>
          </cell>
          <cell r="G230">
            <v>1340.6354640908969</v>
          </cell>
          <cell r="H230">
            <v>1.3406354640908968</v>
          </cell>
          <cell r="I230">
            <v>7.3806029934814825</v>
          </cell>
          <cell r="J230">
            <v>7.3806029934814828E-3</v>
          </cell>
          <cell r="K230">
            <v>242.64289207518812</v>
          </cell>
          <cell r="L230">
            <v>0.2426428920751881</v>
          </cell>
          <cell r="M230">
            <v>1590.6589591595666</v>
          </cell>
        </row>
        <row r="231">
          <cell r="A231" t="str">
            <v>907000027</v>
          </cell>
          <cell r="B231" t="str">
            <v>CARAMELO CROCANTE KILO</v>
          </cell>
          <cell r="C231" t="str">
            <v>ESP-RE-POS-100</v>
          </cell>
          <cell r="D231" t="str">
            <v>01</v>
          </cell>
          <cell r="E231" t="str">
            <v>Kilo</v>
          </cell>
          <cell r="F231" t="str">
            <v>Gramo</v>
          </cell>
          <cell r="G231">
            <v>805.89666666666631</v>
          </cell>
          <cell r="H231">
            <v>0.80589666666666626</v>
          </cell>
          <cell r="I231">
            <v>16</v>
          </cell>
          <cell r="J231">
            <v>1.6E-2</v>
          </cell>
          <cell r="K231">
            <v>147.94139999999993</v>
          </cell>
          <cell r="L231">
            <v>0.14794139999999992</v>
          </cell>
          <cell r="M231">
            <v>969.83806666666624</v>
          </cell>
        </row>
        <row r="232">
          <cell r="A232" t="str">
            <v>907000028</v>
          </cell>
          <cell r="B232" t="str">
            <v>MEZCLA TRES  LECHES C/DULCE LECHE KILO</v>
          </cell>
          <cell r="C232" t="str">
            <v>ESP-RE-POS-071</v>
          </cell>
          <cell r="D232" t="str">
            <v>01</v>
          </cell>
          <cell r="E232" t="str">
            <v>Kilo</v>
          </cell>
          <cell r="F232" t="str">
            <v>Gramo</v>
          </cell>
          <cell r="G232">
            <v>1713.8206818356355</v>
          </cell>
          <cell r="H232">
            <v>1.7138206818356354</v>
          </cell>
          <cell r="I232">
            <v>2.4281402852571432</v>
          </cell>
          <cell r="J232">
            <v>2.4281402852571431E-3</v>
          </cell>
          <cell r="K232">
            <v>308.92478798176063</v>
          </cell>
          <cell r="L232">
            <v>0.30892478798176065</v>
          </cell>
          <cell r="M232">
            <v>2025.1736101026531</v>
          </cell>
        </row>
        <row r="233">
          <cell r="A233" t="str">
            <v>907000029</v>
          </cell>
          <cell r="B233" t="str">
            <v>FLAN COCO BUCCA UND</v>
          </cell>
          <cell r="C233" t="str">
            <v>ESP-RE-POS-067</v>
          </cell>
          <cell r="D233" t="str">
            <v>06</v>
          </cell>
          <cell r="E233" t="str">
            <v>Und</v>
          </cell>
          <cell r="F233" t="str">
            <v>Und</v>
          </cell>
          <cell r="G233">
            <v>1274.6030711111111</v>
          </cell>
          <cell r="H233">
            <v>1274.6030711111111</v>
          </cell>
          <cell r="I233">
            <v>2.5824449122807018</v>
          </cell>
          <cell r="J233">
            <v>2.5824449122807018</v>
          </cell>
          <cell r="K233">
            <v>229.8933928842105</v>
          </cell>
          <cell r="L233">
            <v>229.8933928842105</v>
          </cell>
          <cell r="M233">
            <v>1507.0789089076022</v>
          </cell>
        </row>
        <row r="234">
          <cell r="A234" t="str">
            <v>907000030</v>
          </cell>
          <cell r="B234" t="str">
            <v>FLAN CARAMELO BUCCA UND</v>
          </cell>
          <cell r="C234" t="str">
            <v xml:space="preserve">ESP-RE-POS-068  </v>
          </cell>
          <cell r="D234" t="str">
            <v>01</v>
          </cell>
          <cell r="E234" t="str">
            <v>Und</v>
          </cell>
          <cell r="F234" t="str">
            <v>Und</v>
          </cell>
          <cell r="G234">
            <v>2407.3901546666671</v>
          </cell>
          <cell r="H234">
            <v>2407.3901546666671</v>
          </cell>
          <cell r="I234">
            <v>314.67599999999999</v>
          </cell>
          <cell r="J234">
            <v>314.67599999999999</v>
          </cell>
          <cell r="K234">
            <v>489.97190784000003</v>
          </cell>
          <cell r="L234">
            <v>489.97190784000003</v>
          </cell>
          <cell r="M234">
            <v>3212.0380625066668</v>
          </cell>
        </row>
        <row r="235">
          <cell r="A235" t="str">
            <v>907000031</v>
          </cell>
          <cell r="B235" t="str">
            <v xml:space="preserve">Flan Caramelo Mini Redondo Spoon </v>
          </cell>
          <cell r="C235" t="str">
            <v>ESP-RE-POS-101</v>
          </cell>
          <cell r="D235" t="str">
            <v>05</v>
          </cell>
          <cell r="E235" t="str">
            <v>Und</v>
          </cell>
          <cell r="F235" t="str">
            <v>Und</v>
          </cell>
          <cell r="G235">
            <v>788.18571822222225</v>
          </cell>
          <cell r="H235">
            <v>788.18571822222225</v>
          </cell>
          <cell r="I235">
            <v>0</v>
          </cell>
          <cell r="J235">
            <v>0</v>
          </cell>
          <cell r="K235">
            <v>141.87342928000001</v>
          </cell>
          <cell r="L235">
            <v>141.87342928000001</v>
          </cell>
          <cell r="M235">
            <v>930.05914750222223</v>
          </cell>
        </row>
        <row r="236">
          <cell r="A236" t="str">
            <v>907000033</v>
          </cell>
          <cell r="B236" t="str">
            <v>PIE LIMON P/PORCIONAR 1100G</v>
          </cell>
          <cell r="C236" t="str">
            <v>ESP-RE-POS-064</v>
          </cell>
          <cell r="D236" t="str">
            <v>01</v>
          </cell>
          <cell r="E236" t="str">
            <v>Und</v>
          </cell>
          <cell r="F236" t="str">
            <v>Und</v>
          </cell>
          <cell r="G236">
            <v>1970.9132059654839</v>
          </cell>
          <cell r="H236">
            <v>1970.9132059654839</v>
          </cell>
          <cell r="I236">
            <v>0.37915448430519944</v>
          </cell>
          <cell r="J236">
            <v>0.37915448430519944</v>
          </cell>
          <cell r="K236">
            <v>354.83262488096204</v>
          </cell>
          <cell r="L236">
            <v>354.83262488096204</v>
          </cell>
          <cell r="M236">
            <v>2326.1249853307513</v>
          </cell>
        </row>
        <row r="237">
          <cell r="A237" t="str">
            <v>907000052</v>
          </cell>
          <cell r="B237" t="str">
            <v xml:space="preserve">ROSQUETE ESPONJA CARAMELO 380G </v>
          </cell>
          <cell r="C237" t="str">
            <v>ESP-RE-BAS-105</v>
          </cell>
          <cell r="D237" t="str">
            <v>03</v>
          </cell>
          <cell r="E237" t="str">
            <v>Und</v>
          </cell>
          <cell r="F237" t="str">
            <v>Und</v>
          </cell>
          <cell r="G237">
            <v>505.53094086401262</v>
          </cell>
          <cell r="H237">
            <v>505.53094086401262</v>
          </cell>
          <cell r="I237">
            <v>0.40217174750014539</v>
          </cell>
          <cell r="J237">
            <v>0.40217174750014539</v>
          </cell>
          <cell r="K237">
            <v>91.067960270072291</v>
          </cell>
          <cell r="L237">
            <v>91.067960270072291</v>
          </cell>
          <cell r="M237">
            <v>597.00107288158506</v>
          </cell>
        </row>
        <row r="238">
          <cell r="A238" t="str">
            <v>907000061</v>
          </cell>
          <cell r="B238" t="str">
            <v>BATIDO SUPER ESPONJA CARAMELO KILO</v>
          </cell>
          <cell r="C238" t="str">
            <v>ESP-RE-BAS-080</v>
          </cell>
          <cell r="D238" t="str">
            <v>05</v>
          </cell>
          <cell r="E238" t="str">
            <v>Kilo</v>
          </cell>
          <cell r="F238" t="str">
            <v>Gramo</v>
          </cell>
          <cell r="G238">
            <v>1276.6642129817446</v>
          </cell>
          <cell r="H238">
            <v>1.2766642129817447</v>
          </cell>
          <cell r="I238">
            <v>0.16021371051001446</v>
          </cell>
          <cell r="J238">
            <v>1.6021371051001446E-4</v>
          </cell>
          <cell r="K238">
            <v>229.82839680460586</v>
          </cell>
          <cell r="L238">
            <v>0.22982839680460587</v>
          </cell>
          <cell r="M238">
            <v>1506.6528234968605</v>
          </cell>
        </row>
        <row r="239">
          <cell r="A239" t="str">
            <v>907000073</v>
          </cell>
          <cell r="B239" t="str">
            <v>ROSQUETE TRES LECHES SOUFLE (40G) KFC</v>
          </cell>
          <cell r="C239" t="str">
            <v>ESP-RE-BAF-045</v>
          </cell>
          <cell r="D239" t="str">
            <v>05</v>
          </cell>
          <cell r="E239" t="str">
            <v>Und</v>
          </cell>
          <cell r="F239" t="str">
            <v>Und</v>
          </cell>
          <cell r="G239">
            <v>59.547564468330542</v>
          </cell>
          <cell r="H239">
            <v>59.547564468330542</v>
          </cell>
          <cell r="I239">
            <v>1.1738770678710937</v>
          </cell>
          <cell r="J239">
            <v>1.1738770678710937</v>
          </cell>
          <cell r="K239">
            <v>10.929859476516295</v>
          </cell>
          <cell r="L239">
            <v>10.929859476516295</v>
          </cell>
          <cell r="M239">
            <v>71.651301012717937</v>
          </cell>
        </row>
        <row r="240">
          <cell r="A240" t="str">
            <v>907000077</v>
          </cell>
          <cell r="B240" t="str">
            <v>BATIDO TURRON DE COCO KILO</v>
          </cell>
          <cell r="C240">
            <v>0</v>
          </cell>
          <cell r="D240">
            <v>0</v>
          </cell>
          <cell r="E240" t="str">
            <v>Kilo</v>
          </cell>
          <cell r="F240" t="str">
            <v>Gramo</v>
          </cell>
          <cell r="G240">
            <v>774.89781919999996</v>
          </cell>
          <cell r="H240">
            <v>0.7748978192</v>
          </cell>
          <cell r="I240">
            <v>9.3461538461538467</v>
          </cell>
          <cell r="J240">
            <v>9.346153846153846E-3</v>
          </cell>
          <cell r="K240">
            <v>141.16391514830767</v>
          </cell>
          <cell r="L240">
            <v>0.14116391514830767</v>
          </cell>
          <cell r="M240">
            <v>925.40788819446141</v>
          </cell>
        </row>
        <row r="241">
          <cell r="A241" t="str">
            <v>907000088</v>
          </cell>
          <cell r="B241" t="str">
            <v>ROSQUETE SUPER ESPONJA CARAMELO 220g</v>
          </cell>
          <cell r="C241" t="str">
            <v>ESP-RE-BAS-109</v>
          </cell>
          <cell r="D241" t="str">
            <v>02</v>
          </cell>
          <cell r="E241" t="str">
            <v>Und</v>
          </cell>
          <cell r="F241" t="str">
            <v>Und</v>
          </cell>
          <cell r="G241">
            <v>292.4530276508338</v>
          </cell>
          <cell r="H241">
            <v>292.4530276508338</v>
          </cell>
          <cell r="I241">
            <v>2.7092906382728672</v>
          </cell>
          <cell r="J241">
            <v>2.7092906382728672</v>
          </cell>
          <cell r="K241">
            <v>53.129217292039201</v>
          </cell>
          <cell r="L241">
            <v>53.129217292039201</v>
          </cell>
          <cell r="M241">
            <v>348.29153558114587</v>
          </cell>
        </row>
        <row r="242">
          <cell r="A242" t="str">
            <v>907000109</v>
          </cell>
          <cell r="B242" t="str">
            <v>BATIDO VAINILLA PURATOS BUCCA KILO</v>
          </cell>
          <cell r="C242" t="str">
            <v>ESP-RE-BAF-005</v>
          </cell>
          <cell r="D242" t="str">
            <v>04</v>
          </cell>
          <cell r="E242" t="str">
            <v>Kilo</v>
          </cell>
          <cell r="F242" t="str">
            <v>Gramo</v>
          </cell>
          <cell r="G242">
            <v>916.57361040986723</v>
          </cell>
          <cell r="H242">
            <v>0.91657361040986718</v>
          </cell>
          <cell r="I242">
            <v>0.25745669950421735</v>
          </cell>
          <cell r="J242">
            <v>2.5745669950421734E-4</v>
          </cell>
          <cell r="K242">
            <v>165.02959207968686</v>
          </cell>
          <cell r="L242">
            <v>0.16502959207968687</v>
          </cell>
          <cell r="M242">
            <v>1081.8606591890584</v>
          </cell>
        </row>
        <row r="243">
          <cell r="A243" t="str">
            <v>907000111</v>
          </cell>
          <cell r="B243" t="str">
            <v>ROSQUETE TURRON DE COCO 400 g</v>
          </cell>
          <cell r="C243">
            <v>0</v>
          </cell>
          <cell r="D243">
            <v>0</v>
          </cell>
          <cell r="E243" t="str">
            <v>Und</v>
          </cell>
          <cell r="F243" t="str">
            <v>Und</v>
          </cell>
          <cell r="G243">
            <v>351.19233605583895</v>
          </cell>
          <cell r="H243">
            <v>351.19233605583895</v>
          </cell>
          <cell r="I243">
            <v>19.102501806410256</v>
          </cell>
          <cell r="J243">
            <v>19.102501806410256</v>
          </cell>
          <cell r="K243">
            <v>66.653070815204856</v>
          </cell>
          <cell r="L243">
            <v>66.653070815204856</v>
          </cell>
          <cell r="M243">
            <v>436.94790867745405</v>
          </cell>
        </row>
        <row r="244">
          <cell r="A244" t="str">
            <v>907000114</v>
          </cell>
          <cell r="B244" t="str">
            <v xml:space="preserve">BATIDO VAINILLA PURATOS SACO ROSADO </v>
          </cell>
          <cell r="C244" t="str">
            <v>ESP-RE-BAF-005</v>
          </cell>
          <cell r="D244" t="str">
            <v>05</v>
          </cell>
          <cell r="E244" t="str">
            <v>Kilo</v>
          </cell>
          <cell r="F244" t="str">
            <v>Gramo</v>
          </cell>
          <cell r="G244">
            <v>866.35822793796569</v>
          </cell>
          <cell r="H244">
            <v>0.86635822793796569</v>
          </cell>
          <cell r="I244">
            <v>0.77464921114467944</v>
          </cell>
          <cell r="J244">
            <v>7.7464921114467941E-4</v>
          </cell>
          <cell r="K244">
            <v>156.08391788683986</v>
          </cell>
          <cell r="L244">
            <v>0.15608391788683987</v>
          </cell>
          <cell r="M244">
            <v>1023.2167950359503</v>
          </cell>
        </row>
        <row r="245">
          <cell r="A245" t="str">
            <v>907000117</v>
          </cell>
          <cell r="B245" t="str">
            <v>ROSQUETE CHOCOLATE BUCCA 280 g</v>
          </cell>
          <cell r="C245" t="str">
            <v>ESP-RE-BAF-016</v>
          </cell>
          <cell r="D245" t="str">
            <v>05</v>
          </cell>
          <cell r="E245" t="str">
            <v>Und</v>
          </cell>
          <cell r="F245" t="str">
            <v>Und</v>
          </cell>
          <cell r="G245">
            <v>312.25784765262273</v>
          </cell>
          <cell r="H245">
            <v>312.25784765262273</v>
          </cell>
          <cell r="I245">
            <v>2.6294533881578945</v>
          </cell>
          <cell r="J245">
            <v>2.6294533881578945</v>
          </cell>
          <cell r="K245">
            <v>56.679714187340515</v>
          </cell>
          <cell r="L245">
            <v>56.679714187340515</v>
          </cell>
          <cell r="M245">
            <v>371.56701522812114</v>
          </cell>
        </row>
        <row r="246">
          <cell r="A246" t="str">
            <v>907000200</v>
          </cell>
          <cell r="B246" t="str">
            <v>BATIDO ROSQUETE ARROLLADO KILO</v>
          </cell>
          <cell r="C246" t="str">
            <v>ESP-RE-BAS-004</v>
          </cell>
          <cell r="D246" t="str">
            <v>08</v>
          </cell>
          <cell r="E246" t="str">
            <v>Kilo</v>
          </cell>
          <cell r="F246" t="str">
            <v>Gramo</v>
          </cell>
          <cell r="G246">
            <v>1149.3234986666666</v>
          </cell>
          <cell r="H246">
            <v>1.1493234986666667</v>
          </cell>
          <cell r="I246">
            <v>6.7777777777777777</v>
          </cell>
          <cell r="J246">
            <v>6.7777777777777775E-3</v>
          </cell>
          <cell r="K246">
            <v>208.09822976000001</v>
          </cell>
          <cell r="L246">
            <v>0.20809822976</v>
          </cell>
          <cell r="M246">
            <v>1364.1995062044446</v>
          </cell>
        </row>
        <row r="247">
          <cell r="A247" t="str">
            <v>907000202</v>
          </cell>
          <cell r="B247" t="str">
            <v>BATIDO BROWNIE DAWN KILO</v>
          </cell>
          <cell r="C247" t="str">
            <v xml:space="preserve">ESP-RE-BAF-028 </v>
          </cell>
          <cell r="D247" t="str">
            <v>03</v>
          </cell>
          <cell r="E247" t="str">
            <v>Kilo</v>
          </cell>
          <cell r="F247" t="str">
            <v>Gramo</v>
          </cell>
          <cell r="G247">
            <v>2050.3041099999996</v>
          </cell>
          <cell r="H247">
            <v>2.0503041099999995</v>
          </cell>
          <cell r="I247">
            <v>1.1573750000000001E-2</v>
          </cell>
          <cell r="J247">
            <v>1.1573750000000001E-5</v>
          </cell>
          <cell r="K247">
            <v>369.0568230749999</v>
          </cell>
          <cell r="L247">
            <v>0.36905682307499987</v>
          </cell>
          <cell r="M247">
            <v>2419.3725068249996</v>
          </cell>
        </row>
        <row r="248">
          <cell r="A248" t="str">
            <v>907000203</v>
          </cell>
          <cell r="B248" t="str">
            <v>SUSPIRO BANDEJA KILO</v>
          </cell>
          <cell r="C248" t="str">
            <v>ESP-RE-BAS-114</v>
          </cell>
          <cell r="D248" t="str">
            <v>01</v>
          </cell>
          <cell r="E248" t="str">
            <v>Kilo</v>
          </cell>
          <cell r="F248" t="str">
            <v>Gramo</v>
          </cell>
          <cell r="G248">
            <v>2413.6713177831139</v>
          </cell>
          <cell r="H248">
            <v>2.4136713177831139</v>
          </cell>
          <cell r="I248">
            <v>2.1910563689592588</v>
          </cell>
          <cell r="J248">
            <v>2.1910563689592588E-3</v>
          </cell>
          <cell r="K248">
            <v>434.85522734737316</v>
          </cell>
          <cell r="L248">
            <v>0.43485522734737314</v>
          </cell>
          <cell r="M248">
            <v>2850.7176014994466</v>
          </cell>
        </row>
        <row r="249">
          <cell r="A249" t="str">
            <v>907000204</v>
          </cell>
          <cell r="B249" t="str">
            <v>PLANCHA CHOCOLATE PASTELERO REAL 1300g</v>
          </cell>
          <cell r="C249" t="str">
            <v>ESP-RE-BAF-067</v>
          </cell>
          <cell r="D249" t="str">
            <v>02</v>
          </cell>
          <cell r="E249" t="str">
            <v>Und</v>
          </cell>
          <cell r="F249" t="str">
            <v>Und</v>
          </cell>
          <cell r="G249">
            <v>1462.08031632389</v>
          </cell>
          <cell r="H249">
            <v>1462.08031632389</v>
          </cell>
          <cell r="I249">
            <v>15.553409456707275</v>
          </cell>
          <cell r="J249">
            <v>15.553409456707275</v>
          </cell>
          <cell r="K249">
            <v>265.97407064050748</v>
          </cell>
          <cell r="L249">
            <v>265.97407064050748</v>
          </cell>
          <cell r="M249">
            <v>1743.6077964211047</v>
          </cell>
        </row>
        <row r="250">
          <cell r="A250" t="str">
            <v>907000211</v>
          </cell>
          <cell r="B250" t="str">
            <v>ROSQUETE MELO FROM SCRATCH 300 G</v>
          </cell>
          <cell r="C250" t="str">
            <v xml:space="preserve">ESP-RE-BAS-126 </v>
          </cell>
          <cell r="D250" t="str">
            <v>01</v>
          </cell>
          <cell r="E250" t="str">
            <v>Und</v>
          </cell>
          <cell r="F250" t="str">
            <v>Und</v>
          </cell>
          <cell r="G250">
            <v>258.33727931520275</v>
          </cell>
          <cell r="H250">
            <v>258.33727931520275</v>
          </cell>
          <cell r="I250">
            <v>4.6020344289855064</v>
          </cell>
          <cell r="J250">
            <v>4.6020344289855064</v>
          </cell>
          <cell r="K250">
            <v>47.32907647395389</v>
          </cell>
          <cell r="L250">
            <v>47.32907647395389</v>
          </cell>
          <cell r="M250">
            <v>310.26839021814214</v>
          </cell>
        </row>
        <row r="251">
          <cell r="A251" t="str">
            <v>907000212</v>
          </cell>
          <cell r="B251" t="str">
            <v xml:space="preserve">BATIDO QQ CHOCOLATE PURATOS </v>
          </cell>
          <cell r="C251" t="str">
            <v>ESP-RE-BAF-068</v>
          </cell>
          <cell r="D251" t="str">
            <v>02</v>
          </cell>
          <cell r="E251" t="str">
            <v>Kilo</v>
          </cell>
          <cell r="F251" t="str">
            <v>Gramo</v>
          </cell>
          <cell r="G251">
            <v>1083.2456032136222</v>
          </cell>
          <cell r="H251">
            <v>1.0832456032136222</v>
          </cell>
          <cell r="I251">
            <v>0.3151437125748503</v>
          </cell>
          <cell r="J251">
            <v>3.151437125748503E-4</v>
          </cell>
          <cell r="K251">
            <v>195.04093444671545</v>
          </cell>
          <cell r="L251">
            <v>0.19504093444671544</v>
          </cell>
          <cell r="M251">
            <v>1278.6016813729125</v>
          </cell>
        </row>
        <row r="252">
          <cell r="A252" t="str">
            <v>907000217</v>
          </cell>
          <cell r="B252" t="str">
            <v>RELLENO DE CHOCOMENTA KILO</v>
          </cell>
          <cell r="C252" t="str">
            <v>ESP-RE-POS-195</v>
          </cell>
          <cell r="D252" t="str">
            <v>01</v>
          </cell>
          <cell r="E252" t="str">
            <v>Kilo</v>
          </cell>
          <cell r="F252" t="str">
            <v>Gramo</v>
          </cell>
          <cell r="G252">
            <v>3135.7937617777779</v>
          </cell>
          <cell r="H252">
            <v>3.1357937617777778</v>
          </cell>
          <cell r="I252">
            <v>0</v>
          </cell>
          <cell r="J252">
            <v>0</v>
          </cell>
          <cell r="K252">
            <v>564.44287712000005</v>
          </cell>
          <cell r="L252">
            <v>0.56444287712000007</v>
          </cell>
          <cell r="M252">
            <v>3700.236638897778</v>
          </cell>
        </row>
        <row r="253">
          <cell r="A253" t="str">
            <v>907000219</v>
          </cell>
          <cell r="B253" t="str">
            <v>ROSQUETE BROWNIE MENTA UND</v>
          </cell>
          <cell r="C253" t="str">
            <v>ESP-RE-BAS-123</v>
          </cell>
          <cell r="D253" t="str">
            <v>01</v>
          </cell>
          <cell r="E253" t="str">
            <v>Und</v>
          </cell>
          <cell r="F253" t="str">
            <v>Und</v>
          </cell>
          <cell r="G253">
            <v>618.44698956971695</v>
          </cell>
          <cell r="H253">
            <v>618.44698956971695</v>
          </cell>
          <cell r="I253">
            <v>57.67671428571429</v>
          </cell>
          <cell r="J253">
            <v>57.67671428571429</v>
          </cell>
          <cell r="K253">
            <v>121.70226669397762</v>
          </cell>
          <cell r="L253">
            <v>121.70226669397762</v>
          </cell>
          <cell r="M253">
            <v>797.82597054940891</v>
          </cell>
        </row>
        <row r="254">
          <cell r="A254" t="str">
            <v>907000220</v>
          </cell>
          <cell r="B254" t="str">
            <v>ENSAMBLE BROWNIE CHOCOMENTA PLANCHA</v>
          </cell>
          <cell r="C254" t="str">
            <v>ESP-RE-POS-194</v>
          </cell>
          <cell r="D254" t="str">
            <v>01</v>
          </cell>
          <cell r="E254" t="str">
            <v>Und</v>
          </cell>
          <cell r="F254" t="str">
            <v>Und</v>
          </cell>
          <cell r="G254">
            <v>3754.240751347495</v>
          </cell>
          <cell r="H254">
            <v>3754.240751347495</v>
          </cell>
          <cell r="I254">
            <v>57.67671428571429</v>
          </cell>
          <cell r="J254">
            <v>57.67671428571429</v>
          </cell>
          <cell r="K254">
            <v>686.1451438139776</v>
          </cell>
          <cell r="L254">
            <v>686.1451438139776</v>
          </cell>
          <cell r="M254">
            <v>4498.0626094471872</v>
          </cell>
        </row>
        <row r="255">
          <cell r="A255" t="str">
            <v>907000221</v>
          </cell>
          <cell r="B255" t="str">
            <v xml:space="preserve">BATIDO DE BROWNIE BLONDIE </v>
          </cell>
          <cell r="C255" t="str">
            <v>ESP-RE-BAS-125</v>
          </cell>
          <cell r="D255" t="str">
            <v>01</v>
          </cell>
          <cell r="E255" t="str">
            <v>Kilo</v>
          </cell>
          <cell r="F255" t="str">
            <v>Gramo</v>
          </cell>
          <cell r="G255">
            <v>1439.8384839703704</v>
          </cell>
          <cell r="H255">
            <v>1.4398384839703704</v>
          </cell>
          <cell r="I255">
            <v>7.1297989417989429</v>
          </cell>
          <cell r="J255">
            <v>7.1297989417989432E-3</v>
          </cell>
          <cell r="K255">
            <v>260.45429092419045</v>
          </cell>
          <cell r="L255">
            <v>0.26045429092419042</v>
          </cell>
          <cell r="M255">
            <v>1707.4225738363598</v>
          </cell>
        </row>
        <row r="256">
          <cell r="A256" t="str">
            <v>907000222</v>
          </cell>
          <cell r="B256" t="str">
            <v>PLANCHA BROWNIE BLONDIE</v>
          </cell>
          <cell r="C256" t="str">
            <v>ESP-RE-BAS-124</v>
          </cell>
          <cell r="D256" t="str">
            <v>01</v>
          </cell>
          <cell r="E256" t="str">
            <v>Und</v>
          </cell>
          <cell r="F256" t="str">
            <v>Und</v>
          </cell>
          <cell r="G256">
            <v>2954.8665287250542</v>
          </cell>
          <cell r="H256">
            <v>2954.8665287250542</v>
          </cell>
          <cell r="I256">
            <v>60.000338624338625</v>
          </cell>
          <cell r="J256">
            <v>60.000338624338625</v>
          </cell>
          <cell r="K256">
            <v>542.67603612289076</v>
          </cell>
          <cell r="L256">
            <v>542.67603612289076</v>
          </cell>
          <cell r="M256">
            <v>3557.5429034722838</v>
          </cell>
        </row>
        <row r="257">
          <cell r="A257" t="str">
            <v>907000223</v>
          </cell>
          <cell r="B257" t="str">
            <v xml:space="preserve">PREMEZCLA BROWNIE BLONDIE PECANA </v>
          </cell>
          <cell r="C257" t="str">
            <v xml:space="preserve">ESP-RE-PRES-116  </v>
          </cell>
          <cell r="D257" t="str">
            <v>01</v>
          </cell>
          <cell r="E257" t="str">
            <v>Kilo</v>
          </cell>
          <cell r="F257" t="str">
            <v>Gramo</v>
          </cell>
          <cell r="G257">
            <v>632.7036825161473</v>
          </cell>
          <cell r="H257">
            <v>0.63270368251614728</v>
          </cell>
          <cell r="I257">
            <v>10.811826533477756</v>
          </cell>
          <cell r="J257">
            <v>1.0811826533477757E-2</v>
          </cell>
          <cell r="K257">
            <v>115.83279162893251</v>
          </cell>
          <cell r="L257">
            <v>0.11583279162893251</v>
          </cell>
          <cell r="M257">
            <v>759.34830067855751</v>
          </cell>
        </row>
        <row r="258">
          <cell r="A258" t="str">
            <v>907000224</v>
          </cell>
          <cell r="B258" t="str">
            <v>BATIDO ALFAJOR DE CHOCOLATE KILO</v>
          </cell>
          <cell r="C258">
            <v>0</v>
          </cell>
          <cell r="D258">
            <v>0</v>
          </cell>
          <cell r="E258" t="str">
            <v>Kilo</v>
          </cell>
          <cell r="F258" t="str">
            <v>Gramo</v>
          </cell>
          <cell r="G258">
            <v>1101.0603619130438</v>
          </cell>
          <cell r="H258">
            <v>1.1010603619130439</v>
          </cell>
          <cell r="I258">
            <v>6.9523809523809526</v>
          </cell>
          <cell r="J258">
            <v>6.9523809523809529E-3</v>
          </cell>
          <cell r="K258">
            <v>199.44229371577646</v>
          </cell>
          <cell r="L258">
            <v>0.19944229371577646</v>
          </cell>
          <cell r="M258">
            <v>1307.4550365812013</v>
          </cell>
        </row>
        <row r="259">
          <cell r="A259" t="str">
            <v>907000226</v>
          </cell>
          <cell r="B259" t="str">
            <v>ROSQUETE CHOCOLATE BUCCA 800 g</v>
          </cell>
          <cell r="C259" t="str">
            <v xml:space="preserve">ESP-RE-BAF-086 </v>
          </cell>
          <cell r="D259" t="str">
            <v>02</v>
          </cell>
          <cell r="E259" t="str">
            <v>Und</v>
          </cell>
          <cell r="F259" t="str">
            <v>Und</v>
          </cell>
          <cell r="G259">
            <v>892.79828305829699</v>
          </cell>
          <cell r="H259">
            <v>892.79828305829699</v>
          </cell>
          <cell r="I259">
            <v>13.65929851388889</v>
          </cell>
          <cell r="J259">
            <v>13.65929851388889</v>
          </cell>
          <cell r="K259">
            <v>163.16236468299346</v>
          </cell>
          <cell r="L259">
            <v>163.16236468299346</v>
          </cell>
          <cell r="M259">
            <v>1069.6199462551792</v>
          </cell>
        </row>
        <row r="260">
          <cell r="A260" t="str">
            <v>907000230</v>
          </cell>
          <cell r="B260" t="str">
            <v>ROSQUETE PILLSBURY 460 g</v>
          </cell>
          <cell r="C260" t="str">
            <v>ESP-RE-BAS-127</v>
          </cell>
          <cell r="D260" t="str">
            <v>01</v>
          </cell>
          <cell r="E260" t="str">
            <v>Und</v>
          </cell>
          <cell r="F260" t="str">
            <v>Und</v>
          </cell>
          <cell r="G260">
            <v>624.94482752465331</v>
          </cell>
          <cell r="H260">
            <v>624.94482752465331</v>
          </cell>
          <cell r="I260">
            <v>4.5659412041762444</v>
          </cell>
          <cell r="J260">
            <v>4.5659412041762444</v>
          </cell>
          <cell r="K260">
            <v>113.31193837118933</v>
          </cell>
          <cell r="L260">
            <v>113.31193837118933</v>
          </cell>
          <cell r="M260">
            <v>742.82270710001887</v>
          </cell>
        </row>
        <row r="261">
          <cell r="A261" t="str">
            <v>907000233</v>
          </cell>
          <cell r="B261" t="str">
            <v>ROSQUETE MELOCOTON PERSONAL 180 g</v>
          </cell>
          <cell r="C261" t="str">
            <v xml:space="preserve">ESP-RE-BAS-130 </v>
          </cell>
          <cell r="D261" t="str">
            <v>01</v>
          </cell>
          <cell r="E261" t="str">
            <v>Und</v>
          </cell>
          <cell r="F261" t="str">
            <v>Und</v>
          </cell>
          <cell r="G261">
            <v>164.23964247046629</v>
          </cell>
          <cell r="H261">
            <v>164.23964247046629</v>
          </cell>
          <cell r="I261">
            <v>0.26103051666666666</v>
          </cell>
          <cell r="J261">
            <v>0.26103051666666666</v>
          </cell>
          <cell r="K261">
            <v>29.610121137683933</v>
          </cell>
          <cell r="L261">
            <v>29.610121137683933</v>
          </cell>
          <cell r="M261">
            <v>194.11079412481689</v>
          </cell>
        </row>
        <row r="262">
          <cell r="A262" t="str">
            <v>907000237</v>
          </cell>
          <cell r="B262" t="str">
            <v>ROSQUETE SUPER ESPONJA 380G</v>
          </cell>
          <cell r="C262" t="str">
            <v>ESP-RE-BAS-105</v>
          </cell>
          <cell r="D262" t="str">
            <v>03</v>
          </cell>
          <cell r="E262" t="str">
            <v>Und</v>
          </cell>
          <cell r="F262" t="str">
            <v>Und</v>
          </cell>
          <cell r="G262">
            <v>505.53094086401262</v>
          </cell>
          <cell r="H262">
            <v>505.53094086401262</v>
          </cell>
          <cell r="I262">
            <v>4.7714496115778156</v>
          </cell>
          <cell r="J262">
            <v>4.7714496115778156</v>
          </cell>
          <cell r="K262">
            <v>91.85443028560627</v>
          </cell>
          <cell r="L262">
            <v>91.85443028560627</v>
          </cell>
          <cell r="M262">
            <v>602.15682076119674</v>
          </cell>
        </row>
        <row r="263">
          <cell r="A263" t="str">
            <v>907000245</v>
          </cell>
          <cell r="B263" t="str">
            <v>ROSQUETE MELOCOTON 320G (UND)</v>
          </cell>
          <cell r="C263">
            <v>0</v>
          </cell>
          <cell r="D263">
            <v>0</v>
          </cell>
          <cell r="E263" t="str">
            <v>Und</v>
          </cell>
          <cell r="F263" t="str">
            <v>Und</v>
          </cell>
          <cell r="G263">
            <v>293.29014142389258</v>
          </cell>
          <cell r="H263">
            <v>293.29014142389258</v>
          </cell>
          <cell r="I263">
            <v>5.1999398212121219</v>
          </cell>
          <cell r="J263">
            <v>5.1999398212121219</v>
          </cell>
          <cell r="K263">
            <v>53.728214624118841</v>
          </cell>
          <cell r="L263">
            <v>53.728214624118841</v>
          </cell>
          <cell r="M263">
            <v>352.21829586922354</v>
          </cell>
        </row>
        <row r="264">
          <cell r="A264" t="str">
            <v>907000255</v>
          </cell>
          <cell r="B264" t="str">
            <v xml:space="preserve">Rosquete Vainilla Puratos 700g </v>
          </cell>
          <cell r="C264">
            <v>0</v>
          </cell>
          <cell r="D264">
            <v>0</v>
          </cell>
          <cell r="E264" t="str">
            <v>Und</v>
          </cell>
          <cell r="F264" t="str">
            <v>Und</v>
          </cell>
          <cell r="G264">
            <v>648.325073021089</v>
          </cell>
          <cell r="H264">
            <v>648.325073021089</v>
          </cell>
          <cell r="I264">
            <v>10.631959238217522</v>
          </cell>
          <cell r="J264">
            <v>10.631959238217522</v>
          </cell>
          <cell r="K264">
            <v>116.91251860667518</v>
          </cell>
          <cell r="L264">
            <v>116.91251860667518</v>
          </cell>
          <cell r="M264">
            <v>775.86955086598164</v>
          </cell>
        </row>
        <row r="265">
          <cell r="A265" t="str">
            <v>907000259</v>
          </cell>
          <cell r="B265" t="str">
            <v>ROSQUETE CHOCOLATE PASTELERO REAL 600 g</v>
          </cell>
          <cell r="C265">
            <v>0</v>
          </cell>
          <cell r="D265" t="str">
            <v>01</v>
          </cell>
          <cell r="E265" t="str">
            <v>Und</v>
          </cell>
          <cell r="F265" t="str">
            <v>Und</v>
          </cell>
          <cell r="G265">
            <v>680.49477611800967</v>
          </cell>
          <cell r="H265">
            <v>680.49477611800967</v>
          </cell>
          <cell r="I265">
            <v>12.245955778642454</v>
          </cell>
          <cell r="J265">
            <v>12.245955778642454</v>
          </cell>
          <cell r="K265">
            <v>124.69333174139739</v>
          </cell>
          <cell r="L265">
            <v>124.69333174139739</v>
          </cell>
          <cell r="M265">
            <v>817.43406363804957</v>
          </cell>
        </row>
        <row r="266">
          <cell r="A266" t="str">
            <v>908000004</v>
          </cell>
          <cell r="B266" t="str">
            <v>GALLO PINTO SPOON KILO</v>
          </cell>
          <cell r="C266" t="str">
            <v>ESP-RE-COCS-004</v>
          </cell>
          <cell r="D266" t="str">
            <v>14</v>
          </cell>
          <cell r="E266" t="str">
            <v>Kilo</v>
          </cell>
          <cell r="F266" t="str">
            <v>Gramo</v>
          </cell>
          <cell r="G266">
            <v>1399.9868107763707</v>
          </cell>
          <cell r="H266">
            <v>1.3999868107763707</v>
          </cell>
          <cell r="I266">
            <v>25.446453812199067</v>
          </cell>
          <cell r="J266">
            <v>2.5446453812199066E-2</v>
          </cell>
          <cell r="K266">
            <v>256.57798762594257</v>
          </cell>
          <cell r="L266">
            <v>0.25657798762594258</v>
          </cell>
          <cell r="M266">
            <v>1682.0112522145123</v>
          </cell>
        </row>
        <row r="267">
          <cell r="A267" t="str">
            <v>908000006</v>
          </cell>
          <cell r="B267" t="str">
            <v>COCCION FRIJOLES ARREGLADO P/CASADO KILO</v>
          </cell>
          <cell r="C267" t="str">
            <v>ESP-RE-COCS-006</v>
          </cell>
          <cell r="D267" t="str">
            <v>12</v>
          </cell>
          <cell r="E267" t="str">
            <v>Kilo</v>
          </cell>
          <cell r="F267" t="str">
            <v>Gramo</v>
          </cell>
          <cell r="G267">
            <v>1256.396727750438</v>
          </cell>
          <cell r="H267">
            <v>1.256396727750438</v>
          </cell>
          <cell r="I267">
            <v>32.753753500000002</v>
          </cell>
          <cell r="J267">
            <v>3.2753753500000003E-2</v>
          </cell>
          <cell r="K267">
            <v>232.0470866250788</v>
          </cell>
          <cell r="L267">
            <v>0.23204708662507881</v>
          </cell>
          <cell r="M267">
            <v>1521.1975678755166</v>
          </cell>
        </row>
        <row r="268">
          <cell r="A268" t="str">
            <v>908000008</v>
          </cell>
          <cell r="B268" t="str">
            <v>COCCION ESPINACA SALTEADA KILO</v>
          </cell>
          <cell r="C268" t="str">
            <v>ESP-RE-COCS-008</v>
          </cell>
          <cell r="D268" t="str">
            <v>03</v>
          </cell>
          <cell r="E268" t="str">
            <v>Kilo</v>
          </cell>
          <cell r="F268" t="str">
            <v>Gramo</v>
          </cell>
          <cell r="G268">
            <v>3540.6546363636357</v>
          </cell>
          <cell r="H268">
            <v>3.5406546363636355</v>
          </cell>
          <cell r="I268">
            <v>93.751948051948062</v>
          </cell>
          <cell r="J268">
            <v>9.3751948051948059E-2</v>
          </cell>
          <cell r="K268">
            <v>654.1931851948051</v>
          </cell>
          <cell r="L268">
            <v>0.65419318519480507</v>
          </cell>
          <cell r="M268">
            <v>4288.5997696103886</v>
          </cell>
        </row>
        <row r="269">
          <cell r="A269" t="str">
            <v>908000010</v>
          </cell>
          <cell r="B269" t="str">
            <v>MEZCLA ARROZ P/TAMAL (KILO)</v>
          </cell>
          <cell r="C269" t="str">
            <v>ESP-RE-COCS-010</v>
          </cell>
          <cell r="D269" t="str">
            <v>03</v>
          </cell>
          <cell r="E269" t="str">
            <v>Kilo</v>
          </cell>
          <cell r="F269" t="str">
            <v>Gramo</v>
          </cell>
          <cell r="G269" t="e">
            <v>#N/A</v>
          </cell>
          <cell r="H269" t="e">
            <v>#N/A</v>
          </cell>
          <cell r="I269" t="e">
            <v>#N/A</v>
          </cell>
          <cell r="J269" t="e">
            <v>#N/A</v>
          </cell>
          <cell r="K269" t="e">
            <v>#N/A</v>
          </cell>
          <cell r="L269" t="e">
            <v>#N/A</v>
          </cell>
          <cell r="M269" t="e">
            <v>#N/A</v>
          </cell>
        </row>
        <row r="270">
          <cell r="A270" t="str">
            <v>908000011</v>
          </cell>
          <cell r="B270" t="str">
            <v>ALMIBAR P/PLATANOS KILO</v>
          </cell>
          <cell r="C270" t="str">
            <v>ESP-RE-COCS-012</v>
          </cell>
          <cell r="D270" t="str">
            <v>03</v>
          </cell>
          <cell r="E270" t="str">
            <v>Kilo</v>
          </cell>
          <cell r="F270" t="str">
            <v>Gramo</v>
          </cell>
          <cell r="G270">
            <v>85.859340659340674</v>
          </cell>
          <cell r="H270">
            <v>8.5859340659340672E-2</v>
          </cell>
          <cell r="I270">
            <v>0</v>
          </cell>
          <cell r="J270">
            <v>0</v>
          </cell>
          <cell r="K270">
            <v>15.45468131868132</v>
          </cell>
          <cell r="L270">
            <v>1.5454681318681321E-2</v>
          </cell>
          <cell r="M270">
            <v>101.314021978022</v>
          </cell>
        </row>
        <row r="271">
          <cell r="A271" t="str">
            <v>908000012</v>
          </cell>
          <cell r="B271" t="str">
            <v>QUESO PARMESANO RALLADO KILO</v>
          </cell>
          <cell r="C271" t="str">
            <v>ESP-RE-COS-042</v>
          </cell>
          <cell r="D271">
            <v>0</v>
          </cell>
          <cell r="E271" t="str">
            <v>Kilo</v>
          </cell>
          <cell r="F271" t="str">
            <v>Gramo</v>
          </cell>
          <cell r="G271">
            <v>11304.66085</v>
          </cell>
          <cell r="H271">
            <v>11.304660849999999</v>
          </cell>
          <cell r="I271">
            <v>10.847163466753445</v>
          </cell>
          <cell r="J271">
            <v>1.0847163466753445E-2</v>
          </cell>
          <cell r="K271">
            <v>2036.7914424240155</v>
          </cell>
          <cell r="L271">
            <v>2.0367914424240157</v>
          </cell>
          <cell r="M271">
            <v>13352.299455890769</v>
          </cell>
        </row>
        <row r="272">
          <cell r="A272" t="str">
            <v>908000015</v>
          </cell>
          <cell r="B272" t="str">
            <v>COCCION FRIJOLES TIERNOS P/CHIFRIJO</v>
          </cell>
          <cell r="C272" t="str">
            <v xml:space="preserve">ESP-RE-COCS-017 </v>
          </cell>
          <cell r="D272" t="str">
            <v>13</v>
          </cell>
          <cell r="E272" t="str">
            <v>Kilo</v>
          </cell>
          <cell r="F272" t="str">
            <v>Gramo</v>
          </cell>
          <cell r="G272">
            <v>3031.1271490976992</v>
          </cell>
          <cell r="H272">
            <v>3.0311271490976992</v>
          </cell>
          <cell r="I272">
            <v>37.500779220779222</v>
          </cell>
          <cell r="J272">
            <v>3.7500779220779219E-2</v>
          </cell>
          <cell r="K272">
            <v>552.35302709732616</v>
          </cell>
          <cell r="L272">
            <v>0.55235302709732614</v>
          </cell>
          <cell r="M272">
            <v>3620.9809554158046</v>
          </cell>
        </row>
        <row r="273">
          <cell r="A273" t="str">
            <v>908000016</v>
          </cell>
          <cell r="B273" t="str">
            <v>MASA P/TAMAL POLLO (KILO)</v>
          </cell>
          <cell r="C273" t="str">
            <v>ESP-RE-COCS-020</v>
          </cell>
          <cell r="D273" t="str">
            <v>12</v>
          </cell>
          <cell r="E273" t="str">
            <v>Kilo</v>
          </cell>
          <cell r="F273" t="str">
            <v>Gramo</v>
          </cell>
          <cell r="G273" t="e">
            <v>#N/A</v>
          </cell>
          <cell r="H273" t="e">
            <v>#N/A</v>
          </cell>
          <cell r="I273" t="e">
            <v>#N/A</v>
          </cell>
          <cell r="J273" t="e">
            <v>#N/A</v>
          </cell>
          <cell r="K273" t="e">
            <v>#N/A</v>
          </cell>
          <cell r="L273" t="e">
            <v>#N/A</v>
          </cell>
          <cell r="M273" t="e">
            <v>#N/A</v>
          </cell>
        </row>
        <row r="274">
          <cell r="A274" t="str">
            <v>908000018</v>
          </cell>
          <cell r="B274" t="str">
            <v>COCCION SOPA AZTECA KILO</v>
          </cell>
          <cell r="C274" t="str">
            <v>ESP-RE-COCS-028</v>
          </cell>
          <cell r="D274" t="str">
            <v>17</v>
          </cell>
          <cell r="E274" t="str">
            <v>Kilo</v>
          </cell>
          <cell r="F274" t="str">
            <v>Gramo</v>
          </cell>
          <cell r="G274">
            <v>1197.5227629725202</v>
          </cell>
          <cell r="H274">
            <v>1.1975227629725202</v>
          </cell>
          <cell r="I274">
            <v>0</v>
          </cell>
          <cell r="J274">
            <v>0</v>
          </cell>
          <cell r="K274">
            <v>215.55409733505363</v>
          </cell>
          <cell r="L274">
            <v>0.21555409733505362</v>
          </cell>
          <cell r="M274">
            <v>1413.076860307574</v>
          </cell>
        </row>
        <row r="275">
          <cell r="A275" t="str">
            <v>908000020</v>
          </cell>
          <cell r="B275" t="str">
            <v>COCCION FRIJOLES MOLIDOS SPOON KILO</v>
          </cell>
          <cell r="C275" t="str">
            <v>ESP-RE-COCS-033</v>
          </cell>
          <cell r="D275" t="str">
            <v>11</v>
          </cell>
          <cell r="E275" t="str">
            <v>Kilo</v>
          </cell>
          <cell r="F275" t="str">
            <v>Gramo</v>
          </cell>
          <cell r="G275">
            <v>1218.2821520589678</v>
          </cell>
          <cell r="H275">
            <v>1.2182821520589677</v>
          </cell>
          <cell r="I275">
            <v>5.5795021850245803</v>
          </cell>
          <cell r="J275">
            <v>5.5795021850245799E-3</v>
          </cell>
          <cell r="K275">
            <v>220.29509776391859</v>
          </cell>
          <cell r="L275">
            <v>0.22029509776391859</v>
          </cell>
          <cell r="M275">
            <v>1444.1567520079109</v>
          </cell>
        </row>
        <row r="276">
          <cell r="A276" t="str">
            <v>908000021</v>
          </cell>
          <cell r="B276" t="str">
            <v>ALMIBAR KILO</v>
          </cell>
          <cell r="C276" t="str">
            <v>ESP-RE-COCS-034</v>
          </cell>
          <cell r="D276" t="str">
            <v>09</v>
          </cell>
          <cell r="E276" t="str">
            <v>Kilo</v>
          </cell>
          <cell r="F276" t="str">
            <v>Gramo</v>
          </cell>
          <cell r="G276">
            <v>325.0494770807843</v>
          </cell>
          <cell r="H276">
            <v>0.3250494770807843</v>
          </cell>
          <cell r="I276">
            <v>10.250838</v>
          </cell>
          <cell r="J276">
            <v>1.0250838E-2</v>
          </cell>
          <cell r="K276">
            <v>60.354056714541173</v>
          </cell>
          <cell r="L276">
            <v>6.0354056714541172E-2</v>
          </cell>
          <cell r="M276">
            <v>395.65437179532546</v>
          </cell>
        </row>
        <row r="277">
          <cell r="A277" t="str">
            <v>908000022</v>
          </cell>
          <cell r="B277" t="str">
            <v>MEZCLA PIPIAN (KILO)</v>
          </cell>
          <cell r="C277" t="str">
            <v>ESP-RE-COCS-035</v>
          </cell>
          <cell r="D277" t="str">
            <v>08</v>
          </cell>
          <cell r="E277" t="str">
            <v>Kilo</v>
          </cell>
          <cell r="F277" t="str">
            <v>Gramo</v>
          </cell>
          <cell r="G277">
            <v>2076.0630178422784</v>
          </cell>
          <cell r="H277">
            <v>2.0760630178422783</v>
          </cell>
          <cell r="I277">
            <v>8.1006444549019623</v>
          </cell>
          <cell r="J277">
            <v>8.1006444549019622E-3</v>
          </cell>
          <cell r="K277">
            <v>375.14945921349249</v>
          </cell>
          <cell r="L277">
            <v>0.37514945921349246</v>
          </cell>
          <cell r="M277">
            <v>2459.3131215106732</v>
          </cell>
        </row>
        <row r="278">
          <cell r="A278" t="str">
            <v>908000023</v>
          </cell>
          <cell r="B278" t="str">
            <v>PLATANOS MADUROS FRITOS (KILO)</v>
          </cell>
          <cell r="C278" t="str">
            <v>ESP-RE-COCS-039</v>
          </cell>
          <cell r="D278" t="str">
            <v>10</v>
          </cell>
          <cell r="E278" t="str">
            <v>Kilo</v>
          </cell>
          <cell r="F278" t="str">
            <v>Gramo</v>
          </cell>
          <cell r="G278">
            <v>1572.1220749826598</v>
          </cell>
          <cell r="H278">
            <v>1.5721220749826599</v>
          </cell>
          <cell r="I278">
            <v>0</v>
          </cell>
          <cell r="J278">
            <v>0</v>
          </cell>
          <cell r="K278">
            <v>282.98197349687877</v>
          </cell>
          <cell r="L278">
            <v>0.28298197349687876</v>
          </cell>
          <cell r="M278">
            <v>1855.1040484795385</v>
          </cell>
        </row>
        <row r="279">
          <cell r="A279" t="str">
            <v>908000024</v>
          </cell>
          <cell r="B279" t="str">
            <v>COCCION PALMITO PICADO (KILO)</v>
          </cell>
          <cell r="C279" t="str">
            <v>ESP-RE-COCS-040</v>
          </cell>
          <cell r="D279" t="str">
            <v>12</v>
          </cell>
          <cell r="E279" t="str">
            <v>Kilo</v>
          </cell>
          <cell r="F279" t="str">
            <v>Gramo</v>
          </cell>
          <cell r="G279">
            <v>3296.0385073529415</v>
          </cell>
          <cell r="H279">
            <v>3.2960385073529412</v>
          </cell>
          <cell r="I279">
            <v>83.552083333333343</v>
          </cell>
          <cell r="J279">
            <v>8.3552083333333346E-2</v>
          </cell>
          <cell r="K279">
            <v>608.32630632352948</v>
          </cell>
          <cell r="L279">
            <v>0.60832630632352946</v>
          </cell>
          <cell r="M279">
            <v>3987.9168970098044</v>
          </cell>
        </row>
        <row r="280">
          <cell r="A280" t="str">
            <v>908000025</v>
          </cell>
          <cell r="B280" t="str">
            <v>MASA P/TAMALES (KILO)</v>
          </cell>
          <cell r="C280" t="str">
            <v>ESP-RE-COCS-041</v>
          </cell>
          <cell r="D280" t="str">
            <v>15</v>
          </cell>
          <cell r="E280" t="str">
            <v>Kilo</v>
          </cell>
          <cell r="F280" t="str">
            <v>Gramo</v>
          </cell>
          <cell r="G280" t="e">
            <v>#N/A</v>
          </cell>
          <cell r="H280" t="e">
            <v>#N/A</v>
          </cell>
          <cell r="I280" t="e">
            <v>#N/A</v>
          </cell>
          <cell r="J280" t="e">
            <v>#N/A</v>
          </cell>
          <cell r="K280" t="e">
            <v>#N/A</v>
          </cell>
          <cell r="L280" t="e">
            <v>#N/A</v>
          </cell>
          <cell r="M280" t="e">
            <v>#N/A</v>
          </cell>
        </row>
        <row r="281">
          <cell r="A281" t="str">
            <v>908000026</v>
          </cell>
          <cell r="B281" t="str">
            <v>LICUADO P/MASA TAMALES (KILO)</v>
          </cell>
          <cell r="C281" t="str">
            <v>ESP-RE-COCS-042</v>
          </cell>
          <cell r="D281" t="str">
            <v>07</v>
          </cell>
          <cell r="E281" t="str">
            <v>Kilo</v>
          </cell>
          <cell r="F281" t="str">
            <v>Gramo</v>
          </cell>
          <cell r="G281">
            <v>1209.1307947019868</v>
          </cell>
          <cell r="H281">
            <v>1.2091307947019869</v>
          </cell>
          <cell r="I281">
            <v>8.2362661620939779</v>
          </cell>
          <cell r="J281">
            <v>8.2362661620939779E-3</v>
          </cell>
          <cell r="K281">
            <v>219.12607095553452</v>
          </cell>
          <cell r="L281">
            <v>0.21912607095553452</v>
          </cell>
          <cell r="M281">
            <v>1436.4931318196152</v>
          </cell>
        </row>
        <row r="282">
          <cell r="A282" t="str">
            <v>908000027</v>
          </cell>
          <cell r="B282" t="str">
            <v>COCCION ZANAHORIA P/TAMALES (KILO)</v>
          </cell>
          <cell r="C282" t="str">
            <v xml:space="preserve">ESP-RE-COCS-043 </v>
          </cell>
          <cell r="D282" t="str">
            <v>05</v>
          </cell>
          <cell r="E282" t="str">
            <v>Kilo</v>
          </cell>
          <cell r="F282" t="str">
            <v>Gramo</v>
          </cell>
          <cell r="G282">
            <v>924.77359449999994</v>
          </cell>
          <cell r="H282">
            <v>0.92477359449999996</v>
          </cell>
          <cell r="I282">
            <v>29.445276844915181</v>
          </cell>
          <cell r="J282">
            <v>2.9445276844915182E-2</v>
          </cell>
          <cell r="K282">
            <v>171.7593968420847</v>
          </cell>
          <cell r="L282">
            <v>0.17175939684208469</v>
          </cell>
          <cell r="M282">
            <v>1125.9782681869997</v>
          </cell>
        </row>
        <row r="283">
          <cell r="A283" t="str">
            <v>908000028</v>
          </cell>
          <cell r="B283" t="str">
            <v>COCCION PAPA P/TAMAL (KILO)</v>
          </cell>
          <cell r="C283" t="str">
            <v>ESP-RE-COCS-044</v>
          </cell>
          <cell r="D283" t="str">
            <v>04</v>
          </cell>
          <cell r="E283" t="str">
            <v>Kilo</v>
          </cell>
          <cell r="F283" t="str">
            <v>Gramo</v>
          </cell>
          <cell r="G283">
            <v>1848.2608695652175</v>
          </cell>
          <cell r="H283">
            <v>1.8482608695652174</v>
          </cell>
          <cell r="I283">
            <v>0.35671497584541068</v>
          </cell>
          <cell r="J283">
            <v>3.5671497584541066E-4</v>
          </cell>
          <cell r="K283">
            <v>332.7511652173913</v>
          </cell>
          <cell r="L283">
            <v>0.33275116521739129</v>
          </cell>
          <cell r="M283">
            <v>2181.3687497584542</v>
          </cell>
        </row>
        <row r="284">
          <cell r="A284" t="str">
            <v>908000031</v>
          </cell>
          <cell r="B284" t="str">
            <v>COCCION CARNE CERDO P/TAMAL (KILO)</v>
          </cell>
          <cell r="C284" t="str">
            <v>ESP-RE-COCS-047</v>
          </cell>
          <cell r="D284" t="str">
            <v>05</v>
          </cell>
          <cell r="E284" t="str">
            <v>Kilo</v>
          </cell>
          <cell r="F284" t="str">
            <v>Gramo</v>
          </cell>
          <cell r="G284">
            <v>3917.7710372119082</v>
          </cell>
          <cell r="H284">
            <v>3.9177710372119083</v>
          </cell>
          <cell r="I284">
            <v>37.811593022236636</v>
          </cell>
          <cell r="J284">
            <v>3.7811593022236634E-2</v>
          </cell>
          <cell r="K284">
            <v>712.00487344214605</v>
          </cell>
          <cell r="L284">
            <v>0.71200487344214602</v>
          </cell>
          <cell r="M284">
            <v>4667.5875036762909</v>
          </cell>
        </row>
        <row r="285">
          <cell r="A285" t="str">
            <v>908000032</v>
          </cell>
          <cell r="B285" t="str">
            <v>GANACHE CHOCOLATE OSCURO (KILO)</v>
          </cell>
          <cell r="C285" t="str">
            <v>ESP-RE-COCS-048</v>
          </cell>
          <cell r="D285" t="str">
            <v>09</v>
          </cell>
          <cell r="E285" t="str">
            <v>Kilo</v>
          </cell>
          <cell r="F285" t="str">
            <v>Gramo</v>
          </cell>
          <cell r="G285">
            <v>3836.977886977887</v>
          </cell>
          <cell r="H285">
            <v>3.8369778869778872</v>
          </cell>
          <cell r="I285">
            <v>1.4250614250614248E-2</v>
          </cell>
          <cell r="J285">
            <v>1.4250614250614247E-5</v>
          </cell>
          <cell r="K285">
            <v>690.6585847665848</v>
          </cell>
          <cell r="L285">
            <v>0.69065858476658482</v>
          </cell>
          <cell r="M285">
            <v>4527.6507223587223</v>
          </cell>
        </row>
        <row r="286">
          <cell r="A286" t="str">
            <v>908000036</v>
          </cell>
          <cell r="B286" t="str">
            <v>JUGO LIMON LITRO</v>
          </cell>
          <cell r="C286" t="str">
            <v/>
          </cell>
          <cell r="D286" t="str">
            <v>06</v>
          </cell>
          <cell r="E286" t="str">
            <v>Kilo</v>
          </cell>
          <cell r="F286" t="str">
            <v>Gramo</v>
          </cell>
          <cell r="G286">
            <v>636.36300000000006</v>
          </cell>
          <cell r="H286">
            <v>0.63636300000000001</v>
          </cell>
          <cell r="I286">
            <v>5.5491430000000008</v>
          </cell>
          <cell r="J286">
            <v>5.5491430000000012E-3</v>
          </cell>
          <cell r="K286">
            <v>115.54418574</v>
          </cell>
          <cell r="L286">
            <v>0.11554418574</v>
          </cell>
          <cell r="M286">
            <v>757.45632874</v>
          </cell>
        </row>
        <row r="287">
          <cell r="A287" t="str">
            <v>908000044</v>
          </cell>
          <cell r="B287" t="str">
            <v>SOLUCION DE CLORO (litro)</v>
          </cell>
          <cell r="C287">
            <v>0</v>
          </cell>
          <cell r="D287">
            <v>0</v>
          </cell>
          <cell r="E287" t="str">
            <v>Kilo</v>
          </cell>
          <cell r="F287" t="str">
            <v>Gramo</v>
          </cell>
          <cell r="G287">
            <v>100.00014515350065</v>
          </cell>
          <cell r="H287">
            <v>0.10000014515350066</v>
          </cell>
          <cell r="I287">
            <v>0</v>
          </cell>
          <cell r="J287">
            <v>0</v>
          </cell>
          <cell r="K287">
            <v>18.000026127630118</v>
          </cell>
          <cell r="L287">
            <v>1.8000026127630117E-2</v>
          </cell>
          <cell r="M287">
            <v>118.00017128113078</v>
          </cell>
        </row>
        <row r="288">
          <cell r="A288" t="str">
            <v>908000045</v>
          </cell>
          <cell r="B288" t="str">
            <v>GANACHE CHOCOLATE BLANCO (KILO)</v>
          </cell>
          <cell r="C288" t="str">
            <v>ESP-RE-COCS-067</v>
          </cell>
          <cell r="D288" t="str">
            <v>04</v>
          </cell>
          <cell r="E288" t="str">
            <v>Kilo</v>
          </cell>
          <cell r="F288" t="str">
            <v>Gramo</v>
          </cell>
          <cell r="G288">
            <v>3273.5122763212653</v>
          </cell>
          <cell r="H288">
            <v>3.2735122763212652</v>
          </cell>
          <cell r="I288">
            <v>0</v>
          </cell>
          <cell r="J288">
            <v>0</v>
          </cell>
          <cell r="K288">
            <v>589.2322097378277</v>
          </cell>
          <cell r="L288">
            <v>0.58923220973782775</v>
          </cell>
          <cell r="M288">
            <v>3862.7444860590931</v>
          </cell>
        </row>
        <row r="289">
          <cell r="A289" t="str">
            <v>908000048</v>
          </cell>
          <cell r="B289" t="str">
            <v>GANACHE BAILEYS (KILO)</v>
          </cell>
          <cell r="C289" t="str">
            <v>ESP-RE-COCS-071</v>
          </cell>
          <cell r="D289" t="str">
            <v>02</v>
          </cell>
          <cell r="E289" t="str">
            <v>Kilo</v>
          </cell>
          <cell r="F289" t="str">
            <v>Gramo</v>
          </cell>
          <cell r="G289">
            <v>5161.2001984126973</v>
          </cell>
          <cell r="H289">
            <v>5.1612001984126969</v>
          </cell>
          <cell r="I289">
            <v>22.917142857142856</v>
          </cell>
          <cell r="J289">
            <v>2.2917142857142855E-2</v>
          </cell>
          <cell r="K289">
            <v>933.14112142857118</v>
          </cell>
          <cell r="L289">
            <v>0.9331411214285712</v>
          </cell>
          <cell r="M289">
            <v>6117.2584626984108</v>
          </cell>
        </row>
        <row r="290">
          <cell r="A290" t="str">
            <v>908000049</v>
          </cell>
          <cell r="B290" t="str">
            <v>COCCION PALMITO P/ENSALADA (KILO)</v>
          </cell>
          <cell r="C290" t="str">
            <v>ESP-RE-COCS-072</v>
          </cell>
          <cell r="D290" t="str">
            <v>01</v>
          </cell>
          <cell r="E290" t="str">
            <v>Kilo</v>
          </cell>
          <cell r="F290" t="str">
            <v>Gramo</v>
          </cell>
          <cell r="G290">
            <v>3509.8510179566574</v>
          </cell>
          <cell r="H290">
            <v>3.5098510179566573</v>
          </cell>
          <cell r="I290">
            <v>84.431578947368436</v>
          </cell>
          <cell r="J290">
            <v>8.4431578947368441E-2</v>
          </cell>
          <cell r="K290">
            <v>646.97086744272463</v>
          </cell>
          <cell r="L290">
            <v>0.64697086744272458</v>
          </cell>
          <cell r="M290">
            <v>4241.2534643467507</v>
          </cell>
        </row>
        <row r="291">
          <cell r="A291" t="str">
            <v>908000050</v>
          </cell>
          <cell r="B291" t="str">
            <v>QUESO PARMESANO LAMINADO (KILO)</v>
          </cell>
          <cell r="C291">
            <v>0</v>
          </cell>
          <cell r="D291">
            <v>0</v>
          </cell>
          <cell r="E291" t="str">
            <v>Kilo</v>
          </cell>
          <cell r="F291" t="str">
            <v>Gramo</v>
          </cell>
          <cell r="G291">
            <v>11528.645971736596</v>
          </cell>
          <cell r="H291">
            <v>11.528645971736596</v>
          </cell>
          <cell r="I291">
            <v>5.6766899766899765</v>
          </cell>
          <cell r="J291">
            <v>5.6766899766899767E-3</v>
          </cell>
          <cell r="K291">
            <v>2076.1780791083916</v>
          </cell>
          <cell r="L291">
            <v>2.0761780791083915</v>
          </cell>
          <cell r="M291">
            <v>13610.500740821677</v>
          </cell>
        </row>
        <row r="292">
          <cell r="A292" t="str">
            <v>908000051</v>
          </cell>
          <cell r="B292" t="str">
            <v>COCCION PICADILLO PAPA C/CHORIZO (KILO)</v>
          </cell>
          <cell r="C292" t="str">
            <v>ESP-RE-COCS-122</v>
          </cell>
          <cell r="D292" t="str">
            <v>02</v>
          </cell>
          <cell r="E292" t="str">
            <v>Kilo</v>
          </cell>
          <cell r="F292" t="str">
            <v>Gramo</v>
          </cell>
          <cell r="G292">
            <v>1585.9981362644039</v>
          </cell>
          <cell r="H292">
            <v>1.585998136264404</v>
          </cell>
          <cell r="I292">
            <v>2.6436666666666671E-2</v>
          </cell>
          <cell r="J292">
            <v>2.643666666666667E-5</v>
          </cell>
          <cell r="K292">
            <v>285.48442312759272</v>
          </cell>
          <cell r="L292">
            <v>0.2854844231275927</v>
          </cell>
          <cell r="M292">
            <v>1871.5089960586633</v>
          </cell>
        </row>
        <row r="293">
          <cell r="A293" t="str">
            <v>908000055</v>
          </cell>
          <cell r="B293" t="str">
            <v>PURE PAPA NATURAL PLANTA KILO</v>
          </cell>
          <cell r="C293" t="str">
            <v>ESP-RE-COCS-082</v>
          </cell>
          <cell r="D293" t="str">
            <v>04</v>
          </cell>
          <cell r="E293" t="str">
            <v>Kilo</v>
          </cell>
          <cell r="F293" t="str">
            <v>Gramo</v>
          </cell>
          <cell r="G293">
            <v>1648.6538567901234</v>
          </cell>
          <cell r="H293">
            <v>1.6486538567901234</v>
          </cell>
          <cell r="I293">
            <v>9.4160493827160501</v>
          </cell>
          <cell r="J293">
            <v>9.4160493827160508E-3</v>
          </cell>
          <cell r="K293">
            <v>298.4525831111111</v>
          </cell>
          <cell r="L293">
            <v>0.29845258311111111</v>
          </cell>
          <cell r="M293">
            <v>1956.5224892839506</v>
          </cell>
        </row>
        <row r="294">
          <cell r="A294" t="str">
            <v>908000056</v>
          </cell>
          <cell r="B294" t="str">
            <v>COCCION POLLO DESMEN MARMITA KILO</v>
          </cell>
          <cell r="C294" t="str">
            <v>ESP-RE-COCS-083</v>
          </cell>
          <cell r="D294" t="str">
            <v>17</v>
          </cell>
          <cell r="E294" t="str">
            <v>Kilo</v>
          </cell>
          <cell r="F294" t="str">
            <v>Gramo</v>
          </cell>
          <cell r="G294">
            <v>327.40196874999998</v>
          </cell>
          <cell r="H294">
            <v>0.32740196874999999</v>
          </cell>
          <cell r="I294">
            <v>1</v>
          </cell>
          <cell r="J294">
            <v>1E-3</v>
          </cell>
          <cell r="K294">
            <v>59.112354374999995</v>
          </cell>
          <cell r="L294">
            <v>5.9112354374999995E-2</v>
          </cell>
          <cell r="M294">
            <v>387.51432312499998</v>
          </cell>
        </row>
        <row r="295">
          <cell r="A295" t="str">
            <v>908000057</v>
          </cell>
          <cell r="B295" t="str">
            <v>CHAOMING FRITO (KILO)</v>
          </cell>
          <cell r="C295" t="str">
            <v>ESP-RE-COCS-084</v>
          </cell>
          <cell r="D295" t="str">
            <v>07</v>
          </cell>
          <cell r="E295" t="str">
            <v>Kilo</v>
          </cell>
          <cell r="F295" t="str">
            <v>Gramo</v>
          </cell>
          <cell r="G295">
            <v>4705.1119327731085</v>
          </cell>
          <cell r="H295">
            <v>4.7051119327731081</v>
          </cell>
          <cell r="I295">
            <v>0</v>
          </cell>
          <cell r="J295">
            <v>0</v>
          </cell>
          <cell r="K295">
            <v>846.92014789915947</v>
          </cell>
          <cell r="L295">
            <v>0.84692014789915948</v>
          </cell>
          <cell r="M295">
            <v>5552.0320806722684</v>
          </cell>
        </row>
        <row r="296">
          <cell r="A296" t="str">
            <v>908000058</v>
          </cell>
          <cell r="B296" t="str">
            <v>ARROZ P/TAMAL S/PITTIE POIS (KILO)</v>
          </cell>
          <cell r="C296" t="str">
            <v>ESP-RE-COCS-085</v>
          </cell>
          <cell r="D296" t="str">
            <v>08</v>
          </cell>
          <cell r="E296" t="str">
            <v>Kilo</v>
          </cell>
          <cell r="F296" t="str">
            <v>Gramo</v>
          </cell>
          <cell r="G296">
            <v>615.72089386554626</v>
          </cell>
          <cell r="H296">
            <v>0.61572089386554629</v>
          </cell>
          <cell r="I296">
            <v>4.6614857142857152E-2</v>
          </cell>
          <cell r="J296">
            <v>4.661485714285715E-5</v>
          </cell>
          <cell r="K296">
            <v>110.83815157008405</v>
          </cell>
          <cell r="L296">
            <v>0.11083815157008405</v>
          </cell>
          <cell r="M296">
            <v>726.60566029277322</v>
          </cell>
        </row>
        <row r="297">
          <cell r="A297" t="str">
            <v>908000059</v>
          </cell>
          <cell r="B297" t="str">
            <v>COCCION QUINUA BLANCA (KILO)</v>
          </cell>
          <cell r="C297" t="str">
            <v>ESP-RE-COCS-086</v>
          </cell>
          <cell r="D297" t="str">
            <v>04</v>
          </cell>
          <cell r="E297" t="str">
            <v>Kilo</v>
          </cell>
          <cell r="F297" t="str">
            <v>Gramo</v>
          </cell>
          <cell r="G297">
            <v>213.10144444444447</v>
          </cell>
          <cell r="H297">
            <v>0.21310144444444445</v>
          </cell>
          <cell r="I297">
            <v>26.736666666666668</v>
          </cell>
          <cell r="J297">
            <v>2.6736666666666669E-2</v>
          </cell>
          <cell r="K297">
            <v>43.170860000000005</v>
          </cell>
          <cell r="L297">
            <v>4.3170860000000005E-2</v>
          </cell>
          <cell r="M297">
            <v>283.00897111111112</v>
          </cell>
        </row>
        <row r="298">
          <cell r="A298" t="str">
            <v>908000060</v>
          </cell>
          <cell r="B298" t="str">
            <v>BASTONES QUESO TURRIALBA KILO</v>
          </cell>
          <cell r="C298">
            <v>0</v>
          </cell>
          <cell r="D298">
            <v>0</v>
          </cell>
          <cell r="E298" t="str">
            <v>Kilo</v>
          </cell>
          <cell r="F298" t="str">
            <v>Gramo</v>
          </cell>
          <cell r="G298">
            <v>3527.0930232558144</v>
          </cell>
          <cell r="H298">
            <v>3.5270930232558144</v>
          </cell>
          <cell r="I298">
            <v>1.9715503875968996</v>
          </cell>
          <cell r="J298">
            <v>1.9715503875968998E-3</v>
          </cell>
          <cell r="K298">
            <v>635.23162325581404</v>
          </cell>
          <cell r="L298">
            <v>0.63523162325581406</v>
          </cell>
          <cell r="M298">
            <v>4164.2961968992249</v>
          </cell>
        </row>
        <row r="299">
          <cell r="A299" t="str">
            <v>90800033</v>
          </cell>
          <cell r="B299" t="str">
            <v>CALDO POLLO C/CARCASA (KILO)</v>
          </cell>
          <cell r="C299" t="str">
            <v>ESP-RE-COCS-049</v>
          </cell>
          <cell r="D299" t="str">
            <v>03</v>
          </cell>
          <cell r="E299" t="str">
            <v>Kilo</v>
          </cell>
          <cell r="F299" t="str">
            <v>Gramo</v>
          </cell>
          <cell r="G299">
            <v>205.90227617021276</v>
          </cell>
          <cell r="H299">
            <v>0.20590227617021276</v>
          </cell>
          <cell r="I299">
            <v>7.2978723404255312</v>
          </cell>
          <cell r="J299">
            <v>7.297872340425531E-3</v>
          </cell>
          <cell r="K299">
            <v>38.376026731914891</v>
          </cell>
          <cell r="L299">
            <v>3.837602673191489E-2</v>
          </cell>
          <cell r="M299">
            <v>251.57617524255318</v>
          </cell>
        </row>
        <row r="300">
          <cell r="A300" t="str">
            <v>909000001</v>
          </cell>
          <cell r="B300" t="str">
            <v>EMPAQ RELLENO POLLO EMPANADA KILO</v>
          </cell>
          <cell r="C300" t="str">
            <v>ESP-RE-EMPS-001</v>
          </cell>
          <cell r="D300" t="str">
            <v>06</v>
          </cell>
          <cell r="E300" t="str">
            <v>Kilo</v>
          </cell>
          <cell r="F300" t="str">
            <v>Gramo</v>
          </cell>
          <cell r="G300">
            <v>786.7699663983143</v>
          </cell>
          <cell r="H300">
            <v>0.78676996639831431</v>
          </cell>
          <cell r="I300">
            <v>6.567136195121952</v>
          </cell>
          <cell r="J300">
            <v>6.5671361951219519E-3</v>
          </cell>
          <cell r="K300">
            <v>142.80067846681851</v>
          </cell>
          <cell r="L300">
            <v>0.14280067846681851</v>
          </cell>
          <cell r="M300">
            <v>936.13778106025484</v>
          </cell>
        </row>
        <row r="301">
          <cell r="A301" t="str">
            <v>909000003</v>
          </cell>
          <cell r="B301" t="str">
            <v>RELLENO POLLO P/PASTEL KILO</v>
          </cell>
          <cell r="C301" t="str">
            <v>ESP-RE-COCS-031</v>
          </cell>
          <cell r="D301" t="str">
            <v>06</v>
          </cell>
          <cell r="E301" t="str">
            <v>Kilo</v>
          </cell>
          <cell r="F301" t="str">
            <v>Gramo</v>
          </cell>
          <cell r="G301">
            <v>1313.328752248291</v>
          </cell>
          <cell r="H301">
            <v>1.313328752248291</v>
          </cell>
          <cell r="I301">
            <v>7.8318615967940106</v>
          </cell>
          <cell r="J301">
            <v>7.8318615967940108E-3</v>
          </cell>
          <cell r="K301">
            <v>237.80891049211527</v>
          </cell>
          <cell r="L301">
            <v>0.23780891049211528</v>
          </cell>
          <cell r="M301">
            <v>1558.9695243372003</v>
          </cell>
        </row>
        <row r="302">
          <cell r="A302" t="str">
            <v>909000004</v>
          </cell>
          <cell r="B302" t="str">
            <v>EMPAQUE SALSA ROJA PLANTA KILO</v>
          </cell>
          <cell r="C302" t="str">
            <v xml:space="preserve">ESP-RE-EMPS-004 </v>
          </cell>
          <cell r="D302" t="str">
            <v>05</v>
          </cell>
          <cell r="E302" t="str">
            <v>Kilo</v>
          </cell>
          <cell r="F302" t="str">
            <v>Gramo</v>
          </cell>
          <cell r="G302">
            <v>1352.8676339899425</v>
          </cell>
          <cell r="H302">
            <v>1.3528676339899426</v>
          </cell>
          <cell r="I302">
            <v>13.760780402449694</v>
          </cell>
          <cell r="J302">
            <v>1.3760780402449694E-2</v>
          </cell>
          <cell r="K302">
            <v>245.9931145906306</v>
          </cell>
          <cell r="L302">
            <v>0.24599311459063058</v>
          </cell>
          <cell r="M302">
            <v>1612.6215289830227</v>
          </cell>
        </row>
        <row r="303">
          <cell r="A303" t="str">
            <v>909000005</v>
          </cell>
          <cell r="B303" t="str">
            <v>PIPIAN EMPAQ (KILO)</v>
          </cell>
          <cell r="C303" t="str">
            <v>ESP-RE-EMPS-005</v>
          </cell>
          <cell r="D303" t="str">
            <v>03</v>
          </cell>
          <cell r="E303" t="str">
            <v>Kilo</v>
          </cell>
          <cell r="F303" t="str">
            <v>Gramo</v>
          </cell>
          <cell r="G303">
            <v>2076.0630178422784</v>
          </cell>
          <cell r="H303">
            <v>2.0760630178422783</v>
          </cell>
          <cell r="I303">
            <v>17.164811121568626</v>
          </cell>
          <cell r="J303">
            <v>1.7164811121568625E-2</v>
          </cell>
          <cell r="K303">
            <v>376.78100921349244</v>
          </cell>
          <cell r="L303">
            <v>0.37678100921349245</v>
          </cell>
          <cell r="M303">
            <v>2470.0088381773394</v>
          </cell>
        </row>
        <row r="304">
          <cell r="A304" t="str">
            <v>909000006</v>
          </cell>
          <cell r="B304" t="str">
            <v>ARROZ P/TAMALES EMPAQ  (KILO)</v>
          </cell>
          <cell r="C304" t="str">
            <v>ESP-RE-EMPS-006</v>
          </cell>
          <cell r="D304" t="str">
            <v>05</v>
          </cell>
          <cell r="E304" t="str">
            <v>Kilo</v>
          </cell>
          <cell r="F304" t="str">
            <v>Gramo</v>
          </cell>
          <cell r="G304">
            <v>615.72089386554626</v>
          </cell>
          <cell r="H304">
            <v>0.61572089386554629</v>
          </cell>
          <cell r="I304">
            <v>9.9960910476190481</v>
          </cell>
          <cell r="J304">
            <v>9.9960910476190479E-3</v>
          </cell>
          <cell r="K304">
            <v>112.62905728436975</v>
          </cell>
          <cell r="L304">
            <v>0.11262905728436975</v>
          </cell>
          <cell r="M304">
            <v>738.3460421975351</v>
          </cell>
        </row>
        <row r="305">
          <cell r="A305" t="str">
            <v>909000009</v>
          </cell>
          <cell r="B305" t="str">
            <v>EMPAQUE MAYONESA SPOON KILO</v>
          </cell>
          <cell r="C305" t="str">
            <v xml:space="preserve">ESP-RE-EMPS-009 </v>
          </cell>
          <cell r="D305" t="str">
            <v>04</v>
          </cell>
          <cell r="E305" t="str">
            <v>Kilo</v>
          </cell>
          <cell r="F305" t="str">
            <v>Gramo</v>
          </cell>
          <cell r="G305">
            <v>1448.4863418449668</v>
          </cell>
          <cell r="H305">
            <v>1.4484863418449667</v>
          </cell>
          <cell r="I305">
            <v>18.297377225193106</v>
          </cell>
          <cell r="J305">
            <v>1.8297377225193107E-2</v>
          </cell>
          <cell r="K305">
            <v>264.02106943262874</v>
          </cell>
          <cell r="L305">
            <v>0.26402106943262871</v>
          </cell>
          <cell r="M305">
            <v>1730.8047885027886</v>
          </cell>
        </row>
        <row r="306">
          <cell r="A306" t="str">
            <v>909000010</v>
          </cell>
          <cell r="B306" t="str">
            <v>EMPAQ CALDO POLLO C/CARCASA KILO</v>
          </cell>
          <cell r="C306" t="str">
            <v xml:space="preserve">ESP-RE-EMPS-010 </v>
          </cell>
          <cell r="D306" t="str">
            <v>02</v>
          </cell>
          <cell r="E306" t="str">
            <v>Kilo</v>
          </cell>
          <cell r="F306" t="str">
            <v>Gramo</v>
          </cell>
          <cell r="G306">
            <v>205.90227617021276</v>
          </cell>
          <cell r="H306">
            <v>0.20590227617021276</v>
          </cell>
          <cell r="I306">
            <v>17.313948530901719</v>
          </cell>
          <cell r="J306">
            <v>1.7313948530901718E-2</v>
          </cell>
          <cell r="K306">
            <v>40.1789204462006</v>
          </cell>
          <cell r="L306">
            <v>4.0178920446200597E-2</v>
          </cell>
          <cell r="M306">
            <v>263.39514514731508</v>
          </cell>
        </row>
        <row r="307">
          <cell r="A307" t="str">
            <v>909000019</v>
          </cell>
          <cell r="B307" t="str">
            <v>EMPAQ RELLENO /AJONJOLI KILO</v>
          </cell>
          <cell r="C307" t="str">
            <v xml:space="preserve">ESP-RE-EMPS-051 </v>
          </cell>
          <cell r="D307" t="str">
            <v>04</v>
          </cell>
          <cell r="E307" t="str">
            <v>Kilo</v>
          </cell>
          <cell r="F307" t="str">
            <v>Gramo</v>
          </cell>
          <cell r="G307">
            <v>3250.5430822915569</v>
          </cell>
          <cell r="H307">
            <v>3.2505430822915566</v>
          </cell>
          <cell r="I307">
            <v>16.610798819498029</v>
          </cell>
          <cell r="J307">
            <v>1.6610798819498028E-2</v>
          </cell>
          <cell r="K307">
            <v>588.08769859998984</v>
          </cell>
          <cell r="L307">
            <v>0.58808769859998988</v>
          </cell>
          <cell r="M307">
            <v>3855.2415797110448</v>
          </cell>
        </row>
        <row r="308">
          <cell r="A308" t="str">
            <v>909000020</v>
          </cell>
          <cell r="B308" t="str">
            <v>EMPAQ POLLO RECORTE KILO</v>
          </cell>
          <cell r="C308" t="str">
            <v xml:space="preserve">ESP-RE-EMPS-066 </v>
          </cell>
          <cell r="D308" t="str">
            <v>01</v>
          </cell>
          <cell r="E308" t="str">
            <v>Kilo</v>
          </cell>
          <cell r="F308" t="str">
            <v>Gramo</v>
          </cell>
          <cell r="G308">
            <v>4255.5969303797465</v>
          </cell>
          <cell r="H308">
            <v>4.2555969303797463</v>
          </cell>
          <cell r="I308">
            <v>38.155316696805315</v>
          </cell>
          <cell r="J308">
            <v>3.8155316696805316E-2</v>
          </cell>
          <cell r="K308">
            <v>772.87540447377921</v>
          </cell>
          <cell r="L308">
            <v>0.77287540447377923</v>
          </cell>
          <cell r="M308">
            <v>5066.6276515503305</v>
          </cell>
        </row>
        <row r="309">
          <cell r="A309" t="str">
            <v>909000021</v>
          </cell>
          <cell r="B309" t="str">
            <v>EMPAQ RELL CARNE/PAPA ENCHILADA KILO</v>
          </cell>
          <cell r="C309" t="str">
            <v xml:space="preserve">ESP-RE-EMPS-016 </v>
          </cell>
          <cell r="D309" t="str">
            <v>01</v>
          </cell>
          <cell r="E309" t="str">
            <v>Kilo</v>
          </cell>
          <cell r="F309" t="str">
            <v>Gramo</v>
          </cell>
          <cell r="G309">
            <v>3036.7236488398689</v>
          </cell>
          <cell r="H309">
            <v>3.0367236488398688</v>
          </cell>
          <cell r="I309">
            <v>10.550436507936507</v>
          </cell>
          <cell r="J309">
            <v>1.0550436507936507E-2</v>
          </cell>
          <cell r="K309">
            <v>548.50933536260493</v>
          </cell>
          <cell r="L309">
            <v>0.54850933536260493</v>
          </cell>
          <cell r="M309">
            <v>3595.7834207104102</v>
          </cell>
        </row>
        <row r="310">
          <cell r="A310" t="str">
            <v>909000037</v>
          </cell>
          <cell r="B310" t="str">
            <v xml:space="preserve">SUSPIRO BANDEJA EMPAQ </v>
          </cell>
          <cell r="C310" t="str">
            <v>ESP-RE-BAS-115</v>
          </cell>
          <cell r="D310" t="str">
            <v>01</v>
          </cell>
          <cell r="E310" t="str">
            <v>Kilo</v>
          </cell>
          <cell r="F310" t="str">
            <v>Gramo</v>
          </cell>
          <cell r="G310">
            <v>2413.6713177831139</v>
          </cell>
          <cell r="H310">
            <v>2.4136713177831139</v>
          </cell>
          <cell r="I310">
            <v>10.99969636895926</v>
          </cell>
          <cell r="J310">
            <v>1.099969636895926E-2</v>
          </cell>
          <cell r="K310">
            <v>436.44078254737315</v>
          </cell>
          <cell r="L310">
            <v>0.43644078254737317</v>
          </cell>
          <cell r="M310">
            <v>2861.1117966994461</v>
          </cell>
        </row>
        <row r="311">
          <cell r="A311" t="str">
            <v>909000039</v>
          </cell>
          <cell r="B311" t="str">
            <v>ENSAMBLE FLAN CARAMEL RECT BUC 1200G</v>
          </cell>
          <cell r="C311" t="str">
            <v>ESP-RE-POF-095</v>
          </cell>
          <cell r="D311" t="str">
            <v>01</v>
          </cell>
          <cell r="E311" t="str">
            <v>Und</v>
          </cell>
          <cell r="F311" t="str">
            <v>Und</v>
          </cell>
          <cell r="G311">
            <v>2225.7325147259262</v>
          </cell>
          <cell r="H311">
            <v>2225.7325147259262</v>
          </cell>
          <cell r="I311">
            <v>0</v>
          </cell>
          <cell r="J311">
            <v>0</v>
          </cell>
          <cell r="K311">
            <v>400.6318526506667</v>
          </cell>
          <cell r="L311">
            <v>400.6318526506667</v>
          </cell>
          <cell r="M311">
            <v>2626.3643673765928</v>
          </cell>
        </row>
        <row r="312">
          <cell r="A312" t="str">
            <v>910000001</v>
          </cell>
          <cell r="B312" t="str">
            <v>MEZCLA CREMA CHOCOLATE C/AGUA (KILO)</v>
          </cell>
          <cell r="C312" t="str">
            <v xml:space="preserve">ESP-RE-DES-021 </v>
          </cell>
          <cell r="D312" t="str">
            <v>02</v>
          </cell>
          <cell r="E312" t="str">
            <v>Kilo</v>
          </cell>
          <cell r="F312" t="str">
            <v>Gramo</v>
          </cell>
          <cell r="G312">
            <v>1963.8590909090908</v>
          </cell>
          <cell r="H312">
            <v>1.9638590909090907</v>
          </cell>
          <cell r="I312">
            <v>0</v>
          </cell>
          <cell r="J312">
            <v>0</v>
          </cell>
          <cell r="K312">
            <v>353.49463636363635</v>
          </cell>
          <cell r="L312">
            <v>0.35349463636363637</v>
          </cell>
          <cell r="M312">
            <v>2317.3537272727272</v>
          </cell>
        </row>
        <row r="313">
          <cell r="A313" t="str">
            <v>910000002</v>
          </cell>
          <cell r="B313" t="str">
            <v>MEZCLA ALMIBAR C/CAFE (KILO)</v>
          </cell>
          <cell r="C313" t="str">
            <v>ESP-RE-DES-022</v>
          </cell>
          <cell r="D313" t="str">
            <v>01</v>
          </cell>
          <cell r="E313" t="str">
            <v>Kilo</v>
          </cell>
          <cell r="F313" t="str">
            <v>Gramo</v>
          </cell>
          <cell r="G313">
            <v>475.28873760077784</v>
          </cell>
          <cell r="H313">
            <v>0.47528873760077783</v>
          </cell>
          <cell r="I313">
            <v>14.239343471074381</v>
          </cell>
          <cell r="J313">
            <v>1.4239343471074381E-2</v>
          </cell>
          <cell r="K313">
            <v>88.115054592933404</v>
          </cell>
          <cell r="L313">
            <v>8.8115054592933409E-2</v>
          </cell>
          <cell r="M313">
            <v>577.64313566478563</v>
          </cell>
        </row>
        <row r="314">
          <cell r="A314" t="str">
            <v>910000003</v>
          </cell>
          <cell r="B314" t="str">
            <v>MEZCLA TRES LECHES C/AGUA (KILO)</v>
          </cell>
          <cell r="C314" t="str">
            <v xml:space="preserve">ESP-RE-DES-023 </v>
          </cell>
          <cell r="D314" t="str">
            <v>01</v>
          </cell>
          <cell r="E314" t="str">
            <v>Kilo</v>
          </cell>
          <cell r="F314" t="str">
            <v>Gramo</v>
          </cell>
          <cell r="G314">
            <v>1147.8468556499388</v>
          </cell>
          <cell r="H314">
            <v>1.1478468556499388</v>
          </cell>
          <cell r="I314">
            <v>4.8511202218666671</v>
          </cell>
          <cell r="J314">
            <v>4.851120221866667E-3</v>
          </cell>
          <cell r="K314">
            <v>207.48563565692498</v>
          </cell>
          <cell r="L314">
            <v>0.20748563565692499</v>
          </cell>
          <cell r="M314">
            <v>1360.1836115287306</v>
          </cell>
        </row>
        <row r="315">
          <cell r="A315" t="str">
            <v>910000004</v>
          </cell>
          <cell r="B315" t="str">
            <v>MEZCLA LICOR CAFE C/ALMIBAR (KILO)</v>
          </cell>
          <cell r="C315" t="str">
            <v>ESP-RE-DES-128</v>
          </cell>
          <cell r="D315" t="str">
            <v>01</v>
          </cell>
          <cell r="E315" t="str">
            <v>Kilo</v>
          </cell>
          <cell r="F315" t="str">
            <v>Gramo</v>
          </cell>
          <cell r="G315">
            <v>3779.80717753315</v>
          </cell>
          <cell r="H315">
            <v>3.7798071775331499</v>
          </cell>
          <cell r="I315">
            <v>11.779794544444444</v>
          </cell>
          <cell r="J315">
            <v>1.1779794544444444E-2</v>
          </cell>
          <cell r="K315">
            <v>682.48565497396703</v>
          </cell>
          <cell r="L315">
            <v>0.68248565497396707</v>
          </cell>
          <cell r="M315">
            <v>4474.0726270515615</v>
          </cell>
        </row>
        <row r="316">
          <cell r="A316" t="str">
            <v>910000005</v>
          </cell>
          <cell r="B316" t="str">
            <v>MEZCLA DULCE LECHE C/AGUA</v>
          </cell>
          <cell r="C316" t="str">
            <v>ESP-RE-DES-025</v>
          </cell>
          <cell r="D316" t="str">
            <v>01</v>
          </cell>
          <cell r="E316" t="str">
            <v>Kilo</v>
          </cell>
          <cell r="F316" t="str">
            <v>Gramo</v>
          </cell>
          <cell r="G316">
            <v>2199.477166666667</v>
          </cell>
          <cell r="H316">
            <v>2.199477166666667</v>
          </cell>
          <cell r="I316">
            <v>2.2996333333333334</v>
          </cell>
          <cell r="J316">
            <v>2.2996333333333333E-3</v>
          </cell>
          <cell r="K316">
            <v>396.3198240000001</v>
          </cell>
          <cell r="L316">
            <v>0.3963198240000001</v>
          </cell>
          <cell r="M316">
            <v>2598.0966240000007</v>
          </cell>
        </row>
        <row r="317">
          <cell r="A317" t="str">
            <v>910000006</v>
          </cell>
          <cell r="B317" t="str">
            <v>MEZCLA SIROPE DULCE LECHE KILO</v>
          </cell>
          <cell r="C317" t="str">
            <v xml:space="preserve">ESP-RE-DES-026 </v>
          </cell>
          <cell r="D317" t="str">
            <v>03</v>
          </cell>
          <cell r="E317" t="str">
            <v>Kilo</v>
          </cell>
          <cell r="F317" t="str">
            <v>Gramo</v>
          </cell>
          <cell r="G317">
            <v>1960.3322949117344</v>
          </cell>
          <cell r="H317">
            <v>1.9603322949117343</v>
          </cell>
          <cell r="I317">
            <v>4.9299688473520256</v>
          </cell>
          <cell r="J317">
            <v>4.9299688473520252E-3</v>
          </cell>
          <cell r="K317">
            <v>353.74720747663554</v>
          </cell>
          <cell r="L317">
            <v>0.35374720747663552</v>
          </cell>
          <cell r="M317">
            <v>2319.0094712357218</v>
          </cell>
        </row>
        <row r="318">
          <cell r="A318" t="str">
            <v>910000007</v>
          </cell>
          <cell r="B318" t="str">
            <v>MEZCLA TRES LECHES C/BAILEYS LITRO</v>
          </cell>
          <cell r="C318" t="str">
            <v xml:space="preserve">ESP-RE-DES-027 </v>
          </cell>
          <cell r="D318" t="str">
            <v>01</v>
          </cell>
          <cell r="E318" t="str">
            <v>Kilo</v>
          </cell>
          <cell r="F318" t="str">
            <v>Gramo</v>
          </cell>
          <cell r="G318">
            <v>7693.8508623313128</v>
          </cell>
          <cell r="H318">
            <v>7.6938508623313124</v>
          </cell>
          <cell r="I318">
            <v>4.9449723542857145</v>
          </cell>
          <cell r="J318">
            <v>4.9449723542857142E-3</v>
          </cell>
          <cell r="K318">
            <v>1385.7832502434076</v>
          </cell>
          <cell r="L318">
            <v>1.3857832502434075</v>
          </cell>
          <cell r="M318">
            <v>9084.5790849290061</v>
          </cell>
        </row>
        <row r="319">
          <cell r="A319" t="str">
            <v>910000008</v>
          </cell>
          <cell r="B319" t="str">
            <v>CHOCOLATE BLANCO RALLADO (KILO)</v>
          </cell>
          <cell r="C319">
            <v>0</v>
          </cell>
          <cell r="D319">
            <v>0</v>
          </cell>
          <cell r="E319" t="str">
            <v>Kilo</v>
          </cell>
          <cell r="F319" t="str">
            <v>Gramo</v>
          </cell>
          <cell r="G319">
            <v>4111.1111111111104</v>
          </cell>
          <cell r="H319">
            <v>4.1111111111111107</v>
          </cell>
          <cell r="I319">
            <v>0.12340425531914893</v>
          </cell>
          <cell r="J319">
            <v>1.2340425531914893E-4</v>
          </cell>
          <cell r="K319">
            <v>740.02221276595719</v>
          </cell>
          <cell r="L319">
            <v>0.74002221276595714</v>
          </cell>
          <cell r="M319">
            <v>4851.2567281323863</v>
          </cell>
        </row>
        <row r="320">
          <cell r="A320" t="str">
            <v>910000009</v>
          </cell>
          <cell r="B320" t="str">
            <v>CHOCOLATE LECHE RALLADO (KILO)</v>
          </cell>
          <cell r="C320" t="str">
            <v xml:space="preserve">ESP-RE-DES-029 </v>
          </cell>
          <cell r="D320" t="str">
            <v>01</v>
          </cell>
          <cell r="E320" t="str">
            <v>Kilo</v>
          </cell>
          <cell r="F320" t="str">
            <v>Gramo</v>
          </cell>
          <cell r="G320">
            <v>4777.0485106382976</v>
          </cell>
          <cell r="H320">
            <v>4.7770485106382976</v>
          </cell>
          <cell r="I320">
            <v>10.131712259371835</v>
          </cell>
          <cell r="J320">
            <v>1.0131712259371834E-2</v>
          </cell>
          <cell r="K320">
            <v>861.69244012158049</v>
          </cell>
          <cell r="L320">
            <v>0.86169244012158053</v>
          </cell>
          <cell r="M320">
            <v>5648.8726630192496</v>
          </cell>
        </row>
        <row r="321">
          <cell r="A321" t="str">
            <v>910000010</v>
          </cell>
          <cell r="B321" t="str">
            <v>COCO TOSTADO (KILO)</v>
          </cell>
          <cell r="C321" t="str">
            <v xml:space="preserve">ESP-RE-DES-031 </v>
          </cell>
          <cell r="D321" t="str">
            <v>01</v>
          </cell>
          <cell r="E321" t="str">
            <v>Kilo</v>
          </cell>
          <cell r="F321" t="str">
            <v>Gramo</v>
          </cell>
          <cell r="G321">
            <v>6.4432500000000008</v>
          </cell>
          <cell r="H321">
            <v>6.4432500000000011E-3</v>
          </cell>
          <cell r="I321">
            <v>0</v>
          </cell>
          <cell r="J321">
            <v>0</v>
          </cell>
          <cell r="K321">
            <v>1.1597850000000001</v>
          </cell>
          <cell r="L321">
            <v>1.159785E-3</v>
          </cell>
          <cell r="M321">
            <v>7.6030350000000011</v>
          </cell>
        </row>
        <row r="322">
          <cell r="A322" t="str">
            <v>910000011</v>
          </cell>
          <cell r="B322" t="str">
            <v>BORONA P/DECORAR KILO</v>
          </cell>
          <cell r="C322" t="str">
            <v xml:space="preserve">ESP-RE-DES-032 </v>
          </cell>
          <cell r="D322" t="str">
            <v>01</v>
          </cell>
          <cell r="E322" t="str">
            <v>Kilo</v>
          </cell>
          <cell r="F322" t="str">
            <v>Gramo</v>
          </cell>
          <cell r="G322">
            <v>1304.7295591329691</v>
          </cell>
          <cell r="H322">
            <v>1.3047295591329691</v>
          </cell>
          <cell r="I322">
            <v>48.179604863108786</v>
          </cell>
          <cell r="J322">
            <v>4.8179604863108787E-2</v>
          </cell>
          <cell r="K322">
            <v>243.52364951929403</v>
          </cell>
          <cell r="L322">
            <v>0.24352364951929403</v>
          </cell>
          <cell r="M322">
            <v>1596.4328135153719</v>
          </cell>
        </row>
        <row r="323">
          <cell r="A323" t="str">
            <v>910000012</v>
          </cell>
          <cell r="B323" t="str">
            <v>SEMILLAS PECANA TOSTADA (KILO)</v>
          </cell>
          <cell r="C323" t="str">
            <v xml:space="preserve">ESP-RE-DES-034 </v>
          </cell>
          <cell r="D323" t="str">
            <v>02</v>
          </cell>
          <cell r="E323" t="str">
            <v>Kilo</v>
          </cell>
          <cell r="F323" t="str">
            <v>Gramo</v>
          </cell>
          <cell r="G323">
            <v>14.583240000000002</v>
          </cell>
          <cell r="H323">
            <v>1.4583240000000003E-2</v>
          </cell>
          <cell r="I323">
            <v>50.131250000000001</v>
          </cell>
          <cell r="J323">
            <v>5.0131250000000002E-2</v>
          </cell>
          <cell r="K323">
            <v>11.6486082</v>
          </cell>
          <cell r="L323">
            <v>1.16486082E-2</v>
          </cell>
          <cell r="M323">
            <v>76.363098199999996</v>
          </cell>
        </row>
        <row r="324">
          <cell r="A324" t="str">
            <v>910000017</v>
          </cell>
          <cell r="B324" t="str">
            <v>CREMA BLANCA C/CAFE (KILO)</v>
          </cell>
          <cell r="C324" t="str">
            <v>ESP-RE-DES-129</v>
          </cell>
          <cell r="D324" t="str">
            <v>01</v>
          </cell>
          <cell r="E324" t="str">
            <v>Kilo</v>
          </cell>
          <cell r="F324" t="str">
            <v>Gramo</v>
          </cell>
          <cell r="G324">
            <v>2396.5216897626465</v>
          </cell>
          <cell r="H324">
            <v>2.3965216897626465</v>
          </cell>
          <cell r="I324">
            <v>0.10203788060417167</v>
          </cell>
          <cell r="J324">
            <v>1.0203788060417167E-4</v>
          </cell>
          <cell r="K324">
            <v>431.3922709757851</v>
          </cell>
          <cell r="L324">
            <v>0.43139227097578509</v>
          </cell>
          <cell r="M324">
            <v>2828.0159986190356</v>
          </cell>
        </row>
        <row r="325">
          <cell r="A325" t="str">
            <v>910000018</v>
          </cell>
          <cell r="B325" t="str">
            <v>CREMA BEIDGE (KILO)</v>
          </cell>
          <cell r="C325" t="str">
            <v xml:space="preserve">ESP-RE-DES-042 </v>
          </cell>
          <cell r="D325" t="str">
            <v>03</v>
          </cell>
          <cell r="E325" t="str">
            <v>Kilo</v>
          </cell>
          <cell r="F325" t="str">
            <v>Gramo</v>
          </cell>
          <cell r="G325">
            <v>4677.4983573964491</v>
          </cell>
          <cell r="H325">
            <v>4.6774983573964493</v>
          </cell>
          <cell r="I325">
            <v>5.5769230769230758E-2</v>
          </cell>
          <cell r="J325">
            <v>5.5769230769230759E-5</v>
          </cell>
          <cell r="K325">
            <v>841.95974279289931</v>
          </cell>
          <cell r="L325">
            <v>0.84195974279289931</v>
          </cell>
          <cell r="M325">
            <v>5519.5138694201178</v>
          </cell>
        </row>
        <row r="326">
          <cell r="A326" t="str">
            <v>910000019</v>
          </cell>
          <cell r="B326" t="str">
            <v>CREMA BLANCA C/GALLETA CHOCO (KILO)</v>
          </cell>
          <cell r="C326" t="str">
            <v xml:space="preserve">ESP-RE-DES-043 </v>
          </cell>
          <cell r="D326" t="str">
            <v>02</v>
          </cell>
          <cell r="E326" t="str">
            <v>Kilo</v>
          </cell>
          <cell r="F326" t="str">
            <v>Gramo</v>
          </cell>
          <cell r="G326">
            <v>2291.9048555555551</v>
          </cell>
          <cell r="H326">
            <v>2.291904855555555</v>
          </cell>
          <cell r="I326">
            <v>9.8518518518518519E-2</v>
          </cell>
          <cell r="J326">
            <v>9.8518518518518521E-5</v>
          </cell>
          <cell r="K326">
            <v>412.56060733333322</v>
          </cell>
          <cell r="L326">
            <v>0.41256060733333322</v>
          </cell>
          <cell r="M326">
            <v>2704.563981407407</v>
          </cell>
        </row>
        <row r="327">
          <cell r="A327" t="str">
            <v>910000023</v>
          </cell>
          <cell r="B327" t="str">
            <v>CREMA TOP BASE CHOCOLATE (KILO)</v>
          </cell>
          <cell r="C327" t="str">
            <v xml:space="preserve">ESP-RE-DES-047 </v>
          </cell>
          <cell r="D327" t="str">
            <v>03</v>
          </cell>
          <cell r="E327" t="str">
            <v>Kilo</v>
          </cell>
          <cell r="F327" t="str">
            <v>Gramo</v>
          </cell>
          <cell r="G327">
            <v>2534.2812306425722</v>
          </cell>
          <cell r="H327">
            <v>2.5342812306425722</v>
          </cell>
          <cell r="I327">
            <v>2.3875190384061249E-2</v>
          </cell>
          <cell r="J327">
            <v>2.3875190384061249E-5</v>
          </cell>
          <cell r="K327">
            <v>456.1749190499321</v>
          </cell>
          <cell r="L327">
            <v>0.45617491904993213</v>
          </cell>
          <cell r="M327">
            <v>2990.4800248828883</v>
          </cell>
        </row>
        <row r="328">
          <cell r="A328" t="str">
            <v>910000030</v>
          </cell>
          <cell r="B328" t="str">
            <v>CREMA BLANCA C/SIROPE KOLITA KILO</v>
          </cell>
          <cell r="C328" t="str">
            <v xml:space="preserve">ESP-RE-DES-056 </v>
          </cell>
          <cell r="D328" t="str">
            <v>02</v>
          </cell>
          <cell r="E328" t="str">
            <v>Kilo</v>
          </cell>
          <cell r="F328" t="str">
            <v>Gramo</v>
          </cell>
          <cell r="G328">
            <v>2343.8621249212474</v>
          </cell>
          <cell r="H328">
            <v>2.3438621249212472</v>
          </cell>
          <cell r="I328">
            <v>2.7884615384615379E-2</v>
          </cell>
          <cell r="J328">
            <v>2.7884615384615379E-5</v>
          </cell>
          <cell r="K328">
            <v>421.90020171659376</v>
          </cell>
          <cell r="L328">
            <v>0.42190020171659376</v>
          </cell>
          <cell r="M328">
            <v>2765.7902112532256</v>
          </cell>
        </row>
        <row r="329">
          <cell r="A329" t="str">
            <v>910000031</v>
          </cell>
          <cell r="B329" t="str">
            <v>CREMA LIQUIDA CHOCO P/MARMOLEAR KILO</v>
          </cell>
          <cell r="C329" t="str">
            <v>ESP-RE-DES-100</v>
          </cell>
          <cell r="D329" t="str">
            <v>01</v>
          </cell>
          <cell r="E329" t="str">
            <v>Kilo</v>
          </cell>
          <cell r="F329" t="str">
            <v>Gramo</v>
          </cell>
          <cell r="G329">
            <v>2942.8205128205127</v>
          </cell>
          <cell r="H329">
            <v>2.9428205128205125</v>
          </cell>
          <cell r="I329">
            <v>66.666666666666671</v>
          </cell>
          <cell r="J329">
            <v>6.6666666666666666E-2</v>
          </cell>
          <cell r="K329">
            <v>541.70769230769224</v>
          </cell>
          <cell r="L329">
            <v>0.54170769230769222</v>
          </cell>
          <cell r="M329">
            <v>3551.1948717948717</v>
          </cell>
        </row>
        <row r="330">
          <cell r="A330" t="str">
            <v>911000002</v>
          </cell>
          <cell r="B330" t="str">
            <v>TEMPERADO CHOCOLATE BLANCO (KILO)</v>
          </cell>
          <cell r="C330" t="str">
            <v xml:space="preserve">ESP-RE-FIS-004 </v>
          </cell>
          <cell r="D330" t="str">
            <v>02</v>
          </cell>
          <cell r="E330" t="str">
            <v>Kilo</v>
          </cell>
          <cell r="F330" t="str">
            <v>Gramo</v>
          </cell>
          <cell r="G330">
            <v>6477.7777777777774</v>
          </cell>
          <cell r="H330">
            <v>6.477777777777777</v>
          </cell>
          <cell r="I330">
            <v>5.1943750000000009</v>
          </cell>
          <cell r="J330">
            <v>5.1943750000000011E-3</v>
          </cell>
          <cell r="K330">
            <v>1166.9349874999998</v>
          </cell>
          <cell r="L330">
            <v>1.1669349874999999</v>
          </cell>
          <cell r="M330">
            <v>7649.9071402777772</v>
          </cell>
        </row>
        <row r="331">
          <cell r="A331" t="str">
            <v>911000005</v>
          </cell>
          <cell r="B331" t="str">
            <v>GALLETA VAINILLA BAÑO CHOCO BLANCO KILO</v>
          </cell>
          <cell r="C331" t="str">
            <v>ESP-RE-POS-156</v>
          </cell>
          <cell r="D331" t="str">
            <v>01</v>
          </cell>
          <cell r="E331" t="str">
            <v>Kilo</v>
          </cell>
          <cell r="F331" t="str">
            <v>Gramo</v>
          </cell>
          <cell r="G331">
            <v>3518.8611111111113</v>
          </cell>
          <cell r="H331">
            <v>3.5188611111111112</v>
          </cell>
          <cell r="I331">
            <v>0</v>
          </cell>
          <cell r="J331">
            <v>0</v>
          </cell>
          <cell r="K331">
            <v>633.39499999999998</v>
          </cell>
          <cell r="L331">
            <v>0.63339499999999993</v>
          </cell>
          <cell r="M331">
            <v>4152.2561111111117</v>
          </cell>
        </row>
        <row r="332">
          <cell r="A332" t="str">
            <v>95113</v>
          </cell>
          <cell r="B332" t="str">
            <v>ROSQUETE CHOCOLATE PILLS 530g</v>
          </cell>
          <cell r="C332" t="str">
            <v>ESP-RE-BAS-051</v>
          </cell>
          <cell r="D332" t="str">
            <v>05</v>
          </cell>
          <cell r="E332" t="str">
            <v>Und</v>
          </cell>
          <cell r="F332" t="str">
            <v>Und</v>
          </cell>
          <cell r="G332">
            <v>708.62107520295524</v>
          </cell>
          <cell r="H332">
            <v>708.62107520295524</v>
          </cell>
          <cell r="I332">
            <v>4.9852033877619997</v>
          </cell>
          <cell r="J332">
            <v>4.9852033877619997</v>
          </cell>
          <cell r="K332">
            <v>128.44913014632911</v>
          </cell>
          <cell r="L332">
            <v>128.44913014632911</v>
          </cell>
          <cell r="M332">
            <v>842.05540873704638</v>
          </cell>
        </row>
        <row r="333">
          <cell r="A333" t="str">
            <v>95289</v>
          </cell>
          <cell r="B333" t="str">
            <v>COCCION ARROZ BLANCO KILO</v>
          </cell>
          <cell r="C333" t="str">
            <v>ESP-RE-COS-009</v>
          </cell>
          <cell r="D333" t="str">
            <v>15</v>
          </cell>
          <cell r="E333" t="str">
            <v>Kilo</v>
          </cell>
          <cell r="F333" t="str">
            <v>Gramo</v>
          </cell>
          <cell r="G333">
            <v>549.93609489671178</v>
          </cell>
          <cell r="H333">
            <v>0.5499360948967118</v>
          </cell>
          <cell r="I333">
            <v>36.728777738640368</v>
          </cell>
          <cell r="J333">
            <v>3.6728777738640368E-2</v>
          </cell>
          <cell r="K333">
            <v>105.59967707436338</v>
          </cell>
          <cell r="L333">
            <v>0.10559967707436338</v>
          </cell>
          <cell r="M333">
            <v>692.26454970971554</v>
          </cell>
        </row>
        <row r="334">
          <cell r="A334" t="str">
            <v>95299</v>
          </cell>
          <cell r="B334" t="str">
            <v>COCCION FRIJOLES P/GALLO PINTO KILO</v>
          </cell>
          <cell r="C334" t="str">
            <v>ESP-RE-COCS-058</v>
          </cell>
          <cell r="D334" t="str">
            <v>05</v>
          </cell>
          <cell r="E334" t="str">
            <v>Kilo</v>
          </cell>
          <cell r="F334" t="str">
            <v>Gramo</v>
          </cell>
          <cell r="G334">
            <v>877.30827447023205</v>
          </cell>
          <cell r="H334">
            <v>0.87730827447023207</v>
          </cell>
          <cell r="I334">
            <v>7.2844601412714427</v>
          </cell>
          <cell r="J334">
            <v>7.2844601412714429E-3</v>
          </cell>
          <cell r="K334">
            <v>159.22669223007063</v>
          </cell>
          <cell r="L334">
            <v>0.15922669223007063</v>
          </cell>
          <cell r="M334">
            <v>1043.8194268415741</v>
          </cell>
        </row>
        <row r="335">
          <cell r="A335" t="str">
            <v>95345</v>
          </cell>
          <cell r="B335" t="str">
            <v>ROSQUETE QQ SECO C/PASAS (750g)</v>
          </cell>
          <cell r="C335" t="str">
            <v>ESP-RE-BAS-010</v>
          </cell>
          <cell r="D335" t="str">
            <v>06</v>
          </cell>
          <cell r="E335" t="str">
            <v>Und</v>
          </cell>
          <cell r="F335" t="str">
            <v>Und</v>
          </cell>
          <cell r="G335">
            <v>1507.5943916512326</v>
          </cell>
          <cell r="H335">
            <v>1507.5943916512326</v>
          </cell>
          <cell r="I335" t="e">
            <v>#N/A</v>
          </cell>
          <cell r="J335" t="e">
            <v>#N/A</v>
          </cell>
          <cell r="K335" t="e">
            <v>#N/A</v>
          </cell>
          <cell r="L335" t="e">
            <v>#N/A</v>
          </cell>
          <cell r="M335" t="e">
            <v>#N/A</v>
          </cell>
        </row>
        <row r="336">
          <cell r="A336" t="str">
            <v>95361</v>
          </cell>
          <cell r="B336" t="str">
            <v>BASE PREMEZCLA P/BROWNIE CASERO KILO</v>
          </cell>
          <cell r="C336" t="str">
            <v xml:space="preserve">ESP-RE-PRES-031 </v>
          </cell>
          <cell r="D336" t="str">
            <v>04</v>
          </cell>
          <cell r="E336" t="str">
            <v>Kilo</v>
          </cell>
          <cell r="F336" t="str">
            <v>Gramo</v>
          </cell>
          <cell r="G336">
            <v>401.62933025404163</v>
          </cell>
          <cell r="H336">
            <v>0.40162933025404163</v>
          </cell>
          <cell r="I336">
            <v>16.786139187986766</v>
          </cell>
          <cell r="J336">
            <v>1.6786139187986767E-2</v>
          </cell>
          <cell r="K336">
            <v>75.314784499565107</v>
          </cell>
          <cell r="L336">
            <v>7.5314784499565107E-2</v>
          </cell>
          <cell r="M336">
            <v>493.7302539415935</v>
          </cell>
        </row>
        <row r="337">
          <cell r="A337" t="str">
            <v>95362</v>
          </cell>
          <cell r="B337" t="str">
            <v>BASE PREMEZCLA ARROLLADO SPOON KILO</v>
          </cell>
          <cell r="C337" t="str">
            <v xml:space="preserve">ESP-RE-PRES-008 </v>
          </cell>
          <cell r="D337" t="str">
            <v>08</v>
          </cell>
          <cell r="E337" t="str">
            <v>Kilo</v>
          </cell>
          <cell r="F337" t="str">
            <v>Gramo</v>
          </cell>
          <cell r="G337">
            <v>560.69315077424608</v>
          </cell>
          <cell r="H337">
            <v>0.56069315077424609</v>
          </cell>
          <cell r="I337">
            <v>16.571583808747622</v>
          </cell>
          <cell r="J337">
            <v>1.6571583808747622E-2</v>
          </cell>
          <cell r="K337">
            <v>103.90765222493886</v>
          </cell>
          <cell r="L337">
            <v>0.10390765222493886</v>
          </cell>
          <cell r="M337">
            <v>681.17238680793253</v>
          </cell>
        </row>
        <row r="338">
          <cell r="A338" t="str">
            <v>95364</v>
          </cell>
          <cell r="B338" t="str">
            <v>BASE PREM P/ROSQUETE TRES LECHES KILO</v>
          </cell>
          <cell r="C338" t="str">
            <v xml:space="preserve">ESP-RE-PRES-009 </v>
          </cell>
          <cell r="D338" t="str">
            <v>14</v>
          </cell>
          <cell r="E338" t="str">
            <v>Kilo</v>
          </cell>
          <cell r="F338" t="str">
            <v>Gramo</v>
          </cell>
          <cell r="G338">
            <v>515.93150087173115</v>
          </cell>
          <cell r="H338">
            <v>0.51593150087173112</v>
          </cell>
          <cell r="I338">
            <v>10.326355531834983</v>
          </cell>
          <cell r="J338">
            <v>1.0326355531834983E-2</v>
          </cell>
          <cell r="K338">
            <v>94.726414152641908</v>
          </cell>
          <cell r="L338">
            <v>9.4726414152641908E-2</v>
          </cell>
          <cell r="M338">
            <v>620.98427055620812</v>
          </cell>
        </row>
        <row r="339">
          <cell r="A339" t="str">
            <v>95369</v>
          </cell>
          <cell r="B339" t="str">
            <v>BASE PREMEZCLA QUEQUE SECO KILO</v>
          </cell>
          <cell r="C339" t="str">
            <v xml:space="preserve">ESP-RE-PRES-010 </v>
          </cell>
          <cell r="D339" t="str">
            <v>04</v>
          </cell>
          <cell r="E339" t="str">
            <v>Kilo</v>
          </cell>
          <cell r="F339" t="str">
            <v>Gramo</v>
          </cell>
          <cell r="G339">
            <v>1347.3650545454545</v>
          </cell>
          <cell r="H339">
            <v>1.3473650545454545</v>
          </cell>
          <cell r="I339">
            <v>17.418798766104157</v>
          </cell>
          <cell r="J339">
            <v>1.7418798766104159E-2</v>
          </cell>
          <cell r="K339">
            <v>245.66109359608055</v>
          </cell>
          <cell r="L339">
            <v>0.24566109359608054</v>
          </cell>
          <cell r="M339">
            <v>1610.4449469076392</v>
          </cell>
        </row>
        <row r="340">
          <cell r="A340" t="str">
            <v>95374</v>
          </cell>
          <cell r="B340" t="str">
            <v>BASE PREMEZ PALITOS QUESO SPOON KILO</v>
          </cell>
          <cell r="C340" t="str">
            <v xml:space="preserve">ESP-RE-PRES-038 </v>
          </cell>
          <cell r="D340" t="str">
            <v>06</v>
          </cell>
          <cell r="E340" t="str">
            <v>Kilo</v>
          </cell>
          <cell r="F340" t="str">
            <v>Gramo</v>
          </cell>
          <cell r="G340">
            <v>816.55123530322578</v>
          </cell>
          <cell r="H340">
            <v>0.81655123530322582</v>
          </cell>
          <cell r="I340">
            <v>8.43010752688172</v>
          </cell>
          <cell r="J340">
            <v>8.4301075268817197E-3</v>
          </cell>
          <cell r="K340">
            <v>148.49664170941932</v>
          </cell>
          <cell r="L340">
            <v>0.14849664170941931</v>
          </cell>
          <cell r="M340">
            <v>973.4779845395268</v>
          </cell>
        </row>
        <row r="341">
          <cell r="A341" t="str">
            <v>95376</v>
          </cell>
          <cell r="B341" t="str">
            <v>PREMEZCLA CANASTA/TARTALETA KILO</v>
          </cell>
          <cell r="C341" t="str">
            <v xml:space="preserve">ESP-RE-PRES-023 </v>
          </cell>
          <cell r="D341" t="str">
            <v>06</v>
          </cell>
          <cell r="E341" t="str">
            <v>Kilo</v>
          </cell>
          <cell r="F341" t="str">
            <v>Gramo</v>
          </cell>
          <cell r="G341">
            <v>987.94150326159308</v>
          </cell>
          <cell r="H341">
            <v>0.98794150326159313</v>
          </cell>
          <cell r="I341">
            <v>17.72111107589253</v>
          </cell>
          <cell r="J341">
            <v>1.772111107589253E-2</v>
          </cell>
          <cell r="K341">
            <v>181.01927058074739</v>
          </cell>
          <cell r="L341">
            <v>0.18101927058074738</v>
          </cell>
          <cell r="M341">
            <v>1186.681884918233</v>
          </cell>
        </row>
        <row r="342">
          <cell r="A342" t="str">
            <v>95453</v>
          </cell>
          <cell r="B342" t="str">
            <v>COCCION SALSA BLANCA SPOON KILO</v>
          </cell>
          <cell r="C342" t="str">
            <v>ESP-RE-COCS-024</v>
          </cell>
          <cell r="D342" t="str">
            <v>13</v>
          </cell>
          <cell r="E342" t="str">
            <v>Kilo</v>
          </cell>
          <cell r="F342" t="str">
            <v>Gramo</v>
          </cell>
          <cell r="G342">
            <v>1408.7496497328627</v>
          </cell>
          <cell r="H342">
            <v>1.4087496497328627</v>
          </cell>
          <cell r="I342">
            <v>0.57668800000000009</v>
          </cell>
          <cell r="J342">
            <v>5.7668800000000011E-4</v>
          </cell>
          <cell r="K342">
            <v>253.67874079191529</v>
          </cell>
          <cell r="L342">
            <v>0.25367874079191527</v>
          </cell>
          <cell r="M342">
            <v>1663.0050785247781</v>
          </cell>
        </row>
        <row r="343">
          <cell r="A343" t="str">
            <v>95460</v>
          </cell>
          <cell r="B343" t="str">
            <v>COCCION CARNE MECHADA KILO</v>
          </cell>
          <cell r="C343" t="str">
            <v>ESP-RE-COCS-057</v>
          </cell>
          <cell r="D343" t="str">
            <v>11</v>
          </cell>
          <cell r="E343" t="str">
            <v>Kilo</v>
          </cell>
          <cell r="F343" t="str">
            <v>Gramo</v>
          </cell>
          <cell r="G343">
            <v>10687.735208333334</v>
          </cell>
          <cell r="H343">
            <v>10.687735208333333</v>
          </cell>
          <cell r="I343">
            <v>12.812619047619048</v>
          </cell>
          <cell r="J343">
            <v>1.2812619047619048E-2</v>
          </cell>
          <cell r="K343">
            <v>1926.0986089285716</v>
          </cell>
          <cell r="L343">
            <v>1.9260986089285717</v>
          </cell>
          <cell r="M343">
            <v>12626.646436309526</v>
          </cell>
        </row>
        <row r="344">
          <cell r="A344" t="str">
            <v>95555</v>
          </cell>
          <cell r="B344" t="str">
            <v>BASE PREMEZCLA PASTA CHILENA KILO</v>
          </cell>
          <cell r="C344" t="e">
            <v>#N/A</v>
          </cell>
          <cell r="D344" t="str">
            <v>13</v>
          </cell>
          <cell r="E344" t="str">
            <v>Kilo</v>
          </cell>
          <cell r="F344" t="str">
            <v>Gramo</v>
          </cell>
          <cell r="G344">
            <v>1033.1120671599999</v>
          </cell>
          <cell r="H344">
            <v>1.0331120671599998</v>
          </cell>
          <cell r="I344">
            <v>4.0759523809523817</v>
          </cell>
          <cell r="J344">
            <v>4.0759523809523815E-3</v>
          </cell>
          <cell r="K344">
            <v>186.69384351737142</v>
          </cell>
          <cell r="L344">
            <v>0.18669384351737142</v>
          </cell>
          <cell r="M344">
            <v>1223.8818630583237</v>
          </cell>
        </row>
        <row r="345">
          <cell r="A345" t="str">
            <v>95610</v>
          </cell>
          <cell r="B345" t="str">
            <v>BASE PREMEZCLA ZANAHORIA/PIÑA KILO</v>
          </cell>
          <cell r="C345" t="str">
            <v xml:space="preserve">ESP-RE-PRES-012 </v>
          </cell>
          <cell r="D345" t="str">
            <v>17</v>
          </cell>
          <cell r="E345" t="str">
            <v>Kilo</v>
          </cell>
          <cell r="F345" t="str">
            <v>Gramo</v>
          </cell>
          <cell r="G345">
            <v>1251.8050179183344</v>
          </cell>
          <cell r="H345">
            <v>1.2518050179183344</v>
          </cell>
          <cell r="I345">
            <v>0</v>
          </cell>
          <cell r="J345">
            <v>0</v>
          </cell>
          <cell r="K345">
            <v>225.3249032253002</v>
          </cell>
          <cell r="L345">
            <v>0.22532490322530022</v>
          </cell>
          <cell r="M345">
            <v>1477.1299211436346</v>
          </cell>
        </row>
        <row r="346">
          <cell r="A346" t="str">
            <v>95613</v>
          </cell>
          <cell r="B346" t="str">
            <v>BASE PREMEZCLA P/PASTA ALFAJOR KILO</v>
          </cell>
          <cell r="C346" t="str">
            <v xml:space="preserve">ESP-RE-PRES-003 </v>
          </cell>
          <cell r="D346" t="str">
            <v>09</v>
          </cell>
          <cell r="E346" t="str">
            <v>Kilo</v>
          </cell>
          <cell r="F346" t="str">
            <v>Gramo</v>
          </cell>
          <cell r="G346">
            <v>1131.0209386000001</v>
          </cell>
          <cell r="H346">
            <v>1.1310209386000001</v>
          </cell>
          <cell r="I346">
            <v>4.9390476190476189</v>
          </cell>
          <cell r="J346">
            <v>4.939047619047619E-3</v>
          </cell>
          <cell r="K346">
            <v>204.47279751942858</v>
          </cell>
          <cell r="L346">
            <v>0.2044727975194286</v>
          </cell>
          <cell r="M346">
            <v>1340.4327837384762</v>
          </cell>
        </row>
        <row r="347">
          <cell r="A347" t="str">
            <v>95615</v>
          </cell>
          <cell r="B347" t="str">
            <v>BASE PREMEZCLA PASTA FROLA KILO</v>
          </cell>
          <cell r="C347" t="str">
            <v>ESP-RE-PRES-025</v>
          </cell>
          <cell r="D347" t="str">
            <v>08</v>
          </cell>
          <cell r="E347" t="str">
            <v>Kilo</v>
          </cell>
          <cell r="F347" t="str">
            <v>Gramo</v>
          </cell>
          <cell r="G347">
            <v>884.85541719233152</v>
          </cell>
          <cell r="H347">
            <v>0.88485541719233152</v>
          </cell>
          <cell r="I347">
            <v>5.9325028712783823</v>
          </cell>
          <cell r="J347">
            <v>5.932502871278382E-3</v>
          </cell>
          <cell r="K347">
            <v>160.34182561144979</v>
          </cell>
          <cell r="L347">
            <v>0.1603418256114498</v>
          </cell>
          <cell r="M347">
            <v>1051.1297456750597</v>
          </cell>
        </row>
        <row r="348">
          <cell r="A348" t="str">
            <v>95621</v>
          </cell>
          <cell r="B348" t="str">
            <v>COCCION ARROZ PRECOCIDO KILO</v>
          </cell>
          <cell r="C348" t="str">
            <v>ESP-RE-COCS-005</v>
          </cell>
          <cell r="D348" t="str">
            <v>06</v>
          </cell>
          <cell r="E348" t="str">
            <v>Kilo</v>
          </cell>
          <cell r="F348" t="str">
            <v>Gramo</v>
          </cell>
          <cell r="G348">
            <v>686.62027304156868</v>
          </cell>
          <cell r="H348">
            <v>0.6866202730415687</v>
          </cell>
          <cell r="I348">
            <v>15.012360000000001</v>
          </cell>
          <cell r="J348">
            <v>1.5012360000000001E-2</v>
          </cell>
          <cell r="K348">
            <v>126.29387394748235</v>
          </cell>
          <cell r="L348">
            <v>0.12629387394748234</v>
          </cell>
          <cell r="M348">
            <v>827.92650698905095</v>
          </cell>
        </row>
        <row r="349">
          <cell r="A349" t="str">
            <v>95636</v>
          </cell>
          <cell r="B349" t="str">
            <v>ENSAMBLE TAMAL DE CERDO 230g</v>
          </cell>
          <cell r="C349" t="str">
            <v>ESP-RE-COCS-046</v>
          </cell>
          <cell r="D349" t="str">
            <v>15</v>
          </cell>
          <cell r="E349" t="str">
            <v>Und</v>
          </cell>
          <cell r="F349" t="str">
            <v>Und</v>
          </cell>
          <cell r="G349" t="e">
            <v>#N/A</v>
          </cell>
          <cell r="H349" t="e">
            <v>#N/A</v>
          </cell>
          <cell r="I349" t="e">
            <v>#N/A</v>
          </cell>
          <cell r="J349" t="e">
            <v>#N/A</v>
          </cell>
          <cell r="K349" t="e">
            <v>#N/A</v>
          </cell>
          <cell r="L349" t="e">
            <v>#N/A</v>
          </cell>
          <cell r="M349" t="e">
            <v>#N/A</v>
          </cell>
        </row>
        <row r="350">
          <cell r="A350" t="str">
            <v>95717</v>
          </cell>
          <cell r="B350" t="str">
            <v>CREMA CHANTILLY BLANCA SPOON-IND KILO</v>
          </cell>
          <cell r="C350" t="str">
            <v xml:space="preserve">ESP-RE-DES-036 </v>
          </cell>
          <cell r="D350" t="str">
            <v>08</v>
          </cell>
          <cell r="E350" t="str">
            <v>Kilo</v>
          </cell>
          <cell r="F350" t="str">
            <v>Gramo</v>
          </cell>
          <cell r="G350">
            <v>2311.5165807692306</v>
          </cell>
          <cell r="H350">
            <v>2.3115165807692306</v>
          </cell>
          <cell r="I350">
            <v>2.7884615384615379E-2</v>
          </cell>
          <cell r="J350">
            <v>2.7884615384615379E-5</v>
          </cell>
          <cell r="K350">
            <v>416.07800376923075</v>
          </cell>
          <cell r="L350">
            <v>0.41607800376923076</v>
          </cell>
          <cell r="M350">
            <v>2727.6224691538459</v>
          </cell>
        </row>
        <row r="351">
          <cell r="A351" t="str">
            <v>95718</v>
          </cell>
          <cell r="B351" t="str">
            <v>CREMA CHANTILLY CHOCO SPOON KILO</v>
          </cell>
          <cell r="C351" t="str">
            <v/>
          </cell>
          <cell r="D351" t="str">
            <v>10</v>
          </cell>
          <cell r="E351" t="str">
            <v>Kilo</v>
          </cell>
          <cell r="F351" t="str">
            <v>Gramo</v>
          </cell>
          <cell r="G351">
            <v>2713.5306756020941</v>
          </cell>
          <cell r="H351">
            <v>2.7135306756020943</v>
          </cell>
          <cell r="I351">
            <v>8.5120000000000001E-2</v>
          </cell>
          <cell r="J351">
            <v>8.5119999999999998E-5</v>
          </cell>
          <cell r="K351">
            <v>488.45084320837697</v>
          </cell>
          <cell r="L351">
            <v>0.48845084320837695</v>
          </cell>
          <cell r="M351">
            <v>3202.0666388104714</v>
          </cell>
        </row>
        <row r="352">
          <cell r="A352" t="str">
            <v>95805</v>
          </cell>
          <cell r="B352" t="str">
            <v>ROSQUETE CHOCOLATE SPOON RED  (400g)</v>
          </cell>
          <cell r="C352" t="str">
            <v>ESP-RE-BAS-029</v>
          </cell>
          <cell r="D352" t="str">
            <v>05</v>
          </cell>
          <cell r="E352" t="str">
            <v>Und</v>
          </cell>
          <cell r="F352" t="str">
            <v>Und</v>
          </cell>
          <cell r="G352">
            <v>537.29821225246872</v>
          </cell>
          <cell r="H352">
            <v>537.29821225246872</v>
          </cell>
          <cell r="I352">
            <v>0.34458252542133339</v>
          </cell>
          <cell r="J352">
            <v>0.34458252542133339</v>
          </cell>
          <cell r="K352">
            <v>96.775703060020192</v>
          </cell>
          <cell r="L352">
            <v>96.775703060020192</v>
          </cell>
          <cell r="M352">
            <v>634.41849783791019</v>
          </cell>
        </row>
        <row r="353">
          <cell r="A353" t="str">
            <v>95832</v>
          </cell>
          <cell r="B353" t="str">
            <v>CORTE GALLETAS P/CAFE (UND)</v>
          </cell>
          <cell r="C353" t="str">
            <v>ESP-RE-PAPS-030</v>
          </cell>
          <cell r="D353" t="str">
            <v>05</v>
          </cell>
          <cell r="E353" t="str">
            <v>Und</v>
          </cell>
          <cell r="F353" t="str">
            <v>Und</v>
          </cell>
          <cell r="G353">
            <v>13.015453767078794</v>
          </cell>
          <cell r="H353">
            <v>13.015453767078794</v>
          </cell>
          <cell r="I353">
            <v>0.12240102860805861</v>
          </cell>
          <cell r="J353">
            <v>0.12240102860805861</v>
          </cell>
          <cell r="K353">
            <v>2.3648138632236333</v>
          </cell>
          <cell r="L353">
            <v>2.3648138632236333</v>
          </cell>
          <cell r="M353">
            <v>15.502668658910485</v>
          </cell>
        </row>
        <row r="354">
          <cell r="A354" t="str">
            <v>95945</v>
          </cell>
          <cell r="B354" t="str">
            <v>ENSAMBLE TAMAL DE POLLO 280g</v>
          </cell>
          <cell r="C354" t="str">
            <v>ESP-RE-COCS-045</v>
          </cell>
          <cell r="D354" t="str">
            <v>12</v>
          </cell>
          <cell r="E354" t="str">
            <v>Und</v>
          </cell>
          <cell r="F354" t="str">
            <v>Und</v>
          </cell>
          <cell r="G354" t="e">
            <v>#N/A</v>
          </cell>
          <cell r="H354" t="e">
            <v>#N/A</v>
          </cell>
          <cell r="I354" t="e">
            <v>#N/A</v>
          </cell>
          <cell r="J354" t="e">
            <v>#N/A</v>
          </cell>
          <cell r="K354" t="e">
            <v>#N/A</v>
          </cell>
          <cell r="L354" t="e">
            <v>#N/A</v>
          </cell>
          <cell r="M354" t="e">
            <v>#N/A</v>
          </cell>
        </row>
        <row r="355">
          <cell r="A355" t="str">
            <v>96197</v>
          </cell>
          <cell r="B355" t="str">
            <v>MEZCLA DE YEMA PARA PINTAR KILO</v>
          </cell>
          <cell r="C355">
            <v>0</v>
          </cell>
          <cell r="D355">
            <v>0</v>
          </cell>
          <cell r="E355" t="str">
            <v>Kilo</v>
          </cell>
          <cell r="F355" t="str">
            <v>Gramo</v>
          </cell>
          <cell r="G355">
            <v>188.81118881118883</v>
          </cell>
          <cell r="H355">
            <v>0.18881118881118883</v>
          </cell>
          <cell r="I355">
            <v>0</v>
          </cell>
          <cell r="J355">
            <v>0</v>
          </cell>
          <cell r="K355">
            <v>33.986013986013987</v>
          </cell>
          <cell r="L355">
            <v>3.3986013986013988E-2</v>
          </cell>
          <cell r="M355">
            <v>222.79720279720283</v>
          </cell>
        </row>
        <row r="356">
          <cell r="A356" t="str">
            <v>96199</v>
          </cell>
          <cell r="B356" t="str">
            <v>COBERTURA CHOCOLATE LECHE RALLADO 4700g</v>
          </cell>
          <cell r="C356" t="str">
            <v xml:space="preserve">ESP-RE-DES-029 </v>
          </cell>
          <cell r="D356" t="str">
            <v>01</v>
          </cell>
          <cell r="E356" t="str">
            <v>Kilo</v>
          </cell>
          <cell r="F356" t="str">
            <v>Gramo</v>
          </cell>
          <cell r="G356">
            <v>4776.5957446808507</v>
          </cell>
          <cell r="H356">
            <v>4.7765957446808507</v>
          </cell>
          <cell r="I356">
            <v>0.12340425531914893</v>
          </cell>
          <cell r="J356">
            <v>1.2340425531914893E-4</v>
          </cell>
          <cell r="K356">
            <v>859.80944680851042</v>
          </cell>
          <cell r="L356">
            <v>0.85980944680851046</v>
          </cell>
          <cell r="M356">
            <v>5636.5285957446795</v>
          </cell>
        </row>
        <row r="357">
          <cell r="A357" t="str">
            <v>96270</v>
          </cell>
          <cell r="B357" t="str">
            <v>ROSQUETE MELOCOTON PURATOS (360g)</v>
          </cell>
          <cell r="C357" t="str">
            <v>ESP-RE-BAS-013</v>
          </cell>
          <cell r="D357" t="str">
            <v>06</v>
          </cell>
          <cell r="E357" t="str">
            <v>Und</v>
          </cell>
          <cell r="F357" t="str">
            <v>Und</v>
          </cell>
          <cell r="G357">
            <v>310.6498950316593</v>
          </cell>
          <cell r="H357">
            <v>310.6498950316593</v>
          </cell>
          <cell r="I357">
            <v>4.6512023477011502</v>
          </cell>
          <cell r="J357">
            <v>4.6512023477011502</v>
          </cell>
          <cell r="K357">
            <v>56.754197528284877</v>
          </cell>
          <cell r="L357">
            <v>56.754197528284877</v>
          </cell>
          <cell r="M357">
            <v>372.0552949076453</v>
          </cell>
        </row>
        <row r="358">
          <cell r="A358" t="str">
            <v>96277</v>
          </cell>
          <cell r="B358" t="str">
            <v>ARREGLADOS HOJALDRE GRANDE (UND)</v>
          </cell>
          <cell r="C358" t="str">
            <v>ESP-RE-PAPS-019</v>
          </cell>
          <cell r="D358" t="str">
            <v>07</v>
          </cell>
          <cell r="E358" t="str">
            <v>Und</v>
          </cell>
          <cell r="F358" t="str">
            <v>Und</v>
          </cell>
          <cell r="G358">
            <v>91.319654528868796</v>
          </cell>
          <cell r="H358">
            <v>91.319654528868796</v>
          </cell>
          <cell r="I358">
            <v>1.7070609782374488</v>
          </cell>
          <cell r="J358">
            <v>1.7070609782374488</v>
          </cell>
          <cell r="K358">
            <v>16.744808791279123</v>
          </cell>
          <cell r="L358">
            <v>16.744808791279123</v>
          </cell>
          <cell r="M358">
            <v>109.77152429838537</v>
          </cell>
        </row>
        <row r="359">
          <cell r="A359" t="str">
            <v>96292</v>
          </cell>
          <cell r="B359" t="str">
            <v>ROSQUETE TRES LECHES RED. (150g)</v>
          </cell>
          <cell r="C359" t="str">
            <v>ESP-RE-BAS-040</v>
          </cell>
          <cell r="D359" t="str">
            <v>04</v>
          </cell>
          <cell r="E359" t="str">
            <v>Und</v>
          </cell>
          <cell r="F359" t="str">
            <v>Und</v>
          </cell>
          <cell r="G359">
            <v>83.979237041252787</v>
          </cell>
          <cell r="H359">
            <v>83.979237041252787</v>
          </cell>
          <cell r="I359">
            <v>2.6611410130952384</v>
          </cell>
          <cell r="J359">
            <v>2.6611410130952384</v>
          </cell>
          <cell r="K359">
            <v>15.595268049782643</v>
          </cell>
          <cell r="L359">
            <v>15.595268049782643</v>
          </cell>
          <cell r="M359">
            <v>102.23564610413067</v>
          </cell>
        </row>
        <row r="360">
          <cell r="A360" t="str">
            <v>96344</v>
          </cell>
          <cell r="B360" t="str">
            <v>CREMA DULCE LECHE KILO</v>
          </cell>
          <cell r="C360" t="str">
            <v xml:space="preserve">ESP-RE-DES-040 </v>
          </cell>
          <cell r="D360" t="str">
            <v>03</v>
          </cell>
          <cell r="E360" t="str">
            <v>Kilo</v>
          </cell>
          <cell r="F360" t="str">
            <v>Gramo</v>
          </cell>
          <cell r="G360">
            <v>2680.3210540408163</v>
          </cell>
          <cell r="H360">
            <v>2.6803210540408164</v>
          </cell>
          <cell r="I360">
            <v>8.5120000000000001E-2</v>
          </cell>
          <cell r="J360">
            <v>8.5119999999999998E-5</v>
          </cell>
          <cell r="K360">
            <v>482.47311132734694</v>
          </cell>
          <cell r="L360">
            <v>0.48247311132734694</v>
          </cell>
          <cell r="M360">
            <v>3162.8792853681634</v>
          </cell>
        </row>
        <row r="361">
          <cell r="A361" t="str">
            <v>904000018</v>
          </cell>
          <cell r="B361" t="str">
            <v/>
          </cell>
          <cell r="C361" t="str">
            <v/>
          </cell>
          <cell r="D361" t="str">
            <v/>
          </cell>
          <cell r="E361" t="str">
            <v>Kilo</v>
          </cell>
          <cell r="F361">
            <v>0</v>
          </cell>
          <cell r="G361">
            <v>0</v>
          </cell>
          <cell r="H361">
            <v>0</v>
          </cell>
          <cell r="I361">
            <v>0</v>
          </cell>
          <cell r="J361">
            <v>0</v>
          </cell>
          <cell r="K361">
            <v>0</v>
          </cell>
          <cell r="L361">
            <v>0</v>
          </cell>
          <cell r="M361">
            <v>0</v>
          </cell>
        </row>
        <row r="362">
          <cell r="A362" t="str">
            <v>907000255</v>
          </cell>
          <cell r="B362" t="str">
            <v xml:space="preserve">Rosquete Vainilla Puratos 700g </v>
          </cell>
          <cell r="C362">
            <v>0</v>
          </cell>
          <cell r="D362">
            <v>0</v>
          </cell>
          <cell r="E362" t="str">
            <v>Und</v>
          </cell>
          <cell r="F362" t="str">
            <v>Und</v>
          </cell>
          <cell r="G362">
            <v>669.49123416679333</v>
          </cell>
          <cell r="H362">
            <v>669.49123416679333</v>
          </cell>
          <cell r="I362">
            <v>10.917717961890375</v>
          </cell>
          <cell r="J362">
            <v>10.917717961890375</v>
          </cell>
          <cell r="K362">
            <v>130.5184698974488</v>
          </cell>
          <cell r="L362">
            <v>130.5184698974488</v>
          </cell>
          <cell r="M362">
            <v>810.92742202613249</v>
          </cell>
        </row>
        <row r="363">
          <cell r="A363"/>
          <cell r="B363" t="str">
            <v/>
          </cell>
          <cell r="C363" t="str">
            <v/>
          </cell>
          <cell r="D363" t="str">
            <v/>
          </cell>
          <cell r="E363"/>
          <cell r="F363">
            <v>0</v>
          </cell>
          <cell r="G363">
            <v>0</v>
          </cell>
          <cell r="H363">
            <v>0</v>
          </cell>
          <cell r="I363">
            <v>0</v>
          </cell>
          <cell r="J363">
            <v>0</v>
          </cell>
          <cell r="K363">
            <v>0</v>
          </cell>
          <cell r="L363">
            <v>0</v>
          </cell>
          <cell r="M363">
            <v>0</v>
          </cell>
        </row>
        <row r="364">
          <cell r="A364"/>
          <cell r="B364" t="str">
            <v/>
          </cell>
          <cell r="C364" t="str">
            <v/>
          </cell>
          <cell r="D364" t="str">
            <v/>
          </cell>
          <cell r="E364"/>
          <cell r="F364">
            <v>0</v>
          </cell>
          <cell r="G364">
            <v>0</v>
          </cell>
          <cell r="H364">
            <v>0</v>
          </cell>
          <cell r="I364">
            <v>0</v>
          </cell>
          <cell r="J364">
            <v>0</v>
          </cell>
          <cell r="K364">
            <v>0</v>
          </cell>
          <cell r="L364">
            <v>0</v>
          </cell>
          <cell r="M364">
            <v>0</v>
          </cell>
        </row>
        <row r="365">
          <cell r="B365" t="str">
            <v/>
          </cell>
          <cell r="C365" t="str">
            <v/>
          </cell>
          <cell r="D365" t="str">
            <v/>
          </cell>
          <cell r="F365">
            <v>0</v>
          </cell>
          <cell r="G365">
            <v>0</v>
          </cell>
          <cell r="H365">
            <v>0</v>
          </cell>
          <cell r="I365">
            <v>0</v>
          </cell>
          <cell r="J365">
            <v>0</v>
          </cell>
          <cell r="K365">
            <v>0</v>
          </cell>
          <cell r="L365">
            <v>0</v>
          </cell>
          <cell r="M365">
            <v>0</v>
          </cell>
        </row>
        <row r="366">
          <cell r="B366" t="str">
            <v/>
          </cell>
          <cell r="C366" t="str">
            <v/>
          </cell>
          <cell r="D366" t="str">
            <v/>
          </cell>
          <cell r="F366">
            <v>0</v>
          </cell>
          <cell r="G366">
            <v>0</v>
          </cell>
          <cell r="H366">
            <v>0</v>
          </cell>
          <cell r="I366">
            <v>0</v>
          </cell>
          <cell r="J366">
            <v>0</v>
          </cell>
          <cell r="K366">
            <v>0</v>
          </cell>
          <cell r="L366">
            <v>0</v>
          </cell>
          <cell r="M366">
            <v>0</v>
          </cell>
        </row>
        <row r="367">
          <cell r="B367" t="str">
            <v/>
          </cell>
          <cell r="C367" t="str">
            <v/>
          </cell>
          <cell r="D367" t="str">
            <v/>
          </cell>
          <cell r="F367">
            <v>0</v>
          </cell>
          <cell r="G367">
            <v>0</v>
          </cell>
          <cell r="H367">
            <v>0</v>
          </cell>
          <cell r="I367">
            <v>0</v>
          </cell>
          <cell r="J367">
            <v>0</v>
          </cell>
          <cell r="K367">
            <v>0</v>
          </cell>
          <cell r="L367">
            <v>0</v>
          </cell>
          <cell r="M367">
            <v>0</v>
          </cell>
        </row>
        <row r="368">
          <cell r="B368" t="str">
            <v/>
          </cell>
          <cell r="C368" t="str">
            <v/>
          </cell>
          <cell r="D368" t="str">
            <v/>
          </cell>
          <cell r="F368">
            <v>0</v>
          </cell>
          <cell r="G368">
            <v>0</v>
          </cell>
          <cell r="H368">
            <v>0</v>
          </cell>
          <cell r="I368">
            <v>0</v>
          </cell>
          <cell r="J368">
            <v>0</v>
          </cell>
          <cell r="K368">
            <v>0</v>
          </cell>
          <cell r="L368">
            <v>0</v>
          </cell>
          <cell r="M368">
            <v>0</v>
          </cell>
        </row>
        <row r="369">
          <cell r="B369" t="str">
            <v/>
          </cell>
          <cell r="C369" t="str">
            <v/>
          </cell>
          <cell r="D369" t="str">
            <v/>
          </cell>
          <cell r="F369">
            <v>0</v>
          </cell>
          <cell r="G369">
            <v>0</v>
          </cell>
          <cell r="H369">
            <v>0</v>
          </cell>
          <cell r="I369">
            <v>0</v>
          </cell>
          <cell r="J369">
            <v>0</v>
          </cell>
          <cell r="K369">
            <v>0</v>
          </cell>
          <cell r="L369">
            <v>0</v>
          </cell>
          <cell r="M369">
            <v>0</v>
          </cell>
        </row>
        <row r="370">
          <cell r="B370" t="str">
            <v/>
          </cell>
          <cell r="C370" t="str">
            <v/>
          </cell>
          <cell r="D370" t="str">
            <v/>
          </cell>
          <cell r="F370">
            <v>0</v>
          </cell>
          <cell r="G370">
            <v>0</v>
          </cell>
          <cell r="H370">
            <v>0</v>
          </cell>
          <cell r="I370">
            <v>0</v>
          </cell>
          <cell r="J370">
            <v>0</v>
          </cell>
          <cell r="K370">
            <v>0</v>
          </cell>
          <cell r="L370">
            <v>0</v>
          </cell>
          <cell r="M370">
            <v>0</v>
          </cell>
        </row>
        <row r="371">
          <cell r="B371" t="str">
            <v/>
          </cell>
          <cell r="C371" t="str">
            <v/>
          </cell>
          <cell r="D371" t="str">
            <v/>
          </cell>
          <cell r="F371">
            <v>0</v>
          </cell>
          <cell r="G371">
            <v>0</v>
          </cell>
          <cell r="H371">
            <v>0</v>
          </cell>
          <cell r="I371">
            <v>0</v>
          </cell>
          <cell r="J371">
            <v>0</v>
          </cell>
          <cell r="K371">
            <v>0</v>
          </cell>
          <cell r="L371">
            <v>0</v>
          </cell>
          <cell r="M371">
            <v>0</v>
          </cell>
        </row>
        <row r="372">
          <cell r="B372" t="str">
            <v/>
          </cell>
          <cell r="C372" t="str">
            <v/>
          </cell>
          <cell r="D372" t="str">
            <v/>
          </cell>
          <cell r="F372">
            <v>0</v>
          </cell>
          <cell r="G372">
            <v>0</v>
          </cell>
          <cell r="H372">
            <v>0</v>
          </cell>
          <cell r="I372">
            <v>0</v>
          </cell>
          <cell r="J372">
            <v>0</v>
          </cell>
          <cell r="K372">
            <v>0</v>
          </cell>
          <cell r="L372">
            <v>0</v>
          </cell>
          <cell r="M372">
            <v>0</v>
          </cell>
        </row>
        <row r="373">
          <cell r="B373"/>
          <cell r="C373"/>
          <cell r="D373"/>
          <cell r="F373"/>
          <cell r="G373"/>
          <cell r="H373"/>
          <cell r="I373"/>
          <cell r="J373"/>
          <cell r="K373"/>
          <cell r="L373"/>
          <cell r="M373"/>
        </row>
        <row r="374">
          <cell r="B374"/>
          <cell r="C374"/>
          <cell r="D374"/>
          <cell r="F374"/>
          <cell r="G374"/>
          <cell r="H374"/>
          <cell r="I374"/>
          <cell r="J374"/>
          <cell r="K374"/>
          <cell r="L374"/>
          <cell r="M374"/>
        </row>
        <row r="375">
          <cell r="B375"/>
          <cell r="C375"/>
          <cell r="D375"/>
          <cell r="F375"/>
          <cell r="G375"/>
          <cell r="H375"/>
          <cell r="I375"/>
          <cell r="J375"/>
          <cell r="K375"/>
          <cell r="L375"/>
          <cell r="M375"/>
        </row>
        <row r="382">
          <cell r="G382" t="str">
            <v xml:space="preserve"> </v>
          </cell>
        </row>
        <row r="383">
          <cell r="G383"/>
        </row>
        <row r="384">
          <cell r="G384" t="str">
            <v xml:space="preserve"> </v>
          </cell>
        </row>
        <row r="385">
          <cell r="G385" t="str">
            <v xml:space="preserve"> </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ICULOS MP PLANTA"/>
      <sheetName val="EMPAQUE PLANTA"/>
      <sheetName val="MP LOCALES"/>
      <sheetName val="EMP LOCALES"/>
      <sheetName val="Consolidado MP Planta"/>
      <sheetName val="Recetas Semielaborados"/>
      <sheetName val="SEMIELABORADOS"/>
      <sheetName val="COMPRAS LOCALES"/>
      <sheetName val="INS LOCALES RECETAS"/>
      <sheetName val="COST PLATOS"/>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cell r="B2"/>
          <cell r="C2" t="str">
            <v>ESPECIFICACION DE RECETA</v>
          </cell>
          <cell r="D2"/>
          <cell r="E2"/>
          <cell r="F2"/>
          <cell r="G2"/>
        </row>
        <row r="3">
          <cell r="A3"/>
          <cell r="B3"/>
          <cell r="C3" t="str">
            <v>907000285(SE00434) Batido Easy queque vainilla SP</v>
          </cell>
          <cell r="D3"/>
          <cell r="E3"/>
          <cell r="F3"/>
          <cell r="G3"/>
        </row>
        <row r="4">
          <cell r="A4"/>
          <cell r="B4"/>
          <cell r="C4" t="str">
            <v>Elaborado</v>
          </cell>
          <cell r="D4" t="str">
            <v>Javier Tong, Chef</v>
          </cell>
          <cell r="E4"/>
          <cell r="F4"/>
          <cell r="G4"/>
        </row>
        <row r="5">
          <cell r="A5"/>
          <cell r="B5"/>
          <cell r="C5" t="str">
            <v>Aprobado</v>
          </cell>
          <cell r="D5" t="str">
            <v>Esteban Cartin, Gte Manufactura</v>
          </cell>
          <cell r="E5"/>
          <cell r="F5"/>
          <cell r="G5"/>
        </row>
        <row r="6">
          <cell r="A6" t="str">
            <v>AREA QUE PRODUCE:</v>
          </cell>
          <cell r="B6"/>
          <cell r="C6"/>
          <cell r="D6" t="str">
            <v>Batidos</v>
          </cell>
          <cell r="E6"/>
          <cell r="F6"/>
          <cell r="G6" t="str">
            <v xml:space="preserve">AREA QUE EMPACA: </v>
          </cell>
        </row>
        <row r="7">
          <cell r="A7" t="str">
            <v xml:space="preserve"># Código </v>
          </cell>
          <cell r="B7" t="str">
            <v># Código Netsuite</v>
          </cell>
          <cell r="C7" t="str">
            <v>Descripción del ingrediente</v>
          </cell>
          <cell r="D7" t="str">
            <v xml:space="preserve">Marca </v>
          </cell>
          <cell r="E7" t="str">
            <v>Unidad Internacional</v>
          </cell>
          <cell r="F7"/>
          <cell r="G7" t="str">
            <v>Medida alternativa</v>
          </cell>
        </row>
        <row r="8">
          <cell r="A8"/>
          <cell r="B8"/>
          <cell r="C8"/>
          <cell r="D8"/>
          <cell r="E8" t="str">
            <v>Cantidad</v>
          </cell>
          <cell r="F8" t="str">
            <v xml:space="preserve">Unidad medida </v>
          </cell>
          <cell r="G8" t="str">
            <v>Cantidad</v>
          </cell>
        </row>
        <row r="9">
          <cell r="A9"/>
          <cell r="B9"/>
          <cell r="C9" t="str">
            <v>Ensamble</v>
          </cell>
          <cell r="D9"/>
          <cell r="E9"/>
          <cell r="F9"/>
          <cell r="G9"/>
        </row>
        <row r="10">
          <cell r="A10">
            <v>906000135</v>
          </cell>
          <cell r="B10" t="str">
            <v>SE00435</v>
          </cell>
          <cell r="C10" t="str">
            <v>PREMEZCLA EASY QUEQUE VAINILLA SP</v>
          </cell>
          <cell r="D10" t="str">
            <v>FAS</v>
          </cell>
          <cell r="E10">
            <v>25050</v>
          </cell>
          <cell r="F10" t="str">
            <v>g</v>
          </cell>
          <cell r="G10"/>
        </row>
        <row r="11">
          <cell r="A11" t="str">
            <v>1210482</v>
          </cell>
          <cell r="B11" t="str">
            <v>MP10005</v>
          </cell>
          <cell r="C11" t="str">
            <v>HUEVO LIQUIDO ESPECIAL INNOV (CAJA:10 K)</v>
          </cell>
          <cell r="D11" t="str">
            <v>INNOVO</v>
          </cell>
          <cell r="E11">
            <v>8900</v>
          </cell>
          <cell r="F11" t="str">
            <v>g</v>
          </cell>
          <cell r="G11"/>
        </row>
        <row r="12">
          <cell r="A12" t="str">
            <v>10415</v>
          </cell>
          <cell r="B12"/>
          <cell r="C12" t="str">
            <v>AGUA POTABLE (PLANTA)</v>
          </cell>
          <cell r="D12" t="str">
            <v>FAS</v>
          </cell>
          <cell r="E12">
            <v>5900</v>
          </cell>
          <cell r="F12" t="str">
            <v>g</v>
          </cell>
          <cell r="G12"/>
        </row>
        <row r="13">
          <cell r="A13">
            <v>10100050</v>
          </cell>
          <cell r="B13" t="str">
            <v>MP10002</v>
          </cell>
          <cell r="C13" t="str">
            <v>ACEITE CAPULLO RBD (UND:17 L)</v>
          </cell>
          <cell r="D13" t="str">
            <v>CAPULLO</v>
          </cell>
          <cell r="E13">
            <v>8200</v>
          </cell>
          <cell r="F13" t="str">
            <v>g</v>
          </cell>
          <cell r="G13"/>
        </row>
        <row r="14">
          <cell r="A14"/>
          <cell r="B14"/>
          <cell r="C14"/>
          <cell r="D14"/>
          <cell r="E14"/>
          <cell r="F14"/>
          <cell r="G14"/>
        </row>
        <row r="15">
          <cell r="A15"/>
          <cell r="B15"/>
          <cell r="C15"/>
          <cell r="D15"/>
          <cell r="E15"/>
          <cell r="F15"/>
          <cell r="G15"/>
        </row>
        <row r="16">
          <cell r="A16"/>
          <cell r="B16"/>
          <cell r="C16"/>
          <cell r="D16"/>
          <cell r="E16"/>
          <cell r="F16"/>
          <cell r="G16"/>
        </row>
        <row r="17">
          <cell r="A17"/>
          <cell r="B17"/>
          <cell r="C17"/>
          <cell r="D17"/>
          <cell r="E17"/>
          <cell r="F17"/>
          <cell r="G17"/>
        </row>
        <row r="18">
          <cell r="A18"/>
          <cell r="B18"/>
          <cell r="C18"/>
          <cell r="D18"/>
          <cell r="E18"/>
          <cell r="F18"/>
          <cell r="G18"/>
        </row>
        <row r="19">
          <cell r="A19"/>
          <cell r="B19"/>
          <cell r="C19"/>
          <cell r="D19"/>
          <cell r="E19"/>
          <cell r="F19"/>
          <cell r="G19"/>
        </row>
        <row r="20">
          <cell r="A20"/>
          <cell r="B20"/>
          <cell r="C20"/>
          <cell r="D20"/>
          <cell r="E20"/>
          <cell r="F20"/>
          <cell r="G20"/>
        </row>
        <row r="21">
          <cell r="A21"/>
          <cell r="B21"/>
          <cell r="C21" t="str">
            <v>Decoración</v>
          </cell>
          <cell r="D21"/>
          <cell r="E21"/>
          <cell r="F21"/>
          <cell r="G21"/>
        </row>
        <row r="22">
          <cell r="A22"/>
          <cell r="B22"/>
          <cell r="C22"/>
          <cell r="D22"/>
          <cell r="E22"/>
          <cell r="F22"/>
          <cell r="G22"/>
        </row>
        <row r="23">
          <cell r="A23"/>
          <cell r="B23"/>
          <cell r="C23"/>
          <cell r="D23"/>
          <cell r="E23"/>
          <cell r="F23"/>
          <cell r="G23"/>
        </row>
        <row r="24">
          <cell r="A24"/>
          <cell r="B24"/>
          <cell r="C24"/>
          <cell r="D24"/>
          <cell r="E24"/>
          <cell r="F24"/>
          <cell r="G24"/>
        </row>
        <row r="25">
          <cell r="A25"/>
          <cell r="B25"/>
          <cell r="C25"/>
          <cell r="D25"/>
          <cell r="E25"/>
          <cell r="F25"/>
          <cell r="G25"/>
        </row>
        <row r="26">
          <cell r="A26"/>
          <cell r="B26"/>
          <cell r="C26"/>
          <cell r="D26"/>
          <cell r="E26"/>
          <cell r="F26"/>
          <cell r="G26"/>
        </row>
        <row r="27">
          <cell r="A27"/>
          <cell r="B27"/>
          <cell r="C27"/>
          <cell r="D27"/>
          <cell r="E27"/>
          <cell r="F27"/>
          <cell r="G27"/>
        </row>
        <row r="28">
          <cell r="A28"/>
          <cell r="B28"/>
          <cell r="C28" t="str">
            <v>Empaque</v>
          </cell>
          <cell r="D28"/>
          <cell r="E28"/>
          <cell r="F28"/>
          <cell r="G28"/>
        </row>
        <row r="29">
          <cell r="A29"/>
          <cell r="B29"/>
          <cell r="C29"/>
          <cell r="D29"/>
          <cell r="E29"/>
          <cell r="F29"/>
          <cell r="G29"/>
        </row>
        <row r="30">
          <cell r="A30"/>
          <cell r="B30"/>
          <cell r="C30"/>
          <cell r="D30"/>
          <cell r="E30"/>
          <cell r="F30"/>
          <cell r="G30"/>
        </row>
        <row r="31">
          <cell r="A31"/>
          <cell r="B31"/>
          <cell r="C31"/>
          <cell r="D31"/>
          <cell r="E31"/>
          <cell r="F31"/>
          <cell r="G31"/>
        </row>
        <row r="32">
          <cell r="A32"/>
          <cell r="B32"/>
          <cell r="C32"/>
          <cell r="D32"/>
          <cell r="E32"/>
          <cell r="F32"/>
          <cell r="G32"/>
        </row>
        <row r="33">
          <cell r="A33"/>
          <cell r="B33"/>
          <cell r="C33"/>
          <cell r="D33"/>
          <cell r="E33"/>
          <cell r="F33"/>
          <cell r="G33"/>
        </row>
        <row r="34">
          <cell r="A34"/>
          <cell r="B34"/>
          <cell r="C34"/>
          <cell r="D34"/>
          <cell r="E34"/>
          <cell r="F34"/>
          <cell r="G34"/>
        </row>
        <row r="35">
          <cell r="A35"/>
          <cell r="B35"/>
          <cell r="C35"/>
          <cell r="D35"/>
          <cell r="E35"/>
          <cell r="F35"/>
          <cell r="G35"/>
        </row>
        <row r="36">
          <cell r="A36"/>
          <cell r="B36"/>
          <cell r="C36"/>
          <cell r="D36"/>
          <cell r="E36"/>
          <cell r="F36"/>
          <cell r="G36"/>
        </row>
        <row r="37">
          <cell r="A37"/>
          <cell r="B37"/>
          <cell r="C37" t="str">
            <v/>
          </cell>
          <cell r="D37"/>
          <cell r="E37"/>
          <cell r="F37"/>
          <cell r="G37"/>
        </row>
        <row r="38">
          <cell r="A38"/>
          <cell r="B38"/>
          <cell r="C38" t="str">
            <v/>
          </cell>
          <cell r="D38" t="str">
            <v>Cantidad</v>
          </cell>
          <cell r="E38" t="str">
            <v>Unidad</v>
          </cell>
          <cell r="F38"/>
          <cell r="G38"/>
        </row>
        <row r="39">
          <cell r="A39" t="str">
            <v>PESO TOTAL OBTENIDO</v>
          </cell>
          <cell r="B39"/>
          <cell r="C39"/>
          <cell r="D39">
            <v>47400</v>
          </cell>
          <cell r="E39" t="str">
            <v>g</v>
          </cell>
          <cell r="F39" t="str">
            <v>Tiempo de Horneo:</v>
          </cell>
          <cell r="G39"/>
        </row>
        <row r="40">
          <cell r="A40" t="str">
            <v>TIEMPO TOTAL DE PREPARACION</v>
          </cell>
          <cell r="B40"/>
          <cell r="C40"/>
          <cell r="D40">
            <v>10</v>
          </cell>
          <cell r="E40" t="str">
            <v>min</v>
          </cell>
          <cell r="F40" t="str">
            <v>Horno:</v>
          </cell>
          <cell r="G40"/>
        </row>
        <row r="41">
          <cell r="A41" t="str">
            <v>CANTIDAD DE PORCIONES OBTENIDAS</v>
          </cell>
          <cell r="B41"/>
          <cell r="C41"/>
          <cell r="D41">
            <v>1</v>
          </cell>
          <cell r="E41" t="str">
            <v>ud</v>
          </cell>
          <cell r="F41" t="str">
            <v>Temperatura de Horneo:</v>
          </cell>
          <cell r="G41"/>
        </row>
        <row r="42">
          <cell r="A42" t="str">
            <v>PESO DE CADA PORCIÓN</v>
          </cell>
          <cell r="B42"/>
          <cell r="C42"/>
          <cell r="D42">
            <v>47400</v>
          </cell>
          <cell r="E42" t="str">
            <v>g</v>
          </cell>
          <cell r="F42" t="str">
            <v>Otros</v>
          </cell>
          <cell r="G42"/>
        </row>
        <row r="43">
          <cell r="A43" t="str">
            <v>MERMA</v>
          </cell>
          <cell r="B43"/>
          <cell r="C43"/>
          <cell r="D43">
            <v>650</v>
          </cell>
          <cell r="E43" t="str">
            <v>g</v>
          </cell>
          <cell r="F43"/>
          <cell r="G43"/>
        </row>
        <row r="44">
          <cell r="A44" t="str">
            <v>PROCEDIMIENTO DE PREPARACION DE LA  RECETA</v>
          </cell>
          <cell r="B44"/>
          <cell r="C44"/>
          <cell r="D44"/>
          <cell r="E44"/>
          <cell r="F44"/>
          <cell r="G44"/>
        </row>
        <row r="45">
          <cell r="A45" t="str">
            <v>1.- Colocar todos los ingredientes en la batidora y batir con paleta.</v>
          </cell>
          <cell r="B45"/>
          <cell r="C45"/>
          <cell r="D45"/>
          <cell r="E45"/>
          <cell r="F45"/>
          <cell r="G45"/>
        </row>
        <row r="46">
          <cell r="A46" t="str">
            <v>2.- Batir por 1 minutos en velocidad 1.</v>
          </cell>
          <cell r="B46"/>
          <cell r="C46"/>
          <cell r="D46"/>
          <cell r="E46"/>
          <cell r="F46"/>
          <cell r="G46"/>
        </row>
        <row r="47">
          <cell r="A47" t="str">
            <v>3.- Luego batir por 5 minutos a velocidad 2.</v>
          </cell>
          <cell r="B47"/>
          <cell r="C47"/>
          <cell r="D47"/>
          <cell r="E47"/>
          <cell r="F47"/>
          <cell r="G47"/>
        </row>
        <row r="48">
          <cell r="A48" t="str">
            <v>4.- Pasar a dosificar.</v>
          </cell>
          <cell r="B48"/>
          <cell r="C48"/>
          <cell r="D48"/>
          <cell r="E48"/>
          <cell r="F48"/>
          <cell r="G48"/>
        </row>
        <row r="49">
          <cell r="A49"/>
          <cell r="B49"/>
          <cell r="C49"/>
          <cell r="D49"/>
          <cell r="E49"/>
          <cell r="F49"/>
          <cell r="G49"/>
        </row>
        <row r="50">
          <cell r="A50"/>
          <cell r="B50"/>
          <cell r="C50"/>
          <cell r="D50"/>
          <cell r="E50"/>
          <cell r="F50"/>
          <cell r="G50"/>
        </row>
        <row r="51">
          <cell r="A51"/>
          <cell r="B51"/>
          <cell r="C51"/>
          <cell r="D51"/>
          <cell r="E51"/>
          <cell r="F51"/>
          <cell r="G51"/>
        </row>
        <row r="52">
          <cell r="A52"/>
          <cell r="B52"/>
          <cell r="C52"/>
          <cell r="D52"/>
          <cell r="E52"/>
          <cell r="F52"/>
          <cell r="G52"/>
        </row>
        <row r="53">
          <cell r="A53"/>
          <cell r="B53"/>
          <cell r="C53"/>
          <cell r="D53"/>
          <cell r="E53"/>
          <cell r="F53"/>
          <cell r="G53"/>
        </row>
        <row r="54">
          <cell r="A54"/>
          <cell r="B54"/>
          <cell r="C54"/>
          <cell r="D54"/>
          <cell r="E54"/>
          <cell r="F54"/>
          <cell r="G54"/>
        </row>
        <row r="55">
          <cell r="A55" t="str">
            <v>CONTROL DE CAMBIOS</v>
          </cell>
          <cell r="B55"/>
          <cell r="C55"/>
          <cell r="D55"/>
          <cell r="E55"/>
          <cell r="F55"/>
          <cell r="G55"/>
        </row>
        <row r="56">
          <cell r="A56" t="str">
            <v>2, Actualizacion de procedimeinto</v>
          </cell>
          <cell r="B56"/>
          <cell r="C56"/>
          <cell r="D56"/>
          <cell r="E56"/>
          <cell r="F56"/>
          <cell r="G56"/>
        </row>
        <row r="57">
          <cell r="A57"/>
          <cell r="B57"/>
          <cell r="C57"/>
          <cell r="D57"/>
          <cell r="E57"/>
          <cell r="F57"/>
          <cell r="G57"/>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54DB-43C2-4B2F-B097-D17933D1576D}">
  <dimension ref="A1:L62"/>
  <sheetViews>
    <sheetView topLeftCell="A3" zoomScale="73" workbookViewId="0">
      <selection activeCell="C13" sqref="C13"/>
    </sheetView>
  </sheetViews>
  <sheetFormatPr baseColWidth="10" defaultRowHeight="15"/>
  <cols>
    <col min="1" max="1" width="15" customWidth="1"/>
    <col min="2" max="2" width="12.85546875" customWidth="1"/>
    <col min="3" max="3" width="60.5703125" customWidth="1"/>
    <col min="4" max="4" width="20.28515625" customWidth="1"/>
    <col min="5" max="6" width="15.5703125" customWidth="1"/>
    <col min="7" max="7" width="35.5703125" customWidth="1"/>
    <col min="8" max="8" width="39.140625" customWidth="1"/>
    <col min="9" max="9" width="23.42578125" bestFit="1" customWidth="1"/>
  </cols>
  <sheetData>
    <row r="1" spans="1:12" ht="17.25">
      <c r="A1" s="702"/>
      <c r="B1" s="703"/>
      <c r="C1" s="683" t="s">
        <v>30</v>
      </c>
      <c r="D1" s="683"/>
      <c r="E1" s="683"/>
      <c r="F1" s="683"/>
      <c r="G1" s="683"/>
      <c r="H1" s="5" t="s">
        <v>29</v>
      </c>
      <c r="I1" s="6"/>
    </row>
    <row r="2" spans="1:12" ht="18" thickBot="1">
      <c r="A2" s="704"/>
      <c r="B2" s="705"/>
      <c r="C2" s="708" t="s">
        <v>28</v>
      </c>
      <c r="D2" s="708"/>
      <c r="E2" s="708"/>
      <c r="F2" s="708"/>
      <c r="G2" s="708"/>
      <c r="H2" s="7" t="s">
        <v>27</v>
      </c>
      <c r="I2" s="8"/>
    </row>
    <row r="3" spans="1:12" ht="22.7" customHeight="1" thickBot="1">
      <c r="A3" s="704"/>
      <c r="B3" s="705"/>
      <c r="C3" s="709" t="s">
        <v>122</v>
      </c>
      <c r="D3" s="710"/>
      <c r="E3" s="710"/>
      <c r="F3" s="710"/>
      <c r="G3" s="711"/>
      <c r="H3" s="712" t="s">
        <v>26</v>
      </c>
      <c r="I3" s="693"/>
    </row>
    <row r="4" spans="1:12" ht="17.25">
      <c r="A4" s="704"/>
      <c r="B4" s="705"/>
      <c r="C4" s="9" t="s">
        <v>25</v>
      </c>
      <c r="D4" s="696" t="s">
        <v>35</v>
      </c>
      <c r="E4" s="697"/>
      <c r="F4" s="697"/>
      <c r="G4" s="698"/>
      <c r="H4" s="713"/>
      <c r="I4" s="694"/>
    </row>
    <row r="5" spans="1:12" ht="18" thickBot="1">
      <c r="A5" s="706"/>
      <c r="B5" s="707"/>
      <c r="C5" s="10" t="s">
        <v>24</v>
      </c>
      <c r="D5" s="699" t="s">
        <v>38</v>
      </c>
      <c r="E5" s="700"/>
      <c r="F5" s="700"/>
      <c r="G5" s="701"/>
      <c r="H5" s="714"/>
      <c r="I5" s="695"/>
    </row>
    <row r="6" spans="1:12" ht="16.5" thickBot="1">
      <c r="A6" s="724" t="s">
        <v>23</v>
      </c>
      <c r="B6" s="724"/>
      <c r="C6" s="724"/>
      <c r="D6" s="660" t="s">
        <v>50</v>
      </c>
      <c r="E6" s="660"/>
      <c r="F6" s="660"/>
      <c r="G6" s="717" t="s">
        <v>22</v>
      </c>
      <c r="H6" s="717"/>
      <c r="I6" s="11" t="s">
        <v>50</v>
      </c>
    </row>
    <row r="7" spans="1:12">
      <c r="A7" s="718" t="s">
        <v>21</v>
      </c>
      <c r="B7" s="720" t="s">
        <v>31</v>
      </c>
      <c r="C7" s="722" t="s">
        <v>20</v>
      </c>
      <c r="D7" s="722" t="s">
        <v>19</v>
      </c>
      <c r="E7" s="722" t="s">
        <v>18</v>
      </c>
      <c r="F7" s="722"/>
      <c r="G7" s="722" t="s">
        <v>17</v>
      </c>
      <c r="H7" s="722"/>
      <c r="I7" s="12" t="s">
        <v>16</v>
      </c>
    </row>
    <row r="8" spans="1:12" ht="31.5" thickBot="1">
      <c r="A8" s="719"/>
      <c r="B8" s="721"/>
      <c r="C8" s="723"/>
      <c r="D8" s="723"/>
      <c r="E8" s="111" t="s">
        <v>13</v>
      </c>
      <c r="F8" s="112" t="s">
        <v>15</v>
      </c>
      <c r="G8" s="111" t="s">
        <v>13</v>
      </c>
      <c r="H8" s="14" t="s">
        <v>15</v>
      </c>
      <c r="I8" s="15" t="s">
        <v>14</v>
      </c>
    </row>
    <row r="9" spans="1:12" ht="19.7" customHeight="1">
      <c r="A9" s="71"/>
      <c r="B9" s="71"/>
      <c r="C9" s="66" t="s">
        <v>32</v>
      </c>
      <c r="D9" s="71"/>
      <c r="E9" s="65"/>
      <c r="F9" s="72"/>
      <c r="G9" s="65"/>
      <c r="H9" s="72"/>
      <c r="I9" s="16"/>
    </row>
    <row r="10" spans="1:12" ht="17.45" customHeight="1">
      <c r="A10" s="94" t="s">
        <v>42</v>
      </c>
      <c r="B10" s="94" t="s">
        <v>43</v>
      </c>
      <c r="C10" s="95" t="s">
        <v>44</v>
      </c>
      <c r="D10" s="108" t="s">
        <v>36</v>
      </c>
      <c r="E10" s="119">
        <v>430</v>
      </c>
      <c r="F10" s="109" t="s">
        <v>1</v>
      </c>
      <c r="G10" s="94"/>
      <c r="H10" s="46" t="s">
        <v>45</v>
      </c>
      <c r="I10" s="3"/>
    </row>
    <row r="11" spans="1:12" ht="17.45" customHeight="1">
      <c r="A11" s="94"/>
      <c r="B11" s="94" t="s">
        <v>85</v>
      </c>
      <c r="C11" s="107" t="s">
        <v>86</v>
      </c>
      <c r="D11" s="108" t="s">
        <v>36</v>
      </c>
      <c r="E11" s="119">
        <v>90</v>
      </c>
      <c r="F11" s="109" t="s">
        <v>1</v>
      </c>
      <c r="G11" s="98" t="s">
        <v>87</v>
      </c>
      <c r="H11" s="80"/>
      <c r="I11" s="3"/>
    </row>
    <row r="12" spans="1:12" ht="17.45" customHeight="1">
      <c r="A12" s="94"/>
      <c r="B12" s="268" t="s">
        <v>46</v>
      </c>
      <c r="C12" s="269" t="s">
        <v>104</v>
      </c>
      <c r="D12" s="270" t="s">
        <v>36</v>
      </c>
      <c r="E12" s="271">
        <v>300</v>
      </c>
      <c r="F12" s="94" t="s">
        <v>1</v>
      </c>
      <c r="G12" s="94" t="s">
        <v>92</v>
      </c>
      <c r="H12" s="80" t="s">
        <v>94</v>
      </c>
      <c r="I12" s="3"/>
    </row>
    <row r="13" spans="1:12" ht="18">
      <c r="A13" s="113">
        <v>11700002</v>
      </c>
      <c r="B13" s="95" t="s">
        <v>89</v>
      </c>
      <c r="C13" s="95" t="s">
        <v>90</v>
      </c>
      <c r="D13" s="100" t="s">
        <v>91</v>
      </c>
      <c r="E13" s="119">
        <v>140</v>
      </c>
      <c r="F13" s="109" t="s">
        <v>1</v>
      </c>
      <c r="G13" s="98" t="s">
        <v>88</v>
      </c>
      <c r="H13" s="97" t="s">
        <v>93</v>
      </c>
      <c r="I13" s="3"/>
    </row>
    <row r="14" spans="1:12" ht="18.75">
      <c r="A14" s="93"/>
      <c r="B14" s="94" t="s">
        <v>46</v>
      </c>
      <c r="C14" s="95" t="s">
        <v>108</v>
      </c>
      <c r="D14" s="96"/>
      <c r="E14" s="110">
        <v>60</v>
      </c>
      <c r="F14" s="109" t="s">
        <v>1</v>
      </c>
      <c r="G14" s="94" t="s">
        <v>87</v>
      </c>
      <c r="H14" s="61" t="s">
        <v>51</v>
      </c>
      <c r="I14" s="3"/>
    </row>
    <row r="15" spans="1:12" ht="18.75">
      <c r="A15" s="93"/>
      <c r="B15" s="94"/>
      <c r="C15" s="95"/>
      <c r="D15" s="100"/>
      <c r="E15" s="115"/>
      <c r="F15" s="114"/>
      <c r="G15" s="98"/>
      <c r="H15" s="61"/>
      <c r="I15" s="3"/>
      <c r="K15" s="94"/>
      <c r="L15" s="95"/>
    </row>
    <row r="16" spans="1:12" ht="18.75">
      <c r="A16" s="62"/>
      <c r="B16" s="62"/>
      <c r="C16" s="70"/>
      <c r="D16" s="59"/>
      <c r="E16" s="61"/>
      <c r="F16" s="61"/>
      <c r="G16" s="60"/>
      <c r="H16" s="61"/>
      <c r="I16" s="3"/>
    </row>
    <row r="17" spans="1:10" ht="18.75">
      <c r="A17" s="62"/>
      <c r="B17" s="62"/>
      <c r="C17" s="79" t="s">
        <v>39</v>
      </c>
      <c r="D17" s="59"/>
      <c r="E17" s="61"/>
      <c r="F17" s="61"/>
      <c r="G17" s="60"/>
      <c r="H17" s="61"/>
      <c r="I17" s="3"/>
    </row>
    <row r="18" spans="1:10" ht="18">
      <c r="A18" s="93"/>
      <c r="B18" s="272" t="s">
        <v>77</v>
      </c>
      <c r="C18" s="273" t="s">
        <v>78</v>
      </c>
      <c r="D18" s="272" t="s">
        <v>36</v>
      </c>
      <c r="E18" s="272">
        <v>150</v>
      </c>
      <c r="F18" s="94" t="s">
        <v>1</v>
      </c>
      <c r="G18" s="98"/>
      <c r="H18" s="92" t="s">
        <v>95</v>
      </c>
      <c r="I18" s="3"/>
    </row>
    <row r="19" spans="1:10" ht="18">
      <c r="A19" s="93"/>
      <c r="B19" s="272" t="s">
        <v>77</v>
      </c>
      <c r="C19" s="273" t="s">
        <v>78</v>
      </c>
      <c r="D19" s="272" t="s">
        <v>36</v>
      </c>
      <c r="E19" s="272">
        <v>55</v>
      </c>
      <c r="F19" s="94" t="s">
        <v>1</v>
      </c>
      <c r="G19" s="99" t="s">
        <v>98</v>
      </c>
      <c r="H19" s="92"/>
      <c r="I19" s="3"/>
    </row>
    <row r="20" spans="1:10" ht="18">
      <c r="A20" s="93"/>
      <c r="B20" s="272" t="s">
        <v>46</v>
      </c>
      <c r="C20" s="273" t="s">
        <v>109</v>
      </c>
      <c r="D20" s="272" t="s">
        <v>36</v>
      </c>
      <c r="E20" s="272">
        <v>15</v>
      </c>
      <c r="F20" s="94" t="s">
        <v>1</v>
      </c>
      <c r="G20" s="99"/>
      <c r="H20" s="92" t="s">
        <v>99</v>
      </c>
      <c r="I20" s="3"/>
    </row>
    <row r="21" spans="1:10" ht="18">
      <c r="A21" s="93"/>
      <c r="B21" s="272" t="s">
        <v>79</v>
      </c>
      <c r="C21" s="273" t="s">
        <v>80</v>
      </c>
      <c r="D21" s="272" t="s">
        <v>36</v>
      </c>
      <c r="E21" s="272">
        <v>12</v>
      </c>
      <c r="F21" s="94" t="s">
        <v>1</v>
      </c>
      <c r="G21" s="99"/>
      <c r="H21" s="92" t="s">
        <v>97</v>
      </c>
      <c r="I21" s="3"/>
    </row>
    <row r="22" spans="1:10" ht="18">
      <c r="A22" s="93"/>
      <c r="B22" s="272" t="s">
        <v>48</v>
      </c>
      <c r="C22" s="273" t="s">
        <v>49</v>
      </c>
      <c r="D22" s="272" t="s">
        <v>36</v>
      </c>
      <c r="E22" s="272">
        <v>12</v>
      </c>
      <c r="F22" s="94" t="s">
        <v>1</v>
      </c>
      <c r="G22" s="99"/>
      <c r="H22" s="92" t="s">
        <v>97</v>
      </c>
      <c r="I22" s="3"/>
    </row>
    <row r="23" spans="1:10" ht="18">
      <c r="A23" s="93"/>
      <c r="B23" s="272" t="s">
        <v>81</v>
      </c>
      <c r="C23" s="273" t="s">
        <v>82</v>
      </c>
      <c r="D23" s="272" t="s">
        <v>36</v>
      </c>
      <c r="E23" s="272">
        <v>12</v>
      </c>
      <c r="F23" s="94" t="s">
        <v>1</v>
      </c>
      <c r="G23" s="99"/>
      <c r="H23" s="92" t="s">
        <v>97</v>
      </c>
      <c r="I23" s="3"/>
    </row>
    <row r="24" spans="1:10" ht="18">
      <c r="A24" s="93"/>
      <c r="B24" s="94" t="s">
        <v>46</v>
      </c>
      <c r="C24" s="95" t="s">
        <v>123</v>
      </c>
      <c r="D24" s="94" t="s">
        <v>36</v>
      </c>
      <c r="E24" s="101">
        <v>26</v>
      </c>
      <c r="F24" s="101" t="s">
        <v>1</v>
      </c>
      <c r="G24" s="110" t="s">
        <v>96</v>
      </c>
      <c r="H24" s="99" t="s">
        <v>84</v>
      </c>
      <c r="I24" s="3"/>
    </row>
    <row r="25" spans="1:10" ht="18.75">
      <c r="A25" s="62"/>
      <c r="B25" s="86"/>
      <c r="C25" s="86"/>
      <c r="D25" s="69"/>
      <c r="E25" s="64"/>
      <c r="F25" s="64"/>
      <c r="G25" s="65"/>
      <c r="H25" s="72"/>
      <c r="I25" s="3"/>
    </row>
    <row r="26" spans="1:10" ht="18.75">
      <c r="A26" s="67"/>
      <c r="B26" s="63"/>
      <c r="C26" s="74"/>
      <c r="D26" s="68"/>
      <c r="E26" s="63"/>
      <c r="F26" s="75"/>
      <c r="G26" s="65"/>
      <c r="H26" s="72"/>
      <c r="I26" s="3"/>
    </row>
    <row r="27" spans="1:10" ht="18.75">
      <c r="A27" s="62"/>
      <c r="B27" s="62"/>
      <c r="C27" s="73" t="s">
        <v>34</v>
      </c>
      <c r="D27" s="67"/>
      <c r="E27" s="67"/>
      <c r="F27" s="61"/>
      <c r="G27" s="60"/>
      <c r="H27" s="61"/>
      <c r="I27" s="16"/>
    </row>
    <row r="28" spans="1:10" ht="18.75">
      <c r="A28" s="82" t="s">
        <v>52</v>
      </c>
      <c r="B28" s="82" t="s">
        <v>53</v>
      </c>
      <c r="C28" s="82" t="s">
        <v>54</v>
      </c>
      <c r="D28" s="83" t="s">
        <v>55</v>
      </c>
      <c r="E28" s="84">
        <v>1</v>
      </c>
      <c r="F28" s="87" t="s">
        <v>37</v>
      </c>
      <c r="G28" s="60"/>
      <c r="H28" s="61"/>
      <c r="I28" s="16"/>
    </row>
    <row r="29" spans="1:10" ht="18.75">
      <c r="A29" s="82" t="s">
        <v>56</v>
      </c>
      <c r="B29" s="82" t="s">
        <v>57</v>
      </c>
      <c r="C29" s="82" t="s">
        <v>58</v>
      </c>
      <c r="D29" s="83"/>
      <c r="E29" s="84">
        <v>1</v>
      </c>
      <c r="F29" s="87" t="s">
        <v>59</v>
      </c>
      <c r="G29" s="86"/>
      <c r="H29" s="61"/>
      <c r="I29" s="16"/>
      <c r="J29" s="78"/>
    </row>
    <row r="30" spans="1:10" s="58" customFormat="1" ht="18.75">
      <c r="A30" s="82" t="s">
        <v>60</v>
      </c>
      <c r="B30" s="82" t="s">
        <v>61</v>
      </c>
      <c r="C30" s="88" t="s">
        <v>62</v>
      </c>
      <c r="D30" s="83" t="s">
        <v>63</v>
      </c>
      <c r="E30" s="84">
        <v>1</v>
      </c>
      <c r="F30" s="87" t="s">
        <v>37</v>
      </c>
      <c r="G30" s="26"/>
      <c r="H30" s="61"/>
      <c r="I30" s="16"/>
    </row>
    <row r="31" spans="1:10" ht="18.75">
      <c r="A31" s="82" t="s">
        <v>64</v>
      </c>
      <c r="B31" s="82" t="s">
        <v>65</v>
      </c>
      <c r="C31" s="88" t="s">
        <v>66</v>
      </c>
      <c r="D31" s="83" t="s">
        <v>67</v>
      </c>
      <c r="E31" s="84">
        <v>1</v>
      </c>
      <c r="F31" s="87" t="s">
        <v>37</v>
      </c>
      <c r="G31" s="76"/>
      <c r="H31" s="62"/>
      <c r="I31" s="16"/>
    </row>
    <row r="32" spans="1:10" ht="18.75">
      <c r="A32" s="82" t="s">
        <v>40</v>
      </c>
      <c r="B32" s="82" t="s">
        <v>41</v>
      </c>
      <c r="C32" s="88" t="s">
        <v>68</v>
      </c>
      <c r="D32" s="83" t="s">
        <v>69</v>
      </c>
      <c r="E32" s="84">
        <v>1</v>
      </c>
      <c r="F32" s="87" t="s">
        <v>37</v>
      </c>
      <c r="G32" s="65"/>
      <c r="H32" s="62"/>
      <c r="I32" s="16"/>
      <c r="J32" s="78"/>
    </row>
    <row r="33" spans="1:11" ht="18.75">
      <c r="A33" s="82" t="s">
        <v>70</v>
      </c>
      <c r="B33" s="82" t="s">
        <v>71</v>
      </c>
      <c r="C33" s="89" t="s">
        <v>72</v>
      </c>
      <c r="D33" s="87" t="s">
        <v>67</v>
      </c>
      <c r="E33" s="84">
        <v>1</v>
      </c>
      <c r="F33" s="85" t="s">
        <v>37</v>
      </c>
      <c r="G33" s="60"/>
      <c r="H33" s="77"/>
      <c r="I33" s="16"/>
    </row>
    <row r="34" spans="1:11" ht="18.75">
      <c r="A34" s="82" t="s">
        <v>47</v>
      </c>
      <c r="B34" s="82" t="s">
        <v>73</v>
      </c>
      <c r="C34" s="82" t="s">
        <v>83</v>
      </c>
      <c r="D34" s="87"/>
      <c r="E34" s="84">
        <v>1</v>
      </c>
      <c r="F34" s="85" t="s">
        <v>37</v>
      </c>
      <c r="G34" s="60"/>
      <c r="H34" s="77"/>
      <c r="I34" s="16"/>
    </row>
    <row r="35" spans="1:11" ht="16.350000000000001" customHeight="1">
      <c r="A35" s="50"/>
      <c r="B35" s="50"/>
      <c r="C35" s="51"/>
      <c r="D35" s="52"/>
      <c r="E35" s="50"/>
      <c r="F35" s="53"/>
      <c r="G35" s="54"/>
      <c r="H35" s="48"/>
      <c r="I35" s="16"/>
    </row>
    <row r="36" spans="1:11" ht="15.75">
      <c r="A36" s="55"/>
      <c r="B36" s="55"/>
      <c r="C36" s="56"/>
      <c r="D36" s="17"/>
      <c r="E36" s="55"/>
      <c r="F36" s="4"/>
      <c r="G36" s="49"/>
      <c r="H36" s="57"/>
      <c r="I36" s="16"/>
    </row>
    <row r="37" spans="1:11" ht="17.25">
      <c r="A37" s="20"/>
      <c r="B37" s="21"/>
      <c r="C37" s="22"/>
      <c r="D37" s="23"/>
      <c r="E37" s="24"/>
      <c r="F37" s="24"/>
      <c r="G37" s="19"/>
      <c r="H37" s="2"/>
      <c r="I37" s="16"/>
    </row>
    <row r="38" spans="1:11" ht="15.75">
      <c r="A38" s="21"/>
      <c r="B38" s="25"/>
      <c r="C38" s="26"/>
      <c r="D38" s="1"/>
      <c r="E38" s="27"/>
      <c r="F38" s="18"/>
      <c r="G38" s="19"/>
      <c r="H38" s="3"/>
      <c r="I38" s="16"/>
    </row>
    <row r="39" spans="1:11" ht="15.75">
      <c r="A39" s="28"/>
      <c r="B39" s="29"/>
      <c r="C39" s="30"/>
      <c r="D39" s="3"/>
      <c r="E39" s="3"/>
      <c r="F39" s="31"/>
      <c r="G39" s="3"/>
      <c r="H39" s="3"/>
      <c r="I39" s="16"/>
    </row>
    <row r="40" spans="1:11" ht="18" thickBot="1">
      <c r="A40" s="32"/>
      <c r="B40" s="33"/>
      <c r="C40" s="34"/>
      <c r="D40" s="34"/>
      <c r="E40" s="35"/>
      <c r="F40" s="36"/>
      <c r="G40" s="34"/>
      <c r="H40" s="34"/>
      <c r="I40" s="37"/>
      <c r="K40" s="78"/>
    </row>
    <row r="41" spans="1:11" ht="18" thickBot="1">
      <c r="A41" s="38"/>
      <c r="B41" s="39"/>
      <c r="C41" s="40"/>
      <c r="D41" s="41" t="s">
        <v>13</v>
      </c>
      <c r="E41" s="42" t="s">
        <v>12</v>
      </c>
      <c r="F41" s="43"/>
      <c r="G41" s="40"/>
      <c r="H41" s="40"/>
      <c r="I41" s="44"/>
      <c r="J41" s="78"/>
    </row>
    <row r="42" spans="1:11" ht="18.75">
      <c r="A42" s="725" t="s">
        <v>11</v>
      </c>
      <c r="B42" s="726"/>
      <c r="C42" s="727"/>
      <c r="D42" s="90">
        <v>1220</v>
      </c>
      <c r="E42" s="45" t="s">
        <v>1</v>
      </c>
      <c r="F42" s="728" t="s">
        <v>10</v>
      </c>
      <c r="G42" s="728"/>
      <c r="H42" s="715"/>
      <c r="I42" s="716"/>
      <c r="J42">
        <f>5000/349</f>
        <v>14.326647564469914</v>
      </c>
    </row>
    <row r="43" spans="1:11" ht="18.75">
      <c r="A43" s="729" t="s">
        <v>9</v>
      </c>
      <c r="B43" s="730"/>
      <c r="C43" s="731"/>
      <c r="D43" s="81">
        <v>5</v>
      </c>
      <c r="E43" s="46" t="s">
        <v>8</v>
      </c>
      <c r="F43" s="732" t="s">
        <v>7</v>
      </c>
      <c r="G43" s="732"/>
      <c r="H43" s="733"/>
      <c r="I43" s="734"/>
    </row>
    <row r="44" spans="1:11" ht="18.75">
      <c r="A44" s="729" t="s">
        <v>6</v>
      </c>
      <c r="B44" s="730"/>
      <c r="C44" s="731"/>
      <c r="D44" s="81">
        <v>1</v>
      </c>
      <c r="E44" s="46" t="s">
        <v>37</v>
      </c>
      <c r="F44" s="732" t="s">
        <v>5</v>
      </c>
      <c r="G44" s="732"/>
      <c r="H44" s="733"/>
      <c r="I44" s="734"/>
    </row>
    <row r="45" spans="1:11" ht="18.75">
      <c r="A45" s="729" t="s">
        <v>4</v>
      </c>
      <c r="B45" s="730"/>
      <c r="C45" s="731"/>
      <c r="D45" s="81">
        <v>1220</v>
      </c>
      <c r="E45" s="46" t="s">
        <v>1</v>
      </c>
      <c r="F45" s="735" t="s">
        <v>3</v>
      </c>
      <c r="G45" s="736"/>
      <c r="H45" s="733"/>
      <c r="I45" s="734"/>
    </row>
    <row r="46" spans="1:11" ht="19.5" thickBot="1">
      <c r="A46" s="737" t="s">
        <v>2</v>
      </c>
      <c r="B46" s="738"/>
      <c r="C46" s="739"/>
      <c r="D46" s="91">
        <f>SUM(E10:E24)-D42</f>
        <v>82</v>
      </c>
      <c r="E46" s="47" t="s">
        <v>1</v>
      </c>
      <c r="F46" s="749"/>
      <c r="G46" s="749"/>
      <c r="H46" s="750"/>
      <c r="I46" s="751"/>
    </row>
    <row r="47" spans="1:11" ht="16.5" thickBot="1">
      <c r="A47" s="740" t="s">
        <v>0</v>
      </c>
      <c r="B47" s="741"/>
      <c r="C47" s="741"/>
      <c r="D47" s="741"/>
      <c r="E47" s="741"/>
      <c r="F47" s="741"/>
      <c r="G47" s="741"/>
      <c r="H47" s="741"/>
      <c r="I47" s="742"/>
    </row>
    <row r="48" spans="1:11" ht="20.45" customHeight="1">
      <c r="A48" s="743" t="s">
        <v>117</v>
      </c>
      <c r="B48" s="744"/>
      <c r="C48" s="745"/>
      <c r="D48" s="745"/>
      <c r="E48" s="745"/>
      <c r="F48" s="745"/>
      <c r="G48" s="745"/>
      <c r="H48" s="745"/>
      <c r="I48" s="746"/>
    </row>
    <row r="49" spans="1:9" ht="49.15" customHeight="1">
      <c r="A49" s="752" t="s">
        <v>118</v>
      </c>
      <c r="B49" s="753"/>
      <c r="C49" s="754"/>
      <c r="D49" s="754"/>
      <c r="E49" s="754"/>
      <c r="F49" s="754"/>
      <c r="G49" s="754"/>
      <c r="H49" s="754"/>
      <c r="I49" s="755"/>
    </row>
    <row r="50" spans="1:9" ht="19.7" customHeight="1">
      <c r="A50" s="756" t="s">
        <v>119</v>
      </c>
      <c r="B50" s="757"/>
      <c r="C50" s="757"/>
      <c r="D50" s="757"/>
      <c r="E50" s="757"/>
      <c r="F50" s="757"/>
      <c r="G50" s="757"/>
      <c r="H50" s="757"/>
      <c r="I50" s="758"/>
    </row>
    <row r="51" spans="1:9" ht="45.6" customHeight="1">
      <c r="A51" s="752" t="s">
        <v>120</v>
      </c>
      <c r="B51" s="753"/>
      <c r="C51" s="754"/>
      <c r="D51" s="754"/>
      <c r="E51" s="754"/>
      <c r="F51" s="754"/>
      <c r="G51" s="754"/>
      <c r="H51" s="754"/>
      <c r="I51" s="755"/>
    </row>
    <row r="52" spans="1:9" ht="20.45" customHeight="1">
      <c r="A52" s="743" t="s">
        <v>121</v>
      </c>
      <c r="B52" s="744"/>
      <c r="C52" s="745"/>
      <c r="D52" s="745"/>
      <c r="E52" s="745"/>
      <c r="F52" s="745"/>
      <c r="G52" s="745"/>
      <c r="H52" s="745"/>
      <c r="I52" s="746"/>
    </row>
    <row r="53" spans="1:9" ht="20.45" customHeight="1">
      <c r="A53" s="752"/>
      <c r="B53" s="753"/>
      <c r="C53" s="754"/>
      <c r="D53" s="754"/>
      <c r="E53" s="754"/>
      <c r="F53" s="754"/>
      <c r="G53" s="754"/>
      <c r="H53" s="754"/>
      <c r="I53" s="755"/>
    </row>
    <row r="54" spans="1:9" ht="19.7" customHeight="1">
      <c r="A54" s="743"/>
      <c r="B54" s="744"/>
      <c r="C54" s="745"/>
      <c r="D54" s="745"/>
      <c r="E54" s="745"/>
      <c r="F54" s="745"/>
      <c r="G54" s="745"/>
      <c r="H54" s="745"/>
      <c r="I54" s="746"/>
    </row>
    <row r="55" spans="1:9" ht="20.25">
      <c r="A55" s="743"/>
      <c r="B55" s="744"/>
      <c r="C55" s="745"/>
      <c r="D55" s="745"/>
      <c r="E55" s="745"/>
      <c r="F55" s="745"/>
      <c r="G55" s="745"/>
      <c r="H55" s="745"/>
      <c r="I55" s="746"/>
    </row>
    <row r="57" spans="1:9" ht="18" customHeight="1">
      <c r="A57" s="759"/>
      <c r="B57" s="760"/>
      <c r="C57" s="761"/>
      <c r="D57" s="761"/>
      <c r="E57" s="761"/>
      <c r="F57" s="761"/>
      <c r="G57" s="761"/>
      <c r="H57" s="761"/>
      <c r="I57" s="762"/>
    </row>
    <row r="58" spans="1:9" ht="17.25">
      <c r="A58" s="763"/>
      <c r="B58" s="764"/>
      <c r="C58" s="764"/>
      <c r="D58" s="764"/>
      <c r="E58" s="764"/>
      <c r="F58" s="764"/>
      <c r="G58" s="764"/>
      <c r="H58" s="764"/>
      <c r="I58" s="765"/>
    </row>
    <row r="59" spans="1:9" ht="18" thickBot="1">
      <c r="A59" s="766"/>
      <c r="B59" s="767"/>
      <c r="C59" s="767"/>
      <c r="D59" s="767"/>
      <c r="E59" s="767"/>
      <c r="F59" s="767"/>
      <c r="G59" s="767"/>
      <c r="H59" s="767"/>
      <c r="I59" s="768"/>
    </row>
    <row r="60" spans="1:9">
      <c r="A60" s="769" t="s">
        <v>33</v>
      </c>
      <c r="B60" s="770"/>
      <c r="C60" s="770"/>
      <c r="D60" s="770"/>
      <c r="E60" s="770"/>
      <c r="F60" s="770"/>
      <c r="G60" s="770"/>
      <c r="H60" s="770"/>
      <c r="I60" s="770"/>
    </row>
    <row r="61" spans="1:9">
      <c r="A61" s="747"/>
      <c r="B61" s="748"/>
      <c r="C61" s="748"/>
      <c r="D61" s="748"/>
      <c r="E61" s="748"/>
      <c r="F61" s="748"/>
      <c r="G61" s="748"/>
      <c r="H61" s="748"/>
      <c r="I61" s="748"/>
    </row>
    <row r="62" spans="1:9">
      <c r="A62" s="747"/>
      <c r="B62" s="748"/>
      <c r="C62" s="748"/>
      <c r="D62" s="748"/>
      <c r="E62" s="748"/>
      <c r="F62" s="748"/>
      <c r="G62" s="748"/>
      <c r="H62" s="748"/>
      <c r="I62" s="748"/>
    </row>
  </sheetData>
  <mergeCells count="47">
    <mergeCell ref="A54:I54"/>
    <mergeCell ref="A61:I61"/>
    <mergeCell ref="A62:I62"/>
    <mergeCell ref="F46:G46"/>
    <mergeCell ref="H46:I46"/>
    <mergeCell ref="A48:I48"/>
    <mergeCell ref="A49:I49"/>
    <mergeCell ref="A51:I51"/>
    <mergeCell ref="A53:I53"/>
    <mergeCell ref="A55:I55"/>
    <mergeCell ref="A50:I50"/>
    <mergeCell ref="A52:I52"/>
    <mergeCell ref="A57:I57"/>
    <mergeCell ref="A58:I58"/>
    <mergeCell ref="A59:I59"/>
    <mergeCell ref="A60:I60"/>
    <mergeCell ref="A45:C45"/>
    <mergeCell ref="F45:G45"/>
    <mergeCell ref="H45:I45"/>
    <mergeCell ref="A46:C46"/>
    <mergeCell ref="A47:I47"/>
    <mergeCell ref="A44:C44"/>
    <mergeCell ref="F44:G44"/>
    <mergeCell ref="H44:I44"/>
    <mergeCell ref="A43:C43"/>
    <mergeCell ref="F43:G43"/>
    <mergeCell ref="H43:I43"/>
    <mergeCell ref="H42:I42"/>
    <mergeCell ref="G6:H6"/>
    <mergeCell ref="A7:A8"/>
    <mergeCell ref="B7:B8"/>
    <mergeCell ref="C7:C8"/>
    <mergeCell ref="D7:D8"/>
    <mergeCell ref="E7:F7"/>
    <mergeCell ref="G7:H7"/>
    <mergeCell ref="A6:C6"/>
    <mergeCell ref="D6:F6"/>
    <mergeCell ref="A42:C42"/>
    <mergeCell ref="F42:G42"/>
    <mergeCell ref="I3:I5"/>
    <mergeCell ref="D4:G4"/>
    <mergeCell ref="D5:G5"/>
    <mergeCell ref="A1:B5"/>
    <mergeCell ref="C1:G1"/>
    <mergeCell ref="C2:G2"/>
    <mergeCell ref="C3:G3"/>
    <mergeCell ref="H3:H5"/>
  </mergeCells>
  <phoneticPr fontId="1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A1DFE-4BF4-42F9-853C-15E1E980779C}">
  <dimension ref="A1:L57"/>
  <sheetViews>
    <sheetView workbookViewId="0">
      <selection activeCell="C10" sqref="C10"/>
    </sheetView>
  </sheetViews>
  <sheetFormatPr baseColWidth="10" defaultRowHeight="15"/>
  <cols>
    <col min="3" max="3" width="49" customWidth="1"/>
    <col min="4" max="4" width="34.28515625" bestFit="1" customWidth="1"/>
    <col min="8" max="8" width="47.5703125" bestFit="1" customWidth="1"/>
    <col min="9" max="9" width="18.140625" bestFit="1" customWidth="1"/>
  </cols>
  <sheetData>
    <row r="1" spans="1:12" ht="15.75">
      <c r="A1" s="677"/>
      <c r="B1" s="678"/>
      <c r="C1" s="683" t="s">
        <v>30</v>
      </c>
      <c r="D1" s="683"/>
      <c r="E1" s="683"/>
      <c r="F1" s="683"/>
      <c r="G1" s="683"/>
      <c r="H1" s="120" t="s">
        <v>29</v>
      </c>
      <c r="I1" s="355" t="s">
        <v>215</v>
      </c>
    </row>
    <row r="2" spans="1:12" ht="16.5" thickBot="1">
      <c r="A2" s="679"/>
      <c r="B2" s="680"/>
      <c r="C2" s="684" t="s">
        <v>28</v>
      </c>
      <c r="D2" s="685"/>
      <c r="E2" s="685"/>
      <c r="F2" s="685"/>
      <c r="G2" s="686"/>
      <c r="H2" s="122" t="s">
        <v>27</v>
      </c>
      <c r="I2" s="123" t="s">
        <v>206</v>
      </c>
    </row>
    <row r="3" spans="1:12" ht="18.75" thickBot="1">
      <c r="A3" s="679"/>
      <c r="B3" s="680"/>
      <c r="C3" s="709" t="s">
        <v>216</v>
      </c>
      <c r="D3" s="710"/>
      <c r="E3" s="710"/>
      <c r="F3" s="710"/>
      <c r="G3" s="711"/>
      <c r="H3" s="690" t="s">
        <v>26</v>
      </c>
      <c r="I3" s="668">
        <v>45618</v>
      </c>
    </row>
    <row r="4" spans="1:12">
      <c r="A4" s="679"/>
      <c r="B4" s="680"/>
      <c r="C4" s="124" t="s">
        <v>25</v>
      </c>
      <c r="D4" s="671" t="s">
        <v>186</v>
      </c>
      <c r="E4" s="672"/>
      <c r="F4" s="672"/>
      <c r="G4" s="673"/>
      <c r="H4" s="691"/>
      <c r="I4" s="669"/>
    </row>
    <row r="5" spans="1:12" ht="15.75" thickBot="1">
      <c r="A5" s="681"/>
      <c r="B5" s="682"/>
      <c r="C5" s="125" t="s">
        <v>24</v>
      </c>
      <c r="D5" s="674" t="s">
        <v>187</v>
      </c>
      <c r="E5" s="675"/>
      <c r="F5" s="675"/>
      <c r="G5" s="676"/>
      <c r="H5" s="692"/>
      <c r="I5" s="670"/>
    </row>
    <row r="6" spans="1:12" ht="18.75" thickBot="1">
      <c r="A6" s="659" t="s">
        <v>23</v>
      </c>
      <c r="B6" s="659"/>
      <c r="C6" s="659"/>
      <c r="D6" s="771" t="s">
        <v>217</v>
      </c>
      <c r="E6" s="771"/>
      <c r="F6" s="771"/>
      <c r="G6" s="661" t="s">
        <v>22</v>
      </c>
      <c r="H6" s="661"/>
      <c r="I6" s="356" t="s">
        <v>217</v>
      </c>
    </row>
    <row r="7" spans="1:12">
      <c r="A7" s="662" t="s">
        <v>21</v>
      </c>
      <c r="B7" s="664" t="s">
        <v>31</v>
      </c>
      <c r="C7" s="666" t="s">
        <v>20</v>
      </c>
      <c r="D7" s="666" t="s">
        <v>19</v>
      </c>
      <c r="E7" s="666" t="s">
        <v>18</v>
      </c>
      <c r="F7" s="666"/>
      <c r="G7" s="666" t="s">
        <v>17</v>
      </c>
      <c r="H7" s="666"/>
      <c r="I7" s="126" t="s">
        <v>16</v>
      </c>
    </row>
    <row r="8" spans="1:12" ht="27" thickBot="1">
      <c r="A8" s="663"/>
      <c r="B8" s="665"/>
      <c r="C8" s="667"/>
      <c r="D8" s="667"/>
      <c r="E8" s="127" t="s">
        <v>13</v>
      </c>
      <c r="F8" s="128" t="s">
        <v>15</v>
      </c>
      <c r="G8" s="127" t="s">
        <v>13</v>
      </c>
      <c r="H8" s="128" t="s">
        <v>15</v>
      </c>
      <c r="I8" s="129" t="s">
        <v>14</v>
      </c>
    </row>
    <row r="9" spans="1:12">
      <c r="A9" s="357"/>
      <c r="B9" s="358"/>
      <c r="C9" s="359" t="s">
        <v>32</v>
      </c>
      <c r="D9" s="360"/>
      <c r="E9" s="361"/>
      <c r="F9" s="362"/>
      <c r="G9" s="361"/>
      <c r="H9" s="362"/>
      <c r="I9" s="363"/>
    </row>
    <row r="10" spans="1:12">
      <c r="A10" s="364" t="s">
        <v>218</v>
      </c>
      <c r="B10" s="365" t="s">
        <v>219</v>
      </c>
      <c r="C10" s="86" t="s">
        <v>220</v>
      </c>
      <c r="D10" s="366" t="s">
        <v>36</v>
      </c>
      <c r="E10" s="367">
        <v>46000</v>
      </c>
      <c r="F10" s="368" t="s">
        <v>1</v>
      </c>
      <c r="G10" s="369"/>
      <c r="H10" s="370"/>
      <c r="I10" s="363"/>
      <c r="K10">
        <f>+E10/D41</f>
        <v>313.4065934065934</v>
      </c>
      <c r="L10">
        <f>+K10/1000</f>
        <v>0.31340659340659338</v>
      </c>
    </row>
    <row r="11" spans="1:12">
      <c r="A11" s="366">
        <v>902000019</v>
      </c>
      <c r="B11" s="366"/>
      <c r="C11" s="371" t="s">
        <v>221</v>
      </c>
      <c r="D11" s="366" t="s">
        <v>36</v>
      </c>
      <c r="E11" s="367">
        <v>2600</v>
      </c>
      <c r="F11" s="368" t="s">
        <v>1</v>
      </c>
      <c r="G11" s="369"/>
      <c r="H11" s="370"/>
      <c r="I11" s="363"/>
      <c r="K11">
        <f>+E11/D41</f>
        <v>17.714285714285712</v>
      </c>
    </row>
    <row r="12" spans="1:12">
      <c r="A12" s="366"/>
      <c r="B12" s="366"/>
      <c r="C12" s="371"/>
      <c r="D12" s="366"/>
      <c r="E12" s="367"/>
      <c r="F12" s="368"/>
      <c r="G12" s="369"/>
      <c r="H12" s="370"/>
      <c r="I12" s="363"/>
    </row>
    <row r="13" spans="1:12">
      <c r="A13" s="366"/>
      <c r="B13" s="366"/>
      <c r="C13" s="371"/>
      <c r="D13" s="366"/>
      <c r="E13" s="367"/>
      <c r="F13" s="368"/>
      <c r="G13" s="369"/>
      <c r="H13" s="370"/>
      <c r="I13" s="363"/>
    </row>
    <row r="14" spans="1:12">
      <c r="A14" s="366"/>
      <c r="B14" s="366"/>
      <c r="C14" s="371"/>
      <c r="D14" s="366"/>
      <c r="E14" s="367"/>
      <c r="F14" s="368"/>
      <c r="G14" s="369"/>
      <c r="H14" s="370"/>
      <c r="I14" s="363"/>
    </row>
    <row r="15" spans="1:12">
      <c r="A15" s="366"/>
      <c r="B15" s="366"/>
      <c r="C15" s="371"/>
      <c r="D15" s="366"/>
      <c r="E15" s="367"/>
      <c r="F15" s="368"/>
      <c r="G15" s="369"/>
      <c r="H15" s="370"/>
      <c r="I15" s="363"/>
    </row>
    <row r="16" spans="1:12">
      <c r="A16" s="366"/>
      <c r="B16" s="366"/>
      <c r="C16" s="371"/>
      <c r="D16" s="366"/>
      <c r="E16" s="367"/>
      <c r="F16" s="368"/>
      <c r="G16" s="369"/>
      <c r="H16" s="370"/>
      <c r="I16" s="363"/>
    </row>
    <row r="17" spans="1:11">
      <c r="A17" s="366"/>
      <c r="B17" s="366"/>
      <c r="C17" s="371"/>
      <c r="D17" s="366"/>
      <c r="E17" s="367"/>
      <c r="F17" s="368"/>
      <c r="G17" s="369"/>
      <c r="H17" s="370"/>
      <c r="I17" s="363"/>
    </row>
    <row r="18" spans="1:11">
      <c r="A18" s="366"/>
      <c r="B18" s="366"/>
      <c r="C18" s="371"/>
      <c r="D18" s="366"/>
      <c r="E18" s="367"/>
      <c r="F18" s="368"/>
      <c r="G18" s="369"/>
      <c r="H18" s="370"/>
      <c r="I18" s="363"/>
    </row>
    <row r="19" spans="1:11">
      <c r="A19" s="366"/>
      <c r="B19" s="366"/>
      <c r="C19" s="371"/>
      <c r="D19" s="366"/>
      <c r="E19" s="367"/>
      <c r="F19" s="368"/>
      <c r="G19" s="369"/>
      <c r="H19" s="370"/>
      <c r="I19" s="363"/>
      <c r="K19" s="78">
        <f>SUM(E10:E11)</f>
        <v>48600</v>
      </c>
    </row>
    <row r="20" spans="1:11" ht="15.75">
      <c r="A20" s="372"/>
      <c r="B20" s="372"/>
      <c r="C20" s="86"/>
      <c r="D20" s="1"/>
      <c r="E20" s="1"/>
      <c r="F20" s="1"/>
      <c r="G20" s="373"/>
      <c r="H20" s="370"/>
      <c r="I20" s="363"/>
    </row>
    <row r="21" spans="1:11" ht="15.75">
      <c r="A21" s="374"/>
      <c r="B21" s="375"/>
      <c r="C21" s="305" t="s">
        <v>39</v>
      </c>
      <c r="D21" s="1"/>
      <c r="E21" s="1"/>
      <c r="F21" s="1"/>
      <c r="G21" s="373"/>
      <c r="H21" s="370"/>
      <c r="I21" s="363"/>
    </row>
    <row r="22" spans="1:11">
      <c r="A22" s="364"/>
      <c r="B22" s="365"/>
      <c r="C22" s="86"/>
      <c r="D22" s="376"/>
      <c r="E22" s="376"/>
      <c r="F22" s="376"/>
      <c r="G22" s="361"/>
      <c r="H22" s="370"/>
      <c r="I22" s="363"/>
    </row>
    <row r="23" spans="1:11">
      <c r="A23" s="377"/>
      <c r="B23" s="372"/>
      <c r="C23" s="86"/>
      <c r="D23" s="376"/>
      <c r="E23" s="376"/>
      <c r="F23" s="376"/>
      <c r="G23" s="361"/>
      <c r="H23" s="370"/>
      <c r="I23" s="363"/>
    </row>
    <row r="24" spans="1:11">
      <c r="A24" s="377"/>
      <c r="B24" s="372"/>
      <c r="C24" s="86"/>
      <c r="D24" s="376"/>
      <c r="E24" s="376"/>
      <c r="F24" s="376"/>
      <c r="G24" s="361"/>
      <c r="H24" s="370"/>
      <c r="I24" s="363"/>
    </row>
    <row r="25" spans="1:11" ht="15.75">
      <c r="A25" s="374"/>
      <c r="B25" s="375"/>
      <c r="C25" s="305"/>
      <c r="D25" s="48"/>
      <c r="E25" s="378"/>
      <c r="F25" s="379"/>
      <c r="G25" s="361"/>
      <c r="H25" s="370"/>
      <c r="I25" s="363"/>
    </row>
    <row r="26" spans="1:11">
      <c r="A26" s="380"/>
      <c r="B26" s="381"/>
      <c r="C26" s="382"/>
      <c r="D26" s="383"/>
      <c r="E26" s="384"/>
      <c r="F26" s="385"/>
      <c r="G26" s="361"/>
      <c r="H26" s="370"/>
      <c r="I26" s="363"/>
    </row>
    <row r="27" spans="1:11">
      <c r="A27" s="365"/>
      <c r="B27" s="365"/>
      <c r="C27" s="86"/>
      <c r="D27" s="386"/>
      <c r="E27" s="387"/>
      <c r="F27" s="388"/>
      <c r="G27" s="361"/>
      <c r="H27" s="370"/>
      <c r="I27" s="363"/>
    </row>
    <row r="28" spans="1:11" ht="15.75">
      <c r="A28" s="389"/>
      <c r="B28" s="390"/>
      <c r="C28" s="320" t="s">
        <v>105</v>
      </c>
      <c r="D28" s="391"/>
      <c r="E28" s="392"/>
      <c r="F28" s="362"/>
      <c r="G28" s="361"/>
      <c r="H28" s="370"/>
      <c r="I28" s="363"/>
    </row>
    <row r="29" spans="1:11">
      <c r="A29" s="393">
        <v>702007</v>
      </c>
      <c r="B29" s="394" t="s">
        <v>65</v>
      </c>
      <c r="C29" s="395" t="s">
        <v>222</v>
      </c>
      <c r="D29" s="396" t="s">
        <v>223</v>
      </c>
      <c r="E29" s="397">
        <v>11.821428571428571</v>
      </c>
      <c r="F29" s="4" t="s">
        <v>37</v>
      </c>
      <c r="G29" s="398"/>
      <c r="H29" s="370"/>
      <c r="I29" s="363"/>
    </row>
    <row r="30" spans="1:11">
      <c r="A30" s="393">
        <v>702123</v>
      </c>
      <c r="B30" s="394" t="s">
        <v>71</v>
      </c>
      <c r="C30" s="395" t="s">
        <v>76</v>
      </c>
      <c r="D30" s="396" t="s">
        <v>36</v>
      </c>
      <c r="E30" s="397">
        <v>10</v>
      </c>
      <c r="F30" s="4" t="s">
        <v>37</v>
      </c>
      <c r="G30" s="398"/>
      <c r="H30" s="370"/>
      <c r="I30" s="363"/>
    </row>
    <row r="31" spans="1:11">
      <c r="A31" s="399"/>
      <c r="B31" s="365" t="s">
        <v>224</v>
      </c>
      <c r="C31" t="s">
        <v>225</v>
      </c>
      <c r="D31" s="396"/>
      <c r="E31" s="397">
        <v>17</v>
      </c>
      <c r="F31" s="4" t="s">
        <v>226</v>
      </c>
      <c r="G31" s="398"/>
      <c r="H31" s="370"/>
      <c r="I31" s="363"/>
    </row>
    <row r="32" spans="1:11">
      <c r="A32" s="400"/>
      <c r="B32" s="400"/>
      <c r="C32" s="401"/>
      <c r="D32" s="396"/>
      <c r="E32" s="397"/>
      <c r="F32" s="4"/>
      <c r="G32" s="361"/>
      <c r="H32" s="370"/>
      <c r="I32" s="363"/>
    </row>
    <row r="33" spans="1:9">
      <c r="A33" s="400"/>
      <c r="B33" s="400"/>
      <c r="C33" s="401"/>
      <c r="D33" s="396"/>
      <c r="E33" s="397"/>
      <c r="F33" s="4"/>
      <c r="G33" s="361"/>
      <c r="H33" s="370"/>
      <c r="I33" s="363"/>
    </row>
    <row r="34" spans="1:9">
      <c r="A34" s="400"/>
      <c r="B34" s="400"/>
      <c r="C34" s="401"/>
      <c r="D34" s="396"/>
      <c r="E34" s="397"/>
      <c r="F34" s="4"/>
      <c r="G34" s="402"/>
      <c r="H34" s="370"/>
      <c r="I34" s="363"/>
    </row>
    <row r="35" spans="1:9" ht="15.75">
      <c r="A35" s="400"/>
      <c r="B35" s="400"/>
      <c r="C35" s="401"/>
      <c r="D35" s="1"/>
      <c r="E35" s="397"/>
      <c r="F35" s="4"/>
      <c r="G35" s="49"/>
      <c r="H35" s="370"/>
      <c r="I35" s="363"/>
    </row>
    <row r="36" spans="1:9">
      <c r="A36" s="403"/>
      <c r="B36" s="403"/>
      <c r="C36" s="404"/>
      <c r="D36" s="396"/>
      <c r="E36" s="388"/>
      <c r="F36" s="388"/>
      <c r="G36" s="49"/>
      <c r="H36" s="362"/>
      <c r="I36" s="363"/>
    </row>
    <row r="37" spans="1:9" ht="15.75" thickBot="1">
      <c r="A37" s="405"/>
      <c r="B37" s="406"/>
      <c r="C37" s="407" t="s">
        <v>227</v>
      </c>
      <c r="D37" s="407"/>
      <c r="E37" s="408"/>
      <c r="F37" s="409"/>
      <c r="G37" s="407"/>
      <c r="H37" s="407"/>
      <c r="I37" s="410"/>
    </row>
    <row r="38" spans="1:9" ht="15.75" thickBot="1">
      <c r="A38" s="411"/>
      <c r="B38" s="412"/>
      <c r="C38" s="413" t="s">
        <v>227</v>
      </c>
      <c r="D38" s="414" t="s">
        <v>13</v>
      </c>
      <c r="E38" s="415" t="s">
        <v>12</v>
      </c>
      <c r="F38" s="416"/>
      <c r="G38" s="413"/>
      <c r="H38" s="413"/>
      <c r="I38" s="417"/>
    </row>
    <row r="39" spans="1:9">
      <c r="A39" s="772" t="s">
        <v>11</v>
      </c>
      <c r="B39" s="773"/>
      <c r="C39" s="774"/>
      <c r="D39" s="418">
        <v>45500</v>
      </c>
      <c r="E39" s="419" t="s">
        <v>1</v>
      </c>
      <c r="F39" s="775" t="s">
        <v>10</v>
      </c>
      <c r="G39" s="775"/>
      <c r="H39" s="776"/>
      <c r="I39" s="777"/>
    </row>
    <row r="40" spans="1:9">
      <c r="A40" s="778" t="s">
        <v>9</v>
      </c>
      <c r="B40" s="779"/>
      <c r="C40" s="780"/>
      <c r="D40" s="387">
        <v>50</v>
      </c>
      <c r="E40" s="373" t="s">
        <v>8</v>
      </c>
      <c r="F40" s="781" t="s">
        <v>7</v>
      </c>
      <c r="G40" s="781"/>
      <c r="H40" s="782"/>
      <c r="I40" s="783"/>
    </row>
    <row r="41" spans="1:9">
      <c r="A41" s="778" t="s">
        <v>6</v>
      </c>
      <c r="B41" s="779"/>
      <c r="C41" s="780"/>
      <c r="D41" s="387">
        <f>D39/D42</f>
        <v>146.7741935483871</v>
      </c>
      <c r="E41" s="373" t="s">
        <v>37</v>
      </c>
      <c r="F41" s="781" t="s">
        <v>5</v>
      </c>
      <c r="G41" s="781"/>
      <c r="H41" s="782"/>
      <c r="I41" s="783"/>
    </row>
    <row r="42" spans="1:9">
      <c r="A42" s="778" t="s">
        <v>4</v>
      </c>
      <c r="B42" s="779"/>
      <c r="C42" s="780"/>
      <c r="D42" s="387">
        <v>310</v>
      </c>
      <c r="E42" s="373" t="s">
        <v>1</v>
      </c>
      <c r="F42" s="784" t="s">
        <v>3</v>
      </c>
      <c r="G42" s="785"/>
      <c r="H42" s="786"/>
      <c r="I42" s="787"/>
    </row>
    <row r="43" spans="1:9" ht="15.75" thickBot="1">
      <c r="A43" s="791" t="s">
        <v>2</v>
      </c>
      <c r="B43" s="792"/>
      <c r="C43" s="793"/>
      <c r="D43" s="420">
        <f>SUM(E10:E11)-D39</f>
        <v>3100</v>
      </c>
      <c r="E43" s="421" t="s">
        <v>1</v>
      </c>
      <c r="F43" s="794"/>
      <c r="G43" s="794"/>
      <c r="H43" s="782"/>
      <c r="I43" s="783"/>
    </row>
    <row r="44" spans="1:9" ht="15.75" thickBot="1">
      <c r="A44" s="795" t="s">
        <v>0</v>
      </c>
      <c r="B44" s="796"/>
      <c r="C44" s="796"/>
      <c r="D44" s="796"/>
      <c r="E44" s="796"/>
      <c r="F44" s="796"/>
      <c r="G44" s="796"/>
      <c r="H44" s="796"/>
      <c r="I44" s="797"/>
    </row>
    <row r="45" spans="1:9">
      <c r="A45" s="798" t="s">
        <v>228</v>
      </c>
      <c r="B45" s="799"/>
      <c r="C45" s="799"/>
      <c r="D45" s="799"/>
      <c r="E45" s="799"/>
      <c r="F45" s="799"/>
      <c r="G45" s="799"/>
      <c r="H45" s="799"/>
      <c r="I45" s="800"/>
    </row>
    <row r="46" spans="1:9">
      <c r="A46" s="801" t="s">
        <v>229</v>
      </c>
      <c r="B46" s="802"/>
      <c r="C46" s="802"/>
      <c r="D46" s="802"/>
      <c r="E46" s="802"/>
      <c r="F46" s="802"/>
      <c r="G46" s="802"/>
      <c r="H46" s="802"/>
      <c r="I46" s="803"/>
    </row>
    <row r="47" spans="1:9" ht="15.75" thickBot="1">
      <c r="A47" s="804" t="s">
        <v>230</v>
      </c>
      <c r="B47" s="805"/>
      <c r="C47" s="805"/>
      <c r="D47" s="805"/>
      <c r="E47" s="805"/>
      <c r="F47" s="805"/>
      <c r="G47" s="805"/>
      <c r="H47" s="805"/>
      <c r="I47" s="806"/>
    </row>
    <row r="48" spans="1:9">
      <c r="A48" s="807" t="s">
        <v>231</v>
      </c>
      <c r="B48" s="808"/>
      <c r="C48" s="808"/>
      <c r="D48" s="808"/>
      <c r="E48" s="808"/>
      <c r="F48" s="808"/>
      <c r="G48" s="808"/>
      <c r="H48" s="808"/>
      <c r="I48" s="809"/>
    </row>
    <row r="49" spans="1:9">
      <c r="A49" s="810"/>
      <c r="B49" s="811"/>
      <c r="C49" s="811"/>
      <c r="D49" s="811"/>
      <c r="E49" s="811"/>
      <c r="F49" s="811"/>
      <c r="G49" s="811"/>
      <c r="H49" s="811"/>
      <c r="I49" s="812"/>
    </row>
    <row r="50" spans="1:9">
      <c r="A50" s="813"/>
      <c r="B50" s="789"/>
      <c r="C50" s="789"/>
      <c r="D50" s="789"/>
      <c r="E50" s="789"/>
      <c r="F50" s="789"/>
      <c r="G50" s="789"/>
      <c r="H50" s="789"/>
      <c r="I50" s="814"/>
    </row>
    <row r="51" spans="1:9">
      <c r="A51" s="788"/>
      <c r="B51" s="789"/>
      <c r="C51" s="789"/>
      <c r="D51" s="789"/>
      <c r="E51" s="789"/>
      <c r="F51" s="789"/>
      <c r="G51" s="789"/>
      <c r="H51" s="789"/>
      <c r="I51" s="790"/>
    </row>
    <row r="52" spans="1:9">
      <c r="A52" s="788"/>
      <c r="B52" s="789"/>
      <c r="C52" s="789"/>
      <c r="D52" s="789"/>
      <c r="E52" s="789"/>
      <c r="F52" s="789"/>
      <c r="G52" s="789"/>
      <c r="H52" s="789"/>
      <c r="I52" s="790"/>
    </row>
    <row r="53" spans="1:9">
      <c r="A53" s="788"/>
      <c r="B53" s="789"/>
      <c r="C53" s="789"/>
      <c r="D53" s="789"/>
      <c r="E53" s="789"/>
      <c r="F53" s="789"/>
      <c r="G53" s="789"/>
      <c r="H53" s="789"/>
      <c r="I53" s="790"/>
    </row>
    <row r="54" spans="1:9" ht="15.75" thickBot="1">
      <c r="A54" s="788"/>
      <c r="B54" s="789"/>
      <c r="C54" s="789"/>
      <c r="D54" s="789"/>
      <c r="E54" s="789"/>
      <c r="F54" s="789"/>
      <c r="G54" s="789"/>
      <c r="H54" s="789"/>
      <c r="I54" s="790"/>
    </row>
    <row r="55" spans="1:9">
      <c r="A55" s="769" t="s">
        <v>33</v>
      </c>
      <c r="B55" s="770"/>
      <c r="C55" s="770"/>
      <c r="D55" s="770"/>
      <c r="E55" s="770"/>
      <c r="F55" s="770"/>
      <c r="G55" s="770"/>
      <c r="H55" s="770"/>
      <c r="I55" s="770"/>
    </row>
    <row r="56" spans="1:9">
      <c r="A56" s="674" t="s">
        <v>232</v>
      </c>
      <c r="B56" s="675"/>
      <c r="C56" s="675"/>
      <c r="D56" s="675"/>
      <c r="E56" s="675"/>
      <c r="F56" s="675"/>
      <c r="G56" s="675"/>
      <c r="H56" s="675"/>
      <c r="I56" s="676"/>
    </row>
    <row r="57" spans="1:9">
      <c r="A57" s="747"/>
      <c r="B57" s="748"/>
      <c r="C57" s="748"/>
      <c r="D57" s="748"/>
      <c r="E57" s="748"/>
      <c r="F57" s="748"/>
      <c r="G57" s="748"/>
      <c r="H57" s="748"/>
      <c r="I57" s="748"/>
    </row>
  </sheetData>
  <mergeCells count="46">
    <mergeCell ref="A53:I53"/>
    <mergeCell ref="A54:I54"/>
    <mergeCell ref="A55:I55"/>
    <mergeCell ref="A56:I56"/>
    <mergeCell ref="A57:I57"/>
    <mergeCell ref="A52:I52"/>
    <mergeCell ref="A43:C43"/>
    <mergeCell ref="F43:G43"/>
    <mergeCell ref="H43:I43"/>
    <mergeCell ref="A44:I44"/>
    <mergeCell ref="A45:I45"/>
    <mergeCell ref="A46:I46"/>
    <mergeCell ref="A47:I47"/>
    <mergeCell ref="A48:I48"/>
    <mergeCell ref="A49:I49"/>
    <mergeCell ref="A50:I50"/>
    <mergeCell ref="A51:I51"/>
    <mergeCell ref="A41:C41"/>
    <mergeCell ref="F41:G41"/>
    <mergeCell ref="H41:I41"/>
    <mergeCell ref="A42:C42"/>
    <mergeCell ref="F42:G42"/>
    <mergeCell ref="H42:I42"/>
    <mergeCell ref="A39:C39"/>
    <mergeCell ref="F39:G39"/>
    <mergeCell ref="H39:I39"/>
    <mergeCell ref="A40:C40"/>
    <mergeCell ref="F40:G40"/>
    <mergeCell ref="H40:I40"/>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2776-D258-46C4-BCF3-5C8276C5F527}">
  <dimension ref="A1:K33"/>
  <sheetViews>
    <sheetView zoomScale="70" zoomScaleNormal="70" workbookViewId="0">
      <selection activeCell="C11" sqref="C11"/>
    </sheetView>
  </sheetViews>
  <sheetFormatPr baseColWidth="10" defaultRowHeight="15"/>
  <cols>
    <col min="1" max="1" width="16.85546875" bestFit="1" customWidth="1"/>
    <col min="2" max="2" width="16.42578125" customWidth="1"/>
    <col min="3" max="3" width="67" customWidth="1"/>
    <col min="4" max="4" width="23" customWidth="1"/>
    <col min="7" max="7" width="22" customWidth="1"/>
    <col min="8" max="8" width="15.28515625" customWidth="1"/>
    <col min="9" max="9" width="18.140625" bestFit="1" customWidth="1"/>
  </cols>
  <sheetData>
    <row r="1" spans="1:11" ht="15.75">
      <c r="A1" s="677"/>
      <c r="B1" s="678"/>
      <c r="C1" s="683" t="s">
        <v>30</v>
      </c>
      <c r="D1" s="683"/>
      <c r="E1" s="683"/>
      <c r="F1" s="683"/>
      <c r="G1" s="683"/>
      <c r="H1" s="120" t="s">
        <v>29</v>
      </c>
      <c r="I1" s="355" t="s">
        <v>233</v>
      </c>
    </row>
    <row r="2" spans="1:11" ht="16.5" thickBot="1">
      <c r="A2" s="679"/>
      <c r="B2" s="680"/>
      <c r="C2" s="684" t="s">
        <v>28</v>
      </c>
      <c r="D2" s="685"/>
      <c r="E2" s="685"/>
      <c r="F2" s="685"/>
      <c r="G2" s="686"/>
      <c r="H2" s="122" t="s">
        <v>27</v>
      </c>
      <c r="I2" s="123" t="s">
        <v>184</v>
      </c>
    </row>
    <row r="3" spans="1:11" ht="24" thickBot="1">
      <c r="A3" s="679"/>
      <c r="B3" s="680"/>
      <c r="C3" s="815" t="s">
        <v>234</v>
      </c>
      <c r="D3" s="816"/>
      <c r="E3" s="816"/>
      <c r="F3" s="816"/>
      <c r="G3" s="817"/>
      <c r="H3" s="690" t="s">
        <v>26</v>
      </c>
      <c r="I3" s="668">
        <v>45980</v>
      </c>
    </row>
    <row r="4" spans="1:11">
      <c r="A4" s="679"/>
      <c r="B4" s="680"/>
      <c r="C4" s="124" t="s">
        <v>25</v>
      </c>
      <c r="D4" s="671" t="s">
        <v>186</v>
      </c>
      <c r="E4" s="672"/>
      <c r="F4" s="672"/>
      <c r="G4" s="673"/>
      <c r="H4" s="691"/>
      <c r="I4" s="669"/>
    </row>
    <row r="5" spans="1:11" ht="15.75" thickBot="1">
      <c r="A5" s="681"/>
      <c r="B5" s="682"/>
      <c r="C5" s="125" t="s">
        <v>24</v>
      </c>
      <c r="D5" s="674" t="s">
        <v>187</v>
      </c>
      <c r="E5" s="675"/>
      <c r="F5" s="675"/>
      <c r="G5" s="676"/>
      <c r="H5" s="692"/>
      <c r="I5" s="670"/>
    </row>
    <row r="6" spans="1:11" ht="18.75" thickBot="1">
      <c r="A6" s="659" t="s">
        <v>23</v>
      </c>
      <c r="B6" s="659"/>
      <c r="C6" s="659"/>
      <c r="D6" s="660" t="s">
        <v>217</v>
      </c>
      <c r="E6" s="660"/>
      <c r="F6" s="660"/>
      <c r="G6" s="661" t="s">
        <v>22</v>
      </c>
      <c r="H6" s="661"/>
      <c r="I6" s="11" t="s">
        <v>217</v>
      </c>
    </row>
    <row r="7" spans="1:11">
      <c r="A7" s="662" t="s">
        <v>21</v>
      </c>
      <c r="B7" s="664" t="s">
        <v>31</v>
      </c>
      <c r="C7" s="666" t="s">
        <v>20</v>
      </c>
      <c r="D7" s="666" t="s">
        <v>19</v>
      </c>
      <c r="E7" s="666" t="s">
        <v>18</v>
      </c>
      <c r="F7" s="666"/>
      <c r="G7" s="666" t="s">
        <v>17</v>
      </c>
      <c r="H7" s="666"/>
      <c r="I7" s="126" t="s">
        <v>16</v>
      </c>
    </row>
    <row r="8" spans="1:11" ht="27" thickBot="1">
      <c r="A8" s="663"/>
      <c r="B8" s="665"/>
      <c r="C8" s="667"/>
      <c r="D8" s="667"/>
      <c r="E8" s="127" t="s">
        <v>13</v>
      </c>
      <c r="F8" s="128" t="s">
        <v>15</v>
      </c>
      <c r="G8" s="127" t="s">
        <v>13</v>
      </c>
      <c r="H8" s="128" t="s">
        <v>15</v>
      </c>
      <c r="I8" s="129" t="s">
        <v>14</v>
      </c>
    </row>
    <row r="9" spans="1:11" ht="20.25">
      <c r="A9" s="130"/>
      <c r="B9" s="131"/>
      <c r="C9" s="132" t="s">
        <v>32</v>
      </c>
      <c r="D9" s="133"/>
      <c r="E9" s="105"/>
      <c r="F9" s="106"/>
      <c r="G9" s="105"/>
      <c r="H9" s="106"/>
      <c r="I9" s="134"/>
    </row>
    <row r="10" spans="1:11" ht="20.25">
      <c r="A10" s="422">
        <v>906000136</v>
      </c>
      <c r="B10" s="151" t="s">
        <v>235</v>
      </c>
      <c r="C10" s="423" t="s">
        <v>236</v>
      </c>
      <c r="D10" s="342" t="s">
        <v>36</v>
      </c>
      <c r="E10" s="424">
        <v>26860</v>
      </c>
      <c r="F10" s="344" t="s">
        <v>1</v>
      </c>
      <c r="G10" s="137"/>
      <c r="H10" s="138"/>
      <c r="I10" s="134"/>
      <c r="J10">
        <f>+E10/$D$20</f>
        <v>0.57763440860215054</v>
      </c>
    </row>
    <row r="11" spans="1:11" ht="20.25">
      <c r="A11" s="342" t="s">
        <v>237</v>
      </c>
      <c r="B11" s="342" t="s">
        <v>238</v>
      </c>
      <c r="C11" s="425" t="s">
        <v>239</v>
      </c>
      <c r="D11" s="342" t="s">
        <v>240</v>
      </c>
      <c r="E11" s="424">
        <v>4700</v>
      </c>
      <c r="F11" s="344" t="s">
        <v>1</v>
      </c>
      <c r="G11" s="137"/>
      <c r="H11" s="138"/>
      <c r="I11" s="134"/>
      <c r="J11">
        <f>+E11/$D$20</f>
        <v>0.1010752688172043</v>
      </c>
      <c r="K11">
        <f>+J11*1000</f>
        <v>101.0752688172043</v>
      </c>
    </row>
    <row r="12" spans="1:11" ht="20.25">
      <c r="A12" s="342" t="s">
        <v>196</v>
      </c>
      <c r="B12" s="342"/>
      <c r="C12" s="425" t="s">
        <v>197</v>
      </c>
      <c r="D12" s="342" t="s">
        <v>36</v>
      </c>
      <c r="E12" s="424">
        <v>13395</v>
      </c>
      <c r="F12" s="344" t="s">
        <v>1</v>
      </c>
      <c r="G12" s="137"/>
      <c r="H12" s="138"/>
      <c r="I12" s="134"/>
      <c r="J12">
        <f>+E12/$D$20</f>
        <v>0.28806451612903228</v>
      </c>
      <c r="K12">
        <f>+J12*1000</f>
        <v>288.06451612903226</v>
      </c>
    </row>
    <row r="13" spans="1:11" ht="20.25">
      <c r="A13" s="342">
        <v>10100050</v>
      </c>
      <c r="B13" s="342" t="s">
        <v>241</v>
      </c>
      <c r="C13" s="425" t="s">
        <v>242</v>
      </c>
      <c r="D13" s="342" t="s">
        <v>243</v>
      </c>
      <c r="E13" s="424">
        <v>1400</v>
      </c>
      <c r="F13" s="344" t="s">
        <v>1</v>
      </c>
      <c r="G13" s="137"/>
      <c r="H13" s="426"/>
      <c r="I13" s="134"/>
      <c r="J13">
        <f>+E13/$D$20</f>
        <v>3.0107526881720432E-2</v>
      </c>
      <c r="K13">
        <f>+J13*1000</f>
        <v>30.107526881720432</v>
      </c>
    </row>
    <row r="14" spans="1:11" ht="20.25">
      <c r="A14" s="342" t="s">
        <v>244</v>
      </c>
      <c r="B14" s="342" t="s">
        <v>245</v>
      </c>
      <c r="C14" s="425" t="s">
        <v>246</v>
      </c>
      <c r="D14" s="342" t="s">
        <v>247</v>
      </c>
      <c r="E14" s="424">
        <v>370</v>
      </c>
      <c r="F14" s="344" t="s">
        <v>1</v>
      </c>
      <c r="G14" s="137"/>
      <c r="H14" s="138"/>
      <c r="I14" s="134"/>
      <c r="J14">
        <f>+E14/$D$20</f>
        <v>7.9569892473118284E-3</v>
      </c>
      <c r="K14">
        <f>+J14*1000</f>
        <v>7.956989247311828</v>
      </c>
    </row>
    <row r="15" spans="1:11" ht="20.25">
      <c r="A15" s="342"/>
      <c r="B15" s="342"/>
      <c r="C15" s="425"/>
      <c r="D15" s="342"/>
      <c r="E15" s="424"/>
      <c r="F15" s="344"/>
      <c r="G15" s="137"/>
      <c r="H15" s="138"/>
      <c r="I15" s="134"/>
    </row>
    <row r="16" spans="1:11" ht="20.25">
      <c r="A16" s="342"/>
      <c r="B16" s="342"/>
      <c r="C16" s="425"/>
      <c r="D16" s="342"/>
      <c r="E16" s="424"/>
      <c r="F16" s="344"/>
      <c r="G16" s="137"/>
      <c r="H16" s="138"/>
      <c r="I16" s="134"/>
    </row>
    <row r="17" spans="1:9" ht="20.25">
      <c r="A17" s="342"/>
      <c r="B17" s="342"/>
      <c r="C17" s="425"/>
      <c r="D17" s="342"/>
      <c r="E17" s="424"/>
      <c r="F17" s="344"/>
      <c r="G17" s="137"/>
      <c r="H17" s="138"/>
      <c r="I17" s="134"/>
    </row>
    <row r="18" spans="1:9" ht="21" thickBot="1">
      <c r="A18" s="153"/>
      <c r="B18" s="154"/>
      <c r="C18" s="155" t="s">
        <v>227</v>
      </c>
      <c r="D18" s="155"/>
      <c r="E18" s="156"/>
      <c r="F18" s="157"/>
      <c r="G18" s="155"/>
      <c r="H18" s="155"/>
      <c r="I18" s="158"/>
    </row>
    <row r="19" spans="1:9" ht="21" thickBot="1">
      <c r="A19" s="159"/>
      <c r="B19" s="160"/>
      <c r="C19" s="161" t="s">
        <v>227</v>
      </c>
      <c r="D19" s="162" t="s">
        <v>13</v>
      </c>
      <c r="E19" s="163" t="s">
        <v>12</v>
      </c>
      <c r="F19" s="164"/>
      <c r="G19" s="161"/>
      <c r="H19" s="161"/>
      <c r="I19" s="165"/>
    </row>
    <row r="20" spans="1:9" ht="20.25">
      <c r="A20" s="653" t="s">
        <v>11</v>
      </c>
      <c r="B20" s="654"/>
      <c r="C20" s="655"/>
      <c r="D20" s="166">
        <v>46500</v>
      </c>
      <c r="E20" s="167" t="s">
        <v>1</v>
      </c>
      <c r="F20" s="656" t="s">
        <v>10</v>
      </c>
      <c r="G20" s="656"/>
      <c r="H20" s="657"/>
      <c r="I20" s="658"/>
    </row>
    <row r="21" spans="1:9" ht="20.25">
      <c r="A21" s="645" t="s">
        <v>9</v>
      </c>
      <c r="B21" s="646"/>
      <c r="C21" s="647"/>
      <c r="D21" s="117">
        <v>11</v>
      </c>
      <c r="E21" s="151" t="s">
        <v>8</v>
      </c>
      <c r="F21" s="648" t="s">
        <v>7</v>
      </c>
      <c r="G21" s="648"/>
      <c r="H21" s="640"/>
      <c r="I21" s="641"/>
    </row>
    <row r="22" spans="1:9" ht="20.25">
      <c r="A22" s="645" t="s">
        <v>6</v>
      </c>
      <c r="B22" s="646"/>
      <c r="C22" s="647"/>
      <c r="D22" s="117">
        <v>1</v>
      </c>
      <c r="E22" s="151" t="s">
        <v>37</v>
      </c>
      <c r="F22" s="648" t="s">
        <v>5</v>
      </c>
      <c r="G22" s="648"/>
      <c r="H22" s="640"/>
      <c r="I22" s="641"/>
    </row>
    <row r="23" spans="1:9" ht="20.25">
      <c r="A23" s="645" t="s">
        <v>4</v>
      </c>
      <c r="B23" s="646"/>
      <c r="C23" s="647"/>
      <c r="D23" s="117">
        <v>46500</v>
      </c>
      <c r="E23" s="151" t="s">
        <v>1</v>
      </c>
      <c r="F23" s="649" t="s">
        <v>3</v>
      </c>
      <c r="G23" s="650"/>
      <c r="H23" s="651"/>
      <c r="I23" s="652"/>
    </row>
    <row r="24" spans="1:9" ht="21" thickBot="1">
      <c r="A24" s="636" t="s">
        <v>2</v>
      </c>
      <c r="B24" s="637"/>
      <c r="C24" s="638"/>
      <c r="D24" s="168">
        <v>230</v>
      </c>
      <c r="E24" s="169" t="s">
        <v>1</v>
      </c>
      <c r="F24" s="639"/>
      <c r="G24" s="639"/>
      <c r="H24" s="640"/>
      <c r="I24" s="641"/>
    </row>
    <row r="25" spans="1:9" ht="21" thickBot="1">
      <c r="A25" s="642" t="s">
        <v>0</v>
      </c>
      <c r="B25" s="643"/>
      <c r="C25" s="643"/>
      <c r="D25" s="643"/>
      <c r="E25" s="643"/>
      <c r="F25" s="643"/>
      <c r="G25" s="643"/>
      <c r="H25" s="643"/>
      <c r="I25" s="644"/>
    </row>
    <row r="26" spans="1:9" ht="20.25">
      <c r="A26" s="818" t="s">
        <v>248</v>
      </c>
      <c r="B26" s="819"/>
      <c r="C26" s="819"/>
      <c r="D26" s="819"/>
      <c r="E26" s="819"/>
      <c r="F26" s="819"/>
      <c r="G26" s="819"/>
      <c r="H26" s="819"/>
      <c r="I26" s="820"/>
    </row>
    <row r="27" spans="1:9" ht="20.25">
      <c r="A27" s="818" t="s">
        <v>249</v>
      </c>
      <c r="B27" s="819"/>
      <c r="C27" s="819"/>
      <c r="D27" s="819"/>
      <c r="E27" s="819"/>
      <c r="F27" s="819"/>
      <c r="G27" s="819"/>
      <c r="H27" s="819"/>
      <c r="I27" s="820"/>
    </row>
    <row r="28" spans="1:9" ht="20.25">
      <c r="A28" s="818" t="s">
        <v>250</v>
      </c>
      <c r="B28" s="819"/>
      <c r="C28" s="819"/>
      <c r="D28" s="819"/>
      <c r="E28" s="819"/>
      <c r="F28" s="819"/>
      <c r="G28" s="819"/>
      <c r="H28" s="819"/>
      <c r="I28" s="820"/>
    </row>
    <row r="29" spans="1:9" ht="20.25">
      <c r="A29" s="818"/>
      <c r="B29" s="819"/>
      <c r="C29" s="819"/>
      <c r="D29" s="819"/>
      <c r="E29" s="819"/>
      <c r="F29" s="819"/>
      <c r="G29" s="819"/>
      <c r="H29" s="819"/>
      <c r="I29" s="820"/>
    </row>
    <row r="30" spans="1:9" ht="20.25">
      <c r="A30" s="821"/>
      <c r="B30" s="822"/>
      <c r="C30" s="822"/>
      <c r="D30" s="822"/>
      <c r="E30" s="822"/>
      <c r="F30" s="822"/>
      <c r="G30" s="822"/>
      <c r="H30" s="822"/>
      <c r="I30" s="823"/>
    </row>
    <row r="31" spans="1:9" ht="20.25">
      <c r="A31" s="824" t="s">
        <v>33</v>
      </c>
      <c r="B31" s="824"/>
      <c r="C31" s="824"/>
      <c r="D31" s="824"/>
      <c r="E31" s="824"/>
      <c r="F31" s="824"/>
      <c r="G31" s="824"/>
      <c r="H31" s="824"/>
      <c r="I31" s="824"/>
    </row>
    <row r="32" spans="1:9" ht="20.25">
      <c r="A32" s="635" t="s">
        <v>251</v>
      </c>
      <c r="B32" s="635"/>
      <c r="C32" s="635"/>
      <c r="D32" s="635"/>
      <c r="E32" s="635"/>
      <c r="F32" s="635"/>
      <c r="G32" s="635"/>
      <c r="H32" s="635"/>
      <c r="I32" s="635"/>
    </row>
    <row r="33" spans="1:9" ht="20.25">
      <c r="A33" s="635"/>
      <c r="B33" s="635"/>
      <c r="C33" s="635"/>
      <c r="D33" s="635"/>
      <c r="E33" s="635"/>
      <c r="F33" s="635"/>
      <c r="G33" s="635"/>
      <c r="H33" s="635"/>
      <c r="I33" s="635"/>
    </row>
  </sheetData>
  <mergeCells count="41">
    <mergeCell ref="A33:I33"/>
    <mergeCell ref="A24:C24"/>
    <mergeCell ref="F24:G24"/>
    <mergeCell ref="H24:I24"/>
    <mergeCell ref="A25:I25"/>
    <mergeCell ref="A26:I26"/>
    <mergeCell ref="A27:I27"/>
    <mergeCell ref="A28:I28"/>
    <mergeCell ref="A29:I29"/>
    <mergeCell ref="A30:I30"/>
    <mergeCell ref="A31:I31"/>
    <mergeCell ref="A32:I32"/>
    <mergeCell ref="A22:C22"/>
    <mergeCell ref="F22:G22"/>
    <mergeCell ref="H22:I22"/>
    <mergeCell ref="A23:C23"/>
    <mergeCell ref="F23:G23"/>
    <mergeCell ref="H23:I23"/>
    <mergeCell ref="A20:C20"/>
    <mergeCell ref="F20:G20"/>
    <mergeCell ref="H20:I20"/>
    <mergeCell ref="A21:C21"/>
    <mergeCell ref="F21:G21"/>
    <mergeCell ref="H21:I2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F36D-4059-4ECE-A653-B65F23F50DF7}">
  <dimension ref="A1:K48"/>
  <sheetViews>
    <sheetView topLeftCell="A5" zoomScale="70" zoomScaleNormal="70" workbookViewId="0">
      <selection activeCell="B10" sqref="B10"/>
    </sheetView>
  </sheetViews>
  <sheetFormatPr baseColWidth="10" defaultRowHeight="15"/>
  <cols>
    <col min="1" max="1" width="17.42578125" customWidth="1"/>
    <col min="2" max="2" width="17.140625" customWidth="1"/>
    <col min="3" max="3" width="62.5703125" customWidth="1"/>
    <col min="4" max="4" width="23.7109375" customWidth="1"/>
    <col min="5" max="5" width="13.85546875" customWidth="1"/>
    <col min="7" max="7" width="22" customWidth="1"/>
    <col min="8" max="8" width="16.140625" customWidth="1"/>
    <col min="9" max="9" width="17" bestFit="1" customWidth="1"/>
  </cols>
  <sheetData>
    <row r="1" spans="1:11" ht="15.75">
      <c r="A1" s="677"/>
      <c r="B1" s="678"/>
      <c r="C1" s="683" t="s">
        <v>30</v>
      </c>
      <c r="D1" s="683"/>
      <c r="E1" s="683"/>
      <c r="F1" s="683"/>
      <c r="G1" s="683"/>
      <c r="H1" s="120" t="s">
        <v>29</v>
      </c>
      <c r="I1" s="121" t="s">
        <v>252</v>
      </c>
    </row>
    <row r="2" spans="1:11" ht="16.5" thickBot="1">
      <c r="A2" s="679"/>
      <c r="B2" s="680"/>
      <c r="C2" s="684" t="s">
        <v>28</v>
      </c>
      <c r="D2" s="685"/>
      <c r="E2" s="685"/>
      <c r="F2" s="685"/>
      <c r="G2" s="686"/>
      <c r="H2" s="122" t="s">
        <v>27</v>
      </c>
      <c r="I2" s="123" t="s">
        <v>253</v>
      </c>
    </row>
    <row r="3" spans="1:11" ht="28.5" customHeight="1" thickBot="1">
      <c r="A3" s="679"/>
      <c r="B3" s="680"/>
      <c r="C3" s="815" t="s">
        <v>254</v>
      </c>
      <c r="D3" s="816"/>
      <c r="E3" s="816"/>
      <c r="F3" s="816"/>
      <c r="G3" s="817"/>
      <c r="H3" s="690" t="s">
        <v>26</v>
      </c>
      <c r="I3" s="668">
        <v>45617</v>
      </c>
    </row>
    <row r="4" spans="1:11">
      <c r="A4" s="679"/>
      <c r="B4" s="680"/>
      <c r="C4" s="124" t="s">
        <v>25</v>
      </c>
      <c r="D4" s="671" t="s">
        <v>255</v>
      </c>
      <c r="E4" s="672"/>
      <c r="F4" s="672"/>
      <c r="G4" s="673"/>
      <c r="H4" s="691"/>
      <c r="I4" s="669"/>
    </row>
    <row r="5" spans="1:11" ht="15.75" thickBot="1">
      <c r="A5" s="681"/>
      <c r="B5" s="682"/>
      <c r="C5" s="125" t="s">
        <v>24</v>
      </c>
      <c r="D5" s="674" t="s">
        <v>187</v>
      </c>
      <c r="E5" s="675"/>
      <c r="F5" s="675"/>
      <c r="G5" s="676"/>
      <c r="H5" s="692"/>
      <c r="I5" s="670"/>
    </row>
    <row r="6" spans="1:11" ht="18.75" thickBot="1">
      <c r="A6" s="659" t="s">
        <v>23</v>
      </c>
      <c r="B6" s="659"/>
      <c r="C6" s="659"/>
      <c r="D6" s="660" t="s">
        <v>256</v>
      </c>
      <c r="E6" s="660"/>
      <c r="F6" s="660"/>
      <c r="G6" s="661" t="s">
        <v>22</v>
      </c>
      <c r="H6" s="661"/>
      <c r="I6" s="11" t="s">
        <v>256</v>
      </c>
    </row>
    <row r="7" spans="1:11" ht="27.75" customHeight="1">
      <c r="A7" s="662" t="s">
        <v>21</v>
      </c>
      <c r="B7" s="664" t="s">
        <v>31</v>
      </c>
      <c r="C7" s="666" t="s">
        <v>20</v>
      </c>
      <c r="D7" s="666" t="s">
        <v>19</v>
      </c>
      <c r="E7" s="666" t="s">
        <v>18</v>
      </c>
      <c r="F7" s="666"/>
      <c r="G7" s="666" t="s">
        <v>17</v>
      </c>
      <c r="H7" s="666"/>
      <c r="I7" s="126" t="s">
        <v>16</v>
      </c>
    </row>
    <row r="8" spans="1:11" ht="27" thickBot="1">
      <c r="A8" s="663"/>
      <c r="B8" s="665"/>
      <c r="C8" s="667"/>
      <c r="D8" s="667"/>
      <c r="E8" s="127" t="s">
        <v>13</v>
      </c>
      <c r="F8" s="128" t="s">
        <v>15</v>
      </c>
      <c r="G8" s="127" t="s">
        <v>13</v>
      </c>
      <c r="H8" s="128" t="s">
        <v>15</v>
      </c>
      <c r="I8" s="129" t="s">
        <v>14</v>
      </c>
    </row>
    <row r="9" spans="1:11" ht="20.25">
      <c r="A9" s="130"/>
      <c r="B9" s="131"/>
      <c r="C9" s="132" t="s">
        <v>32</v>
      </c>
      <c r="D9" s="133"/>
      <c r="E9" s="105"/>
      <c r="F9" s="106"/>
      <c r="G9" s="105"/>
      <c r="H9" s="106"/>
      <c r="I9" s="134"/>
    </row>
    <row r="10" spans="1:11" ht="20.25">
      <c r="A10" s="427">
        <v>11200080</v>
      </c>
      <c r="B10" s="428" t="s">
        <v>257</v>
      </c>
      <c r="C10" s="429" t="s">
        <v>258</v>
      </c>
      <c r="D10" s="430" t="s">
        <v>247</v>
      </c>
      <c r="E10" s="351">
        <v>4600</v>
      </c>
      <c r="F10" s="143" t="s">
        <v>1</v>
      </c>
      <c r="G10" s="137"/>
      <c r="H10" s="138"/>
      <c r="I10" s="134"/>
      <c r="J10">
        <f>+E10/$D$35</f>
        <v>0.17125837676842889</v>
      </c>
      <c r="K10" s="431">
        <f>+J10*1000</f>
        <v>171.25837676842889</v>
      </c>
    </row>
    <row r="11" spans="1:11" ht="20.25">
      <c r="A11" s="427" t="s">
        <v>259</v>
      </c>
      <c r="B11" s="151" t="s">
        <v>260</v>
      </c>
      <c r="C11" s="429" t="s">
        <v>261</v>
      </c>
      <c r="D11" s="430" t="s">
        <v>262</v>
      </c>
      <c r="E11" s="351">
        <v>11000</v>
      </c>
      <c r="F11" s="143" t="s">
        <v>1</v>
      </c>
      <c r="G11" s="137"/>
      <c r="H11" s="138"/>
      <c r="I11" s="134"/>
      <c r="J11">
        <f t="shared" ref="J11:J19" si="0">+E11/$D$35</f>
        <v>0.40953090096798211</v>
      </c>
      <c r="K11" s="431">
        <f t="shared" ref="K11:K19" si="1">+J11*1000</f>
        <v>409.53090096798212</v>
      </c>
    </row>
    <row r="12" spans="1:11" ht="20.25">
      <c r="A12" s="432" t="s">
        <v>263</v>
      </c>
      <c r="B12" s="433" t="s">
        <v>264</v>
      </c>
      <c r="C12" s="434" t="s">
        <v>265</v>
      </c>
      <c r="D12" s="435" t="s">
        <v>266</v>
      </c>
      <c r="E12" s="351">
        <v>7500</v>
      </c>
      <c r="F12" s="143" t="s">
        <v>1</v>
      </c>
      <c r="G12" s="151"/>
      <c r="H12" s="138"/>
      <c r="I12" s="134"/>
      <c r="J12">
        <f t="shared" si="0"/>
        <v>0.27922561429635145</v>
      </c>
      <c r="K12" s="431">
        <f t="shared" si="1"/>
        <v>279.22561429635147</v>
      </c>
    </row>
    <row r="13" spans="1:11" ht="20.25">
      <c r="A13" s="151" t="s">
        <v>267</v>
      </c>
      <c r="B13" s="151" t="s">
        <v>268</v>
      </c>
      <c r="C13" s="436" t="s">
        <v>269</v>
      </c>
      <c r="D13" s="151" t="s">
        <v>266</v>
      </c>
      <c r="E13" s="151">
        <v>1900</v>
      </c>
      <c r="F13" s="151" t="s">
        <v>1</v>
      </c>
      <c r="G13" s="151"/>
      <c r="H13" s="138"/>
      <c r="I13" s="134"/>
      <c r="J13">
        <f t="shared" si="0"/>
        <v>7.0737155621742362E-2</v>
      </c>
      <c r="K13" s="431">
        <f t="shared" si="1"/>
        <v>70.73715562174236</v>
      </c>
    </row>
    <row r="14" spans="1:11" ht="20.25">
      <c r="A14" s="437"/>
      <c r="B14" s="438" t="s">
        <v>270</v>
      </c>
      <c r="C14" s="439" t="s">
        <v>271</v>
      </c>
      <c r="D14" s="440" t="s">
        <v>272</v>
      </c>
      <c r="E14" s="441">
        <v>117</v>
      </c>
      <c r="F14" s="151" t="s">
        <v>1</v>
      </c>
      <c r="G14" s="151"/>
      <c r="H14" s="138"/>
      <c r="I14" s="134"/>
      <c r="J14">
        <f t="shared" si="0"/>
        <v>4.3559195830230827E-3</v>
      </c>
      <c r="K14" s="431">
        <f t="shared" si="1"/>
        <v>4.3559195830230824</v>
      </c>
    </row>
    <row r="15" spans="1:11" ht="20.25">
      <c r="A15" s="437">
        <v>10100046</v>
      </c>
      <c r="B15" s="437" t="s">
        <v>273</v>
      </c>
      <c r="C15" s="442" t="s">
        <v>274</v>
      </c>
      <c r="D15" s="151" t="s">
        <v>275</v>
      </c>
      <c r="E15" s="151">
        <v>150</v>
      </c>
      <c r="F15" s="151" t="s">
        <v>1</v>
      </c>
      <c r="G15" s="151"/>
      <c r="H15" s="138"/>
      <c r="I15" s="134"/>
      <c r="J15">
        <f>+E15/$D$35</f>
        <v>5.5845122859270293E-3</v>
      </c>
      <c r="K15" s="431">
        <f t="shared" si="1"/>
        <v>5.5845122859270289</v>
      </c>
    </row>
    <row r="16" spans="1:11" ht="20.25">
      <c r="A16" s="437" t="s">
        <v>276</v>
      </c>
      <c r="B16" s="437" t="s">
        <v>277</v>
      </c>
      <c r="C16" s="442" t="s">
        <v>278</v>
      </c>
      <c r="D16" s="151" t="s">
        <v>227</v>
      </c>
      <c r="E16" s="151">
        <v>450</v>
      </c>
      <c r="F16" s="151" t="s">
        <v>1</v>
      </c>
      <c r="G16" s="151"/>
      <c r="H16" s="138"/>
      <c r="I16" s="134"/>
      <c r="J16">
        <f t="shared" si="0"/>
        <v>1.6753536857781089E-2</v>
      </c>
      <c r="K16" s="431">
        <f t="shared" si="1"/>
        <v>16.753536857781089</v>
      </c>
    </row>
    <row r="17" spans="1:11" ht="20.25">
      <c r="A17" s="151">
        <v>11300012</v>
      </c>
      <c r="B17" s="151" t="s">
        <v>279</v>
      </c>
      <c r="C17" s="423" t="s">
        <v>280</v>
      </c>
      <c r="D17" s="151" t="s">
        <v>247</v>
      </c>
      <c r="E17" s="151">
        <v>360</v>
      </c>
      <c r="F17" s="151" t="s">
        <v>1</v>
      </c>
      <c r="G17" s="151"/>
      <c r="H17" s="138"/>
      <c r="I17" s="134"/>
      <c r="J17">
        <f t="shared" si="0"/>
        <v>1.3402829486224869E-2</v>
      </c>
      <c r="K17" s="431">
        <f t="shared" si="1"/>
        <v>13.402829486224869</v>
      </c>
    </row>
    <row r="18" spans="1:11" ht="20.25">
      <c r="A18" s="151"/>
      <c r="B18" s="151" t="s">
        <v>281</v>
      </c>
      <c r="C18" s="423" t="s">
        <v>282</v>
      </c>
      <c r="D18" s="151"/>
      <c r="E18" s="151">
        <v>60</v>
      </c>
      <c r="F18" s="151" t="s">
        <v>1</v>
      </c>
      <c r="G18" s="151"/>
      <c r="H18" s="138"/>
      <c r="I18" s="134"/>
      <c r="J18">
        <f t="shared" si="0"/>
        <v>2.2338049143708115E-3</v>
      </c>
      <c r="K18" s="431">
        <f t="shared" si="1"/>
        <v>2.2338049143708116</v>
      </c>
    </row>
    <row r="19" spans="1:11" ht="20.25">
      <c r="A19" s="151"/>
      <c r="B19" s="437" t="s">
        <v>283</v>
      </c>
      <c r="C19" s="442" t="s">
        <v>284</v>
      </c>
      <c r="D19" s="151" t="s">
        <v>285</v>
      </c>
      <c r="E19" s="151">
        <v>705</v>
      </c>
      <c r="F19" s="151" t="s">
        <v>1</v>
      </c>
      <c r="G19" s="151"/>
      <c r="H19" s="138"/>
      <c r="I19" s="134"/>
      <c r="J19">
        <f t="shared" si="0"/>
        <v>2.6247207743857037E-2</v>
      </c>
      <c r="K19" s="431">
        <f t="shared" si="1"/>
        <v>26.247207743857036</v>
      </c>
    </row>
    <row r="20" spans="1:11" ht="20.25">
      <c r="A20" s="151"/>
      <c r="B20" s="151"/>
      <c r="C20" s="423"/>
      <c r="D20" s="151"/>
      <c r="E20" s="151"/>
      <c r="F20" s="151"/>
      <c r="G20" s="151"/>
      <c r="H20" s="138"/>
      <c r="I20" s="134"/>
    </row>
    <row r="21" spans="1:11" ht="20.25">
      <c r="A21" s="144"/>
      <c r="B21" s="145"/>
      <c r="C21" s="146" t="s">
        <v>105</v>
      </c>
      <c r="D21" s="147"/>
      <c r="E21" s="148"/>
      <c r="F21" s="106"/>
      <c r="G21" s="105"/>
      <c r="H21" s="426"/>
      <c r="I21" s="134"/>
    </row>
    <row r="22" spans="1:11" ht="20.25">
      <c r="A22" s="443" t="s">
        <v>286</v>
      </c>
      <c r="B22" s="444" t="s">
        <v>106</v>
      </c>
      <c r="C22" s="445" t="s">
        <v>107</v>
      </c>
      <c r="D22" s="151"/>
      <c r="E22" s="117">
        <v>1</v>
      </c>
      <c r="F22" s="118" t="s">
        <v>37</v>
      </c>
      <c r="G22" s="279"/>
      <c r="H22" s="106"/>
      <c r="I22" s="134"/>
    </row>
    <row r="23" spans="1:11" ht="20.25">
      <c r="A23" s="443">
        <v>503000042</v>
      </c>
      <c r="B23" s="444" t="s">
        <v>287</v>
      </c>
      <c r="C23" s="445" t="s">
        <v>288</v>
      </c>
      <c r="D23" s="151"/>
      <c r="E23" s="117">
        <v>1</v>
      </c>
      <c r="F23" s="118" t="s">
        <v>37</v>
      </c>
      <c r="G23" s="279"/>
      <c r="H23" s="106"/>
      <c r="I23" s="134"/>
    </row>
    <row r="24" spans="1:11" ht="20.25">
      <c r="A24" s="446" t="s">
        <v>70</v>
      </c>
      <c r="B24" s="447" t="s">
        <v>71</v>
      </c>
      <c r="C24" s="448" t="s">
        <v>76</v>
      </c>
      <c r="D24" s="151"/>
      <c r="E24" s="117">
        <v>2</v>
      </c>
      <c r="F24" s="118" t="s">
        <v>37</v>
      </c>
      <c r="G24" s="279"/>
      <c r="H24" s="106"/>
      <c r="I24" s="134"/>
    </row>
    <row r="25" spans="1:11" ht="20.25">
      <c r="A25" s="342">
        <v>1950705</v>
      </c>
      <c r="B25" s="342" t="s">
        <v>289</v>
      </c>
      <c r="C25" s="425" t="s">
        <v>290</v>
      </c>
      <c r="D25" s="151"/>
      <c r="E25" s="117">
        <v>1</v>
      </c>
      <c r="F25" s="118" t="s">
        <v>37</v>
      </c>
      <c r="G25" s="105"/>
      <c r="H25" s="106"/>
      <c r="I25" s="134"/>
    </row>
    <row r="26" spans="1:11" ht="20.25">
      <c r="A26" s="342">
        <v>60100010</v>
      </c>
      <c r="B26" s="342" t="s">
        <v>291</v>
      </c>
      <c r="C26" s="425" t="s">
        <v>292</v>
      </c>
      <c r="D26" s="151"/>
      <c r="E26" s="117">
        <v>1</v>
      </c>
      <c r="F26" s="118" t="s">
        <v>37</v>
      </c>
      <c r="G26" s="105"/>
      <c r="H26" s="106"/>
      <c r="I26" s="134"/>
    </row>
    <row r="27" spans="1:11" ht="20.25">
      <c r="A27" s="342"/>
      <c r="B27" s="342"/>
      <c r="C27" s="425"/>
      <c r="D27" s="151"/>
      <c r="E27" s="117"/>
      <c r="F27" s="118"/>
      <c r="G27" s="449"/>
      <c r="H27" s="106"/>
      <c r="I27" s="134"/>
    </row>
    <row r="28" spans="1:11" ht="20.25">
      <c r="A28" s="342"/>
      <c r="B28" s="342"/>
      <c r="C28" s="425"/>
      <c r="D28" s="151"/>
      <c r="E28" s="117"/>
      <c r="F28" s="118"/>
      <c r="G28" s="351"/>
      <c r="H28" s="106"/>
      <c r="I28" s="134"/>
    </row>
    <row r="29" spans="1:11" ht="20.25">
      <c r="A29" s="450"/>
      <c r="B29" s="450"/>
      <c r="C29" s="451"/>
      <c r="D29" s="151"/>
      <c r="E29" s="118"/>
      <c r="F29" s="118"/>
      <c r="G29" s="351"/>
      <c r="H29" s="106"/>
      <c r="I29" s="134"/>
    </row>
    <row r="30" spans="1:11" ht="20.25">
      <c r="A30" s="149"/>
      <c r="B30" s="151"/>
      <c r="C30" s="150"/>
      <c r="D30" s="116"/>
      <c r="E30" s="117"/>
      <c r="F30" s="151"/>
      <c r="G30" s="351"/>
      <c r="H30" s="106"/>
      <c r="I30" s="134"/>
    </row>
    <row r="31" spans="1:11" ht="20.25">
      <c r="A31" s="342"/>
      <c r="B31" s="342"/>
      <c r="C31" s="425"/>
      <c r="D31" s="151"/>
      <c r="E31" s="117"/>
      <c r="F31" s="151"/>
      <c r="G31" s="351"/>
      <c r="H31" s="106"/>
      <c r="I31" s="134"/>
    </row>
    <row r="32" spans="1:11" ht="20.25">
      <c r="A32" s="139"/>
      <c r="B32" s="140"/>
      <c r="C32" s="152"/>
      <c r="D32" s="102"/>
      <c r="E32" s="102"/>
      <c r="F32" s="143"/>
      <c r="G32" s="102"/>
      <c r="H32" s="102"/>
      <c r="I32" s="134"/>
    </row>
    <row r="33" spans="1:9" ht="21" thickBot="1">
      <c r="A33" s="153"/>
      <c r="B33" s="154"/>
      <c r="C33" s="155"/>
      <c r="D33" s="155"/>
      <c r="E33" s="156"/>
      <c r="F33" s="157"/>
      <c r="G33" s="155"/>
      <c r="H33" s="155"/>
      <c r="I33" s="158"/>
    </row>
    <row r="34" spans="1:9" ht="21" thickBot="1">
      <c r="A34" s="159"/>
      <c r="B34" s="160"/>
      <c r="C34" s="161"/>
      <c r="D34" s="162" t="s">
        <v>13</v>
      </c>
      <c r="E34" s="163" t="s">
        <v>12</v>
      </c>
      <c r="F34" s="164"/>
      <c r="G34" s="161"/>
      <c r="H34" s="161"/>
      <c r="I34" s="165"/>
    </row>
    <row r="35" spans="1:9" ht="20.25">
      <c r="A35" s="653" t="s">
        <v>11</v>
      </c>
      <c r="B35" s="654"/>
      <c r="C35" s="655"/>
      <c r="D35" s="166">
        <v>26860</v>
      </c>
      <c r="E35" s="167" t="s">
        <v>1</v>
      </c>
      <c r="F35" s="656" t="s">
        <v>10</v>
      </c>
      <c r="G35" s="656"/>
      <c r="H35" s="657"/>
      <c r="I35" s="658"/>
    </row>
    <row r="36" spans="1:9" ht="20.25">
      <c r="A36" s="645" t="s">
        <v>9</v>
      </c>
      <c r="B36" s="646"/>
      <c r="C36" s="647"/>
      <c r="D36" s="117">
        <v>4</v>
      </c>
      <c r="E36" s="151" t="s">
        <v>8</v>
      </c>
      <c r="F36" s="648" t="s">
        <v>7</v>
      </c>
      <c r="G36" s="648"/>
      <c r="H36" s="640"/>
      <c r="I36" s="641"/>
    </row>
    <row r="37" spans="1:9" ht="20.25">
      <c r="A37" s="645" t="s">
        <v>6</v>
      </c>
      <c r="B37" s="646"/>
      <c r="C37" s="647"/>
      <c r="D37" s="117">
        <v>1</v>
      </c>
      <c r="E37" s="151" t="s">
        <v>103</v>
      </c>
      <c r="F37" s="648" t="s">
        <v>5</v>
      </c>
      <c r="G37" s="648"/>
      <c r="H37" s="640"/>
      <c r="I37" s="641"/>
    </row>
    <row r="38" spans="1:9" ht="20.25">
      <c r="A38" s="645" t="s">
        <v>4</v>
      </c>
      <c r="B38" s="646"/>
      <c r="C38" s="647"/>
      <c r="D38" s="117">
        <v>26860</v>
      </c>
      <c r="E38" s="151" t="s">
        <v>1</v>
      </c>
      <c r="F38" s="649" t="s">
        <v>3</v>
      </c>
      <c r="G38" s="650"/>
      <c r="H38" s="651"/>
      <c r="I38" s="652"/>
    </row>
    <row r="39" spans="1:9" ht="21" thickBot="1">
      <c r="A39" s="636" t="s">
        <v>2</v>
      </c>
      <c r="B39" s="637"/>
      <c r="C39" s="638"/>
      <c r="D39" s="168">
        <v>0</v>
      </c>
      <c r="E39" s="169" t="s">
        <v>1</v>
      </c>
      <c r="F39" s="639"/>
      <c r="G39" s="639"/>
      <c r="H39" s="640"/>
      <c r="I39" s="641"/>
    </row>
    <row r="40" spans="1:9" ht="21" thickBot="1">
      <c r="A40" s="642" t="s">
        <v>0</v>
      </c>
      <c r="B40" s="643"/>
      <c r="C40" s="643"/>
      <c r="D40" s="643"/>
      <c r="E40" s="643"/>
      <c r="F40" s="643"/>
      <c r="G40" s="643"/>
      <c r="H40" s="643"/>
      <c r="I40" s="644"/>
    </row>
    <row r="41" spans="1:9" ht="20.25">
      <c r="A41" s="818" t="s">
        <v>293</v>
      </c>
      <c r="B41" s="819"/>
      <c r="C41" s="819"/>
      <c r="D41" s="819"/>
      <c r="E41" s="819"/>
      <c r="F41" s="819"/>
      <c r="G41" s="819"/>
      <c r="H41" s="819"/>
      <c r="I41" s="820"/>
    </row>
    <row r="42" spans="1:9" ht="20.25">
      <c r="A42" s="818" t="s">
        <v>294</v>
      </c>
      <c r="B42" s="819"/>
      <c r="C42" s="819"/>
      <c r="D42" s="819"/>
      <c r="E42" s="819"/>
      <c r="F42" s="819"/>
      <c r="G42" s="819"/>
      <c r="H42" s="819"/>
      <c r="I42" s="820"/>
    </row>
    <row r="43" spans="1:9" ht="20.25">
      <c r="A43" s="818"/>
      <c r="B43" s="819"/>
      <c r="C43" s="819"/>
      <c r="D43" s="819"/>
      <c r="E43" s="819"/>
      <c r="F43" s="819"/>
      <c r="G43" s="819"/>
      <c r="H43" s="819"/>
      <c r="I43" s="820"/>
    </row>
    <row r="44" spans="1:9" ht="20.25">
      <c r="A44" s="826"/>
      <c r="B44" s="827"/>
      <c r="C44" s="827"/>
      <c r="D44" s="827"/>
      <c r="E44" s="827"/>
      <c r="F44" s="827"/>
      <c r="G44" s="827"/>
      <c r="H44" s="827"/>
      <c r="I44" s="828"/>
    </row>
    <row r="45" spans="1:9" ht="20.25">
      <c r="A45" s="824" t="s">
        <v>33</v>
      </c>
      <c r="B45" s="824"/>
      <c r="C45" s="824"/>
      <c r="D45" s="824"/>
      <c r="E45" s="824"/>
      <c r="F45" s="824"/>
      <c r="G45" s="824"/>
      <c r="H45" s="824"/>
      <c r="I45" s="824"/>
    </row>
    <row r="46" spans="1:9" ht="20.25">
      <c r="A46" s="635" t="s">
        <v>295</v>
      </c>
      <c r="B46" s="635"/>
      <c r="C46" s="635"/>
      <c r="D46" s="635"/>
      <c r="E46" s="635"/>
      <c r="F46" s="635"/>
      <c r="G46" s="635"/>
      <c r="H46" s="635"/>
      <c r="I46" s="635"/>
    </row>
    <row r="47" spans="1:9" ht="20.25">
      <c r="A47" s="635" t="s">
        <v>296</v>
      </c>
      <c r="B47" s="635"/>
      <c r="C47" s="635"/>
      <c r="D47" s="635"/>
      <c r="E47" s="635"/>
      <c r="F47" s="635"/>
      <c r="G47" s="635"/>
      <c r="H47" s="635"/>
      <c r="I47" s="635"/>
    </row>
    <row r="48" spans="1:9" ht="20.25">
      <c r="A48" s="825" t="s">
        <v>297</v>
      </c>
      <c r="B48" s="825"/>
      <c r="C48" s="825"/>
      <c r="D48" s="825"/>
      <c r="E48" s="825"/>
      <c r="F48" s="825"/>
      <c r="G48" s="825"/>
      <c r="H48" s="825"/>
      <c r="I48" s="825"/>
    </row>
  </sheetData>
  <mergeCells count="41">
    <mergeCell ref="A48:I48"/>
    <mergeCell ref="A39:C39"/>
    <mergeCell ref="F39:G39"/>
    <mergeCell ref="H39:I39"/>
    <mergeCell ref="A40:I40"/>
    <mergeCell ref="A41:I41"/>
    <mergeCell ref="A42:I42"/>
    <mergeCell ref="A43:I43"/>
    <mergeCell ref="A44:I44"/>
    <mergeCell ref="A45:I45"/>
    <mergeCell ref="A46:I46"/>
    <mergeCell ref="A47:I47"/>
    <mergeCell ref="A37:C37"/>
    <mergeCell ref="F37:G37"/>
    <mergeCell ref="H37:I37"/>
    <mergeCell ref="A38:C38"/>
    <mergeCell ref="F38:G38"/>
    <mergeCell ref="H38:I38"/>
    <mergeCell ref="A35:C35"/>
    <mergeCell ref="F35:G35"/>
    <mergeCell ref="H35:I35"/>
    <mergeCell ref="A36:C36"/>
    <mergeCell ref="F36:G36"/>
    <mergeCell ref="H36:I36"/>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E589-D9B9-4DB9-818A-52A47CFF7F3F}">
  <dimension ref="A1:I58"/>
  <sheetViews>
    <sheetView workbookViewId="0">
      <selection activeCell="D12" sqref="D12"/>
    </sheetView>
  </sheetViews>
  <sheetFormatPr baseColWidth="10" defaultRowHeight="15"/>
  <cols>
    <col min="3" max="3" width="49" customWidth="1"/>
    <col min="4" max="4" width="34.28515625" bestFit="1" customWidth="1"/>
    <col min="8" max="8" width="33.7109375" bestFit="1" customWidth="1"/>
    <col min="9" max="9" width="17.42578125" bestFit="1" customWidth="1"/>
  </cols>
  <sheetData>
    <row r="1" spans="1:9" ht="15.75">
      <c r="A1" s="677"/>
      <c r="B1" s="678"/>
      <c r="C1" s="683" t="s">
        <v>30</v>
      </c>
      <c r="D1" s="683"/>
      <c r="E1" s="683"/>
      <c r="F1" s="683"/>
      <c r="G1" s="683"/>
      <c r="H1" s="120" t="s">
        <v>29</v>
      </c>
      <c r="I1" s="121" t="s">
        <v>298</v>
      </c>
    </row>
    <row r="2" spans="1:9" ht="18" customHeight="1" thickBot="1">
      <c r="A2" s="679"/>
      <c r="B2" s="680"/>
      <c r="C2" s="684" t="s">
        <v>28</v>
      </c>
      <c r="D2" s="685"/>
      <c r="E2" s="685"/>
      <c r="F2" s="685"/>
      <c r="G2" s="686"/>
      <c r="H2" s="122" t="s">
        <v>27</v>
      </c>
      <c r="I2" s="123" t="s">
        <v>206</v>
      </c>
    </row>
    <row r="3" spans="1:9" ht="31.5" customHeight="1" thickBot="1">
      <c r="A3" s="679"/>
      <c r="B3" s="680"/>
      <c r="C3" s="710" t="s">
        <v>299</v>
      </c>
      <c r="D3" s="710"/>
      <c r="E3" s="710"/>
      <c r="F3" s="710"/>
      <c r="G3" s="711"/>
      <c r="H3" s="690" t="s">
        <v>26</v>
      </c>
      <c r="I3" s="668">
        <v>45613</v>
      </c>
    </row>
    <row r="4" spans="1:9" ht="18" customHeight="1">
      <c r="A4" s="679"/>
      <c r="B4" s="680"/>
      <c r="C4" s="124" t="s">
        <v>25</v>
      </c>
      <c r="D4" s="671" t="s">
        <v>186</v>
      </c>
      <c r="E4" s="672"/>
      <c r="F4" s="672"/>
      <c r="G4" s="673"/>
      <c r="H4" s="691"/>
      <c r="I4" s="669"/>
    </row>
    <row r="5" spans="1:9" ht="15.75" thickBot="1">
      <c r="A5" s="681"/>
      <c r="B5" s="682"/>
      <c r="C5" s="125" t="s">
        <v>24</v>
      </c>
      <c r="D5" s="674" t="s">
        <v>187</v>
      </c>
      <c r="E5" s="675"/>
      <c r="F5" s="675"/>
      <c r="G5" s="676"/>
      <c r="H5" s="692"/>
      <c r="I5" s="670"/>
    </row>
    <row r="6" spans="1:9" ht="18.75" thickBot="1">
      <c r="A6" s="659" t="s">
        <v>23</v>
      </c>
      <c r="B6" s="659"/>
      <c r="C6" s="659"/>
      <c r="D6" s="771" t="s">
        <v>39</v>
      </c>
      <c r="E6" s="771"/>
      <c r="F6" s="771"/>
      <c r="G6" s="661" t="s">
        <v>22</v>
      </c>
      <c r="H6" s="661"/>
      <c r="I6" s="356" t="s">
        <v>188</v>
      </c>
    </row>
    <row r="7" spans="1:9" ht="25.5">
      <c r="A7" s="662" t="s">
        <v>21</v>
      </c>
      <c r="B7" s="664" t="s">
        <v>31</v>
      </c>
      <c r="C7" s="666" t="s">
        <v>20</v>
      </c>
      <c r="D7" s="666" t="s">
        <v>19</v>
      </c>
      <c r="E7" s="666" t="s">
        <v>18</v>
      </c>
      <c r="F7" s="666"/>
      <c r="G7" s="666" t="s">
        <v>17</v>
      </c>
      <c r="H7" s="666"/>
      <c r="I7" s="126" t="s">
        <v>16</v>
      </c>
    </row>
    <row r="8" spans="1:9" ht="27" thickBot="1">
      <c r="A8" s="663"/>
      <c r="B8" s="665"/>
      <c r="C8" s="667"/>
      <c r="D8" s="667"/>
      <c r="E8" s="127" t="s">
        <v>13</v>
      </c>
      <c r="F8" s="128" t="s">
        <v>15</v>
      </c>
      <c r="G8" s="127" t="s">
        <v>13</v>
      </c>
      <c r="H8" s="128" t="s">
        <v>15</v>
      </c>
      <c r="I8" s="129" t="s">
        <v>14</v>
      </c>
    </row>
    <row r="9" spans="1:9">
      <c r="A9" s="357"/>
      <c r="B9" s="358"/>
      <c r="C9" s="359" t="s">
        <v>32</v>
      </c>
      <c r="D9" s="360"/>
      <c r="E9" s="361"/>
      <c r="F9" s="362"/>
      <c r="G9" s="361"/>
      <c r="H9" s="362"/>
      <c r="I9" s="363"/>
    </row>
    <row r="10" spans="1:9" ht="18" customHeight="1">
      <c r="A10" s="380" t="s">
        <v>300</v>
      </c>
      <c r="B10" s="452" t="s">
        <v>301</v>
      </c>
      <c r="C10" s="382" t="s">
        <v>302</v>
      </c>
      <c r="D10" s="383" t="s">
        <v>36</v>
      </c>
      <c r="E10" s="453">
        <v>1600</v>
      </c>
      <c r="F10" s="454" t="s">
        <v>1</v>
      </c>
      <c r="G10" s="369"/>
      <c r="H10" s="370"/>
      <c r="I10" s="363"/>
    </row>
    <row r="11" spans="1:9">
      <c r="A11" s="380"/>
      <c r="B11" s="455"/>
      <c r="C11" s="456" t="s">
        <v>303</v>
      </c>
      <c r="D11" s="383" t="s">
        <v>36</v>
      </c>
      <c r="E11" s="384">
        <v>1600</v>
      </c>
      <c r="F11" s="385" t="s">
        <v>1</v>
      </c>
      <c r="G11" s="369"/>
      <c r="H11" s="370"/>
      <c r="I11" s="363"/>
    </row>
    <row r="12" spans="1:9">
      <c r="A12" s="380" t="s">
        <v>304</v>
      </c>
      <c r="B12" s="455" t="s">
        <v>305</v>
      </c>
      <c r="C12" s="456" t="s">
        <v>306</v>
      </c>
      <c r="D12" s="383" t="s">
        <v>307</v>
      </c>
      <c r="E12" s="384">
        <v>3</v>
      </c>
      <c r="F12" s="385" t="s">
        <v>1</v>
      </c>
      <c r="G12" s="373"/>
      <c r="H12" s="370"/>
      <c r="I12" s="363"/>
    </row>
    <row r="13" spans="1:9">
      <c r="A13" s="380"/>
      <c r="B13" s="455"/>
      <c r="C13" s="456"/>
      <c r="D13" s="383"/>
      <c r="E13" s="384"/>
      <c r="F13" s="385"/>
      <c r="G13" s="373"/>
      <c r="H13" s="370"/>
      <c r="I13" s="363"/>
    </row>
    <row r="14" spans="1:9">
      <c r="A14" s="457"/>
      <c r="B14" s="458"/>
      <c r="C14" s="459"/>
      <c r="D14" s="373"/>
      <c r="E14" s="373"/>
      <c r="F14" s="460"/>
      <c r="G14" s="373"/>
      <c r="H14" s="370"/>
      <c r="I14" s="363"/>
    </row>
    <row r="15" spans="1:9">
      <c r="A15" s="461"/>
      <c r="B15" s="458"/>
      <c r="C15" s="462"/>
      <c r="D15" s="373"/>
      <c r="E15" s="373"/>
      <c r="F15" s="460"/>
      <c r="G15" s="373"/>
      <c r="H15" s="370"/>
      <c r="I15" s="363"/>
    </row>
    <row r="16" spans="1:9">
      <c r="A16" s="373"/>
      <c r="B16" s="373"/>
      <c r="C16" s="463"/>
      <c r="D16" s="464"/>
      <c r="E16" s="464"/>
      <c r="F16" s="369"/>
      <c r="G16" s="373"/>
      <c r="H16" s="370"/>
      <c r="I16" s="363"/>
    </row>
    <row r="17" spans="1:9">
      <c r="A17" s="458"/>
      <c r="B17" s="458"/>
      <c r="C17" s="465"/>
      <c r="D17" s="373"/>
      <c r="E17" s="373"/>
      <c r="F17" s="460"/>
      <c r="G17" s="373"/>
      <c r="H17" s="370"/>
      <c r="I17" s="363"/>
    </row>
    <row r="18" spans="1:9">
      <c r="A18" s="457"/>
      <c r="B18" s="458"/>
      <c r="C18" s="459"/>
      <c r="D18" s="373"/>
      <c r="E18" s="373"/>
      <c r="F18" s="460"/>
      <c r="G18" s="373"/>
      <c r="H18" s="370"/>
      <c r="I18" s="363"/>
    </row>
    <row r="19" spans="1:9" ht="15.75">
      <c r="A19" s="365"/>
      <c r="B19" s="365"/>
      <c r="C19" s="86"/>
      <c r="D19" s="304"/>
      <c r="E19" s="27"/>
      <c r="F19" s="18"/>
      <c r="G19" s="361"/>
      <c r="H19" s="370"/>
      <c r="I19" s="363"/>
    </row>
    <row r="20" spans="1:9" ht="15.75">
      <c r="A20" s="374"/>
      <c r="B20" s="375"/>
      <c r="C20" s="305" t="s">
        <v>39</v>
      </c>
      <c r="D20" s="48"/>
      <c r="E20" s="378"/>
      <c r="F20" s="379"/>
      <c r="G20" s="361"/>
      <c r="H20" s="362"/>
      <c r="I20" s="363"/>
    </row>
    <row r="21" spans="1:9">
      <c r="A21" s="380"/>
      <c r="B21" s="381"/>
      <c r="C21" s="382"/>
      <c r="D21" s="383"/>
      <c r="E21" s="384"/>
      <c r="F21" s="385"/>
      <c r="G21" s="361"/>
      <c r="H21" s="362"/>
      <c r="I21" s="363"/>
    </row>
    <row r="22" spans="1:9">
      <c r="A22" s="380"/>
      <c r="B22" s="381"/>
      <c r="C22" s="382"/>
      <c r="D22" s="383"/>
      <c r="E22" s="387"/>
      <c r="F22" s="385"/>
      <c r="G22" s="361"/>
      <c r="H22" s="362"/>
      <c r="I22" s="363"/>
    </row>
    <row r="23" spans="1:9">
      <c r="A23" s="380"/>
      <c r="B23" s="381"/>
      <c r="C23" s="382"/>
      <c r="D23" s="383"/>
      <c r="E23" s="384"/>
      <c r="F23" s="385"/>
      <c r="G23" s="361"/>
      <c r="H23" s="362"/>
      <c r="I23" s="363"/>
    </row>
    <row r="24" spans="1:9">
      <c r="A24" s="380"/>
      <c r="B24" s="381"/>
      <c r="C24" s="382"/>
      <c r="D24" s="383"/>
      <c r="E24" s="466"/>
      <c r="F24" s="467"/>
      <c r="G24" s="361"/>
      <c r="H24" s="362"/>
      <c r="I24" s="363"/>
    </row>
    <row r="25" spans="1:9">
      <c r="A25" s="380"/>
      <c r="B25" s="381"/>
      <c r="C25" s="382"/>
      <c r="D25" s="383"/>
      <c r="E25" s="453"/>
      <c r="F25" s="467"/>
      <c r="G25" s="361"/>
      <c r="H25" s="362"/>
      <c r="I25" s="363"/>
    </row>
    <row r="26" spans="1:9">
      <c r="A26" s="468"/>
      <c r="B26" s="468"/>
      <c r="D26" s="469"/>
      <c r="E26" s="470"/>
      <c r="F26" s="471"/>
      <c r="G26" s="361"/>
      <c r="H26" s="362"/>
      <c r="I26" s="363"/>
    </row>
    <row r="27" spans="1:9">
      <c r="A27" s="365"/>
      <c r="B27" s="365"/>
      <c r="C27" s="86"/>
      <c r="D27" s="386"/>
      <c r="E27" s="418"/>
      <c r="F27" s="471"/>
      <c r="G27" s="361"/>
      <c r="H27" s="362"/>
      <c r="I27" s="363"/>
    </row>
    <row r="28" spans="1:9">
      <c r="A28" s="365"/>
      <c r="B28" s="365"/>
      <c r="C28" s="86"/>
      <c r="D28" s="386"/>
      <c r="E28" s="387"/>
      <c r="F28" s="388"/>
      <c r="G28" s="361"/>
      <c r="H28" s="362"/>
      <c r="I28" s="363"/>
    </row>
    <row r="29" spans="1:9" ht="15.75">
      <c r="A29" s="389"/>
      <c r="B29" s="390"/>
      <c r="C29" s="320" t="s">
        <v>105</v>
      </c>
      <c r="D29" s="391"/>
      <c r="E29" s="392"/>
      <c r="F29" s="362"/>
      <c r="G29" s="361"/>
      <c r="I29" s="363"/>
    </row>
    <row r="30" spans="1:9">
      <c r="A30" s="53"/>
      <c r="B30" s="53"/>
      <c r="C30" s="472"/>
      <c r="D30" s="473"/>
      <c r="E30" s="474"/>
      <c r="F30" s="475"/>
      <c r="G30" s="398"/>
      <c r="H30" s="362"/>
      <c r="I30" s="363"/>
    </row>
    <row r="31" spans="1:9">
      <c r="A31" s="53"/>
      <c r="B31" s="53"/>
      <c r="C31" s="472"/>
      <c r="D31" s="473"/>
      <c r="E31" s="474"/>
      <c r="F31" s="475"/>
      <c r="G31" s="398"/>
      <c r="H31" s="362"/>
      <c r="I31" s="363"/>
    </row>
    <row r="32" spans="1:9">
      <c r="A32" s="53"/>
      <c r="B32" s="53"/>
      <c r="C32" s="472"/>
      <c r="D32" s="473"/>
      <c r="E32" s="474"/>
      <c r="F32" s="475"/>
      <c r="G32" s="398"/>
      <c r="H32" s="362"/>
      <c r="I32" s="363"/>
    </row>
    <row r="33" spans="1:9">
      <c r="A33" s="476"/>
      <c r="B33" s="476"/>
      <c r="C33" s="477"/>
      <c r="D33" s="396"/>
      <c r="E33" s="478"/>
      <c r="F33" s="479"/>
      <c r="G33" s="361"/>
      <c r="H33" s="362"/>
      <c r="I33" s="363"/>
    </row>
    <row r="34" spans="1:9">
      <c r="A34" s="476"/>
      <c r="B34" s="476"/>
      <c r="C34" s="480"/>
      <c r="D34" s="396"/>
      <c r="E34" s="396"/>
      <c r="F34" s="479"/>
      <c r="G34" s="361"/>
      <c r="H34" s="362"/>
      <c r="I34" s="363"/>
    </row>
    <row r="35" spans="1:9">
      <c r="A35" s="476"/>
      <c r="B35" s="476"/>
      <c r="C35" s="480"/>
      <c r="D35" s="396"/>
      <c r="E35" s="396"/>
      <c r="F35" s="479"/>
      <c r="G35" s="402"/>
      <c r="H35" s="362"/>
      <c r="I35" s="363"/>
    </row>
    <row r="36" spans="1:9" ht="15.75">
      <c r="A36" s="481"/>
      <c r="B36" s="482"/>
      <c r="C36" s="483"/>
      <c r="D36" s="484"/>
      <c r="E36" s="484"/>
      <c r="F36" s="338"/>
      <c r="G36" s="49"/>
      <c r="H36" s="362"/>
      <c r="I36" s="363"/>
    </row>
    <row r="37" spans="1:9" ht="15.75">
      <c r="A37" s="374"/>
      <c r="B37" s="375"/>
      <c r="C37" s="472"/>
      <c r="D37" s="396"/>
      <c r="E37" s="49"/>
      <c r="F37" s="379"/>
      <c r="G37" s="19"/>
      <c r="H37" s="362"/>
      <c r="I37" s="363"/>
    </row>
    <row r="38" spans="1:9" ht="15.75">
      <c r="A38" s="374"/>
      <c r="B38" s="375"/>
      <c r="C38" s="472"/>
      <c r="D38" s="48"/>
      <c r="E38" s="48"/>
      <c r="F38" s="379"/>
      <c r="G38" s="3"/>
      <c r="H38" s="3"/>
      <c r="I38" s="363"/>
    </row>
    <row r="39" spans="1:9" ht="15.75" thickBot="1">
      <c r="A39" s="405"/>
      <c r="B39" s="406"/>
      <c r="C39" s="407"/>
      <c r="D39" s="407"/>
      <c r="E39" s="408"/>
      <c r="F39" s="409"/>
      <c r="G39" s="407"/>
      <c r="H39" s="407"/>
      <c r="I39" s="410"/>
    </row>
    <row r="40" spans="1:9" ht="15.75" thickBot="1">
      <c r="A40" s="411"/>
      <c r="B40" s="412"/>
      <c r="C40" s="413"/>
      <c r="D40" s="414" t="s">
        <v>13</v>
      </c>
      <c r="E40" s="415" t="s">
        <v>12</v>
      </c>
      <c r="F40" s="416"/>
      <c r="G40" s="413"/>
      <c r="H40" s="413"/>
      <c r="I40" s="417"/>
    </row>
    <row r="41" spans="1:9">
      <c r="A41" s="772" t="s">
        <v>11</v>
      </c>
      <c r="B41" s="773"/>
      <c r="C41" s="774"/>
      <c r="D41" s="418">
        <v>3200</v>
      </c>
      <c r="E41" s="419" t="s">
        <v>1</v>
      </c>
      <c r="F41" s="775" t="s">
        <v>10</v>
      </c>
      <c r="G41" s="775"/>
      <c r="H41" s="776"/>
      <c r="I41" s="777"/>
    </row>
    <row r="42" spans="1:9">
      <c r="A42" s="778" t="s">
        <v>9</v>
      </c>
      <c r="B42" s="779"/>
      <c r="C42" s="780"/>
      <c r="D42" s="373">
        <v>5</v>
      </c>
      <c r="E42" s="373" t="s">
        <v>308</v>
      </c>
      <c r="F42" s="781" t="s">
        <v>7</v>
      </c>
      <c r="G42" s="781"/>
      <c r="H42" s="782"/>
      <c r="I42" s="783"/>
    </row>
    <row r="43" spans="1:9">
      <c r="A43" s="778" t="s">
        <v>6</v>
      </c>
      <c r="B43" s="779"/>
      <c r="C43" s="780"/>
      <c r="D43" s="373">
        <v>10</v>
      </c>
      <c r="E43" s="373" t="s">
        <v>309</v>
      </c>
      <c r="F43" s="781" t="s">
        <v>5</v>
      </c>
      <c r="G43" s="781"/>
      <c r="H43" s="782"/>
      <c r="I43" s="783"/>
    </row>
    <row r="44" spans="1:9">
      <c r="A44" s="778" t="s">
        <v>4</v>
      </c>
      <c r="B44" s="779"/>
      <c r="C44" s="780"/>
      <c r="D44" s="387">
        <v>320</v>
      </c>
      <c r="E44" s="373" t="s">
        <v>1</v>
      </c>
      <c r="F44" s="784" t="s">
        <v>3</v>
      </c>
      <c r="G44" s="785"/>
      <c r="H44" s="786"/>
      <c r="I44" s="787"/>
    </row>
    <row r="45" spans="1:9" ht="15.75" thickBot="1">
      <c r="A45" s="791" t="s">
        <v>2</v>
      </c>
      <c r="B45" s="792"/>
      <c r="C45" s="793"/>
      <c r="D45" s="420">
        <v>3</v>
      </c>
      <c r="E45" s="421" t="s">
        <v>1</v>
      </c>
      <c r="F45" s="794"/>
      <c r="G45" s="794"/>
      <c r="H45" s="782"/>
      <c r="I45" s="783"/>
    </row>
    <row r="46" spans="1:9" ht="15.75" thickBot="1">
      <c r="A46" s="795" t="s">
        <v>0</v>
      </c>
      <c r="B46" s="796"/>
      <c r="C46" s="796"/>
      <c r="D46" s="796"/>
      <c r="E46" s="796"/>
      <c r="F46" s="796"/>
      <c r="G46" s="796"/>
      <c r="H46" s="796"/>
      <c r="I46" s="797"/>
    </row>
    <row r="47" spans="1:9" ht="18.399999999999999" customHeight="1">
      <c r="A47" s="829" t="s">
        <v>310</v>
      </c>
      <c r="B47" s="830"/>
      <c r="C47" s="830"/>
      <c r="D47" s="830"/>
      <c r="E47" s="830"/>
      <c r="F47" s="830"/>
      <c r="G47" s="830"/>
      <c r="H47" s="830"/>
      <c r="I47" s="831"/>
    </row>
    <row r="48" spans="1:9" ht="14.65" customHeight="1">
      <c r="A48" s="829"/>
      <c r="B48" s="830"/>
      <c r="C48" s="830"/>
      <c r="D48" s="830"/>
      <c r="E48" s="830"/>
      <c r="F48" s="830"/>
      <c r="G48" s="830"/>
      <c r="H48" s="830"/>
      <c r="I48" s="831"/>
    </row>
    <row r="49" spans="1:9" ht="14.65" customHeight="1">
      <c r="A49" s="829"/>
      <c r="B49" s="830"/>
      <c r="C49" s="830"/>
      <c r="D49" s="830"/>
      <c r="E49" s="830"/>
      <c r="F49" s="830"/>
      <c r="G49" s="830"/>
      <c r="H49" s="830"/>
      <c r="I49" s="831"/>
    </row>
    <row r="50" spans="1:9" ht="14.65" customHeight="1">
      <c r="A50" s="829"/>
      <c r="B50" s="830"/>
      <c r="C50" s="830"/>
      <c r="D50" s="830"/>
      <c r="E50" s="830"/>
      <c r="F50" s="830"/>
      <c r="G50" s="830"/>
      <c r="H50" s="830"/>
      <c r="I50" s="831"/>
    </row>
    <row r="51" spans="1:9" ht="14.65" customHeight="1">
      <c r="A51" s="829"/>
      <c r="B51" s="830"/>
      <c r="C51" s="830"/>
      <c r="D51" s="830"/>
      <c r="E51" s="830"/>
      <c r="F51" s="830"/>
      <c r="G51" s="830"/>
      <c r="H51" s="830"/>
      <c r="I51" s="831"/>
    </row>
    <row r="52" spans="1:9" ht="14.65" customHeight="1" thickBot="1">
      <c r="A52" s="835"/>
      <c r="B52" s="836"/>
      <c r="C52" s="837"/>
      <c r="D52" s="837"/>
      <c r="E52" s="837"/>
      <c r="F52" s="837"/>
      <c r="G52" s="837"/>
      <c r="H52" s="837"/>
      <c r="I52" s="838"/>
    </row>
    <row r="53" spans="1:9" ht="18" customHeight="1">
      <c r="A53" s="813"/>
      <c r="B53" s="789"/>
      <c r="C53" s="789"/>
      <c r="D53" s="789"/>
      <c r="E53" s="789"/>
      <c r="F53" s="789"/>
      <c r="G53" s="789"/>
      <c r="H53" s="789"/>
      <c r="I53" s="790"/>
    </row>
    <row r="54" spans="1:9" ht="15.75" thickBot="1">
      <c r="A54" s="839"/>
      <c r="B54" s="840"/>
      <c r="C54" s="840"/>
      <c r="D54" s="840"/>
      <c r="E54" s="840"/>
      <c r="F54" s="840"/>
      <c r="G54" s="840"/>
      <c r="H54" s="840"/>
      <c r="I54" s="841"/>
    </row>
    <row r="55" spans="1:9" ht="15.75" thickBot="1">
      <c r="A55" s="832"/>
      <c r="B55" s="833"/>
      <c r="C55" s="833"/>
      <c r="D55" s="833"/>
      <c r="E55" s="833"/>
      <c r="F55" s="833"/>
      <c r="G55" s="833"/>
      <c r="H55" s="833"/>
      <c r="I55" s="834"/>
    </row>
    <row r="56" spans="1:9">
      <c r="A56" s="769" t="s">
        <v>33</v>
      </c>
      <c r="B56" s="770"/>
      <c r="C56" s="770"/>
      <c r="D56" s="770"/>
      <c r="E56" s="770"/>
      <c r="F56" s="770"/>
      <c r="G56" s="770"/>
      <c r="H56" s="770"/>
      <c r="I56" s="770"/>
    </row>
    <row r="57" spans="1:9">
      <c r="A57" s="747"/>
      <c r="B57" s="748"/>
      <c r="C57" s="748"/>
      <c r="D57" s="748"/>
      <c r="E57" s="748"/>
      <c r="F57" s="748"/>
      <c r="G57" s="748"/>
      <c r="H57" s="748"/>
      <c r="I57" s="748"/>
    </row>
    <row r="58" spans="1:9">
      <c r="A58" s="747"/>
      <c r="B58" s="748"/>
      <c r="C58" s="748"/>
      <c r="D58" s="748"/>
      <c r="E58" s="748"/>
      <c r="F58" s="748"/>
      <c r="G58" s="748"/>
      <c r="H58" s="748"/>
      <c r="I58" s="748"/>
    </row>
  </sheetData>
  <mergeCells count="45">
    <mergeCell ref="A55:I55"/>
    <mergeCell ref="A56:I56"/>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2C97-7C28-458F-AC9B-8252682E775E}">
  <dimension ref="A1:I60"/>
  <sheetViews>
    <sheetView workbookViewId="0">
      <selection activeCell="B14" sqref="B14"/>
    </sheetView>
  </sheetViews>
  <sheetFormatPr baseColWidth="10" defaultRowHeight="15"/>
  <cols>
    <col min="2" max="2" width="13.7109375" customWidth="1"/>
    <col min="3" max="3" width="44.28515625" customWidth="1"/>
  </cols>
  <sheetData>
    <row r="1" spans="1:9" ht="18.75">
      <c r="A1" s="851"/>
      <c r="B1" s="852"/>
      <c r="C1" s="857" t="s">
        <v>30</v>
      </c>
      <c r="D1" s="857"/>
      <c r="E1" s="857"/>
      <c r="F1" s="857"/>
      <c r="G1" s="857"/>
      <c r="H1" s="485" t="s">
        <v>29</v>
      </c>
      <c r="I1" s="486" t="s">
        <v>311</v>
      </c>
    </row>
    <row r="2" spans="1:9" ht="19.5" thickBot="1">
      <c r="A2" s="853"/>
      <c r="B2" s="854"/>
      <c r="C2" s="858" t="s">
        <v>28</v>
      </c>
      <c r="D2" s="859"/>
      <c r="E2" s="859"/>
      <c r="F2" s="859"/>
      <c r="G2" s="860"/>
      <c r="H2" s="487" t="s">
        <v>27</v>
      </c>
      <c r="I2" s="488" t="s">
        <v>184</v>
      </c>
    </row>
    <row r="3" spans="1:9" ht="19.5" thickBot="1">
      <c r="A3" s="853"/>
      <c r="B3" s="854"/>
      <c r="C3" s="861" t="s">
        <v>312</v>
      </c>
      <c r="D3" s="862"/>
      <c r="E3" s="862"/>
      <c r="F3" s="862"/>
      <c r="G3" s="863"/>
      <c r="H3" s="864" t="s">
        <v>26</v>
      </c>
      <c r="I3" s="842">
        <v>45615</v>
      </c>
    </row>
    <row r="4" spans="1:9" ht="18.75">
      <c r="A4" s="853"/>
      <c r="B4" s="854"/>
      <c r="C4" s="489" t="s">
        <v>25</v>
      </c>
      <c r="D4" s="845" t="s">
        <v>186</v>
      </c>
      <c r="E4" s="846"/>
      <c r="F4" s="846"/>
      <c r="G4" s="847"/>
      <c r="H4" s="865"/>
      <c r="I4" s="843"/>
    </row>
    <row r="5" spans="1:9" ht="19.5" thickBot="1">
      <c r="A5" s="855"/>
      <c r="B5" s="856"/>
      <c r="C5" s="490" t="s">
        <v>24</v>
      </c>
      <c r="D5" s="848" t="s">
        <v>187</v>
      </c>
      <c r="E5" s="849"/>
      <c r="F5" s="849"/>
      <c r="G5" s="850"/>
      <c r="H5" s="866"/>
      <c r="I5" s="844"/>
    </row>
    <row r="6" spans="1:9" ht="39.75" thickBot="1">
      <c r="A6" s="867" t="s">
        <v>23</v>
      </c>
      <c r="B6" s="867"/>
      <c r="C6" s="867"/>
      <c r="D6" s="868" t="s">
        <v>313</v>
      </c>
      <c r="E6" s="868"/>
      <c r="F6" s="868"/>
      <c r="G6" s="869" t="s">
        <v>22</v>
      </c>
      <c r="H6" s="869"/>
      <c r="I6" s="491" t="s">
        <v>313</v>
      </c>
    </row>
    <row r="7" spans="1:9" ht="56.25">
      <c r="A7" s="870" t="s">
        <v>21</v>
      </c>
      <c r="B7" s="872" t="s">
        <v>31</v>
      </c>
      <c r="C7" s="874" t="s">
        <v>20</v>
      </c>
      <c r="D7" s="874" t="s">
        <v>19</v>
      </c>
      <c r="E7" s="874" t="s">
        <v>18</v>
      </c>
      <c r="F7" s="874"/>
      <c r="G7" s="874" t="s">
        <v>17</v>
      </c>
      <c r="H7" s="874"/>
      <c r="I7" s="492" t="s">
        <v>16</v>
      </c>
    </row>
    <row r="8" spans="1:9" ht="57" thickBot="1">
      <c r="A8" s="871"/>
      <c r="B8" s="873"/>
      <c r="C8" s="875"/>
      <c r="D8" s="875"/>
      <c r="E8" s="493" t="s">
        <v>13</v>
      </c>
      <c r="F8" s="494" t="s">
        <v>15</v>
      </c>
      <c r="G8" s="493" t="s">
        <v>13</v>
      </c>
      <c r="H8" s="494" t="s">
        <v>15</v>
      </c>
      <c r="I8" s="495" t="s">
        <v>14</v>
      </c>
    </row>
    <row r="9" spans="1:9" ht="19.5">
      <c r="A9" s="496"/>
      <c r="B9" s="497"/>
      <c r="C9" s="498" t="s">
        <v>32</v>
      </c>
      <c r="D9" s="499"/>
      <c r="E9" s="500"/>
      <c r="F9" s="501"/>
      <c r="G9" s="500"/>
      <c r="H9" s="501"/>
      <c r="I9" s="502"/>
    </row>
    <row r="10" spans="1:9" ht="16.149999999999999" customHeight="1">
      <c r="A10" s="503">
        <v>11400047</v>
      </c>
      <c r="B10" s="503" t="s">
        <v>314</v>
      </c>
      <c r="C10" s="504" t="s">
        <v>315</v>
      </c>
      <c r="D10" s="505" t="s">
        <v>316</v>
      </c>
      <c r="E10" s="506">
        <v>12230</v>
      </c>
      <c r="F10" s="507" t="s">
        <v>317</v>
      </c>
      <c r="G10" s="508"/>
      <c r="H10" s="509"/>
      <c r="I10" s="502"/>
    </row>
    <row r="11" spans="1:9" ht="19.5">
      <c r="A11" s="510" t="s">
        <v>318</v>
      </c>
      <c r="B11" s="511" t="s">
        <v>319</v>
      </c>
      <c r="C11" s="512" t="s">
        <v>320</v>
      </c>
      <c r="D11" s="513" t="s">
        <v>321</v>
      </c>
      <c r="E11" s="514">
        <v>17430</v>
      </c>
      <c r="F11" s="515" t="s">
        <v>1</v>
      </c>
      <c r="G11" s="508"/>
      <c r="H11" s="509"/>
      <c r="I11" s="502"/>
    </row>
    <row r="12" spans="1:9" ht="19.5">
      <c r="A12" s="516">
        <v>11400046</v>
      </c>
      <c r="B12" s="517" t="s">
        <v>322</v>
      </c>
      <c r="C12" s="518" t="s">
        <v>323</v>
      </c>
      <c r="D12" s="519" t="s">
        <v>321</v>
      </c>
      <c r="E12" s="519">
        <v>17430</v>
      </c>
      <c r="F12" s="519" t="s">
        <v>1</v>
      </c>
      <c r="G12" s="520"/>
      <c r="H12" s="509"/>
      <c r="I12" s="502"/>
    </row>
    <row r="13" spans="1:9" ht="19.5">
      <c r="A13" s="516">
        <v>11400031</v>
      </c>
      <c r="B13" s="517" t="s">
        <v>193</v>
      </c>
      <c r="C13" s="518" t="s">
        <v>324</v>
      </c>
      <c r="D13" s="519" t="s">
        <v>325</v>
      </c>
      <c r="E13" s="519">
        <v>14000</v>
      </c>
      <c r="F13" s="519" t="s">
        <v>1</v>
      </c>
      <c r="G13" s="520"/>
      <c r="H13" s="509"/>
      <c r="I13" s="502"/>
    </row>
    <row r="14" spans="1:9" ht="19.5">
      <c r="A14" s="521">
        <v>90100131</v>
      </c>
      <c r="B14" s="521" t="s">
        <v>326</v>
      </c>
      <c r="C14" s="512" t="s">
        <v>327</v>
      </c>
      <c r="D14" s="506" t="s">
        <v>36</v>
      </c>
      <c r="E14" s="522">
        <v>1475</v>
      </c>
      <c r="F14" s="507" t="s">
        <v>1</v>
      </c>
      <c r="G14" s="520"/>
      <c r="H14" s="509"/>
      <c r="I14" s="502"/>
    </row>
    <row r="15" spans="1:9" ht="19.5">
      <c r="A15" s="521">
        <v>1212410</v>
      </c>
      <c r="B15" s="521" t="s">
        <v>198</v>
      </c>
      <c r="C15" s="512" t="s">
        <v>199</v>
      </c>
      <c r="D15" s="506" t="s">
        <v>200</v>
      </c>
      <c r="E15" s="522">
        <v>140</v>
      </c>
      <c r="F15" s="507" t="s">
        <v>1</v>
      </c>
      <c r="G15" s="520"/>
      <c r="H15" s="509"/>
      <c r="I15" s="502"/>
    </row>
    <row r="16" spans="1:9" ht="19.5">
      <c r="A16" s="521"/>
      <c r="B16" s="521"/>
      <c r="C16" s="512"/>
      <c r="D16" s="506"/>
      <c r="E16" s="522"/>
      <c r="F16" s="507"/>
      <c r="G16" s="520"/>
      <c r="H16" s="509"/>
      <c r="I16" s="502"/>
    </row>
    <row r="17" spans="1:9" ht="19.5">
      <c r="A17" s="521"/>
      <c r="B17" s="521"/>
      <c r="C17" s="512"/>
      <c r="D17" s="506"/>
      <c r="E17" s="522"/>
      <c r="F17" s="507"/>
      <c r="G17" s="520"/>
      <c r="H17" s="509"/>
      <c r="I17" s="502"/>
    </row>
    <row r="18" spans="1:9" ht="19.5">
      <c r="A18" s="521"/>
      <c r="B18" s="521"/>
      <c r="C18" s="512"/>
      <c r="D18" s="506"/>
      <c r="E18" s="522"/>
      <c r="F18" s="507"/>
      <c r="G18" s="520"/>
      <c r="H18" s="509"/>
      <c r="I18" s="502"/>
    </row>
    <row r="19" spans="1:9" ht="19.5">
      <c r="A19" s="521"/>
      <c r="B19" s="521"/>
      <c r="C19" s="512"/>
      <c r="D19" s="506"/>
      <c r="E19" s="522"/>
      <c r="F19" s="507"/>
      <c r="G19" s="520"/>
      <c r="H19" s="509"/>
      <c r="I19" s="502"/>
    </row>
    <row r="20" spans="1:9" ht="19.5">
      <c r="A20" s="523"/>
      <c r="B20" s="521"/>
      <c r="C20" s="524"/>
      <c r="D20" s="525"/>
      <c r="E20" s="525"/>
      <c r="F20" s="525"/>
      <c r="G20" s="500"/>
      <c r="H20" s="509"/>
      <c r="I20" s="502"/>
    </row>
    <row r="21" spans="1:9" ht="19.5">
      <c r="A21" s="526"/>
      <c r="B21" s="527"/>
      <c r="C21" s="528" t="s">
        <v>39</v>
      </c>
      <c r="D21" s="522"/>
      <c r="E21" s="529"/>
      <c r="F21" s="507"/>
      <c r="G21" s="500"/>
      <c r="H21" s="501"/>
      <c r="I21" s="502"/>
    </row>
    <row r="22" spans="1:9" ht="19.5">
      <c r="A22" s="530"/>
      <c r="B22" s="531"/>
      <c r="C22" s="532"/>
      <c r="D22" s="533"/>
      <c r="E22" s="534"/>
      <c r="F22" s="535"/>
      <c r="G22" s="500"/>
      <c r="H22" s="501"/>
      <c r="I22" s="502"/>
    </row>
    <row r="23" spans="1:9" ht="19.5">
      <c r="A23" s="530"/>
      <c r="B23" s="531"/>
      <c r="C23" s="532"/>
      <c r="D23" s="533"/>
      <c r="E23" s="536"/>
      <c r="F23" s="535"/>
      <c r="G23" s="500"/>
      <c r="H23" s="501"/>
      <c r="I23" s="502"/>
    </row>
    <row r="24" spans="1:9" ht="19.5">
      <c r="A24" s="530"/>
      <c r="B24" s="531"/>
      <c r="C24" s="532"/>
      <c r="D24" s="533"/>
      <c r="E24" s="534"/>
      <c r="F24" s="535"/>
      <c r="G24" s="500"/>
      <c r="H24" s="501"/>
      <c r="I24" s="502"/>
    </row>
    <row r="25" spans="1:9" ht="19.5">
      <c r="A25" s="530"/>
      <c r="B25" s="531"/>
      <c r="C25" s="532"/>
      <c r="D25" s="533"/>
      <c r="E25" s="537"/>
      <c r="F25" s="538"/>
      <c r="G25" s="500"/>
      <c r="H25" s="501"/>
      <c r="I25" s="502"/>
    </row>
    <row r="26" spans="1:9" ht="19.5">
      <c r="A26" s="530"/>
      <c r="B26" s="531"/>
      <c r="C26" s="532"/>
      <c r="D26" s="533"/>
      <c r="E26" s="539"/>
      <c r="F26" s="538"/>
      <c r="G26" s="500"/>
      <c r="H26" s="501"/>
      <c r="I26" s="502"/>
    </row>
    <row r="27" spans="1:9" ht="19.5">
      <c r="A27" s="540"/>
      <c r="B27" s="540"/>
      <c r="C27" s="541"/>
      <c r="D27" s="542"/>
      <c r="E27" s="543"/>
      <c r="F27" s="544"/>
      <c r="G27" s="500"/>
      <c r="H27" s="501"/>
      <c r="I27" s="502"/>
    </row>
    <row r="28" spans="1:9" ht="19.5">
      <c r="A28" s="521"/>
      <c r="B28" s="521"/>
      <c r="C28" s="524"/>
      <c r="D28" s="545"/>
      <c r="E28" s="546"/>
      <c r="F28" s="544"/>
      <c r="G28" s="500"/>
      <c r="H28" s="501"/>
      <c r="I28" s="502"/>
    </row>
    <row r="29" spans="1:9" ht="19.5">
      <c r="A29" s="521"/>
      <c r="B29" s="521"/>
      <c r="C29" s="524"/>
      <c r="D29" s="545"/>
      <c r="E29" s="547"/>
      <c r="F29" s="548"/>
      <c r="G29" s="500"/>
      <c r="H29" s="501"/>
      <c r="I29" s="502"/>
    </row>
    <row r="30" spans="1:9" ht="19.5">
      <c r="A30" s="549"/>
      <c r="B30" s="550"/>
      <c r="C30" s="551" t="s">
        <v>105</v>
      </c>
      <c r="D30" s="552"/>
      <c r="E30" s="553"/>
      <c r="F30" s="501"/>
      <c r="G30" s="500"/>
      <c r="H30" s="541"/>
      <c r="I30" s="502"/>
    </row>
    <row r="31" spans="1:9" ht="19.5">
      <c r="A31" s="554"/>
      <c r="B31" s="554"/>
      <c r="C31" s="555"/>
      <c r="D31" s="519"/>
      <c r="E31" s="556"/>
      <c r="F31" s="557"/>
      <c r="G31" s="558"/>
      <c r="H31" s="501"/>
      <c r="I31" s="502"/>
    </row>
    <row r="32" spans="1:9" ht="19.5">
      <c r="A32" s="559"/>
      <c r="B32" s="559"/>
      <c r="C32" s="560"/>
      <c r="D32" s="519"/>
      <c r="E32" s="556"/>
      <c r="F32" s="557"/>
      <c r="G32" s="558"/>
      <c r="H32" s="501"/>
      <c r="I32" s="502"/>
    </row>
    <row r="33" spans="1:9" ht="19.5">
      <c r="A33" s="521"/>
      <c r="B33" s="521"/>
      <c r="C33" s="524"/>
      <c r="D33" s="561"/>
      <c r="E33" s="547"/>
      <c r="F33" s="520"/>
      <c r="G33" s="558"/>
      <c r="H33" s="501"/>
      <c r="I33" s="502"/>
    </row>
    <row r="34" spans="1:9" ht="19.5">
      <c r="A34" s="562"/>
      <c r="B34" s="562"/>
      <c r="C34" s="563"/>
      <c r="D34" s="519"/>
      <c r="E34" s="556"/>
      <c r="F34" s="557"/>
      <c r="G34" s="500"/>
      <c r="H34" s="501"/>
      <c r="I34" s="502"/>
    </row>
    <row r="35" spans="1:9" ht="19.5">
      <c r="A35" s="562"/>
      <c r="B35" s="562"/>
      <c r="C35" s="563"/>
      <c r="D35" s="519"/>
      <c r="E35" s="556"/>
      <c r="F35" s="557"/>
      <c r="G35" s="500"/>
      <c r="H35" s="501"/>
      <c r="I35" s="502"/>
    </row>
    <row r="36" spans="1:9" ht="19.5">
      <c r="A36" s="562"/>
      <c r="B36" s="562"/>
      <c r="C36" s="563"/>
      <c r="D36" s="519"/>
      <c r="E36" s="556"/>
      <c r="F36" s="557"/>
      <c r="G36" s="564"/>
      <c r="H36" s="501"/>
      <c r="I36" s="502"/>
    </row>
    <row r="37" spans="1:9" ht="19.5">
      <c r="A37" s="562"/>
      <c r="B37" s="562"/>
      <c r="C37" s="563" t="s">
        <v>227</v>
      </c>
      <c r="D37" s="519"/>
      <c r="E37" s="556"/>
      <c r="F37" s="557"/>
      <c r="G37" s="506"/>
      <c r="H37" s="501"/>
      <c r="I37" s="502"/>
    </row>
    <row r="38" spans="1:9" ht="19.5">
      <c r="A38" s="565"/>
      <c r="B38" s="565"/>
      <c r="C38" s="566"/>
      <c r="D38" s="519"/>
      <c r="E38" s="548"/>
      <c r="F38" s="548"/>
      <c r="G38" s="506"/>
      <c r="H38" s="501"/>
      <c r="I38" s="502"/>
    </row>
    <row r="39" spans="1:9" ht="19.5">
      <c r="A39" s="554"/>
      <c r="B39" s="521"/>
      <c r="C39" s="555"/>
      <c r="D39" s="561"/>
      <c r="E39" s="547"/>
      <c r="F39" s="520"/>
      <c r="G39" s="506"/>
      <c r="H39" s="501"/>
      <c r="I39" s="502"/>
    </row>
    <row r="40" spans="1:9" ht="19.5">
      <c r="A40" s="562"/>
      <c r="B40" s="562"/>
      <c r="C40" s="563"/>
      <c r="D40" s="519"/>
      <c r="E40" s="547"/>
      <c r="F40" s="520"/>
      <c r="G40" s="506"/>
      <c r="H40" s="501"/>
      <c r="I40" s="502"/>
    </row>
    <row r="41" spans="1:9" ht="19.5">
      <c r="A41" s="526"/>
      <c r="B41" s="527"/>
      <c r="C41" s="567"/>
      <c r="D41" s="522"/>
      <c r="E41" s="522"/>
      <c r="F41" s="507"/>
      <c r="G41" s="522"/>
      <c r="H41" s="522"/>
      <c r="I41" s="502"/>
    </row>
    <row r="42" spans="1:9" ht="19.5" thickBot="1">
      <c r="A42" s="568"/>
      <c r="B42" s="569"/>
      <c r="C42" s="570"/>
      <c r="D42" s="570"/>
      <c r="E42" s="571"/>
      <c r="F42" s="572"/>
      <c r="G42" s="570"/>
      <c r="H42" s="570"/>
      <c r="I42" s="573"/>
    </row>
    <row r="43" spans="1:9" ht="19.5" thickBot="1">
      <c r="A43" s="574"/>
      <c r="B43" s="575"/>
      <c r="C43" s="576"/>
      <c r="D43" s="577" t="s">
        <v>13</v>
      </c>
      <c r="E43" s="578" t="s">
        <v>12</v>
      </c>
      <c r="F43" s="579"/>
      <c r="G43" s="576"/>
      <c r="H43" s="576"/>
      <c r="I43" s="580"/>
    </row>
    <row r="44" spans="1:9" ht="18.75">
      <c r="A44" s="876" t="s">
        <v>11</v>
      </c>
      <c r="B44" s="877"/>
      <c r="C44" s="878"/>
      <c r="D44" s="546">
        <v>62500</v>
      </c>
      <c r="E44" s="581" t="s">
        <v>1</v>
      </c>
      <c r="F44" s="879" t="s">
        <v>10</v>
      </c>
      <c r="G44" s="879"/>
      <c r="H44" s="880"/>
      <c r="I44" s="881"/>
    </row>
    <row r="45" spans="1:9" ht="18.75">
      <c r="A45" s="882" t="s">
        <v>9</v>
      </c>
      <c r="B45" s="883"/>
      <c r="C45" s="884"/>
      <c r="D45" s="547">
        <v>11</v>
      </c>
      <c r="E45" s="520" t="s">
        <v>328</v>
      </c>
      <c r="F45" s="885" t="s">
        <v>7</v>
      </c>
      <c r="G45" s="885"/>
      <c r="H45" s="886"/>
      <c r="I45" s="887"/>
    </row>
    <row r="46" spans="1:9" ht="18.75">
      <c r="A46" s="882" t="s">
        <v>6</v>
      </c>
      <c r="B46" s="883"/>
      <c r="C46" s="884"/>
      <c r="D46" s="547">
        <v>1</v>
      </c>
      <c r="E46" s="520" t="s">
        <v>103</v>
      </c>
      <c r="F46" s="885" t="s">
        <v>5</v>
      </c>
      <c r="G46" s="885"/>
      <c r="H46" s="886"/>
      <c r="I46" s="887"/>
    </row>
    <row r="47" spans="1:9" ht="18.75">
      <c r="A47" s="882" t="s">
        <v>4</v>
      </c>
      <c r="B47" s="883"/>
      <c r="C47" s="884"/>
      <c r="D47" s="547">
        <v>62500</v>
      </c>
      <c r="E47" s="520" t="s">
        <v>1</v>
      </c>
      <c r="F47" s="889" t="s">
        <v>3</v>
      </c>
      <c r="G47" s="890"/>
      <c r="H47" s="891"/>
      <c r="I47" s="892"/>
    </row>
    <row r="48" spans="1:9" ht="19.5" thickBot="1">
      <c r="A48" s="893" t="s">
        <v>2</v>
      </c>
      <c r="B48" s="894"/>
      <c r="C48" s="895"/>
      <c r="D48" s="582">
        <v>205</v>
      </c>
      <c r="E48" s="583" t="s">
        <v>1</v>
      </c>
      <c r="F48" s="896"/>
      <c r="G48" s="896"/>
      <c r="H48" s="886"/>
      <c r="I48" s="887"/>
    </row>
    <row r="49" spans="1:9" ht="19.5" thickBot="1">
      <c r="A49" s="897" t="s">
        <v>0</v>
      </c>
      <c r="B49" s="898"/>
      <c r="C49" s="898"/>
      <c r="D49" s="898"/>
      <c r="E49" s="898"/>
      <c r="F49" s="898"/>
      <c r="G49" s="898"/>
      <c r="H49" s="898"/>
      <c r="I49" s="899"/>
    </row>
    <row r="50" spans="1:9" ht="19.5">
      <c r="A50" s="900" t="s">
        <v>329</v>
      </c>
      <c r="B50" s="900"/>
      <c r="C50" s="900"/>
      <c r="D50" s="900"/>
      <c r="E50" s="900"/>
      <c r="F50" s="900"/>
      <c r="G50" s="900"/>
      <c r="H50" s="900"/>
      <c r="I50" s="900"/>
    </row>
    <row r="51" spans="1:9" ht="19.5">
      <c r="A51" s="888" t="s">
        <v>330</v>
      </c>
      <c r="B51" s="888"/>
      <c r="C51" s="888"/>
      <c r="D51" s="888"/>
      <c r="E51" s="888"/>
      <c r="F51" s="888"/>
      <c r="G51" s="888"/>
      <c r="H51" s="888"/>
      <c r="I51" s="888"/>
    </row>
    <row r="52" spans="1:9" ht="19.5">
      <c r="A52" s="888" t="s">
        <v>331</v>
      </c>
      <c r="B52" s="888"/>
      <c r="C52" s="900"/>
      <c r="D52" s="900"/>
      <c r="E52" s="900"/>
      <c r="F52" s="900"/>
      <c r="G52" s="900"/>
      <c r="H52" s="900"/>
      <c r="I52" s="900"/>
    </row>
    <row r="53" spans="1:9" ht="19.5">
      <c r="A53" s="900" t="s">
        <v>332</v>
      </c>
      <c r="B53" s="900"/>
      <c r="C53" s="900"/>
      <c r="D53" s="900"/>
      <c r="E53" s="900"/>
      <c r="F53" s="900"/>
      <c r="G53" s="900"/>
      <c r="H53" s="900"/>
      <c r="I53" s="900"/>
    </row>
    <row r="54" spans="1:9" ht="19.5">
      <c r="A54" s="900" t="s">
        <v>333</v>
      </c>
      <c r="B54" s="900"/>
      <c r="C54" s="900"/>
      <c r="D54" s="900"/>
      <c r="E54" s="900"/>
      <c r="F54" s="900"/>
      <c r="G54" s="900"/>
      <c r="H54" s="900"/>
      <c r="I54" s="900"/>
    </row>
    <row r="55" spans="1:9" ht="19.5">
      <c r="A55" s="900" t="s">
        <v>334</v>
      </c>
      <c r="B55" s="900"/>
      <c r="C55" s="900"/>
      <c r="D55" s="900"/>
      <c r="E55" s="900"/>
      <c r="F55" s="900"/>
      <c r="G55" s="900"/>
      <c r="H55" s="900"/>
      <c r="I55" s="900"/>
    </row>
    <row r="56" spans="1:9" ht="18.75">
      <c r="A56" s="905"/>
      <c r="B56" s="906"/>
      <c r="C56" s="906"/>
      <c r="D56" s="906"/>
      <c r="E56" s="906"/>
      <c r="F56" s="906"/>
      <c r="G56" s="906"/>
      <c r="H56" s="906"/>
      <c r="I56" s="907"/>
    </row>
    <row r="57" spans="1:9" ht="20.25" thickBot="1">
      <c r="A57" s="908"/>
      <c r="B57" s="909"/>
      <c r="C57" s="909"/>
      <c r="D57" s="909"/>
      <c r="E57" s="909"/>
      <c r="F57" s="909"/>
      <c r="G57" s="909"/>
      <c r="H57" s="909"/>
      <c r="I57" s="910"/>
    </row>
    <row r="58" spans="1:9" ht="18.75">
      <c r="A58" s="901" t="s">
        <v>33</v>
      </c>
      <c r="B58" s="902"/>
      <c r="C58" s="902"/>
      <c r="D58" s="902"/>
      <c r="E58" s="902"/>
      <c r="F58" s="902"/>
      <c r="G58" s="902"/>
      <c r="H58" s="902"/>
      <c r="I58" s="902"/>
    </row>
    <row r="59" spans="1:9" ht="18.75">
      <c r="A59" s="848" t="s">
        <v>335</v>
      </c>
      <c r="B59" s="849"/>
      <c r="C59" s="849"/>
      <c r="D59" s="849"/>
      <c r="E59" s="849"/>
      <c r="F59" s="849"/>
      <c r="G59" s="849"/>
      <c r="H59" s="849"/>
      <c r="I59" s="850"/>
    </row>
    <row r="60" spans="1:9" ht="18.75">
      <c r="A60" s="903"/>
      <c r="B60" s="904"/>
      <c r="C60" s="904"/>
      <c r="D60" s="904"/>
      <c r="E60" s="904"/>
      <c r="F60" s="904"/>
      <c r="G60" s="904"/>
      <c r="H60" s="904"/>
      <c r="I60" s="904"/>
    </row>
  </sheetData>
  <mergeCells count="44">
    <mergeCell ref="A58:I58"/>
    <mergeCell ref="A59:I59"/>
    <mergeCell ref="A60:I60"/>
    <mergeCell ref="A52:I52"/>
    <mergeCell ref="A53:I53"/>
    <mergeCell ref="A54:I54"/>
    <mergeCell ref="A55:I55"/>
    <mergeCell ref="A56:I56"/>
    <mergeCell ref="A57:I57"/>
    <mergeCell ref="A51:I51"/>
    <mergeCell ref="A46:C46"/>
    <mergeCell ref="F46:G46"/>
    <mergeCell ref="H46:I46"/>
    <mergeCell ref="A47:C47"/>
    <mergeCell ref="F47:G47"/>
    <mergeCell ref="H47:I47"/>
    <mergeCell ref="A48:C48"/>
    <mergeCell ref="F48:G48"/>
    <mergeCell ref="H48:I48"/>
    <mergeCell ref="A49:I49"/>
    <mergeCell ref="A50:I50"/>
    <mergeCell ref="A44:C44"/>
    <mergeCell ref="F44:G44"/>
    <mergeCell ref="H44:I44"/>
    <mergeCell ref="A45:C45"/>
    <mergeCell ref="F45:G45"/>
    <mergeCell ref="H45:I45"/>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D529D-6B8C-44D3-B3F5-BD2E603B35A4}">
  <dimension ref="A1:I58"/>
  <sheetViews>
    <sheetView workbookViewId="0">
      <selection activeCell="C12" sqref="C12"/>
    </sheetView>
  </sheetViews>
  <sheetFormatPr baseColWidth="10" defaultRowHeight="15"/>
  <cols>
    <col min="2" max="2" width="13.42578125" bestFit="1" customWidth="1"/>
    <col min="3" max="3" width="49" customWidth="1"/>
    <col min="4" max="4" width="34.28515625" bestFit="1" customWidth="1"/>
    <col min="8" max="8" width="33.7109375" bestFit="1" customWidth="1"/>
    <col min="9" max="9" width="22.28515625" bestFit="1" customWidth="1"/>
  </cols>
  <sheetData>
    <row r="1" spans="1:9" ht="17.25">
      <c r="A1" s="702"/>
      <c r="B1" s="703"/>
      <c r="C1" s="683" t="s">
        <v>30</v>
      </c>
      <c r="D1" s="683"/>
      <c r="E1" s="683"/>
      <c r="F1" s="683"/>
      <c r="G1" s="683"/>
      <c r="H1" s="5" t="s">
        <v>29</v>
      </c>
      <c r="I1" s="6" t="s">
        <v>183</v>
      </c>
    </row>
    <row r="2" spans="1:9" ht="18" customHeight="1" thickBot="1">
      <c r="A2" s="704"/>
      <c r="B2" s="705"/>
      <c r="C2" s="684" t="s">
        <v>28</v>
      </c>
      <c r="D2" s="685"/>
      <c r="E2" s="685"/>
      <c r="F2" s="685"/>
      <c r="G2" s="686"/>
      <c r="H2" s="7" t="s">
        <v>27</v>
      </c>
      <c r="I2" s="8" t="s">
        <v>184</v>
      </c>
    </row>
    <row r="3" spans="1:9" ht="31.5" customHeight="1" thickBot="1">
      <c r="A3" s="704"/>
      <c r="B3" s="705"/>
      <c r="C3" s="911" t="s">
        <v>185</v>
      </c>
      <c r="D3" s="912"/>
      <c r="E3" s="912"/>
      <c r="F3" s="912"/>
      <c r="G3" s="913"/>
      <c r="H3" s="712" t="s">
        <v>26</v>
      </c>
      <c r="I3" s="693">
        <v>45613</v>
      </c>
    </row>
    <row r="4" spans="1:9" ht="18" customHeight="1">
      <c r="A4" s="704"/>
      <c r="B4" s="705"/>
      <c r="C4" s="9" t="s">
        <v>25</v>
      </c>
      <c r="D4" s="696" t="s">
        <v>186</v>
      </c>
      <c r="E4" s="697"/>
      <c r="F4" s="697"/>
      <c r="G4" s="698"/>
      <c r="H4" s="713"/>
      <c r="I4" s="694"/>
    </row>
    <row r="5" spans="1:9" ht="18" thickBot="1">
      <c r="A5" s="706"/>
      <c r="B5" s="707"/>
      <c r="C5" s="10" t="s">
        <v>24</v>
      </c>
      <c r="D5" s="699" t="s">
        <v>187</v>
      </c>
      <c r="E5" s="700"/>
      <c r="F5" s="700"/>
      <c r="G5" s="701"/>
      <c r="H5" s="714"/>
      <c r="I5" s="695"/>
    </row>
    <row r="6" spans="1:9" ht="16.5" thickBot="1">
      <c r="A6" s="724" t="s">
        <v>23</v>
      </c>
      <c r="B6" s="724"/>
      <c r="C6" s="724"/>
      <c r="D6" s="660" t="s">
        <v>39</v>
      </c>
      <c r="E6" s="660"/>
      <c r="F6" s="660"/>
      <c r="G6" s="717" t="s">
        <v>22</v>
      </c>
      <c r="H6" s="717"/>
      <c r="I6" s="11" t="s">
        <v>188</v>
      </c>
    </row>
    <row r="7" spans="1:9">
      <c r="A7" s="718" t="s">
        <v>21</v>
      </c>
      <c r="B7" s="720" t="s">
        <v>31</v>
      </c>
      <c r="C7" s="722" t="s">
        <v>20</v>
      </c>
      <c r="D7" s="722" t="s">
        <v>19</v>
      </c>
      <c r="E7" s="722" t="s">
        <v>18</v>
      </c>
      <c r="F7" s="722"/>
      <c r="G7" s="722" t="s">
        <v>17</v>
      </c>
      <c r="H7" s="722"/>
      <c r="I7" s="12" t="s">
        <v>16</v>
      </c>
    </row>
    <row r="8" spans="1:9" ht="31.5" thickBot="1">
      <c r="A8" s="914"/>
      <c r="B8" s="915"/>
      <c r="C8" s="916"/>
      <c r="D8" s="916"/>
      <c r="E8" s="13" t="s">
        <v>13</v>
      </c>
      <c r="F8" s="14" t="s">
        <v>15</v>
      </c>
      <c r="G8" s="13" t="s">
        <v>13</v>
      </c>
      <c r="H8" s="14" t="s">
        <v>15</v>
      </c>
      <c r="I8" s="15" t="s">
        <v>14</v>
      </c>
    </row>
    <row r="9" spans="1:9" ht="15.75">
      <c r="A9" s="276"/>
      <c r="B9" s="277"/>
      <c r="C9" s="278" t="s">
        <v>32</v>
      </c>
      <c r="D9" s="275"/>
      <c r="E9" s="274"/>
      <c r="F9" s="280"/>
      <c r="G9" s="274"/>
      <c r="H9" s="280"/>
      <c r="I9" s="16"/>
    </row>
    <row r="10" spans="1:9" ht="18" customHeight="1">
      <c r="A10" s="281">
        <v>11400029</v>
      </c>
      <c r="B10" s="282" t="s">
        <v>189</v>
      </c>
      <c r="C10" s="283" t="s">
        <v>190</v>
      </c>
      <c r="D10" s="284" t="s">
        <v>191</v>
      </c>
      <c r="E10" s="285">
        <v>16000</v>
      </c>
      <c r="F10" s="286" t="s">
        <v>1</v>
      </c>
      <c r="G10" s="287"/>
      <c r="H10" s="288" t="s">
        <v>192</v>
      </c>
      <c r="I10" s="16"/>
    </row>
    <row r="11" spans="1:9" ht="17.25">
      <c r="A11" s="281">
        <v>11400031</v>
      </c>
      <c r="B11" s="289" t="s">
        <v>193</v>
      </c>
      <c r="C11" s="290" t="s">
        <v>194</v>
      </c>
      <c r="D11" s="284" t="s">
        <v>191</v>
      </c>
      <c r="E11" s="291">
        <v>8000</v>
      </c>
      <c r="F11" s="292" t="s">
        <v>1</v>
      </c>
      <c r="G11" s="287"/>
      <c r="H11" s="288" t="s">
        <v>195</v>
      </c>
      <c r="I11" s="16"/>
    </row>
    <row r="12" spans="1:9" ht="17.25">
      <c r="A12" s="281" t="s">
        <v>196</v>
      </c>
      <c r="B12" s="289"/>
      <c r="C12" s="290" t="s">
        <v>197</v>
      </c>
      <c r="D12" s="284" t="s">
        <v>36</v>
      </c>
      <c r="E12" s="291">
        <v>1000</v>
      </c>
      <c r="F12" s="292" t="s">
        <v>1</v>
      </c>
      <c r="G12" s="293"/>
      <c r="H12" s="288"/>
      <c r="I12" s="16"/>
    </row>
    <row r="13" spans="1:9" ht="17.25">
      <c r="A13" s="281">
        <v>1212410</v>
      </c>
      <c r="B13" s="289" t="s">
        <v>198</v>
      </c>
      <c r="C13" s="290" t="s">
        <v>199</v>
      </c>
      <c r="D13" s="284" t="s">
        <v>200</v>
      </c>
      <c r="E13" s="291">
        <v>22</v>
      </c>
      <c r="F13" s="292" t="s">
        <v>1</v>
      </c>
      <c r="G13" s="293"/>
      <c r="H13" s="288"/>
      <c r="I13" s="16"/>
    </row>
    <row r="14" spans="1:9" ht="17.25">
      <c r="A14" s="294"/>
      <c r="B14" s="295"/>
      <c r="C14" s="296"/>
      <c r="D14" s="293"/>
      <c r="E14" s="293"/>
      <c r="F14" s="297"/>
      <c r="G14" s="293"/>
      <c r="H14" s="288"/>
      <c r="I14" s="16"/>
    </row>
    <row r="15" spans="1:9" ht="17.25">
      <c r="A15" s="298"/>
      <c r="B15" s="295"/>
      <c r="C15" s="299"/>
      <c r="D15" s="293"/>
      <c r="E15" s="293"/>
      <c r="F15" s="297"/>
      <c r="G15" s="293"/>
      <c r="H15" s="288"/>
      <c r="I15" s="16"/>
    </row>
    <row r="16" spans="1:9" ht="17.25">
      <c r="A16" s="293"/>
      <c r="B16" s="293"/>
      <c r="C16" s="300"/>
      <c r="D16" s="301"/>
      <c r="E16" s="301"/>
      <c r="F16" s="287"/>
      <c r="G16" s="293"/>
      <c r="H16" s="288"/>
      <c r="I16" s="16"/>
    </row>
    <row r="17" spans="1:9" ht="17.25">
      <c r="A17" s="295"/>
      <c r="B17" s="295"/>
      <c r="C17" s="302"/>
      <c r="D17" s="293"/>
      <c r="E17" s="293"/>
      <c r="F17" s="297"/>
      <c r="G17" s="293"/>
      <c r="H17" s="288"/>
      <c r="I17" s="16"/>
    </row>
    <row r="18" spans="1:9" ht="17.25">
      <c r="A18" s="294"/>
      <c r="B18" s="295"/>
      <c r="C18" s="296"/>
      <c r="D18" s="293"/>
      <c r="E18" s="293"/>
      <c r="F18" s="297"/>
      <c r="G18" s="293"/>
      <c r="H18" s="288"/>
      <c r="I18" s="16"/>
    </row>
    <row r="19" spans="1:9" ht="17.25">
      <c r="A19" s="46"/>
      <c r="B19" s="46"/>
      <c r="C19" s="303"/>
      <c r="D19" s="304"/>
      <c r="E19" s="27"/>
      <c r="F19" s="18"/>
      <c r="G19" s="274"/>
      <c r="H19" s="288"/>
      <c r="I19" s="16"/>
    </row>
    <row r="20" spans="1:9" ht="15.75">
      <c r="A20" s="28"/>
      <c r="B20" s="29"/>
      <c r="C20" s="305" t="s">
        <v>39</v>
      </c>
      <c r="D20" s="3"/>
      <c r="E20" s="306"/>
      <c r="F20" s="31"/>
      <c r="G20" s="274"/>
      <c r="H20" s="280"/>
      <c r="I20" s="16"/>
    </row>
    <row r="21" spans="1:9" ht="17.25">
      <c r="A21" s="281"/>
      <c r="B21" s="307"/>
      <c r="C21" s="283"/>
      <c r="D21" s="284"/>
      <c r="E21" s="291"/>
      <c r="F21" s="292"/>
      <c r="G21" s="274"/>
      <c r="H21" s="280"/>
      <c r="I21" s="16"/>
    </row>
    <row r="22" spans="1:9" ht="17.25">
      <c r="A22" s="281"/>
      <c r="B22" s="307"/>
      <c r="C22" s="283"/>
      <c r="D22" s="284"/>
      <c r="E22" s="308"/>
      <c r="F22" s="292"/>
      <c r="G22" s="274"/>
      <c r="H22" s="280"/>
      <c r="I22" s="16"/>
    </row>
    <row r="23" spans="1:9" ht="17.25">
      <c r="A23" s="281"/>
      <c r="B23" s="307"/>
      <c r="C23" s="283"/>
      <c r="D23" s="284"/>
      <c r="E23" s="291"/>
      <c r="F23" s="292"/>
      <c r="G23" s="274"/>
      <c r="H23" s="280"/>
      <c r="I23" s="16"/>
    </row>
    <row r="24" spans="1:9" ht="17.25">
      <c r="A24" s="281"/>
      <c r="B24" s="307"/>
      <c r="C24" s="283"/>
      <c r="D24" s="284"/>
      <c r="E24" s="309"/>
      <c r="F24" s="310"/>
      <c r="G24" s="274"/>
      <c r="H24" s="280"/>
      <c r="I24" s="16"/>
    </row>
    <row r="25" spans="1:9" ht="17.25">
      <c r="A25" s="281"/>
      <c r="B25" s="307"/>
      <c r="C25" s="283"/>
      <c r="D25" s="284"/>
      <c r="E25" s="285"/>
      <c r="F25" s="310"/>
      <c r="G25" s="274"/>
      <c r="H25" s="280"/>
      <c r="I25" s="16"/>
    </row>
    <row r="26" spans="1:9" ht="17.25">
      <c r="A26" s="311"/>
      <c r="B26" s="311"/>
      <c r="C26" s="312"/>
      <c r="D26" s="313"/>
      <c r="E26" s="314"/>
      <c r="F26" s="315"/>
      <c r="G26" s="274"/>
      <c r="H26" s="280"/>
      <c r="I26" s="16"/>
    </row>
    <row r="27" spans="1:9" ht="17.25">
      <c r="A27" s="46"/>
      <c r="B27" s="46"/>
      <c r="C27" s="303"/>
      <c r="D27" s="316"/>
      <c r="E27" s="317"/>
      <c r="F27" s="315"/>
      <c r="G27" s="274"/>
      <c r="H27" s="280"/>
      <c r="I27" s="16"/>
    </row>
    <row r="28" spans="1:9" ht="17.25">
      <c r="A28" s="46"/>
      <c r="B28" s="46"/>
      <c r="C28" s="303"/>
      <c r="D28" s="316"/>
      <c r="E28" s="308"/>
      <c r="F28" s="24"/>
      <c r="G28" s="274"/>
      <c r="H28" s="280"/>
      <c r="I28" s="16"/>
    </row>
    <row r="29" spans="1:9" ht="15.75">
      <c r="A29" s="318"/>
      <c r="B29" s="319"/>
      <c r="C29" s="320" t="s">
        <v>105</v>
      </c>
      <c r="D29" s="321"/>
      <c r="E29" s="322"/>
      <c r="F29" s="280"/>
      <c r="G29" s="274"/>
      <c r="H29" s="312"/>
      <c r="I29" s="16"/>
    </row>
    <row r="30" spans="1:9" ht="17.25">
      <c r="A30" s="323">
        <v>702123</v>
      </c>
      <c r="B30" s="323" t="s">
        <v>71</v>
      </c>
      <c r="C30" s="30" t="s">
        <v>76</v>
      </c>
      <c r="D30" s="324"/>
      <c r="E30" s="325">
        <v>1</v>
      </c>
      <c r="F30" s="326" t="s">
        <v>37</v>
      </c>
      <c r="G30" s="327"/>
      <c r="H30" s="280"/>
      <c r="I30" s="16"/>
    </row>
    <row r="31" spans="1:9" ht="17.25">
      <c r="A31" s="323"/>
      <c r="B31" s="323"/>
      <c r="C31" s="30"/>
      <c r="D31" s="324"/>
      <c r="E31" s="325"/>
      <c r="F31" s="326"/>
      <c r="G31" s="327"/>
      <c r="H31" s="280"/>
      <c r="I31" s="16"/>
    </row>
    <row r="32" spans="1:9" ht="17.25">
      <c r="A32" s="323"/>
      <c r="B32" s="323"/>
      <c r="C32" s="30"/>
      <c r="D32" s="324"/>
      <c r="E32" s="325"/>
      <c r="F32" s="326"/>
      <c r="G32" s="327"/>
      <c r="H32" s="280"/>
      <c r="I32" s="16"/>
    </row>
    <row r="33" spans="1:9" ht="15.75">
      <c r="A33" s="328"/>
      <c r="B33" s="328"/>
      <c r="C33" s="329"/>
      <c r="D33" s="1"/>
      <c r="E33" s="330"/>
      <c r="F33" s="331"/>
      <c r="G33" s="274"/>
      <c r="H33" s="280"/>
      <c r="I33" s="16"/>
    </row>
    <row r="34" spans="1:9" ht="15.75">
      <c r="A34" s="328"/>
      <c r="B34" s="328"/>
      <c r="C34" s="332"/>
      <c r="D34" s="1"/>
      <c r="E34" s="1"/>
      <c r="F34" s="331"/>
      <c r="G34" s="274"/>
      <c r="H34" s="280"/>
      <c r="I34" s="16"/>
    </row>
    <row r="35" spans="1:9" ht="15.75">
      <c r="A35" s="328"/>
      <c r="B35" s="328"/>
      <c r="C35" s="332"/>
      <c r="D35" s="1"/>
      <c r="E35" s="1"/>
      <c r="F35" s="331"/>
      <c r="G35" s="333"/>
      <c r="H35" s="280"/>
      <c r="I35" s="16"/>
    </row>
    <row r="36" spans="1:9" ht="15.75">
      <c r="A36" s="334"/>
      <c r="B36" s="335"/>
      <c r="C36" s="336"/>
      <c r="D36" s="337"/>
      <c r="E36" s="337"/>
      <c r="F36" s="338"/>
      <c r="G36" s="19"/>
      <c r="H36" s="280"/>
      <c r="I36" s="16"/>
    </row>
    <row r="37" spans="1:9" ht="15.75">
      <c r="A37" s="28"/>
      <c r="B37" s="29"/>
      <c r="C37" s="30"/>
      <c r="D37" s="1"/>
      <c r="E37" s="19"/>
      <c r="F37" s="31"/>
      <c r="G37" s="19"/>
      <c r="H37" s="280"/>
      <c r="I37" s="16"/>
    </row>
    <row r="38" spans="1:9" ht="15.75">
      <c r="A38" s="28"/>
      <c r="B38" s="29"/>
      <c r="C38" s="30"/>
      <c r="D38" s="3"/>
      <c r="E38" s="3"/>
      <c r="F38" s="31"/>
      <c r="G38" s="3"/>
      <c r="H38" s="3"/>
      <c r="I38" s="16"/>
    </row>
    <row r="39" spans="1:9" ht="18" thickBot="1">
      <c r="A39" s="32"/>
      <c r="B39" s="33"/>
      <c r="C39" s="34"/>
      <c r="D39" s="34"/>
      <c r="E39" s="35"/>
      <c r="F39" s="36"/>
      <c r="G39" s="34"/>
      <c r="H39" s="34"/>
      <c r="I39" s="37"/>
    </row>
    <row r="40" spans="1:9" ht="18" thickBot="1">
      <c r="A40" s="38"/>
      <c r="B40" s="39"/>
      <c r="C40" s="40"/>
      <c r="D40" s="41" t="s">
        <v>13</v>
      </c>
      <c r="E40" s="42" t="s">
        <v>12</v>
      </c>
      <c r="F40" s="43"/>
      <c r="G40" s="40"/>
      <c r="H40" s="40"/>
      <c r="I40" s="44"/>
    </row>
    <row r="41" spans="1:9" ht="17.25">
      <c r="A41" s="725" t="s">
        <v>11</v>
      </c>
      <c r="B41" s="726"/>
      <c r="C41" s="727"/>
      <c r="D41" s="317">
        <v>24500</v>
      </c>
      <c r="E41" s="339" t="s">
        <v>1</v>
      </c>
      <c r="F41" s="728" t="s">
        <v>10</v>
      </c>
      <c r="G41" s="728"/>
      <c r="H41" s="715"/>
      <c r="I41" s="716"/>
    </row>
    <row r="42" spans="1:9" ht="17.25">
      <c r="A42" s="729" t="s">
        <v>9</v>
      </c>
      <c r="B42" s="730"/>
      <c r="C42" s="731"/>
      <c r="D42" s="293">
        <v>21</v>
      </c>
      <c r="E42" s="293" t="s">
        <v>8</v>
      </c>
      <c r="F42" s="732" t="s">
        <v>7</v>
      </c>
      <c r="G42" s="732"/>
      <c r="H42" s="733"/>
      <c r="I42" s="734"/>
    </row>
    <row r="43" spans="1:9" ht="17.25">
      <c r="A43" s="729" t="s">
        <v>6</v>
      </c>
      <c r="B43" s="730"/>
      <c r="C43" s="731"/>
      <c r="D43" s="293">
        <v>1</v>
      </c>
      <c r="E43" s="293" t="s">
        <v>37</v>
      </c>
      <c r="F43" s="732" t="s">
        <v>5</v>
      </c>
      <c r="G43" s="732"/>
      <c r="H43" s="733"/>
      <c r="I43" s="734"/>
    </row>
    <row r="44" spans="1:9" ht="17.25">
      <c r="A44" s="729" t="s">
        <v>4</v>
      </c>
      <c r="B44" s="730"/>
      <c r="C44" s="731"/>
      <c r="D44" s="308">
        <v>24500</v>
      </c>
      <c r="E44" s="293" t="s">
        <v>1</v>
      </c>
      <c r="F44" s="735" t="s">
        <v>3</v>
      </c>
      <c r="G44" s="736"/>
      <c r="H44" s="921"/>
      <c r="I44" s="922"/>
    </row>
    <row r="45" spans="1:9" ht="18" thickBot="1">
      <c r="A45" s="737" t="s">
        <v>2</v>
      </c>
      <c r="B45" s="738"/>
      <c r="C45" s="739"/>
      <c r="D45" s="340">
        <v>500</v>
      </c>
      <c r="E45" s="341" t="s">
        <v>1</v>
      </c>
      <c r="F45" s="749"/>
      <c r="G45" s="749"/>
      <c r="H45" s="733"/>
      <c r="I45" s="734"/>
    </row>
    <row r="46" spans="1:9" ht="16.5" thickBot="1">
      <c r="A46" s="740" t="s">
        <v>0</v>
      </c>
      <c r="B46" s="741"/>
      <c r="C46" s="741"/>
      <c r="D46" s="741"/>
      <c r="E46" s="741"/>
      <c r="F46" s="741"/>
      <c r="G46" s="741"/>
      <c r="H46" s="741"/>
      <c r="I46" s="742"/>
    </row>
    <row r="47" spans="1:9" ht="18.399999999999999" customHeight="1">
      <c r="A47" s="917" t="s">
        <v>201</v>
      </c>
      <c r="B47" s="918"/>
      <c r="C47" s="919"/>
      <c r="D47" s="919"/>
      <c r="E47" s="919"/>
      <c r="F47" s="919"/>
      <c r="G47" s="919"/>
      <c r="H47" s="919"/>
      <c r="I47" s="920"/>
    </row>
    <row r="48" spans="1:9" ht="14.65" customHeight="1">
      <c r="A48" s="917" t="s">
        <v>202</v>
      </c>
      <c r="B48" s="918"/>
      <c r="C48" s="919"/>
      <c r="D48" s="919"/>
      <c r="E48" s="919"/>
      <c r="F48" s="919"/>
      <c r="G48" s="919"/>
      <c r="H48" s="919"/>
      <c r="I48" s="920"/>
    </row>
    <row r="49" spans="1:9" ht="14.65" customHeight="1">
      <c r="A49" s="763" t="s">
        <v>203</v>
      </c>
      <c r="B49" s="764"/>
      <c r="C49" s="764"/>
      <c r="D49" s="764"/>
      <c r="E49" s="764"/>
      <c r="F49" s="764"/>
      <c r="G49" s="764"/>
      <c r="H49" s="764"/>
      <c r="I49" s="765"/>
    </row>
    <row r="50" spans="1:9" ht="14.65" customHeight="1">
      <c r="A50" s="930"/>
      <c r="B50" s="931"/>
      <c r="C50" s="931"/>
      <c r="D50" s="931"/>
      <c r="E50" s="931"/>
      <c r="F50" s="931"/>
      <c r="G50" s="931"/>
      <c r="H50" s="931"/>
      <c r="I50" s="932"/>
    </row>
    <row r="51" spans="1:9" ht="14.65" customHeight="1">
      <c r="A51" s="930"/>
      <c r="B51" s="931"/>
      <c r="C51" s="931"/>
      <c r="D51" s="931"/>
      <c r="E51" s="931"/>
      <c r="F51" s="931"/>
      <c r="G51" s="931"/>
      <c r="H51" s="931"/>
      <c r="I51" s="932"/>
    </row>
    <row r="52" spans="1:9" ht="14.65" customHeight="1" thickBot="1">
      <c r="A52" s="933"/>
      <c r="B52" s="934"/>
      <c r="C52" s="934"/>
      <c r="D52" s="934"/>
      <c r="E52" s="934"/>
      <c r="F52" s="934"/>
      <c r="G52" s="934"/>
      <c r="H52" s="934"/>
      <c r="I52" s="935"/>
    </row>
    <row r="53" spans="1:9" ht="18" customHeight="1">
      <c r="A53" s="936"/>
      <c r="B53" s="937"/>
      <c r="C53" s="937"/>
      <c r="D53" s="937"/>
      <c r="E53" s="937"/>
      <c r="F53" s="937"/>
      <c r="G53" s="937"/>
      <c r="H53" s="937"/>
      <c r="I53" s="938"/>
    </row>
    <row r="54" spans="1:9" ht="18" thickBot="1">
      <c r="A54" s="939"/>
      <c r="B54" s="940"/>
      <c r="C54" s="940"/>
      <c r="D54" s="940"/>
      <c r="E54" s="940"/>
      <c r="F54" s="940"/>
      <c r="G54" s="940"/>
      <c r="H54" s="940"/>
      <c r="I54" s="941"/>
    </row>
    <row r="55" spans="1:9" ht="15.75">
      <c r="A55" s="923"/>
      <c r="B55" s="924"/>
      <c r="C55" s="924"/>
      <c r="D55" s="924"/>
      <c r="E55" s="924"/>
      <c r="F55" s="924"/>
      <c r="G55" s="924"/>
      <c r="H55" s="924"/>
      <c r="I55" s="925"/>
    </row>
    <row r="56" spans="1:9" ht="16.5" thickBot="1">
      <c r="A56" s="312"/>
      <c r="B56" s="312"/>
      <c r="C56" s="312"/>
      <c r="D56" s="312"/>
      <c r="E56" s="312"/>
      <c r="F56" s="312"/>
      <c r="G56" s="312"/>
      <c r="H56" s="312"/>
      <c r="I56" s="312"/>
    </row>
    <row r="57" spans="1:9" ht="15.75">
      <c r="A57" s="926" t="s">
        <v>204</v>
      </c>
      <c r="B57" s="927"/>
      <c r="C57" s="927"/>
      <c r="D57" s="927"/>
      <c r="E57" s="927"/>
      <c r="F57" s="927"/>
      <c r="G57" s="927"/>
      <c r="H57" s="927"/>
      <c r="I57" s="927"/>
    </row>
    <row r="58" spans="1:9" ht="17.25">
      <c r="A58" s="928"/>
      <c r="B58" s="929"/>
      <c r="C58" s="929"/>
      <c r="D58" s="929"/>
      <c r="E58" s="929"/>
      <c r="F58" s="929"/>
      <c r="G58" s="929"/>
      <c r="H58" s="929"/>
      <c r="I58" s="929"/>
    </row>
  </sheetData>
  <mergeCells count="44">
    <mergeCell ref="A55:I55"/>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760F-7FF0-4F6A-AA4C-BFEA7EB17E0E}">
  <dimension ref="A1:M33"/>
  <sheetViews>
    <sheetView zoomScale="70" zoomScaleNormal="70" workbookViewId="0">
      <selection sqref="A1:XFD1048576"/>
    </sheetView>
  </sheetViews>
  <sheetFormatPr baseColWidth="10" defaultRowHeight="15"/>
  <cols>
    <col min="1" max="1" width="14.42578125" customWidth="1"/>
    <col min="2" max="2" width="17.7109375" customWidth="1"/>
    <col min="3" max="3" width="72.85546875" customWidth="1"/>
    <col min="4" max="4" width="23.28515625" customWidth="1"/>
    <col min="5" max="5" width="14.140625" customWidth="1"/>
    <col min="6" max="6" width="13.28515625" customWidth="1"/>
    <col min="7" max="7" width="20" customWidth="1"/>
    <col min="8" max="8" width="16.5703125" customWidth="1"/>
    <col min="9" max="9" width="17.42578125" bestFit="1" customWidth="1"/>
  </cols>
  <sheetData>
    <row r="1" spans="1:9" ht="15.75">
      <c r="A1" s="677"/>
      <c r="B1" s="678"/>
      <c r="C1" s="683" t="s">
        <v>30</v>
      </c>
      <c r="D1" s="683"/>
      <c r="E1" s="683"/>
      <c r="F1" s="683"/>
      <c r="G1" s="683"/>
      <c r="H1" s="120" t="s">
        <v>29</v>
      </c>
      <c r="I1" s="121" t="s">
        <v>336</v>
      </c>
    </row>
    <row r="2" spans="1:9" ht="16.5" thickBot="1">
      <c r="A2" s="679"/>
      <c r="B2" s="680"/>
      <c r="C2" s="708" t="s">
        <v>28</v>
      </c>
      <c r="D2" s="708"/>
      <c r="E2" s="708"/>
      <c r="F2" s="708"/>
      <c r="G2" s="708"/>
      <c r="H2" s="122" t="s">
        <v>27</v>
      </c>
      <c r="I2" s="123" t="s">
        <v>206</v>
      </c>
    </row>
    <row r="3" spans="1:9" ht="23.25" thickBot="1">
      <c r="A3" s="679"/>
      <c r="B3" s="680"/>
      <c r="C3" s="687" t="s">
        <v>337</v>
      </c>
      <c r="D3" s="688"/>
      <c r="E3" s="688"/>
      <c r="F3" s="688"/>
      <c r="G3" s="689"/>
      <c r="H3" s="690" t="s">
        <v>26</v>
      </c>
      <c r="I3" s="668">
        <v>45609</v>
      </c>
    </row>
    <row r="4" spans="1:9">
      <c r="A4" s="679"/>
      <c r="B4" s="680"/>
      <c r="C4" s="124" t="s">
        <v>25</v>
      </c>
      <c r="D4" s="671" t="s">
        <v>186</v>
      </c>
      <c r="E4" s="672"/>
      <c r="F4" s="672"/>
      <c r="G4" s="673"/>
      <c r="H4" s="691"/>
      <c r="I4" s="669"/>
    </row>
    <row r="5" spans="1:9" ht="15.75" thickBot="1">
      <c r="A5" s="681"/>
      <c r="B5" s="682"/>
      <c r="C5" s="125" t="s">
        <v>24</v>
      </c>
      <c r="D5" s="674" t="s">
        <v>187</v>
      </c>
      <c r="E5" s="675"/>
      <c r="F5" s="675"/>
      <c r="G5" s="676"/>
      <c r="H5" s="692"/>
      <c r="I5" s="670"/>
    </row>
    <row r="6" spans="1:9" ht="18.75" thickBot="1">
      <c r="A6" s="659" t="s">
        <v>23</v>
      </c>
      <c r="B6" s="659"/>
      <c r="C6" s="659"/>
      <c r="D6" s="660" t="s">
        <v>338</v>
      </c>
      <c r="E6" s="660"/>
      <c r="F6" s="660"/>
      <c r="G6" s="661" t="s">
        <v>22</v>
      </c>
      <c r="H6" s="661"/>
      <c r="I6" s="11" t="s">
        <v>338</v>
      </c>
    </row>
    <row r="7" spans="1:9" ht="25.5">
      <c r="A7" s="662" t="s">
        <v>21</v>
      </c>
      <c r="B7" s="664" t="s">
        <v>31</v>
      </c>
      <c r="C7" s="666" t="s">
        <v>20</v>
      </c>
      <c r="D7" s="666" t="s">
        <v>19</v>
      </c>
      <c r="E7" s="666" t="s">
        <v>18</v>
      </c>
      <c r="F7" s="666"/>
      <c r="G7" s="666" t="s">
        <v>17</v>
      </c>
      <c r="H7" s="666"/>
      <c r="I7" s="126" t="s">
        <v>16</v>
      </c>
    </row>
    <row r="8" spans="1:9" ht="27" thickBot="1">
      <c r="A8" s="663"/>
      <c r="B8" s="665"/>
      <c r="C8" s="667"/>
      <c r="D8" s="667"/>
      <c r="E8" s="127" t="s">
        <v>13</v>
      </c>
      <c r="F8" s="128" t="s">
        <v>15</v>
      </c>
      <c r="G8" s="127" t="s">
        <v>13</v>
      </c>
      <c r="H8" s="128" t="s">
        <v>15</v>
      </c>
      <c r="I8" s="129" t="s">
        <v>14</v>
      </c>
    </row>
    <row r="9" spans="1:9" ht="20.25">
      <c r="A9" s="130"/>
      <c r="B9" s="131"/>
      <c r="C9" s="132" t="s">
        <v>32</v>
      </c>
      <c r="D9" s="133"/>
      <c r="E9" s="105"/>
      <c r="F9" s="106"/>
      <c r="G9" s="105"/>
      <c r="H9" s="106"/>
      <c r="I9" s="134"/>
    </row>
    <row r="10" spans="1:9" ht="20.25">
      <c r="A10" s="443" t="s">
        <v>339</v>
      </c>
      <c r="B10" s="444" t="s">
        <v>340</v>
      </c>
      <c r="C10" s="150" t="s">
        <v>341</v>
      </c>
      <c r="D10" s="584" t="s">
        <v>342</v>
      </c>
      <c r="E10" s="585">
        <v>20000</v>
      </c>
      <c r="F10" s="586"/>
      <c r="G10" s="587"/>
      <c r="H10" s="106"/>
      <c r="I10" s="134"/>
    </row>
    <row r="11" spans="1:9" ht="20.25">
      <c r="A11" s="588" t="s">
        <v>343</v>
      </c>
      <c r="B11" s="151" t="s">
        <v>193</v>
      </c>
      <c r="C11" s="151" t="s">
        <v>344</v>
      </c>
      <c r="D11" s="584" t="s">
        <v>325</v>
      </c>
      <c r="E11" s="585">
        <v>20000</v>
      </c>
      <c r="F11" s="118"/>
      <c r="G11" s="587"/>
      <c r="H11" s="106"/>
      <c r="I11" s="134"/>
    </row>
    <row r="12" spans="1:9" ht="20.25">
      <c r="A12" s="151"/>
      <c r="B12" s="151"/>
      <c r="C12" s="353"/>
      <c r="D12" s="351"/>
      <c r="E12" s="351"/>
      <c r="F12" s="143"/>
      <c r="G12" s="105"/>
      <c r="H12" s="106"/>
      <c r="I12" s="134"/>
    </row>
    <row r="13" spans="1:9" ht="20.25">
      <c r="A13" s="139"/>
      <c r="B13" s="140"/>
      <c r="C13" s="141" t="s">
        <v>39</v>
      </c>
      <c r="D13" s="102"/>
      <c r="E13" s="142"/>
      <c r="F13" s="143"/>
      <c r="G13" s="105"/>
      <c r="H13" s="106"/>
      <c r="I13" s="134"/>
    </row>
    <row r="14" spans="1:9" ht="20.25">
      <c r="A14" s="151"/>
      <c r="B14" s="151"/>
      <c r="C14" s="353"/>
      <c r="D14" s="116"/>
      <c r="E14" s="589"/>
      <c r="F14" s="590"/>
      <c r="G14" s="105"/>
      <c r="H14" s="106"/>
      <c r="I14" s="134"/>
    </row>
    <row r="15" spans="1:9" ht="20.25">
      <c r="A15" s="144"/>
      <c r="B15" s="145"/>
      <c r="C15" s="146" t="s">
        <v>105</v>
      </c>
      <c r="D15" s="147"/>
      <c r="E15" s="105"/>
      <c r="F15" s="106"/>
      <c r="G15" s="105"/>
      <c r="H15" s="106"/>
      <c r="I15" s="134"/>
    </row>
    <row r="16" spans="1:9" ht="20.25">
      <c r="A16" s="139"/>
      <c r="B16" s="140"/>
      <c r="C16" s="152"/>
      <c r="D16" s="102"/>
      <c r="E16" s="351"/>
      <c r="F16" s="143"/>
      <c r="G16" s="351"/>
      <c r="H16" s="143"/>
      <c r="I16" s="134"/>
    </row>
    <row r="17" spans="1:13" ht="20.25">
      <c r="A17" s="139"/>
      <c r="B17" s="140"/>
      <c r="C17" s="152"/>
      <c r="D17" s="102"/>
      <c r="E17" s="102"/>
      <c r="F17" s="143"/>
      <c r="G17" s="102"/>
      <c r="H17" s="102"/>
      <c r="I17" s="134"/>
    </row>
    <row r="18" spans="1:13" ht="21" thickBot="1">
      <c r="A18" s="153"/>
      <c r="B18" s="154"/>
      <c r="C18" s="155"/>
      <c r="D18" s="155"/>
      <c r="E18" s="156"/>
      <c r="F18" s="157"/>
      <c r="G18" s="155"/>
      <c r="H18" s="155"/>
      <c r="I18" s="158"/>
      <c r="J18" s="591"/>
      <c r="K18" s="591"/>
      <c r="L18" s="592"/>
      <c r="M18" s="591"/>
    </row>
    <row r="19" spans="1:13" ht="21" thickBot="1">
      <c r="A19" s="159"/>
      <c r="B19" s="160"/>
      <c r="C19" s="161"/>
      <c r="D19" s="162" t="s">
        <v>13</v>
      </c>
      <c r="E19" s="163" t="s">
        <v>12</v>
      </c>
      <c r="F19" s="164"/>
      <c r="G19" s="161"/>
      <c r="H19" s="161"/>
      <c r="I19" s="165"/>
      <c r="J19" s="591"/>
      <c r="K19" s="591"/>
      <c r="L19" s="592"/>
      <c r="M19" s="591"/>
    </row>
    <row r="20" spans="1:13" ht="20.25">
      <c r="A20" s="653" t="s">
        <v>11</v>
      </c>
      <c r="B20" s="654"/>
      <c r="C20" s="655"/>
      <c r="D20" s="166">
        <v>37380</v>
      </c>
      <c r="E20" s="167" t="s">
        <v>1</v>
      </c>
      <c r="F20" s="656" t="s">
        <v>10</v>
      </c>
      <c r="G20" s="656"/>
      <c r="H20" s="657"/>
      <c r="I20" s="658"/>
      <c r="J20" s="591"/>
      <c r="K20" s="591"/>
      <c r="L20" s="592"/>
      <c r="M20" s="591"/>
    </row>
    <row r="21" spans="1:13" ht="20.25">
      <c r="A21" s="645" t="s">
        <v>9</v>
      </c>
      <c r="B21" s="646"/>
      <c r="C21" s="647"/>
      <c r="D21" s="593">
        <v>25</v>
      </c>
      <c r="E21" s="151" t="s">
        <v>308</v>
      </c>
      <c r="F21" s="648" t="s">
        <v>7</v>
      </c>
      <c r="G21" s="648"/>
      <c r="H21" s="640"/>
      <c r="I21" s="641"/>
      <c r="J21" s="591"/>
      <c r="K21" s="591"/>
      <c r="L21" s="592"/>
      <c r="M21" s="591"/>
    </row>
    <row r="22" spans="1:13" ht="20.25">
      <c r="A22" s="645" t="s">
        <v>6</v>
      </c>
      <c r="B22" s="646"/>
      <c r="C22" s="647"/>
      <c r="D22" s="151">
        <v>1</v>
      </c>
      <c r="E22" s="151" t="s">
        <v>345</v>
      </c>
      <c r="F22" s="648" t="s">
        <v>5</v>
      </c>
      <c r="G22" s="648"/>
      <c r="H22" s="640"/>
      <c r="I22" s="641"/>
      <c r="J22" s="591"/>
      <c r="K22" s="591"/>
      <c r="L22" s="592"/>
      <c r="M22" s="591"/>
    </row>
    <row r="23" spans="1:13" ht="20.25">
      <c r="A23" s="645" t="s">
        <v>4</v>
      </c>
      <c r="B23" s="646"/>
      <c r="C23" s="647"/>
      <c r="D23" s="117">
        <v>37380</v>
      </c>
      <c r="E23" s="151" t="s">
        <v>1</v>
      </c>
      <c r="F23" s="649" t="s">
        <v>3</v>
      </c>
      <c r="G23" s="650"/>
      <c r="H23" s="640"/>
      <c r="I23" s="641"/>
      <c r="J23" s="591"/>
      <c r="K23" s="591"/>
      <c r="L23" s="592"/>
      <c r="M23" s="594"/>
    </row>
    <row r="24" spans="1:13" ht="21" thickBot="1">
      <c r="A24" s="636" t="s">
        <v>2</v>
      </c>
      <c r="B24" s="637"/>
      <c r="C24" s="638"/>
      <c r="D24" s="168">
        <v>2620</v>
      </c>
      <c r="E24" s="169" t="s">
        <v>1</v>
      </c>
      <c r="F24" s="639"/>
      <c r="G24" s="639"/>
      <c r="H24" s="943"/>
      <c r="I24" s="944"/>
      <c r="J24" s="407"/>
      <c r="K24" s="407"/>
      <c r="L24" s="592"/>
      <c r="M24" s="407"/>
    </row>
    <row r="25" spans="1:13" ht="20.25">
      <c r="A25" s="945" t="s">
        <v>0</v>
      </c>
      <c r="B25" s="946"/>
      <c r="C25" s="946"/>
      <c r="D25" s="946"/>
      <c r="E25" s="946"/>
      <c r="F25" s="946"/>
      <c r="G25" s="946"/>
      <c r="H25" s="946"/>
      <c r="I25" s="947"/>
      <c r="J25" s="591"/>
      <c r="K25" s="591"/>
      <c r="L25" s="591"/>
      <c r="M25" s="591"/>
    </row>
    <row r="26" spans="1:13" ht="20.25">
      <c r="A26" s="948" t="s">
        <v>346</v>
      </c>
      <c r="B26" s="948"/>
      <c r="C26" s="948"/>
      <c r="D26" s="948"/>
      <c r="E26" s="948"/>
      <c r="F26" s="948"/>
      <c r="G26" s="948"/>
      <c r="H26" s="948"/>
      <c r="I26" s="948"/>
      <c r="J26" s="591"/>
      <c r="K26" s="591"/>
      <c r="L26" s="591"/>
      <c r="M26" s="591"/>
    </row>
    <row r="27" spans="1:13">
      <c r="A27" s="942" t="s">
        <v>347</v>
      </c>
      <c r="B27" s="942"/>
      <c r="C27" s="942"/>
      <c r="D27" s="942"/>
      <c r="E27" s="942"/>
      <c r="F27" s="942"/>
      <c r="G27" s="942"/>
      <c r="H27" s="942"/>
      <c r="I27" s="942"/>
      <c r="J27" s="591"/>
      <c r="K27" s="591"/>
      <c r="L27" s="591"/>
      <c r="M27" s="591"/>
    </row>
    <row r="28" spans="1:13">
      <c r="A28" s="942"/>
      <c r="B28" s="942"/>
      <c r="C28" s="942"/>
      <c r="D28" s="942"/>
      <c r="E28" s="942"/>
      <c r="F28" s="942"/>
      <c r="G28" s="942"/>
      <c r="H28" s="942"/>
      <c r="I28" s="942"/>
      <c r="J28" s="591"/>
      <c r="K28" s="591"/>
      <c r="L28" s="591"/>
      <c r="M28" s="591"/>
    </row>
    <row r="29" spans="1:13" ht="20.25">
      <c r="A29" s="949" t="s">
        <v>348</v>
      </c>
      <c r="B29" s="950"/>
      <c r="C29" s="950"/>
      <c r="D29" s="950"/>
      <c r="E29" s="950"/>
      <c r="F29" s="950"/>
      <c r="G29" s="950"/>
      <c r="H29" s="950"/>
      <c r="I29" s="951"/>
      <c r="J29" s="591"/>
      <c r="K29" s="591"/>
      <c r="L29" s="591"/>
      <c r="M29" s="591"/>
    </row>
    <row r="30" spans="1:13" ht="20.25">
      <c r="A30" s="952"/>
      <c r="B30" s="953"/>
      <c r="C30" s="953"/>
      <c r="D30" s="953"/>
      <c r="E30" s="953"/>
      <c r="F30" s="953"/>
      <c r="G30" s="953"/>
      <c r="H30" s="953"/>
      <c r="I30" s="954"/>
      <c r="J30" s="591"/>
      <c r="K30" s="591"/>
      <c r="L30" s="591"/>
      <c r="M30" s="591"/>
    </row>
    <row r="31" spans="1:13" ht="20.25">
      <c r="A31" s="824" t="s">
        <v>33</v>
      </c>
      <c r="B31" s="824"/>
      <c r="C31" s="824"/>
      <c r="D31" s="824"/>
      <c r="E31" s="824"/>
      <c r="F31" s="824"/>
      <c r="G31" s="824"/>
      <c r="H31" s="824"/>
      <c r="I31" s="824"/>
      <c r="J31" s="591"/>
      <c r="K31" s="591"/>
      <c r="L31" s="591"/>
      <c r="M31" s="591"/>
    </row>
    <row r="32" spans="1:13" ht="20.25">
      <c r="A32" s="635"/>
      <c r="B32" s="635"/>
      <c r="C32" s="635"/>
      <c r="D32" s="635"/>
      <c r="E32" s="635"/>
      <c r="F32" s="635"/>
      <c r="G32" s="635"/>
      <c r="H32" s="635"/>
      <c r="I32" s="635"/>
      <c r="J32" s="591"/>
      <c r="K32" s="591"/>
      <c r="L32" s="591"/>
      <c r="M32" s="591"/>
    </row>
    <row r="33" spans="1:9" ht="20.25">
      <c r="A33" s="635"/>
      <c r="B33" s="635"/>
      <c r="C33" s="635"/>
      <c r="D33" s="635"/>
      <c r="E33" s="635"/>
      <c r="F33" s="635"/>
      <c r="G33" s="635"/>
      <c r="H33" s="635"/>
      <c r="I33" s="635"/>
    </row>
  </sheetData>
  <mergeCells count="40">
    <mergeCell ref="A29:I29"/>
    <mergeCell ref="A30:I30"/>
    <mergeCell ref="A31:I31"/>
    <mergeCell ref="A32:I32"/>
    <mergeCell ref="A33:I33"/>
    <mergeCell ref="A27:I28"/>
    <mergeCell ref="A22:C22"/>
    <mergeCell ref="F22:G22"/>
    <mergeCell ref="H22:I22"/>
    <mergeCell ref="A23:C23"/>
    <mergeCell ref="F23:G23"/>
    <mergeCell ref="H23:I23"/>
    <mergeCell ref="A24:C24"/>
    <mergeCell ref="F24:G24"/>
    <mergeCell ref="H24:I24"/>
    <mergeCell ref="A25:I25"/>
    <mergeCell ref="A26:I26"/>
    <mergeCell ref="A20:C20"/>
    <mergeCell ref="F20:G20"/>
    <mergeCell ref="H20:I20"/>
    <mergeCell ref="A21:C21"/>
    <mergeCell ref="F21:G21"/>
    <mergeCell ref="H21:I2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1182-5DB9-432E-A4F9-7527CA3993FD}">
  <dimension ref="A1:M34"/>
  <sheetViews>
    <sheetView zoomScale="70" zoomScaleNormal="70" workbookViewId="0">
      <selection activeCell="C13" sqref="C13"/>
    </sheetView>
  </sheetViews>
  <sheetFormatPr baseColWidth="10" defaultRowHeight="15"/>
  <cols>
    <col min="1" max="1" width="14.5703125" customWidth="1"/>
    <col min="2" max="2" width="16.5703125" customWidth="1"/>
    <col min="3" max="3" width="65.5703125" bestFit="1" customWidth="1"/>
    <col min="4" max="4" width="28.140625" bestFit="1" customWidth="1"/>
    <col min="5" max="5" width="13.5703125" customWidth="1"/>
    <col min="7" max="7" width="23" customWidth="1"/>
    <col min="8" max="8" width="16.28515625" customWidth="1"/>
    <col min="9" max="9" width="17.42578125" bestFit="1" customWidth="1"/>
  </cols>
  <sheetData>
    <row r="1" spans="1:9" ht="15.75">
      <c r="A1" s="677"/>
      <c r="B1" s="678"/>
      <c r="C1" s="683" t="s">
        <v>30</v>
      </c>
      <c r="D1" s="683"/>
      <c r="E1" s="683"/>
      <c r="F1" s="683"/>
      <c r="G1" s="683"/>
      <c r="H1" s="120" t="s">
        <v>29</v>
      </c>
      <c r="I1" s="121" t="s">
        <v>349</v>
      </c>
    </row>
    <row r="2" spans="1:9" ht="16.5" thickBot="1">
      <c r="A2" s="679"/>
      <c r="B2" s="680"/>
      <c r="C2" s="708" t="s">
        <v>28</v>
      </c>
      <c r="D2" s="708"/>
      <c r="E2" s="708"/>
      <c r="F2" s="708"/>
      <c r="G2" s="708"/>
      <c r="H2" s="122" t="s">
        <v>27</v>
      </c>
      <c r="I2" s="123" t="s">
        <v>206</v>
      </c>
    </row>
    <row r="3" spans="1:9" ht="23.25" thickBot="1">
      <c r="A3" s="679"/>
      <c r="B3" s="680"/>
      <c r="C3" s="687" t="s">
        <v>350</v>
      </c>
      <c r="D3" s="688"/>
      <c r="E3" s="688"/>
      <c r="F3" s="688"/>
      <c r="G3" s="689"/>
      <c r="H3" s="690" t="s">
        <v>26</v>
      </c>
      <c r="I3" s="668">
        <v>45608</v>
      </c>
    </row>
    <row r="4" spans="1:9">
      <c r="A4" s="679"/>
      <c r="B4" s="680"/>
      <c r="C4" s="124" t="s">
        <v>25</v>
      </c>
      <c r="D4" s="671" t="s">
        <v>186</v>
      </c>
      <c r="E4" s="672"/>
      <c r="F4" s="672"/>
      <c r="G4" s="673"/>
      <c r="H4" s="691"/>
      <c r="I4" s="669"/>
    </row>
    <row r="5" spans="1:9" ht="15.75" thickBot="1">
      <c r="A5" s="681"/>
      <c r="B5" s="682"/>
      <c r="C5" s="125" t="s">
        <v>24</v>
      </c>
      <c r="D5" s="674" t="s">
        <v>187</v>
      </c>
      <c r="E5" s="675"/>
      <c r="F5" s="675"/>
      <c r="G5" s="676"/>
      <c r="H5" s="692"/>
      <c r="I5" s="670"/>
    </row>
    <row r="6" spans="1:9" ht="18.75" thickBot="1">
      <c r="A6" s="659" t="s">
        <v>23</v>
      </c>
      <c r="B6" s="659"/>
      <c r="C6" s="659"/>
      <c r="D6" s="660" t="s">
        <v>338</v>
      </c>
      <c r="E6" s="660"/>
      <c r="F6" s="660"/>
      <c r="G6" s="661" t="s">
        <v>22</v>
      </c>
      <c r="H6" s="661"/>
      <c r="I6" s="11" t="s">
        <v>338</v>
      </c>
    </row>
    <row r="7" spans="1:9" ht="25.5">
      <c r="A7" s="662" t="s">
        <v>21</v>
      </c>
      <c r="B7" s="664" t="s">
        <v>31</v>
      </c>
      <c r="C7" s="666" t="s">
        <v>20</v>
      </c>
      <c r="D7" s="666" t="s">
        <v>19</v>
      </c>
      <c r="E7" s="666" t="s">
        <v>18</v>
      </c>
      <c r="F7" s="666"/>
      <c r="G7" s="666" t="s">
        <v>17</v>
      </c>
      <c r="H7" s="666"/>
      <c r="I7" s="126" t="s">
        <v>16</v>
      </c>
    </row>
    <row r="8" spans="1:9" ht="27" thickBot="1">
      <c r="A8" s="663"/>
      <c r="B8" s="665"/>
      <c r="C8" s="667"/>
      <c r="D8" s="667"/>
      <c r="E8" s="127" t="s">
        <v>13</v>
      </c>
      <c r="F8" s="128" t="s">
        <v>15</v>
      </c>
      <c r="G8" s="127" t="s">
        <v>13</v>
      </c>
      <c r="H8" s="128" t="s">
        <v>15</v>
      </c>
      <c r="I8" s="129" t="s">
        <v>14</v>
      </c>
    </row>
    <row r="9" spans="1:9" ht="20.25">
      <c r="A9" s="130"/>
      <c r="B9" s="131"/>
      <c r="C9" s="132" t="s">
        <v>32</v>
      </c>
      <c r="D9" s="133"/>
      <c r="E9" s="105"/>
      <c r="F9" s="106"/>
      <c r="G9" s="105"/>
      <c r="H9" s="106"/>
      <c r="I9" s="134"/>
    </row>
    <row r="10" spans="1:9" ht="20.25">
      <c r="A10" s="595" t="s">
        <v>351</v>
      </c>
      <c r="B10" s="595" t="s">
        <v>110</v>
      </c>
      <c r="C10" s="596" t="s">
        <v>352</v>
      </c>
      <c r="D10" s="597" t="s">
        <v>353</v>
      </c>
      <c r="E10" s="598">
        <v>22000</v>
      </c>
      <c r="F10" s="586" t="s">
        <v>1</v>
      </c>
      <c r="G10" s="587"/>
      <c r="H10" s="106"/>
      <c r="I10" s="134"/>
    </row>
    <row r="11" spans="1:9" ht="20.25">
      <c r="A11" s="342" t="s">
        <v>354</v>
      </c>
      <c r="B11" s="342" t="s">
        <v>355</v>
      </c>
      <c r="C11" s="425" t="s">
        <v>356</v>
      </c>
      <c r="D11" s="343" t="s">
        <v>357</v>
      </c>
      <c r="E11" s="135">
        <v>20000</v>
      </c>
      <c r="F11" s="118" t="s">
        <v>1</v>
      </c>
      <c r="G11" s="587"/>
      <c r="H11" s="106"/>
      <c r="I11" s="134"/>
    </row>
    <row r="12" spans="1:9" ht="20.25">
      <c r="A12" s="151"/>
      <c r="B12" s="151"/>
      <c r="C12" s="353"/>
      <c r="D12" s="351"/>
      <c r="E12" s="351"/>
      <c r="F12" s="143"/>
      <c r="G12" s="105"/>
      <c r="H12" s="106"/>
      <c r="I12" s="134"/>
    </row>
    <row r="13" spans="1:9" ht="20.25">
      <c r="A13" s="139"/>
      <c r="B13" s="140"/>
      <c r="C13" s="141" t="s">
        <v>39</v>
      </c>
      <c r="D13" s="102"/>
      <c r="E13" s="142"/>
      <c r="F13" s="143"/>
      <c r="G13" s="105"/>
      <c r="H13" s="106"/>
      <c r="I13" s="134"/>
    </row>
    <row r="14" spans="1:9" ht="20.25">
      <c r="A14" s="151"/>
      <c r="B14" s="151"/>
      <c r="C14" s="353"/>
      <c r="D14" s="116"/>
      <c r="E14" s="589"/>
      <c r="F14" s="590"/>
      <c r="G14" s="105"/>
      <c r="H14" s="106"/>
      <c r="I14" s="134"/>
    </row>
    <row r="15" spans="1:9" ht="20.25">
      <c r="A15" s="144"/>
      <c r="B15" s="145"/>
      <c r="C15" s="146" t="s">
        <v>105</v>
      </c>
      <c r="D15" s="147"/>
      <c r="E15" s="105"/>
      <c r="F15" s="106"/>
      <c r="G15" s="105"/>
      <c r="H15" s="106"/>
      <c r="I15" s="134"/>
    </row>
    <row r="16" spans="1:9" ht="20.25">
      <c r="A16" s="117" t="s">
        <v>40</v>
      </c>
      <c r="B16" s="151" t="s">
        <v>41</v>
      </c>
      <c r="C16" s="423" t="s">
        <v>68</v>
      </c>
      <c r="D16" s="116" t="s">
        <v>69</v>
      </c>
      <c r="E16" s="149">
        <v>1</v>
      </c>
      <c r="F16" s="118" t="s">
        <v>37</v>
      </c>
      <c r="G16" s="587"/>
      <c r="H16" s="106"/>
      <c r="I16" s="134"/>
    </row>
    <row r="17" spans="1:13" ht="20.25">
      <c r="A17" s="151"/>
      <c r="B17" s="151"/>
      <c r="C17" s="423"/>
      <c r="D17" s="116"/>
      <c r="E17" s="117"/>
      <c r="F17" s="118"/>
      <c r="G17" s="105"/>
      <c r="H17" s="106"/>
      <c r="I17" s="134"/>
    </row>
    <row r="18" spans="1:13" ht="20.25">
      <c r="A18" s="139"/>
      <c r="B18" s="140"/>
      <c r="C18" s="152"/>
      <c r="D18" s="102"/>
      <c r="E18" s="102"/>
      <c r="F18" s="143"/>
      <c r="G18" s="102"/>
      <c r="H18" s="102"/>
      <c r="I18" s="134"/>
    </row>
    <row r="19" spans="1:13" ht="21" thickBot="1">
      <c r="A19" s="153"/>
      <c r="B19" s="154"/>
      <c r="C19" s="155"/>
      <c r="D19" s="155"/>
      <c r="E19" s="156"/>
      <c r="F19" s="157"/>
      <c r="G19" s="155"/>
      <c r="H19" s="155"/>
      <c r="I19" s="158"/>
      <c r="J19" s="591"/>
      <c r="K19" s="591"/>
      <c r="L19" s="592"/>
      <c r="M19" s="591"/>
    </row>
    <row r="20" spans="1:13" ht="21" thickBot="1">
      <c r="A20" s="159"/>
      <c r="B20" s="160"/>
      <c r="C20" s="161"/>
      <c r="D20" s="162" t="s">
        <v>13</v>
      </c>
      <c r="E20" s="163" t="s">
        <v>12</v>
      </c>
      <c r="F20" s="164"/>
      <c r="G20" s="161"/>
      <c r="H20" s="161"/>
      <c r="I20" s="165"/>
      <c r="J20" s="591"/>
      <c r="K20" s="591"/>
      <c r="L20" s="592"/>
      <c r="M20" s="591"/>
    </row>
    <row r="21" spans="1:13" ht="20.25">
      <c r="A21" s="653" t="s">
        <v>11</v>
      </c>
      <c r="B21" s="654"/>
      <c r="C21" s="655"/>
      <c r="D21" s="166">
        <v>40700</v>
      </c>
      <c r="E21" s="167" t="s">
        <v>1</v>
      </c>
      <c r="F21" s="656" t="s">
        <v>10</v>
      </c>
      <c r="G21" s="656"/>
      <c r="H21" s="657"/>
      <c r="I21" s="658"/>
      <c r="J21" s="591"/>
      <c r="K21" s="591"/>
      <c r="L21" s="592"/>
      <c r="M21" s="591"/>
    </row>
    <row r="22" spans="1:13" ht="20.25">
      <c r="A22" s="645" t="s">
        <v>9</v>
      </c>
      <c r="B22" s="646"/>
      <c r="C22" s="647"/>
      <c r="D22" s="593">
        <v>30</v>
      </c>
      <c r="E22" s="151" t="s">
        <v>308</v>
      </c>
      <c r="F22" s="648" t="s">
        <v>7</v>
      </c>
      <c r="G22" s="648"/>
      <c r="H22" s="640"/>
      <c r="I22" s="641"/>
      <c r="J22" s="591"/>
      <c r="K22" s="591"/>
      <c r="L22" s="592"/>
      <c r="M22" s="591"/>
    </row>
    <row r="23" spans="1:13" ht="20.25">
      <c r="A23" s="645" t="s">
        <v>6</v>
      </c>
      <c r="B23" s="646"/>
      <c r="C23" s="647"/>
      <c r="D23" s="151">
        <v>1</v>
      </c>
      <c r="E23" s="151" t="s">
        <v>345</v>
      </c>
      <c r="F23" s="648" t="s">
        <v>5</v>
      </c>
      <c r="G23" s="648"/>
      <c r="H23" s="640"/>
      <c r="I23" s="641"/>
      <c r="J23" s="591"/>
      <c r="K23" s="591"/>
      <c r="L23" s="592"/>
      <c r="M23" s="591"/>
    </row>
    <row r="24" spans="1:13" ht="20.25">
      <c r="A24" s="645" t="s">
        <v>4</v>
      </c>
      <c r="B24" s="646"/>
      <c r="C24" s="647"/>
      <c r="D24" s="166">
        <v>40700</v>
      </c>
      <c r="E24" s="151" t="s">
        <v>1</v>
      </c>
      <c r="F24" s="649" t="s">
        <v>3</v>
      </c>
      <c r="G24" s="650"/>
      <c r="H24" s="640"/>
      <c r="I24" s="641"/>
      <c r="J24" s="591"/>
      <c r="K24" s="591"/>
      <c r="L24" s="592"/>
      <c r="M24" s="594"/>
    </row>
    <row r="25" spans="1:13" ht="21" thickBot="1">
      <c r="A25" s="636" t="s">
        <v>2</v>
      </c>
      <c r="B25" s="637"/>
      <c r="C25" s="638"/>
      <c r="D25" s="168">
        <v>1300</v>
      </c>
      <c r="E25" s="169" t="s">
        <v>1</v>
      </c>
      <c r="F25" s="639"/>
      <c r="G25" s="639"/>
      <c r="H25" s="943"/>
      <c r="I25" s="944"/>
      <c r="J25" s="407"/>
      <c r="K25" s="407"/>
      <c r="L25" s="592"/>
      <c r="M25" s="407"/>
    </row>
    <row r="26" spans="1:13" ht="21" thickBot="1">
      <c r="A26" s="642" t="s">
        <v>0</v>
      </c>
      <c r="B26" s="643"/>
      <c r="C26" s="643"/>
      <c r="D26" s="643"/>
      <c r="E26" s="643"/>
      <c r="F26" s="643"/>
      <c r="G26" s="643"/>
      <c r="H26" s="643"/>
      <c r="I26" s="644"/>
      <c r="J26" s="591"/>
      <c r="K26" s="591"/>
      <c r="L26" s="591"/>
      <c r="M26" s="591"/>
    </row>
    <row r="27" spans="1:13" ht="20.25">
      <c r="A27" s="756" t="s">
        <v>358</v>
      </c>
      <c r="B27" s="757"/>
      <c r="C27" s="757"/>
      <c r="D27" s="757"/>
      <c r="E27" s="757"/>
      <c r="F27" s="757"/>
      <c r="G27" s="757"/>
      <c r="H27" s="757"/>
      <c r="I27" s="758"/>
      <c r="J27" s="591"/>
      <c r="K27" s="591"/>
      <c r="L27" s="591"/>
      <c r="M27" s="591"/>
    </row>
    <row r="28" spans="1:13" ht="20.25">
      <c r="A28" s="955" t="s">
        <v>359</v>
      </c>
      <c r="B28" s="956"/>
      <c r="C28" s="956"/>
      <c r="D28" s="956"/>
      <c r="E28" s="956"/>
      <c r="F28" s="956"/>
      <c r="G28" s="956"/>
      <c r="H28" s="956"/>
      <c r="I28" s="957"/>
      <c r="J28" s="591"/>
      <c r="K28" s="591"/>
      <c r="L28" s="591"/>
      <c r="M28" s="591"/>
    </row>
    <row r="29" spans="1:13" ht="20.25">
      <c r="A29" s="955" t="s">
        <v>360</v>
      </c>
      <c r="B29" s="956"/>
      <c r="C29" s="956"/>
      <c r="D29" s="956"/>
      <c r="E29" s="956"/>
      <c r="F29" s="956"/>
      <c r="G29" s="956"/>
      <c r="H29" s="956"/>
      <c r="I29" s="957"/>
      <c r="J29" s="591"/>
      <c r="K29" s="591"/>
      <c r="L29" s="591"/>
      <c r="M29" s="591"/>
    </row>
    <row r="30" spans="1:13" ht="21" thickBot="1">
      <c r="A30" s="958" t="s">
        <v>361</v>
      </c>
      <c r="B30" s="959"/>
      <c r="C30" s="959"/>
      <c r="D30" s="959"/>
      <c r="E30" s="959"/>
      <c r="F30" s="959"/>
      <c r="G30" s="959"/>
      <c r="H30" s="959"/>
      <c r="I30" s="960"/>
      <c r="J30" s="591"/>
      <c r="K30" s="591"/>
      <c r="L30" s="591"/>
      <c r="M30" s="591"/>
    </row>
    <row r="31" spans="1:13" ht="20.25">
      <c r="A31" s="952"/>
      <c r="B31" s="953"/>
      <c r="C31" s="953"/>
      <c r="D31" s="953"/>
      <c r="E31" s="953"/>
      <c r="F31" s="953"/>
      <c r="G31" s="953"/>
      <c r="H31" s="953"/>
      <c r="I31" s="954"/>
      <c r="J31" s="591"/>
      <c r="K31" s="591"/>
      <c r="L31" s="591"/>
      <c r="M31" s="591"/>
    </row>
    <row r="32" spans="1:13" ht="20.25">
      <c r="A32" s="824" t="s">
        <v>33</v>
      </c>
      <c r="B32" s="824"/>
      <c r="C32" s="824"/>
      <c r="D32" s="824"/>
      <c r="E32" s="824"/>
      <c r="F32" s="824"/>
      <c r="G32" s="824"/>
      <c r="H32" s="824"/>
      <c r="I32" s="824"/>
      <c r="J32" s="591"/>
      <c r="K32" s="591"/>
      <c r="L32" s="591"/>
      <c r="M32" s="591"/>
    </row>
    <row r="33" spans="1:13" ht="20.25">
      <c r="A33" s="635"/>
      <c r="B33" s="635"/>
      <c r="C33" s="635"/>
      <c r="D33" s="635"/>
      <c r="E33" s="635"/>
      <c r="F33" s="635"/>
      <c r="G33" s="635"/>
      <c r="H33" s="635"/>
      <c r="I33" s="635"/>
      <c r="J33" s="591"/>
      <c r="K33" s="591"/>
      <c r="L33" s="591"/>
      <c r="M33" s="591"/>
    </row>
    <row r="34" spans="1:13" ht="20.25">
      <c r="A34" s="635"/>
      <c r="B34" s="635"/>
      <c r="C34" s="635"/>
      <c r="D34" s="635"/>
      <c r="E34" s="635"/>
      <c r="F34" s="635"/>
      <c r="G34" s="635"/>
      <c r="H34" s="635"/>
      <c r="I34" s="635"/>
    </row>
  </sheetData>
  <mergeCells count="41">
    <mergeCell ref="A34:I34"/>
    <mergeCell ref="A25:C25"/>
    <mergeCell ref="F25:G25"/>
    <mergeCell ref="H25:I25"/>
    <mergeCell ref="A26:I26"/>
    <mergeCell ref="A27:I27"/>
    <mergeCell ref="A28:I28"/>
    <mergeCell ref="A29:I29"/>
    <mergeCell ref="A30:I30"/>
    <mergeCell ref="A31:I31"/>
    <mergeCell ref="A32:I32"/>
    <mergeCell ref="A33:I33"/>
    <mergeCell ref="A23:C23"/>
    <mergeCell ref="F23:G23"/>
    <mergeCell ref="H23:I23"/>
    <mergeCell ref="A24:C24"/>
    <mergeCell ref="F24:G24"/>
    <mergeCell ref="H24:I24"/>
    <mergeCell ref="A21:C21"/>
    <mergeCell ref="F21:G21"/>
    <mergeCell ref="H21:I21"/>
    <mergeCell ref="A22:C22"/>
    <mergeCell ref="F22:G22"/>
    <mergeCell ref="H22:I2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6941-A0E2-4899-A9F6-B3DACF7DA80C}">
  <dimension ref="A1:L66"/>
  <sheetViews>
    <sheetView workbookViewId="0">
      <selection activeCell="C13" sqref="C13"/>
    </sheetView>
  </sheetViews>
  <sheetFormatPr baseColWidth="10" defaultRowHeight="15"/>
  <cols>
    <col min="3" max="3" width="49" customWidth="1"/>
    <col min="4" max="4" width="34.28515625" bestFit="1" customWidth="1"/>
    <col min="8" max="8" width="27" customWidth="1"/>
    <col min="9" max="9" width="19" bestFit="1" customWidth="1"/>
  </cols>
  <sheetData>
    <row r="1" spans="1:12" ht="15.75">
      <c r="A1" s="677"/>
      <c r="B1" s="678"/>
      <c r="C1" s="683" t="s">
        <v>30</v>
      </c>
      <c r="D1" s="683"/>
      <c r="E1" s="683"/>
      <c r="F1" s="683"/>
      <c r="G1" s="683"/>
      <c r="H1" s="120" t="s">
        <v>29</v>
      </c>
      <c r="I1" s="121" t="s">
        <v>362</v>
      </c>
    </row>
    <row r="2" spans="1:12" ht="16.5" thickBot="1">
      <c r="A2" s="679"/>
      <c r="B2" s="680"/>
      <c r="C2" s="708" t="s">
        <v>28</v>
      </c>
      <c r="D2" s="708"/>
      <c r="E2" s="708"/>
      <c r="F2" s="708"/>
      <c r="G2" s="708"/>
      <c r="H2" s="122" t="s">
        <v>27</v>
      </c>
      <c r="I2" s="123" t="s">
        <v>206</v>
      </c>
    </row>
    <row r="3" spans="1:12" ht="18.75" thickBot="1">
      <c r="A3" s="679"/>
      <c r="B3" s="680"/>
      <c r="C3" s="709" t="s">
        <v>363</v>
      </c>
      <c r="D3" s="710"/>
      <c r="E3" s="710"/>
      <c r="F3" s="710"/>
      <c r="G3" s="711"/>
      <c r="H3" s="690" t="s">
        <v>26</v>
      </c>
      <c r="I3" s="668">
        <v>45609</v>
      </c>
    </row>
    <row r="4" spans="1:12">
      <c r="A4" s="679"/>
      <c r="B4" s="680"/>
      <c r="C4" s="124" t="s">
        <v>25</v>
      </c>
      <c r="D4" s="671" t="s">
        <v>186</v>
      </c>
      <c r="E4" s="672"/>
      <c r="F4" s="672"/>
      <c r="G4" s="673"/>
      <c r="H4" s="691"/>
      <c r="I4" s="669"/>
    </row>
    <row r="5" spans="1:12" ht="15.75" thickBot="1">
      <c r="A5" s="681"/>
      <c r="B5" s="682"/>
      <c r="C5" s="125" t="s">
        <v>24</v>
      </c>
      <c r="D5" s="674" t="s">
        <v>187</v>
      </c>
      <c r="E5" s="675"/>
      <c r="F5" s="675"/>
      <c r="G5" s="676"/>
      <c r="H5" s="692"/>
      <c r="I5" s="670"/>
      <c r="K5" s="599" t="s">
        <v>364</v>
      </c>
      <c r="L5" s="600"/>
    </row>
    <row r="6" spans="1:12" ht="18.75" thickBot="1">
      <c r="A6" s="659" t="s">
        <v>23</v>
      </c>
      <c r="B6" s="659"/>
      <c r="C6" s="659"/>
      <c r="D6" s="771" t="s">
        <v>338</v>
      </c>
      <c r="E6" s="771"/>
      <c r="F6" s="771"/>
      <c r="G6" s="661" t="s">
        <v>22</v>
      </c>
      <c r="H6" s="661"/>
      <c r="I6" s="356" t="s">
        <v>338</v>
      </c>
    </row>
    <row r="7" spans="1:12">
      <c r="A7" s="662" t="s">
        <v>21</v>
      </c>
      <c r="B7" s="664" t="s">
        <v>31</v>
      </c>
      <c r="C7" s="666" t="s">
        <v>20</v>
      </c>
      <c r="D7" s="666" t="s">
        <v>19</v>
      </c>
      <c r="E7" s="666" t="s">
        <v>18</v>
      </c>
      <c r="F7" s="666"/>
      <c r="G7" s="666" t="s">
        <v>17</v>
      </c>
      <c r="H7" s="666"/>
      <c r="I7" s="126" t="s">
        <v>16</v>
      </c>
    </row>
    <row r="8" spans="1:12" ht="27" thickBot="1">
      <c r="A8" s="663"/>
      <c r="B8" s="665"/>
      <c r="C8" s="667"/>
      <c r="D8" s="667"/>
      <c r="E8" s="127" t="s">
        <v>13</v>
      </c>
      <c r="F8" s="128" t="s">
        <v>15</v>
      </c>
      <c r="G8" s="127" t="s">
        <v>13</v>
      </c>
      <c r="H8" s="128" t="s">
        <v>15</v>
      </c>
      <c r="I8" s="129" t="s">
        <v>14</v>
      </c>
    </row>
    <row r="9" spans="1:12">
      <c r="A9" s="357"/>
      <c r="B9" s="358"/>
      <c r="C9" s="359" t="s">
        <v>32</v>
      </c>
      <c r="D9" s="360"/>
      <c r="E9" s="361"/>
      <c r="F9" s="362"/>
      <c r="G9" s="361"/>
      <c r="H9" s="362"/>
      <c r="I9" s="363"/>
    </row>
    <row r="10" spans="1:12" ht="16.149999999999999" customHeight="1">
      <c r="A10" s="400">
        <v>11400029</v>
      </c>
      <c r="B10" s="400" t="s">
        <v>189</v>
      </c>
      <c r="C10" s="401" t="s">
        <v>190</v>
      </c>
      <c r="D10" s="601" t="s">
        <v>325</v>
      </c>
      <c r="E10" s="418">
        <v>2500</v>
      </c>
      <c r="F10" s="471" t="s">
        <v>1</v>
      </c>
      <c r="G10" s="418"/>
      <c r="H10" s="362"/>
      <c r="I10" s="363"/>
      <c r="J10">
        <f>+E10/$D$47</f>
        <v>0.46296296296296297</v>
      </c>
      <c r="K10">
        <f>+J10*1000</f>
        <v>462.96296296296299</v>
      </c>
    </row>
    <row r="11" spans="1:12">
      <c r="A11" s="400">
        <v>1210387</v>
      </c>
      <c r="B11" s="400" t="s">
        <v>340</v>
      </c>
      <c r="C11" s="401" t="s">
        <v>365</v>
      </c>
      <c r="D11" s="601" t="s">
        <v>366</v>
      </c>
      <c r="E11" s="418">
        <v>3250</v>
      </c>
      <c r="F11" s="471" t="s">
        <v>1</v>
      </c>
      <c r="G11" s="418"/>
      <c r="H11" s="362"/>
      <c r="I11" s="363"/>
      <c r="J11">
        <f>+E11/$D$47</f>
        <v>0.60185185185185186</v>
      </c>
      <c r="K11">
        <f>+J11*1000</f>
        <v>601.85185185185185</v>
      </c>
    </row>
    <row r="12" spans="1:12">
      <c r="A12" s="365"/>
      <c r="B12" s="365"/>
      <c r="C12" s="602"/>
      <c r="D12" s="603"/>
      <c r="E12" s="453"/>
      <c r="F12" s="454"/>
      <c r="G12" s="418"/>
      <c r="H12" s="362"/>
      <c r="I12" s="363"/>
    </row>
    <row r="13" spans="1:12">
      <c r="A13" s="365"/>
      <c r="B13" s="365"/>
      <c r="C13" s="602"/>
      <c r="D13" s="603"/>
      <c r="E13" s="453"/>
      <c r="F13" s="454"/>
      <c r="G13" s="418"/>
      <c r="H13" s="362"/>
      <c r="I13" s="363"/>
    </row>
    <row r="14" spans="1:12">
      <c r="A14" s="604"/>
      <c r="B14" s="365"/>
      <c r="C14" s="605"/>
      <c r="D14" s="603"/>
      <c r="E14" s="453"/>
      <c r="F14" s="454"/>
      <c r="G14" s="418"/>
      <c r="H14" s="362"/>
      <c r="I14" s="363"/>
    </row>
    <row r="15" spans="1:12">
      <c r="A15" s="604"/>
      <c r="B15" s="604"/>
      <c r="C15" s="605"/>
      <c r="D15" s="603"/>
      <c r="E15" s="384"/>
      <c r="F15" s="385"/>
      <c r="G15" s="418"/>
      <c r="H15" s="362"/>
      <c r="I15" s="363"/>
    </row>
    <row r="16" spans="1:12">
      <c r="A16" s="365"/>
      <c r="B16" s="365"/>
      <c r="C16" s="606"/>
      <c r="D16" s="603"/>
      <c r="E16" s="384"/>
      <c r="F16" s="385"/>
      <c r="G16" s="607"/>
      <c r="H16" s="362"/>
      <c r="I16" s="363"/>
    </row>
    <row r="17" spans="1:9">
      <c r="A17" s="365"/>
      <c r="B17" s="365"/>
      <c r="C17" s="602"/>
      <c r="D17" s="603"/>
      <c r="E17" s="384"/>
      <c r="F17" s="385"/>
      <c r="G17" s="608"/>
      <c r="H17" s="362"/>
      <c r="I17" s="363"/>
    </row>
    <row r="18" spans="1:9">
      <c r="A18" s="609"/>
      <c r="B18" s="365"/>
      <c r="C18" s="610"/>
      <c r="D18" s="603"/>
      <c r="E18" s="384"/>
      <c r="F18" s="385"/>
      <c r="G18" s="608"/>
      <c r="H18" s="362"/>
      <c r="I18" s="363"/>
    </row>
    <row r="19" spans="1:9">
      <c r="A19" s="468"/>
      <c r="B19" s="468"/>
      <c r="D19" s="611"/>
      <c r="E19" s="396"/>
      <c r="F19" s="4"/>
      <c r="G19" s="608"/>
      <c r="H19" s="362"/>
      <c r="I19" s="363"/>
    </row>
    <row r="20" spans="1:9">
      <c r="A20" s="365"/>
      <c r="B20" s="365"/>
      <c r="C20" s="86"/>
      <c r="D20" s="612"/>
      <c r="E20" s="396"/>
      <c r="F20" s="4"/>
      <c r="G20" s="608"/>
      <c r="H20" s="362"/>
      <c r="I20" s="363"/>
    </row>
    <row r="21" spans="1:9">
      <c r="A21" s="400"/>
      <c r="B21" s="400"/>
      <c r="C21" s="401"/>
      <c r="D21" s="612"/>
      <c r="E21" s="396"/>
      <c r="F21" s="4"/>
      <c r="G21" s="608"/>
      <c r="H21" s="362"/>
      <c r="I21" s="363"/>
    </row>
    <row r="22" spans="1:9">
      <c r="A22" s="400"/>
      <c r="B22" s="400"/>
      <c r="C22" s="401"/>
      <c r="D22" s="612"/>
      <c r="E22" s="396"/>
      <c r="F22" s="4"/>
      <c r="G22" s="608"/>
      <c r="H22" s="362"/>
      <c r="I22" s="363"/>
    </row>
    <row r="23" spans="1:9">
      <c r="A23" s="365"/>
      <c r="B23" s="365"/>
      <c r="C23" s="86"/>
      <c r="D23" s="612"/>
      <c r="E23" s="397"/>
      <c r="F23" s="4"/>
      <c r="G23" s="608"/>
      <c r="H23" s="362"/>
      <c r="I23" s="363"/>
    </row>
    <row r="24" spans="1:9">
      <c r="A24" s="400"/>
      <c r="B24" s="400"/>
      <c r="C24" s="401"/>
      <c r="D24" s="612"/>
      <c r="E24" s="396"/>
      <c r="F24" s="4"/>
      <c r="G24" s="361"/>
      <c r="H24" s="362"/>
      <c r="I24" s="363"/>
    </row>
    <row r="25" spans="1:9">
      <c r="A25" s="400"/>
      <c r="B25" s="400"/>
      <c r="C25" s="401"/>
      <c r="D25" s="612"/>
      <c r="E25" s="397"/>
      <c r="F25" s="4"/>
      <c r="G25" s="361"/>
      <c r="H25" s="362"/>
      <c r="I25" s="363"/>
    </row>
    <row r="26" spans="1:9">
      <c r="A26" s="365"/>
      <c r="B26" s="365"/>
      <c r="C26" s="86"/>
      <c r="D26" s="612"/>
      <c r="E26" s="396"/>
      <c r="F26" s="4"/>
      <c r="G26" s="361"/>
      <c r="H26" s="362"/>
      <c r="I26" s="363"/>
    </row>
    <row r="27" spans="1:9">
      <c r="A27" s="403"/>
      <c r="B27" s="365"/>
      <c r="C27" s="404"/>
      <c r="D27" s="612"/>
      <c r="E27" s="397"/>
      <c r="F27" s="4"/>
      <c r="G27" s="361"/>
      <c r="H27" s="362"/>
      <c r="I27" s="363"/>
    </row>
    <row r="28" spans="1:9">
      <c r="A28" s="365"/>
      <c r="B28" s="365"/>
      <c r="C28" s="613"/>
      <c r="D28" s="49"/>
      <c r="E28" s="49"/>
      <c r="F28" s="379"/>
      <c r="G28" s="361"/>
      <c r="H28" s="362"/>
      <c r="I28" s="363"/>
    </row>
    <row r="29" spans="1:9" ht="15.75">
      <c r="A29" s="374"/>
      <c r="B29" s="375"/>
      <c r="C29" s="305" t="s">
        <v>39</v>
      </c>
      <c r="D29" s="48"/>
      <c r="E29" s="378"/>
      <c r="F29" s="379"/>
      <c r="G29" s="361"/>
      <c r="H29" s="362"/>
      <c r="I29" s="363"/>
    </row>
    <row r="30" spans="1:9">
      <c r="A30" s="614"/>
      <c r="B30" s="615"/>
      <c r="C30" s="616"/>
      <c r="D30" s="617"/>
      <c r="E30" s="49"/>
      <c r="F30" s="379"/>
      <c r="G30" s="361"/>
      <c r="H30" s="362"/>
      <c r="I30" s="363"/>
    </row>
    <row r="31" spans="1:9">
      <c r="A31" s="365"/>
      <c r="B31" s="365"/>
      <c r="C31" s="613"/>
      <c r="D31" s="617"/>
      <c r="E31" s="49"/>
      <c r="F31" s="379"/>
      <c r="G31" s="361"/>
      <c r="H31" s="362"/>
      <c r="I31" s="363"/>
    </row>
    <row r="32" spans="1:9">
      <c r="A32" s="618"/>
      <c r="B32" s="618"/>
      <c r="C32" s="616"/>
      <c r="D32" s="617"/>
      <c r="E32" s="49"/>
      <c r="F32" s="379"/>
      <c r="G32" s="361"/>
      <c r="H32" s="362"/>
      <c r="I32" s="363"/>
    </row>
    <row r="33" spans="1:9">
      <c r="A33" s="365"/>
      <c r="B33" s="365"/>
      <c r="C33" s="613"/>
      <c r="D33" s="49"/>
      <c r="E33" s="48"/>
      <c r="F33" s="379"/>
      <c r="G33" s="361"/>
      <c r="H33" s="362"/>
      <c r="I33" s="363"/>
    </row>
    <row r="34" spans="1:9">
      <c r="A34" s="365"/>
      <c r="B34" s="365"/>
      <c r="C34" s="613"/>
      <c r="D34" s="612"/>
      <c r="E34" s="619"/>
      <c r="F34" s="620"/>
      <c r="G34" s="361"/>
      <c r="H34" s="362"/>
      <c r="I34" s="363"/>
    </row>
    <row r="35" spans="1:9" ht="15.75">
      <c r="A35" s="389"/>
      <c r="B35" s="390"/>
      <c r="C35" s="320" t="s">
        <v>105</v>
      </c>
      <c r="D35" s="391"/>
      <c r="E35" s="361"/>
      <c r="F35" s="362"/>
      <c r="G35" s="361"/>
      <c r="H35" s="362"/>
      <c r="I35" s="363"/>
    </row>
    <row r="36" spans="1:9">
      <c r="A36" s="400">
        <v>702123</v>
      </c>
      <c r="B36" s="400" t="s">
        <v>71</v>
      </c>
      <c r="C36" s="401" t="s">
        <v>76</v>
      </c>
      <c r="D36" s="621" t="s">
        <v>367</v>
      </c>
      <c r="E36" s="418">
        <v>1</v>
      </c>
      <c r="F36" s="464" t="s">
        <v>37</v>
      </c>
      <c r="G36" s="622"/>
      <c r="H36" s="48"/>
      <c r="I36" s="363"/>
    </row>
    <row r="37" spans="1:9">
      <c r="A37" s="400">
        <v>512000002</v>
      </c>
      <c r="B37" s="400" t="s">
        <v>224</v>
      </c>
      <c r="C37" s="401" t="s">
        <v>368</v>
      </c>
      <c r="D37" s="621" t="s">
        <v>69</v>
      </c>
      <c r="E37" s="418">
        <v>30</v>
      </c>
      <c r="F37" s="464" t="s">
        <v>369</v>
      </c>
      <c r="G37" s="622"/>
      <c r="H37" s="48"/>
      <c r="I37" s="363"/>
    </row>
    <row r="38" spans="1:9">
      <c r="A38" s="623"/>
      <c r="B38" s="624"/>
      <c r="C38" s="625"/>
      <c r="D38" s="48"/>
      <c r="E38" s="49"/>
      <c r="F38" s="379"/>
      <c r="G38" s="361"/>
      <c r="H38" s="362"/>
      <c r="I38" s="363"/>
    </row>
    <row r="39" spans="1:9">
      <c r="A39" s="626"/>
      <c r="B39" s="626"/>
      <c r="C39" s="613"/>
      <c r="D39" s="48"/>
      <c r="E39" s="49"/>
      <c r="F39" s="379"/>
      <c r="G39" s="361"/>
      <c r="H39" s="362"/>
      <c r="I39" s="363"/>
    </row>
    <row r="40" spans="1:9">
      <c r="A40" s="623"/>
      <c r="B40" s="624"/>
      <c r="C40" s="625"/>
      <c r="D40" s="48"/>
      <c r="E40" s="49"/>
      <c r="F40" s="379"/>
      <c r="G40" s="361"/>
      <c r="H40" s="362"/>
      <c r="I40" s="363"/>
    </row>
    <row r="41" spans="1:9" ht="15.75">
      <c r="A41" s="623"/>
      <c r="B41" s="624"/>
      <c r="C41" s="625"/>
      <c r="D41" s="3"/>
      <c r="E41" s="49"/>
      <c r="F41" s="379"/>
      <c r="G41" s="402"/>
      <c r="H41" s="48"/>
      <c r="I41" s="363"/>
    </row>
    <row r="42" spans="1:9" ht="15.75">
      <c r="A42" s="374"/>
      <c r="B42" s="375"/>
      <c r="C42" s="472"/>
      <c r="D42" s="3"/>
      <c r="E42" s="49"/>
      <c r="F42" s="379"/>
      <c r="G42" s="49"/>
      <c r="H42" s="48"/>
      <c r="I42" s="363"/>
    </row>
    <row r="43" spans="1:9" ht="15.75">
      <c r="A43" s="374"/>
      <c r="B43" s="375"/>
      <c r="C43" s="472"/>
      <c r="D43" s="3"/>
      <c r="E43" s="49"/>
      <c r="F43" s="379"/>
      <c r="G43" s="19"/>
      <c r="H43" s="379"/>
      <c r="I43" s="363"/>
    </row>
    <row r="44" spans="1:9" ht="15.75">
      <c r="A44" s="374"/>
      <c r="B44" s="375"/>
      <c r="C44" s="472"/>
      <c r="D44" s="48"/>
      <c r="E44" s="48"/>
      <c r="F44" s="379"/>
      <c r="G44" s="3"/>
      <c r="H44" s="3"/>
      <c r="I44" s="363"/>
    </row>
    <row r="45" spans="1:9" ht="15.75" thickBot="1">
      <c r="A45" s="405"/>
      <c r="B45" s="406"/>
      <c r="C45" s="407"/>
      <c r="D45" s="407"/>
      <c r="E45" s="408"/>
      <c r="F45" s="409"/>
      <c r="G45" s="407"/>
      <c r="H45" s="407"/>
      <c r="I45" s="410"/>
    </row>
    <row r="46" spans="1:9" ht="15.75" thickBot="1">
      <c r="A46" s="411"/>
      <c r="B46" s="412"/>
      <c r="C46" s="413"/>
      <c r="D46" s="414" t="s">
        <v>13</v>
      </c>
      <c r="E46" s="415" t="s">
        <v>12</v>
      </c>
      <c r="F46" s="416"/>
      <c r="G46" s="413"/>
      <c r="H46" s="413"/>
      <c r="I46" s="417"/>
    </row>
    <row r="47" spans="1:9">
      <c r="A47" s="772" t="s">
        <v>11</v>
      </c>
      <c r="B47" s="773"/>
      <c r="C47" s="774"/>
      <c r="D47" s="627">
        <v>5400</v>
      </c>
      <c r="E47" s="628" t="s">
        <v>1</v>
      </c>
      <c r="F47" s="775" t="s">
        <v>10</v>
      </c>
      <c r="G47" s="775"/>
      <c r="H47" s="776"/>
      <c r="I47" s="777"/>
    </row>
    <row r="48" spans="1:9">
      <c r="A48" s="778" t="s">
        <v>9</v>
      </c>
      <c r="B48" s="779"/>
      <c r="C48" s="780"/>
      <c r="D48" s="629">
        <v>10</v>
      </c>
      <c r="E48" s="630" t="s">
        <v>328</v>
      </c>
      <c r="F48" s="781" t="s">
        <v>7</v>
      </c>
      <c r="G48" s="781"/>
      <c r="H48" s="782"/>
      <c r="I48" s="783"/>
    </row>
    <row r="49" spans="1:9">
      <c r="A49" s="778" t="s">
        <v>6</v>
      </c>
      <c r="B49" s="779"/>
      <c r="C49" s="780"/>
      <c r="D49" s="630">
        <v>1</v>
      </c>
      <c r="E49" s="630" t="s">
        <v>345</v>
      </c>
      <c r="F49" s="781" t="s">
        <v>5</v>
      </c>
      <c r="G49" s="781"/>
      <c r="H49" s="782"/>
      <c r="I49" s="783"/>
    </row>
    <row r="50" spans="1:9">
      <c r="A50" s="778" t="s">
        <v>4</v>
      </c>
      <c r="B50" s="779"/>
      <c r="C50" s="780"/>
      <c r="D50" s="631">
        <v>5400</v>
      </c>
      <c r="E50" s="630" t="s">
        <v>1</v>
      </c>
      <c r="F50" s="784" t="s">
        <v>3</v>
      </c>
      <c r="G50" s="785"/>
      <c r="H50" s="782"/>
      <c r="I50" s="783"/>
    </row>
    <row r="51" spans="1:9" ht="15.75" thickBot="1">
      <c r="A51" s="791" t="s">
        <v>2</v>
      </c>
      <c r="B51" s="792"/>
      <c r="C51" s="793"/>
      <c r="D51" s="632">
        <f>SUM(E10:E11)-D47</f>
        <v>350</v>
      </c>
      <c r="E51" s="633" t="s">
        <v>1</v>
      </c>
      <c r="F51" s="794"/>
      <c r="G51" s="794"/>
      <c r="H51" s="965"/>
      <c r="I51" s="966"/>
    </row>
    <row r="52" spans="1:9" ht="15.75" thickBot="1">
      <c r="A52" s="795" t="s">
        <v>0</v>
      </c>
      <c r="B52" s="796"/>
      <c r="C52" s="796"/>
      <c r="D52" s="796"/>
      <c r="E52" s="796"/>
      <c r="F52" s="796"/>
      <c r="G52" s="796"/>
      <c r="H52" s="796"/>
      <c r="I52" s="797"/>
    </row>
    <row r="53" spans="1:9" ht="31.15" customHeight="1">
      <c r="A53" s="967" t="s">
        <v>370</v>
      </c>
      <c r="B53" s="968"/>
      <c r="C53" s="969"/>
      <c r="D53" s="969"/>
      <c r="E53" s="969"/>
      <c r="F53" s="969"/>
      <c r="G53" s="969"/>
      <c r="H53" s="969"/>
      <c r="I53" s="970"/>
    </row>
    <row r="54" spans="1:9">
      <c r="A54" s="961" t="s">
        <v>371</v>
      </c>
      <c r="B54" s="962"/>
      <c r="C54" s="963"/>
      <c r="D54" s="963"/>
      <c r="E54" s="963"/>
      <c r="F54" s="963"/>
      <c r="G54" s="963"/>
      <c r="H54" s="963"/>
      <c r="I54" s="964"/>
    </row>
    <row r="55" spans="1:9">
      <c r="A55" s="810"/>
      <c r="B55" s="811"/>
      <c r="C55" s="811"/>
      <c r="D55" s="811"/>
      <c r="E55" s="811"/>
      <c r="F55" s="811"/>
      <c r="G55" s="811"/>
      <c r="H55" s="811"/>
      <c r="I55" s="812"/>
    </row>
    <row r="56" spans="1:9">
      <c r="A56" s="810"/>
      <c r="B56" s="811"/>
      <c r="C56" s="811"/>
      <c r="D56" s="811"/>
      <c r="E56" s="811"/>
      <c r="F56" s="811"/>
      <c r="G56" s="811"/>
      <c r="H56" s="811"/>
      <c r="I56" s="812"/>
    </row>
    <row r="57" spans="1:9">
      <c r="A57" s="830"/>
      <c r="B57" s="830"/>
      <c r="C57" s="830"/>
      <c r="D57" s="830"/>
      <c r="E57" s="830"/>
      <c r="F57" s="830"/>
      <c r="G57" s="830"/>
      <c r="H57" s="830"/>
      <c r="I57" s="634"/>
    </row>
    <row r="58" spans="1:9">
      <c r="A58" s="971"/>
      <c r="B58" s="971"/>
      <c r="C58" s="971"/>
      <c r="D58" s="971"/>
      <c r="E58" s="971"/>
      <c r="F58" s="971"/>
      <c r="G58" s="971"/>
      <c r="H58" s="971"/>
      <c r="I58" s="971"/>
    </row>
    <row r="59" spans="1:9">
      <c r="A59" s="634"/>
      <c r="B59" s="634"/>
      <c r="C59" s="634"/>
      <c r="D59" s="634"/>
      <c r="E59" s="634"/>
      <c r="F59" s="634"/>
      <c r="G59" s="634"/>
      <c r="H59" s="634"/>
      <c r="I59" s="634"/>
    </row>
    <row r="60" spans="1:9">
      <c r="A60" s="971"/>
      <c r="B60" s="971"/>
      <c r="C60" s="971"/>
      <c r="D60" s="971"/>
      <c r="E60" s="971"/>
      <c r="F60" s="971"/>
      <c r="G60" s="971"/>
      <c r="H60" s="971"/>
      <c r="I60" s="971"/>
    </row>
    <row r="61" spans="1:9" ht="18" customHeight="1">
      <c r="A61" s="634"/>
      <c r="B61" s="634"/>
      <c r="C61" s="634"/>
      <c r="D61" s="634"/>
      <c r="E61" s="634"/>
      <c r="F61" s="634"/>
      <c r="G61" s="634"/>
      <c r="H61" s="634"/>
      <c r="I61" s="634"/>
    </row>
    <row r="62" spans="1:9">
      <c r="A62" s="634"/>
      <c r="B62" s="634"/>
      <c r="C62" s="634"/>
      <c r="D62" s="634"/>
      <c r="E62" s="634"/>
      <c r="F62" s="634"/>
      <c r="G62" s="634"/>
      <c r="H62" s="634"/>
      <c r="I62" s="634"/>
    </row>
    <row r="63" spans="1:9" ht="15.75" thickBot="1">
      <c r="A63" s="972"/>
      <c r="B63" s="973"/>
      <c r="C63" s="973"/>
      <c r="D63" s="973"/>
      <c r="E63" s="973"/>
      <c r="F63" s="973"/>
      <c r="G63" s="973"/>
      <c r="H63" s="973"/>
      <c r="I63" s="974"/>
    </row>
    <row r="64" spans="1:9">
      <c r="A64" s="769" t="s">
        <v>33</v>
      </c>
      <c r="B64" s="770"/>
      <c r="C64" s="770"/>
      <c r="D64" s="770"/>
      <c r="E64" s="770"/>
      <c r="F64" s="770"/>
      <c r="G64" s="770"/>
      <c r="H64" s="770"/>
      <c r="I64" s="770"/>
    </row>
    <row r="65" spans="1:9">
      <c r="A65" s="747" t="s">
        <v>372</v>
      </c>
      <c r="B65" s="748"/>
      <c r="C65" s="748"/>
      <c r="D65" s="748"/>
      <c r="E65" s="748"/>
      <c r="F65" s="748"/>
      <c r="G65" s="748"/>
      <c r="H65" s="748"/>
      <c r="I65" s="748"/>
    </row>
    <row r="66" spans="1:9">
      <c r="A66" s="747"/>
      <c r="B66" s="748"/>
      <c r="C66" s="748"/>
      <c r="D66" s="748"/>
      <c r="E66" s="748"/>
      <c r="F66" s="748"/>
      <c r="G66" s="748"/>
      <c r="H66" s="748"/>
      <c r="I66" s="748"/>
    </row>
  </sheetData>
  <mergeCells count="44">
    <mergeCell ref="A64:I64"/>
    <mergeCell ref="A65:I65"/>
    <mergeCell ref="A66:I66"/>
    <mergeCell ref="A55:I55"/>
    <mergeCell ref="A56:I56"/>
    <mergeCell ref="A57:H57"/>
    <mergeCell ref="A58:I58"/>
    <mergeCell ref="A60:I60"/>
    <mergeCell ref="A63:I63"/>
    <mergeCell ref="A54:I54"/>
    <mergeCell ref="A49:C49"/>
    <mergeCell ref="F49:G49"/>
    <mergeCell ref="H49:I49"/>
    <mergeCell ref="A50:C50"/>
    <mergeCell ref="F50:G50"/>
    <mergeCell ref="H50:I50"/>
    <mergeCell ref="A51:C51"/>
    <mergeCell ref="F51:G51"/>
    <mergeCell ref="H51:I51"/>
    <mergeCell ref="A52:I52"/>
    <mergeCell ref="A53:I53"/>
    <mergeCell ref="A47:C47"/>
    <mergeCell ref="F47:G47"/>
    <mergeCell ref="H47:I47"/>
    <mergeCell ref="A48:C48"/>
    <mergeCell ref="F48:G48"/>
    <mergeCell ref="H48:I48"/>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7FFD-CE51-4358-AEDD-720F3B2E6C90}">
  <dimension ref="A1:Q109"/>
  <sheetViews>
    <sheetView topLeftCell="A66" workbookViewId="0">
      <selection activeCell="J69" sqref="J69"/>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0" ht="27.75" customHeight="1">
      <c r="A1" s="171"/>
      <c r="B1" s="171"/>
      <c r="C1" s="171"/>
      <c r="D1" s="171"/>
      <c r="E1" s="172" t="s">
        <v>125</v>
      </c>
      <c r="F1" s="173" t="s">
        <v>126</v>
      </c>
      <c r="G1" s="173" t="s">
        <v>127</v>
      </c>
      <c r="H1" s="173" t="s">
        <v>128</v>
      </c>
      <c r="I1" s="174"/>
    </row>
    <row r="2" spans="1:10" ht="30.75" customHeight="1">
      <c r="A2" s="171"/>
      <c r="B2" s="171"/>
      <c r="C2" s="171"/>
      <c r="D2" s="171"/>
      <c r="E2" s="177">
        <f>IFERROR(O80,"")</f>
        <v>4643.5538173350042</v>
      </c>
      <c r="F2" s="177">
        <f>IFERROR(H71,"")</f>
        <v>2562.2149046783625</v>
      </c>
      <c r="G2" s="177">
        <f>IFERROR(H72,"")</f>
        <v>1006.2800254385967</v>
      </c>
      <c r="H2" s="177">
        <f>IFERROR(H74,"")</f>
        <v>517.37208947368424</v>
      </c>
      <c r="I2" s="178"/>
    </row>
    <row r="3" spans="1:10" ht="15" customHeight="1">
      <c r="A3" s="171"/>
      <c r="B3" s="171"/>
      <c r="C3" s="171"/>
      <c r="D3" s="171"/>
      <c r="E3" s="171"/>
      <c r="F3" s="179"/>
      <c r="G3" s="179"/>
      <c r="H3" s="179"/>
      <c r="I3" s="179"/>
    </row>
    <row r="4" spans="1:10" ht="24.75" customHeight="1" thickBot="1">
      <c r="A4" s="1001"/>
      <c r="B4" s="1001"/>
      <c r="C4" s="1001"/>
      <c r="D4" s="1001"/>
      <c r="E4" s="1001"/>
      <c r="F4" s="1001"/>
      <c r="G4" s="1001"/>
      <c r="H4" s="1001"/>
      <c r="I4" s="180"/>
    </row>
    <row r="5" spans="1:10" ht="19.5" customHeight="1" thickBot="1">
      <c r="A5" s="1002" t="s">
        <v>129</v>
      </c>
      <c r="B5" s="1003"/>
      <c r="C5" s="1003"/>
      <c r="D5" s="1003"/>
      <c r="E5" s="1003"/>
      <c r="F5" s="1003"/>
      <c r="G5" s="1003"/>
      <c r="H5" s="1004"/>
      <c r="I5" s="181"/>
    </row>
    <row r="6" spans="1:10" ht="19.5" thickBot="1">
      <c r="A6" s="181"/>
      <c r="B6" s="181"/>
      <c r="C6" s="181"/>
      <c r="D6" s="181"/>
      <c r="E6" s="181"/>
      <c r="F6" s="1005" t="s">
        <v>130</v>
      </c>
      <c r="G6" s="1005"/>
      <c r="H6" s="182">
        <f ca="1">TODAY()</f>
        <v>46148</v>
      </c>
      <c r="I6" s="182"/>
    </row>
    <row r="7" spans="1:10" ht="26.25" thickBot="1">
      <c r="A7" s="183" t="s">
        <v>131</v>
      </c>
      <c r="B7" s="184" t="s">
        <v>132</v>
      </c>
      <c r="C7" s="184" t="s">
        <v>131</v>
      </c>
      <c r="D7" s="185" t="s">
        <v>133</v>
      </c>
      <c r="E7" s="185" t="s">
        <v>134</v>
      </c>
      <c r="F7" s="185" t="s">
        <v>135</v>
      </c>
      <c r="G7" s="185" t="s">
        <v>136</v>
      </c>
      <c r="H7" s="186" t="s">
        <v>137</v>
      </c>
      <c r="I7" s="187"/>
    </row>
    <row r="8" spans="1:10" ht="13.5">
      <c r="A8" s="188">
        <v>100</v>
      </c>
      <c r="B8" s="176" t="str">
        <f>IFERROR(VLOOKUP(H8,'[1]Consolidado MP Planta'!$A$2:$M$823,3,0),"")</f>
        <v>DULCE LECHE LA CIABATA (UND:5 K )</v>
      </c>
      <c r="C8" s="189">
        <f>+A8</f>
        <v>100</v>
      </c>
      <c r="D8" s="190" t="str">
        <f>IFERROR(VLOOKUP(H8,'[1]Consolidado MP Planta'!$A$2:$M$823,13,0),"")</f>
        <v>Gramos</v>
      </c>
      <c r="E8" s="190">
        <v>1.96</v>
      </c>
      <c r="F8" s="190">
        <f>IFERROR(C8*E8,"")</f>
        <v>196</v>
      </c>
      <c r="G8" s="191">
        <f t="shared" ref="G8:G14" si="0">IFERROR(F8/$F$84,"")</f>
        <v>4.8942013157640844E-2</v>
      </c>
      <c r="H8" s="192" t="s">
        <v>181</v>
      </c>
      <c r="I8" s="192"/>
      <c r="J8" s="193"/>
    </row>
    <row r="9" spans="1:10" ht="13.5" hidden="1">
      <c r="A9" s="188"/>
      <c r="B9" s="176" t="str">
        <f>IFERROR(VLOOKUP(H9,'[1]Consolidado MP Planta'!$A$2:$M$823,3,0),"")</f>
        <v/>
      </c>
      <c r="C9" s="189">
        <f t="shared" ref="C9:C14" si="1">+A9</f>
        <v>0</v>
      </c>
      <c r="D9" s="190" t="str">
        <f>IFERROR(VLOOKUP(H9,'[1]Consolidado MP Planta'!$A$2:$M$823,13,0),"")</f>
        <v/>
      </c>
      <c r="E9" s="190" t="str">
        <f>IFERROR(VLOOKUP(H9,'[1]Consolidado MP Planta'!$A$2:$M$823,12,0),"")</f>
        <v/>
      </c>
      <c r="F9" s="190" t="str">
        <f t="shared" ref="F9:F14" si="2">IFERROR(C9*E9,"")</f>
        <v/>
      </c>
      <c r="G9" s="191" t="str">
        <f t="shared" si="0"/>
        <v/>
      </c>
      <c r="H9" s="192"/>
      <c r="I9" s="192"/>
      <c r="J9" s="193"/>
    </row>
    <row r="10" spans="1:10"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0"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0"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0"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0"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0" ht="14.25" thickBot="1">
      <c r="A15" s="188"/>
      <c r="B15" s="176" t="str">
        <f>IFERROR(VLOOKUP(H15,[2]Hoja2!$A$2:$G$589,2,0),"")</f>
        <v/>
      </c>
      <c r="C15" s="189"/>
      <c r="D15" s="190"/>
      <c r="E15" s="190"/>
      <c r="F15" s="190"/>
      <c r="G15" s="191"/>
      <c r="H15" s="192"/>
      <c r="I15" s="192"/>
      <c r="J15" s="193"/>
    </row>
    <row r="16" spans="1:10" ht="26.25" thickBot="1">
      <c r="A16" s="183" t="s">
        <v>131</v>
      </c>
      <c r="B16" s="184" t="s">
        <v>138</v>
      </c>
      <c r="C16" s="184" t="s">
        <v>131</v>
      </c>
      <c r="D16" s="185" t="s">
        <v>133</v>
      </c>
      <c r="E16" s="185" t="s">
        <v>134</v>
      </c>
      <c r="F16" s="185" t="s">
        <v>135</v>
      </c>
      <c r="G16" s="185" t="s">
        <v>136</v>
      </c>
      <c r="H16" s="186" t="s">
        <v>137</v>
      </c>
      <c r="I16" s="187"/>
      <c r="J16" s="193"/>
    </row>
    <row r="17" spans="1:12" ht="13.5">
      <c r="A17" s="188">
        <v>1.5</v>
      </c>
      <c r="B17" s="176" t="s">
        <v>44</v>
      </c>
      <c r="C17" s="189">
        <f>+A17</f>
        <v>1.5</v>
      </c>
      <c r="D17" s="189" t="s">
        <v>176</v>
      </c>
      <c r="E17" s="190">
        <v>391</v>
      </c>
      <c r="F17" s="190">
        <f>IFERROR(E17*C17,"")</f>
        <v>586.5</v>
      </c>
      <c r="G17" s="191">
        <f t="shared" ref="G17:G29" si="3">IFERROR(F17/$F$84,"")</f>
        <v>0.1464514832497773</v>
      </c>
      <c r="H17" s="192" t="s">
        <v>42</v>
      </c>
      <c r="I17" s="192"/>
      <c r="J17" s="193"/>
    </row>
    <row r="18" spans="1:12" ht="13.5">
      <c r="A18" s="188">
        <v>90</v>
      </c>
      <c r="B18" s="176" t="s">
        <v>86</v>
      </c>
      <c r="C18" s="189">
        <f t="shared" ref="C18:C29" si="4">+A18</f>
        <v>90</v>
      </c>
      <c r="D18" s="189" t="s">
        <v>177</v>
      </c>
      <c r="E18" s="190">
        <v>1.1100000000000001</v>
      </c>
      <c r="F18" s="190">
        <f t="shared" ref="F18:F29" si="5">IFERROR(E18*C18,"")</f>
        <v>99.9</v>
      </c>
      <c r="G18" s="191">
        <f t="shared" si="3"/>
        <v>2.4945444461471022E-2</v>
      </c>
      <c r="H18" s="192" t="s">
        <v>85</v>
      </c>
      <c r="I18" s="192"/>
      <c r="J18" s="193"/>
    </row>
    <row r="19" spans="1:12" ht="13.5">
      <c r="A19" s="188">
        <v>200</v>
      </c>
      <c r="B19" s="176" t="s">
        <v>104</v>
      </c>
      <c r="C19" s="189">
        <f t="shared" si="4"/>
        <v>200</v>
      </c>
      <c r="D19" s="189" t="s">
        <v>177</v>
      </c>
      <c r="E19" s="190">
        <f>+'Costo Crema Dulce Caramelo'!E69</f>
        <v>2.3189899999999999</v>
      </c>
      <c r="F19" s="190">
        <f t="shared" si="5"/>
        <v>463.798</v>
      </c>
      <c r="G19" s="191">
        <f t="shared" si="3"/>
        <v>0.11581228478820157</v>
      </c>
      <c r="H19" s="192" t="s">
        <v>114</v>
      </c>
      <c r="I19" s="192"/>
      <c r="J19" s="193"/>
    </row>
    <row r="20" spans="1:12" ht="13.5">
      <c r="A20" s="188">
        <v>60</v>
      </c>
      <c r="B20" s="176" t="s">
        <v>108</v>
      </c>
      <c r="C20" s="189">
        <f t="shared" si="4"/>
        <v>60</v>
      </c>
      <c r="D20" s="189" t="s">
        <v>177</v>
      </c>
      <c r="E20" s="190">
        <f>+'Costo Procesado'!E69</f>
        <v>6.0421052631578949</v>
      </c>
      <c r="F20" s="190">
        <f t="shared" si="5"/>
        <v>362.5263157894737</v>
      </c>
      <c r="G20" s="191">
        <f t="shared" si="3"/>
        <v>9.052432508856878E-2</v>
      </c>
      <c r="H20" s="192" t="s">
        <v>114</v>
      </c>
      <c r="I20" s="192"/>
      <c r="J20" s="193"/>
    </row>
    <row r="21" spans="1:12" ht="13.5">
      <c r="A21" s="188">
        <v>205</v>
      </c>
      <c r="B21" s="176" t="s">
        <v>78</v>
      </c>
      <c r="C21" s="189">
        <f t="shared" si="4"/>
        <v>205</v>
      </c>
      <c r="D21" s="189" t="s">
        <v>177</v>
      </c>
      <c r="E21" s="190">
        <v>2.2999999999999998</v>
      </c>
      <c r="F21" s="190">
        <f t="shared" si="5"/>
        <v>471.49999999999994</v>
      </c>
      <c r="G21" s="191">
        <f t="shared" si="3"/>
        <v>0.11773550614197782</v>
      </c>
      <c r="H21" s="192" t="s">
        <v>77</v>
      </c>
      <c r="I21" s="192"/>
      <c r="J21" s="193"/>
    </row>
    <row r="22" spans="1:12" ht="13.5">
      <c r="A22" s="188">
        <v>15</v>
      </c>
      <c r="B22" s="176" t="s">
        <v>109</v>
      </c>
      <c r="C22" s="189">
        <f t="shared" si="4"/>
        <v>15</v>
      </c>
      <c r="D22" s="189" t="s">
        <v>177</v>
      </c>
      <c r="E22" s="190">
        <f>+'Costo Mezcla Mani Arroz'!E69</f>
        <v>3.0487799999999998</v>
      </c>
      <c r="F22" s="190">
        <f t="shared" si="5"/>
        <v>45.731699999999996</v>
      </c>
      <c r="G22" s="191">
        <f t="shared" si="3"/>
        <v>1.1419395220006548E-2</v>
      </c>
      <c r="H22" s="192" t="s">
        <v>114</v>
      </c>
      <c r="I22" s="192"/>
      <c r="J22" s="193"/>
    </row>
    <row r="23" spans="1:12" ht="13.5">
      <c r="A23" s="188">
        <v>10</v>
      </c>
      <c r="B23" s="176" t="s">
        <v>80</v>
      </c>
      <c r="C23" s="189">
        <f t="shared" si="4"/>
        <v>10</v>
      </c>
      <c r="D23" s="189" t="s">
        <v>177</v>
      </c>
      <c r="E23" s="190">
        <v>3.14</v>
      </c>
      <c r="F23" s="190">
        <f t="shared" si="5"/>
        <v>31.400000000000002</v>
      </c>
      <c r="G23" s="191">
        <f t="shared" si="3"/>
        <v>7.8407102711730743E-3</v>
      </c>
      <c r="H23" s="192" t="s">
        <v>79</v>
      </c>
      <c r="I23" s="192"/>
      <c r="J23" s="193"/>
    </row>
    <row r="24" spans="1:12" ht="13.5">
      <c r="A24" s="188">
        <v>10</v>
      </c>
      <c r="B24" s="176" t="s">
        <v>49</v>
      </c>
      <c r="C24" s="189">
        <f t="shared" si="4"/>
        <v>10</v>
      </c>
      <c r="D24" s="189" t="s">
        <v>177</v>
      </c>
      <c r="E24" s="190">
        <v>4.6900000000000004</v>
      </c>
      <c r="F24" s="190">
        <f t="shared" si="5"/>
        <v>46.900000000000006</v>
      </c>
      <c r="G24" s="191">
        <f t="shared" si="3"/>
        <v>1.1711124577006918E-2</v>
      </c>
      <c r="H24" s="192" t="s">
        <v>48</v>
      </c>
      <c r="I24" s="192"/>
      <c r="J24" s="193"/>
    </row>
    <row r="25" spans="1:12" ht="13.5">
      <c r="A25" s="188">
        <v>10</v>
      </c>
      <c r="B25" s="176" t="s">
        <v>82</v>
      </c>
      <c r="C25" s="189">
        <f t="shared" si="4"/>
        <v>10</v>
      </c>
      <c r="D25" s="189" t="s">
        <v>177</v>
      </c>
      <c r="E25" s="190">
        <v>3.42</v>
      </c>
      <c r="F25" s="190">
        <f t="shared" si="5"/>
        <v>34.200000000000003</v>
      </c>
      <c r="G25" s="191">
        <f t="shared" si="3"/>
        <v>8.5398818877107999E-3</v>
      </c>
      <c r="H25" s="192" t="s">
        <v>81</v>
      </c>
      <c r="I25" s="192"/>
      <c r="J25" s="193"/>
    </row>
    <row r="26" spans="1:12" ht="13.5">
      <c r="A26" s="188">
        <v>26</v>
      </c>
      <c r="B26" s="176" t="s">
        <v>123</v>
      </c>
      <c r="C26" s="189">
        <f t="shared" si="4"/>
        <v>26</v>
      </c>
      <c r="D26" s="189" t="s">
        <v>177</v>
      </c>
      <c r="E26" s="190">
        <f>+'Costo Pelado choco Choys'!E69</f>
        <v>8.6061111111111117</v>
      </c>
      <c r="F26" s="190">
        <f t="shared" si="5"/>
        <v>223.75888888888892</v>
      </c>
      <c r="G26" s="191">
        <f t="shared" si="3"/>
        <v>5.5873522878260695E-2</v>
      </c>
      <c r="H26" s="192" t="s">
        <v>114</v>
      </c>
      <c r="I26" s="192"/>
      <c r="J26" s="193"/>
    </row>
    <row r="27" spans="1:12" ht="13.5" hidden="1">
      <c r="A27" s="188"/>
      <c r="B27" s="176" t="str">
        <f>IFERROR(VLOOKUP(H27,[1]SEMIELABORADOS!$A$2:$M$6000,2,0),"")</f>
        <v/>
      </c>
      <c r="C27" s="189">
        <f t="shared" si="4"/>
        <v>0</v>
      </c>
      <c r="D27" s="189" t="str">
        <f>IFERROR(VLOOKUP(H27,[1]SEMIELABORADOS!$A$2:$M$6000,6,0),"")</f>
        <v/>
      </c>
      <c r="E27" s="190" t="str">
        <f>IFERROR(VLOOKUP(H27,[1]SEMIELABORADOS!$A$2:$H$65536,8,0),"")</f>
        <v/>
      </c>
      <c r="F27" s="190" t="str">
        <f t="shared" si="5"/>
        <v/>
      </c>
      <c r="G27" s="191" t="str">
        <f t="shared" si="3"/>
        <v/>
      </c>
      <c r="H27" s="192"/>
      <c r="I27" s="192"/>
      <c r="J27" s="193"/>
    </row>
    <row r="28" spans="1:12" ht="13.5" hidden="1">
      <c r="A28" s="188"/>
      <c r="B28" s="176" t="str">
        <f>IFERROR(VLOOKUP(H28,[1]SEMIELABORADOS!$A$2:$M$6000,2,0),"")</f>
        <v/>
      </c>
      <c r="C28" s="189">
        <f t="shared" si="4"/>
        <v>0</v>
      </c>
      <c r="D28" s="189" t="str">
        <f>IFERROR(VLOOKUP(H28,[1]SEMIELABORADOS!$A$2:$M$6000,6,0),"")</f>
        <v/>
      </c>
      <c r="E28" s="190" t="str">
        <f>IFERROR(VLOOKUP(H28,[1]SEMIELABORADOS!$A$2:$H$65536,8,0),"")</f>
        <v/>
      </c>
      <c r="F28" s="190" t="str">
        <f t="shared" si="5"/>
        <v/>
      </c>
      <c r="G28" s="191" t="str">
        <f t="shared" si="3"/>
        <v/>
      </c>
      <c r="H28" s="192"/>
      <c r="I28" s="192"/>
      <c r="J28" s="193"/>
    </row>
    <row r="29" spans="1:12" ht="13.5" hidden="1">
      <c r="A29" s="188"/>
      <c r="B29" s="176" t="str">
        <f>IFERROR(VLOOKUP(H29,[1]SEMIELABORADOS!$A$2:$M$6000,2,0),"")</f>
        <v/>
      </c>
      <c r="C29" s="189">
        <f t="shared" si="4"/>
        <v>0</v>
      </c>
      <c r="D29" s="189" t="str">
        <f>IFERROR(VLOOKUP(H29,[1]SEMIELABORADOS!$A$2:$M$6000,6,0),"")</f>
        <v/>
      </c>
      <c r="E29" s="190" t="str">
        <f>IFERROR(VLOOKUP(H29,[1]SEMIELABORADOS!$A$2:$H$65536,8,0),"")</f>
        <v/>
      </c>
      <c r="F29" s="190" t="str">
        <f t="shared" si="5"/>
        <v/>
      </c>
      <c r="G29" s="191" t="str">
        <f t="shared" si="3"/>
        <v/>
      </c>
      <c r="H29" s="192"/>
      <c r="I29" s="192"/>
      <c r="J29" s="193"/>
    </row>
    <row r="30" spans="1:12" ht="14.25" thickBot="1">
      <c r="A30" s="188"/>
      <c r="C30" s="189"/>
      <c r="D30" s="189"/>
      <c r="E30" s="190"/>
      <c r="F30" s="190"/>
      <c r="G30" s="191"/>
      <c r="H30" s="192"/>
      <c r="I30" s="192"/>
      <c r="J30" s="193"/>
    </row>
    <row r="31" spans="1:12" ht="26.25" thickBot="1">
      <c r="A31" s="183" t="s">
        <v>131</v>
      </c>
      <c r="B31" s="184" t="s">
        <v>34</v>
      </c>
      <c r="C31" s="184" t="s">
        <v>131</v>
      </c>
      <c r="D31" s="185" t="s">
        <v>133</v>
      </c>
      <c r="E31" s="185" t="s">
        <v>134</v>
      </c>
      <c r="F31" s="185" t="s">
        <v>135</v>
      </c>
      <c r="G31" s="185" t="s">
        <v>136</v>
      </c>
      <c r="H31" s="186" t="s">
        <v>137</v>
      </c>
      <c r="I31" s="187"/>
    </row>
    <row r="32" spans="1:12" ht="13.5">
      <c r="A32" s="188">
        <v>1</v>
      </c>
      <c r="B32" s="194" t="str">
        <f>IFERROR(VLOOKUP(H32,'[1]Consolidado MP Planta'!$A$2:$M$823,3,0),"")</f>
        <v>QUEQUERA RED  BASE/DOMO 10 (CAJA:50)</v>
      </c>
      <c r="C32" s="189">
        <f t="shared" ref="C32:C40" si="6">+A32</f>
        <v>1</v>
      </c>
      <c r="D32" s="190" t="str">
        <f>IFERROR(VLOOKUP(H32,'[1]Consolidado MP Planta'!$A$2:$M$823,13,0),"")</f>
        <v>UND</v>
      </c>
      <c r="E32" s="190">
        <f>IFERROR(VLOOKUP(H32,'[1]Consolidado MP Planta'!$A$2:$M$823,12,0),"")</f>
        <v>751.04</v>
      </c>
      <c r="F32" s="190">
        <f t="shared" ref="F32:F40" si="7">IFERROR(C32*E32,"")</f>
        <v>751.04</v>
      </c>
      <c r="G32" s="191">
        <f>IFERROR(F32/$F$84,"")</f>
        <v>0.18753780388731928</v>
      </c>
      <c r="H32" s="195" t="s">
        <v>52</v>
      </c>
      <c r="I32" s="195"/>
      <c r="J32" s="193"/>
      <c r="K32" s="995"/>
      <c r="L32" s="995"/>
    </row>
    <row r="33" spans="1:12" ht="13.5">
      <c r="A33" s="188">
        <v>1</v>
      </c>
      <c r="B33" s="194" t="str">
        <f>IFERROR(VLOOKUP(H33,'[1]Consolidado MP Planta'!$A$2:$M$823,3,0),"")</f>
        <v>ORLA # 10 BUCCA (UND)</v>
      </c>
      <c r="C33" s="189">
        <f t="shared" si="6"/>
        <v>1</v>
      </c>
      <c r="D33" s="190">
        <f>IFERROR(VLOOKUP(H33,'[1]Consolidado MP Planta'!$A$2:$M$823,13,0),"")</f>
        <v>0</v>
      </c>
      <c r="E33" s="190">
        <f>IFERROR(VLOOKUP(H33,'[1]Consolidado MP Planta'!$A$2:$M$823,12,0),"")</f>
        <v>137</v>
      </c>
      <c r="F33" s="190">
        <f t="shared" si="7"/>
        <v>137</v>
      </c>
      <c r="G33" s="191">
        <f>IFERROR(F33/$F$84,"")</f>
        <v>3.4209468380595895E-2</v>
      </c>
      <c r="H33" s="195" t="s">
        <v>56</v>
      </c>
      <c r="I33" s="195"/>
      <c r="J33" s="193"/>
      <c r="K33" s="995"/>
      <c r="L33" s="995"/>
    </row>
    <row r="34" spans="1:12" ht="13.5">
      <c r="A34" s="188">
        <v>1</v>
      </c>
      <c r="B34" s="194" t="str">
        <f>IFERROR(VLOOKUP(H34,'[1]Consolidado MP Planta'!$A$2:$M$823,3,0),"")</f>
        <v>ET. TORTA BUCCA GENERICA PEQUEÑA (UND)</v>
      </c>
      <c r="C34" s="189">
        <f t="shared" ref="C34:C36" si="8">+A34</f>
        <v>1</v>
      </c>
      <c r="D34" s="190" t="str">
        <f>IFERROR(VLOOKUP(H34,'[1]Consolidado MP Planta'!$A$2:$M$823,13,0),"")</f>
        <v>Und</v>
      </c>
      <c r="E34" s="190">
        <v>0</v>
      </c>
      <c r="F34" s="190">
        <f t="shared" ref="F34:F36" si="9">IFERROR(C34*E34,"")</f>
        <v>0</v>
      </c>
      <c r="G34" s="191">
        <f t="shared" ref="G34:G36" si="10">IFERROR(F34/$F$84,"")</f>
        <v>0</v>
      </c>
      <c r="H34" s="195" t="s">
        <v>60</v>
      </c>
      <c r="I34" s="195"/>
      <c r="J34" s="193"/>
      <c r="K34" s="174"/>
      <c r="L34" s="174"/>
    </row>
    <row r="35" spans="1:12" ht="13.5">
      <c r="A35" s="188">
        <v>1</v>
      </c>
      <c r="B35" s="194" t="str">
        <f>IFERROR(VLOOKUP(H35,'[1]Consolidado MP Planta'!$A$2:$M$823,3,0),"")</f>
        <v>ETIQ.FECHA VENCIMIENTO BLANCO (ROLLO)</v>
      </c>
      <c r="C35" s="189">
        <f t="shared" si="8"/>
        <v>1</v>
      </c>
      <c r="D35" s="190" t="str">
        <f>IFERROR(VLOOKUP(H35,'[1]Consolidado MP Planta'!$A$2:$M$823,13,0),"")</f>
        <v>Gramos</v>
      </c>
      <c r="E35" s="190">
        <f>IFERROR(VLOOKUP(H35,'[1]Consolidado MP Planta'!$A$2:$M$823,12,0),"")</f>
        <v>0.33333333333333331</v>
      </c>
      <c r="F35" s="190">
        <f t="shared" si="9"/>
        <v>0.33333333333333331</v>
      </c>
      <c r="G35" s="191">
        <f t="shared" si="10"/>
        <v>8.323471625449122E-5</v>
      </c>
      <c r="H35" s="195" t="s">
        <v>64</v>
      </c>
      <c r="I35" s="195"/>
      <c r="J35" s="193"/>
      <c r="K35" s="174"/>
      <c r="L35" s="174"/>
    </row>
    <row r="36" spans="1:12" ht="13.5">
      <c r="A36" s="188">
        <v>1</v>
      </c>
      <c r="B36" s="194" t="str">
        <f>IFERROR(VLOOKUP(H36,'[1]Consolidado MP Planta'!$A$2:$M$823,3,0),"")</f>
        <v>ETIQ.BLANCA 1 1/4 * 3/4 (UND)</v>
      </c>
      <c r="C36" s="189">
        <f t="shared" si="8"/>
        <v>1</v>
      </c>
      <c r="D36" s="190" t="str">
        <f>IFERROR(VLOOKUP(H36,'[1]Consolidado MP Planta'!$A$2:$M$823,13,0),"")</f>
        <v>Und</v>
      </c>
      <c r="E36" s="190">
        <f>IFERROR(VLOOKUP(H36,'[1]Consolidado MP Planta'!$A$2:$M$823,12,0),"")</f>
        <v>0.57999999999999996</v>
      </c>
      <c r="F36" s="190">
        <f t="shared" si="9"/>
        <v>0.57999999999999996</v>
      </c>
      <c r="G36" s="191">
        <f t="shared" si="10"/>
        <v>1.4482840628281474E-4</v>
      </c>
      <c r="H36" s="195" t="s">
        <v>40</v>
      </c>
      <c r="I36" s="195"/>
      <c r="J36" s="193"/>
      <c r="K36" s="174"/>
      <c r="L36" s="174"/>
    </row>
    <row r="37" spans="1:12" ht="13.5">
      <c r="A37" s="188">
        <v>1</v>
      </c>
      <c r="B37" s="194" t="str">
        <f>IFERROR(VLOOKUP(H37,'[1]Consolidado MP Planta'!$A$2:$M$823,3,0),"")</f>
        <v>ETIQUETA BLANCA 2 5/8X1 15/16 (UND)</v>
      </c>
      <c r="C37" s="189">
        <f t="shared" si="6"/>
        <v>1</v>
      </c>
      <c r="D37" s="190" t="str">
        <f>IFERROR(VLOOKUP(H37,'[1]Consolidado MP Planta'!$A$2:$M$823,13,0),"")</f>
        <v>Und</v>
      </c>
      <c r="E37" s="190">
        <f>IFERROR(VLOOKUP(H37,'[1]Consolidado MP Planta'!$A$2:$M$823,12,0),"")</f>
        <v>2.1280000000000001</v>
      </c>
      <c r="F37" s="190">
        <f t="shared" si="7"/>
        <v>2.1280000000000001</v>
      </c>
      <c r="G37" s="191">
        <f>IFERROR(F37/$F$84,"")</f>
        <v>5.3137042856867206E-4</v>
      </c>
      <c r="H37" s="195" t="s">
        <v>70</v>
      </c>
      <c r="I37" s="195"/>
      <c r="J37" s="193"/>
      <c r="K37" s="995"/>
      <c r="L37" s="995"/>
    </row>
    <row r="38" spans="1:12" ht="13.5">
      <c r="A38" s="188">
        <v>1</v>
      </c>
      <c r="B38" s="194" t="s">
        <v>182</v>
      </c>
      <c r="C38" s="189">
        <f t="shared" si="6"/>
        <v>1</v>
      </c>
      <c r="D38" s="190" t="s">
        <v>178</v>
      </c>
      <c r="E38" s="190">
        <v>100</v>
      </c>
      <c r="F38" s="190">
        <f t="shared" si="7"/>
        <v>100</v>
      </c>
      <c r="G38" s="191">
        <f>IFERROR(F38/$F$84,"")</f>
        <v>2.4970414876347369E-2</v>
      </c>
      <c r="H38" s="195" t="s">
        <v>47</v>
      </c>
      <c r="I38" s="195"/>
      <c r="J38" s="193"/>
      <c r="K38" s="995"/>
      <c r="L38" s="995"/>
    </row>
    <row r="39" spans="1:12" ht="13.5">
      <c r="A39" s="188"/>
      <c r="B39" s="194" t="str">
        <f>IFERROR(VLOOKUP(H39,'[1]Consolidado MP Planta'!$A$2:$M$823,3,0),"")</f>
        <v/>
      </c>
      <c r="C39" s="189">
        <f t="shared" si="6"/>
        <v>0</v>
      </c>
      <c r="D39" s="190" t="str">
        <f>IFERROR(VLOOKUP(H39,'[1]Consolidado MP Planta'!$A$2:$M$823,13,0),"")</f>
        <v/>
      </c>
      <c r="E39" s="190" t="str">
        <f>IFERROR(VLOOKUP(H39,'[1]Consolidado MP Planta'!$A$2:$M$823,12,0),"")</f>
        <v/>
      </c>
      <c r="F39" s="190" t="str">
        <f t="shared" si="7"/>
        <v/>
      </c>
      <c r="G39" s="191" t="str">
        <f>IFERROR(F39/$F$84,"")</f>
        <v/>
      </c>
      <c r="H39" s="195"/>
      <c r="I39" s="195"/>
      <c r="J39" s="193"/>
      <c r="K39" s="196"/>
      <c r="L39" s="197"/>
    </row>
    <row r="40" spans="1:12" ht="13.5">
      <c r="A40" s="188"/>
      <c r="B40" s="194" t="str">
        <f>IFERROR(VLOOKUP(H40,'[1]Consolidado MP Planta'!$A$2:$M$823,3,0),"")</f>
        <v/>
      </c>
      <c r="C40" s="189">
        <f t="shared" si="6"/>
        <v>0</v>
      </c>
      <c r="D40" s="190" t="str">
        <f>IFERROR(VLOOKUP(H40,'[1]Consolidado MP Planta'!$A$2:$M$823,13,0),"")</f>
        <v/>
      </c>
      <c r="E40" s="190" t="str">
        <f>IFERROR(VLOOKUP(H40,'[1]Consolidado MP Planta'!$A$2:$M$823,12,0),"")</f>
        <v/>
      </c>
      <c r="F40" s="190" t="str">
        <f t="shared" si="7"/>
        <v/>
      </c>
      <c r="G40" s="191" t="str">
        <f>IFERROR(F40/$F$84,"")</f>
        <v/>
      </c>
      <c r="H40" s="195"/>
      <c r="I40" s="195"/>
      <c r="J40" s="193"/>
    </row>
    <row r="41" spans="1:12" ht="14.25" thickBot="1">
      <c r="A41" s="188"/>
      <c r="B41" s="194"/>
      <c r="C41" s="189"/>
      <c r="D41" s="190"/>
      <c r="E41" s="190"/>
      <c r="F41" s="190"/>
      <c r="G41" s="191"/>
      <c r="H41" s="195"/>
      <c r="I41" s="195"/>
      <c r="J41" s="193"/>
    </row>
    <row r="42" spans="1:12" ht="26.25" thickBot="1">
      <c r="A42" s="183" t="s">
        <v>131</v>
      </c>
      <c r="B42" s="184" t="s">
        <v>139</v>
      </c>
      <c r="C42" s="184" t="s">
        <v>131</v>
      </c>
      <c r="D42" s="185" t="s">
        <v>133</v>
      </c>
      <c r="E42" s="185" t="s">
        <v>134</v>
      </c>
      <c r="F42" s="185" t="s">
        <v>135</v>
      </c>
      <c r="G42" s="185" t="s">
        <v>136</v>
      </c>
      <c r="H42" s="186" t="s">
        <v>137</v>
      </c>
      <c r="I42" s="195"/>
      <c r="J42" s="193"/>
    </row>
    <row r="43" spans="1:12" ht="13.5">
      <c r="A43" s="188">
        <f t="shared" ref="A43:A54" si="11">+A17</f>
        <v>1.5</v>
      </c>
      <c r="B43" s="194" t="s">
        <v>44</v>
      </c>
      <c r="C43" s="189">
        <f>+A43</f>
        <v>1.5</v>
      </c>
      <c r="D43" s="190" t="s">
        <v>178</v>
      </c>
      <c r="E43" s="190">
        <v>4.8899999999999997</v>
      </c>
      <c r="F43" s="190">
        <f>IFERROR(E43*C43,"")</f>
        <v>7.3349999999999991</v>
      </c>
      <c r="G43" s="191">
        <f>IFERROR(F43/$F$84,"")</f>
        <v>1.8315799311800793E-3</v>
      </c>
      <c r="H43" s="195" t="s">
        <v>42</v>
      </c>
      <c r="I43" s="195"/>
      <c r="J43" s="193"/>
    </row>
    <row r="44" spans="1:12" ht="13.5">
      <c r="A44" s="188">
        <f t="shared" si="11"/>
        <v>90</v>
      </c>
      <c r="B44" s="194" t="s">
        <v>86</v>
      </c>
      <c r="C44" s="189">
        <f t="shared" ref="C44:C54" si="12">+A44</f>
        <v>90</v>
      </c>
      <c r="D44" s="190" t="s">
        <v>177</v>
      </c>
      <c r="E44" s="190">
        <v>0</v>
      </c>
      <c r="F44" s="190">
        <f t="shared" ref="F44:F54" si="13">IFERROR(E44*C44,"")</f>
        <v>0</v>
      </c>
      <c r="G44" s="191">
        <f t="shared" ref="G44:G54" si="14">IFERROR(F44/$F$84,"")</f>
        <v>0</v>
      </c>
      <c r="H44" s="195" t="s">
        <v>85</v>
      </c>
      <c r="I44" s="195"/>
      <c r="J44" s="193"/>
    </row>
    <row r="45" spans="1:12" ht="13.5">
      <c r="A45" s="188">
        <f t="shared" si="11"/>
        <v>200</v>
      </c>
      <c r="B45" s="194" t="s">
        <v>104</v>
      </c>
      <c r="C45" s="189">
        <f t="shared" si="12"/>
        <v>200</v>
      </c>
      <c r="D45" s="190" t="s">
        <v>177</v>
      </c>
      <c r="E45" s="190">
        <f>+'Costo Crema Dulce Caramelo'!E76</f>
        <v>0</v>
      </c>
      <c r="F45" s="190">
        <f t="shared" si="13"/>
        <v>0</v>
      </c>
      <c r="G45" s="191">
        <f t="shared" si="14"/>
        <v>0</v>
      </c>
      <c r="H45" s="195" t="s">
        <v>114</v>
      </c>
      <c r="I45" s="195"/>
      <c r="J45" s="193"/>
    </row>
    <row r="46" spans="1:12" ht="13.5">
      <c r="A46" s="188">
        <f t="shared" si="11"/>
        <v>60</v>
      </c>
      <c r="B46" s="194" t="s">
        <v>108</v>
      </c>
      <c r="C46" s="189">
        <f t="shared" si="12"/>
        <v>60</v>
      </c>
      <c r="D46" s="190" t="s">
        <v>177</v>
      </c>
      <c r="E46" s="190">
        <f>+'Costo Procesado'!E76</f>
        <v>5.9747368421052632E-2</v>
      </c>
      <c r="F46" s="190">
        <f t="shared" si="13"/>
        <v>3.5848421052631578</v>
      </c>
      <c r="G46" s="191">
        <f t="shared" si="14"/>
        <v>8.9514994634619577E-4</v>
      </c>
      <c r="H46" s="195" t="s">
        <v>114</v>
      </c>
      <c r="I46" s="195"/>
      <c r="J46" s="193"/>
    </row>
    <row r="47" spans="1:12" ht="13.5">
      <c r="A47" s="188">
        <f t="shared" si="11"/>
        <v>205</v>
      </c>
      <c r="B47" s="194" t="s">
        <v>78</v>
      </c>
      <c r="C47" s="189">
        <f t="shared" si="12"/>
        <v>205</v>
      </c>
      <c r="D47" s="190" t="s">
        <v>177</v>
      </c>
      <c r="E47" s="190">
        <v>0</v>
      </c>
      <c r="F47" s="190">
        <f t="shared" si="13"/>
        <v>0</v>
      </c>
      <c r="G47" s="191">
        <f t="shared" si="14"/>
        <v>0</v>
      </c>
      <c r="H47" s="195" t="s">
        <v>77</v>
      </c>
      <c r="I47" s="195"/>
      <c r="J47" s="193"/>
    </row>
    <row r="48" spans="1:12" ht="13.5">
      <c r="A48" s="188">
        <f t="shared" si="11"/>
        <v>15</v>
      </c>
      <c r="B48" s="176" t="s">
        <v>109</v>
      </c>
      <c r="C48" s="189">
        <f t="shared" si="12"/>
        <v>15</v>
      </c>
      <c r="D48" s="190" t="s">
        <v>177</v>
      </c>
      <c r="E48" s="190">
        <f>+'Costo Mezcla Mani Arroz'!E76</f>
        <v>3.4269999999999995E-2</v>
      </c>
      <c r="F48" s="190">
        <f t="shared" si="13"/>
        <v>0.5140499999999999</v>
      </c>
      <c r="G48" s="191">
        <f t="shared" si="14"/>
        <v>1.2836041767186362E-4</v>
      </c>
      <c r="H48" s="195" t="s">
        <v>114</v>
      </c>
      <c r="I48" s="195"/>
      <c r="J48" s="193"/>
    </row>
    <row r="49" spans="1:13" ht="13.5">
      <c r="A49" s="188">
        <f t="shared" si="11"/>
        <v>10</v>
      </c>
      <c r="B49" s="176" t="s">
        <v>80</v>
      </c>
      <c r="C49" s="189">
        <f t="shared" si="12"/>
        <v>10</v>
      </c>
      <c r="D49" s="190" t="s">
        <v>177</v>
      </c>
      <c r="E49" s="190">
        <v>0</v>
      </c>
      <c r="F49" s="190">
        <f t="shared" si="13"/>
        <v>0</v>
      </c>
      <c r="G49" s="191">
        <f t="shared" si="14"/>
        <v>0</v>
      </c>
      <c r="H49" s="195" t="s">
        <v>79</v>
      </c>
      <c r="I49" s="195"/>
      <c r="J49" s="193"/>
    </row>
    <row r="50" spans="1:13" ht="13.5">
      <c r="A50" s="188">
        <f t="shared" si="11"/>
        <v>10</v>
      </c>
      <c r="B50" s="194" t="s">
        <v>49</v>
      </c>
      <c r="C50" s="189">
        <f t="shared" si="12"/>
        <v>10</v>
      </c>
      <c r="D50" s="190" t="s">
        <v>177</v>
      </c>
      <c r="E50" s="190">
        <v>0</v>
      </c>
      <c r="F50" s="190">
        <f t="shared" si="13"/>
        <v>0</v>
      </c>
      <c r="G50" s="191">
        <f t="shared" si="14"/>
        <v>0</v>
      </c>
      <c r="H50" s="195" t="s">
        <v>48</v>
      </c>
      <c r="I50" s="195"/>
      <c r="J50" s="193"/>
    </row>
    <row r="51" spans="1:13" ht="13.5">
      <c r="A51" s="188">
        <f t="shared" si="11"/>
        <v>10</v>
      </c>
      <c r="B51" s="194" t="s">
        <v>82</v>
      </c>
      <c r="C51" s="189">
        <f t="shared" si="12"/>
        <v>10</v>
      </c>
      <c r="D51" s="190" t="s">
        <v>177</v>
      </c>
      <c r="E51" s="190">
        <v>0</v>
      </c>
      <c r="F51" s="190">
        <f t="shared" si="13"/>
        <v>0</v>
      </c>
      <c r="G51" s="191">
        <f t="shared" si="14"/>
        <v>0</v>
      </c>
      <c r="H51" s="195" t="s">
        <v>81</v>
      </c>
      <c r="I51" s="195"/>
      <c r="J51" s="193"/>
    </row>
    <row r="52" spans="1:13" ht="13.5">
      <c r="A52" s="188">
        <f t="shared" si="11"/>
        <v>26</v>
      </c>
      <c r="B52" s="194" t="s">
        <v>123</v>
      </c>
      <c r="C52" s="189">
        <f t="shared" si="12"/>
        <v>26</v>
      </c>
      <c r="D52" s="190" t="s">
        <v>177</v>
      </c>
      <c r="E52" s="190">
        <f>+'Costo Pelado choco Choys'!E76</f>
        <v>0.14480000000000001</v>
      </c>
      <c r="F52" s="190">
        <f t="shared" si="13"/>
        <v>3.7648000000000001</v>
      </c>
      <c r="G52" s="191">
        <f t="shared" si="14"/>
        <v>9.4008617926472581E-4</v>
      </c>
      <c r="H52" s="195" t="s">
        <v>114</v>
      </c>
      <c r="I52" s="195"/>
      <c r="J52" s="193"/>
    </row>
    <row r="53" spans="1:13" ht="13.5">
      <c r="A53" s="188">
        <f t="shared" si="11"/>
        <v>0</v>
      </c>
      <c r="B53" s="194" t="str">
        <f>IFERROR(VLOOKUP(H53,[1]SEMIELABORADOS!$A$2:$M$6000,2,0),"")</f>
        <v/>
      </c>
      <c r="C53" s="189">
        <f t="shared" si="12"/>
        <v>0</v>
      </c>
      <c r="D53" s="190" t="str">
        <f>IFERROR(VLOOKUP(H53,[1]SEMIELABORADOS!$A$2:$M$6000,6,0),"")</f>
        <v/>
      </c>
      <c r="E53" s="190" t="str">
        <f>IFERROR(VLOOKUP(H53,[1]SEMIELABORADOS!$A$2:$M$65536,10,0),"")</f>
        <v/>
      </c>
      <c r="F53" s="190" t="str">
        <f t="shared" si="13"/>
        <v/>
      </c>
      <c r="G53" s="191" t="str">
        <f t="shared" si="14"/>
        <v/>
      </c>
      <c r="H53" s="195"/>
      <c r="I53" s="195"/>
      <c r="J53" s="193"/>
    </row>
    <row r="54" spans="1:13" ht="13.5">
      <c r="A54" s="188">
        <f t="shared" si="11"/>
        <v>0</v>
      </c>
      <c r="B54" s="194" t="str">
        <f>IFERROR(VLOOKUP(H54,[1]SEMIELABORADOS!$A$2:$M$6000,2,0),"")</f>
        <v/>
      </c>
      <c r="C54" s="189">
        <f t="shared" si="12"/>
        <v>0</v>
      </c>
      <c r="D54" s="190" t="str">
        <f>IFERROR(VLOOKUP(H54,[1]SEMIELABORADOS!$A$2:$M$6000,6,0),"")</f>
        <v/>
      </c>
      <c r="E54" s="190" t="str">
        <f>IFERROR(VLOOKUP(H54,[1]SEMIELABORADOS!$A$2:$M$65536,10,0),"")</f>
        <v/>
      </c>
      <c r="F54" s="190" t="str">
        <f t="shared" si="13"/>
        <v/>
      </c>
      <c r="G54" s="191" t="str">
        <f t="shared" si="14"/>
        <v/>
      </c>
      <c r="H54" s="195"/>
      <c r="I54" s="195"/>
      <c r="J54" s="193"/>
    </row>
    <row r="55" spans="1:13" ht="14.25" thickBot="1">
      <c r="A55" s="188"/>
      <c r="B55" s="194"/>
      <c r="C55" s="189"/>
      <c r="D55" s="190"/>
      <c r="E55" s="190"/>
      <c r="F55" s="190"/>
      <c r="G55" s="191"/>
      <c r="H55" s="195"/>
      <c r="I55" s="195"/>
      <c r="J55" s="193"/>
    </row>
    <row r="56" spans="1:13" ht="26.25" thickBot="1">
      <c r="A56" s="183" t="s">
        <v>131</v>
      </c>
      <c r="B56" s="184" t="s">
        <v>140</v>
      </c>
      <c r="C56" s="184" t="s">
        <v>131</v>
      </c>
      <c r="D56" s="185" t="s">
        <v>133</v>
      </c>
      <c r="E56" s="185" t="s">
        <v>134</v>
      </c>
      <c r="F56" s="185" t="s">
        <v>135</v>
      </c>
      <c r="G56" s="185" t="s">
        <v>136</v>
      </c>
      <c r="H56" s="186" t="s">
        <v>137</v>
      </c>
      <c r="I56" s="187"/>
      <c r="J56" s="193"/>
    </row>
    <row r="57" spans="1:13" ht="13.5">
      <c r="A57" s="188">
        <f>+A43</f>
        <v>1.5</v>
      </c>
      <c r="B57" s="194" t="s">
        <v>44</v>
      </c>
      <c r="C57" s="189">
        <f>+A57</f>
        <v>1.5</v>
      </c>
      <c r="D57" s="190" t="s">
        <v>178</v>
      </c>
      <c r="E57" s="190">
        <v>30.28</v>
      </c>
      <c r="F57" s="190">
        <f>IFERROR(E57*C57,"")</f>
        <v>45.42</v>
      </c>
      <c r="G57" s="191">
        <f>IFERROR(F57/$F$84,"")</f>
        <v>1.1341562436836976E-2</v>
      </c>
      <c r="H57" s="195" t="s">
        <v>42</v>
      </c>
      <c r="I57" s="187"/>
      <c r="J57" s="193"/>
    </row>
    <row r="58" spans="1:13" ht="13.5">
      <c r="A58" s="188">
        <f t="shared" ref="A58:A68" si="15">+A44</f>
        <v>90</v>
      </c>
      <c r="B58" s="194" t="s">
        <v>86</v>
      </c>
      <c r="C58" s="189">
        <f t="shared" ref="C58:C68" si="16">+A58</f>
        <v>90</v>
      </c>
      <c r="D58" s="190" t="s">
        <v>177</v>
      </c>
      <c r="E58" s="190">
        <v>0.13</v>
      </c>
      <c r="F58" s="190">
        <f t="shared" ref="F58:F68" si="17">IFERROR(E58*C58,"")</f>
        <v>11.700000000000001</v>
      </c>
      <c r="G58" s="191">
        <f t="shared" ref="G58:G68" si="18">IFERROR(F58/$F$84,"")</f>
        <v>2.9215385405326425E-3</v>
      </c>
      <c r="H58" s="195" t="s">
        <v>85</v>
      </c>
      <c r="I58" s="187"/>
      <c r="J58" s="193"/>
    </row>
    <row r="59" spans="1:13" ht="13.5">
      <c r="A59" s="188">
        <f t="shared" si="15"/>
        <v>200</v>
      </c>
      <c r="B59" s="194" t="s">
        <v>104</v>
      </c>
      <c r="C59" s="189">
        <f t="shared" si="16"/>
        <v>200</v>
      </c>
      <c r="D59" s="190" t="s">
        <v>177</v>
      </c>
      <c r="E59" s="190">
        <f>+'Costo Crema Dulce Caramelo'!E74</f>
        <v>0.16400000000000001</v>
      </c>
      <c r="F59" s="190">
        <f t="shared" si="17"/>
        <v>32.800000000000004</v>
      </c>
      <c r="G59" s="191">
        <f t="shared" si="18"/>
        <v>8.1902960794419371E-3</v>
      </c>
      <c r="H59" s="195" t="s">
        <v>114</v>
      </c>
      <c r="I59" s="187"/>
      <c r="J59" s="193"/>
    </row>
    <row r="60" spans="1:13" ht="13.5">
      <c r="A60" s="188">
        <f t="shared" si="15"/>
        <v>60</v>
      </c>
      <c r="B60" s="194" t="s">
        <v>108</v>
      </c>
      <c r="C60" s="189">
        <f t="shared" si="16"/>
        <v>60</v>
      </c>
      <c r="D60" s="190" t="s">
        <v>177</v>
      </c>
      <c r="E60" s="190">
        <f>+'Costo Procesado'!E74</f>
        <v>0.57526315789473681</v>
      </c>
      <c r="F60" s="190">
        <f t="shared" si="17"/>
        <v>34.515789473684208</v>
      </c>
      <c r="G60" s="191">
        <f t="shared" si="18"/>
        <v>8.6187358294255809E-3</v>
      </c>
      <c r="H60" s="195" t="s">
        <v>114</v>
      </c>
      <c r="I60" s="187"/>
      <c r="J60" s="193"/>
    </row>
    <row r="61" spans="1:13" ht="13.5">
      <c r="A61" s="188">
        <f t="shared" si="15"/>
        <v>205</v>
      </c>
      <c r="B61" s="194" t="s">
        <v>78</v>
      </c>
      <c r="C61" s="189">
        <f t="shared" si="16"/>
        <v>205</v>
      </c>
      <c r="D61" s="190" t="s">
        <v>177</v>
      </c>
      <c r="E61" s="190">
        <v>0.01</v>
      </c>
      <c r="F61" s="190">
        <f t="shared" si="17"/>
        <v>2.0499999999999998</v>
      </c>
      <c r="G61" s="191">
        <f t="shared" si="18"/>
        <v>5.1189350496512096E-4</v>
      </c>
      <c r="H61" s="195" t="s">
        <v>77</v>
      </c>
      <c r="I61" s="187"/>
      <c r="J61" s="193"/>
    </row>
    <row r="62" spans="1:13" ht="13.5">
      <c r="A62" s="188">
        <f t="shared" si="15"/>
        <v>15</v>
      </c>
      <c r="B62" s="176" t="s">
        <v>109</v>
      </c>
      <c r="C62" s="189">
        <f t="shared" si="16"/>
        <v>15</v>
      </c>
      <c r="D62" s="190" t="s">
        <v>177</v>
      </c>
      <c r="E62" s="190">
        <f>+'Costo Mezcla Mani Arroz'!E74</f>
        <v>0.25241999999999998</v>
      </c>
      <c r="F62" s="190">
        <f t="shared" si="17"/>
        <v>3.7862999999999998</v>
      </c>
      <c r="G62" s="191">
        <f t="shared" si="18"/>
        <v>9.4545481846314034E-4</v>
      </c>
      <c r="H62" s="195" t="s">
        <v>114</v>
      </c>
      <c r="I62" s="187"/>
      <c r="J62" s="193"/>
    </row>
    <row r="63" spans="1:13" ht="13.5">
      <c r="A63" s="188">
        <f t="shared" si="15"/>
        <v>10</v>
      </c>
      <c r="B63" s="176" t="s">
        <v>80</v>
      </c>
      <c r="C63" s="189">
        <f t="shared" si="16"/>
        <v>10</v>
      </c>
      <c r="D63" s="190" t="s">
        <v>177</v>
      </c>
      <c r="E63" s="190">
        <v>0.04</v>
      </c>
      <c r="F63" s="190">
        <f t="shared" si="17"/>
        <v>0.4</v>
      </c>
      <c r="G63" s="191">
        <f t="shared" si="18"/>
        <v>9.9881659505389483E-5</v>
      </c>
      <c r="H63" s="195" t="s">
        <v>79</v>
      </c>
      <c r="I63" s="187"/>
      <c r="J63" s="193"/>
      <c r="M63" s="198"/>
    </row>
    <row r="64" spans="1:13" ht="13.5">
      <c r="A64" s="188">
        <f t="shared" si="15"/>
        <v>10</v>
      </c>
      <c r="B64" s="194" t="s">
        <v>49</v>
      </c>
      <c r="C64" s="189">
        <f t="shared" si="16"/>
        <v>10</v>
      </c>
      <c r="D64" s="190" t="s">
        <v>177</v>
      </c>
      <c r="E64" s="190">
        <v>0.04</v>
      </c>
      <c r="F64" s="190">
        <f t="shared" si="17"/>
        <v>0.4</v>
      </c>
      <c r="G64" s="191">
        <f t="shared" si="18"/>
        <v>9.9881659505389483E-5</v>
      </c>
      <c r="H64" s="195" t="s">
        <v>48</v>
      </c>
      <c r="I64" s="187"/>
      <c r="J64" s="193"/>
    </row>
    <row r="65" spans="1:17" ht="13.5">
      <c r="A65" s="188">
        <f t="shared" si="15"/>
        <v>10</v>
      </c>
      <c r="B65" s="194" t="s">
        <v>82</v>
      </c>
      <c r="C65" s="189">
        <f t="shared" si="16"/>
        <v>10</v>
      </c>
      <c r="D65" s="190" t="s">
        <v>177</v>
      </c>
      <c r="E65" s="190">
        <v>0.13</v>
      </c>
      <c r="F65" s="190">
        <f t="shared" si="17"/>
        <v>1.3</v>
      </c>
      <c r="G65" s="191">
        <f t="shared" si="18"/>
        <v>3.2461539339251582E-4</v>
      </c>
      <c r="H65" s="195" t="s">
        <v>81</v>
      </c>
      <c r="I65" s="187"/>
      <c r="J65" s="193"/>
    </row>
    <row r="66" spans="1:17" ht="13.5">
      <c r="A66" s="188">
        <f t="shared" si="15"/>
        <v>26</v>
      </c>
      <c r="B66" s="194" t="s">
        <v>123</v>
      </c>
      <c r="C66" s="189">
        <f t="shared" si="16"/>
        <v>26</v>
      </c>
      <c r="D66" s="190" t="s">
        <v>177</v>
      </c>
      <c r="E66" s="190" t="str">
        <f>IFERROR(VLOOKUP(H66,[1]SEMIELABORADOS!$A$2:$M$65536,12,0),"")</f>
        <v/>
      </c>
      <c r="F66" s="190" t="str">
        <f t="shared" si="17"/>
        <v/>
      </c>
      <c r="G66" s="191" t="str">
        <f t="shared" si="18"/>
        <v/>
      </c>
      <c r="H66" s="195" t="s">
        <v>114</v>
      </c>
      <c r="I66" s="187"/>
      <c r="J66" s="193"/>
    </row>
    <row r="67" spans="1:17" ht="13.5">
      <c r="A67" s="188">
        <f t="shared" si="15"/>
        <v>0</v>
      </c>
      <c r="B67" s="194" t="str">
        <f>IFERROR(VLOOKUP(H67,[1]SEMIELABORADOS!$A$2:$M$6000,2,0),"")</f>
        <v/>
      </c>
      <c r="C67" s="189">
        <f t="shared" si="16"/>
        <v>0</v>
      </c>
      <c r="D67" s="190" t="str">
        <f>IFERROR(VLOOKUP(H67,[1]SEMIELABORADOS!$A$2:$M$6000,6,0),"")</f>
        <v/>
      </c>
      <c r="E67" s="190" t="str">
        <f>IFERROR(VLOOKUP(H67,[1]SEMIELABORADOS!$A$2:$M$65536,12,0),"")</f>
        <v/>
      </c>
      <c r="F67" s="190" t="str">
        <f t="shared" si="17"/>
        <v/>
      </c>
      <c r="G67" s="191" t="str">
        <f t="shared" si="18"/>
        <v/>
      </c>
      <c r="H67" s="195"/>
      <c r="I67" s="187"/>
      <c r="J67" s="193"/>
    </row>
    <row r="68" spans="1:17" ht="13.5">
      <c r="A68" s="188">
        <f t="shared" si="15"/>
        <v>0</v>
      </c>
      <c r="B68" s="194" t="str">
        <f>IFERROR(VLOOKUP(H68,[1]SEMIELABORADOS!$A$2:$M$6000,2,0),"")</f>
        <v/>
      </c>
      <c r="C68" s="189">
        <f t="shared" si="16"/>
        <v>0</v>
      </c>
      <c r="D68" s="190" t="str">
        <f>IFERROR(VLOOKUP(H68,[1]SEMIELABORADOS!$A$2:$M$6000,6,0),"")</f>
        <v/>
      </c>
      <c r="E68" s="190" t="str">
        <f>IFERROR(VLOOKUP(H68,[1]SEMIELABORADOS!$A$2:$M$65536,12,0),"")</f>
        <v/>
      </c>
      <c r="F68" s="190" t="str">
        <f t="shared" si="17"/>
        <v/>
      </c>
      <c r="G68" s="191" t="str">
        <f t="shared" si="18"/>
        <v/>
      </c>
      <c r="H68" s="194"/>
      <c r="I68" s="187"/>
      <c r="J68" s="193"/>
    </row>
    <row r="69" spans="1:17" ht="13.5">
      <c r="A69" s="188">
        <v>1</v>
      </c>
      <c r="B69" s="194" t="s">
        <v>141</v>
      </c>
      <c r="C69" s="189">
        <f>+A69</f>
        <v>1</v>
      </c>
      <c r="D69" s="189" t="s">
        <v>142</v>
      </c>
      <c r="E69" s="190">
        <f>+F83</f>
        <v>385</v>
      </c>
      <c r="F69" s="190">
        <f>IFERROR(C69*E69,"")</f>
        <v>385</v>
      </c>
      <c r="G69" s="191">
        <f>IFERROR(F69/$F$84,"")</f>
        <v>9.6136097273937363E-2</v>
      </c>
      <c r="H69" s="199"/>
      <c r="I69" s="199"/>
      <c r="J69" s="193"/>
    </row>
    <row r="70" spans="1:17" ht="14.25" thickBot="1">
      <c r="A70" s="188"/>
      <c r="B70" s="194"/>
      <c r="C70" s="189"/>
      <c r="D70" s="189"/>
      <c r="E70" s="190"/>
      <c r="F70" s="190"/>
      <c r="G70" s="191"/>
      <c r="H70" s="199"/>
      <c r="I70" s="199"/>
      <c r="J70" s="193"/>
    </row>
    <row r="71" spans="1:17" ht="13.5" thickBot="1">
      <c r="A71" s="200"/>
      <c r="B71" s="996" t="s">
        <v>143</v>
      </c>
      <c r="C71" s="996"/>
      <c r="D71" s="996"/>
      <c r="E71" s="996"/>
      <c r="F71" s="202">
        <f>SUM(F8:F14,F17:F29)</f>
        <v>2562.2149046783625</v>
      </c>
      <c r="G71" s="191">
        <f>+F71/$F$84</f>
        <v>0.6397956917217954</v>
      </c>
      <c r="H71" s="203">
        <f>+F71/$D$78</f>
        <v>2562.2149046783625</v>
      </c>
      <c r="I71" s="203"/>
      <c r="J71" s="204"/>
      <c r="K71" s="205"/>
      <c r="L71" s="205"/>
      <c r="M71" s="205"/>
      <c r="N71" s="205"/>
      <c r="O71" s="205"/>
      <c r="P71" s="205"/>
      <c r="Q71" s="206"/>
    </row>
    <row r="72" spans="1:17">
      <c r="A72" s="200"/>
      <c r="B72" s="996" t="s">
        <v>144</v>
      </c>
      <c r="C72" s="996"/>
      <c r="D72" s="996"/>
      <c r="E72" s="996"/>
      <c r="F72" s="202">
        <f>SUM(F32:F40,F43:F54)</f>
        <v>1006.2800254385967</v>
      </c>
      <c r="G72" s="191">
        <f>+F72/$F$84</f>
        <v>0.2512722971698314</v>
      </c>
      <c r="H72" s="203">
        <f>+F72/$D$78</f>
        <v>1006.2800254385967</v>
      </c>
      <c r="I72" s="203"/>
      <c r="J72" s="207"/>
      <c r="K72" s="997" t="s">
        <v>145</v>
      </c>
      <c r="L72" s="998"/>
      <c r="M72" s="998"/>
      <c r="N72" s="998"/>
      <c r="O72" s="208">
        <f>+F73</f>
        <v>3568.494930116959</v>
      </c>
      <c r="P72" s="208"/>
      <c r="Q72" s="209"/>
    </row>
    <row r="73" spans="1:17">
      <c r="A73" s="200"/>
      <c r="B73" s="996" t="s">
        <v>146</v>
      </c>
      <c r="C73" s="996"/>
      <c r="D73" s="996"/>
      <c r="E73" s="996"/>
      <c r="F73" s="202">
        <f>+F71+F72</f>
        <v>3568.494930116959</v>
      </c>
      <c r="G73" s="191">
        <f>+F73/$F$84</f>
        <v>0.89106798889162675</v>
      </c>
      <c r="H73" s="203">
        <f>+F73/$D$78</f>
        <v>3568.494930116959</v>
      </c>
      <c r="I73" s="203"/>
      <c r="J73" s="210"/>
      <c r="K73" s="211"/>
      <c r="M73" s="212" t="s">
        <v>147</v>
      </c>
      <c r="N73" s="213"/>
      <c r="O73" s="208">
        <f>+H74</f>
        <v>517.37208947368424</v>
      </c>
      <c r="P73" s="208"/>
      <c r="Q73" s="209"/>
    </row>
    <row r="74" spans="1:17" ht="13.5" thickBot="1">
      <c r="A74" s="200"/>
      <c r="B74" s="201"/>
      <c r="C74" s="996" t="s">
        <v>148</v>
      </c>
      <c r="D74" s="996"/>
      <c r="E74" s="996"/>
      <c r="F74" s="202">
        <f>SUM(F57:F69)</f>
        <v>517.37208947368424</v>
      </c>
      <c r="G74" s="191">
        <f>+F74/$F$84</f>
        <v>0.12918995719600607</v>
      </c>
      <c r="H74" s="203">
        <f>+F74/$D$78</f>
        <v>517.37208947368424</v>
      </c>
      <c r="I74" s="203"/>
      <c r="J74" s="210"/>
      <c r="K74" s="211"/>
      <c r="L74" s="211"/>
      <c r="M74" s="211" t="s">
        <v>149</v>
      </c>
      <c r="N74" s="214"/>
      <c r="O74" s="208">
        <f>O72*N74</f>
        <v>0</v>
      </c>
      <c r="P74" s="208"/>
      <c r="Q74" s="209"/>
    </row>
    <row r="75" spans="1:17" ht="13.5" thickBot="1">
      <c r="A75" s="200"/>
      <c r="B75" s="215"/>
      <c r="C75" s="215"/>
      <c r="D75" s="215"/>
      <c r="E75" s="215"/>
      <c r="F75" s="216"/>
      <c r="G75" s="191"/>
      <c r="H75" s="217"/>
      <c r="I75" s="203"/>
      <c r="J75" s="210"/>
      <c r="K75" s="218"/>
      <c r="M75" s="219" t="s">
        <v>150</v>
      </c>
      <c r="N75" s="220"/>
      <c r="O75" s="221">
        <f>SUM(O72:O74)</f>
        <v>4085.8670195906434</v>
      </c>
      <c r="P75" s="222"/>
      <c r="Q75" s="209"/>
    </row>
    <row r="76" spans="1:17">
      <c r="B76" s="999" t="s">
        <v>151</v>
      </c>
      <c r="C76" s="999"/>
      <c r="D76" s="223">
        <v>1220</v>
      </c>
      <c r="E76" s="224"/>
      <c r="G76" s="191"/>
      <c r="H76" s="217">
        <f>+H74/77</f>
        <v>6.7191180451127828</v>
      </c>
      <c r="I76" s="225"/>
      <c r="J76" s="210"/>
      <c r="K76" s="218"/>
      <c r="L76" s="211"/>
      <c r="M76" s="211" t="s">
        <v>152</v>
      </c>
      <c r="N76" s="226"/>
      <c r="O76" s="208">
        <f>+H77</f>
        <v>557.686797744361</v>
      </c>
      <c r="P76" s="208"/>
      <c r="Q76" s="209"/>
    </row>
    <row r="77" spans="1:17">
      <c r="B77" s="999" t="s">
        <v>153</v>
      </c>
      <c r="C77" s="999"/>
      <c r="D77" s="227">
        <v>1220</v>
      </c>
      <c r="E77" s="224"/>
      <c r="G77" s="191"/>
      <c r="H77" s="217">
        <f>+H76*83</f>
        <v>557.686797744361</v>
      </c>
      <c r="I77" s="225"/>
      <c r="J77" s="210"/>
      <c r="K77" s="218"/>
      <c r="L77" s="211"/>
      <c r="M77" s="1000" t="s">
        <v>150</v>
      </c>
      <c r="N77" s="1000"/>
      <c r="O77" s="208">
        <f>SUM(O75:O76)</f>
        <v>4643.5538173350042</v>
      </c>
      <c r="P77" s="208"/>
      <c r="Q77" s="209"/>
    </row>
    <row r="78" spans="1:17" ht="13.5" thickBot="1">
      <c r="B78" s="991" t="s">
        <v>154</v>
      </c>
      <c r="C78" s="991"/>
      <c r="D78" s="223">
        <f>+D76/D77</f>
        <v>1</v>
      </c>
      <c r="E78" s="224"/>
      <c r="F78" s="228"/>
      <c r="G78" s="191"/>
      <c r="H78" s="217"/>
      <c r="I78" s="225"/>
      <c r="J78" s="210"/>
      <c r="K78" s="218"/>
      <c r="L78" s="1000"/>
      <c r="M78" s="1000"/>
      <c r="N78" s="226"/>
      <c r="O78" s="208">
        <f>+O77*N78</f>
        <v>0</v>
      </c>
      <c r="P78" s="208"/>
      <c r="Q78" s="209"/>
    </row>
    <row r="79" spans="1:17" ht="13.5" thickBot="1">
      <c r="B79" s="991" t="s">
        <v>155</v>
      </c>
      <c r="C79" s="991"/>
      <c r="D79" s="229"/>
      <c r="E79" s="224"/>
      <c r="F79" s="228"/>
      <c r="G79" s="191"/>
      <c r="H79" s="217"/>
      <c r="I79" s="225"/>
      <c r="J79" s="210"/>
      <c r="K79" s="992" t="s">
        <v>156</v>
      </c>
      <c r="L79" s="993"/>
      <c r="M79" s="993"/>
      <c r="N79" s="994"/>
      <c r="O79" s="221">
        <f>SUM(O77:O78)</f>
        <v>4643.5538173350042</v>
      </c>
      <c r="P79" s="230" t="s">
        <v>157</v>
      </c>
      <c r="Q79" s="209"/>
    </row>
    <row r="80" spans="1:17" ht="13.5" thickBot="1">
      <c r="C80" s="200" t="s">
        <v>158</v>
      </c>
      <c r="D80" s="231"/>
      <c r="E80" s="174" t="s">
        <v>159</v>
      </c>
      <c r="F80" s="232" t="s">
        <v>160</v>
      </c>
      <c r="G80" s="191"/>
      <c r="H80" s="217"/>
      <c r="I80" s="225"/>
      <c r="J80" s="233"/>
      <c r="K80" s="234"/>
      <c r="L80" s="980" t="s">
        <v>161</v>
      </c>
      <c r="M80" s="980"/>
      <c r="N80" s="980"/>
      <c r="O80" s="235">
        <f>+O79/D78</f>
        <v>4643.5538173350042</v>
      </c>
      <c r="P80" s="236">
        <f>+O80/D77</f>
        <v>3.8061916535532823</v>
      </c>
      <c r="Q80" s="237"/>
    </row>
    <row r="81" spans="2:16" ht="13.5" thickBot="1">
      <c r="B81" s="981" t="s">
        <v>146</v>
      </c>
      <c r="C81" s="981"/>
      <c r="D81" s="981"/>
      <c r="E81" s="238">
        <f>+F81/F81</f>
        <v>1</v>
      </c>
      <c r="F81" s="239">
        <f>SUM(F73)</f>
        <v>3568.494930116959</v>
      </c>
      <c r="G81" s="191">
        <f>+F81/$F$84</f>
        <v>0.89106798889162675</v>
      </c>
      <c r="H81" s="217"/>
      <c r="I81" s="225"/>
      <c r="K81" s="982"/>
      <c r="L81" s="983"/>
      <c r="M81" s="983"/>
      <c r="N81" s="983"/>
      <c r="O81" s="240"/>
      <c r="P81" s="241"/>
    </row>
    <row r="82" spans="2:16" ht="13.5" thickBot="1">
      <c r="B82" s="984" t="s">
        <v>162</v>
      </c>
      <c r="C82" s="984"/>
      <c r="D82" s="984"/>
      <c r="E82" s="242">
        <v>0.02</v>
      </c>
      <c r="F82" s="239">
        <f>+F71*E82</f>
        <v>51.244298093567252</v>
      </c>
      <c r="G82" s="191">
        <f>+F82/$F$84</f>
        <v>1.2795913834435908E-2</v>
      </c>
      <c r="H82" s="203"/>
      <c r="I82" s="225"/>
      <c r="J82" s="243"/>
      <c r="O82" s="244"/>
      <c r="P82" s="201"/>
    </row>
    <row r="83" spans="2:16" ht="13.5" thickBot="1">
      <c r="B83" s="985" t="s">
        <v>163</v>
      </c>
      <c r="C83" s="986"/>
      <c r="D83" s="245">
        <v>5</v>
      </c>
      <c r="E83" s="246">
        <v>77</v>
      </c>
      <c r="F83" s="239">
        <f>+E83*D83</f>
        <v>385</v>
      </c>
      <c r="G83" s="191">
        <f>+F83/$F$84</f>
        <v>9.6136097273937363E-2</v>
      </c>
      <c r="H83" s="203"/>
      <c r="I83" s="203"/>
      <c r="J83" s="193"/>
    </row>
    <row r="84" spans="2:16" ht="13.5" thickBot="1">
      <c r="B84" s="987" t="s">
        <v>164</v>
      </c>
      <c r="C84" s="988"/>
      <c r="D84" s="988"/>
      <c r="E84" s="989"/>
      <c r="F84" s="216">
        <f>SUM(F81:F83)</f>
        <v>4004.7392282105261</v>
      </c>
      <c r="G84" s="191">
        <f>+F84/$F$84</f>
        <v>1</v>
      </c>
      <c r="H84" s="990"/>
      <c r="I84" s="203"/>
      <c r="J84" s="193"/>
      <c r="M84" s="176" t="s">
        <v>165</v>
      </c>
    </row>
    <row r="85" spans="2:16">
      <c r="C85" s="198"/>
      <c r="D85" s="198"/>
      <c r="E85" s="248"/>
      <c r="F85" s="239"/>
      <c r="G85" s="191"/>
      <c r="H85" s="990"/>
      <c r="I85" s="247"/>
      <c r="J85" s="176"/>
      <c r="M85" s="176" t="s">
        <v>166</v>
      </c>
    </row>
    <row r="86" spans="2:16" ht="13.5" thickBot="1">
      <c r="B86" s="975" t="s">
        <v>167</v>
      </c>
      <c r="C86" s="975"/>
      <c r="D86" s="975"/>
      <c r="E86" s="975"/>
      <c r="F86" s="975"/>
      <c r="G86" s="191"/>
      <c r="H86" s="250"/>
      <c r="I86" s="247"/>
      <c r="J86" s="176"/>
      <c r="M86" s="176" t="s">
        <v>168</v>
      </c>
    </row>
    <row r="87" spans="2:16" ht="13.5" thickBot="1">
      <c r="B87" s="251" t="s">
        <v>169</v>
      </c>
      <c r="C87" s="252">
        <f>+F71</f>
        <v>2562.2149046783625</v>
      </c>
      <c r="D87" s="252">
        <f>+D76</f>
        <v>1220</v>
      </c>
      <c r="E87" s="253">
        <f>+C87/D87</f>
        <v>2.1001761513757069</v>
      </c>
      <c r="F87" s="191"/>
      <c r="G87" s="250"/>
      <c r="H87" s="193"/>
      <c r="I87" s="250"/>
      <c r="J87" s="176"/>
    </row>
    <row r="88" spans="2:16">
      <c r="B88" s="254"/>
      <c r="C88" s="255"/>
      <c r="D88" s="256"/>
      <c r="E88" s="239"/>
      <c r="F88" s="191"/>
      <c r="G88" s="250"/>
      <c r="H88" s="193"/>
      <c r="I88" s="193"/>
      <c r="J88" s="176"/>
    </row>
    <row r="89" spans="2:16">
      <c r="B89" s="251" t="s">
        <v>170</v>
      </c>
      <c r="C89" s="252">
        <f>SUM(F81:F82)</f>
        <v>3619.7392282105261</v>
      </c>
      <c r="D89" s="252">
        <f>+D76</f>
        <v>1220</v>
      </c>
      <c r="E89" s="257">
        <f>+C89/D89</f>
        <v>2.9669993673856769</v>
      </c>
      <c r="F89" s="191"/>
      <c r="G89" s="250"/>
      <c r="H89" s="193"/>
      <c r="I89" s="193"/>
      <c r="J89" s="176"/>
    </row>
    <row r="90" spans="2:16">
      <c r="B90" s="251"/>
      <c r="C90" s="252"/>
      <c r="D90" s="252"/>
      <c r="E90" s="257"/>
      <c r="F90" s="191"/>
      <c r="G90" s="250"/>
      <c r="H90" s="193"/>
      <c r="I90" s="193"/>
      <c r="J90" s="176"/>
    </row>
    <row r="91" spans="2:16" ht="13.5" thickBot="1">
      <c r="B91" s="251" t="s">
        <v>171</v>
      </c>
      <c r="C91" s="252">
        <f>+F83</f>
        <v>385</v>
      </c>
      <c r="D91" s="252">
        <f>+D76</f>
        <v>1220</v>
      </c>
      <c r="E91" s="257">
        <f>+C91/D91</f>
        <v>0.3155737704918033</v>
      </c>
      <c r="F91" s="191"/>
      <c r="G91" s="250"/>
      <c r="H91" s="193"/>
      <c r="I91" s="193"/>
      <c r="J91" s="176"/>
    </row>
    <row r="92" spans="2:16" ht="13.5" thickBot="1">
      <c r="B92" s="251" t="s">
        <v>172</v>
      </c>
      <c r="C92" s="252">
        <f>+F74</f>
        <v>517.37208947368424</v>
      </c>
      <c r="D92" s="252">
        <f>+D91</f>
        <v>1220</v>
      </c>
      <c r="E92" s="253">
        <f>+C92/D92</f>
        <v>0.42407548317515104</v>
      </c>
      <c r="F92" s="191"/>
      <c r="G92" s="250"/>
      <c r="H92" s="193"/>
      <c r="I92" s="193"/>
      <c r="J92" s="176"/>
    </row>
    <row r="93" spans="2:16" ht="13.5" thickBot="1">
      <c r="B93" s="215"/>
      <c r="C93" s="216"/>
      <c r="D93" s="216"/>
      <c r="E93" s="257"/>
      <c r="F93" s="191"/>
      <c r="G93" s="250"/>
      <c r="H93" s="193"/>
      <c r="I93" s="193"/>
      <c r="J93" s="176"/>
    </row>
    <row r="94" spans="2:16" ht="13.5" thickBot="1">
      <c r="B94" s="251" t="s">
        <v>173</v>
      </c>
      <c r="C94" s="252">
        <f>+F72</f>
        <v>1006.2800254385967</v>
      </c>
      <c r="D94" s="252">
        <f>+D92</f>
        <v>1220</v>
      </c>
      <c r="E94" s="253">
        <f>+C94/D94</f>
        <v>0.82481969298245628</v>
      </c>
      <c r="F94" s="191"/>
      <c r="G94" s="250"/>
      <c r="H94" s="193"/>
      <c r="I94" s="193"/>
      <c r="J94" s="193"/>
    </row>
    <row r="95" spans="2:16" ht="13.5" thickBot="1">
      <c r="B95" s="215"/>
      <c r="C95" s="216"/>
      <c r="D95" s="216"/>
      <c r="E95" s="257"/>
      <c r="F95" s="191"/>
      <c r="G95" s="250"/>
      <c r="H95" s="193"/>
      <c r="I95" s="193"/>
    </row>
    <row r="96" spans="2:16" ht="13.5" thickBot="1">
      <c r="B96" s="976" t="s">
        <v>174</v>
      </c>
      <c r="C96" s="977"/>
      <c r="D96" s="978"/>
      <c r="E96" s="253">
        <f>+E87+E92</f>
        <v>2.5242516345508581</v>
      </c>
      <c r="G96" s="191"/>
      <c r="H96" s="250"/>
      <c r="I96" s="193"/>
      <c r="J96" s="257"/>
    </row>
    <row r="97" spans="1:10">
      <c r="I97" s="250"/>
      <c r="J97" s="176"/>
    </row>
    <row r="98" spans="1:10" ht="13.5" thickBot="1">
      <c r="B98" s="975" t="s">
        <v>175</v>
      </c>
      <c r="C98" s="975"/>
      <c r="D98" s="975"/>
      <c r="E98" s="975"/>
      <c r="F98" s="975"/>
      <c r="G98" s="191"/>
      <c r="H98" s="250"/>
      <c r="J98" s="176"/>
    </row>
    <row r="99" spans="1:10" ht="13.5" thickBot="1">
      <c r="B99" s="251" t="s">
        <v>169</v>
      </c>
      <c r="C99" s="252">
        <f>+C87</f>
        <v>2562.2149046783625</v>
      </c>
      <c r="D99" s="252">
        <f>+D78</f>
        <v>1</v>
      </c>
      <c r="E99" s="253">
        <f>+C99/D99</f>
        <v>2562.2149046783625</v>
      </c>
      <c r="F99" s="191"/>
      <c r="G99" s="250"/>
      <c r="H99" s="193"/>
      <c r="I99" s="250"/>
      <c r="J99" s="176"/>
    </row>
    <row r="100" spans="1:10">
      <c r="B100" s="254"/>
      <c r="C100" s="255"/>
      <c r="D100" s="256"/>
      <c r="E100" s="239"/>
      <c r="F100" s="191"/>
      <c r="G100" s="250"/>
      <c r="H100" s="193"/>
      <c r="I100" s="193"/>
      <c r="J100" s="176"/>
    </row>
    <row r="101" spans="1:10">
      <c r="B101" s="251" t="s">
        <v>170</v>
      </c>
      <c r="C101" s="252">
        <f>+C89</f>
        <v>3619.7392282105261</v>
      </c>
      <c r="D101" s="252">
        <f>+D78</f>
        <v>1</v>
      </c>
      <c r="E101" s="257">
        <f>+C101/D101</f>
        <v>3619.7392282105261</v>
      </c>
      <c r="F101" s="191"/>
      <c r="G101" s="250"/>
      <c r="H101" s="193"/>
      <c r="I101" s="193"/>
      <c r="J101" s="176"/>
    </row>
    <row r="102" spans="1:10">
      <c r="B102" s="251"/>
      <c r="C102" s="252"/>
      <c r="D102" s="252"/>
      <c r="E102" s="257"/>
      <c r="F102" s="191"/>
      <c r="G102" s="250"/>
      <c r="H102" s="193"/>
      <c r="I102" s="193"/>
      <c r="J102" s="176"/>
    </row>
    <row r="103" spans="1:10" ht="13.5" thickBot="1">
      <c r="B103" s="251" t="s">
        <v>172</v>
      </c>
      <c r="C103" s="252">
        <f>+C91</f>
        <v>385</v>
      </c>
      <c r="D103" s="252">
        <f>+D78</f>
        <v>1</v>
      </c>
      <c r="E103" s="257">
        <f>+C103/D103</f>
        <v>385</v>
      </c>
      <c r="F103" s="259"/>
      <c r="G103" s="249"/>
      <c r="H103" s="175"/>
      <c r="I103" s="193"/>
    </row>
    <row r="104" spans="1:10" ht="13.5" thickBot="1">
      <c r="B104" s="251" t="s">
        <v>172</v>
      </c>
      <c r="C104" s="252">
        <f>+C92</f>
        <v>517.37208947368424</v>
      </c>
      <c r="D104" s="252">
        <f>+D103</f>
        <v>1</v>
      </c>
      <c r="E104" s="253">
        <f>+C104/D104</f>
        <v>517.37208947368424</v>
      </c>
      <c r="F104" s="258"/>
      <c r="G104" s="249"/>
      <c r="H104" s="175"/>
      <c r="I104" s="175"/>
    </row>
    <row r="105" spans="1:10">
      <c r="I105" s="175"/>
    </row>
    <row r="106" spans="1:10">
      <c r="A106" s="979"/>
      <c r="B106" s="979"/>
      <c r="C106" s="260"/>
      <c r="D106" s="260"/>
      <c r="E106" s="261"/>
      <c r="G106" s="262"/>
    </row>
    <row r="107" spans="1:10">
      <c r="A107" s="194"/>
      <c r="B107" s="263"/>
      <c r="C107" s="264"/>
      <c r="D107" s="264"/>
      <c r="E107" s="265"/>
      <c r="G107" s="262"/>
    </row>
    <row r="108" spans="1:10">
      <c r="A108" s="194"/>
      <c r="B108" s="263"/>
      <c r="C108" s="266"/>
      <c r="D108" s="266"/>
      <c r="E108" s="194"/>
      <c r="G108" s="262"/>
    </row>
    <row r="109" spans="1:10">
      <c r="A109" s="194"/>
      <c r="B109" s="263"/>
      <c r="C109" s="267"/>
      <c r="D109" s="267"/>
      <c r="E109" s="194"/>
      <c r="G109" s="262"/>
    </row>
  </sheetData>
  <mergeCells count="30">
    <mergeCell ref="K37:L37"/>
    <mergeCell ref="A4:H4"/>
    <mergeCell ref="A5:H5"/>
    <mergeCell ref="F6:G6"/>
    <mergeCell ref="K32:L32"/>
    <mergeCell ref="K33:L33"/>
    <mergeCell ref="B79:C79"/>
    <mergeCell ref="K79:N79"/>
    <mergeCell ref="K38:L38"/>
    <mergeCell ref="B71:E71"/>
    <mergeCell ref="B72:E72"/>
    <mergeCell ref="K72:N72"/>
    <mergeCell ref="B73:E73"/>
    <mergeCell ref="C74:E74"/>
    <mergeCell ref="B76:C76"/>
    <mergeCell ref="B77:C77"/>
    <mergeCell ref="M77:N77"/>
    <mergeCell ref="B78:C78"/>
    <mergeCell ref="L78:M78"/>
    <mergeCell ref="B86:F86"/>
    <mergeCell ref="B96:D96"/>
    <mergeCell ref="B98:F98"/>
    <mergeCell ref="A106:B106"/>
    <mergeCell ref="L80:N80"/>
    <mergeCell ref="B81:D81"/>
    <mergeCell ref="K81:N81"/>
    <mergeCell ref="B82:D82"/>
    <mergeCell ref="B83:C83"/>
    <mergeCell ref="B84:E84"/>
    <mergeCell ref="H84:H8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EE2B0-12F8-4EE1-A744-FF0645A035AC}">
  <dimension ref="A1:Q91"/>
  <sheetViews>
    <sheetView topLeftCell="A62" workbookViewId="0">
      <selection activeCell="B66" sqref="B66:E66"/>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0" ht="27.75" customHeight="1">
      <c r="A1" s="171"/>
      <c r="B1" s="171"/>
      <c r="C1" s="171"/>
      <c r="D1" s="171"/>
      <c r="E1" s="172" t="s">
        <v>125</v>
      </c>
      <c r="F1" s="173" t="s">
        <v>126</v>
      </c>
      <c r="G1" s="173" t="s">
        <v>127</v>
      </c>
      <c r="H1" s="173" t="s">
        <v>128</v>
      </c>
      <c r="I1" s="174"/>
    </row>
    <row r="2" spans="1:10" ht="30.75" customHeight="1">
      <c r="A2" s="171"/>
      <c r="B2" s="171"/>
      <c r="C2" s="171"/>
      <c r="D2" s="171"/>
      <c r="E2" s="177">
        <f>IFERROR(O62,"")</f>
        <v>3607.5590909090906</v>
      </c>
      <c r="F2" s="177">
        <f>IFERROR(H53,"")</f>
        <v>3048.7799999999997</v>
      </c>
      <c r="G2" s="177">
        <f>IFERROR(H54,"")</f>
        <v>34.269999999999996</v>
      </c>
      <c r="H2" s="177">
        <f>IFERROR(H56,"")</f>
        <v>252.42</v>
      </c>
      <c r="I2" s="178"/>
    </row>
    <row r="3" spans="1:10" ht="15" customHeight="1">
      <c r="A3" s="171"/>
      <c r="B3" s="171"/>
      <c r="C3" s="171"/>
      <c r="D3" s="171"/>
      <c r="E3" s="171"/>
      <c r="F3" s="179"/>
      <c r="G3" s="179"/>
      <c r="H3" s="179"/>
      <c r="I3" s="179"/>
    </row>
    <row r="4" spans="1:10" ht="24.75" customHeight="1" thickBot="1">
      <c r="A4" s="1001"/>
      <c r="B4" s="1001"/>
      <c r="C4" s="1001"/>
      <c r="D4" s="1001"/>
      <c r="E4" s="1001"/>
      <c r="F4" s="1001"/>
      <c r="G4" s="1001"/>
      <c r="H4" s="1001"/>
      <c r="I4" s="180"/>
    </row>
    <row r="5" spans="1:10" ht="19.5" customHeight="1" thickBot="1">
      <c r="A5" s="1002" t="s">
        <v>129</v>
      </c>
      <c r="B5" s="1003"/>
      <c r="C5" s="1003"/>
      <c r="D5" s="1003"/>
      <c r="E5" s="1003"/>
      <c r="F5" s="1003"/>
      <c r="G5" s="1003"/>
      <c r="H5" s="1004"/>
      <c r="I5" s="181"/>
    </row>
    <row r="6" spans="1:10" ht="19.5" thickBot="1">
      <c r="A6" s="181"/>
      <c r="B6" s="181"/>
      <c r="C6" s="181"/>
      <c r="D6" s="181"/>
      <c r="E6" s="181"/>
      <c r="F6" s="1005" t="s">
        <v>130</v>
      </c>
      <c r="G6" s="1005"/>
      <c r="H6" s="182">
        <f ca="1">TODAY()</f>
        <v>46148</v>
      </c>
      <c r="I6" s="182"/>
    </row>
    <row r="7" spans="1:10" ht="26.25" thickBot="1">
      <c r="A7" s="183" t="s">
        <v>131</v>
      </c>
      <c r="B7" s="184" t="s">
        <v>132</v>
      </c>
      <c r="C7" s="184" t="s">
        <v>131</v>
      </c>
      <c r="D7" s="185" t="s">
        <v>133</v>
      </c>
      <c r="E7" s="185" t="s">
        <v>134</v>
      </c>
      <c r="F7" s="185" t="s">
        <v>135</v>
      </c>
      <c r="G7" s="185" t="s">
        <v>136</v>
      </c>
      <c r="H7" s="186" t="s">
        <v>137</v>
      </c>
      <c r="I7" s="187"/>
    </row>
    <row r="8" spans="1:10" ht="13.5">
      <c r="A8" s="188">
        <v>357</v>
      </c>
      <c r="B8" s="176" t="s">
        <v>115</v>
      </c>
      <c r="C8" s="189">
        <f>+A8</f>
        <v>357</v>
      </c>
      <c r="D8" s="190" t="s">
        <v>177</v>
      </c>
      <c r="E8" s="190">
        <v>3.82</v>
      </c>
      <c r="F8" s="190">
        <f>IFERROR(C8*E8,"")</f>
        <v>1363.74</v>
      </c>
      <c r="G8" s="191">
        <f t="shared" ref="G8:G14" si="0">IFERROR(F8/$F$66,"")</f>
        <v>0.40406804618015341</v>
      </c>
      <c r="H8" s="192" t="s">
        <v>114</v>
      </c>
      <c r="I8" s="192"/>
      <c r="J8" s="193"/>
    </row>
    <row r="9" spans="1:10" ht="13.5" hidden="1">
      <c r="A9" s="188"/>
      <c r="B9" s="176" t="str">
        <f>IFERROR(VLOOKUP(H9,'[1]Consolidado MP Planta'!$A$2:$M$823,3,0),"")</f>
        <v/>
      </c>
      <c r="C9" s="189">
        <f t="shared" ref="C9:C14" si="1">+A9</f>
        <v>0</v>
      </c>
      <c r="D9" s="190" t="str">
        <f>IFERROR(VLOOKUP(H9,'[1]Consolidado MP Planta'!$A$2:$M$823,13,0),"")</f>
        <v/>
      </c>
      <c r="E9" s="190" t="str">
        <f>IFERROR(VLOOKUP(H9,'[1]Consolidado MP Planta'!$A$2:$M$823,12,0),"")</f>
        <v/>
      </c>
      <c r="F9" s="190" t="str">
        <f t="shared" ref="F9:F14" si="2">IFERROR(C9*E9,"")</f>
        <v/>
      </c>
      <c r="G9" s="191" t="str">
        <f t="shared" si="0"/>
        <v/>
      </c>
      <c r="H9" s="192"/>
      <c r="I9" s="192"/>
      <c r="J9" s="193"/>
    </row>
    <row r="10" spans="1:10"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0"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0"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0"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0"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0" ht="14.25" thickBot="1">
      <c r="A15" s="188"/>
      <c r="B15" s="176" t="str">
        <f>IFERROR(VLOOKUP(H15,[2]Hoja2!$A$2:$G$589,2,0),"")</f>
        <v/>
      </c>
      <c r="C15" s="189"/>
      <c r="D15" s="190"/>
      <c r="E15" s="190"/>
      <c r="F15" s="190"/>
      <c r="G15" s="191"/>
      <c r="H15" s="192"/>
      <c r="I15" s="192"/>
      <c r="J15" s="193"/>
    </row>
    <row r="16" spans="1:10" ht="26.25" thickBot="1">
      <c r="A16" s="183" t="s">
        <v>131</v>
      </c>
      <c r="B16" s="184" t="s">
        <v>138</v>
      </c>
      <c r="C16" s="184" t="s">
        <v>131</v>
      </c>
      <c r="D16" s="185" t="s">
        <v>133</v>
      </c>
      <c r="E16" s="185" t="s">
        <v>134</v>
      </c>
      <c r="F16" s="185" t="s">
        <v>135</v>
      </c>
      <c r="G16" s="185" t="s">
        <v>136</v>
      </c>
      <c r="H16" s="186" t="s">
        <v>137</v>
      </c>
      <c r="I16" s="187"/>
      <c r="J16" s="193"/>
    </row>
    <row r="17" spans="1:12" ht="13.5">
      <c r="A17" s="188">
        <v>714</v>
      </c>
      <c r="B17" s="176" t="s">
        <v>113</v>
      </c>
      <c r="C17" s="189">
        <f>+A17</f>
        <v>714</v>
      </c>
      <c r="D17" s="189" t="s">
        <v>177</v>
      </c>
      <c r="E17" s="190">
        <v>2.36</v>
      </c>
      <c r="F17" s="190">
        <f>IFERROR(E17*C17,"")</f>
        <v>1685.04</v>
      </c>
      <c r="G17" s="191">
        <f t="shared" ref="G17:G24" si="3">IFERROR(F17/$F$66,"")</f>
        <v>0.49926732407600111</v>
      </c>
      <c r="H17" s="192" t="s">
        <v>112</v>
      </c>
      <c r="I17" s="192"/>
      <c r="J17" s="193"/>
    </row>
    <row r="18" spans="1:12" ht="13.5" hidden="1">
      <c r="A18" s="188"/>
      <c r="B18" s="176" t="str">
        <f>IFERROR(VLOOKUP(H18,[1]SEMIELABORADOS!$A$2:$M$6000,2,0),"")</f>
        <v/>
      </c>
      <c r="C18" s="189">
        <f t="shared" ref="C18:C24" si="4">+A18</f>
        <v>0</v>
      </c>
      <c r="D18" s="189" t="str">
        <f>IFERROR(VLOOKUP(H18,[1]SEMIELABORADOS!$A$2:$M$6000,6,0),"")</f>
        <v/>
      </c>
      <c r="E18" s="190" t="str">
        <f>IFERROR(VLOOKUP(H18,[1]SEMIELABORADOS!$A$2:$H$65536,8,0),"")</f>
        <v/>
      </c>
      <c r="F18" s="190" t="str">
        <f t="shared" ref="F18:F24" si="5">IFERROR(E18*C18,"")</f>
        <v/>
      </c>
      <c r="G18" s="191" t="str">
        <f t="shared" si="3"/>
        <v/>
      </c>
      <c r="H18" s="192"/>
      <c r="I18" s="192"/>
      <c r="J18" s="193"/>
    </row>
    <row r="19" spans="1:12" ht="13.5" hidden="1">
      <c r="A19" s="188"/>
      <c r="B19" s="176" t="str">
        <f>IFERROR(VLOOKUP(H19,[1]SEMIELABORADOS!$A$2:$M$6000,2,0),"")</f>
        <v/>
      </c>
      <c r="C19" s="189">
        <f>+A19</f>
        <v>0</v>
      </c>
      <c r="D19" s="189" t="str">
        <f>IFERROR(VLOOKUP(H19,[1]SEMIELABORADOS!$A$2:$M$6000,6,0),"")</f>
        <v/>
      </c>
      <c r="E19" s="190" t="str">
        <f>IFERROR(VLOOKUP(H19,[1]SEMIELABORADOS!$A$2:$H$65536,8,0),"")</f>
        <v/>
      </c>
      <c r="F19" s="190" t="str">
        <f>IFERROR(E19*C19,"")</f>
        <v/>
      </c>
      <c r="G19" s="191" t="str">
        <f t="shared" si="3"/>
        <v/>
      </c>
      <c r="H19" s="192"/>
      <c r="I19" s="192"/>
      <c r="J19" s="193"/>
    </row>
    <row r="20" spans="1:12" ht="13.5" hidden="1">
      <c r="A20" s="188"/>
      <c r="B20" s="176" t="str">
        <f>IFERROR(VLOOKUP(H20,[1]SEMIELABORADOS!$A$2:$M$6000,2,0),"")</f>
        <v/>
      </c>
      <c r="C20" s="189">
        <f>+A20</f>
        <v>0</v>
      </c>
      <c r="D20" s="189" t="str">
        <f>IFERROR(VLOOKUP(H20,[1]SEMIELABORADOS!$A$2:$M$6000,6,0),"")</f>
        <v/>
      </c>
      <c r="E20" s="190" t="str">
        <f>IFERROR(VLOOKUP(H20,[1]SEMIELABORADOS!$A$2:$H$65536,8,0),"")</f>
        <v/>
      </c>
      <c r="F20" s="190" t="str">
        <f>IFERROR(E20*C20,"")</f>
        <v/>
      </c>
      <c r="G20" s="191" t="str">
        <f t="shared" si="3"/>
        <v/>
      </c>
      <c r="H20" s="192"/>
      <c r="I20" s="192"/>
      <c r="J20" s="193"/>
    </row>
    <row r="21" spans="1:12" ht="13.5" hidden="1">
      <c r="A21" s="188"/>
      <c r="B21" s="176" t="str">
        <f>IFERROR(VLOOKUP(H21,[1]SEMIELABORADOS!$A$2:$M$6000,2,0),"")</f>
        <v/>
      </c>
      <c r="C21" s="189">
        <f>+A21</f>
        <v>0</v>
      </c>
      <c r="D21" s="189" t="str">
        <f>IFERROR(VLOOKUP(H21,[1]SEMIELABORADOS!$A$2:$M$6000,6,0),"")</f>
        <v/>
      </c>
      <c r="E21" s="190" t="str">
        <f>IFERROR(VLOOKUP(H21,[1]SEMIELABORADOS!$A$2:$H$65536,8,0),"")</f>
        <v/>
      </c>
      <c r="F21" s="190" t="str">
        <f>IFERROR(E21*C21,"")</f>
        <v/>
      </c>
      <c r="G21" s="191" t="str">
        <f t="shared" si="3"/>
        <v/>
      </c>
      <c r="H21" s="192"/>
      <c r="I21" s="192"/>
      <c r="J21" s="193"/>
    </row>
    <row r="22" spans="1:12" ht="13.5" hidden="1">
      <c r="A22" s="188"/>
      <c r="B22" s="176" t="str">
        <f>IFERROR(VLOOKUP(H22,[1]SEMIELABORADOS!$A$2:$M$6000,2,0),"")</f>
        <v/>
      </c>
      <c r="C22" s="189">
        <f t="shared" si="4"/>
        <v>0</v>
      </c>
      <c r="D22" s="189" t="str">
        <f>IFERROR(VLOOKUP(H22,[1]SEMIELABORADOS!$A$2:$M$6000,6,0),"")</f>
        <v/>
      </c>
      <c r="E22" s="190" t="str">
        <f>IFERROR(VLOOKUP(H22,[1]SEMIELABORADOS!$A$2:$H$65536,8,0),"")</f>
        <v/>
      </c>
      <c r="F22" s="190" t="str">
        <f t="shared" si="5"/>
        <v/>
      </c>
      <c r="G22" s="191" t="str">
        <f t="shared" si="3"/>
        <v/>
      </c>
      <c r="H22" s="192"/>
      <c r="I22" s="192"/>
      <c r="J22" s="193"/>
    </row>
    <row r="23" spans="1:12" ht="13.5" hidden="1">
      <c r="A23" s="188"/>
      <c r="B23" s="176" t="str">
        <f>IFERROR(VLOOKUP(H23,[1]SEMIELABORADOS!$A$2:$M$6000,2,0),"")</f>
        <v/>
      </c>
      <c r="C23" s="189">
        <f t="shared" si="4"/>
        <v>0</v>
      </c>
      <c r="D23" s="189" t="str">
        <f>IFERROR(VLOOKUP(H23,[1]SEMIELABORADOS!$A$2:$M$6000,6,0),"")</f>
        <v/>
      </c>
      <c r="E23" s="190" t="str">
        <f>IFERROR(VLOOKUP(H23,[1]SEMIELABORADOS!$A$2:$H$65536,8,0),"")</f>
        <v/>
      </c>
      <c r="F23" s="190" t="str">
        <f t="shared" si="5"/>
        <v/>
      </c>
      <c r="G23" s="191" t="str">
        <f t="shared" si="3"/>
        <v/>
      </c>
      <c r="H23" s="192"/>
      <c r="I23" s="192"/>
      <c r="J23" s="193"/>
    </row>
    <row r="24" spans="1:12" ht="13.5" hidden="1">
      <c r="A24" s="188"/>
      <c r="B24" s="176" t="str">
        <f>IFERROR(VLOOKUP(H24,[1]SEMIELABORADOS!$A$2:$M$6000,2,0),"")</f>
        <v/>
      </c>
      <c r="C24" s="189">
        <f t="shared" si="4"/>
        <v>0</v>
      </c>
      <c r="D24" s="189" t="str">
        <f>IFERROR(VLOOKUP(H24,[1]SEMIELABORADOS!$A$2:$M$6000,6,0),"")</f>
        <v/>
      </c>
      <c r="E24" s="190" t="str">
        <f>IFERROR(VLOOKUP(H24,[1]SEMIELABORADOS!$A$2:$H$65536,8,0),"")</f>
        <v/>
      </c>
      <c r="F24" s="190" t="str">
        <f t="shared" si="5"/>
        <v/>
      </c>
      <c r="G24" s="191" t="str">
        <f t="shared" si="3"/>
        <v/>
      </c>
      <c r="H24" s="192"/>
      <c r="I24" s="192"/>
      <c r="J24" s="193"/>
    </row>
    <row r="25" spans="1:12" ht="14.25" thickBot="1">
      <c r="A25" s="188"/>
      <c r="C25" s="189"/>
      <c r="D25" s="189"/>
      <c r="E25" s="190"/>
      <c r="F25" s="190"/>
      <c r="G25" s="191"/>
      <c r="H25" s="192"/>
      <c r="I25" s="192"/>
      <c r="J25" s="193"/>
    </row>
    <row r="26" spans="1:12" ht="26.25" thickBot="1">
      <c r="A26" s="183" t="s">
        <v>131</v>
      </c>
      <c r="B26" s="184" t="s">
        <v>34</v>
      </c>
      <c r="C26" s="184" t="s">
        <v>131</v>
      </c>
      <c r="D26" s="185" t="s">
        <v>133</v>
      </c>
      <c r="E26" s="185" t="s">
        <v>134</v>
      </c>
      <c r="F26" s="185" t="s">
        <v>135</v>
      </c>
      <c r="G26" s="185" t="s">
        <v>136</v>
      </c>
      <c r="H26" s="186" t="s">
        <v>137</v>
      </c>
      <c r="I26" s="187"/>
    </row>
    <row r="27" spans="1:12" ht="13.5">
      <c r="A27" s="188">
        <v>1</v>
      </c>
      <c r="B27" s="194" t="s">
        <v>76</v>
      </c>
      <c r="C27" s="189">
        <f t="shared" ref="C27:C32" si="6">+A27</f>
        <v>1</v>
      </c>
      <c r="D27" s="190" t="s">
        <v>180</v>
      </c>
      <c r="E27" s="190">
        <v>2.13</v>
      </c>
      <c r="F27" s="190">
        <f t="shared" ref="F27:F32" si="7">IFERROR(C27*E27,"")</f>
        <v>2.13</v>
      </c>
      <c r="G27" s="191">
        <f t="shared" ref="G27:G32" si="8">IFERROR(F27/$F$66,"")</f>
        <v>6.3110632405277158E-4</v>
      </c>
      <c r="H27" s="195"/>
      <c r="I27" s="195"/>
      <c r="J27" s="193"/>
      <c r="K27" s="995"/>
      <c r="L27" s="995"/>
    </row>
    <row r="28" spans="1:12" ht="13.5">
      <c r="A28" s="188">
        <v>1</v>
      </c>
      <c r="B28" s="194" t="s">
        <v>107</v>
      </c>
      <c r="C28" s="189">
        <f t="shared" si="6"/>
        <v>1</v>
      </c>
      <c r="D28" s="190" t="s">
        <v>180</v>
      </c>
      <c r="E28" s="190">
        <v>25</v>
      </c>
      <c r="F28" s="190">
        <f t="shared" si="7"/>
        <v>25</v>
      </c>
      <c r="G28" s="191">
        <f t="shared" si="8"/>
        <v>7.4073512212766623E-3</v>
      </c>
      <c r="H28" s="195"/>
      <c r="I28" s="195"/>
      <c r="J28" s="193"/>
      <c r="K28" s="995"/>
      <c r="L28" s="995"/>
    </row>
    <row r="29" spans="1:12" ht="13.5" hidden="1">
      <c r="A29" s="188"/>
      <c r="B29" s="194" t="str">
        <f>IFERROR(VLOOKUP(H29,'[1]Consolidado MP Planta'!$A$2:$M$823,3,0),"")</f>
        <v/>
      </c>
      <c r="C29" s="189">
        <f t="shared" si="6"/>
        <v>0</v>
      </c>
      <c r="D29" s="190" t="str">
        <f>IFERROR(VLOOKUP(H29,'[1]Consolidado MP Planta'!$A$2:$M$823,13,0),"")</f>
        <v/>
      </c>
      <c r="E29" s="190" t="str">
        <f>IFERROR(VLOOKUP(H29,'[1]Consolidado MP Planta'!$A$2:$M$823,12,0),"")</f>
        <v/>
      </c>
      <c r="F29" s="190" t="str">
        <f t="shared" si="7"/>
        <v/>
      </c>
      <c r="G29" s="191" t="str">
        <f t="shared" si="8"/>
        <v/>
      </c>
      <c r="H29" s="195"/>
      <c r="I29" s="195"/>
      <c r="J29" s="193"/>
      <c r="K29" s="995"/>
      <c r="L29" s="995"/>
    </row>
    <row r="30" spans="1:12" ht="13.5" hidden="1">
      <c r="A30" s="188"/>
      <c r="B30" s="194" t="str">
        <f>IFERROR(VLOOKUP(H30,'[1]Consolidado MP Planta'!$A$2:$M$823,3,0),"")</f>
        <v/>
      </c>
      <c r="C30" s="189">
        <f t="shared" si="6"/>
        <v>0</v>
      </c>
      <c r="D30" s="190" t="str">
        <f>IFERROR(VLOOKUP(H30,'[1]Consolidado MP Planta'!$A$2:$M$823,13,0),"")</f>
        <v/>
      </c>
      <c r="E30" s="190" t="str">
        <f>IFERROR(VLOOKUP(H30,'[1]Consolidado MP Planta'!$A$2:$M$823,12,0),"")</f>
        <v/>
      </c>
      <c r="F30" s="190" t="str">
        <f t="shared" si="7"/>
        <v/>
      </c>
      <c r="G30" s="191" t="str">
        <f t="shared" si="8"/>
        <v/>
      </c>
      <c r="H30" s="195"/>
      <c r="I30" s="195"/>
      <c r="J30" s="193"/>
      <c r="K30" s="995"/>
      <c r="L30" s="995"/>
    </row>
    <row r="31" spans="1:12" ht="13.5" hidden="1">
      <c r="A31" s="188"/>
      <c r="B31" s="194" t="str">
        <f>IFERROR(VLOOKUP(H31,'[1]Consolidado MP Planta'!$A$2:$M$823,3,0),"")</f>
        <v/>
      </c>
      <c r="C31" s="189">
        <f t="shared" si="6"/>
        <v>0</v>
      </c>
      <c r="D31" s="190" t="str">
        <f>IFERROR(VLOOKUP(H31,'[1]Consolidado MP Planta'!$A$2:$M$823,13,0),"")</f>
        <v/>
      </c>
      <c r="E31" s="190" t="str">
        <f>IFERROR(VLOOKUP(H31,'[1]Consolidado MP Planta'!$A$2:$M$823,12,0),"")</f>
        <v/>
      </c>
      <c r="F31" s="190" t="str">
        <f t="shared" si="7"/>
        <v/>
      </c>
      <c r="G31" s="191" t="str">
        <f t="shared" si="8"/>
        <v/>
      </c>
      <c r="H31" s="195"/>
      <c r="I31" s="195"/>
      <c r="J31" s="193"/>
      <c r="K31" s="196"/>
      <c r="L31" s="197"/>
    </row>
    <row r="32" spans="1:12" ht="13.5" hidden="1">
      <c r="A32" s="188"/>
      <c r="B32" s="194" t="str">
        <f>IFERROR(VLOOKUP(H32,'[1]Consolidado MP Planta'!$A$2:$M$823,3,0),"")</f>
        <v/>
      </c>
      <c r="C32" s="189">
        <f t="shared" si="6"/>
        <v>0</v>
      </c>
      <c r="D32" s="190" t="str">
        <f>IFERROR(VLOOKUP(H32,'[1]Consolidado MP Planta'!$A$2:$M$823,13,0),"")</f>
        <v/>
      </c>
      <c r="E32" s="190" t="str">
        <f>IFERROR(VLOOKUP(H32,'[1]Consolidado MP Planta'!$A$2:$M$823,12,0),"")</f>
        <v/>
      </c>
      <c r="F32" s="190" t="str">
        <f t="shared" si="7"/>
        <v/>
      </c>
      <c r="G32" s="191" t="str">
        <f t="shared" si="8"/>
        <v/>
      </c>
      <c r="H32" s="195"/>
      <c r="I32" s="195"/>
      <c r="J32" s="193"/>
    </row>
    <row r="33" spans="1:13" ht="14.25" thickBot="1">
      <c r="A33" s="188"/>
      <c r="B33" s="194"/>
      <c r="C33" s="189"/>
      <c r="D33" s="190"/>
      <c r="E33" s="190"/>
      <c r="F33" s="190"/>
      <c r="G33" s="191"/>
      <c r="H33" s="195"/>
      <c r="I33" s="195"/>
      <c r="J33" s="193"/>
    </row>
    <row r="34" spans="1:13" ht="26.25" thickBot="1">
      <c r="A34" s="183" t="s">
        <v>131</v>
      </c>
      <c r="B34" s="184" t="s">
        <v>139</v>
      </c>
      <c r="C34" s="184" t="s">
        <v>131</v>
      </c>
      <c r="D34" s="185" t="s">
        <v>133</v>
      </c>
      <c r="E34" s="185" t="s">
        <v>134</v>
      </c>
      <c r="F34" s="185" t="s">
        <v>135</v>
      </c>
      <c r="G34" s="185" t="s">
        <v>136</v>
      </c>
      <c r="H34" s="186" t="s">
        <v>137</v>
      </c>
      <c r="I34" s="195"/>
      <c r="J34" s="193"/>
    </row>
    <row r="35" spans="1:13" ht="13.5">
      <c r="A35" s="188">
        <f>+A17</f>
        <v>714</v>
      </c>
      <c r="B35" s="194" t="s">
        <v>113</v>
      </c>
      <c r="C35" s="189">
        <f>+A35</f>
        <v>714</v>
      </c>
      <c r="D35" s="190" t="s">
        <v>177</v>
      </c>
      <c r="E35" s="190">
        <v>0.01</v>
      </c>
      <c r="F35" s="190">
        <f>IFERROR(E35*C35,"")</f>
        <v>7.1400000000000006</v>
      </c>
      <c r="G35" s="191">
        <f t="shared" ref="G35:G41" si="9">IFERROR(F35/$F$66,"")</f>
        <v>2.1155395087966151E-3</v>
      </c>
      <c r="H35" s="195" t="s">
        <v>112</v>
      </c>
      <c r="I35" s="195"/>
      <c r="J35" s="193"/>
    </row>
    <row r="36" spans="1:13" ht="13.5" hidden="1">
      <c r="A36" s="188">
        <f t="shared" ref="A36:A41" si="10">+A18</f>
        <v>0</v>
      </c>
      <c r="B36" s="194" t="str">
        <f>IFERROR(VLOOKUP(H36,[1]SEMIELABORADOS!$A$2:$M$6000,2,0),"")</f>
        <v/>
      </c>
      <c r="C36" s="189">
        <f t="shared" ref="C36:C41" si="11">+A36</f>
        <v>0</v>
      </c>
      <c r="D36" s="190" t="str">
        <f>IFERROR(VLOOKUP(H36,[1]SEMIELABORADOS!$A$2:$M$6000,6,0),"")</f>
        <v/>
      </c>
      <c r="E36" s="190" t="str">
        <f>IFERROR(VLOOKUP(H36,[1]SEMIELABORADOS!$A$2:$M$65536,10,0),"")</f>
        <v/>
      </c>
      <c r="F36" s="190" t="str">
        <f t="shared" ref="F36:F41" si="12">IFERROR(E36*C36,"")</f>
        <v/>
      </c>
      <c r="G36" s="191" t="str">
        <f t="shared" si="9"/>
        <v/>
      </c>
      <c r="H36" s="195"/>
      <c r="I36" s="195"/>
      <c r="J36" s="193"/>
    </row>
    <row r="37" spans="1:13" ht="13.5" hidden="1">
      <c r="A37" s="188">
        <f t="shared" si="10"/>
        <v>0</v>
      </c>
      <c r="B37" s="194" t="str">
        <f>IFERROR(VLOOKUP(H37,[1]SEMIELABORADOS!$A$2:$M$6000,2,0),"")</f>
        <v/>
      </c>
      <c r="C37" s="189">
        <f t="shared" si="11"/>
        <v>0</v>
      </c>
      <c r="D37" s="190" t="str">
        <f>IFERROR(VLOOKUP(H37,[1]SEMIELABORADOS!$A$2:$M$6000,6,0),"")</f>
        <v/>
      </c>
      <c r="E37" s="190" t="str">
        <f>IFERROR(VLOOKUP(H37,[1]SEMIELABORADOS!$A$2:$M$65536,10,0),"")</f>
        <v/>
      </c>
      <c r="F37" s="190" t="str">
        <f t="shared" si="12"/>
        <v/>
      </c>
      <c r="G37" s="191" t="str">
        <f t="shared" si="9"/>
        <v/>
      </c>
      <c r="H37" s="195"/>
      <c r="I37" s="195"/>
      <c r="J37" s="193"/>
    </row>
    <row r="38" spans="1:13" ht="13.5" hidden="1">
      <c r="A38" s="188">
        <f t="shared" si="10"/>
        <v>0</v>
      </c>
      <c r="B38" s="194" t="str">
        <f>IFERROR(VLOOKUP(H38,[1]SEMIELABORADOS!$A$2:$M$6000,2,0),"")</f>
        <v/>
      </c>
      <c r="C38" s="189">
        <f>+A38</f>
        <v>0</v>
      </c>
      <c r="D38" s="190" t="str">
        <f>IFERROR(VLOOKUP(H38,[1]SEMIELABORADOS!$A$2:$M$6000,6,0),"")</f>
        <v/>
      </c>
      <c r="E38" s="190" t="str">
        <f>IFERROR(VLOOKUP(H38,[1]SEMIELABORADOS!$A$2:$M$65536,10,0),"")</f>
        <v/>
      </c>
      <c r="F38" s="190" t="str">
        <f>IFERROR(E38*C38,"")</f>
        <v/>
      </c>
      <c r="G38" s="191" t="str">
        <f t="shared" si="9"/>
        <v/>
      </c>
      <c r="H38" s="195"/>
      <c r="I38" s="195"/>
      <c r="J38" s="193"/>
    </row>
    <row r="39" spans="1:13" ht="13.5" hidden="1">
      <c r="A39" s="188">
        <f t="shared" si="10"/>
        <v>0</v>
      </c>
      <c r="B39" s="194" t="str">
        <f>IFERROR(VLOOKUP(H39,[1]SEMIELABORADOS!$A$2:$M$6000,2,0),"")</f>
        <v/>
      </c>
      <c r="C39" s="189">
        <f>+A39</f>
        <v>0</v>
      </c>
      <c r="D39" s="190" t="str">
        <f>IFERROR(VLOOKUP(H39,[1]SEMIELABORADOS!$A$2:$M$6000,6,0),"")</f>
        <v/>
      </c>
      <c r="E39" s="190" t="str">
        <f>IFERROR(VLOOKUP(H39,[1]SEMIELABORADOS!$A$2:$M$65536,10,0),"")</f>
        <v/>
      </c>
      <c r="F39" s="190" t="str">
        <f>IFERROR(E39*C39,"")</f>
        <v/>
      </c>
      <c r="G39" s="191" t="str">
        <f t="shared" si="9"/>
        <v/>
      </c>
      <c r="H39" s="195"/>
      <c r="I39" s="195"/>
      <c r="J39" s="193"/>
    </row>
    <row r="40" spans="1:13" ht="13.5" hidden="1">
      <c r="A40" s="188">
        <f t="shared" si="10"/>
        <v>0</v>
      </c>
      <c r="B40" s="194" t="str">
        <f>IFERROR(VLOOKUP(H40,[1]SEMIELABORADOS!$A$2:$M$6000,2,0),"")</f>
        <v/>
      </c>
      <c r="C40" s="189">
        <f t="shared" si="11"/>
        <v>0</v>
      </c>
      <c r="D40" s="190" t="str">
        <f>IFERROR(VLOOKUP(H40,[1]SEMIELABORADOS!$A$2:$M$6000,6,0),"")</f>
        <v/>
      </c>
      <c r="E40" s="190" t="str">
        <f>IFERROR(VLOOKUP(H40,[1]SEMIELABORADOS!$A$2:$M$65536,10,0),"")</f>
        <v/>
      </c>
      <c r="F40" s="190" t="str">
        <f t="shared" si="12"/>
        <v/>
      </c>
      <c r="G40" s="191" t="str">
        <f t="shared" si="9"/>
        <v/>
      </c>
      <c r="H40" s="195"/>
      <c r="I40" s="195"/>
      <c r="J40" s="193"/>
    </row>
    <row r="41" spans="1:13" ht="13.5" hidden="1">
      <c r="A41" s="188">
        <f t="shared" si="10"/>
        <v>0</v>
      </c>
      <c r="B41" s="194" t="str">
        <f>IFERROR(VLOOKUP(H41,[1]SEMIELABORADOS!$A$2:$M$6000,2,0),"")</f>
        <v/>
      </c>
      <c r="C41" s="189">
        <f t="shared" si="11"/>
        <v>0</v>
      </c>
      <c r="D41" s="190" t="str">
        <f>IFERROR(VLOOKUP(H41,[1]SEMIELABORADOS!$A$2:$M$6000,6,0),"")</f>
        <v/>
      </c>
      <c r="E41" s="190" t="str">
        <f>IFERROR(VLOOKUP(H41,[1]SEMIELABORADOS!$A$2:$M$65536,10,0),"")</f>
        <v/>
      </c>
      <c r="F41" s="190" t="str">
        <f t="shared" si="12"/>
        <v/>
      </c>
      <c r="G41" s="191" t="str">
        <f t="shared" si="9"/>
        <v/>
      </c>
      <c r="H41" s="195"/>
      <c r="I41" s="195"/>
      <c r="J41" s="193"/>
    </row>
    <row r="42" spans="1:13" ht="14.25" thickBot="1">
      <c r="A42" s="188"/>
      <c r="B42" s="194"/>
      <c r="C42" s="189"/>
      <c r="D42" s="190"/>
      <c r="E42" s="190"/>
      <c r="F42" s="190"/>
      <c r="G42" s="191"/>
      <c r="H42" s="195"/>
      <c r="I42" s="195"/>
      <c r="J42" s="193"/>
    </row>
    <row r="43" spans="1:13" ht="26.25" thickBot="1">
      <c r="A43" s="183" t="s">
        <v>131</v>
      </c>
      <c r="B43" s="184" t="s">
        <v>140</v>
      </c>
      <c r="C43" s="184" t="s">
        <v>131</v>
      </c>
      <c r="D43" s="185" t="s">
        <v>133</v>
      </c>
      <c r="E43" s="185" t="s">
        <v>134</v>
      </c>
      <c r="F43" s="185" t="s">
        <v>135</v>
      </c>
      <c r="G43" s="185" t="s">
        <v>136</v>
      </c>
      <c r="H43" s="186" t="s">
        <v>137</v>
      </c>
      <c r="I43" s="187"/>
      <c r="J43" s="193"/>
    </row>
    <row r="44" spans="1:13" ht="13.5">
      <c r="A44" s="188">
        <f>+A35</f>
        <v>714</v>
      </c>
      <c r="B44" s="194" t="s">
        <v>113</v>
      </c>
      <c r="C44" s="189">
        <f>+A44</f>
        <v>714</v>
      </c>
      <c r="D44" s="190" t="s">
        <v>177</v>
      </c>
      <c r="E44" s="190">
        <v>0.03</v>
      </c>
      <c r="F44" s="190">
        <f>IFERROR(E44*C44,"")</f>
        <v>21.419999999999998</v>
      </c>
      <c r="G44" s="191">
        <f>IFERROR(F44/$F$66,"")</f>
        <v>6.3466185263898441E-3</v>
      </c>
      <c r="H44" s="195" t="s">
        <v>112</v>
      </c>
      <c r="I44" s="187"/>
      <c r="J44" s="193"/>
    </row>
    <row r="45" spans="1:13" ht="13.5" hidden="1">
      <c r="A45" s="188">
        <f t="shared" ref="A45:A50" si="13">+A36</f>
        <v>0</v>
      </c>
      <c r="B45" s="194" t="str">
        <f>IFERROR(VLOOKUP(H45,[1]SEMIELABORADOS!$A$2:$M$6000,2,0),"")</f>
        <v/>
      </c>
      <c r="C45" s="189">
        <f t="shared" ref="C45:C50" si="14">+A45</f>
        <v>0</v>
      </c>
      <c r="D45" s="190" t="str">
        <f>IFERROR(VLOOKUP(H45,[1]SEMIELABORADOS!$A$2:$M$6000,6,0),"")</f>
        <v/>
      </c>
      <c r="E45" s="190" t="str">
        <f>IFERROR(VLOOKUP(H45,[1]SEMIELABORADOS!$A$2:$M$65536,12,0),"")</f>
        <v/>
      </c>
      <c r="F45" s="190" t="str">
        <f t="shared" ref="F45:F50" si="15">IFERROR(E45*C45,"")</f>
        <v/>
      </c>
      <c r="G45" s="191" t="str">
        <f t="shared" ref="G45:G50" si="16">IFERROR(F45/$F$66,"")</f>
        <v/>
      </c>
      <c r="H45" s="195"/>
      <c r="I45" s="187"/>
      <c r="J45" s="193"/>
      <c r="M45" s="198"/>
    </row>
    <row r="46" spans="1:13" ht="13.5" hidden="1">
      <c r="A46" s="188">
        <f t="shared" si="13"/>
        <v>0</v>
      </c>
      <c r="B46" s="194" t="str">
        <f>IFERROR(VLOOKUP(H46,[1]SEMIELABORADOS!$A$2:$M$6000,2,0),"")</f>
        <v/>
      </c>
      <c r="C46" s="189">
        <f t="shared" si="14"/>
        <v>0</v>
      </c>
      <c r="D46" s="190" t="str">
        <f>IFERROR(VLOOKUP(H46,[1]SEMIELABORADOS!$A$2:$M$6000,6,0),"")</f>
        <v/>
      </c>
      <c r="E46" s="190" t="str">
        <f>IFERROR(VLOOKUP(H46,[1]SEMIELABORADOS!$A$2:$M$65536,12,0),"")</f>
        <v/>
      </c>
      <c r="F46" s="190" t="str">
        <f t="shared" si="15"/>
        <v/>
      </c>
      <c r="G46" s="191" t="str">
        <f t="shared" si="16"/>
        <v/>
      </c>
      <c r="H46" s="195"/>
      <c r="I46" s="187"/>
      <c r="J46" s="193"/>
    </row>
    <row r="47" spans="1:13" ht="13.5" hidden="1">
      <c r="A47" s="188">
        <f t="shared" si="13"/>
        <v>0</v>
      </c>
      <c r="B47" s="194" t="str">
        <f>IFERROR(VLOOKUP(H47,[1]SEMIELABORADOS!$A$2:$M$6000,2,0),"")</f>
        <v/>
      </c>
      <c r="C47" s="189">
        <f t="shared" si="14"/>
        <v>0</v>
      </c>
      <c r="D47" s="190" t="str">
        <f>IFERROR(VLOOKUP(H47,[1]SEMIELABORADOS!$A$2:$M$6000,6,0),"")</f>
        <v/>
      </c>
      <c r="E47" s="190" t="str">
        <f>IFERROR(VLOOKUP(H47,[1]SEMIELABORADOS!$A$2:$M$65536,12,0),"")</f>
        <v/>
      </c>
      <c r="F47" s="190" t="str">
        <f t="shared" si="15"/>
        <v/>
      </c>
      <c r="G47" s="191" t="str">
        <f t="shared" si="16"/>
        <v/>
      </c>
      <c r="H47" s="195"/>
      <c r="I47" s="187"/>
      <c r="J47" s="193"/>
    </row>
    <row r="48" spans="1:13" ht="13.5" hidden="1">
      <c r="A48" s="188">
        <f t="shared" si="13"/>
        <v>0</v>
      </c>
      <c r="B48" s="194" t="str">
        <f>IFERROR(VLOOKUP(H48,[1]SEMIELABORADOS!$A$2:$M$6000,2,0),"")</f>
        <v/>
      </c>
      <c r="C48" s="189">
        <f t="shared" si="14"/>
        <v>0</v>
      </c>
      <c r="D48" s="190" t="str">
        <f>IFERROR(VLOOKUP(H48,[1]SEMIELABORADOS!$A$2:$M$6000,6,0),"")</f>
        <v/>
      </c>
      <c r="E48" s="190" t="str">
        <f>IFERROR(VLOOKUP(H48,[1]SEMIELABORADOS!$A$2:$M$65536,12,0),"")</f>
        <v/>
      </c>
      <c r="F48" s="190" t="str">
        <f t="shared" si="15"/>
        <v/>
      </c>
      <c r="G48" s="191" t="str">
        <f t="shared" si="16"/>
        <v/>
      </c>
      <c r="H48" s="195"/>
      <c r="I48" s="187"/>
      <c r="J48" s="193"/>
    </row>
    <row r="49" spans="1:17" ht="13.5" hidden="1">
      <c r="A49" s="188">
        <f t="shared" si="13"/>
        <v>0</v>
      </c>
      <c r="B49" s="194" t="str">
        <f>IFERROR(VLOOKUP(H49,[1]SEMIELABORADOS!$A$2:$M$6000,2,0),"")</f>
        <v/>
      </c>
      <c r="C49" s="189">
        <f t="shared" si="14"/>
        <v>0</v>
      </c>
      <c r="D49" s="190" t="str">
        <f>IFERROR(VLOOKUP(H49,[1]SEMIELABORADOS!$A$2:$M$6000,6,0),"")</f>
        <v/>
      </c>
      <c r="E49" s="190" t="str">
        <f>IFERROR(VLOOKUP(H49,[1]SEMIELABORADOS!$A$2:$M$65536,12,0),"")</f>
        <v/>
      </c>
      <c r="F49" s="190" t="str">
        <f t="shared" si="15"/>
        <v/>
      </c>
      <c r="G49" s="191" t="str">
        <f t="shared" si="16"/>
        <v/>
      </c>
      <c r="H49" s="195"/>
      <c r="I49" s="187"/>
      <c r="J49" s="193"/>
    </row>
    <row r="50" spans="1:17" ht="13.5" hidden="1">
      <c r="A50" s="188">
        <f t="shared" si="13"/>
        <v>0</v>
      </c>
      <c r="B50" s="194" t="str">
        <f>IFERROR(VLOOKUP(H50,[1]SEMIELABORADOS!$A$2:$M$6000,2,0),"")</f>
        <v/>
      </c>
      <c r="C50" s="189">
        <f t="shared" si="14"/>
        <v>0</v>
      </c>
      <c r="D50" s="190" t="str">
        <f>IFERROR(VLOOKUP(H50,[1]SEMIELABORADOS!$A$2:$M$6000,6,0),"")</f>
        <v/>
      </c>
      <c r="E50" s="190" t="str">
        <f>IFERROR(VLOOKUP(H50,[1]SEMIELABORADOS!$A$2:$M$65536,12,0),"")</f>
        <v/>
      </c>
      <c r="F50" s="190" t="str">
        <f t="shared" si="15"/>
        <v/>
      </c>
      <c r="G50" s="191" t="str">
        <f t="shared" si="16"/>
        <v/>
      </c>
      <c r="H50" s="194"/>
      <c r="I50" s="187"/>
      <c r="J50" s="193"/>
    </row>
    <row r="51" spans="1:17" ht="13.5">
      <c r="A51" s="188">
        <v>1</v>
      </c>
      <c r="B51" s="194" t="s">
        <v>141</v>
      </c>
      <c r="C51" s="189">
        <f>+A51</f>
        <v>1</v>
      </c>
      <c r="D51" s="189" t="s">
        <v>142</v>
      </c>
      <c r="E51" s="190">
        <f>+F65</f>
        <v>231</v>
      </c>
      <c r="F51" s="190">
        <f>IFERROR(C51*E51,"")</f>
        <v>231</v>
      </c>
      <c r="G51" s="191">
        <f>IFERROR(F51/$F$66,"")</f>
        <v>6.8443925284596363E-2</v>
      </c>
      <c r="H51" s="199"/>
      <c r="I51" s="199"/>
      <c r="J51" s="193"/>
    </row>
    <row r="52" spans="1:17" ht="14.25" thickBot="1">
      <c r="A52" s="188"/>
      <c r="B52" s="194"/>
      <c r="C52" s="189"/>
      <c r="D52" s="189"/>
      <c r="E52" s="190"/>
      <c r="F52" s="190"/>
      <c r="G52" s="191"/>
      <c r="H52" s="199"/>
      <c r="I52" s="199"/>
      <c r="J52" s="193"/>
    </row>
    <row r="53" spans="1:17" ht="13.5" thickBot="1">
      <c r="A53" s="200"/>
      <c r="B53" s="996" t="s">
        <v>143</v>
      </c>
      <c r="C53" s="996"/>
      <c r="D53" s="996"/>
      <c r="E53" s="996"/>
      <c r="F53" s="202">
        <f>SUM(F8:F14,F17:F24)</f>
        <v>3048.7799999999997</v>
      </c>
      <c r="G53" s="191">
        <f>+F53/$F$66</f>
        <v>0.9033353702561544</v>
      </c>
      <c r="H53" s="203">
        <f>+F53/$D$60</f>
        <v>3048.7799999999997</v>
      </c>
      <c r="I53" s="203"/>
      <c r="J53" s="204"/>
      <c r="K53" s="205"/>
      <c r="L53" s="205"/>
      <c r="M53" s="205"/>
      <c r="N53" s="205"/>
      <c r="O53" s="205"/>
      <c r="P53" s="205"/>
      <c r="Q53" s="206"/>
    </row>
    <row r="54" spans="1:17">
      <c r="A54" s="200"/>
      <c r="B54" s="996" t="s">
        <v>144</v>
      </c>
      <c r="C54" s="996"/>
      <c r="D54" s="996"/>
      <c r="E54" s="996"/>
      <c r="F54" s="202">
        <f>SUM(F27:F32,F35:F41)</f>
        <v>34.269999999999996</v>
      </c>
      <c r="G54" s="191">
        <f>+F54/$F$66</f>
        <v>1.0153997054126047E-2</v>
      </c>
      <c r="H54" s="203">
        <f>+F54/$D$60</f>
        <v>34.269999999999996</v>
      </c>
      <c r="I54" s="203"/>
      <c r="J54" s="207"/>
      <c r="K54" s="997" t="s">
        <v>145</v>
      </c>
      <c r="L54" s="998"/>
      <c r="M54" s="998"/>
      <c r="N54" s="998"/>
      <c r="O54" s="208">
        <f>+F55</f>
        <v>3083.0499999999997</v>
      </c>
      <c r="P54" s="208"/>
      <c r="Q54" s="209"/>
    </row>
    <row r="55" spans="1:17">
      <c r="A55" s="200"/>
      <c r="B55" s="996" t="s">
        <v>146</v>
      </c>
      <c r="C55" s="996"/>
      <c r="D55" s="996"/>
      <c r="E55" s="996"/>
      <c r="F55" s="202">
        <f>+F53+F54</f>
        <v>3083.0499999999997</v>
      </c>
      <c r="G55" s="191">
        <f>+F55/$F$66</f>
        <v>0.91348936731028052</v>
      </c>
      <c r="H55" s="203">
        <f>+F55/$D$60</f>
        <v>3083.0499999999997</v>
      </c>
      <c r="I55" s="203"/>
      <c r="J55" s="210"/>
      <c r="K55" s="211"/>
      <c r="M55" s="212" t="s">
        <v>147</v>
      </c>
      <c r="N55" s="213"/>
      <c r="O55" s="208">
        <f>+H56</f>
        <v>252.42</v>
      </c>
      <c r="P55" s="208"/>
      <c r="Q55" s="209"/>
    </row>
    <row r="56" spans="1:17" ht="13.5" thickBot="1">
      <c r="A56" s="200"/>
      <c r="B56" s="201"/>
      <c r="C56" s="996" t="s">
        <v>148</v>
      </c>
      <c r="D56" s="996"/>
      <c r="E56" s="996"/>
      <c r="F56" s="202">
        <f>SUM(F44:F51)</f>
        <v>252.42</v>
      </c>
      <c r="G56" s="191">
        <f>+F56/$F$66</f>
        <v>7.4790543810986196E-2</v>
      </c>
      <c r="H56" s="203">
        <f>+F56/$D$60</f>
        <v>252.42</v>
      </c>
      <c r="I56" s="203"/>
      <c r="J56" s="210"/>
      <c r="K56" s="211"/>
      <c r="L56" s="211"/>
      <c r="M56" s="211" t="s">
        <v>149</v>
      </c>
      <c r="N56" s="214"/>
      <c r="O56" s="208">
        <f>O54*N56</f>
        <v>0</v>
      </c>
      <c r="P56" s="208"/>
      <c r="Q56" s="209"/>
    </row>
    <row r="57" spans="1:17" ht="13.5" thickBot="1">
      <c r="A57" s="200"/>
      <c r="B57" s="215"/>
      <c r="C57" s="215"/>
      <c r="D57" s="215"/>
      <c r="E57" s="215"/>
      <c r="F57" s="216"/>
      <c r="G57" s="191"/>
      <c r="H57" s="217"/>
      <c r="I57" s="203"/>
      <c r="J57" s="210"/>
      <c r="K57" s="218"/>
      <c r="M57" s="219" t="s">
        <v>150</v>
      </c>
      <c r="N57" s="220"/>
      <c r="O57" s="221">
        <f>SUM(O54:O56)</f>
        <v>3335.47</v>
      </c>
      <c r="P57" s="222"/>
      <c r="Q57" s="209"/>
    </row>
    <row r="58" spans="1:17">
      <c r="B58" s="999" t="s">
        <v>151</v>
      </c>
      <c r="C58" s="999"/>
      <c r="D58" s="223">
        <v>1000</v>
      </c>
      <c r="E58" s="224"/>
      <c r="G58" s="191"/>
      <c r="H58" s="217">
        <f>+H56/77</f>
        <v>3.2781818181818179</v>
      </c>
      <c r="I58" s="225"/>
      <c r="J58" s="210"/>
      <c r="K58" s="218"/>
      <c r="L58" s="211"/>
      <c r="M58" s="211" t="s">
        <v>152</v>
      </c>
      <c r="N58" s="226"/>
      <c r="O58" s="208">
        <f>+H59</f>
        <v>272.08909090909088</v>
      </c>
      <c r="P58" s="208"/>
      <c r="Q58" s="209"/>
    </row>
    <row r="59" spans="1:17">
      <c r="B59" s="999" t="s">
        <v>153</v>
      </c>
      <c r="C59" s="999"/>
      <c r="D59" s="227">
        <v>1000</v>
      </c>
      <c r="E59" s="224"/>
      <c r="G59" s="191"/>
      <c r="H59" s="217">
        <f>+H58*83</f>
        <v>272.08909090909088</v>
      </c>
      <c r="I59" s="225"/>
      <c r="J59" s="210"/>
      <c r="K59" s="218"/>
      <c r="L59" s="211"/>
      <c r="M59" s="1000" t="s">
        <v>150</v>
      </c>
      <c r="N59" s="1000"/>
      <c r="O59" s="208">
        <f>SUM(O57:O58)</f>
        <v>3607.5590909090906</v>
      </c>
      <c r="P59" s="208"/>
      <c r="Q59" s="209"/>
    </row>
    <row r="60" spans="1:17" ht="13.5" thickBot="1">
      <c r="B60" s="991" t="s">
        <v>154</v>
      </c>
      <c r="C60" s="991"/>
      <c r="D60" s="223">
        <f>+D58/D59</f>
        <v>1</v>
      </c>
      <c r="E60" s="224"/>
      <c r="F60" s="228"/>
      <c r="G60" s="191"/>
      <c r="H60" s="217"/>
      <c r="I60" s="225"/>
      <c r="J60" s="210"/>
      <c r="K60" s="218"/>
      <c r="L60" s="1000"/>
      <c r="M60" s="1000"/>
      <c r="N60" s="226"/>
      <c r="O60" s="208">
        <f>+O59*N60</f>
        <v>0</v>
      </c>
      <c r="P60" s="208"/>
      <c r="Q60" s="209"/>
    </row>
    <row r="61" spans="1:17" ht="13.5" thickBot="1">
      <c r="B61" s="991" t="s">
        <v>155</v>
      </c>
      <c r="C61" s="991"/>
      <c r="D61" s="229"/>
      <c r="E61" s="224"/>
      <c r="F61" s="228"/>
      <c r="G61" s="191"/>
      <c r="H61" s="217"/>
      <c r="I61" s="225"/>
      <c r="J61" s="210"/>
      <c r="K61" s="992" t="s">
        <v>156</v>
      </c>
      <c r="L61" s="993"/>
      <c r="M61" s="993"/>
      <c r="N61" s="994"/>
      <c r="O61" s="221">
        <f>SUM(O59:O60)</f>
        <v>3607.5590909090906</v>
      </c>
      <c r="P61" s="230" t="s">
        <v>157</v>
      </c>
      <c r="Q61" s="209"/>
    </row>
    <row r="62" spans="1:17" ht="13.5" thickBot="1">
      <c r="C62" s="200" t="s">
        <v>158</v>
      </c>
      <c r="D62" s="231"/>
      <c r="E62" s="174" t="s">
        <v>159</v>
      </c>
      <c r="F62" s="232" t="s">
        <v>160</v>
      </c>
      <c r="G62" s="191"/>
      <c r="H62" s="217"/>
      <c r="I62" s="225"/>
      <c r="J62" s="233"/>
      <c r="K62" s="234"/>
      <c r="L62" s="980" t="s">
        <v>161</v>
      </c>
      <c r="M62" s="980"/>
      <c r="N62" s="980"/>
      <c r="O62" s="235">
        <f>+O61/D60</f>
        <v>3607.5590909090906</v>
      </c>
      <c r="P62" s="236">
        <f>+O62/D59</f>
        <v>3.6075590909090907</v>
      </c>
      <c r="Q62" s="237"/>
    </row>
    <row r="63" spans="1:17" ht="13.5" thickBot="1">
      <c r="B63" s="981" t="s">
        <v>146</v>
      </c>
      <c r="C63" s="981"/>
      <c r="D63" s="981"/>
      <c r="E63" s="238">
        <f>+F63/F63</f>
        <v>1</v>
      </c>
      <c r="F63" s="239">
        <f>SUM(F55)</f>
        <v>3083.0499999999997</v>
      </c>
      <c r="G63" s="191">
        <f>+F63/$F$66</f>
        <v>0.91348936731028052</v>
      </c>
      <c r="H63" s="217"/>
      <c r="I63" s="225"/>
      <c r="K63" s="982"/>
      <c r="L63" s="983"/>
      <c r="M63" s="983"/>
      <c r="N63" s="983"/>
      <c r="O63" s="240"/>
      <c r="P63" s="241"/>
    </row>
    <row r="64" spans="1:17" ht="13.5" thickBot="1">
      <c r="B64" s="984" t="s">
        <v>162</v>
      </c>
      <c r="C64" s="984"/>
      <c r="D64" s="984"/>
      <c r="E64" s="242">
        <v>0.02</v>
      </c>
      <c r="F64" s="239">
        <f>+F53*E64</f>
        <v>60.975599999999993</v>
      </c>
      <c r="G64" s="191">
        <f>+F64/$F$66</f>
        <v>1.8066707405123089E-2</v>
      </c>
      <c r="H64" s="203"/>
      <c r="I64" s="225"/>
      <c r="J64" s="243"/>
      <c r="O64" s="244"/>
      <c r="P64" s="201"/>
    </row>
    <row r="65" spans="2:13" ht="13.5" thickBot="1">
      <c r="B65" s="985" t="s">
        <v>163</v>
      </c>
      <c r="C65" s="986"/>
      <c r="D65" s="245">
        <v>3</v>
      </c>
      <c r="E65" s="246">
        <v>77</v>
      </c>
      <c r="F65" s="239">
        <f>+E65*D65</f>
        <v>231</v>
      </c>
      <c r="G65" s="191">
        <f>+F65/$F$66</f>
        <v>6.8443925284596363E-2</v>
      </c>
      <c r="H65" s="203"/>
      <c r="I65" s="203"/>
      <c r="J65" s="193"/>
    </row>
    <row r="66" spans="2:13" ht="13.5" thickBot="1">
      <c r="B66" s="987" t="s">
        <v>164</v>
      </c>
      <c r="C66" s="988"/>
      <c r="D66" s="988"/>
      <c r="E66" s="989"/>
      <c r="F66" s="216">
        <f>SUM(F63:F65)</f>
        <v>3375.0255999999999</v>
      </c>
      <c r="G66" s="191">
        <f>+F66/$F$66</f>
        <v>1</v>
      </c>
      <c r="H66" s="990"/>
      <c r="I66" s="203"/>
      <c r="J66" s="193"/>
      <c r="M66" s="176" t="s">
        <v>165</v>
      </c>
    </row>
    <row r="67" spans="2:13">
      <c r="C67" s="198"/>
      <c r="D67" s="198"/>
      <c r="E67" s="248"/>
      <c r="F67" s="239"/>
      <c r="G67" s="191"/>
      <c r="H67" s="990"/>
      <c r="I67" s="247"/>
      <c r="J67" s="176"/>
      <c r="M67" s="176" t="s">
        <v>166</v>
      </c>
    </row>
    <row r="68" spans="2:13" ht="13.5" thickBot="1">
      <c r="B68" s="975" t="s">
        <v>167</v>
      </c>
      <c r="C68" s="975"/>
      <c r="D68" s="975"/>
      <c r="E68" s="975"/>
      <c r="F68" s="975"/>
      <c r="G68" s="191"/>
      <c r="H68" s="250"/>
      <c r="I68" s="247"/>
      <c r="J68" s="176"/>
      <c r="M68" s="176" t="s">
        <v>168</v>
      </c>
    </row>
    <row r="69" spans="2:13" ht="13.5" thickBot="1">
      <c r="B69" s="251" t="s">
        <v>169</v>
      </c>
      <c r="C69" s="252">
        <f>+F53</f>
        <v>3048.7799999999997</v>
      </c>
      <c r="D69" s="252">
        <f>+D58</f>
        <v>1000</v>
      </c>
      <c r="E69" s="253">
        <f>+C69/D69</f>
        <v>3.0487799999999998</v>
      </c>
      <c r="F69" s="191"/>
      <c r="G69" s="250"/>
      <c r="H69" s="193"/>
      <c r="I69" s="250"/>
      <c r="J69" s="176"/>
    </row>
    <row r="70" spans="2:13">
      <c r="B70" s="254"/>
      <c r="C70" s="255"/>
      <c r="D70" s="256"/>
      <c r="E70" s="239"/>
      <c r="F70" s="191"/>
      <c r="G70" s="250"/>
      <c r="H70" s="193"/>
      <c r="I70" s="193"/>
      <c r="J70" s="176"/>
    </row>
    <row r="71" spans="2:13">
      <c r="B71" s="251" t="s">
        <v>170</v>
      </c>
      <c r="C71" s="252">
        <f>SUM(F63:F64)</f>
        <v>3144.0255999999999</v>
      </c>
      <c r="D71" s="252">
        <f>+D58</f>
        <v>1000</v>
      </c>
      <c r="E71" s="257">
        <f>+C71/D71</f>
        <v>3.1440256</v>
      </c>
      <c r="F71" s="191"/>
      <c r="G71" s="250"/>
      <c r="H71" s="193"/>
      <c r="I71" s="193"/>
      <c r="J71" s="176"/>
    </row>
    <row r="72" spans="2:13">
      <c r="B72" s="251"/>
      <c r="C72" s="252"/>
      <c r="D72" s="252"/>
      <c r="E72" s="257"/>
      <c r="F72" s="191"/>
      <c r="G72" s="250"/>
      <c r="H72" s="193"/>
      <c r="I72" s="193"/>
      <c r="J72" s="176"/>
    </row>
    <row r="73" spans="2:13" ht="13.5" thickBot="1">
      <c r="B73" s="251" t="s">
        <v>171</v>
      </c>
      <c r="C73" s="252">
        <f>+F65</f>
        <v>231</v>
      </c>
      <c r="D73" s="252">
        <f>+D58</f>
        <v>1000</v>
      </c>
      <c r="E73" s="257">
        <f>+C73/D73</f>
        <v>0.23100000000000001</v>
      </c>
      <c r="F73" s="191"/>
      <c r="G73" s="250"/>
      <c r="H73" s="193"/>
      <c r="I73" s="193"/>
      <c r="J73" s="176"/>
    </row>
    <row r="74" spans="2:13" ht="13.5" thickBot="1">
      <c r="B74" s="251" t="s">
        <v>172</v>
      </c>
      <c r="C74" s="252">
        <f>+F56</f>
        <v>252.42</v>
      </c>
      <c r="D74" s="252">
        <f>+D73</f>
        <v>1000</v>
      </c>
      <c r="E74" s="253">
        <f>+C74/D74</f>
        <v>0.25241999999999998</v>
      </c>
      <c r="F74" s="191"/>
      <c r="G74" s="250"/>
      <c r="H74" s="193"/>
      <c r="I74" s="193"/>
      <c r="J74" s="176"/>
    </row>
    <row r="75" spans="2:13" ht="13.5" thickBot="1">
      <c r="B75" s="215"/>
      <c r="C75" s="216"/>
      <c r="D75" s="216"/>
      <c r="E75" s="257"/>
      <c r="F75" s="191"/>
      <c r="G75" s="250"/>
      <c r="H75" s="193"/>
      <c r="I75" s="193"/>
      <c r="J75" s="176"/>
    </row>
    <row r="76" spans="2:13" ht="13.5" thickBot="1">
      <c r="B76" s="251" t="s">
        <v>173</v>
      </c>
      <c r="C76" s="252">
        <f>+F54</f>
        <v>34.269999999999996</v>
      </c>
      <c r="D76" s="252">
        <f>+D74</f>
        <v>1000</v>
      </c>
      <c r="E76" s="253">
        <f>+C76/D76</f>
        <v>3.4269999999999995E-2</v>
      </c>
      <c r="F76" s="191"/>
      <c r="G76" s="250"/>
      <c r="H76" s="193"/>
      <c r="I76" s="193"/>
      <c r="J76" s="193"/>
    </row>
    <row r="77" spans="2:13" ht="13.5" thickBot="1">
      <c r="B77" s="215"/>
      <c r="C77" s="216"/>
      <c r="D77" s="216"/>
      <c r="E77" s="257"/>
      <c r="F77" s="191"/>
      <c r="G77" s="250"/>
      <c r="H77" s="193"/>
      <c r="I77" s="193"/>
    </row>
    <row r="78" spans="2:13" ht="13.5" thickBot="1">
      <c r="B78" s="976" t="s">
        <v>174</v>
      </c>
      <c r="C78" s="977"/>
      <c r="D78" s="978"/>
      <c r="E78" s="253">
        <f>+E69+E74</f>
        <v>3.3011999999999997</v>
      </c>
      <c r="G78" s="191"/>
      <c r="H78" s="250"/>
      <c r="I78" s="193"/>
      <c r="J78" s="257"/>
    </row>
    <row r="79" spans="2:13">
      <c r="I79" s="250"/>
      <c r="J79" s="176"/>
    </row>
    <row r="80" spans="2:13" ht="13.5" thickBot="1">
      <c r="B80" s="975" t="s">
        <v>175</v>
      </c>
      <c r="C80" s="975"/>
      <c r="D80" s="975"/>
      <c r="E80" s="975"/>
      <c r="F80" s="975"/>
      <c r="G80" s="191"/>
      <c r="H80" s="250"/>
      <c r="J80" s="176"/>
    </row>
    <row r="81" spans="1:10" ht="13.5" thickBot="1">
      <c r="B81" s="251" t="s">
        <v>169</v>
      </c>
      <c r="C81" s="252">
        <f>+C69</f>
        <v>3048.7799999999997</v>
      </c>
      <c r="D81" s="252">
        <f>+D60</f>
        <v>1</v>
      </c>
      <c r="E81" s="253">
        <f>+C81/D81</f>
        <v>3048.7799999999997</v>
      </c>
      <c r="F81" s="191"/>
      <c r="G81" s="250"/>
      <c r="H81" s="193"/>
      <c r="I81" s="250"/>
      <c r="J81" s="176"/>
    </row>
    <row r="82" spans="1:10">
      <c r="B82" s="254"/>
      <c r="C82" s="255"/>
      <c r="D82" s="256"/>
      <c r="E82" s="239"/>
      <c r="F82" s="191"/>
      <c r="G82" s="250"/>
      <c r="H82" s="193"/>
      <c r="I82" s="193"/>
      <c r="J82" s="176"/>
    </row>
    <row r="83" spans="1:10">
      <c r="B83" s="251" t="s">
        <v>170</v>
      </c>
      <c r="C83" s="252">
        <f>+C71</f>
        <v>3144.0255999999999</v>
      </c>
      <c r="D83" s="252">
        <f>+D60</f>
        <v>1</v>
      </c>
      <c r="E83" s="257">
        <f>+C83/D83</f>
        <v>3144.0255999999999</v>
      </c>
      <c r="F83" s="191"/>
      <c r="G83" s="250"/>
      <c r="H83" s="193"/>
      <c r="I83" s="193"/>
      <c r="J83" s="176"/>
    </row>
    <row r="84" spans="1:10">
      <c r="B84" s="251"/>
      <c r="C84" s="252"/>
      <c r="D84" s="252"/>
      <c r="E84" s="257"/>
      <c r="F84" s="191"/>
      <c r="G84" s="250"/>
      <c r="H84" s="193"/>
      <c r="I84" s="193"/>
      <c r="J84" s="176"/>
    </row>
    <row r="85" spans="1:10" ht="13.5" thickBot="1">
      <c r="B85" s="251" t="s">
        <v>172</v>
      </c>
      <c r="C85" s="252">
        <f>+C73</f>
        <v>231</v>
      </c>
      <c r="D85" s="252">
        <f>+D60</f>
        <v>1</v>
      </c>
      <c r="E85" s="257">
        <f>+C85/D85</f>
        <v>231</v>
      </c>
      <c r="F85" s="259"/>
      <c r="G85" s="249"/>
      <c r="H85" s="175"/>
      <c r="I85" s="193"/>
    </row>
    <row r="86" spans="1:10" ht="13.5" thickBot="1">
      <c r="B86" s="251" t="s">
        <v>172</v>
      </c>
      <c r="C86" s="252">
        <f>+C74</f>
        <v>252.42</v>
      </c>
      <c r="D86" s="252">
        <f>+D85</f>
        <v>1</v>
      </c>
      <c r="E86" s="253">
        <f>+C86/D86</f>
        <v>252.42</v>
      </c>
      <c r="F86" s="258"/>
      <c r="G86" s="249"/>
      <c r="H86" s="175"/>
      <c r="I86" s="175"/>
    </row>
    <row r="87" spans="1:10">
      <c r="I87" s="175"/>
    </row>
    <row r="88" spans="1:10">
      <c r="A88" s="979"/>
      <c r="B88" s="979"/>
      <c r="C88" s="260"/>
      <c r="D88" s="260"/>
      <c r="E88" s="261"/>
      <c r="G88" s="262"/>
    </row>
    <row r="89" spans="1:10">
      <c r="A89" s="194"/>
      <c r="B89" s="263"/>
      <c r="C89" s="264"/>
      <c r="D89" s="264"/>
      <c r="E89" s="265"/>
      <c r="G89" s="262"/>
    </row>
    <row r="90" spans="1:10">
      <c r="A90" s="194"/>
      <c r="B90" s="263"/>
      <c r="C90" s="266"/>
      <c r="D90" s="266"/>
      <c r="E90" s="194"/>
      <c r="G90" s="262"/>
    </row>
    <row r="91" spans="1:10">
      <c r="A91" s="194"/>
      <c r="B91" s="263"/>
      <c r="C91" s="267"/>
      <c r="D91" s="267"/>
      <c r="E91" s="194"/>
      <c r="G91" s="26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F17D-DC67-4389-B9B1-9F46F8ED3885}">
  <sheetPr>
    <tabColor theme="4" tint="0.59999389629810485"/>
  </sheetPr>
  <dimension ref="A1:K30"/>
  <sheetViews>
    <sheetView zoomScale="85" zoomScaleNormal="85" workbookViewId="0">
      <selection activeCell="E11" sqref="E11"/>
    </sheetView>
  </sheetViews>
  <sheetFormatPr baseColWidth="10" defaultRowHeight="15"/>
  <cols>
    <col min="1" max="1" width="17.140625" customWidth="1"/>
    <col min="2" max="2" width="15.85546875" customWidth="1"/>
    <col min="3" max="3" width="46.28515625" customWidth="1"/>
    <col min="4" max="4" width="29.85546875" bestFit="1" customWidth="1"/>
    <col min="5" max="5" width="15.7109375" customWidth="1"/>
    <col min="6" max="6" width="17.28515625" customWidth="1"/>
    <col min="7" max="7" width="17.7109375" customWidth="1"/>
    <col min="8" max="8" width="18" customWidth="1"/>
    <col min="9" max="9" width="20.140625" customWidth="1"/>
  </cols>
  <sheetData>
    <row r="1" spans="1:10" ht="17.25">
      <c r="A1" s="702"/>
      <c r="B1" s="703"/>
      <c r="C1" s="683" t="s">
        <v>30</v>
      </c>
      <c r="D1" s="683"/>
      <c r="E1" s="683"/>
      <c r="F1" s="683"/>
      <c r="G1" s="683"/>
      <c r="H1" s="5" t="s">
        <v>29</v>
      </c>
      <c r="I1" s="6" t="s">
        <v>205</v>
      </c>
    </row>
    <row r="2" spans="1:10" ht="18" thickBot="1">
      <c r="A2" s="704"/>
      <c r="B2" s="705"/>
      <c r="C2" s="708" t="s">
        <v>28</v>
      </c>
      <c r="D2" s="708"/>
      <c r="E2" s="708"/>
      <c r="F2" s="708"/>
      <c r="G2" s="708"/>
      <c r="H2" s="7" t="s">
        <v>27</v>
      </c>
      <c r="I2" s="8" t="s">
        <v>206</v>
      </c>
    </row>
    <row r="3" spans="1:10" ht="23.25" thickBot="1">
      <c r="A3" s="704"/>
      <c r="B3" s="705"/>
      <c r="C3" s="687" t="s">
        <v>207</v>
      </c>
      <c r="D3" s="688"/>
      <c r="E3" s="688"/>
      <c r="F3" s="688"/>
      <c r="G3" s="689"/>
      <c r="H3" s="712" t="s">
        <v>26</v>
      </c>
      <c r="I3" s="693">
        <v>46066</v>
      </c>
    </row>
    <row r="4" spans="1:10" ht="17.25">
      <c r="A4" s="704"/>
      <c r="B4" s="705"/>
      <c r="C4" s="9" t="s">
        <v>25</v>
      </c>
      <c r="D4" s="696" t="s">
        <v>35</v>
      </c>
      <c r="E4" s="697"/>
      <c r="F4" s="697"/>
      <c r="G4" s="698"/>
      <c r="H4" s="713"/>
      <c r="I4" s="694"/>
    </row>
    <row r="5" spans="1:10" ht="18" thickBot="1">
      <c r="A5" s="706"/>
      <c r="B5" s="707"/>
      <c r="C5" s="10" t="s">
        <v>24</v>
      </c>
      <c r="D5" s="699" t="s">
        <v>38</v>
      </c>
      <c r="E5" s="700"/>
      <c r="F5" s="700"/>
      <c r="G5" s="701"/>
      <c r="H5" s="714"/>
      <c r="I5" s="695"/>
    </row>
    <row r="6" spans="1:10" ht="16.5" thickBot="1">
      <c r="A6" s="724" t="s">
        <v>23</v>
      </c>
      <c r="B6" s="724"/>
      <c r="C6" s="724"/>
      <c r="D6" s="660" t="s">
        <v>39</v>
      </c>
      <c r="E6" s="660"/>
      <c r="F6" s="660"/>
      <c r="G6" s="717" t="s">
        <v>22</v>
      </c>
      <c r="H6" s="717"/>
      <c r="I6" s="11" t="s">
        <v>39</v>
      </c>
    </row>
    <row r="7" spans="1:10" ht="30">
      <c r="A7" s="718" t="s">
        <v>21</v>
      </c>
      <c r="B7" s="720" t="s">
        <v>31</v>
      </c>
      <c r="C7" s="722" t="s">
        <v>20</v>
      </c>
      <c r="D7" s="722" t="s">
        <v>19</v>
      </c>
      <c r="E7" s="722" t="s">
        <v>18</v>
      </c>
      <c r="F7" s="722"/>
      <c r="G7" s="722" t="s">
        <v>17</v>
      </c>
      <c r="H7" s="722"/>
      <c r="I7" s="12" t="s">
        <v>16</v>
      </c>
    </row>
    <row r="8" spans="1:10" ht="31.5" thickBot="1">
      <c r="A8" s="914"/>
      <c r="B8" s="721"/>
      <c r="C8" s="723"/>
      <c r="D8" s="916"/>
      <c r="E8" s="13" t="s">
        <v>13</v>
      </c>
      <c r="F8" s="14" t="s">
        <v>15</v>
      </c>
      <c r="G8" s="13" t="s">
        <v>13</v>
      </c>
      <c r="H8" s="14" t="s">
        <v>15</v>
      </c>
      <c r="I8" s="15" t="s">
        <v>14</v>
      </c>
    </row>
    <row r="9" spans="1:10" ht="20.25">
      <c r="A9" s="130"/>
      <c r="B9" s="133"/>
      <c r="C9" s="132" t="s">
        <v>32</v>
      </c>
      <c r="D9" s="133"/>
      <c r="E9" s="105"/>
      <c r="F9" s="106"/>
      <c r="G9" s="105"/>
      <c r="H9" s="106"/>
      <c r="I9" s="134"/>
    </row>
    <row r="10" spans="1:10" ht="20.25">
      <c r="A10" s="342"/>
      <c r="B10" s="103" t="s">
        <v>208</v>
      </c>
      <c r="C10" s="104" t="s">
        <v>209</v>
      </c>
      <c r="D10" s="343" t="s">
        <v>210</v>
      </c>
      <c r="E10" s="117">
        <v>5000</v>
      </c>
      <c r="F10" s="344"/>
      <c r="G10" s="345"/>
      <c r="H10" s="346"/>
      <c r="I10" s="102"/>
    </row>
    <row r="11" spans="1:10" ht="20.25">
      <c r="A11" s="347"/>
      <c r="B11" s="102"/>
      <c r="C11" s="348"/>
      <c r="D11" s="151"/>
      <c r="E11" s="103"/>
      <c r="F11" s="170"/>
      <c r="G11" s="349"/>
      <c r="H11" s="103"/>
      <c r="I11" s="102"/>
    </row>
    <row r="12" spans="1:10" ht="20.25">
      <c r="A12" s="102"/>
      <c r="B12" s="102"/>
      <c r="C12" s="350" t="s">
        <v>211</v>
      </c>
      <c r="D12" s="103"/>
      <c r="E12" s="104"/>
      <c r="F12" s="103"/>
      <c r="G12" s="351"/>
      <c r="H12" s="103"/>
      <c r="I12" s="102"/>
    </row>
    <row r="13" spans="1:10" ht="20.25">
      <c r="A13" s="104"/>
      <c r="B13" s="352"/>
      <c r="C13" s="353"/>
      <c r="D13" s="343"/>
      <c r="E13" s="352"/>
      <c r="F13" s="136"/>
      <c r="G13" s="105"/>
      <c r="H13" s="106"/>
      <c r="I13" s="134"/>
    </row>
    <row r="14" spans="1:10" ht="20.25">
      <c r="A14" s="102"/>
      <c r="B14" s="102"/>
      <c r="C14" s="350" t="s">
        <v>34</v>
      </c>
      <c r="D14" s="104"/>
      <c r="E14" s="104"/>
      <c r="F14" s="103"/>
      <c r="G14" s="351"/>
      <c r="H14" s="103"/>
      <c r="I14" s="134"/>
    </row>
    <row r="15" spans="1:10" ht="20.25">
      <c r="A15" s="117"/>
      <c r="B15" s="103" t="s">
        <v>75</v>
      </c>
      <c r="C15" s="104" t="s">
        <v>212</v>
      </c>
      <c r="D15" s="354"/>
      <c r="E15" s="135"/>
      <c r="F15" s="135"/>
      <c r="G15" s="351"/>
      <c r="H15" s="103"/>
      <c r="I15" s="134"/>
    </row>
    <row r="16" spans="1:10" ht="20.25">
      <c r="A16" s="139"/>
      <c r="B16" s="140"/>
      <c r="C16" s="152"/>
      <c r="D16" s="102"/>
      <c r="E16" s="102"/>
      <c r="F16" s="143"/>
      <c r="G16" s="102"/>
      <c r="H16" s="102"/>
      <c r="I16" s="134"/>
      <c r="J16" s="78"/>
    </row>
    <row r="17" spans="1:11" ht="21" thickBot="1">
      <c r="A17" s="153"/>
      <c r="B17" s="154"/>
      <c r="C17" s="155"/>
      <c r="D17" s="155"/>
      <c r="E17" s="156"/>
      <c r="F17" s="157"/>
      <c r="G17" s="155"/>
      <c r="H17" s="155"/>
      <c r="I17" s="158"/>
      <c r="K17" s="78"/>
    </row>
    <row r="18" spans="1:11" ht="21" thickBot="1">
      <c r="A18" s="159"/>
      <c r="B18" s="160"/>
      <c r="C18" s="161"/>
      <c r="D18" s="162" t="s">
        <v>13</v>
      </c>
      <c r="E18" s="163" t="s">
        <v>12</v>
      </c>
      <c r="F18" s="164"/>
      <c r="G18" s="161"/>
      <c r="H18" s="161"/>
      <c r="I18" s="165"/>
    </row>
    <row r="19" spans="1:11" ht="20.25">
      <c r="A19" s="653" t="s">
        <v>11</v>
      </c>
      <c r="B19" s="654"/>
      <c r="C19" s="655"/>
      <c r="D19" s="166">
        <v>4800</v>
      </c>
      <c r="E19" s="167" t="s">
        <v>1</v>
      </c>
      <c r="F19" s="656" t="s">
        <v>10</v>
      </c>
      <c r="G19" s="656"/>
      <c r="H19" s="657"/>
      <c r="I19" s="658"/>
      <c r="J19">
        <f>5000/530</f>
        <v>9.433962264150944</v>
      </c>
    </row>
    <row r="20" spans="1:11" ht="20.25">
      <c r="A20" s="645" t="s">
        <v>9</v>
      </c>
      <c r="B20" s="646"/>
      <c r="C20" s="647"/>
      <c r="D20" s="151">
        <v>10</v>
      </c>
      <c r="E20" s="151" t="s">
        <v>8</v>
      </c>
      <c r="F20" s="648" t="s">
        <v>7</v>
      </c>
      <c r="G20" s="648"/>
      <c r="H20" s="640"/>
      <c r="I20" s="641"/>
    </row>
    <row r="21" spans="1:11" ht="20.25">
      <c r="A21" s="645" t="s">
        <v>6</v>
      </c>
      <c r="B21" s="646"/>
      <c r="C21" s="647"/>
      <c r="D21" s="151">
        <v>1</v>
      </c>
      <c r="E21" s="151" t="s">
        <v>103</v>
      </c>
      <c r="F21" s="648" t="s">
        <v>5</v>
      </c>
      <c r="G21" s="648"/>
      <c r="H21" s="640"/>
      <c r="I21" s="641"/>
    </row>
    <row r="22" spans="1:11" ht="20.25">
      <c r="A22" s="645" t="s">
        <v>4</v>
      </c>
      <c r="B22" s="646"/>
      <c r="C22" s="647"/>
      <c r="D22" s="151">
        <v>4800</v>
      </c>
      <c r="E22" s="151" t="s">
        <v>1</v>
      </c>
      <c r="F22" s="649" t="s">
        <v>3</v>
      </c>
      <c r="G22" s="650"/>
      <c r="H22" s="640"/>
      <c r="I22" s="641"/>
    </row>
    <row r="23" spans="1:11" ht="21" thickBot="1">
      <c r="A23" s="636" t="s">
        <v>2</v>
      </c>
      <c r="B23" s="637"/>
      <c r="C23" s="638"/>
      <c r="D23" s="168">
        <f>SUM(E10:E10)-D19</f>
        <v>200</v>
      </c>
      <c r="E23" s="169" t="s">
        <v>1</v>
      </c>
      <c r="F23" s="639"/>
      <c r="G23" s="639"/>
      <c r="H23" s="943"/>
      <c r="I23" s="944"/>
    </row>
    <row r="24" spans="1:11" ht="21" thickBot="1">
      <c r="A24" s="642" t="s">
        <v>0</v>
      </c>
      <c r="B24" s="643"/>
      <c r="C24" s="643"/>
      <c r="D24" s="643"/>
      <c r="E24" s="643"/>
      <c r="F24" s="643"/>
      <c r="G24" s="643"/>
      <c r="H24" s="643"/>
      <c r="I24" s="644"/>
    </row>
    <row r="25" spans="1:11" ht="20.25">
      <c r="A25" s="756" t="s">
        <v>213</v>
      </c>
      <c r="B25" s="757"/>
      <c r="C25" s="757"/>
      <c r="D25" s="757"/>
      <c r="E25" s="757"/>
      <c r="F25" s="757"/>
      <c r="G25" s="757"/>
      <c r="H25" s="757"/>
      <c r="I25" s="758"/>
    </row>
    <row r="26" spans="1:11" ht="20.25">
      <c r="A26" s="955" t="s">
        <v>214</v>
      </c>
      <c r="B26" s="956"/>
      <c r="C26" s="956"/>
      <c r="D26" s="956"/>
      <c r="E26" s="956"/>
      <c r="F26" s="956"/>
      <c r="G26" s="956"/>
      <c r="H26" s="956"/>
      <c r="I26" s="957"/>
    </row>
    <row r="27" spans="1:11" ht="20.25">
      <c r="A27" s="952"/>
      <c r="B27" s="953"/>
      <c r="C27" s="953"/>
      <c r="D27" s="953"/>
      <c r="E27" s="953"/>
      <c r="F27" s="953"/>
      <c r="G27" s="953"/>
      <c r="H27" s="953"/>
      <c r="I27" s="954"/>
    </row>
    <row r="28" spans="1:11" ht="20.25">
      <c r="A28" s="824" t="s">
        <v>33</v>
      </c>
      <c r="B28" s="824"/>
      <c r="C28" s="824"/>
      <c r="D28" s="824"/>
      <c r="E28" s="824"/>
      <c r="F28" s="824"/>
      <c r="G28" s="824"/>
      <c r="H28" s="824"/>
      <c r="I28" s="824"/>
    </row>
    <row r="29" spans="1:11" ht="20.25">
      <c r="A29" s="635"/>
      <c r="B29" s="635"/>
      <c r="C29" s="635"/>
      <c r="D29" s="635"/>
      <c r="E29" s="635"/>
      <c r="F29" s="635"/>
      <c r="G29" s="635"/>
      <c r="H29" s="635"/>
      <c r="I29" s="635"/>
    </row>
    <row r="30" spans="1:11" ht="20.25">
      <c r="A30" s="635"/>
      <c r="B30" s="635"/>
      <c r="C30" s="635"/>
      <c r="D30" s="635"/>
      <c r="E30" s="635"/>
      <c r="F30" s="635"/>
      <c r="G30" s="635"/>
      <c r="H30" s="635"/>
      <c r="I30" s="635"/>
    </row>
  </sheetData>
  <mergeCells count="39">
    <mergeCell ref="A27:I27"/>
    <mergeCell ref="A28:I28"/>
    <mergeCell ref="A29:I29"/>
    <mergeCell ref="A30:I30"/>
    <mergeCell ref="A23:C23"/>
    <mergeCell ref="F23:G23"/>
    <mergeCell ref="H23:I23"/>
    <mergeCell ref="A24:I24"/>
    <mergeCell ref="A25:I25"/>
    <mergeCell ref="A26:I26"/>
    <mergeCell ref="A21:C21"/>
    <mergeCell ref="F21:G21"/>
    <mergeCell ref="H21:I21"/>
    <mergeCell ref="A22:C22"/>
    <mergeCell ref="F22:G22"/>
    <mergeCell ref="H22:I22"/>
    <mergeCell ref="A19:C19"/>
    <mergeCell ref="F19:G19"/>
    <mergeCell ref="H19:I19"/>
    <mergeCell ref="A20:C20"/>
    <mergeCell ref="F20:G20"/>
    <mergeCell ref="H20:I20"/>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685A-3CF7-4732-A470-E5BF042D2236}">
  <dimension ref="A1:Q91"/>
  <sheetViews>
    <sheetView topLeftCell="A63" workbookViewId="0">
      <selection activeCell="E76" sqref="E76"/>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0" ht="27.75" customHeight="1">
      <c r="A1" s="171"/>
      <c r="B1" s="171"/>
      <c r="C1" s="171"/>
      <c r="D1" s="171"/>
      <c r="E1" s="172" t="s">
        <v>125</v>
      </c>
      <c r="F1" s="173" t="s">
        <v>126</v>
      </c>
      <c r="G1" s="173" t="s">
        <v>127</v>
      </c>
      <c r="H1" s="173" t="s">
        <v>128</v>
      </c>
      <c r="I1" s="174"/>
    </row>
    <row r="2" spans="1:10" ht="30.75" customHeight="1">
      <c r="A2" s="171"/>
      <c r="B2" s="171"/>
      <c r="C2" s="171"/>
      <c r="D2" s="171"/>
      <c r="E2" s="177">
        <f>IFERROR(O62,"")</f>
        <v>6265.2144155844153</v>
      </c>
      <c r="F2" s="177">
        <f>IFERROR(H53,"")</f>
        <v>5740</v>
      </c>
      <c r="G2" s="177">
        <f>IFERROR(H54,"")</f>
        <v>29.63</v>
      </c>
      <c r="H2" s="177">
        <f>IFERROR(H56,"")</f>
        <v>238.5</v>
      </c>
      <c r="I2" s="178"/>
    </row>
    <row r="3" spans="1:10" ht="15" customHeight="1">
      <c r="A3" s="171"/>
      <c r="B3" s="171"/>
      <c r="C3" s="171"/>
      <c r="D3" s="171"/>
      <c r="E3" s="171"/>
      <c r="F3" s="179"/>
      <c r="G3" s="179"/>
      <c r="H3" s="179"/>
      <c r="I3" s="179"/>
    </row>
    <row r="4" spans="1:10" ht="24.75" customHeight="1" thickBot="1">
      <c r="A4" s="1001"/>
      <c r="B4" s="1001"/>
      <c r="C4" s="1001"/>
      <c r="D4" s="1001"/>
      <c r="E4" s="1001"/>
      <c r="F4" s="1001"/>
      <c r="G4" s="1001"/>
      <c r="H4" s="1001"/>
      <c r="I4" s="180"/>
    </row>
    <row r="5" spans="1:10" ht="19.5" customHeight="1" thickBot="1">
      <c r="A5" s="1002" t="s">
        <v>129</v>
      </c>
      <c r="B5" s="1003"/>
      <c r="C5" s="1003"/>
      <c r="D5" s="1003"/>
      <c r="E5" s="1003"/>
      <c r="F5" s="1003"/>
      <c r="G5" s="1003"/>
      <c r="H5" s="1004"/>
      <c r="I5" s="181"/>
    </row>
    <row r="6" spans="1:10" ht="19.5" thickBot="1">
      <c r="A6" s="181"/>
      <c r="B6" s="181"/>
      <c r="C6" s="181"/>
      <c r="D6" s="181"/>
      <c r="E6" s="181"/>
      <c r="F6" s="1005" t="s">
        <v>130</v>
      </c>
      <c r="G6" s="1005"/>
      <c r="H6" s="182">
        <f ca="1">TODAY()</f>
        <v>46148</v>
      </c>
      <c r="I6" s="182"/>
    </row>
    <row r="7" spans="1:10" ht="26.25" thickBot="1">
      <c r="A7" s="183" t="s">
        <v>131</v>
      </c>
      <c r="B7" s="184" t="s">
        <v>132</v>
      </c>
      <c r="C7" s="184" t="s">
        <v>131</v>
      </c>
      <c r="D7" s="185" t="s">
        <v>133</v>
      </c>
      <c r="E7" s="185" t="s">
        <v>134</v>
      </c>
      <c r="F7" s="185" t="s">
        <v>135</v>
      </c>
      <c r="G7" s="185" t="s">
        <v>136</v>
      </c>
      <c r="H7" s="186" t="s">
        <v>137</v>
      </c>
      <c r="I7" s="187"/>
    </row>
    <row r="8" spans="1:10" ht="13.5">
      <c r="A8" s="188">
        <v>750</v>
      </c>
      <c r="B8" s="176" t="s">
        <v>111</v>
      </c>
      <c r="C8" s="189">
        <f>+A8</f>
        <v>750</v>
      </c>
      <c r="D8" s="190" t="s">
        <v>177</v>
      </c>
      <c r="E8" s="190">
        <v>6.23</v>
      </c>
      <c r="F8" s="190">
        <f>IFERROR(C8*E8,"")</f>
        <v>4672.5</v>
      </c>
      <c r="G8" s="191">
        <f t="shared" ref="G8:G14" si="0">IFERROR(F8/$F$66,"")</f>
        <v>0.76405093345848119</v>
      </c>
      <c r="H8" s="192" t="s">
        <v>110</v>
      </c>
      <c r="I8" s="192"/>
      <c r="J8" s="193"/>
    </row>
    <row r="9" spans="1:10" ht="13.5">
      <c r="A9" s="188">
        <v>125</v>
      </c>
      <c r="B9" s="176" t="s">
        <v>115</v>
      </c>
      <c r="C9" s="189">
        <f t="shared" ref="C9:C14" si="1">+A9</f>
        <v>125</v>
      </c>
      <c r="D9" s="190" t="s">
        <v>177</v>
      </c>
      <c r="E9" s="190">
        <v>3.82</v>
      </c>
      <c r="F9" s="190">
        <f t="shared" ref="F9:F14" si="2">IFERROR(C9*E9,"")</f>
        <v>477.5</v>
      </c>
      <c r="G9" s="191">
        <f t="shared" si="0"/>
        <v>7.8081181535885447E-2</v>
      </c>
      <c r="H9" s="192" t="s">
        <v>114</v>
      </c>
      <c r="I9" s="192"/>
      <c r="J9" s="193"/>
    </row>
    <row r="10" spans="1:10"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0"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0"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0"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0"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0" ht="14.25" thickBot="1">
      <c r="A15" s="188"/>
      <c r="B15" s="176" t="str">
        <f>IFERROR(VLOOKUP(H15,[2]Hoja2!$A$2:$G$589,2,0),"")</f>
        <v/>
      </c>
      <c r="C15" s="189"/>
      <c r="D15" s="190"/>
      <c r="E15" s="190"/>
      <c r="F15" s="190"/>
      <c r="G15" s="191"/>
      <c r="H15" s="192"/>
      <c r="I15" s="192"/>
      <c r="J15" s="193"/>
    </row>
    <row r="16" spans="1:10" ht="26.25" thickBot="1">
      <c r="A16" s="183" t="s">
        <v>131</v>
      </c>
      <c r="B16" s="184" t="s">
        <v>138</v>
      </c>
      <c r="C16" s="184" t="s">
        <v>131</v>
      </c>
      <c r="D16" s="185" t="s">
        <v>133</v>
      </c>
      <c r="E16" s="185" t="s">
        <v>134</v>
      </c>
      <c r="F16" s="185" t="s">
        <v>135</v>
      </c>
      <c r="G16" s="185" t="s">
        <v>136</v>
      </c>
      <c r="H16" s="186" t="s">
        <v>137</v>
      </c>
      <c r="I16" s="187"/>
      <c r="J16" s="193"/>
    </row>
    <row r="17" spans="1:12" ht="13.5">
      <c r="A17" s="188">
        <v>250</v>
      </c>
      <c r="B17" s="176" t="s">
        <v>113</v>
      </c>
      <c r="C17" s="189">
        <f>+A17</f>
        <v>250</v>
      </c>
      <c r="D17" s="189" t="s">
        <v>177</v>
      </c>
      <c r="E17" s="190">
        <v>2.36</v>
      </c>
      <c r="F17" s="190">
        <f>IFERROR(E17*C17,"")</f>
        <v>590</v>
      </c>
      <c r="G17" s="191">
        <f t="shared" ref="G17:G24" si="3">IFERROR(F17/$F$66,"")</f>
        <v>9.6477271426539099E-2</v>
      </c>
      <c r="H17" s="192" t="s">
        <v>112</v>
      </c>
      <c r="I17" s="192"/>
      <c r="J17" s="193"/>
    </row>
    <row r="18" spans="1:12" ht="13.5" hidden="1">
      <c r="A18" s="188"/>
      <c r="B18" s="176" t="str">
        <f>IFERROR(VLOOKUP(H18,[1]SEMIELABORADOS!$A$2:$M$6000,2,0),"")</f>
        <v/>
      </c>
      <c r="C18" s="189">
        <f t="shared" ref="C18:C24" si="4">+A18</f>
        <v>0</v>
      </c>
      <c r="D18" s="189" t="str">
        <f>IFERROR(VLOOKUP(H18,[1]SEMIELABORADOS!$A$2:$M$6000,6,0),"")</f>
        <v/>
      </c>
      <c r="E18" s="190" t="str">
        <f>IFERROR(VLOOKUP(H18,[1]SEMIELABORADOS!$A$2:$H$65536,8,0),"")</f>
        <v/>
      </c>
      <c r="F18" s="190" t="str">
        <f t="shared" ref="F18:F24" si="5">IFERROR(E18*C18,"")</f>
        <v/>
      </c>
      <c r="G18" s="191" t="str">
        <f t="shared" si="3"/>
        <v/>
      </c>
      <c r="H18" s="192"/>
      <c r="I18" s="192"/>
      <c r="J18" s="193"/>
    </row>
    <row r="19" spans="1:12" ht="13.5" hidden="1">
      <c r="A19" s="188"/>
      <c r="B19" s="176" t="str">
        <f>IFERROR(VLOOKUP(H19,[1]SEMIELABORADOS!$A$2:$M$6000,2,0),"")</f>
        <v/>
      </c>
      <c r="C19" s="189">
        <f>+A19</f>
        <v>0</v>
      </c>
      <c r="D19" s="189" t="str">
        <f>IFERROR(VLOOKUP(H19,[1]SEMIELABORADOS!$A$2:$M$6000,6,0),"")</f>
        <v/>
      </c>
      <c r="E19" s="190" t="str">
        <f>IFERROR(VLOOKUP(H19,[1]SEMIELABORADOS!$A$2:$H$65536,8,0),"")</f>
        <v/>
      </c>
      <c r="F19" s="190" t="str">
        <f>IFERROR(E19*C19,"")</f>
        <v/>
      </c>
      <c r="G19" s="191" t="str">
        <f t="shared" si="3"/>
        <v/>
      </c>
      <c r="H19" s="192"/>
      <c r="I19" s="192"/>
      <c r="J19" s="193"/>
    </row>
    <row r="20" spans="1:12" ht="13.5" hidden="1">
      <c r="A20" s="188"/>
      <c r="B20" s="176" t="str">
        <f>IFERROR(VLOOKUP(H20,[1]SEMIELABORADOS!$A$2:$M$6000,2,0),"")</f>
        <v/>
      </c>
      <c r="C20" s="189">
        <f>+A20</f>
        <v>0</v>
      </c>
      <c r="D20" s="189" t="str">
        <f>IFERROR(VLOOKUP(H20,[1]SEMIELABORADOS!$A$2:$M$6000,6,0),"")</f>
        <v/>
      </c>
      <c r="E20" s="190" t="str">
        <f>IFERROR(VLOOKUP(H20,[1]SEMIELABORADOS!$A$2:$H$65536,8,0),"")</f>
        <v/>
      </c>
      <c r="F20" s="190" t="str">
        <f>IFERROR(E20*C20,"")</f>
        <v/>
      </c>
      <c r="G20" s="191" t="str">
        <f t="shared" si="3"/>
        <v/>
      </c>
      <c r="H20" s="192"/>
      <c r="I20" s="192"/>
      <c r="J20" s="193"/>
    </row>
    <row r="21" spans="1:12" ht="13.5" hidden="1">
      <c r="A21" s="188"/>
      <c r="B21" s="176" t="str">
        <f>IFERROR(VLOOKUP(H21,[1]SEMIELABORADOS!$A$2:$M$6000,2,0),"")</f>
        <v/>
      </c>
      <c r="C21" s="189">
        <f>+A21</f>
        <v>0</v>
      </c>
      <c r="D21" s="189" t="str">
        <f>IFERROR(VLOOKUP(H21,[1]SEMIELABORADOS!$A$2:$M$6000,6,0),"")</f>
        <v/>
      </c>
      <c r="E21" s="190" t="str">
        <f>IFERROR(VLOOKUP(H21,[1]SEMIELABORADOS!$A$2:$H$65536,8,0),"")</f>
        <v/>
      </c>
      <c r="F21" s="190" t="str">
        <f>IFERROR(E21*C21,"")</f>
        <v/>
      </c>
      <c r="G21" s="191" t="str">
        <f t="shared" si="3"/>
        <v/>
      </c>
      <c r="H21" s="192"/>
      <c r="I21" s="192"/>
      <c r="J21" s="193"/>
    </row>
    <row r="22" spans="1:12" ht="13.5" hidden="1">
      <c r="A22" s="188"/>
      <c r="B22" s="176" t="str">
        <f>IFERROR(VLOOKUP(H22,[1]SEMIELABORADOS!$A$2:$M$6000,2,0),"")</f>
        <v/>
      </c>
      <c r="C22" s="189">
        <f t="shared" si="4"/>
        <v>0</v>
      </c>
      <c r="D22" s="189" t="str">
        <f>IFERROR(VLOOKUP(H22,[1]SEMIELABORADOS!$A$2:$M$6000,6,0),"")</f>
        <v/>
      </c>
      <c r="E22" s="190" t="str">
        <f>IFERROR(VLOOKUP(H22,[1]SEMIELABORADOS!$A$2:$H$65536,8,0),"")</f>
        <v/>
      </c>
      <c r="F22" s="190" t="str">
        <f t="shared" si="5"/>
        <v/>
      </c>
      <c r="G22" s="191" t="str">
        <f t="shared" si="3"/>
        <v/>
      </c>
      <c r="H22" s="192"/>
      <c r="I22" s="192"/>
      <c r="J22" s="193"/>
    </row>
    <row r="23" spans="1:12" ht="13.5" hidden="1">
      <c r="A23" s="188"/>
      <c r="B23" s="176" t="str">
        <f>IFERROR(VLOOKUP(H23,[1]SEMIELABORADOS!$A$2:$M$6000,2,0),"")</f>
        <v/>
      </c>
      <c r="C23" s="189">
        <f t="shared" si="4"/>
        <v>0</v>
      </c>
      <c r="D23" s="189" t="str">
        <f>IFERROR(VLOOKUP(H23,[1]SEMIELABORADOS!$A$2:$M$6000,6,0),"")</f>
        <v/>
      </c>
      <c r="E23" s="190" t="str">
        <f>IFERROR(VLOOKUP(H23,[1]SEMIELABORADOS!$A$2:$H$65536,8,0),"")</f>
        <v/>
      </c>
      <c r="F23" s="190" t="str">
        <f t="shared" si="5"/>
        <v/>
      </c>
      <c r="G23" s="191" t="str">
        <f t="shared" si="3"/>
        <v/>
      </c>
      <c r="H23" s="192"/>
      <c r="I23" s="192"/>
      <c r="J23" s="193"/>
    </row>
    <row r="24" spans="1:12" ht="13.5" hidden="1">
      <c r="A24" s="188"/>
      <c r="B24" s="176" t="str">
        <f>IFERROR(VLOOKUP(H24,[1]SEMIELABORADOS!$A$2:$M$6000,2,0),"")</f>
        <v/>
      </c>
      <c r="C24" s="189">
        <f t="shared" si="4"/>
        <v>0</v>
      </c>
      <c r="D24" s="189" t="str">
        <f>IFERROR(VLOOKUP(H24,[1]SEMIELABORADOS!$A$2:$M$6000,6,0),"")</f>
        <v/>
      </c>
      <c r="E24" s="190" t="str">
        <f>IFERROR(VLOOKUP(H24,[1]SEMIELABORADOS!$A$2:$H$65536,8,0),"")</f>
        <v/>
      </c>
      <c r="F24" s="190" t="str">
        <f t="shared" si="5"/>
        <v/>
      </c>
      <c r="G24" s="191" t="str">
        <f t="shared" si="3"/>
        <v/>
      </c>
      <c r="H24" s="192"/>
      <c r="I24" s="192"/>
      <c r="J24" s="193"/>
    </row>
    <row r="25" spans="1:12" ht="14.25" thickBot="1">
      <c r="A25" s="188"/>
      <c r="C25" s="189"/>
      <c r="D25" s="189"/>
      <c r="E25" s="190"/>
      <c r="F25" s="190"/>
      <c r="G25" s="191"/>
      <c r="H25" s="192"/>
      <c r="I25" s="192"/>
      <c r="J25" s="193"/>
    </row>
    <row r="26" spans="1:12" ht="26.25" thickBot="1">
      <c r="A26" s="183" t="s">
        <v>131</v>
      </c>
      <c r="B26" s="184" t="s">
        <v>34</v>
      </c>
      <c r="C26" s="184" t="s">
        <v>131</v>
      </c>
      <c r="D26" s="185" t="s">
        <v>133</v>
      </c>
      <c r="E26" s="185" t="s">
        <v>134</v>
      </c>
      <c r="F26" s="185" t="s">
        <v>135</v>
      </c>
      <c r="G26" s="185" t="s">
        <v>136</v>
      </c>
      <c r="H26" s="186" t="s">
        <v>137</v>
      </c>
      <c r="I26" s="187"/>
    </row>
    <row r="27" spans="1:12" ht="13.5">
      <c r="A27" s="188">
        <v>1</v>
      </c>
      <c r="B27" s="194" t="s">
        <v>76</v>
      </c>
      <c r="C27" s="189">
        <f t="shared" ref="C27:C32" si="6">+A27</f>
        <v>1</v>
      </c>
      <c r="D27" s="190" t="s">
        <v>178</v>
      </c>
      <c r="E27" s="190">
        <v>2.13</v>
      </c>
      <c r="F27" s="190">
        <f t="shared" ref="F27:F32" si="7">IFERROR(C27*E27,"")</f>
        <v>2.13</v>
      </c>
      <c r="G27" s="191">
        <f t="shared" ref="G27:G32" si="8">IFERROR(F27/$F$66,"")</f>
        <v>3.4829930192970893E-4</v>
      </c>
      <c r="H27" s="195" t="s">
        <v>71</v>
      </c>
      <c r="I27" s="195"/>
      <c r="J27" s="193"/>
      <c r="K27" s="995"/>
      <c r="L27" s="995"/>
    </row>
    <row r="28" spans="1:12" ht="13.5">
      <c r="A28" s="188">
        <v>1</v>
      </c>
      <c r="B28" s="194" t="s">
        <v>107</v>
      </c>
      <c r="C28" s="189">
        <f t="shared" si="6"/>
        <v>1</v>
      </c>
      <c r="D28" s="190" t="s">
        <v>178</v>
      </c>
      <c r="E28" s="190">
        <v>25</v>
      </c>
      <c r="F28" s="190">
        <f t="shared" si="7"/>
        <v>25</v>
      </c>
      <c r="G28" s="191">
        <f t="shared" si="8"/>
        <v>4.0880199757008092E-3</v>
      </c>
      <c r="H28" s="195" t="s">
        <v>106</v>
      </c>
      <c r="I28" s="195"/>
      <c r="J28" s="193"/>
      <c r="K28" s="995"/>
      <c r="L28" s="995"/>
    </row>
    <row r="29" spans="1:12" ht="13.5" hidden="1">
      <c r="A29" s="188"/>
      <c r="B29" s="194" t="str">
        <f>IFERROR(VLOOKUP(H29,'[1]Consolidado MP Planta'!$A$2:$M$823,3,0),"")</f>
        <v/>
      </c>
      <c r="C29" s="189">
        <f t="shared" si="6"/>
        <v>0</v>
      </c>
      <c r="D29" s="190" t="str">
        <f>IFERROR(VLOOKUP(H29,'[1]Consolidado MP Planta'!$A$2:$M$823,13,0),"")</f>
        <v/>
      </c>
      <c r="E29" s="190" t="str">
        <f>IFERROR(VLOOKUP(H29,'[1]Consolidado MP Planta'!$A$2:$M$823,12,0),"")</f>
        <v/>
      </c>
      <c r="F29" s="190" t="str">
        <f t="shared" si="7"/>
        <v/>
      </c>
      <c r="G29" s="191" t="str">
        <f t="shared" si="8"/>
        <v/>
      </c>
      <c r="H29" s="195"/>
      <c r="I29" s="195"/>
      <c r="J29" s="193"/>
      <c r="K29" s="995"/>
      <c r="L29" s="995"/>
    </row>
    <row r="30" spans="1:12" ht="13.5" hidden="1">
      <c r="A30" s="188"/>
      <c r="B30" s="194" t="str">
        <f>IFERROR(VLOOKUP(H30,'[1]Consolidado MP Planta'!$A$2:$M$823,3,0),"")</f>
        <v/>
      </c>
      <c r="C30" s="189">
        <f t="shared" si="6"/>
        <v>0</v>
      </c>
      <c r="D30" s="190" t="str">
        <f>IFERROR(VLOOKUP(H30,'[1]Consolidado MP Planta'!$A$2:$M$823,13,0),"")</f>
        <v/>
      </c>
      <c r="E30" s="190" t="str">
        <f>IFERROR(VLOOKUP(H30,'[1]Consolidado MP Planta'!$A$2:$M$823,12,0),"")</f>
        <v/>
      </c>
      <c r="F30" s="190" t="str">
        <f t="shared" si="7"/>
        <v/>
      </c>
      <c r="G30" s="191" t="str">
        <f t="shared" si="8"/>
        <v/>
      </c>
      <c r="H30" s="195"/>
      <c r="I30" s="195"/>
      <c r="J30" s="193"/>
      <c r="K30" s="995"/>
      <c r="L30" s="995"/>
    </row>
    <row r="31" spans="1:12" ht="13.5" hidden="1">
      <c r="A31" s="188"/>
      <c r="B31" s="194" t="str">
        <f>IFERROR(VLOOKUP(H31,'[1]Consolidado MP Planta'!$A$2:$M$823,3,0),"")</f>
        <v/>
      </c>
      <c r="C31" s="189">
        <f t="shared" si="6"/>
        <v>0</v>
      </c>
      <c r="D31" s="190" t="str">
        <f>IFERROR(VLOOKUP(H31,'[1]Consolidado MP Planta'!$A$2:$M$823,13,0),"")</f>
        <v/>
      </c>
      <c r="E31" s="190" t="str">
        <f>IFERROR(VLOOKUP(H31,'[1]Consolidado MP Planta'!$A$2:$M$823,12,0),"")</f>
        <v/>
      </c>
      <c r="F31" s="190" t="str">
        <f t="shared" si="7"/>
        <v/>
      </c>
      <c r="G31" s="191" t="str">
        <f t="shared" si="8"/>
        <v/>
      </c>
      <c r="H31" s="195"/>
      <c r="I31" s="195"/>
      <c r="J31" s="193"/>
      <c r="K31" s="196"/>
      <c r="L31" s="197"/>
    </row>
    <row r="32" spans="1:12" ht="13.5" hidden="1">
      <c r="A32" s="188"/>
      <c r="B32" s="194" t="str">
        <f>IFERROR(VLOOKUP(H32,'[1]Consolidado MP Planta'!$A$2:$M$823,3,0),"")</f>
        <v/>
      </c>
      <c r="C32" s="189">
        <f t="shared" si="6"/>
        <v>0</v>
      </c>
      <c r="D32" s="190" t="str">
        <f>IFERROR(VLOOKUP(H32,'[1]Consolidado MP Planta'!$A$2:$M$823,13,0),"")</f>
        <v/>
      </c>
      <c r="E32" s="190" t="str">
        <f>IFERROR(VLOOKUP(H32,'[1]Consolidado MP Planta'!$A$2:$M$823,12,0),"")</f>
        <v/>
      </c>
      <c r="F32" s="190" t="str">
        <f t="shared" si="7"/>
        <v/>
      </c>
      <c r="G32" s="191" t="str">
        <f t="shared" si="8"/>
        <v/>
      </c>
      <c r="H32" s="195"/>
      <c r="I32" s="195"/>
      <c r="J32" s="193"/>
    </row>
    <row r="33" spans="1:13" ht="14.25" thickBot="1">
      <c r="A33" s="188"/>
      <c r="B33" s="194"/>
      <c r="C33" s="189"/>
      <c r="D33" s="190"/>
      <c r="E33" s="190"/>
      <c r="F33" s="190"/>
      <c r="G33" s="191"/>
      <c r="H33" s="195"/>
      <c r="I33" s="195"/>
      <c r="J33" s="193"/>
    </row>
    <row r="34" spans="1:13" ht="26.25" thickBot="1">
      <c r="A34" s="183" t="s">
        <v>131</v>
      </c>
      <c r="B34" s="184" t="s">
        <v>139</v>
      </c>
      <c r="C34" s="184" t="s">
        <v>131</v>
      </c>
      <c r="D34" s="185" t="s">
        <v>133</v>
      </c>
      <c r="E34" s="185" t="s">
        <v>134</v>
      </c>
      <c r="F34" s="185" t="s">
        <v>135</v>
      </c>
      <c r="G34" s="185" t="s">
        <v>136</v>
      </c>
      <c r="H34" s="186" t="s">
        <v>137</v>
      </c>
      <c r="I34" s="195"/>
      <c r="J34" s="193"/>
    </row>
    <row r="35" spans="1:13" ht="13.5">
      <c r="A35" s="188">
        <f>+A17</f>
        <v>250</v>
      </c>
      <c r="B35" s="194" t="s">
        <v>113</v>
      </c>
      <c r="C35" s="189">
        <f>+A35</f>
        <v>250</v>
      </c>
      <c r="D35" s="190" t="s">
        <v>177</v>
      </c>
      <c r="E35" s="190">
        <v>0.01</v>
      </c>
      <c r="F35" s="190">
        <f>IFERROR(E35*C35,"")</f>
        <v>2.5</v>
      </c>
      <c r="G35" s="191">
        <f t="shared" ref="G35:G41" si="9">IFERROR(F35/$F$66,"")</f>
        <v>4.0880199757008088E-4</v>
      </c>
      <c r="H35" s="195" t="s">
        <v>112</v>
      </c>
      <c r="I35" s="195"/>
      <c r="J35" s="193"/>
    </row>
    <row r="36" spans="1:13" ht="13.5" hidden="1">
      <c r="A36" s="188">
        <f t="shared" ref="A36:A41" si="10">+A18</f>
        <v>0</v>
      </c>
      <c r="B36" s="194" t="str">
        <f>IFERROR(VLOOKUP(H36,[1]SEMIELABORADOS!$A$2:$M$6000,2,0),"")</f>
        <v/>
      </c>
      <c r="C36" s="189">
        <f t="shared" ref="C36:C41" si="11">+A36</f>
        <v>0</v>
      </c>
      <c r="D36" s="190" t="str">
        <f>IFERROR(VLOOKUP(H36,[1]SEMIELABORADOS!$A$2:$M$6000,6,0),"")</f>
        <v/>
      </c>
      <c r="E36" s="190" t="str">
        <f>IFERROR(VLOOKUP(H36,[1]SEMIELABORADOS!$A$2:$M$65536,10,0),"")</f>
        <v/>
      </c>
      <c r="F36" s="190" t="str">
        <f t="shared" ref="F36:F41" si="12">IFERROR(E36*C36,"")</f>
        <v/>
      </c>
      <c r="G36" s="191" t="str">
        <f t="shared" si="9"/>
        <v/>
      </c>
      <c r="H36" s="195"/>
      <c r="I36" s="195"/>
      <c r="J36" s="193"/>
    </row>
    <row r="37" spans="1:13" ht="13.5" hidden="1">
      <c r="A37" s="188">
        <f t="shared" si="10"/>
        <v>0</v>
      </c>
      <c r="B37" s="194" t="str">
        <f>IFERROR(VLOOKUP(H37,[1]SEMIELABORADOS!$A$2:$M$6000,2,0),"")</f>
        <v/>
      </c>
      <c r="C37" s="189">
        <f t="shared" si="11"/>
        <v>0</v>
      </c>
      <c r="D37" s="190" t="str">
        <f>IFERROR(VLOOKUP(H37,[1]SEMIELABORADOS!$A$2:$M$6000,6,0),"")</f>
        <v/>
      </c>
      <c r="E37" s="190" t="str">
        <f>IFERROR(VLOOKUP(H37,[1]SEMIELABORADOS!$A$2:$M$65536,10,0),"")</f>
        <v/>
      </c>
      <c r="F37" s="190" t="str">
        <f t="shared" si="12"/>
        <v/>
      </c>
      <c r="G37" s="191" t="str">
        <f t="shared" si="9"/>
        <v/>
      </c>
      <c r="H37" s="195"/>
      <c r="I37" s="195"/>
      <c r="J37" s="193"/>
    </row>
    <row r="38" spans="1:13" ht="13.5" hidden="1">
      <c r="A38" s="188">
        <f t="shared" si="10"/>
        <v>0</v>
      </c>
      <c r="B38" s="194" t="str">
        <f>IFERROR(VLOOKUP(H38,[1]SEMIELABORADOS!$A$2:$M$6000,2,0),"")</f>
        <v/>
      </c>
      <c r="C38" s="189">
        <f>+A38</f>
        <v>0</v>
      </c>
      <c r="D38" s="190" t="str">
        <f>IFERROR(VLOOKUP(H38,[1]SEMIELABORADOS!$A$2:$M$6000,6,0),"")</f>
        <v/>
      </c>
      <c r="E38" s="190" t="str">
        <f>IFERROR(VLOOKUP(H38,[1]SEMIELABORADOS!$A$2:$M$65536,10,0),"")</f>
        <v/>
      </c>
      <c r="F38" s="190" t="str">
        <f>IFERROR(E38*C38,"")</f>
        <v/>
      </c>
      <c r="G38" s="191" t="str">
        <f t="shared" si="9"/>
        <v/>
      </c>
      <c r="H38" s="195"/>
      <c r="I38" s="195"/>
      <c r="J38" s="193"/>
    </row>
    <row r="39" spans="1:13" ht="13.5" hidden="1">
      <c r="A39" s="188">
        <f t="shared" si="10"/>
        <v>0</v>
      </c>
      <c r="B39" s="194" t="str">
        <f>IFERROR(VLOOKUP(H39,[1]SEMIELABORADOS!$A$2:$M$6000,2,0),"")</f>
        <v/>
      </c>
      <c r="C39" s="189">
        <f>+A39</f>
        <v>0</v>
      </c>
      <c r="D39" s="190" t="str">
        <f>IFERROR(VLOOKUP(H39,[1]SEMIELABORADOS!$A$2:$M$6000,6,0),"")</f>
        <v/>
      </c>
      <c r="E39" s="190" t="str">
        <f>IFERROR(VLOOKUP(H39,[1]SEMIELABORADOS!$A$2:$M$65536,10,0),"")</f>
        <v/>
      </c>
      <c r="F39" s="190" t="str">
        <f>IFERROR(E39*C39,"")</f>
        <v/>
      </c>
      <c r="G39" s="191" t="str">
        <f t="shared" si="9"/>
        <v/>
      </c>
      <c r="H39" s="195"/>
      <c r="I39" s="195"/>
      <c r="J39" s="193"/>
    </row>
    <row r="40" spans="1:13" ht="13.5" hidden="1">
      <c r="A40" s="188">
        <f t="shared" si="10"/>
        <v>0</v>
      </c>
      <c r="B40" s="194" t="str">
        <f>IFERROR(VLOOKUP(H40,[1]SEMIELABORADOS!$A$2:$M$6000,2,0),"")</f>
        <v/>
      </c>
      <c r="C40" s="189">
        <f t="shared" si="11"/>
        <v>0</v>
      </c>
      <c r="D40" s="190" t="str">
        <f>IFERROR(VLOOKUP(H40,[1]SEMIELABORADOS!$A$2:$M$6000,6,0),"")</f>
        <v/>
      </c>
      <c r="E40" s="190" t="str">
        <f>IFERROR(VLOOKUP(H40,[1]SEMIELABORADOS!$A$2:$M$65536,10,0),"")</f>
        <v/>
      </c>
      <c r="F40" s="190" t="str">
        <f t="shared" si="12"/>
        <v/>
      </c>
      <c r="G40" s="191" t="str">
        <f t="shared" si="9"/>
        <v/>
      </c>
      <c r="H40" s="195"/>
      <c r="I40" s="195"/>
      <c r="J40" s="193"/>
    </row>
    <row r="41" spans="1:13" ht="13.5" hidden="1">
      <c r="A41" s="188">
        <f t="shared" si="10"/>
        <v>0</v>
      </c>
      <c r="B41" s="194" t="str">
        <f>IFERROR(VLOOKUP(H41,[1]SEMIELABORADOS!$A$2:$M$6000,2,0),"")</f>
        <v/>
      </c>
      <c r="C41" s="189">
        <f t="shared" si="11"/>
        <v>0</v>
      </c>
      <c r="D41" s="190" t="str">
        <f>IFERROR(VLOOKUP(H41,[1]SEMIELABORADOS!$A$2:$M$6000,6,0),"")</f>
        <v/>
      </c>
      <c r="E41" s="190" t="str">
        <f>IFERROR(VLOOKUP(H41,[1]SEMIELABORADOS!$A$2:$M$65536,10,0),"")</f>
        <v/>
      </c>
      <c r="F41" s="190" t="str">
        <f t="shared" si="12"/>
        <v/>
      </c>
      <c r="G41" s="191" t="str">
        <f t="shared" si="9"/>
        <v/>
      </c>
      <c r="H41" s="195"/>
      <c r="I41" s="195"/>
      <c r="J41" s="193"/>
    </row>
    <row r="42" spans="1:13" ht="14.25" thickBot="1">
      <c r="A42" s="188"/>
      <c r="B42" s="194"/>
      <c r="C42" s="189"/>
      <c r="D42" s="190"/>
      <c r="E42" s="190"/>
      <c r="F42" s="190"/>
      <c r="G42" s="191"/>
      <c r="H42" s="195"/>
      <c r="I42" s="195"/>
      <c r="J42" s="193"/>
    </row>
    <row r="43" spans="1:13" ht="26.25" thickBot="1">
      <c r="A43" s="183" t="s">
        <v>131</v>
      </c>
      <c r="B43" s="184" t="s">
        <v>140</v>
      </c>
      <c r="C43" s="184" t="s">
        <v>131</v>
      </c>
      <c r="D43" s="185" t="s">
        <v>133</v>
      </c>
      <c r="E43" s="185" t="s">
        <v>134</v>
      </c>
      <c r="F43" s="185" t="s">
        <v>135</v>
      </c>
      <c r="G43" s="185" t="s">
        <v>136</v>
      </c>
      <c r="H43" s="186" t="s">
        <v>137</v>
      </c>
      <c r="I43" s="187"/>
      <c r="J43" s="193"/>
    </row>
    <row r="44" spans="1:13" ht="13.5">
      <c r="A44" s="188">
        <f>+A35</f>
        <v>250</v>
      </c>
      <c r="B44" s="194" t="s">
        <v>113</v>
      </c>
      <c r="C44" s="189">
        <f>+A44</f>
        <v>250</v>
      </c>
      <c r="D44" s="190" t="s">
        <v>177</v>
      </c>
      <c r="E44" s="190">
        <v>0.03</v>
      </c>
      <c r="F44" s="190">
        <f>IFERROR(E44*C44,"")</f>
        <v>7.5</v>
      </c>
      <c r="G44" s="191">
        <f>IFERROR(F44/$F$66,"")</f>
        <v>1.2264059927102426E-3</v>
      </c>
      <c r="H44" s="195" t="s">
        <v>112</v>
      </c>
      <c r="I44" s="187"/>
      <c r="J44" s="193"/>
    </row>
    <row r="45" spans="1:13" ht="13.5" hidden="1">
      <c r="A45" s="188">
        <f t="shared" ref="A45:A50" si="13">+A36</f>
        <v>0</v>
      </c>
      <c r="B45" s="194" t="str">
        <f>IFERROR(VLOOKUP(H45,[1]SEMIELABORADOS!$A$2:$M$6000,2,0),"")</f>
        <v/>
      </c>
      <c r="C45" s="189">
        <f t="shared" ref="C45:C50" si="14">+A45</f>
        <v>0</v>
      </c>
      <c r="D45" s="190" t="str">
        <f>IFERROR(VLOOKUP(H45,[1]SEMIELABORADOS!$A$2:$M$6000,6,0),"")</f>
        <v/>
      </c>
      <c r="E45" s="190" t="str">
        <f>IFERROR(VLOOKUP(H45,[1]SEMIELABORADOS!$A$2:$M$65536,12,0),"")</f>
        <v/>
      </c>
      <c r="F45" s="190" t="str">
        <f t="shared" ref="F45:F50" si="15">IFERROR(E45*C45,"")</f>
        <v/>
      </c>
      <c r="G45" s="191" t="str">
        <f t="shared" ref="G45:G50" si="16">IFERROR(F45/$F$66,"")</f>
        <v/>
      </c>
      <c r="H45" s="195"/>
      <c r="I45" s="187"/>
      <c r="J45" s="193"/>
      <c r="M45" s="198"/>
    </row>
    <row r="46" spans="1:13" ht="13.5" hidden="1">
      <c r="A46" s="188">
        <f t="shared" si="13"/>
        <v>0</v>
      </c>
      <c r="B46" s="194" t="str">
        <f>IFERROR(VLOOKUP(H46,[1]SEMIELABORADOS!$A$2:$M$6000,2,0),"")</f>
        <v/>
      </c>
      <c r="C46" s="189">
        <f t="shared" si="14"/>
        <v>0</v>
      </c>
      <c r="D46" s="190" t="str">
        <f>IFERROR(VLOOKUP(H46,[1]SEMIELABORADOS!$A$2:$M$6000,6,0),"")</f>
        <v/>
      </c>
      <c r="E46" s="190" t="str">
        <f>IFERROR(VLOOKUP(H46,[1]SEMIELABORADOS!$A$2:$M$65536,12,0),"")</f>
        <v/>
      </c>
      <c r="F46" s="190" t="str">
        <f t="shared" si="15"/>
        <v/>
      </c>
      <c r="G46" s="191" t="str">
        <f t="shared" si="16"/>
        <v/>
      </c>
      <c r="H46" s="195"/>
      <c r="I46" s="187"/>
      <c r="J46" s="193"/>
    </row>
    <row r="47" spans="1:13" ht="13.5" hidden="1">
      <c r="A47" s="188">
        <f t="shared" si="13"/>
        <v>0</v>
      </c>
      <c r="B47" s="194" t="str">
        <f>IFERROR(VLOOKUP(H47,[1]SEMIELABORADOS!$A$2:$M$6000,2,0),"")</f>
        <v/>
      </c>
      <c r="C47" s="189">
        <f t="shared" si="14"/>
        <v>0</v>
      </c>
      <c r="D47" s="190" t="str">
        <f>IFERROR(VLOOKUP(H47,[1]SEMIELABORADOS!$A$2:$M$6000,6,0),"")</f>
        <v/>
      </c>
      <c r="E47" s="190" t="str">
        <f>IFERROR(VLOOKUP(H47,[1]SEMIELABORADOS!$A$2:$M$65536,12,0),"")</f>
        <v/>
      </c>
      <c r="F47" s="190" t="str">
        <f t="shared" si="15"/>
        <v/>
      </c>
      <c r="G47" s="191" t="str">
        <f t="shared" si="16"/>
        <v/>
      </c>
      <c r="H47" s="195"/>
      <c r="I47" s="187"/>
      <c r="J47" s="193"/>
    </row>
    <row r="48" spans="1:13" ht="13.5" hidden="1">
      <c r="A48" s="188">
        <f t="shared" si="13"/>
        <v>0</v>
      </c>
      <c r="B48" s="194" t="str">
        <f>IFERROR(VLOOKUP(H48,[1]SEMIELABORADOS!$A$2:$M$6000,2,0),"")</f>
        <v/>
      </c>
      <c r="C48" s="189">
        <f t="shared" si="14"/>
        <v>0</v>
      </c>
      <c r="D48" s="190" t="str">
        <f>IFERROR(VLOOKUP(H48,[1]SEMIELABORADOS!$A$2:$M$6000,6,0),"")</f>
        <v/>
      </c>
      <c r="E48" s="190" t="str">
        <f>IFERROR(VLOOKUP(H48,[1]SEMIELABORADOS!$A$2:$M$65536,12,0),"")</f>
        <v/>
      </c>
      <c r="F48" s="190" t="str">
        <f t="shared" si="15"/>
        <v/>
      </c>
      <c r="G48" s="191" t="str">
        <f t="shared" si="16"/>
        <v/>
      </c>
      <c r="H48" s="195"/>
      <c r="I48" s="187"/>
      <c r="J48" s="193"/>
    </row>
    <row r="49" spans="1:17" ht="13.5" hidden="1">
      <c r="A49" s="188">
        <f t="shared" si="13"/>
        <v>0</v>
      </c>
      <c r="B49" s="194" t="str">
        <f>IFERROR(VLOOKUP(H49,[1]SEMIELABORADOS!$A$2:$M$6000,2,0),"")</f>
        <v/>
      </c>
      <c r="C49" s="189">
        <f t="shared" si="14"/>
        <v>0</v>
      </c>
      <c r="D49" s="190" t="str">
        <f>IFERROR(VLOOKUP(H49,[1]SEMIELABORADOS!$A$2:$M$6000,6,0),"")</f>
        <v/>
      </c>
      <c r="E49" s="190" t="str">
        <f>IFERROR(VLOOKUP(H49,[1]SEMIELABORADOS!$A$2:$M$65536,12,0),"")</f>
        <v/>
      </c>
      <c r="F49" s="190" t="str">
        <f t="shared" si="15"/>
        <v/>
      </c>
      <c r="G49" s="191" t="str">
        <f t="shared" si="16"/>
        <v/>
      </c>
      <c r="H49" s="195"/>
      <c r="I49" s="187"/>
      <c r="J49" s="193"/>
    </row>
    <row r="50" spans="1:17" ht="13.5" hidden="1">
      <c r="A50" s="188">
        <f t="shared" si="13"/>
        <v>0</v>
      </c>
      <c r="B50" s="194" t="str">
        <f>IFERROR(VLOOKUP(H50,[1]SEMIELABORADOS!$A$2:$M$6000,2,0),"")</f>
        <v/>
      </c>
      <c r="C50" s="189">
        <f t="shared" si="14"/>
        <v>0</v>
      </c>
      <c r="D50" s="190" t="str">
        <f>IFERROR(VLOOKUP(H50,[1]SEMIELABORADOS!$A$2:$M$6000,6,0),"")</f>
        <v/>
      </c>
      <c r="E50" s="190" t="str">
        <f>IFERROR(VLOOKUP(H50,[1]SEMIELABORADOS!$A$2:$M$65536,12,0),"")</f>
        <v/>
      </c>
      <c r="F50" s="190" t="str">
        <f t="shared" si="15"/>
        <v/>
      </c>
      <c r="G50" s="191" t="str">
        <f t="shared" si="16"/>
        <v/>
      </c>
      <c r="H50" s="194"/>
      <c r="I50" s="187"/>
      <c r="J50" s="193"/>
    </row>
    <row r="51" spans="1:17" ht="13.5">
      <c r="A51" s="188">
        <v>1</v>
      </c>
      <c r="B51" s="194" t="s">
        <v>141</v>
      </c>
      <c r="C51" s="189">
        <f>+A51</f>
        <v>1</v>
      </c>
      <c r="D51" s="189" t="s">
        <v>142</v>
      </c>
      <c r="E51" s="190">
        <f>+F65</f>
        <v>231</v>
      </c>
      <c r="F51" s="190">
        <f>IFERROR(C51*E51,"")</f>
        <v>231</v>
      </c>
      <c r="G51" s="191">
        <f>IFERROR(F51/$F$66,"")</f>
        <v>3.7773304575475473E-2</v>
      </c>
      <c r="H51" s="199"/>
      <c r="I51" s="199"/>
      <c r="J51" s="193"/>
    </row>
    <row r="52" spans="1:17" ht="14.25" thickBot="1">
      <c r="A52" s="188"/>
      <c r="B52" s="194"/>
      <c r="C52" s="189"/>
      <c r="D52" s="189"/>
      <c r="E52" s="190"/>
      <c r="F52" s="190"/>
      <c r="G52" s="191"/>
      <c r="H52" s="199"/>
      <c r="I52" s="199"/>
      <c r="J52" s="193"/>
    </row>
    <row r="53" spans="1:17" ht="13.5" thickBot="1">
      <c r="A53" s="200"/>
      <c r="B53" s="996" t="s">
        <v>143</v>
      </c>
      <c r="C53" s="996"/>
      <c r="D53" s="996"/>
      <c r="E53" s="996"/>
      <c r="F53" s="202">
        <f>SUM(F8:F14,F17:F24)</f>
        <v>5740</v>
      </c>
      <c r="G53" s="191">
        <f>+F53/$F$66</f>
        <v>0.93860938642090574</v>
      </c>
      <c r="H53" s="203">
        <f>+F53/$D$60</f>
        <v>5740</v>
      </c>
      <c r="I53" s="203"/>
      <c r="J53" s="204"/>
      <c r="K53" s="205"/>
      <c r="L53" s="205"/>
      <c r="M53" s="205"/>
      <c r="N53" s="205"/>
      <c r="O53" s="205"/>
      <c r="P53" s="205"/>
      <c r="Q53" s="206"/>
    </row>
    <row r="54" spans="1:17">
      <c r="A54" s="200"/>
      <c r="B54" s="996" t="s">
        <v>144</v>
      </c>
      <c r="C54" s="996"/>
      <c r="D54" s="996"/>
      <c r="E54" s="996"/>
      <c r="F54" s="202">
        <f>SUM(F27:F32,F35:F41)</f>
        <v>29.63</v>
      </c>
      <c r="G54" s="191">
        <f>+F54/$F$66</f>
        <v>4.8451212752005984E-3</v>
      </c>
      <c r="H54" s="203">
        <f>+F54/$D$60</f>
        <v>29.63</v>
      </c>
      <c r="I54" s="203"/>
      <c r="J54" s="207"/>
      <c r="K54" s="997" t="s">
        <v>145</v>
      </c>
      <c r="L54" s="998"/>
      <c r="M54" s="998"/>
      <c r="N54" s="998"/>
      <c r="O54" s="208">
        <f>+F55</f>
        <v>5769.63</v>
      </c>
      <c r="P54" s="208"/>
      <c r="Q54" s="209"/>
    </row>
    <row r="55" spans="1:17">
      <c r="A55" s="200"/>
      <c r="B55" s="996" t="s">
        <v>146</v>
      </c>
      <c r="C55" s="996"/>
      <c r="D55" s="996"/>
      <c r="E55" s="996"/>
      <c r="F55" s="202">
        <f>+F53+F54</f>
        <v>5769.63</v>
      </c>
      <c r="G55" s="191">
        <f>+F55/$F$66</f>
        <v>0.94345450769610639</v>
      </c>
      <c r="H55" s="203">
        <f>+F55/$D$60</f>
        <v>5769.63</v>
      </c>
      <c r="I55" s="203"/>
      <c r="J55" s="210"/>
      <c r="K55" s="211"/>
      <c r="M55" s="212" t="s">
        <v>147</v>
      </c>
      <c r="N55" s="213"/>
      <c r="O55" s="208">
        <f>+H56</f>
        <v>238.5</v>
      </c>
      <c r="P55" s="208"/>
      <c r="Q55" s="209"/>
    </row>
    <row r="56" spans="1:17" ht="13.5" thickBot="1">
      <c r="A56" s="200"/>
      <c r="B56" s="201"/>
      <c r="C56" s="996" t="s">
        <v>148</v>
      </c>
      <c r="D56" s="996"/>
      <c r="E56" s="996"/>
      <c r="F56" s="202">
        <f>SUM(F44:F51)</f>
        <v>238.5</v>
      </c>
      <c r="G56" s="191">
        <f>+F56/$F$66</f>
        <v>3.8999710568185721E-2</v>
      </c>
      <c r="H56" s="203">
        <f>+F56/$D$60</f>
        <v>238.5</v>
      </c>
      <c r="I56" s="203"/>
      <c r="J56" s="210"/>
      <c r="K56" s="211"/>
      <c r="L56" s="211"/>
      <c r="M56" s="211" t="s">
        <v>149</v>
      </c>
      <c r="N56" s="214"/>
      <c r="O56" s="208">
        <f>O54*N56</f>
        <v>0</v>
      </c>
      <c r="P56" s="208"/>
      <c r="Q56" s="209"/>
    </row>
    <row r="57" spans="1:17" ht="13.5" thickBot="1">
      <c r="A57" s="200"/>
      <c r="B57" s="215"/>
      <c r="C57" s="215"/>
      <c r="D57" s="215"/>
      <c r="E57" s="215"/>
      <c r="F57" s="216"/>
      <c r="G57" s="191"/>
      <c r="H57" s="217"/>
      <c r="I57" s="203"/>
      <c r="J57" s="210"/>
      <c r="K57" s="218"/>
      <c r="M57" s="219" t="s">
        <v>150</v>
      </c>
      <c r="N57" s="220"/>
      <c r="O57" s="221">
        <f>SUM(O54:O56)</f>
        <v>6008.13</v>
      </c>
      <c r="P57" s="222"/>
      <c r="Q57" s="209"/>
    </row>
    <row r="58" spans="1:17">
      <c r="B58" s="999" t="s">
        <v>151</v>
      </c>
      <c r="C58" s="999"/>
      <c r="D58" s="223">
        <v>1000</v>
      </c>
      <c r="E58" s="224"/>
      <c r="G58" s="191"/>
      <c r="H58" s="217">
        <f>+H56/77</f>
        <v>3.0974025974025974</v>
      </c>
      <c r="I58" s="225"/>
      <c r="J58" s="210"/>
      <c r="K58" s="218"/>
      <c r="L58" s="211"/>
      <c r="M58" s="211" t="s">
        <v>152</v>
      </c>
      <c r="N58" s="226"/>
      <c r="O58" s="208">
        <f>+H59</f>
        <v>257.08441558441558</v>
      </c>
      <c r="P58" s="208"/>
      <c r="Q58" s="209"/>
    </row>
    <row r="59" spans="1:17">
      <c r="B59" s="999" t="s">
        <v>153</v>
      </c>
      <c r="C59" s="999"/>
      <c r="D59" s="227">
        <v>1000</v>
      </c>
      <c r="E59" s="224"/>
      <c r="G59" s="191"/>
      <c r="H59" s="217">
        <f>+H58*83</f>
        <v>257.08441558441558</v>
      </c>
      <c r="I59" s="225"/>
      <c r="J59" s="210"/>
      <c r="K59" s="218"/>
      <c r="L59" s="211"/>
      <c r="M59" s="1000" t="s">
        <v>150</v>
      </c>
      <c r="N59" s="1000"/>
      <c r="O59" s="208">
        <f>SUM(O57:O58)</f>
        <v>6265.2144155844153</v>
      </c>
      <c r="P59" s="208"/>
      <c r="Q59" s="209"/>
    </row>
    <row r="60" spans="1:17" ht="13.5" thickBot="1">
      <c r="B60" s="991" t="s">
        <v>154</v>
      </c>
      <c r="C60" s="991"/>
      <c r="D60" s="223">
        <f>+D58/D59</f>
        <v>1</v>
      </c>
      <c r="E60" s="224"/>
      <c r="F60" s="228"/>
      <c r="G60" s="191"/>
      <c r="H60" s="217"/>
      <c r="I60" s="225"/>
      <c r="J60" s="210"/>
      <c r="K60" s="218"/>
      <c r="L60" s="1000"/>
      <c r="M60" s="1000"/>
      <c r="N60" s="226"/>
      <c r="O60" s="208">
        <f>+O59*N60</f>
        <v>0</v>
      </c>
      <c r="P60" s="208"/>
      <c r="Q60" s="209"/>
    </row>
    <row r="61" spans="1:17" ht="13.5" thickBot="1">
      <c r="B61" s="991" t="s">
        <v>155</v>
      </c>
      <c r="C61" s="991"/>
      <c r="D61" s="229"/>
      <c r="E61" s="224"/>
      <c r="F61" s="228"/>
      <c r="G61" s="191"/>
      <c r="H61" s="217"/>
      <c r="I61" s="225"/>
      <c r="J61" s="210"/>
      <c r="K61" s="992" t="s">
        <v>156</v>
      </c>
      <c r="L61" s="993"/>
      <c r="M61" s="993"/>
      <c r="N61" s="994"/>
      <c r="O61" s="221">
        <f>SUM(O59:O60)</f>
        <v>6265.2144155844153</v>
      </c>
      <c r="P61" s="230" t="s">
        <v>157</v>
      </c>
      <c r="Q61" s="209"/>
    </row>
    <row r="62" spans="1:17" ht="13.5" thickBot="1">
      <c r="C62" s="200" t="s">
        <v>158</v>
      </c>
      <c r="D62" s="231"/>
      <c r="E62" s="174" t="s">
        <v>159</v>
      </c>
      <c r="F62" s="232" t="s">
        <v>160</v>
      </c>
      <c r="G62" s="191"/>
      <c r="H62" s="217"/>
      <c r="I62" s="225"/>
      <c r="J62" s="233"/>
      <c r="K62" s="234"/>
      <c r="L62" s="980" t="s">
        <v>161</v>
      </c>
      <c r="M62" s="980"/>
      <c r="N62" s="980"/>
      <c r="O62" s="235">
        <f>+O61/D60</f>
        <v>6265.2144155844153</v>
      </c>
      <c r="P62" s="236">
        <f>+O62/D59</f>
        <v>6.2652144155844152</v>
      </c>
      <c r="Q62" s="237"/>
    </row>
    <row r="63" spans="1:17" ht="13.5" thickBot="1">
      <c r="B63" s="981" t="s">
        <v>146</v>
      </c>
      <c r="C63" s="981"/>
      <c r="D63" s="981"/>
      <c r="E63" s="238">
        <f>+F63/F63</f>
        <v>1</v>
      </c>
      <c r="F63" s="239">
        <f>SUM(F55)</f>
        <v>5769.63</v>
      </c>
      <c r="G63" s="191">
        <f>+F63/$F$66</f>
        <v>0.94345450769610639</v>
      </c>
      <c r="H63" s="217"/>
      <c r="I63" s="225"/>
      <c r="K63" s="982"/>
      <c r="L63" s="983"/>
      <c r="M63" s="983"/>
      <c r="N63" s="983"/>
      <c r="O63" s="240"/>
      <c r="P63" s="241"/>
    </row>
    <row r="64" spans="1:17" ht="13.5" thickBot="1">
      <c r="B64" s="984" t="s">
        <v>162</v>
      </c>
      <c r="C64" s="984"/>
      <c r="D64" s="984"/>
      <c r="E64" s="242">
        <v>0.02</v>
      </c>
      <c r="F64" s="239">
        <f>+F53*E64</f>
        <v>114.8</v>
      </c>
      <c r="G64" s="191">
        <f>+F64/$F$66</f>
        <v>1.8772187728418113E-2</v>
      </c>
      <c r="H64" s="203"/>
      <c r="I64" s="225"/>
      <c r="J64" s="243"/>
      <c r="O64" s="244"/>
      <c r="P64" s="201"/>
    </row>
    <row r="65" spans="2:13" ht="13.5" thickBot="1">
      <c r="B65" s="985" t="s">
        <v>163</v>
      </c>
      <c r="C65" s="986"/>
      <c r="D65" s="245">
        <v>3</v>
      </c>
      <c r="E65" s="246">
        <v>77</v>
      </c>
      <c r="F65" s="239">
        <f>+E65*D65</f>
        <v>231</v>
      </c>
      <c r="G65" s="191">
        <f>+F65/$F$66</f>
        <v>3.7773304575475473E-2</v>
      </c>
      <c r="H65" s="203"/>
      <c r="I65" s="203"/>
      <c r="J65" s="193"/>
    </row>
    <row r="66" spans="2:13" ht="13.5" thickBot="1">
      <c r="B66" s="987" t="s">
        <v>164</v>
      </c>
      <c r="C66" s="988"/>
      <c r="D66" s="988"/>
      <c r="E66" s="989"/>
      <c r="F66" s="216">
        <f>SUM(F63:F65)</f>
        <v>6115.43</v>
      </c>
      <c r="G66" s="191">
        <f>+F66/$F$66</f>
        <v>1</v>
      </c>
      <c r="H66" s="990"/>
      <c r="I66" s="203"/>
      <c r="J66" s="193"/>
      <c r="M66" s="176" t="s">
        <v>165</v>
      </c>
    </row>
    <row r="67" spans="2:13">
      <c r="C67" s="198"/>
      <c r="D67" s="198"/>
      <c r="E67" s="248"/>
      <c r="F67" s="239"/>
      <c r="G67" s="191"/>
      <c r="H67" s="990"/>
      <c r="I67" s="247"/>
      <c r="J67" s="176"/>
      <c r="M67" s="176" t="s">
        <v>166</v>
      </c>
    </row>
    <row r="68" spans="2:13" ht="13.5" thickBot="1">
      <c r="B68" s="975" t="s">
        <v>167</v>
      </c>
      <c r="C68" s="975"/>
      <c r="D68" s="975"/>
      <c r="E68" s="975"/>
      <c r="F68" s="975"/>
      <c r="G68" s="191"/>
      <c r="H68" s="250"/>
      <c r="I68" s="247"/>
      <c r="J68" s="176"/>
      <c r="M68" s="176" t="s">
        <v>168</v>
      </c>
    </row>
    <row r="69" spans="2:13" ht="13.5" thickBot="1">
      <c r="B69" s="251" t="s">
        <v>169</v>
      </c>
      <c r="C69" s="252">
        <f>+F53</f>
        <v>5740</v>
      </c>
      <c r="D69" s="252">
        <f>+D58</f>
        <v>1000</v>
      </c>
      <c r="E69" s="253">
        <f>+C69/D69</f>
        <v>5.74</v>
      </c>
      <c r="F69" s="191"/>
      <c r="G69" s="250"/>
      <c r="H69" s="193"/>
      <c r="I69" s="250"/>
      <c r="J69" s="176"/>
    </row>
    <row r="70" spans="2:13">
      <c r="B70" s="254"/>
      <c r="C70" s="255"/>
      <c r="D70" s="256"/>
      <c r="E70" s="239"/>
      <c r="F70" s="191"/>
      <c r="G70" s="250"/>
      <c r="H70" s="193"/>
      <c r="I70" s="193"/>
      <c r="J70" s="176"/>
    </row>
    <row r="71" spans="2:13">
      <c r="B71" s="251" t="s">
        <v>170</v>
      </c>
      <c r="C71" s="252">
        <f>SUM(F63:F64)</f>
        <v>5884.43</v>
      </c>
      <c r="D71" s="252">
        <f>+D58</f>
        <v>1000</v>
      </c>
      <c r="E71" s="257">
        <f>+C71/D71</f>
        <v>5.88443</v>
      </c>
      <c r="F71" s="191"/>
      <c r="G71" s="250"/>
      <c r="H71" s="193"/>
      <c r="I71" s="193"/>
      <c r="J71" s="176"/>
    </row>
    <row r="72" spans="2:13">
      <c r="B72" s="251"/>
      <c r="C72" s="252"/>
      <c r="D72" s="252"/>
      <c r="E72" s="257"/>
      <c r="F72" s="191"/>
      <c r="G72" s="250"/>
      <c r="H72" s="193"/>
      <c r="I72" s="193"/>
      <c r="J72" s="176"/>
    </row>
    <row r="73" spans="2:13" ht="13.5" thickBot="1">
      <c r="B73" s="251" t="s">
        <v>171</v>
      </c>
      <c r="C73" s="252">
        <f>+F65</f>
        <v>231</v>
      </c>
      <c r="D73" s="252">
        <f>+D58</f>
        <v>1000</v>
      </c>
      <c r="E73" s="257">
        <f>+C73/D73</f>
        <v>0.23100000000000001</v>
      </c>
      <c r="F73" s="191"/>
      <c r="G73" s="250"/>
      <c r="H73" s="193"/>
      <c r="I73" s="193"/>
      <c r="J73" s="176"/>
    </row>
    <row r="74" spans="2:13" ht="13.5" thickBot="1">
      <c r="B74" s="251" t="s">
        <v>172</v>
      </c>
      <c r="C74" s="252">
        <f>+F56</f>
        <v>238.5</v>
      </c>
      <c r="D74" s="252">
        <f>+D73</f>
        <v>1000</v>
      </c>
      <c r="E74" s="253">
        <f>+C74/D74</f>
        <v>0.23849999999999999</v>
      </c>
      <c r="F74" s="191"/>
      <c r="G74" s="250"/>
      <c r="H74" s="193"/>
      <c r="I74" s="193"/>
      <c r="J74" s="176"/>
    </row>
    <row r="75" spans="2:13" ht="13.5" thickBot="1">
      <c r="B75" s="215"/>
      <c r="C75" s="216"/>
      <c r="D75" s="216"/>
      <c r="E75" s="257"/>
      <c r="F75" s="191"/>
      <c r="G75" s="250"/>
      <c r="H75" s="193"/>
      <c r="I75" s="193"/>
      <c r="J75" s="176"/>
    </row>
    <row r="76" spans="2:13" ht="13.5" thickBot="1">
      <c r="B76" s="251" t="s">
        <v>173</v>
      </c>
      <c r="C76" s="252">
        <f>+F54</f>
        <v>29.63</v>
      </c>
      <c r="D76" s="252">
        <f>+D74</f>
        <v>1000</v>
      </c>
      <c r="E76" s="253">
        <f>+C76/D76</f>
        <v>2.963E-2</v>
      </c>
      <c r="F76" s="191"/>
      <c r="G76" s="250"/>
      <c r="H76" s="193"/>
      <c r="I76" s="193"/>
      <c r="J76" s="193"/>
    </row>
    <row r="77" spans="2:13" ht="13.5" thickBot="1">
      <c r="B77" s="215"/>
      <c r="C77" s="216"/>
      <c r="D77" s="216"/>
      <c r="E77" s="257"/>
      <c r="F77" s="191"/>
      <c r="G77" s="250"/>
      <c r="H77" s="193"/>
      <c r="I77" s="193"/>
    </row>
    <row r="78" spans="2:13" ht="13.5" thickBot="1">
      <c r="B78" s="976" t="s">
        <v>174</v>
      </c>
      <c r="C78" s="977"/>
      <c r="D78" s="978"/>
      <c r="E78" s="253">
        <f>+E69+E74</f>
        <v>5.9785000000000004</v>
      </c>
      <c r="G78" s="191"/>
      <c r="H78" s="250"/>
      <c r="I78" s="193"/>
      <c r="J78" s="257"/>
    </row>
    <row r="79" spans="2:13">
      <c r="I79" s="250"/>
      <c r="J79" s="176"/>
    </row>
    <row r="80" spans="2:13" ht="13.5" thickBot="1">
      <c r="B80" s="975" t="s">
        <v>175</v>
      </c>
      <c r="C80" s="975"/>
      <c r="D80" s="975"/>
      <c r="E80" s="975"/>
      <c r="F80" s="975"/>
      <c r="G80" s="191"/>
      <c r="H80" s="250"/>
      <c r="J80" s="176"/>
    </row>
    <row r="81" spans="1:10" ht="13.5" thickBot="1">
      <c r="B81" s="251" t="s">
        <v>169</v>
      </c>
      <c r="C81" s="252">
        <f>+C69</f>
        <v>5740</v>
      </c>
      <c r="D81" s="252">
        <f>+D60</f>
        <v>1</v>
      </c>
      <c r="E81" s="253">
        <f>+C81/D81</f>
        <v>5740</v>
      </c>
      <c r="F81" s="191"/>
      <c r="G81" s="250"/>
      <c r="H81" s="193"/>
      <c r="I81" s="250"/>
      <c r="J81" s="176"/>
    </row>
    <row r="82" spans="1:10">
      <c r="B82" s="254"/>
      <c r="C82" s="255"/>
      <c r="D82" s="256"/>
      <c r="E82" s="239"/>
      <c r="F82" s="191"/>
      <c r="G82" s="250"/>
      <c r="H82" s="193"/>
      <c r="I82" s="193"/>
      <c r="J82" s="176"/>
    </row>
    <row r="83" spans="1:10">
      <c r="B83" s="251" t="s">
        <v>170</v>
      </c>
      <c r="C83" s="252">
        <f>+C71</f>
        <v>5884.43</v>
      </c>
      <c r="D83" s="252">
        <f>+D60</f>
        <v>1</v>
      </c>
      <c r="E83" s="257">
        <f>+C83/D83</f>
        <v>5884.43</v>
      </c>
      <c r="F83" s="191"/>
      <c r="G83" s="250"/>
      <c r="H83" s="193"/>
      <c r="I83" s="193"/>
      <c r="J83" s="176"/>
    </row>
    <row r="84" spans="1:10">
      <c r="B84" s="251"/>
      <c r="C84" s="252"/>
      <c r="D84" s="252"/>
      <c r="E84" s="257"/>
      <c r="F84" s="191"/>
      <c r="G84" s="250"/>
      <c r="H84" s="193"/>
      <c r="I84" s="193"/>
      <c r="J84" s="176"/>
    </row>
    <row r="85" spans="1:10" ht="13.5" thickBot="1">
      <c r="B85" s="251" t="s">
        <v>172</v>
      </c>
      <c r="C85" s="252">
        <f>+C73</f>
        <v>231</v>
      </c>
      <c r="D85" s="252">
        <f>+D60</f>
        <v>1</v>
      </c>
      <c r="E85" s="257">
        <f>+C85/D85</f>
        <v>231</v>
      </c>
      <c r="F85" s="259"/>
      <c r="G85" s="249"/>
      <c r="H85" s="175"/>
      <c r="I85" s="193"/>
    </row>
    <row r="86" spans="1:10" ht="13.5" thickBot="1">
      <c r="B86" s="251" t="s">
        <v>172</v>
      </c>
      <c r="C86" s="252">
        <f>+C74</f>
        <v>238.5</v>
      </c>
      <c r="D86" s="252">
        <f>+D85</f>
        <v>1</v>
      </c>
      <c r="E86" s="253">
        <f>+C86/D86</f>
        <v>238.5</v>
      </c>
      <c r="F86" s="258"/>
      <c r="G86" s="249"/>
      <c r="H86" s="175"/>
      <c r="I86" s="175"/>
    </row>
    <row r="87" spans="1:10">
      <c r="I87" s="175"/>
    </row>
    <row r="88" spans="1:10">
      <c r="A88" s="979"/>
      <c r="B88" s="979"/>
      <c r="C88" s="260"/>
      <c r="D88" s="260"/>
      <c r="E88" s="261"/>
      <c r="G88" s="262"/>
    </row>
    <row r="89" spans="1:10">
      <c r="A89" s="194"/>
      <c r="B89" s="263"/>
      <c r="C89" s="264"/>
      <c r="D89" s="264"/>
      <c r="E89" s="265"/>
      <c r="G89" s="262"/>
    </row>
    <row r="90" spans="1:10">
      <c r="A90" s="194"/>
      <c r="B90" s="263"/>
      <c r="C90" s="266"/>
      <c r="D90" s="266"/>
      <c r="E90" s="194"/>
      <c r="G90" s="262"/>
    </row>
    <row r="91" spans="1:10">
      <c r="A91" s="194"/>
      <c r="B91" s="263"/>
      <c r="C91" s="267"/>
      <c r="D91" s="267"/>
      <c r="E91" s="194"/>
      <c r="G91" s="26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7969-8E0B-4AE7-BF2E-D22793D422F6}">
  <dimension ref="A1:Q91"/>
  <sheetViews>
    <sheetView topLeftCell="A57" workbookViewId="0">
      <selection activeCell="E33" sqref="E33"/>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0" ht="27.75" customHeight="1">
      <c r="A1" s="171"/>
      <c r="B1" s="171"/>
      <c r="C1" s="171"/>
      <c r="D1" s="171"/>
      <c r="E1" s="172" t="s">
        <v>125</v>
      </c>
      <c r="F1" s="173" t="s">
        <v>126</v>
      </c>
      <c r="G1" s="173" t="s">
        <v>127</v>
      </c>
      <c r="H1" s="173" t="s">
        <v>128</v>
      </c>
      <c r="I1" s="174"/>
    </row>
    <row r="2" spans="1:10" ht="30.75" customHeight="1">
      <c r="A2" s="171"/>
      <c r="B2" s="171"/>
      <c r="C2" s="171"/>
      <c r="D2" s="171"/>
      <c r="E2" s="177">
        <f>IFERROR(O62,"")</f>
        <v>6932.3444155844154</v>
      </c>
      <c r="F2" s="177">
        <f>IFERROR(H53,"")</f>
        <v>5740</v>
      </c>
      <c r="G2" s="177">
        <f>IFERROR(H54,"")</f>
        <v>56.76</v>
      </c>
      <c r="H2" s="177">
        <f>IFERROR(H56,"")</f>
        <v>546.5</v>
      </c>
      <c r="I2" s="178"/>
    </row>
    <row r="3" spans="1:10" ht="15" customHeight="1">
      <c r="A3" s="171"/>
      <c r="B3" s="171"/>
      <c r="C3" s="171"/>
      <c r="D3" s="171"/>
      <c r="E3" s="171"/>
      <c r="F3" s="179"/>
      <c r="G3" s="179"/>
      <c r="H3" s="179"/>
      <c r="I3" s="179"/>
    </row>
    <row r="4" spans="1:10" ht="24.75" customHeight="1" thickBot="1">
      <c r="A4" s="1001"/>
      <c r="B4" s="1001"/>
      <c r="C4" s="1001"/>
      <c r="D4" s="1001"/>
      <c r="E4" s="1001"/>
      <c r="F4" s="1001"/>
      <c r="G4" s="1001"/>
      <c r="H4" s="1001"/>
      <c r="I4" s="180"/>
    </row>
    <row r="5" spans="1:10" ht="19.5" customHeight="1" thickBot="1">
      <c r="A5" s="1002" t="s">
        <v>129</v>
      </c>
      <c r="B5" s="1003"/>
      <c r="C5" s="1003"/>
      <c r="D5" s="1003"/>
      <c r="E5" s="1003"/>
      <c r="F5" s="1003"/>
      <c r="G5" s="1003"/>
      <c r="H5" s="1004"/>
      <c r="I5" s="181"/>
    </row>
    <row r="6" spans="1:10" ht="19.5" thickBot="1">
      <c r="A6" s="181"/>
      <c r="B6" s="181"/>
      <c r="C6" s="181"/>
      <c r="D6" s="181"/>
      <c r="E6" s="181"/>
      <c r="F6" s="1005" t="s">
        <v>130</v>
      </c>
      <c r="G6" s="1005"/>
      <c r="H6" s="182">
        <f ca="1">TODAY()</f>
        <v>46148</v>
      </c>
      <c r="I6" s="182"/>
    </row>
    <row r="7" spans="1:10" ht="26.25" hidden="1" thickBot="1">
      <c r="A7" s="183" t="s">
        <v>131</v>
      </c>
      <c r="B7" s="184" t="s">
        <v>132</v>
      </c>
      <c r="C7" s="184" t="s">
        <v>131</v>
      </c>
      <c r="D7" s="185" t="s">
        <v>133</v>
      </c>
      <c r="E7" s="185" t="s">
        <v>134</v>
      </c>
      <c r="F7" s="185" t="s">
        <v>135</v>
      </c>
      <c r="G7" s="185" t="s">
        <v>136</v>
      </c>
      <c r="H7" s="186" t="s">
        <v>137</v>
      </c>
      <c r="I7" s="187"/>
    </row>
    <row r="8" spans="1:10" ht="13.5" hidden="1">
      <c r="A8" s="188"/>
      <c r="C8" s="189">
        <f>+A8</f>
        <v>0</v>
      </c>
      <c r="D8" s="190"/>
      <c r="E8" s="190" t="str">
        <f>IFERROR(VLOOKUP(H8,'[1]Consolidado MP Planta'!$A$2:$M$823,12,0),"")</f>
        <v/>
      </c>
      <c r="F8" s="190" t="str">
        <f>IFERROR(C8*E8,"")</f>
        <v/>
      </c>
      <c r="G8" s="191" t="str">
        <f t="shared" ref="G8:G14" si="0">IFERROR(F8/$F$66,"")</f>
        <v/>
      </c>
      <c r="H8" s="192"/>
      <c r="I8" s="192"/>
      <c r="J8" s="193"/>
    </row>
    <row r="9" spans="1:10" ht="13.5" hidden="1">
      <c r="A9" s="188"/>
      <c r="B9" s="176" t="str">
        <f>IFERROR(VLOOKUP(H9,'[1]Consolidado MP Planta'!$A$2:$M$823,3,0),"")</f>
        <v/>
      </c>
      <c r="C9" s="189">
        <f t="shared" ref="C9:C14" si="1">+A9</f>
        <v>0</v>
      </c>
      <c r="D9" s="190" t="str">
        <f>IFERROR(VLOOKUP(H9,'[1]Consolidado MP Planta'!$A$2:$M$823,13,0),"")</f>
        <v/>
      </c>
      <c r="E9" s="190" t="str">
        <f>IFERROR(VLOOKUP(H9,'[1]Consolidado MP Planta'!$A$2:$M$823,12,0),"")</f>
        <v/>
      </c>
      <c r="F9" s="190" t="str">
        <f t="shared" ref="F9:F14" si="2">IFERROR(C9*E9,"")</f>
        <v/>
      </c>
      <c r="G9" s="191" t="str">
        <f t="shared" si="0"/>
        <v/>
      </c>
      <c r="H9" s="192"/>
      <c r="I9" s="192"/>
      <c r="J9" s="193"/>
    </row>
    <row r="10" spans="1:10"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0"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0"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0"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0"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0" ht="14.25" hidden="1" thickBot="1">
      <c r="A15" s="188"/>
      <c r="B15" s="176" t="str">
        <f>IFERROR(VLOOKUP(H15,[2]Hoja2!$A$2:$G$589,2,0),"")</f>
        <v/>
      </c>
      <c r="C15" s="189"/>
      <c r="D15" s="190"/>
      <c r="E15" s="190"/>
      <c r="F15" s="190"/>
      <c r="G15" s="191"/>
      <c r="H15" s="192"/>
      <c r="I15" s="192"/>
      <c r="J15" s="193"/>
    </row>
    <row r="16" spans="1:10" ht="26.25" thickBot="1">
      <c r="A16" s="183" t="s">
        <v>131</v>
      </c>
      <c r="B16" s="184" t="s">
        <v>138</v>
      </c>
      <c r="C16" s="184" t="s">
        <v>131</v>
      </c>
      <c r="D16" s="185" t="s">
        <v>133</v>
      </c>
      <c r="E16" s="185" t="s">
        <v>134</v>
      </c>
      <c r="F16" s="185" t="s">
        <v>135</v>
      </c>
      <c r="G16" s="185" t="s">
        <v>136</v>
      </c>
      <c r="H16" s="186" t="s">
        <v>137</v>
      </c>
      <c r="I16" s="187"/>
      <c r="J16" s="193"/>
    </row>
    <row r="17" spans="1:12" ht="13.5">
      <c r="A17" s="188">
        <v>1000</v>
      </c>
      <c r="B17" s="176" t="s">
        <v>116</v>
      </c>
      <c r="C17" s="189">
        <f>+A17</f>
        <v>1000</v>
      </c>
      <c r="D17" s="189" t="s">
        <v>177</v>
      </c>
      <c r="E17" s="190">
        <f>+'Costo Choco Mani y arroz inf'!E69</f>
        <v>5.74</v>
      </c>
      <c r="F17" s="190">
        <f>IFERROR(E17*C17,"")</f>
        <v>5740</v>
      </c>
      <c r="G17" s="191">
        <f t="shared" ref="G17:G24" si="3">IFERROR(F17/$F$66,"")</f>
        <v>0.92289486716102098</v>
      </c>
      <c r="H17" s="192" t="s">
        <v>179</v>
      </c>
      <c r="I17" s="192"/>
      <c r="J17" s="193"/>
    </row>
    <row r="18" spans="1:12" ht="13.5" hidden="1">
      <c r="A18" s="188"/>
      <c r="B18" s="176" t="str">
        <f>IFERROR(VLOOKUP(H18,[1]SEMIELABORADOS!$A$2:$M$6000,2,0),"")</f>
        <v/>
      </c>
      <c r="C18" s="189">
        <f t="shared" ref="C18:C24" si="4">+A18</f>
        <v>0</v>
      </c>
      <c r="D18" s="189" t="str">
        <f>IFERROR(VLOOKUP(H18,[1]SEMIELABORADOS!$A$2:$M$6000,6,0),"")</f>
        <v/>
      </c>
      <c r="E18" s="190" t="str">
        <f>IFERROR(VLOOKUP(H18,[1]SEMIELABORADOS!$A$2:$H$65536,8,0),"")</f>
        <v/>
      </c>
      <c r="F18" s="190" t="str">
        <f t="shared" ref="F18:F24" si="5">IFERROR(E18*C18,"")</f>
        <v/>
      </c>
      <c r="G18" s="191" t="str">
        <f t="shared" si="3"/>
        <v/>
      </c>
      <c r="H18" s="192"/>
      <c r="I18" s="192"/>
      <c r="J18" s="193"/>
    </row>
    <row r="19" spans="1:12" ht="13.5" hidden="1">
      <c r="A19" s="188"/>
      <c r="B19" s="176" t="str">
        <f>IFERROR(VLOOKUP(H19,[1]SEMIELABORADOS!$A$2:$M$6000,2,0),"")</f>
        <v/>
      </c>
      <c r="C19" s="189">
        <f>+A19</f>
        <v>0</v>
      </c>
      <c r="D19" s="189" t="str">
        <f>IFERROR(VLOOKUP(H19,[1]SEMIELABORADOS!$A$2:$M$6000,6,0),"")</f>
        <v/>
      </c>
      <c r="E19" s="190" t="str">
        <f>IFERROR(VLOOKUP(H19,[1]SEMIELABORADOS!$A$2:$H$65536,8,0),"")</f>
        <v/>
      </c>
      <c r="F19" s="190" t="str">
        <f>IFERROR(E19*C19,"")</f>
        <v/>
      </c>
      <c r="G19" s="191" t="str">
        <f t="shared" si="3"/>
        <v/>
      </c>
      <c r="H19" s="192"/>
      <c r="I19" s="192"/>
      <c r="J19" s="193"/>
    </row>
    <row r="20" spans="1:12" ht="13.5" hidden="1">
      <c r="A20" s="188"/>
      <c r="B20" s="176" t="str">
        <f>IFERROR(VLOOKUP(H20,[1]SEMIELABORADOS!$A$2:$M$6000,2,0),"")</f>
        <v/>
      </c>
      <c r="C20" s="189">
        <f>+A20</f>
        <v>0</v>
      </c>
      <c r="D20" s="189" t="str">
        <f>IFERROR(VLOOKUP(H20,[1]SEMIELABORADOS!$A$2:$M$6000,6,0),"")</f>
        <v/>
      </c>
      <c r="E20" s="190" t="str">
        <f>IFERROR(VLOOKUP(H20,[1]SEMIELABORADOS!$A$2:$H$65536,8,0),"")</f>
        <v/>
      </c>
      <c r="F20" s="190" t="str">
        <f>IFERROR(E20*C20,"")</f>
        <v/>
      </c>
      <c r="G20" s="191" t="str">
        <f t="shared" si="3"/>
        <v/>
      </c>
      <c r="H20" s="192"/>
      <c r="I20" s="192"/>
      <c r="J20" s="193"/>
    </row>
    <row r="21" spans="1:12" ht="13.5" hidden="1">
      <c r="A21" s="188"/>
      <c r="B21" s="176" t="str">
        <f>IFERROR(VLOOKUP(H21,[1]SEMIELABORADOS!$A$2:$M$6000,2,0),"")</f>
        <v/>
      </c>
      <c r="C21" s="189">
        <f>+A21</f>
        <v>0</v>
      </c>
      <c r="D21" s="189" t="str">
        <f>IFERROR(VLOOKUP(H21,[1]SEMIELABORADOS!$A$2:$M$6000,6,0),"")</f>
        <v/>
      </c>
      <c r="E21" s="190" t="str">
        <f>IFERROR(VLOOKUP(H21,[1]SEMIELABORADOS!$A$2:$H$65536,8,0),"")</f>
        <v/>
      </c>
      <c r="F21" s="190" t="str">
        <f>IFERROR(E21*C21,"")</f>
        <v/>
      </c>
      <c r="G21" s="191" t="str">
        <f t="shared" si="3"/>
        <v/>
      </c>
      <c r="H21" s="192"/>
      <c r="I21" s="192"/>
      <c r="J21" s="193"/>
    </row>
    <row r="22" spans="1:12" ht="13.5" hidden="1">
      <c r="A22" s="188"/>
      <c r="B22" s="176" t="str">
        <f>IFERROR(VLOOKUP(H22,[1]SEMIELABORADOS!$A$2:$M$6000,2,0),"")</f>
        <v/>
      </c>
      <c r="C22" s="189">
        <f t="shared" si="4"/>
        <v>0</v>
      </c>
      <c r="D22" s="189" t="str">
        <f>IFERROR(VLOOKUP(H22,[1]SEMIELABORADOS!$A$2:$M$6000,6,0),"")</f>
        <v/>
      </c>
      <c r="E22" s="190" t="str">
        <f>IFERROR(VLOOKUP(H22,[1]SEMIELABORADOS!$A$2:$H$65536,8,0),"")</f>
        <v/>
      </c>
      <c r="F22" s="190" t="str">
        <f t="shared" si="5"/>
        <v/>
      </c>
      <c r="G22" s="191" t="str">
        <f t="shared" si="3"/>
        <v/>
      </c>
      <c r="H22" s="192"/>
      <c r="I22" s="192"/>
      <c r="J22" s="193"/>
    </row>
    <row r="23" spans="1:12" ht="13.5" hidden="1">
      <c r="A23" s="188"/>
      <c r="B23" s="176" t="str">
        <f>IFERROR(VLOOKUP(H23,[1]SEMIELABORADOS!$A$2:$M$6000,2,0),"")</f>
        <v/>
      </c>
      <c r="C23" s="189">
        <f t="shared" si="4"/>
        <v>0</v>
      </c>
      <c r="D23" s="189" t="str">
        <f>IFERROR(VLOOKUP(H23,[1]SEMIELABORADOS!$A$2:$M$6000,6,0),"")</f>
        <v/>
      </c>
      <c r="E23" s="190" t="str">
        <f>IFERROR(VLOOKUP(H23,[1]SEMIELABORADOS!$A$2:$H$65536,8,0),"")</f>
        <v/>
      </c>
      <c r="F23" s="190" t="str">
        <f t="shared" si="5"/>
        <v/>
      </c>
      <c r="G23" s="191" t="str">
        <f t="shared" si="3"/>
        <v/>
      </c>
      <c r="H23" s="192"/>
      <c r="I23" s="192"/>
      <c r="J23" s="193"/>
    </row>
    <row r="24" spans="1:12" ht="13.5" hidden="1">
      <c r="A24" s="188"/>
      <c r="B24" s="176" t="str">
        <f>IFERROR(VLOOKUP(H24,[1]SEMIELABORADOS!$A$2:$M$6000,2,0),"")</f>
        <v/>
      </c>
      <c r="C24" s="189">
        <f t="shared" si="4"/>
        <v>0</v>
      </c>
      <c r="D24" s="189" t="str">
        <f>IFERROR(VLOOKUP(H24,[1]SEMIELABORADOS!$A$2:$M$6000,6,0),"")</f>
        <v/>
      </c>
      <c r="E24" s="190" t="str">
        <f>IFERROR(VLOOKUP(H24,[1]SEMIELABORADOS!$A$2:$H$65536,8,0),"")</f>
        <v/>
      </c>
      <c r="F24" s="190" t="str">
        <f t="shared" si="5"/>
        <v/>
      </c>
      <c r="G24" s="191" t="str">
        <f t="shared" si="3"/>
        <v/>
      </c>
      <c r="H24" s="192"/>
      <c r="I24" s="192"/>
      <c r="J24" s="193"/>
    </row>
    <row r="25" spans="1:12" ht="14.25" thickBot="1">
      <c r="A25" s="188"/>
      <c r="C25" s="189"/>
      <c r="D25" s="189"/>
      <c r="E25" s="190"/>
      <c r="F25" s="190"/>
      <c r="G25" s="191"/>
      <c r="H25" s="192"/>
      <c r="I25" s="192"/>
      <c r="J25" s="193"/>
    </row>
    <row r="26" spans="1:12" ht="26.25" thickBot="1">
      <c r="A26" s="183" t="s">
        <v>131</v>
      </c>
      <c r="B26" s="184" t="s">
        <v>34</v>
      </c>
      <c r="C26" s="184" t="s">
        <v>131</v>
      </c>
      <c r="D26" s="185" t="s">
        <v>133</v>
      </c>
      <c r="E26" s="185" t="s">
        <v>134</v>
      </c>
      <c r="F26" s="185" t="s">
        <v>135</v>
      </c>
      <c r="G26" s="185" t="s">
        <v>136</v>
      </c>
      <c r="H26" s="186" t="s">
        <v>137</v>
      </c>
      <c r="I26" s="187"/>
    </row>
    <row r="27" spans="1:12" ht="13.5">
      <c r="A27" s="188">
        <v>1</v>
      </c>
      <c r="B27" s="194" t="s">
        <v>76</v>
      </c>
      <c r="C27" s="189">
        <f t="shared" ref="C27:C32" si="6">+A27</f>
        <v>1</v>
      </c>
      <c r="D27" s="190" t="s">
        <v>178</v>
      </c>
      <c r="E27" s="190">
        <v>2.13</v>
      </c>
      <c r="F27" s="190">
        <f t="shared" ref="F27:F32" si="7">IFERROR(C27*E27,"")</f>
        <v>2.13</v>
      </c>
      <c r="G27" s="191">
        <f t="shared" ref="G27:G32" si="8">IFERROR(F27/$F$66,"")</f>
        <v>3.4246795593257398E-4</v>
      </c>
      <c r="H27" s="195" t="s">
        <v>71</v>
      </c>
      <c r="I27" s="195"/>
      <c r="J27" s="193"/>
      <c r="K27" s="995"/>
      <c r="L27" s="995"/>
    </row>
    <row r="28" spans="1:12" ht="13.5">
      <c r="A28" s="188">
        <v>1</v>
      </c>
      <c r="B28" s="194" t="s">
        <v>107</v>
      </c>
      <c r="C28" s="189">
        <f t="shared" si="6"/>
        <v>1</v>
      </c>
      <c r="D28" s="190" t="s">
        <v>178</v>
      </c>
      <c r="E28" s="190">
        <v>25</v>
      </c>
      <c r="F28" s="190">
        <f t="shared" si="7"/>
        <v>25</v>
      </c>
      <c r="G28" s="191">
        <f t="shared" si="8"/>
        <v>4.0195769475654224E-3</v>
      </c>
      <c r="H28" s="195" t="s">
        <v>106</v>
      </c>
      <c r="I28" s="195"/>
      <c r="J28" s="193"/>
      <c r="K28" s="995"/>
      <c r="L28" s="995"/>
    </row>
    <row r="29" spans="1:12" ht="13.5" hidden="1">
      <c r="A29" s="188"/>
      <c r="B29" s="194" t="str">
        <f>IFERROR(VLOOKUP(H29,'[1]Consolidado MP Planta'!$A$2:$M$823,3,0),"")</f>
        <v/>
      </c>
      <c r="C29" s="189">
        <f t="shared" si="6"/>
        <v>0</v>
      </c>
      <c r="D29" s="190" t="str">
        <f>IFERROR(VLOOKUP(H29,'[1]Consolidado MP Planta'!$A$2:$M$823,13,0),"")</f>
        <v/>
      </c>
      <c r="E29" s="190" t="str">
        <f>IFERROR(VLOOKUP(H29,'[1]Consolidado MP Planta'!$A$2:$M$823,12,0),"")</f>
        <v/>
      </c>
      <c r="F29" s="190" t="str">
        <f t="shared" si="7"/>
        <v/>
      </c>
      <c r="G29" s="191" t="str">
        <f t="shared" si="8"/>
        <v/>
      </c>
      <c r="H29" s="195"/>
      <c r="I29" s="195"/>
      <c r="J29" s="193"/>
      <c r="K29" s="995"/>
      <c r="L29" s="995"/>
    </row>
    <row r="30" spans="1:12" ht="13.5" hidden="1">
      <c r="A30" s="188"/>
      <c r="B30" s="194" t="str">
        <f>IFERROR(VLOOKUP(H30,'[1]Consolidado MP Planta'!$A$2:$M$823,3,0),"")</f>
        <v/>
      </c>
      <c r="C30" s="189">
        <f t="shared" si="6"/>
        <v>0</v>
      </c>
      <c r="D30" s="190" t="str">
        <f>IFERROR(VLOOKUP(H30,'[1]Consolidado MP Planta'!$A$2:$M$823,13,0),"")</f>
        <v/>
      </c>
      <c r="E30" s="190" t="str">
        <f>IFERROR(VLOOKUP(H30,'[1]Consolidado MP Planta'!$A$2:$M$823,12,0),"")</f>
        <v/>
      </c>
      <c r="F30" s="190" t="str">
        <f t="shared" si="7"/>
        <v/>
      </c>
      <c r="G30" s="191" t="str">
        <f t="shared" si="8"/>
        <v/>
      </c>
      <c r="H30" s="195"/>
      <c r="I30" s="195"/>
      <c r="J30" s="193"/>
      <c r="K30" s="995"/>
      <c r="L30" s="995"/>
    </row>
    <row r="31" spans="1:12" ht="13.5" hidden="1">
      <c r="A31" s="188"/>
      <c r="B31" s="194" t="str">
        <f>IFERROR(VLOOKUP(H31,'[1]Consolidado MP Planta'!$A$2:$M$823,3,0),"")</f>
        <v/>
      </c>
      <c r="C31" s="189">
        <f t="shared" si="6"/>
        <v>0</v>
      </c>
      <c r="D31" s="190" t="str">
        <f>IFERROR(VLOOKUP(H31,'[1]Consolidado MP Planta'!$A$2:$M$823,13,0),"")</f>
        <v/>
      </c>
      <c r="E31" s="190" t="str">
        <f>IFERROR(VLOOKUP(H31,'[1]Consolidado MP Planta'!$A$2:$M$823,12,0),"")</f>
        <v/>
      </c>
      <c r="F31" s="190" t="str">
        <f t="shared" si="7"/>
        <v/>
      </c>
      <c r="G31" s="191" t="str">
        <f t="shared" si="8"/>
        <v/>
      </c>
      <c r="H31" s="195"/>
      <c r="I31" s="195"/>
      <c r="J31" s="193"/>
      <c r="K31" s="196"/>
      <c r="L31" s="197"/>
    </row>
    <row r="32" spans="1:12" ht="13.5" hidden="1">
      <c r="A32" s="188"/>
      <c r="B32" s="194" t="str">
        <f>IFERROR(VLOOKUP(H32,'[1]Consolidado MP Planta'!$A$2:$M$823,3,0),"")</f>
        <v/>
      </c>
      <c r="C32" s="189">
        <f t="shared" si="6"/>
        <v>0</v>
      </c>
      <c r="D32" s="190" t="str">
        <f>IFERROR(VLOOKUP(H32,'[1]Consolidado MP Planta'!$A$2:$M$823,13,0),"")</f>
        <v/>
      </c>
      <c r="E32" s="190" t="str">
        <f>IFERROR(VLOOKUP(H32,'[1]Consolidado MP Planta'!$A$2:$M$823,12,0),"")</f>
        <v/>
      </c>
      <c r="F32" s="190" t="str">
        <f t="shared" si="7"/>
        <v/>
      </c>
      <c r="G32" s="191" t="str">
        <f t="shared" si="8"/>
        <v/>
      </c>
      <c r="H32" s="195"/>
      <c r="I32" s="195"/>
      <c r="J32" s="193"/>
    </row>
    <row r="33" spans="1:13" ht="14.25" thickBot="1">
      <c r="A33" s="188"/>
      <c r="B33" s="194"/>
      <c r="C33" s="189"/>
      <c r="D33" s="190"/>
      <c r="E33" s="190"/>
      <c r="F33" s="190"/>
      <c r="G33" s="191"/>
      <c r="H33" s="195"/>
      <c r="I33" s="195"/>
      <c r="J33" s="193"/>
    </row>
    <row r="34" spans="1:13" ht="26.25" thickBot="1">
      <c r="A34" s="183" t="s">
        <v>131</v>
      </c>
      <c r="B34" s="184" t="s">
        <v>139</v>
      </c>
      <c r="C34" s="184" t="s">
        <v>131</v>
      </c>
      <c r="D34" s="185" t="s">
        <v>133</v>
      </c>
      <c r="E34" s="185" t="s">
        <v>134</v>
      </c>
      <c r="F34" s="185" t="s">
        <v>135</v>
      </c>
      <c r="G34" s="185" t="s">
        <v>136</v>
      </c>
      <c r="H34" s="186" t="s">
        <v>137</v>
      </c>
      <c r="I34" s="195"/>
      <c r="J34" s="193"/>
    </row>
    <row r="35" spans="1:13" ht="13.5">
      <c r="A35" s="188">
        <f>+A17</f>
        <v>1000</v>
      </c>
      <c r="B35" s="194" t="s">
        <v>116</v>
      </c>
      <c r="C35" s="189">
        <f>+A35</f>
        <v>1000</v>
      </c>
      <c r="D35" s="190" t="s">
        <v>177</v>
      </c>
      <c r="E35" s="190">
        <f>+'Costo Choco Mani y arroz inf'!E76</f>
        <v>2.963E-2</v>
      </c>
      <c r="F35" s="190">
        <f>IFERROR(E35*C35,"")</f>
        <v>29.63</v>
      </c>
      <c r="G35" s="191">
        <f t="shared" ref="G35:G41" si="9">IFERROR(F35/$F$66,"")</f>
        <v>4.7640025982545386E-3</v>
      </c>
      <c r="H35" s="195" t="s">
        <v>179</v>
      </c>
      <c r="I35" s="195"/>
      <c r="J35" s="193"/>
    </row>
    <row r="36" spans="1:13" ht="13.5" hidden="1">
      <c r="A36" s="188">
        <f t="shared" ref="A36:A41" si="10">+A18</f>
        <v>0</v>
      </c>
      <c r="B36" s="194" t="str">
        <f>IFERROR(VLOOKUP(H36,[1]SEMIELABORADOS!$A$2:$M$6000,2,0),"")</f>
        <v/>
      </c>
      <c r="C36" s="189">
        <f t="shared" ref="C36:C41" si="11">+A36</f>
        <v>0</v>
      </c>
      <c r="D36" s="190" t="str">
        <f>IFERROR(VLOOKUP(H36,[1]SEMIELABORADOS!$A$2:$M$6000,6,0),"")</f>
        <v/>
      </c>
      <c r="E36" s="190" t="str">
        <f>IFERROR(VLOOKUP(H36,[1]SEMIELABORADOS!$A$2:$M$65536,10,0),"")</f>
        <v/>
      </c>
      <c r="F36" s="190" t="str">
        <f t="shared" ref="F36:F41" si="12">IFERROR(E36*C36,"")</f>
        <v/>
      </c>
      <c r="G36" s="191" t="str">
        <f t="shared" si="9"/>
        <v/>
      </c>
      <c r="H36" s="195"/>
      <c r="I36" s="195"/>
      <c r="J36" s="193"/>
    </row>
    <row r="37" spans="1:13" ht="13.5" hidden="1">
      <c r="A37" s="188">
        <f t="shared" si="10"/>
        <v>0</v>
      </c>
      <c r="B37" s="194" t="str">
        <f>IFERROR(VLOOKUP(H37,[1]SEMIELABORADOS!$A$2:$M$6000,2,0),"")</f>
        <v/>
      </c>
      <c r="C37" s="189">
        <f t="shared" si="11"/>
        <v>0</v>
      </c>
      <c r="D37" s="190" t="str">
        <f>IFERROR(VLOOKUP(H37,[1]SEMIELABORADOS!$A$2:$M$6000,6,0),"")</f>
        <v/>
      </c>
      <c r="E37" s="190" t="str">
        <f>IFERROR(VLOOKUP(H37,[1]SEMIELABORADOS!$A$2:$M$65536,10,0),"")</f>
        <v/>
      </c>
      <c r="F37" s="190" t="str">
        <f t="shared" si="12"/>
        <v/>
      </c>
      <c r="G37" s="191" t="str">
        <f t="shared" si="9"/>
        <v/>
      </c>
      <c r="H37" s="195"/>
      <c r="I37" s="195"/>
      <c r="J37" s="193"/>
    </row>
    <row r="38" spans="1:13" ht="13.5" hidden="1">
      <c r="A38" s="188">
        <f t="shared" si="10"/>
        <v>0</v>
      </c>
      <c r="B38" s="194" t="str">
        <f>IFERROR(VLOOKUP(H38,[1]SEMIELABORADOS!$A$2:$M$6000,2,0),"")</f>
        <v/>
      </c>
      <c r="C38" s="189">
        <f>+A38</f>
        <v>0</v>
      </c>
      <c r="D38" s="190" t="str">
        <f>IFERROR(VLOOKUP(H38,[1]SEMIELABORADOS!$A$2:$M$6000,6,0),"")</f>
        <v/>
      </c>
      <c r="E38" s="190" t="str">
        <f>IFERROR(VLOOKUP(H38,[1]SEMIELABORADOS!$A$2:$M$65536,10,0),"")</f>
        <v/>
      </c>
      <c r="F38" s="190" t="str">
        <f>IFERROR(E38*C38,"")</f>
        <v/>
      </c>
      <c r="G38" s="191" t="str">
        <f t="shared" si="9"/>
        <v/>
      </c>
      <c r="H38" s="195"/>
      <c r="I38" s="195"/>
      <c r="J38" s="193"/>
    </row>
    <row r="39" spans="1:13" ht="13.5" hidden="1">
      <c r="A39" s="188">
        <f t="shared" si="10"/>
        <v>0</v>
      </c>
      <c r="B39" s="194" t="str">
        <f>IFERROR(VLOOKUP(H39,[1]SEMIELABORADOS!$A$2:$M$6000,2,0),"")</f>
        <v/>
      </c>
      <c r="C39" s="189">
        <f>+A39</f>
        <v>0</v>
      </c>
      <c r="D39" s="190" t="str">
        <f>IFERROR(VLOOKUP(H39,[1]SEMIELABORADOS!$A$2:$M$6000,6,0),"")</f>
        <v/>
      </c>
      <c r="E39" s="190" t="str">
        <f>IFERROR(VLOOKUP(H39,[1]SEMIELABORADOS!$A$2:$M$65536,10,0),"")</f>
        <v/>
      </c>
      <c r="F39" s="190" t="str">
        <f>IFERROR(E39*C39,"")</f>
        <v/>
      </c>
      <c r="G39" s="191" t="str">
        <f t="shared" si="9"/>
        <v/>
      </c>
      <c r="H39" s="195"/>
      <c r="I39" s="195"/>
      <c r="J39" s="193"/>
    </row>
    <row r="40" spans="1:13" ht="13.5" hidden="1">
      <c r="A40" s="188">
        <f t="shared" si="10"/>
        <v>0</v>
      </c>
      <c r="B40" s="194" t="str">
        <f>IFERROR(VLOOKUP(H40,[1]SEMIELABORADOS!$A$2:$M$6000,2,0),"")</f>
        <v/>
      </c>
      <c r="C40" s="189">
        <f t="shared" si="11"/>
        <v>0</v>
      </c>
      <c r="D40" s="190" t="str">
        <f>IFERROR(VLOOKUP(H40,[1]SEMIELABORADOS!$A$2:$M$6000,6,0),"")</f>
        <v/>
      </c>
      <c r="E40" s="190" t="str">
        <f>IFERROR(VLOOKUP(H40,[1]SEMIELABORADOS!$A$2:$M$65536,10,0),"")</f>
        <v/>
      </c>
      <c r="F40" s="190" t="str">
        <f t="shared" si="12"/>
        <v/>
      </c>
      <c r="G40" s="191" t="str">
        <f t="shared" si="9"/>
        <v/>
      </c>
      <c r="H40" s="195"/>
      <c r="I40" s="195"/>
      <c r="J40" s="193"/>
    </row>
    <row r="41" spans="1:13" ht="13.5" hidden="1">
      <c r="A41" s="188">
        <f t="shared" si="10"/>
        <v>0</v>
      </c>
      <c r="B41" s="194" t="str">
        <f>IFERROR(VLOOKUP(H41,[1]SEMIELABORADOS!$A$2:$M$6000,2,0),"")</f>
        <v/>
      </c>
      <c r="C41" s="189">
        <f t="shared" si="11"/>
        <v>0</v>
      </c>
      <c r="D41" s="190" t="str">
        <f>IFERROR(VLOOKUP(H41,[1]SEMIELABORADOS!$A$2:$M$6000,6,0),"")</f>
        <v/>
      </c>
      <c r="E41" s="190" t="str">
        <f>IFERROR(VLOOKUP(H41,[1]SEMIELABORADOS!$A$2:$M$65536,10,0),"")</f>
        <v/>
      </c>
      <c r="F41" s="190" t="str">
        <f t="shared" si="12"/>
        <v/>
      </c>
      <c r="G41" s="191" t="str">
        <f t="shared" si="9"/>
        <v/>
      </c>
      <c r="H41" s="195"/>
      <c r="I41" s="195"/>
      <c r="J41" s="193"/>
    </row>
    <row r="42" spans="1:13" ht="14.25" thickBot="1">
      <c r="A42" s="188"/>
      <c r="B42" s="194"/>
      <c r="C42" s="189"/>
      <c r="D42" s="190"/>
      <c r="E42" s="190"/>
      <c r="F42" s="190"/>
      <c r="G42" s="191"/>
      <c r="H42" s="195"/>
      <c r="I42" s="195"/>
      <c r="J42" s="193"/>
    </row>
    <row r="43" spans="1:13" ht="26.25" thickBot="1">
      <c r="A43" s="183" t="s">
        <v>131</v>
      </c>
      <c r="B43" s="184" t="s">
        <v>140</v>
      </c>
      <c r="C43" s="184" t="s">
        <v>131</v>
      </c>
      <c r="D43" s="185" t="s">
        <v>133</v>
      </c>
      <c r="E43" s="185" t="s">
        <v>134</v>
      </c>
      <c r="F43" s="185" t="s">
        <v>135</v>
      </c>
      <c r="G43" s="185" t="s">
        <v>136</v>
      </c>
      <c r="H43" s="186" t="s">
        <v>137</v>
      </c>
      <c r="I43" s="187"/>
      <c r="J43" s="193"/>
    </row>
    <row r="44" spans="1:13" ht="13.5">
      <c r="A44" s="188">
        <f>+A35</f>
        <v>1000</v>
      </c>
      <c r="B44" s="194" t="s">
        <v>116</v>
      </c>
      <c r="C44" s="189">
        <f>+A44</f>
        <v>1000</v>
      </c>
      <c r="D44" s="190" t="s">
        <v>177</v>
      </c>
      <c r="E44" s="190">
        <f>+'Costo Choco Mani y arroz inf'!E74</f>
        <v>0.23849999999999999</v>
      </c>
      <c r="F44" s="190">
        <f>IFERROR(E44*C44,"")</f>
        <v>238.5</v>
      </c>
      <c r="G44" s="191">
        <f>IFERROR(F44/$F$66,"")</f>
        <v>3.834676407977413E-2</v>
      </c>
      <c r="H44" s="195" t="s">
        <v>179</v>
      </c>
      <c r="I44" s="187"/>
      <c r="J44" s="193"/>
    </row>
    <row r="45" spans="1:13" ht="13.5" hidden="1">
      <c r="A45" s="188">
        <f t="shared" ref="A45:A50" si="13">+A36</f>
        <v>0</v>
      </c>
      <c r="B45" s="194" t="str">
        <f>IFERROR(VLOOKUP(H45,[1]SEMIELABORADOS!$A$2:$M$6000,2,0),"")</f>
        <v/>
      </c>
      <c r="C45" s="189">
        <f t="shared" ref="C45:C50" si="14">+A45</f>
        <v>0</v>
      </c>
      <c r="D45" s="190" t="str">
        <f>IFERROR(VLOOKUP(H45,[1]SEMIELABORADOS!$A$2:$M$6000,6,0),"")</f>
        <v/>
      </c>
      <c r="E45" s="190" t="str">
        <f>IFERROR(VLOOKUP(H45,[1]SEMIELABORADOS!$A$2:$M$65536,12,0),"")</f>
        <v/>
      </c>
      <c r="F45" s="190" t="str">
        <f t="shared" ref="F45:F50" si="15">IFERROR(E45*C45,"")</f>
        <v/>
      </c>
      <c r="G45" s="191" t="str">
        <f t="shared" ref="G45:G50" si="16">IFERROR(F45/$F$66,"")</f>
        <v/>
      </c>
      <c r="H45" s="195"/>
      <c r="I45" s="187"/>
      <c r="J45" s="193"/>
      <c r="M45" s="198"/>
    </row>
    <row r="46" spans="1:13" ht="13.5" hidden="1">
      <c r="A46" s="188">
        <f t="shared" si="13"/>
        <v>0</v>
      </c>
      <c r="B46" s="194" t="str">
        <f>IFERROR(VLOOKUP(H46,[1]SEMIELABORADOS!$A$2:$M$6000,2,0),"")</f>
        <v/>
      </c>
      <c r="C46" s="189">
        <f t="shared" si="14"/>
        <v>0</v>
      </c>
      <c r="D46" s="190" t="str">
        <f>IFERROR(VLOOKUP(H46,[1]SEMIELABORADOS!$A$2:$M$6000,6,0),"")</f>
        <v/>
      </c>
      <c r="E46" s="190" t="str">
        <f>IFERROR(VLOOKUP(H46,[1]SEMIELABORADOS!$A$2:$M$65536,12,0),"")</f>
        <v/>
      </c>
      <c r="F46" s="190" t="str">
        <f t="shared" si="15"/>
        <v/>
      </c>
      <c r="G46" s="191" t="str">
        <f t="shared" si="16"/>
        <v/>
      </c>
      <c r="H46" s="195"/>
      <c r="I46" s="187"/>
      <c r="J46" s="193"/>
    </row>
    <row r="47" spans="1:13" ht="13.5" hidden="1">
      <c r="A47" s="188">
        <f t="shared" si="13"/>
        <v>0</v>
      </c>
      <c r="B47" s="194" t="str">
        <f>IFERROR(VLOOKUP(H47,[1]SEMIELABORADOS!$A$2:$M$6000,2,0),"")</f>
        <v/>
      </c>
      <c r="C47" s="189">
        <f t="shared" si="14"/>
        <v>0</v>
      </c>
      <c r="D47" s="190" t="str">
        <f>IFERROR(VLOOKUP(H47,[1]SEMIELABORADOS!$A$2:$M$6000,6,0),"")</f>
        <v/>
      </c>
      <c r="E47" s="190" t="str">
        <f>IFERROR(VLOOKUP(H47,[1]SEMIELABORADOS!$A$2:$M$65536,12,0),"")</f>
        <v/>
      </c>
      <c r="F47" s="190" t="str">
        <f t="shared" si="15"/>
        <v/>
      </c>
      <c r="G47" s="191" t="str">
        <f t="shared" si="16"/>
        <v/>
      </c>
      <c r="H47" s="195"/>
      <c r="I47" s="187"/>
      <c r="J47" s="193"/>
    </row>
    <row r="48" spans="1:13" ht="13.5" hidden="1">
      <c r="A48" s="188">
        <f t="shared" si="13"/>
        <v>0</v>
      </c>
      <c r="B48" s="194" t="str">
        <f>IFERROR(VLOOKUP(H48,[1]SEMIELABORADOS!$A$2:$M$6000,2,0),"")</f>
        <v/>
      </c>
      <c r="C48" s="189">
        <f t="shared" si="14"/>
        <v>0</v>
      </c>
      <c r="D48" s="190" t="str">
        <f>IFERROR(VLOOKUP(H48,[1]SEMIELABORADOS!$A$2:$M$6000,6,0),"")</f>
        <v/>
      </c>
      <c r="E48" s="190" t="str">
        <f>IFERROR(VLOOKUP(H48,[1]SEMIELABORADOS!$A$2:$M$65536,12,0),"")</f>
        <v/>
      </c>
      <c r="F48" s="190" t="str">
        <f t="shared" si="15"/>
        <v/>
      </c>
      <c r="G48" s="191" t="str">
        <f t="shared" si="16"/>
        <v/>
      </c>
      <c r="H48" s="195"/>
      <c r="I48" s="187"/>
      <c r="J48" s="193"/>
    </row>
    <row r="49" spans="1:17" ht="13.5" hidden="1">
      <c r="A49" s="188">
        <f t="shared" si="13"/>
        <v>0</v>
      </c>
      <c r="B49" s="194" t="str">
        <f>IFERROR(VLOOKUP(H49,[1]SEMIELABORADOS!$A$2:$M$6000,2,0),"")</f>
        <v/>
      </c>
      <c r="C49" s="189">
        <f t="shared" si="14"/>
        <v>0</v>
      </c>
      <c r="D49" s="190" t="str">
        <f>IFERROR(VLOOKUP(H49,[1]SEMIELABORADOS!$A$2:$M$6000,6,0),"")</f>
        <v/>
      </c>
      <c r="E49" s="190" t="str">
        <f>IFERROR(VLOOKUP(H49,[1]SEMIELABORADOS!$A$2:$M$65536,12,0),"")</f>
        <v/>
      </c>
      <c r="F49" s="190" t="str">
        <f t="shared" si="15"/>
        <v/>
      </c>
      <c r="G49" s="191" t="str">
        <f t="shared" si="16"/>
        <v/>
      </c>
      <c r="H49" s="195"/>
      <c r="I49" s="187"/>
      <c r="J49" s="193"/>
    </row>
    <row r="50" spans="1:17" ht="13.5" hidden="1">
      <c r="A50" s="188">
        <f t="shared" si="13"/>
        <v>0</v>
      </c>
      <c r="B50" s="194" t="str">
        <f>IFERROR(VLOOKUP(H50,[1]SEMIELABORADOS!$A$2:$M$6000,2,0),"")</f>
        <v/>
      </c>
      <c r="C50" s="189">
        <f t="shared" si="14"/>
        <v>0</v>
      </c>
      <c r="D50" s="190" t="str">
        <f>IFERROR(VLOOKUP(H50,[1]SEMIELABORADOS!$A$2:$M$6000,6,0),"")</f>
        <v/>
      </c>
      <c r="E50" s="190" t="str">
        <f>IFERROR(VLOOKUP(H50,[1]SEMIELABORADOS!$A$2:$M$65536,12,0),"")</f>
        <v/>
      </c>
      <c r="F50" s="190" t="str">
        <f t="shared" si="15"/>
        <v/>
      </c>
      <c r="G50" s="191" t="str">
        <f t="shared" si="16"/>
        <v/>
      </c>
      <c r="H50" s="194"/>
      <c r="I50" s="187"/>
      <c r="J50" s="193"/>
    </row>
    <row r="51" spans="1:17" ht="13.5">
      <c r="A51" s="188">
        <v>1</v>
      </c>
      <c r="B51" s="194" t="s">
        <v>141</v>
      </c>
      <c r="C51" s="189">
        <f>+A51</f>
        <v>1</v>
      </c>
      <c r="D51" s="189" t="s">
        <v>142</v>
      </c>
      <c r="E51" s="190">
        <f>+F65</f>
        <v>308</v>
      </c>
      <c r="F51" s="190">
        <f>IFERROR(C51*E51,"")</f>
        <v>308</v>
      </c>
      <c r="G51" s="191">
        <f>IFERROR(F51/$F$66,"")</f>
        <v>4.9521187994006004E-2</v>
      </c>
      <c r="H51" s="199"/>
      <c r="I51" s="199"/>
      <c r="J51" s="193"/>
    </row>
    <row r="52" spans="1:17" ht="14.25" thickBot="1">
      <c r="A52" s="188"/>
      <c r="B52" s="194"/>
      <c r="C52" s="189"/>
      <c r="D52" s="189"/>
      <c r="E52" s="190"/>
      <c r="F52" s="190"/>
      <c r="G52" s="191"/>
      <c r="H52" s="199"/>
      <c r="I52" s="199"/>
      <c r="J52" s="193"/>
    </row>
    <row r="53" spans="1:17" ht="13.5" thickBot="1">
      <c r="A53" s="200"/>
      <c r="B53" s="996" t="s">
        <v>143</v>
      </c>
      <c r="C53" s="996"/>
      <c r="D53" s="996"/>
      <c r="E53" s="996"/>
      <c r="F53" s="202">
        <f>SUM(F8:F14,F17:F24)</f>
        <v>5740</v>
      </c>
      <c r="G53" s="191">
        <f>+F53/$F$66</f>
        <v>0.92289486716102098</v>
      </c>
      <c r="H53" s="203">
        <f>+F53/$D$60</f>
        <v>5740</v>
      </c>
      <c r="I53" s="203"/>
      <c r="J53" s="204"/>
      <c r="K53" s="205"/>
      <c r="L53" s="205"/>
      <c r="M53" s="205"/>
      <c r="N53" s="205"/>
      <c r="O53" s="205"/>
      <c r="P53" s="205"/>
      <c r="Q53" s="206"/>
    </row>
    <row r="54" spans="1:17">
      <c r="A54" s="200"/>
      <c r="B54" s="996" t="s">
        <v>144</v>
      </c>
      <c r="C54" s="996"/>
      <c r="D54" s="996"/>
      <c r="E54" s="996"/>
      <c r="F54" s="202">
        <f>SUM(F27:F32,F35:F41)</f>
        <v>56.76</v>
      </c>
      <c r="G54" s="191">
        <f>+F54/$F$66</f>
        <v>9.1260475017525353E-3</v>
      </c>
      <c r="H54" s="203">
        <f>+F54/$D$60</f>
        <v>56.76</v>
      </c>
      <c r="I54" s="203"/>
      <c r="J54" s="207"/>
      <c r="K54" s="997" t="s">
        <v>145</v>
      </c>
      <c r="L54" s="998"/>
      <c r="M54" s="998"/>
      <c r="N54" s="998"/>
      <c r="O54" s="208">
        <f>+F55</f>
        <v>5796.76</v>
      </c>
      <c r="P54" s="208"/>
      <c r="Q54" s="209"/>
    </row>
    <row r="55" spans="1:17">
      <c r="A55" s="200"/>
      <c r="B55" s="996" t="s">
        <v>146</v>
      </c>
      <c r="C55" s="996"/>
      <c r="D55" s="996"/>
      <c r="E55" s="996"/>
      <c r="F55" s="202">
        <f>+F53+F54</f>
        <v>5796.76</v>
      </c>
      <c r="G55" s="191">
        <f>+F55/$F$66</f>
        <v>0.93202091466277359</v>
      </c>
      <c r="H55" s="203">
        <f>+F55/$D$60</f>
        <v>5796.76</v>
      </c>
      <c r="I55" s="203"/>
      <c r="J55" s="210"/>
      <c r="K55" s="211"/>
      <c r="M55" s="212" t="s">
        <v>147</v>
      </c>
      <c r="N55" s="213"/>
      <c r="O55" s="208">
        <f>+H56</f>
        <v>546.5</v>
      </c>
      <c r="P55" s="208"/>
      <c r="Q55" s="209"/>
    </row>
    <row r="56" spans="1:17" ht="13.5" thickBot="1">
      <c r="A56" s="200"/>
      <c r="B56" s="201"/>
      <c r="C56" s="996" t="s">
        <v>148</v>
      </c>
      <c r="D56" s="996"/>
      <c r="E56" s="996"/>
      <c r="F56" s="202">
        <f>SUM(F44:F51)</f>
        <v>546.5</v>
      </c>
      <c r="G56" s="191">
        <f>+F56/$F$66</f>
        <v>8.7867952073780134E-2</v>
      </c>
      <c r="H56" s="203">
        <f>+F56/$D$60</f>
        <v>546.5</v>
      </c>
      <c r="I56" s="203"/>
      <c r="J56" s="210"/>
      <c r="K56" s="211"/>
      <c r="L56" s="211"/>
      <c r="M56" s="211" t="s">
        <v>149</v>
      </c>
      <c r="N56" s="214"/>
      <c r="O56" s="208">
        <f>O54*N56</f>
        <v>0</v>
      </c>
      <c r="P56" s="208"/>
      <c r="Q56" s="209"/>
    </row>
    <row r="57" spans="1:17" ht="13.5" thickBot="1">
      <c r="A57" s="200"/>
      <c r="B57" s="215"/>
      <c r="C57" s="215"/>
      <c r="D57" s="215"/>
      <c r="E57" s="215"/>
      <c r="F57" s="216"/>
      <c r="G57" s="191"/>
      <c r="H57" s="217"/>
      <c r="I57" s="203"/>
      <c r="J57" s="210"/>
      <c r="K57" s="218"/>
      <c r="M57" s="219" t="s">
        <v>150</v>
      </c>
      <c r="N57" s="220"/>
      <c r="O57" s="221">
        <f>SUM(O54:O56)</f>
        <v>6343.26</v>
      </c>
      <c r="P57" s="222"/>
      <c r="Q57" s="209"/>
    </row>
    <row r="58" spans="1:17">
      <c r="B58" s="999" t="s">
        <v>151</v>
      </c>
      <c r="C58" s="999"/>
      <c r="D58" s="223">
        <v>950</v>
      </c>
      <c r="E58" s="224"/>
      <c r="G58" s="191"/>
      <c r="H58" s="217">
        <f>+H56/77</f>
        <v>7.0974025974025974</v>
      </c>
      <c r="I58" s="225"/>
      <c r="J58" s="210"/>
      <c r="K58" s="218"/>
      <c r="L58" s="211"/>
      <c r="M58" s="211" t="s">
        <v>152</v>
      </c>
      <c r="N58" s="226"/>
      <c r="O58" s="208">
        <f>+H59</f>
        <v>589.08441558441564</v>
      </c>
      <c r="P58" s="208"/>
      <c r="Q58" s="209"/>
    </row>
    <row r="59" spans="1:17">
      <c r="B59" s="999" t="s">
        <v>153</v>
      </c>
      <c r="C59" s="999"/>
      <c r="D59" s="227">
        <v>950</v>
      </c>
      <c r="E59" s="224"/>
      <c r="G59" s="191"/>
      <c r="H59" s="217">
        <f>+H58*83</f>
        <v>589.08441558441564</v>
      </c>
      <c r="I59" s="225"/>
      <c r="J59" s="210"/>
      <c r="K59" s="218"/>
      <c r="L59" s="211"/>
      <c r="M59" s="1000" t="s">
        <v>150</v>
      </c>
      <c r="N59" s="1000"/>
      <c r="O59" s="208">
        <f>SUM(O57:O58)</f>
        <v>6932.3444155844154</v>
      </c>
      <c r="P59" s="208"/>
      <c r="Q59" s="209"/>
    </row>
    <row r="60" spans="1:17" ht="13.5" thickBot="1">
      <c r="B60" s="991" t="s">
        <v>154</v>
      </c>
      <c r="C60" s="991"/>
      <c r="D60" s="223">
        <f>+D58/D59</f>
        <v>1</v>
      </c>
      <c r="E60" s="224"/>
      <c r="F60" s="228"/>
      <c r="G60" s="191"/>
      <c r="H60" s="217"/>
      <c r="I60" s="225"/>
      <c r="J60" s="210"/>
      <c r="K60" s="218"/>
      <c r="L60" s="1000"/>
      <c r="M60" s="1000"/>
      <c r="N60" s="226"/>
      <c r="O60" s="208">
        <f>+O59*N60</f>
        <v>0</v>
      </c>
      <c r="P60" s="208"/>
      <c r="Q60" s="209"/>
    </row>
    <row r="61" spans="1:17" ht="13.5" thickBot="1">
      <c r="B61" s="991" t="s">
        <v>155</v>
      </c>
      <c r="C61" s="991"/>
      <c r="D61" s="229"/>
      <c r="E61" s="224"/>
      <c r="F61" s="228"/>
      <c r="G61" s="191"/>
      <c r="H61" s="217"/>
      <c r="I61" s="225"/>
      <c r="J61" s="210"/>
      <c r="K61" s="992" t="s">
        <v>156</v>
      </c>
      <c r="L61" s="993"/>
      <c r="M61" s="993"/>
      <c r="N61" s="994"/>
      <c r="O61" s="221">
        <f>SUM(O59:O60)</f>
        <v>6932.3444155844154</v>
      </c>
      <c r="P61" s="230" t="s">
        <v>157</v>
      </c>
      <c r="Q61" s="209"/>
    </row>
    <row r="62" spans="1:17" ht="13.5" thickBot="1">
      <c r="C62" s="200" t="s">
        <v>158</v>
      </c>
      <c r="D62" s="231"/>
      <c r="E62" s="174" t="s">
        <v>159</v>
      </c>
      <c r="F62" s="232" t="s">
        <v>160</v>
      </c>
      <c r="G62" s="191"/>
      <c r="H62" s="217"/>
      <c r="I62" s="225"/>
      <c r="J62" s="233"/>
      <c r="K62" s="234"/>
      <c r="L62" s="980" t="s">
        <v>161</v>
      </c>
      <c r="M62" s="980"/>
      <c r="N62" s="980"/>
      <c r="O62" s="235">
        <f>+O61/D60</f>
        <v>6932.3444155844154</v>
      </c>
      <c r="P62" s="236">
        <f>+O62/D59</f>
        <v>7.2972046479835955</v>
      </c>
      <c r="Q62" s="237"/>
    </row>
    <row r="63" spans="1:17" ht="13.5" thickBot="1">
      <c r="B63" s="981" t="s">
        <v>146</v>
      </c>
      <c r="C63" s="981"/>
      <c r="D63" s="981"/>
      <c r="E63" s="238">
        <f>+F63/F63</f>
        <v>1</v>
      </c>
      <c r="F63" s="239">
        <f>SUM(F55)</f>
        <v>5796.76</v>
      </c>
      <c r="G63" s="191">
        <f>+F63/$F$66</f>
        <v>0.93202091466277359</v>
      </c>
      <c r="H63" s="217"/>
      <c r="I63" s="225"/>
      <c r="K63" s="982"/>
      <c r="L63" s="983"/>
      <c r="M63" s="983"/>
      <c r="N63" s="983"/>
      <c r="O63" s="240"/>
      <c r="P63" s="241"/>
    </row>
    <row r="64" spans="1:17" ht="13.5" thickBot="1">
      <c r="B64" s="984" t="s">
        <v>162</v>
      </c>
      <c r="C64" s="984"/>
      <c r="D64" s="984"/>
      <c r="E64" s="242">
        <v>0.02</v>
      </c>
      <c r="F64" s="239">
        <f>+F53*E64</f>
        <v>114.8</v>
      </c>
      <c r="G64" s="191">
        <f>+F64/$F$66</f>
        <v>1.8457897343220418E-2</v>
      </c>
      <c r="H64" s="203"/>
      <c r="I64" s="225"/>
      <c r="J64" s="243"/>
      <c r="O64" s="244"/>
      <c r="P64" s="201"/>
    </row>
    <row r="65" spans="2:13" ht="13.5" thickBot="1">
      <c r="B65" s="985" t="s">
        <v>163</v>
      </c>
      <c r="C65" s="986"/>
      <c r="D65" s="245">
        <v>4</v>
      </c>
      <c r="E65" s="246">
        <v>77</v>
      </c>
      <c r="F65" s="239">
        <f>+E65*D65</f>
        <v>308</v>
      </c>
      <c r="G65" s="191">
        <f>+F65/$F$66</f>
        <v>4.9521187994006004E-2</v>
      </c>
      <c r="H65" s="203"/>
      <c r="I65" s="203"/>
      <c r="J65" s="193"/>
    </row>
    <row r="66" spans="2:13" ht="13.5" thickBot="1">
      <c r="B66" s="987" t="s">
        <v>164</v>
      </c>
      <c r="C66" s="988"/>
      <c r="D66" s="988"/>
      <c r="E66" s="989"/>
      <c r="F66" s="216">
        <f>SUM(F63:F65)</f>
        <v>6219.56</v>
      </c>
      <c r="G66" s="191">
        <f>+F66/$F$66</f>
        <v>1</v>
      </c>
      <c r="H66" s="990"/>
      <c r="I66" s="203"/>
      <c r="J66" s="193"/>
      <c r="M66" s="176" t="s">
        <v>165</v>
      </c>
    </row>
    <row r="67" spans="2:13">
      <c r="C67" s="198"/>
      <c r="D67" s="198"/>
      <c r="E67" s="248"/>
      <c r="F67" s="239"/>
      <c r="G67" s="191"/>
      <c r="H67" s="990"/>
      <c r="I67" s="247"/>
      <c r="J67" s="176"/>
      <c r="M67" s="176" t="s">
        <v>166</v>
      </c>
    </row>
    <row r="68" spans="2:13" ht="13.5" thickBot="1">
      <c r="B68" s="975" t="s">
        <v>167</v>
      </c>
      <c r="C68" s="975"/>
      <c r="D68" s="975"/>
      <c r="E68" s="975"/>
      <c r="F68" s="975"/>
      <c r="G68" s="191"/>
      <c r="H68" s="250"/>
      <c r="I68" s="247"/>
      <c r="J68" s="176"/>
      <c r="M68" s="176" t="s">
        <v>168</v>
      </c>
    </row>
    <row r="69" spans="2:13" ht="13.5" thickBot="1">
      <c r="B69" s="251" t="s">
        <v>169</v>
      </c>
      <c r="C69" s="252">
        <f>+F53</f>
        <v>5740</v>
      </c>
      <c r="D69" s="252">
        <f>+D58</f>
        <v>950</v>
      </c>
      <c r="E69" s="253">
        <f>+C69/D69</f>
        <v>6.0421052631578949</v>
      </c>
      <c r="F69" s="191"/>
      <c r="G69" s="250"/>
      <c r="H69" s="193"/>
      <c r="I69" s="250"/>
      <c r="J69" s="176"/>
    </row>
    <row r="70" spans="2:13">
      <c r="B70" s="254"/>
      <c r="C70" s="255"/>
      <c r="D70" s="256"/>
      <c r="E70" s="239"/>
      <c r="F70" s="191"/>
      <c r="G70" s="250"/>
      <c r="H70" s="193"/>
      <c r="I70" s="193"/>
      <c r="J70" s="176"/>
    </row>
    <row r="71" spans="2:13">
      <c r="B71" s="251" t="s">
        <v>170</v>
      </c>
      <c r="C71" s="252">
        <f>SUM(F63:F64)</f>
        <v>5911.56</v>
      </c>
      <c r="D71" s="252">
        <f>+D58</f>
        <v>950</v>
      </c>
      <c r="E71" s="257">
        <f>+C71/D71</f>
        <v>6.2226947368421053</v>
      </c>
      <c r="F71" s="191"/>
      <c r="G71" s="250"/>
      <c r="H71" s="193"/>
      <c r="I71" s="193"/>
      <c r="J71" s="176"/>
    </row>
    <row r="72" spans="2:13">
      <c r="B72" s="251"/>
      <c r="C72" s="252"/>
      <c r="D72" s="252"/>
      <c r="E72" s="257"/>
      <c r="F72" s="191"/>
      <c r="G72" s="250"/>
      <c r="H72" s="193"/>
      <c r="I72" s="193"/>
      <c r="J72" s="176"/>
    </row>
    <row r="73" spans="2:13" ht="13.5" thickBot="1">
      <c r="B73" s="251" t="s">
        <v>171</v>
      </c>
      <c r="C73" s="252">
        <f>+F65</f>
        <v>308</v>
      </c>
      <c r="D73" s="252">
        <f>+D58</f>
        <v>950</v>
      </c>
      <c r="E73" s="257">
        <f>+C73/D73</f>
        <v>0.32421052631578945</v>
      </c>
      <c r="F73" s="191"/>
      <c r="G73" s="250"/>
      <c r="H73" s="193"/>
      <c r="I73" s="193"/>
      <c r="J73" s="176"/>
    </row>
    <row r="74" spans="2:13" ht="13.5" thickBot="1">
      <c r="B74" s="251" t="s">
        <v>172</v>
      </c>
      <c r="C74" s="252">
        <f>+F56</f>
        <v>546.5</v>
      </c>
      <c r="D74" s="252">
        <f>+D73</f>
        <v>950</v>
      </c>
      <c r="E74" s="253">
        <f>+C74/D74</f>
        <v>0.57526315789473681</v>
      </c>
      <c r="F74" s="191"/>
      <c r="G74" s="250"/>
      <c r="H74" s="193"/>
      <c r="I74" s="193"/>
      <c r="J74" s="176"/>
    </row>
    <row r="75" spans="2:13" ht="13.5" thickBot="1">
      <c r="B75" s="215"/>
      <c r="C75" s="216"/>
      <c r="D75" s="216"/>
      <c r="E75" s="257"/>
      <c r="F75" s="191"/>
      <c r="G75" s="250"/>
      <c r="H75" s="193"/>
      <c r="I75" s="193"/>
      <c r="J75" s="176"/>
    </row>
    <row r="76" spans="2:13" ht="13.5" thickBot="1">
      <c r="B76" s="251" t="s">
        <v>173</v>
      </c>
      <c r="C76" s="252">
        <f>+F54</f>
        <v>56.76</v>
      </c>
      <c r="D76" s="252">
        <f>+D74</f>
        <v>950</v>
      </c>
      <c r="E76" s="253">
        <f>+C76/D76</f>
        <v>5.9747368421052632E-2</v>
      </c>
      <c r="F76" s="191"/>
      <c r="G76" s="250"/>
      <c r="H76" s="193"/>
      <c r="I76" s="193"/>
      <c r="J76" s="193"/>
    </row>
    <row r="77" spans="2:13" ht="13.5" thickBot="1">
      <c r="B77" s="215"/>
      <c r="C77" s="216"/>
      <c r="D77" s="216"/>
      <c r="E77" s="257"/>
      <c r="F77" s="191"/>
      <c r="G77" s="250"/>
      <c r="H77" s="193"/>
      <c r="I77" s="193"/>
    </row>
    <row r="78" spans="2:13" ht="13.5" thickBot="1">
      <c r="B78" s="976" t="s">
        <v>174</v>
      </c>
      <c r="C78" s="977"/>
      <c r="D78" s="978"/>
      <c r="E78" s="253">
        <f>+E69+E74</f>
        <v>6.6173684210526318</v>
      </c>
      <c r="G78" s="191"/>
      <c r="H78" s="250"/>
      <c r="I78" s="193"/>
      <c r="J78" s="257"/>
    </row>
    <row r="79" spans="2:13">
      <c r="I79" s="250"/>
      <c r="J79" s="176"/>
    </row>
    <row r="80" spans="2:13" ht="13.5" thickBot="1">
      <c r="B80" s="975" t="s">
        <v>175</v>
      </c>
      <c r="C80" s="975"/>
      <c r="D80" s="975"/>
      <c r="E80" s="975"/>
      <c r="F80" s="975"/>
      <c r="G80" s="191"/>
      <c r="H80" s="250"/>
      <c r="J80" s="176"/>
    </row>
    <row r="81" spans="1:10" ht="13.5" thickBot="1">
      <c r="B81" s="251" t="s">
        <v>169</v>
      </c>
      <c r="C81" s="252">
        <f>+C69</f>
        <v>5740</v>
      </c>
      <c r="D81" s="252">
        <f>+D60</f>
        <v>1</v>
      </c>
      <c r="E81" s="253">
        <f>+C81/D81</f>
        <v>5740</v>
      </c>
      <c r="F81" s="191"/>
      <c r="G81" s="250"/>
      <c r="H81" s="193"/>
      <c r="I81" s="250"/>
      <c r="J81" s="176"/>
    </row>
    <row r="82" spans="1:10">
      <c r="B82" s="254"/>
      <c r="C82" s="255"/>
      <c r="D82" s="256"/>
      <c r="E82" s="239"/>
      <c r="F82" s="191"/>
      <c r="G82" s="250"/>
      <c r="H82" s="193"/>
      <c r="I82" s="193"/>
      <c r="J82" s="176"/>
    </row>
    <row r="83" spans="1:10">
      <c r="B83" s="251" t="s">
        <v>170</v>
      </c>
      <c r="C83" s="252">
        <f>+C71</f>
        <v>5911.56</v>
      </c>
      <c r="D83" s="252">
        <f>+D60</f>
        <v>1</v>
      </c>
      <c r="E83" s="257">
        <f>+C83/D83</f>
        <v>5911.56</v>
      </c>
      <c r="F83" s="191"/>
      <c r="G83" s="250"/>
      <c r="H83" s="193"/>
      <c r="I83" s="193"/>
      <c r="J83" s="176"/>
    </row>
    <row r="84" spans="1:10">
      <c r="B84" s="251"/>
      <c r="C84" s="252"/>
      <c r="D84" s="252"/>
      <c r="E84" s="257"/>
      <c r="F84" s="191"/>
      <c r="G84" s="250"/>
      <c r="H84" s="193"/>
      <c r="I84" s="193"/>
      <c r="J84" s="176"/>
    </row>
    <row r="85" spans="1:10" ht="13.5" thickBot="1">
      <c r="B85" s="251" t="s">
        <v>172</v>
      </c>
      <c r="C85" s="252">
        <f>+C73</f>
        <v>308</v>
      </c>
      <c r="D85" s="252">
        <f>+D60</f>
        <v>1</v>
      </c>
      <c r="E85" s="257">
        <f>+C85/D85</f>
        <v>308</v>
      </c>
      <c r="F85" s="259"/>
      <c r="G85" s="249"/>
      <c r="H85" s="175"/>
      <c r="I85" s="193"/>
    </row>
    <row r="86" spans="1:10" ht="13.5" thickBot="1">
      <c r="B86" s="251" t="s">
        <v>172</v>
      </c>
      <c r="C86" s="252">
        <f>+C74</f>
        <v>546.5</v>
      </c>
      <c r="D86" s="252">
        <f>+D85</f>
        <v>1</v>
      </c>
      <c r="E86" s="253">
        <f>+C86/D86</f>
        <v>546.5</v>
      </c>
      <c r="F86" s="258"/>
      <c r="G86" s="249"/>
      <c r="H86" s="175"/>
      <c r="I86" s="175"/>
    </row>
    <row r="87" spans="1:10">
      <c r="I87" s="175"/>
    </row>
    <row r="88" spans="1:10">
      <c r="A88" s="979"/>
      <c r="B88" s="979"/>
      <c r="C88" s="260"/>
      <c r="D88" s="260"/>
      <c r="E88" s="261"/>
      <c r="G88" s="262"/>
    </row>
    <row r="89" spans="1:10">
      <c r="A89" s="194"/>
      <c r="B89" s="263"/>
      <c r="C89" s="264"/>
      <c r="D89" s="264"/>
      <c r="E89" s="265"/>
      <c r="G89" s="262"/>
    </row>
    <row r="90" spans="1:10">
      <c r="A90" s="194"/>
      <c r="B90" s="263"/>
      <c r="C90" s="266"/>
      <c r="D90" s="266"/>
      <c r="E90" s="194"/>
      <c r="G90" s="262"/>
    </row>
    <row r="91" spans="1:10">
      <c r="A91" s="194"/>
      <c r="B91" s="263"/>
      <c r="C91" s="267"/>
      <c r="D91" s="267"/>
      <c r="E91" s="194"/>
      <c r="G91" s="26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5018-2BEC-4813-B031-60E4F10AAA85}">
  <sheetPr>
    <pageSetUpPr fitToPage="1"/>
  </sheetPr>
  <dimension ref="A1:K29"/>
  <sheetViews>
    <sheetView tabSelected="1" zoomScale="80" zoomScaleNormal="80" workbookViewId="0">
      <selection activeCell="C1" sqref="C1:G1"/>
    </sheetView>
  </sheetViews>
  <sheetFormatPr baseColWidth="10" defaultRowHeight="15"/>
  <cols>
    <col min="1" max="1" width="15" customWidth="1"/>
    <col min="2" max="2" width="16" customWidth="1"/>
    <col min="3" max="3" width="36.5703125" customWidth="1"/>
    <col min="4" max="4" width="21.85546875" customWidth="1"/>
    <col min="5" max="6" width="15.5703125" customWidth="1"/>
    <col min="7" max="7" width="18.28515625" customWidth="1"/>
    <col min="8" max="8" width="19.42578125" customWidth="1"/>
    <col min="9" max="9" width="18.5703125" customWidth="1"/>
  </cols>
  <sheetData>
    <row r="1" spans="1:11" ht="17.25">
      <c r="A1" s="702"/>
      <c r="B1" s="703"/>
      <c r="C1" s="683" t="s">
        <v>30</v>
      </c>
      <c r="D1" s="683"/>
      <c r="E1" s="683"/>
      <c r="F1" s="683"/>
      <c r="G1" s="683"/>
      <c r="H1" s="5" t="s">
        <v>29</v>
      </c>
      <c r="I1" s="6" t="s">
        <v>374</v>
      </c>
    </row>
    <row r="2" spans="1:11" ht="18" thickBot="1">
      <c r="A2" s="704"/>
      <c r="B2" s="705"/>
      <c r="C2" s="708" t="s">
        <v>28</v>
      </c>
      <c r="D2" s="708"/>
      <c r="E2" s="708"/>
      <c r="F2" s="708"/>
      <c r="G2" s="708"/>
      <c r="H2" s="7" t="s">
        <v>27</v>
      </c>
      <c r="I2" s="8" t="s">
        <v>206</v>
      </c>
    </row>
    <row r="3" spans="1:11" ht="28.5" customHeight="1" thickBot="1">
      <c r="A3" s="704"/>
      <c r="B3" s="705"/>
      <c r="C3" s="687" t="s">
        <v>373</v>
      </c>
      <c r="D3" s="688"/>
      <c r="E3" s="688"/>
      <c r="F3" s="688"/>
      <c r="G3" s="689"/>
      <c r="H3" s="712" t="s">
        <v>26</v>
      </c>
      <c r="I3" s="693">
        <v>46148</v>
      </c>
    </row>
    <row r="4" spans="1:11" ht="17.25">
      <c r="A4" s="704"/>
      <c r="B4" s="705"/>
      <c r="C4" s="9" t="s">
        <v>25</v>
      </c>
      <c r="D4" s="696" t="s">
        <v>35</v>
      </c>
      <c r="E4" s="697"/>
      <c r="F4" s="697"/>
      <c r="G4" s="698"/>
      <c r="H4" s="713"/>
      <c r="I4" s="694"/>
    </row>
    <row r="5" spans="1:11" ht="18" thickBot="1">
      <c r="A5" s="706"/>
      <c r="B5" s="707"/>
      <c r="C5" s="10" t="s">
        <v>24</v>
      </c>
      <c r="D5" s="699" t="s">
        <v>38</v>
      </c>
      <c r="E5" s="700"/>
      <c r="F5" s="700"/>
      <c r="G5" s="701"/>
      <c r="H5" s="714"/>
      <c r="I5" s="695"/>
    </row>
    <row r="6" spans="1:11" ht="16.5" thickBot="1">
      <c r="A6" s="724" t="s">
        <v>23</v>
      </c>
      <c r="B6" s="724"/>
      <c r="C6" s="724"/>
      <c r="D6" s="660" t="s">
        <v>50</v>
      </c>
      <c r="E6" s="660"/>
      <c r="F6" s="660"/>
      <c r="G6" s="717" t="s">
        <v>22</v>
      </c>
      <c r="H6" s="717"/>
      <c r="I6" s="11" t="s">
        <v>50</v>
      </c>
    </row>
    <row r="7" spans="1:11" ht="34.5" customHeight="1">
      <c r="A7" s="718" t="s">
        <v>21</v>
      </c>
      <c r="B7" s="720" t="s">
        <v>31</v>
      </c>
      <c r="C7" s="722" t="s">
        <v>20</v>
      </c>
      <c r="D7" s="722" t="s">
        <v>19</v>
      </c>
      <c r="E7" s="722" t="s">
        <v>18</v>
      </c>
      <c r="F7" s="722"/>
      <c r="G7" s="722" t="s">
        <v>17</v>
      </c>
      <c r="H7" s="722"/>
      <c r="I7" s="12" t="s">
        <v>16</v>
      </c>
    </row>
    <row r="8" spans="1:11" ht="31.5" thickBot="1">
      <c r="A8" s="914"/>
      <c r="B8" s="721"/>
      <c r="C8" s="723"/>
      <c r="D8" s="916"/>
      <c r="E8" s="13" t="s">
        <v>13</v>
      </c>
      <c r="F8" s="14" t="s">
        <v>15</v>
      </c>
      <c r="G8" s="13" t="s">
        <v>13</v>
      </c>
      <c r="H8" s="14" t="s">
        <v>15</v>
      </c>
      <c r="I8" s="15" t="s">
        <v>14</v>
      </c>
    </row>
    <row r="9" spans="1:11" ht="19.7" customHeight="1">
      <c r="A9" s="130"/>
      <c r="B9" s="133"/>
      <c r="C9" s="132" t="s">
        <v>32</v>
      </c>
      <c r="D9" s="133"/>
      <c r="E9" s="105"/>
      <c r="F9" s="106"/>
      <c r="G9" s="105"/>
      <c r="H9" s="106"/>
      <c r="I9" s="134"/>
    </row>
    <row r="10" spans="1:11" ht="20.25">
      <c r="A10" s="427"/>
      <c r="B10" s="103" t="s">
        <v>77</v>
      </c>
      <c r="C10" s="104" t="s">
        <v>78</v>
      </c>
      <c r="D10" s="104"/>
      <c r="E10" s="117">
        <v>1000</v>
      </c>
      <c r="F10" s="118"/>
      <c r="G10" s="1006"/>
      <c r="H10" s="151"/>
      <c r="I10" s="102"/>
      <c r="J10">
        <f>+E10/D19</f>
        <v>1</v>
      </c>
    </row>
    <row r="11" spans="1:11" ht="20.25">
      <c r="A11" s="103"/>
      <c r="B11" s="103" t="s">
        <v>100</v>
      </c>
      <c r="C11" s="1007" t="s">
        <v>101</v>
      </c>
      <c r="D11" s="116"/>
      <c r="E11" s="117">
        <v>3</v>
      </c>
      <c r="F11" s="118"/>
      <c r="G11" s="351"/>
      <c r="H11" s="103"/>
      <c r="I11" s="102"/>
      <c r="J11">
        <f>+E11/D19</f>
        <v>3.0000000000000001E-3</v>
      </c>
      <c r="K11">
        <f>+J11*1000</f>
        <v>3</v>
      </c>
    </row>
    <row r="12" spans="1:11" ht="20.25">
      <c r="A12" s="347"/>
      <c r="B12" s="102"/>
      <c r="C12" s="348"/>
      <c r="D12" s="151"/>
      <c r="E12" s="103"/>
      <c r="F12" s="170"/>
      <c r="G12" s="349"/>
      <c r="H12" s="103"/>
      <c r="I12" s="102"/>
    </row>
    <row r="13" spans="1:11" ht="20.25">
      <c r="A13" s="347"/>
      <c r="B13" s="102"/>
      <c r="C13" s="141" t="s">
        <v>39</v>
      </c>
      <c r="D13" s="151"/>
      <c r="E13" s="103"/>
      <c r="F13" s="170"/>
      <c r="G13" s="349"/>
      <c r="H13" s="103"/>
      <c r="I13" s="102"/>
    </row>
    <row r="14" spans="1:11" ht="20.25">
      <c r="A14" s="104"/>
      <c r="B14" s="352"/>
      <c r="C14" s="353"/>
      <c r="D14" s="343"/>
      <c r="E14" s="352"/>
      <c r="F14" s="136"/>
      <c r="G14" s="105"/>
      <c r="H14" s="106"/>
      <c r="I14" s="134"/>
    </row>
    <row r="15" spans="1:11" ht="20.25">
      <c r="A15" s="102"/>
      <c r="B15" s="102"/>
      <c r="C15" s="350" t="s">
        <v>34</v>
      </c>
      <c r="D15" s="104"/>
      <c r="E15" s="104"/>
      <c r="F15" s="103"/>
      <c r="G15" s="351"/>
      <c r="H15" s="103"/>
      <c r="I15" s="134"/>
    </row>
    <row r="16" spans="1:11" ht="20.25">
      <c r="A16" s="139"/>
      <c r="B16" s="140"/>
      <c r="C16" s="152"/>
      <c r="D16" s="102"/>
      <c r="E16" s="102"/>
      <c r="F16" s="143"/>
      <c r="G16" s="102"/>
      <c r="H16" s="102"/>
      <c r="I16" s="134"/>
    </row>
    <row r="17" spans="1:11" ht="21" thickBot="1">
      <c r="A17" s="153"/>
      <c r="B17" s="154"/>
      <c r="C17" s="155"/>
      <c r="D17" s="155"/>
      <c r="E17" s="156"/>
      <c r="F17" s="157"/>
      <c r="G17" s="155"/>
      <c r="H17" s="155"/>
      <c r="I17" s="158"/>
      <c r="K17" s="78"/>
    </row>
    <row r="18" spans="1:11" ht="21" thickBot="1">
      <c r="A18" s="159"/>
      <c r="B18" s="160"/>
      <c r="C18" s="161"/>
      <c r="D18" s="162" t="s">
        <v>13</v>
      </c>
      <c r="E18" s="163" t="s">
        <v>12</v>
      </c>
      <c r="F18" s="164"/>
      <c r="G18" s="161"/>
      <c r="H18" s="161"/>
      <c r="I18" s="165"/>
      <c r="J18" s="78"/>
    </row>
    <row r="19" spans="1:11" ht="20.25">
      <c r="A19" s="653" t="s">
        <v>11</v>
      </c>
      <c r="B19" s="654"/>
      <c r="C19" s="655"/>
      <c r="D19" s="166">
        <v>1000</v>
      </c>
      <c r="E19" s="167" t="s">
        <v>1</v>
      </c>
      <c r="F19" s="656" t="s">
        <v>10</v>
      </c>
      <c r="G19" s="656"/>
      <c r="H19" s="657"/>
      <c r="I19" s="658"/>
      <c r="J19">
        <f>10000/400</f>
        <v>25</v>
      </c>
    </row>
    <row r="20" spans="1:11" ht="20.25">
      <c r="A20" s="645" t="s">
        <v>9</v>
      </c>
      <c r="B20" s="646"/>
      <c r="C20" s="647"/>
      <c r="D20" s="151">
        <v>2</v>
      </c>
      <c r="E20" s="151" t="s">
        <v>8</v>
      </c>
      <c r="F20" s="648" t="s">
        <v>7</v>
      </c>
      <c r="G20" s="648"/>
      <c r="H20" s="640"/>
      <c r="I20" s="641"/>
    </row>
    <row r="21" spans="1:11" ht="20.25">
      <c r="A21" s="645" t="s">
        <v>6</v>
      </c>
      <c r="B21" s="646"/>
      <c r="C21" s="647"/>
      <c r="D21" s="151">
        <v>1</v>
      </c>
      <c r="E21" s="151" t="s">
        <v>103</v>
      </c>
      <c r="F21" s="648" t="s">
        <v>5</v>
      </c>
      <c r="G21" s="648"/>
      <c r="H21" s="640"/>
      <c r="I21" s="641"/>
    </row>
    <row r="22" spans="1:11" ht="20.25">
      <c r="A22" s="645" t="s">
        <v>4</v>
      </c>
      <c r="B22" s="646"/>
      <c r="C22" s="647"/>
      <c r="D22" s="151">
        <v>1000</v>
      </c>
      <c r="E22" s="151" t="s">
        <v>1</v>
      </c>
      <c r="F22" s="649" t="s">
        <v>3</v>
      </c>
      <c r="G22" s="650"/>
      <c r="H22" s="640"/>
      <c r="I22" s="641"/>
    </row>
    <row r="23" spans="1:11" ht="21" thickBot="1">
      <c r="A23" s="636" t="s">
        <v>2</v>
      </c>
      <c r="B23" s="637"/>
      <c r="C23" s="638"/>
      <c r="D23" s="1008">
        <f>SUM(E10:E11)-D19</f>
        <v>3</v>
      </c>
      <c r="E23" s="169" t="s">
        <v>1</v>
      </c>
      <c r="F23" s="639"/>
      <c r="G23" s="639"/>
      <c r="H23" s="943"/>
      <c r="I23" s="944"/>
    </row>
    <row r="24" spans="1:11" ht="21" thickBot="1">
      <c r="A24" s="642" t="s">
        <v>0</v>
      </c>
      <c r="B24" s="643"/>
      <c r="C24" s="643"/>
      <c r="D24" s="643"/>
      <c r="E24" s="643"/>
      <c r="F24" s="643"/>
      <c r="G24" s="643"/>
      <c r="H24" s="643"/>
      <c r="I24" s="644"/>
    </row>
    <row r="25" spans="1:11" ht="20.45" customHeight="1">
      <c r="A25" s="1009" t="s">
        <v>102</v>
      </c>
      <c r="B25" s="1010"/>
      <c r="C25" s="1011"/>
      <c r="D25" s="1011"/>
      <c r="E25" s="1011"/>
      <c r="F25" s="1011"/>
      <c r="G25" s="1011"/>
      <c r="H25" s="1011"/>
      <c r="I25" s="1012"/>
    </row>
    <row r="26" spans="1:11" ht="20.25">
      <c r="A26" s="952"/>
      <c r="B26" s="953"/>
      <c r="C26" s="953"/>
      <c r="D26" s="953"/>
      <c r="E26" s="953"/>
      <c r="F26" s="953"/>
      <c r="G26" s="953"/>
      <c r="H26" s="953"/>
      <c r="I26" s="954"/>
    </row>
    <row r="27" spans="1:11" ht="20.25">
      <c r="A27" s="824" t="s">
        <v>33</v>
      </c>
      <c r="B27" s="824"/>
      <c r="C27" s="824"/>
      <c r="D27" s="824"/>
      <c r="E27" s="824"/>
      <c r="F27" s="824"/>
      <c r="G27" s="824"/>
      <c r="H27" s="824"/>
      <c r="I27" s="824"/>
    </row>
    <row r="28" spans="1:11" ht="20.25">
      <c r="A28" s="635"/>
      <c r="B28" s="635"/>
      <c r="C28" s="635"/>
      <c r="D28" s="635"/>
      <c r="E28" s="635"/>
      <c r="F28" s="635"/>
      <c r="G28" s="635"/>
      <c r="H28" s="635"/>
      <c r="I28" s="635"/>
    </row>
    <row r="29" spans="1:11" ht="22.5" customHeight="1">
      <c r="A29" s="1013"/>
      <c r="B29" s="1013"/>
      <c r="C29" s="1013"/>
      <c r="D29" s="1013"/>
      <c r="E29" s="1013"/>
      <c r="F29" s="1013"/>
      <c r="G29" s="1013"/>
      <c r="H29" s="1013"/>
      <c r="I29" s="1013"/>
    </row>
  </sheetData>
  <mergeCells count="38">
    <mergeCell ref="I3:I5"/>
    <mergeCell ref="D4:G4"/>
    <mergeCell ref="D5:G5"/>
    <mergeCell ref="A1:B5"/>
    <mergeCell ref="C1:G1"/>
    <mergeCell ref="C2:G2"/>
    <mergeCell ref="C3:G3"/>
    <mergeCell ref="H3:H5"/>
    <mergeCell ref="A6:C6"/>
    <mergeCell ref="D6:F6"/>
    <mergeCell ref="G6:H6"/>
    <mergeCell ref="A7:A8"/>
    <mergeCell ref="B7:B8"/>
    <mergeCell ref="C7:C8"/>
    <mergeCell ref="D7:D8"/>
    <mergeCell ref="E7:F7"/>
    <mergeCell ref="G7:H7"/>
    <mergeCell ref="A19:C19"/>
    <mergeCell ref="F19:G19"/>
    <mergeCell ref="H19:I19"/>
    <mergeCell ref="A20:C20"/>
    <mergeCell ref="F20:G20"/>
    <mergeCell ref="H20:I20"/>
    <mergeCell ref="A21:C21"/>
    <mergeCell ref="F21:G21"/>
    <mergeCell ref="H21:I21"/>
    <mergeCell ref="A22:C22"/>
    <mergeCell ref="F22:G22"/>
    <mergeCell ref="H22:I22"/>
    <mergeCell ref="A23:C23"/>
    <mergeCell ref="F23:G23"/>
    <mergeCell ref="H23:I23"/>
    <mergeCell ref="A24:I24"/>
    <mergeCell ref="A25:I25"/>
    <mergeCell ref="A29:I29"/>
    <mergeCell ref="A26:I26"/>
    <mergeCell ref="A27:I27"/>
    <mergeCell ref="A28:I28"/>
  </mergeCells>
  <pageMargins left="0.25" right="0.25" top="0.75" bottom="0.75" header="0.3" footer="0.3"/>
  <pageSetup scale="57"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5E1E-2103-48C9-AC7B-2FB7CBAE686A}">
  <sheetPr>
    <tabColor theme="3" tint="0.499984740745262"/>
  </sheetPr>
  <dimension ref="A1:I58"/>
  <sheetViews>
    <sheetView workbookViewId="0">
      <selection activeCell="C15" sqref="C15"/>
    </sheetView>
  </sheetViews>
  <sheetFormatPr baseColWidth="10" defaultRowHeight="15"/>
  <cols>
    <col min="2" max="2" width="13.42578125" bestFit="1" customWidth="1"/>
    <col min="3" max="3" width="49" customWidth="1"/>
    <col min="4" max="4" width="34.28515625" bestFit="1" customWidth="1"/>
    <col min="8" max="8" width="33.7109375" bestFit="1" customWidth="1"/>
    <col min="9" max="9" width="22.28515625" bestFit="1" customWidth="1"/>
  </cols>
  <sheetData>
    <row r="1" spans="1:9" ht="17.25">
      <c r="A1" s="702"/>
      <c r="B1" s="703"/>
      <c r="C1" s="683" t="s">
        <v>30</v>
      </c>
      <c r="D1" s="683"/>
      <c r="E1" s="683"/>
      <c r="F1" s="683"/>
      <c r="G1" s="683"/>
      <c r="H1" s="5" t="s">
        <v>29</v>
      </c>
      <c r="I1" s="6" t="s">
        <v>183</v>
      </c>
    </row>
    <row r="2" spans="1:9" ht="18" customHeight="1" thickBot="1">
      <c r="A2" s="704"/>
      <c r="B2" s="705"/>
      <c r="C2" s="684" t="s">
        <v>28</v>
      </c>
      <c r="D2" s="685"/>
      <c r="E2" s="685"/>
      <c r="F2" s="685"/>
      <c r="G2" s="686"/>
      <c r="H2" s="7" t="s">
        <v>27</v>
      </c>
      <c r="I2" s="8" t="s">
        <v>184</v>
      </c>
    </row>
    <row r="3" spans="1:9" ht="31.5" customHeight="1" thickBot="1">
      <c r="A3" s="704"/>
      <c r="B3" s="705"/>
      <c r="C3" s="911" t="s">
        <v>185</v>
      </c>
      <c r="D3" s="912"/>
      <c r="E3" s="912"/>
      <c r="F3" s="912"/>
      <c r="G3" s="913"/>
      <c r="H3" s="712" t="s">
        <v>26</v>
      </c>
      <c r="I3" s="693">
        <v>45613</v>
      </c>
    </row>
    <row r="4" spans="1:9" ht="18" customHeight="1">
      <c r="A4" s="704"/>
      <c r="B4" s="705"/>
      <c r="C4" s="9" t="s">
        <v>25</v>
      </c>
      <c r="D4" s="696" t="s">
        <v>186</v>
      </c>
      <c r="E4" s="697"/>
      <c r="F4" s="697"/>
      <c r="G4" s="698"/>
      <c r="H4" s="713"/>
      <c r="I4" s="694"/>
    </row>
    <row r="5" spans="1:9" ht="18" thickBot="1">
      <c r="A5" s="706"/>
      <c r="B5" s="707"/>
      <c r="C5" s="10" t="s">
        <v>24</v>
      </c>
      <c r="D5" s="699" t="s">
        <v>187</v>
      </c>
      <c r="E5" s="700"/>
      <c r="F5" s="700"/>
      <c r="G5" s="701"/>
      <c r="H5" s="714"/>
      <c r="I5" s="695"/>
    </row>
    <row r="6" spans="1:9" ht="16.5" thickBot="1">
      <c r="A6" s="724" t="s">
        <v>23</v>
      </c>
      <c r="B6" s="724"/>
      <c r="C6" s="724"/>
      <c r="D6" s="660" t="s">
        <v>39</v>
      </c>
      <c r="E6" s="660"/>
      <c r="F6" s="660"/>
      <c r="G6" s="717" t="s">
        <v>22</v>
      </c>
      <c r="H6" s="717"/>
      <c r="I6" s="11" t="s">
        <v>188</v>
      </c>
    </row>
    <row r="7" spans="1:9">
      <c r="A7" s="718" t="s">
        <v>21</v>
      </c>
      <c r="B7" s="720" t="s">
        <v>31</v>
      </c>
      <c r="C7" s="722" t="s">
        <v>20</v>
      </c>
      <c r="D7" s="722" t="s">
        <v>19</v>
      </c>
      <c r="E7" s="722" t="s">
        <v>18</v>
      </c>
      <c r="F7" s="722"/>
      <c r="G7" s="722" t="s">
        <v>17</v>
      </c>
      <c r="H7" s="722"/>
      <c r="I7" s="12" t="s">
        <v>16</v>
      </c>
    </row>
    <row r="8" spans="1:9" ht="31.5" thickBot="1">
      <c r="A8" s="914"/>
      <c r="B8" s="915"/>
      <c r="C8" s="916"/>
      <c r="D8" s="916"/>
      <c r="E8" s="13" t="s">
        <v>13</v>
      </c>
      <c r="F8" s="14" t="s">
        <v>15</v>
      </c>
      <c r="G8" s="13" t="s">
        <v>13</v>
      </c>
      <c r="H8" s="14" t="s">
        <v>15</v>
      </c>
      <c r="I8" s="15" t="s">
        <v>14</v>
      </c>
    </row>
    <row r="9" spans="1:9" ht="15.75">
      <c r="A9" s="276"/>
      <c r="B9" s="277"/>
      <c r="C9" s="278" t="s">
        <v>32</v>
      </c>
      <c r="D9" s="275"/>
      <c r="E9" s="274"/>
      <c r="F9" s="280"/>
      <c r="G9" s="274"/>
      <c r="H9" s="280"/>
      <c r="I9" s="16"/>
    </row>
    <row r="10" spans="1:9" ht="18" customHeight="1">
      <c r="A10" s="281">
        <v>11400029</v>
      </c>
      <c r="B10" s="282" t="s">
        <v>189</v>
      </c>
      <c r="C10" s="283" t="s">
        <v>190</v>
      </c>
      <c r="D10" s="284" t="s">
        <v>191</v>
      </c>
      <c r="E10" s="285">
        <v>16000</v>
      </c>
      <c r="F10" s="286" t="s">
        <v>1</v>
      </c>
      <c r="G10" s="287"/>
      <c r="H10" s="288" t="s">
        <v>192</v>
      </c>
      <c r="I10" s="16"/>
    </row>
    <row r="11" spans="1:9" ht="17.25">
      <c r="A11" s="281">
        <v>11400031</v>
      </c>
      <c r="B11" s="289" t="s">
        <v>193</v>
      </c>
      <c r="C11" s="290" t="s">
        <v>194</v>
      </c>
      <c r="D11" s="284" t="s">
        <v>191</v>
      </c>
      <c r="E11" s="291">
        <v>8000</v>
      </c>
      <c r="F11" s="292" t="s">
        <v>1</v>
      </c>
      <c r="G11" s="287"/>
      <c r="H11" s="288" t="s">
        <v>195</v>
      </c>
      <c r="I11" s="16"/>
    </row>
    <row r="12" spans="1:9" ht="17.25">
      <c r="A12" s="281" t="s">
        <v>196</v>
      </c>
      <c r="B12" s="289"/>
      <c r="C12" s="290" t="s">
        <v>197</v>
      </c>
      <c r="D12" s="284" t="s">
        <v>36</v>
      </c>
      <c r="E12" s="291">
        <v>1000</v>
      </c>
      <c r="F12" s="292" t="s">
        <v>1</v>
      </c>
      <c r="G12" s="293"/>
      <c r="H12" s="288"/>
      <c r="I12" s="16"/>
    </row>
    <row r="13" spans="1:9" ht="17.25">
      <c r="A13" s="281">
        <v>1212410</v>
      </c>
      <c r="B13" s="289" t="s">
        <v>198</v>
      </c>
      <c r="C13" s="290" t="s">
        <v>199</v>
      </c>
      <c r="D13" s="284" t="s">
        <v>200</v>
      </c>
      <c r="E13" s="291">
        <v>22</v>
      </c>
      <c r="F13" s="292" t="s">
        <v>1</v>
      </c>
      <c r="G13" s="293"/>
      <c r="H13" s="288"/>
      <c r="I13" s="16"/>
    </row>
    <row r="14" spans="1:9" ht="17.25">
      <c r="A14" s="294"/>
      <c r="B14" s="295"/>
      <c r="C14" s="296"/>
      <c r="D14" s="293"/>
      <c r="E14" s="293"/>
      <c r="F14" s="297"/>
      <c r="G14" s="293"/>
      <c r="H14" s="288"/>
      <c r="I14" s="16"/>
    </row>
    <row r="15" spans="1:9" ht="17.25">
      <c r="A15" s="298"/>
      <c r="B15" s="295"/>
      <c r="C15" s="299"/>
      <c r="D15" s="293"/>
      <c r="E15" s="293"/>
      <c r="F15" s="297"/>
      <c r="G15" s="293"/>
      <c r="H15" s="288"/>
      <c r="I15" s="16"/>
    </row>
    <row r="16" spans="1:9" ht="17.25">
      <c r="A16" s="293"/>
      <c r="B16" s="293"/>
      <c r="C16" s="300"/>
      <c r="D16" s="301"/>
      <c r="E16" s="301"/>
      <c r="F16" s="287"/>
      <c r="G16" s="293"/>
      <c r="H16" s="288"/>
      <c r="I16" s="16"/>
    </row>
    <row r="17" spans="1:9" ht="17.25">
      <c r="A17" s="295"/>
      <c r="B17" s="295"/>
      <c r="C17" s="302"/>
      <c r="D17" s="293"/>
      <c r="E17" s="293"/>
      <c r="F17" s="297"/>
      <c r="G17" s="293"/>
      <c r="H17" s="288"/>
      <c r="I17" s="16"/>
    </row>
    <row r="18" spans="1:9" ht="17.25">
      <c r="A18" s="294"/>
      <c r="B18" s="295"/>
      <c r="C18" s="296"/>
      <c r="D18" s="293"/>
      <c r="E18" s="293"/>
      <c r="F18" s="297"/>
      <c r="G18" s="293"/>
      <c r="H18" s="288"/>
      <c r="I18" s="16"/>
    </row>
    <row r="19" spans="1:9" ht="17.25">
      <c r="A19" s="46"/>
      <c r="B19" s="46"/>
      <c r="C19" s="303"/>
      <c r="D19" s="304"/>
      <c r="E19" s="27"/>
      <c r="F19" s="18"/>
      <c r="G19" s="274"/>
      <c r="H19" s="288"/>
      <c r="I19" s="16"/>
    </row>
    <row r="20" spans="1:9" ht="15.75">
      <c r="A20" s="28"/>
      <c r="B20" s="29"/>
      <c r="C20" s="305" t="s">
        <v>39</v>
      </c>
      <c r="D20" s="3"/>
      <c r="E20" s="306"/>
      <c r="F20" s="31"/>
      <c r="G20" s="274"/>
      <c r="H20" s="280"/>
      <c r="I20" s="16"/>
    </row>
    <row r="21" spans="1:9" ht="17.25">
      <c r="A21" s="281"/>
      <c r="B21" s="307"/>
      <c r="C21" s="283"/>
      <c r="D21" s="284"/>
      <c r="E21" s="291"/>
      <c r="F21" s="292"/>
      <c r="G21" s="274"/>
      <c r="H21" s="280"/>
      <c r="I21" s="16"/>
    </row>
    <row r="22" spans="1:9" ht="17.25">
      <c r="A22" s="281"/>
      <c r="B22" s="307"/>
      <c r="C22" s="283"/>
      <c r="D22" s="284"/>
      <c r="E22" s="308"/>
      <c r="F22" s="292"/>
      <c r="G22" s="274"/>
      <c r="H22" s="280"/>
      <c r="I22" s="16"/>
    </row>
    <row r="23" spans="1:9" ht="17.25">
      <c r="A23" s="281"/>
      <c r="B23" s="307"/>
      <c r="C23" s="283"/>
      <c r="D23" s="284"/>
      <c r="E23" s="291"/>
      <c r="F23" s="292"/>
      <c r="G23" s="274"/>
      <c r="H23" s="280"/>
      <c r="I23" s="16"/>
    </row>
    <row r="24" spans="1:9" ht="17.25">
      <c r="A24" s="281"/>
      <c r="B24" s="307"/>
      <c r="C24" s="283"/>
      <c r="D24" s="284"/>
      <c r="E24" s="309"/>
      <c r="F24" s="310"/>
      <c r="G24" s="274"/>
      <c r="H24" s="280"/>
      <c r="I24" s="16"/>
    </row>
    <row r="25" spans="1:9" ht="17.25">
      <c r="A25" s="281"/>
      <c r="B25" s="307"/>
      <c r="C25" s="283"/>
      <c r="D25" s="284"/>
      <c r="E25" s="285"/>
      <c r="F25" s="310"/>
      <c r="G25" s="274"/>
      <c r="H25" s="280"/>
      <c r="I25" s="16"/>
    </row>
    <row r="26" spans="1:9" ht="17.25">
      <c r="A26" s="311"/>
      <c r="B26" s="311"/>
      <c r="C26" s="312"/>
      <c r="D26" s="313"/>
      <c r="E26" s="314"/>
      <c r="F26" s="315"/>
      <c r="G26" s="274"/>
      <c r="H26" s="280"/>
      <c r="I26" s="16"/>
    </row>
    <row r="27" spans="1:9" ht="17.25">
      <c r="A27" s="46"/>
      <c r="B27" s="46"/>
      <c r="C27" s="303"/>
      <c r="D27" s="316"/>
      <c r="E27" s="317"/>
      <c r="F27" s="315"/>
      <c r="G27" s="274"/>
      <c r="H27" s="280"/>
      <c r="I27" s="16"/>
    </row>
    <row r="28" spans="1:9" ht="17.25">
      <c r="A28" s="46"/>
      <c r="B28" s="46"/>
      <c r="C28" s="303"/>
      <c r="D28" s="316"/>
      <c r="E28" s="308"/>
      <c r="F28" s="24"/>
      <c r="G28" s="274"/>
      <c r="H28" s="280"/>
      <c r="I28" s="16"/>
    </row>
    <row r="29" spans="1:9" ht="15.75">
      <c r="A29" s="318"/>
      <c r="B29" s="319"/>
      <c r="C29" s="320" t="s">
        <v>105</v>
      </c>
      <c r="D29" s="321"/>
      <c r="E29" s="322"/>
      <c r="F29" s="280"/>
      <c r="G29" s="274"/>
      <c r="H29" s="312"/>
      <c r="I29" s="16"/>
    </row>
    <row r="30" spans="1:9" ht="17.25">
      <c r="A30" s="323">
        <v>702123</v>
      </c>
      <c r="B30" s="323" t="s">
        <v>71</v>
      </c>
      <c r="C30" s="30" t="s">
        <v>76</v>
      </c>
      <c r="D30" s="324"/>
      <c r="E30" s="325">
        <v>1</v>
      </c>
      <c r="F30" s="326" t="s">
        <v>37</v>
      </c>
      <c r="G30" s="327"/>
      <c r="H30" s="280"/>
      <c r="I30" s="16"/>
    </row>
    <row r="31" spans="1:9" ht="17.25">
      <c r="A31" s="323"/>
      <c r="B31" s="323"/>
      <c r="C31" s="30"/>
      <c r="D31" s="324"/>
      <c r="E31" s="325"/>
      <c r="F31" s="326"/>
      <c r="G31" s="327"/>
      <c r="H31" s="280"/>
      <c r="I31" s="16"/>
    </row>
    <row r="32" spans="1:9" ht="17.25">
      <c r="A32" s="323"/>
      <c r="B32" s="323"/>
      <c r="C32" s="30"/>
      <c r="D32" s="324"/>
      <c r="E32" s="325"/>
      <c r="F32" s="326"/>
      <c r="G32" s="327"/>
      <c r="H32" s="280"/>
      <c r="I32" s="16"/>
    </row>
    <row r="33" spans="1:9" ht="15.75">
      <c r="A33" s="328"/>
      <c r="B33" s="328"/>
      <c r="C33" s="329"/>
      <c r="D33" s="1"/>
      <c r="E33" s="330"/>
      <c r="F33" s="331"/>
      <c r="G33" s="274"/>
      <c r="H33" s="280"/>
      <c r="I33" s="16"/>
    </row>
    <row r="34" spans="1:9" ht="15.75">
      <c r="A34" s="328"/>
      <c r="B34" s="328"/>
      <c r="C34" s="332"/>
      <c r="D34" s="1"/>
      <c r="E34" s="1"/>
      <c r="F34" s="331"/>
      <c r="G34" s="274"/>
      <c r="H34" s="280"/>
      <c r="I34" s="16"/>
    </row>
    <row r="35" spans="1:9" ht="15.75">
      <c r="A35" s="328"/>
      <c r="B35" s="328"/>
      <c r="C35" s="332"/>
      <c r="D35" s="1"/>
      <c r="E35" s="1"/>
      <c r="F35" s="331"/>
      <c r="G35" s="333"/>
      <c r="H35" s="280"/>
      <c r="I35" s="16"/>
    </row>
    <row r="36" spans="1:9" ht="15.75">
      <c r="A36" s="334"/>
      <c r="B36" s="335"/>
      <c r="C36" s="336"/>
      <c r="D36" s="337"/>
      <c r="E36" s="337"/>
      <c r="F36" s="338"/>
      <c r="G36" s="19"/>
      <c r="H36" s="280"/>
      <c r="I36" s="16"/>
    </row>
    <row r="37" spans="1:9" ht="15.75">
      <c r="A37" s="28"/>
      <c r="B37" s="29"/>
      <c r="C37" s="30"/>
      <c r="D37" s="1"/>
      <c r="E37" s="19"/>
      <c r="F37" s="31"/>
      <c r="G37" s="19"/>
      <c r="H37" s="280"/>
      <c r="I37" s="16"/>
    </row>
    <row r="38" spans="1:9" ht="15.75">
      <c r="A38" s="28"/>
      <c r="B38" s="29"/>
      <c r="C38" s="30"/>
      <c r="D38" s="3"/>
      <c r="E38" s="3"/>
      <c r="F38" s="31"/>
      <c r="G38" s="3"/>
      <c r="H38" s="3"/>
      <c r="I38" s="16"/>
    </row>
    <row r="39" spans="1:9" ht="18" thickBot="1">
      <c r="A39" s="32"/>
      <c r="B39" s="33"/>
      <c r="C39" s="34"/>
      <c r="D39" s="34"/>
      <c r="E39" s="35"/>
      <c r="F39" s="36"/>
      <c r="G39" s="34"/>
      <c r="H39" s="34"/>
      <c r="I39" s="37"/>
    </row>
    <row r="40" spans="1:9" ht="18" thickBot="1">
      <c r="A40" s="38"/>
      <c r="B40" s="39"/>
      <c r="C40" s="40"/>
      <c r="D40" s="41" t="s">
        <v>13</v>
      </c>
      <c r="E40" s="42" t="s">
        <v>12</v>
      </c>
      <c r="F40" s="43"/>
      <c r="G40" s="40"/>
      <c r="H40" s="40"/>
      <c r="I40" s="44"/>
    </row>
    <row r="41" spans="1:9" ht="17.25">
      <c r="A41" s="725" t="s">
        <v>11</v>
      </c>
      <c r="B41" s="726"/>
      <c r="C41" s="727"/>
      <c r="D41" s="317">
        <v>24500</v>
      </c>
      <c r="E41" s="339" t="s">
        <v>1</v>
      </c>
      <c r="F41" s="728" t="s">
        <v>10</v>
      </c>
      <c r="G41" s="728"/>
      <c r="H41" s="715"/>
      <c r="I41" s="716"/>
    </row>
    <row r="42" spans="1:9" ht="17.25">
      <c r="A42" s="729" t="s">
        <v>9</v>
      </c>
      <c r="B42" s="730"/>
      <c r="C42" s="731"/>
      <c r="D42" s="293">
        <v>21</v>
      </c>
      <c r="E42" s="293" t="s">
        <v>8</v>
      </c>
      <c r="F42" s="732" t="s">
        <v>7</v>
      </c>
      <c r="G42" s="732"/>
      <c r="H42" s="733"/>
      <c r="I42" s="734"/>
    </row>
    <row r="43" spans="1:9" ht="17.25">
      <c r="A43" s="729" t="s">
        <v>6</v>
      </c>
      <c r="B43" s="730"/>
      <c r="C43" s="731"/>
      <c r="D43" s="293">
        <v>1</v>
      </c>
      <c r="E43" s="293" t="s">
        <v>37</v>
      </c>
      <c r="F43" s="732" t="s">
        <v>5</v>
      </c>
      <c r="G43" s="732"/>
      <c r="H43" s="733"/>
      <c r="I43" s="734"/>
    </row>
    <row r="44" spans="1:9" ht="17.25">
      <c r="A44" s="729" t="s">
        <v>4</v>
      </c>
      <c r="B44" s="730"/>
      <c r="C44" s="731"/>
      <c r="D44" s="308">
        <v>24500</v>
      </c>
      <c r="E44" s="293" t="s">
        <v>1</v>
      </c>
      <c r="F44" s="735" t="s">
        <v>3</v>
      </c>
      <c r="G44" s="736"/>
      <c r="H44" s="921"/>
      <c r="I44" s="922"/>
    </row>
    <row r="45" spans="1:9" ht="18" thickBot="1">
      <c r="A45" s="737" t="s">
        <v>2</v>
      </c>
      <c r="B45" s="738"/>
      <c r="C45" s="739"/>
      <c r="D45" s="340">
        <v>500</v>
      </c>
      <c r="E45" s="341" t="s">
        <v>1</v>
      </c>
      <c r="F45" s="749"/>
      <c r="G45" s="749"/>
      <c r="H45" s="733"/>
      <c r="I45" s="734"/>
    </row>
    <row r="46" spans="1:9" ht="16.5" thickBot="1">
      <c r="A46" s="740" t="s">
        <v>0</v>
      </c>
      <c r="B46" s="741"/>
      <c r="C46" s="741"/>
      <c r="D46" s="741"/>
      <c r="E46" s="741"/>
      <c r="F46" s="741"/>
      <c r="G46" s="741"/>
      <c r="H46" s="741"/>
      <c r="I46" s="742"/>
    </row>
    <row r="47" spans="1:9" ht="18.399999999999999" customHeight="1">
      <c r="A47" s="917" t="s">
        <v>201</v>
      </c>
      <c r="B47" s="918"/>
      <c r="C47" s="919"/>
      <c r="D47" s="919"/>
      <c r="E47" s="919"/>
      <c r="F47" s="919"/>
      <c r="G47" s="919"/>
      <c r="H47" s="919"/>
      <c r="I47" s="920"/>
    </row>
    <row r="48" spans="1:9" ht="14.65" customHeight="1">
      <c r="A48" s="917" t="s">
        <v>202</v>
      </c>
      <c r="B48" s="918"/>
      <c r="C48" s="919"/>
      <c r="D48" s="919"/>
      <c r="E48" s="919"/>
      <c r="F48" s="919"/>
      <c r="G48" s="919"/>
      <c r="H48" s="919"/>
      <c r="I48" s="920"/>
    </row>
    <row r="49" spans="1:9" ht="14.65" customHeight="1">
      <c r="A49" s="763" t="s">
        <v>203</v>
      </c>
      <c r="B49" s="764"/>
      <c r="C49" s="764"/>
      <c r="D49" s="764"/>
      <c r="E49" s="764"/>
      <c r="F49" s="764"/>
      <c r="G49" s="764"/>
      <c r="H49" s="764"/>
      <c r="I49" s="765"/>
    </row>
    <row r="50" spans="1:9" ht="14.65" customHeight="1">
      <c r="A50" s="930"/>
      <c r="B50" s="931"/>
      <c r="C50" s="931"/>
      <c r="D50" s="931"/>
      <c r="E50" s="931"/>
      <c r="F50" s="931"/>
      <c r="G50" s="931"/>
      <c r="H50" s="931"/>
      <c r="I50" s="932"/>
    </row>
    <row r="51" spans="1:9" ht="14.65" customHeight="1">
      <c r="A51" s="930"/>
      <c r="B51" s="931"/>
      <c r="C51" s="931"/>
      <c r="D51" s="931"/>
      <c r="E51" s="931"/>
      <c r="F51" s="931"/>
      <c r="G51" s="931"/>
      <c r="H51" s="931"/>
      <c r="I51" s="932"/>
    </row>
    <row r="52" spans="1:9" ht="14.65" customHeight="1" thickBot="1">
      <c r="A52" s="933"/>
      <c r="B52" s="934"/>
      <c r="C52" s="934"/>
      <c r="D52" s="934"/>
      <c r="E52" s="934"/>
      <c r="F52" s="934"/>
      <c r="G52" s="934"/>
      <c r="H52" s="934"/>
      <c r="I52" s="935"/>
    </row>
    <row r="53" spans="1:9" ht="18" customHeight="1">
      <c r="A53" s="936"/>
      <c r="B53" s="937"/>
      <c r="C53" s="937"/>
      <c r="D53" s="937"/>
      <c r="E53" s="937"/>
      <c r="F53" s="937"/>
      <c r="G53" s="937"/>
      <c r="H53" s="937"/>
      <c r="I53" s="938"/>
    </row>
    <row r="54" spans="1:9" ht="18" thickBot="1">
      <c r="A54" s="939"/>
      <c r="B54" s="940"/>
      <c r="C54" s="940"/>
      <c r="D54" s="940"/>
      <c r="E54" s="940"/>
      <c r="F54" s="940"/>
      <c r="G54" s="940"/>
      <c r="H54" s="940"/>
      <c r="I54" s="941"/>
    </row>
    <row r="55" spans="1:9" ht="15.75">
      <c r="A55" s="923"/>
      <c r="B55" s="924"/>
      <c r="C55" s="924"/>
      <c r="D55" s="924"/>
      <c r="E55" s="924"/>
      <c r="F55" s="924"/>
      <c r="G55" s="924"/>
      <c r="H55" s="924"/>
      <c r="I55" s="925"/>
    </row>
    <row r="56" spans="1:9" ht="16.5" thickBot="1">
      <c r="A56" s="312"/>
      <c r="B56" s="312"/>
      <c r="C56" s="312"/>
      <c r="D56" s="312"/>
      <c r="E56" s="312"/>
      <c r="F56" s="312"/>
      <c r="G56" s="312"/>
      <c r="H56" s="312"/>
      <c r="I56" s="312"/>
    </row>
    <row r="57" spans="1:9" ht="15.75">
      <c r="A57" s="926" t="s">
        <v>204</v>
      </c>
      <c r="B57" s="927"/>
      <c r="C57" s="927"/>
      <c r="D57" s="927"/>
      <c r="E57" s="927"/>
      <c r="F57" s="927"/>
      <c r="G57" s="927"/>
      <c r="H57" s="927"/>
      <c r="I57" s="927"/>
    </row>
    <row r="58" spans="1:9" ht="17.25">
      <c r="A58" s="928"/>
      <c r="B58" s="929"/>
      <c r="C58" s="929"/>
      <c r="D58" s="929"/>
      <c r="E58" s="929"/>
      <c r="F58" s="929"/>
      <c r="G58" s="929"/>
      <c r="H58" s="929"/>
      <c r="I58" s="929"/>
    </row>
  </sheetData>
  <mergeCells count="44">
    <mergeCell ref="A55:I55"/>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C988-742F-445B-BCDE-3C2D42528EE7}">
  <dimension ref="A1:Q91"/>
  <sheetViews>
    <sheetView topLeftCell="A61" workbookViewId="0">
      <selection activeCell="E69" sqref="E69"/>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0" ht="27.75" customHeight="1">
      <c r="A1" s="171"/>
      <c r="B1" s="171"/>
      <c r="C1" s="171"/>
      <c r="D1" s="171"/>
      <c r="E1" s="172" t="s">
        <v>125</v>
      </c>
      <c r="F1" s="173" t="s">
        <v>126</v>
      </c>
      <c r="G1" s="173" t="s">
        <v>127</v>
      </c>
      <c r="H1" s="173" t="s">
        <v>128</v>
      </c>
      <c r="I1" s="174"/>
    </row>
    <row r="2" spans="1:10" ht="30.75" customHeight="1">
      <c r="A2" s="171"/>
      <c r="B2" s="171"/>
      <c r="C2" s="171"/>
      <c r="D2" s="171"/>
      <c r="E2" s="177">
        <f>IFERROR(O62,"")</f>
        <v>2659.7692207792206</v>
      </c>
      <c r="F2" s="177">
        <f>IFERROR(H53,"")</f>
        <v>2318.9899999999998</v>
      </c>
      <c r="G2" s="177">
        <f>IFERROR(H54,"")</f>
        <v>0</v>
      </c>
      <c r="H2" s="177">
        <f>IFERROR(H56,"")</f>
        <v>164</v>
      </c>
      <c r="I2" s="178"/>
    </row>
    <row r="3" spans="1:10" ht="15" customHeight="1">
      <c r="A3" s="171"/>
      <c r="B3" s="171"/>
      <c r="C3" s="171"/>
      <c r="D3" s="171"/>
      <c r="E3" s="171"/>
      <c r="F3" s="179"/>
      <c r="G3" s="179"/>
      <c r="H3" s="179"/>
      <c r="I3" s="179"/>
    </row>
    <row r="4" spans="1:10" ht="24.75" customHeight="1" thickBot="1">
      <c r="A4" s="1001"/>
      <c r="B4" s="1001"/>
      <c r="C4" s="1001"/>
      <c r="D4" s="1001"/>
      <c r="E4" s="1001"/>
      <c r="F4" s="1001"/>
      <c r="G4" s="1001"/>
      <c r="H4" s="1001"/>
      <c r="I4" s="180"/>
    </row>
    <row r="5" spans="1:10" ht="19.5" customHeight="1" thickBot="1">
      <c r="A5" s="1002" t="s">
        <v>129</v>
      </c>
      <c r="B5" s="1003"/>
      <c r="C5" s="1003"/>
      <c r="D5" s="1003"/>
      <c r="E5" s="1003"/>
      <c r="F5" s="1003"/>
      <c r="G5" s="1003"/>
      <c r="H5" s="1004"/>
      <c r="I5" s="181"/>
    </row>
    <row r="6" spans="1:10" ht="19.5" thickBot="1">
      <c r="A6" s="181"/>
      <c r="B6" s="181"/>
      <c r="C6" s="181"/>
      <c r="D6" s="181"/>
      <c r="E6" s="181"/>
      <c r="F6" s="1005" t="s">
        <v>130</v>
      </c>
      <c r="G6" s="1005"/>
      <c r="H6" s="182">
        <f ca="1">TODAY()</f>
        <v>46148</v>
      </c>
      <c r="I6" s="182"/>
    </row>
    <row r="7" spans="1:10" ht="26.25" thickBot="1">
      <c r="A7" s="183" t="s">
        <v>131</v>
      </c>
      <c r="B7" s="184" t="s">
        <v>132</v>
      </c>
      <c r="C7" s="184" t="s">
        <v>131</v>
      </c>
      <c r="D7" s="185" t="s">
        <v>133</v>
      </c>
      <c r="E7" s="185" t="s">
        <v>134</v>
      </c>
      <c r="F7" s="185" t="s">
        <v>135</v>
      </c>
      <c r="G7" s="185" t="s">
        <v>136</v>
      </c>
      <c r="H7" s="186" t="s">
        <v>137</v>
      </c>
      <c r="I7" s="187"/>
    </row>
    <row r="8" spans="1:10" ht="13.5">
      <c r="A8" s="188">
        <v>3</v>
      </c>
      <c r="B8" s="176" t="s">
        <v>101</v>
      </c>
      <c r="C8" s="189">
        <f>+A8</f>
        <v>3</v>
      </c>
      <c r="D8" s="190" t="s">
        <v>177</v>
      </c>
      <c r="E8" s="190">
        <v>6.33</v>
      </c>
      <c r="F8" s="190">
        <f>IFERROR(C8*E8,"")</f>
        <v>18.990000000000002</v>
      </c>
      <c r="G8" s="191">
        <f t="shared" ref="G8:G14" si="0">IFERROR(F8/$F$66,"")</f>
        <v>7.5375992837573916E-3</v>
      </c>
      <c r="H8" s="192" t="s">
        <v>100</v>
      </c>
      <c r="I8" s="192"/>
      <c r="J8" s="193"/>
    </row>
    <row r="9" spans="1:10" ht="13.5" hidden="1">
      <c r="A9" s="188"/>
      <c r="B9" s="176" t="str">
        <f>IFERROR(VLOOKUP(H9,'[1]Consolidado MP Planta'!$A$2:$M$823,3,0),"")</f>
        <v/>
      </c>
      <c r="C9" s="189">
        <f t="shared" ref="C9:C14" si="1">+A9</f>
        <v>0</v>
      </c>
      <c r="D9" s="190" t="str">
        <f>IFERROR(VLOOKUP(H9,'[1]Consolidado MP Planta'!$A$2:$M$823,13,0),"")</f>
        <v/>
      </c>
      <c r="E9" s="190" t="str">
        <f>IFERROR(VLOOKUP(H9,'[1]Consolidado MP Planta'!$A$2:$M$823,12,0),"")</f>
        <v/>
      </c>
      <c r="F9" s="190" t="str">
        <f t="shared" ref="F9:F14" si="2">IFERROR(C9*E9,"")</f>
        <v/>
      </c>
      <c r="G9" s="191" t="str">
        <f t="shared" si="0"/>
        <v/>
      </c>
      <c r="H9" s="192"/>
      <c r="I9" s="192"/>
      <c r="J9" s="193"/>
    </row>
    <row r="10" spans="1:10"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0"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0"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0"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0"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0" ht="14.25" thickBot="1">
      <c r="A15" s="188"/>
      <c r="B15" s="176" t="str">
        <f>IFERROR(VLOOKUP(H15,[2]Hoja2!$A$2:$G$589,2,0),"")</f>
        <v/>
      </c>
      <c r="C15" s="189"/>
      <c r="D15" s="190"/>
      <c r="E15" s="190"/>
      <c r="F15" s="190"/>
      <c r="G15" s="191"/>
      <c r="H15" s="192"/>
      <c r="I15" s="192"/>
      <c r="J15" s="193"/>
    </row>
    <row r="16" spans="1:10" ht="26.25" thickBot="1">
      <c r="A16" s="183" t="s">
        <v>131</v>
      </c>
      <c r="B16" s="184" t="s">
        <v>138</v>
      </c>
      <c r="C16" s="184" t="s">
        <v>131</v>
      </c>
      <c r="D16" s="185" t="s">
        <v>133</v>
      </c>
      <c r="E16" s="185" t="s">
        <v>134</v>
      </c>
      <c r="F16" s="185" t="s">
        <v>135</v>
      </c>
      <c r="G16" s="185" t="s">
        <v>136</v>
      </c>
      <c r="H16" s="186" t="s">
        <v>137</v>
      </c>
      <c r="I16" s="187"/>
      <c r="J16" s="193"/>
    </row>
    <row r="17" spans="1:12" ht="13.5">
      <c r="A17" s="188">
        <v>1000</v>
      </c>
      <c r="B17" s="176" t="s">
        <v>78</v>
      </c>
      <c r="C17" s="189">
        <f>+A17</f>
        <v>1000</v>
      </c>
      <c r="D17" s="189" t="s">
        <v>177</v>
      </c>
      <c r="E17" s="190">
        <v>2.2999999999999998</v>
      </c>
      <c r="F17" s="190">
        <f>IFERROR(E17*C17,"")</f>
        <v>2300</v>
      </c>
      <c r="G17" s="191">
        <f t="shared" ref="G17:G24" si="3">IFERROR(F17/$F$66,"")</f>
        <v>0.91292671683212212</v>
      </c>
      <c r="H17" s="192" t="s">
        <v>77</v>
      </c>
      <c r="I17" s="192"/>
      <c r="J17" s="193"/>
    </row>
    <row r="18" spans="1:12" ht="13.5" hidden="1">
      <c r="A18" s="188"/>
      <c r="B18" s="176" t="str">
        <f>IFERROR(VLOOKUP(H18,[1]SEMIELABORADOS!$A$2:$M$6000,2,0),"")</f>
        <v/>
      </c>
      <c r="C18" s="189">
        <f t="shared" ref="C18:C24" si="4">+A18</f>
        <v>0</v>
      </c>
      <c r="D18" s="189" t="str">
        <f>IFERROR(VLOOKUP(H18,[1]SEMIELABORADOS!$A$2:$M$6000,6,0),"")</f>
        <v/>
      </c>
      <c r="E18" s="190" t="str">
        <f>IFERROR(VLOOKUP(H18,[1]SEMIELABORADOS!$A$2:$H$65536,8,0),"")</f>
        <v/>
      </c>
      <c r="F18" s="190" t="str">
        <f t="shared" ref="F18:F24" si="5">IFERROR(E18*C18,"")</f>
        <v/>
      </c>
      <c r="G18" s="191" t="str">
        <f t="shared" si="3"/>
        <v/>
      </c>
      <c r="H18" s="192"/>
      <c r="I18" s="192"/>
      <c r="J18" s="193"/>
    </row>
    <row r="19" spans="1:12" ht="13.5" hidden="1">
      <c r="A19" s="188"/>
      <c r="B19" s="176" t="str">
        <f>IFERROR(VLOOKUP(H19,[1]SEMIELABORADOS!$A$2:$M$6000,2,0),"")</f>
        <v/>
      </c>
      <c r="C19" s="189">
        <f>+A19</f>
        <v>0</v>
      </c>
      <c r="D19" s="189" t="str">
        <f>IFERROR(VLOOKUP(H19,[1]SEMIELABORADOS!$A$2:$M$6000,6,0),"")</f>
        <v/>
      </c>
      <c r="E19" s="190" t="str">
        <f>IFERROR(VLOOKUP(H19,[1]SEMIELABORADOS!$A$2:$H$65536,8,0),"")</f>
        <v/>
      </c>
      <c r="F19" s="190" t="str">
        <f>IFERROR(E19*C19,"")</f>
        <v/>
      </c>
      <c r="G19" s="191" t="str">
        <f t="shared" si="3"/>
        <v/>
      </c>
      <c r="H19" s="192"/>
      <c r="I19" s="192"/>
      <c r="J19" s="193"/>
    </row>
    <row r="20" spans="1:12" ht="13.5" hidden="1">
      <c r="A20" s="188"/>
      <c r="B20" s="176" t="str">
        <f>IFERROR(VLOOKUP(H20,[1]SEMIELABORADOS!$A$2:$M$6000,2,0),"")</f>
        <v/>
      </c>
      <c r="C20" s="189">
        <f>+A20</f>
        <v>0</v>
      </c>
      <c r="D20" s="189" t="str">
        <f>IFERROR(VLOOKUP(H20,[1]SEMIELABORADOS!$A$2:$M$6000,6,0),"")</f>
        <v/>
      </c>
      <c r="E20" s="190" t="str">
        <f>IFERROR(VLOOKUP(H20,[1]SEMIELABORADOS!$A$2:$H$65536,8,0),"")</f>
        <v/>
      </c>
      <c r="F20" s="190" t="str">
        <f>IFERROR(E20*C20,"")</f>
        <v/>
      </c>
      <c r="G20" s="191" t="str">
        <f t="shared" si="3"/>
        <v/>
      </c>
      <c r="H20" s="192"/>
      <c r="I20" s="192"/>
      <c r="J20" s="193"/>
    </row>
    <row r="21" spans="1:12" ht="13.5" hidden="1">
      <c r="A21" s="188"/>
      <c r="B21" s="176" t="str">
        <f>IFERROR(VLOOKUP(H21,[1]SEMIELABORADOS!$A$2:$M$6000,2,0),"")</f>
        <v/>
      </c>
      <c r="C21" s="189">
        <f>+A21</f>
        <v>0</v>
      </c>
      <c r="D21" s="189" t="str">
        <f>IFERROR(VLOOKUP(H21,[1]SEMIELABORADOS!$A$2:$M$6000,6,0),"")</f>
        <v/>
      </c>
      <c r="E21" s="190" t="str">
        <f>IFERROR(VLOOKUP(H21,[1]SEMIELABORADOS!$A$2:$H$65536,8,0),"")</f>
        <v/>
      </c>
      <c r="F21" s="190" t="str">
        <f>IFERROR(E21*C21,"")</f>
        <v/>
      </c>
      <c r="G21" s="191" t="str">
        <f t="shared" si="3"/>
        <v/>
      </c>
      <c r="H21" s="192"/>
      <c r="I21" s="192"/>
      <c r="J21" s="193"/>
    </row>
    <row r="22" spans="1:12" ht="13.5" hidden="1">
      <c r="A22" s="188"/>
      <c r="B22" s="176" t="str">
        <f>IFERROR(VLOOKUP(H22,[1]SEMIELABORADOS!$A$2:$M$6000,2,0),"")</f>
        <v/>
      </c>
      <c r="C22" s="189">
        <f t="shared" si="4"/>
        <v>0</v>
      </c>
      <c r="D22" s="189" t="str">
        <f>IFERROR(VLOOKUP(H22,[1]SEMIELABORADOS!$A$2:$M$6000,6,0),"")</f>
        <v/>
      </c>
      <c r="E22" s="190" t="str">
        <f>IFERROR(VLOOKUP(H22,[1]SEMIELABORADOS!$A$2:$H$65536,8,0),"")</f>
        <v/>
      </c>
      <c r="F22" s="190" t="str">
        <f t="shared" si="5"/>
        <v/>
      </c>
      <c r="G22" s="191" t="str">
        <f t="shared" si="3"/>
        <v/>
      </c>
      <c r="H22" s="192"/>
      <c r="I22" s="192"/>
      <c r="J22" s="193"/>
    </row>
    <row r="23" spans="1:12" ht="13.5" hidden="1">
      <c r="A23" s="188"/>
      <c r="B23" s="176" t="str">
        <f>IFERROR(VLOOKUP(H23,[1]SEMIELABORADOS!$A$2:$M$6000,2,0),"")</f>
        <v/>
      </c>
      <c r="C23" s="189">
        <f t="shared" si="4"/>
        <v>0</v>
      </c>
      <c r="D23" s="189" t="str">
        <f>IFERROR(VLOOKUP(H23,[1]SEMIELABORADOS!$A$2:$M$6000,6,0),"")</f>
        <v/>
      </c>
      <c r="E23" s="190" t="str">
        <f>IFERROR(VLOOKUP(H23,[1]SEMIELABORADOS!$A$2:$H$65536,8,0),"")</f>
        <v/>
      </c>
      <c r="F23" s="190" t="str">
        <f t="shared" si="5"/>
        <v/>
      </c>
      <c r="G23" s="191" t="str">
        <f t="shared" si="3"/>
        <v/>
      </c>
      <c r="H23" s="192"/>
      <c r="I23" s="192"/>
      <c r="J23" s="193"/>
    </row>
    <row r="24" spans="1:12" ht="13.5" hidden="1">
      <c r="A24" s="188"/>
      <c r="B24" s="176" t="str">
        <f>IFERROR(VLOOKUP(H24,[1]SEMIELABORADOS!$A$2:$M$6000,2,0),"")</f>
        <v/>
      </c>
      <c r="C24" s="189">
        <f t="shared" si="4"/>
        <v>0</v>
      </c>
      <c r="D24" s="189" t="str">
        <f>IFERROR(VLOOKUP(H24,[1]SEMIELABORADOS!$A$2:$M$6000,6,0),"")</f>
        <v/>
      </c>
      <c r="E24" s="190" t="str">
        <f>IFERROR(VLOOKUP(H24,[1]SEMIELABORADOS!$A$2:$H$65536,8,0),"")</f>
        <v/>
      </c>
      <c r="F24" s="190" t="str">
        <f t="shared" si="5"/>
        <v/>
      </c>
      <c r="G24" s="191" t="str">
        <f t="shared" si="3"/>
        <v/>
      </c>
      <c r="H24" s="192"/>
      <c r="I24" s="192"/>
      <c r="J24" s="193"/>
    </row>
    <row r="25" spans="1:12" ht="14.25" thickBot="1">
      <c r="A25" s="188"/>
      <c r="C25" s="189"/>
      <c r="D25" s="189"/>
      <c r="E25" s="190"/>
      <c r="F25" s="190"/>
      <c r="G25" s="191"/>
      <c r="H25" s="192"/>
      <c r="I25" s="192"/>
      <c r="J25" s="193"/>
    </row>
    <row r="26" spans="1:12" ht="26.25" thickBot="1">
      <c r="A26" s="183" t="s">
        <v>131</v>
      </c>
      <c r="B26" s="184" t="s">
        <v>34</v>
      </c>
      <c r="C26" s="184" t="s">
        <v>131</v>
      </c>
      <c r="D26" s="185" t="s">
        <v>133</v>
      </c>
      <c r="E26" s="185" t="s">
        <v>134</v>
      </c>
      <c r="F26" s="185" t="s">
        <v>135</v>
      </c>
      <c r="G26" s="185" t="s">
        <v>136</v>
      </c>
      <c r="H26" s="186" t="s">
        <v>137</v>
      </c>
      <c r="I26" s="187"/>
    </row>
    <row r="27" spans="1:12" ht="13.5" hidden="1">
      <c r="A27" s="188">
        <v>0</v>
      </c>
      <c r="B27" s="194" t="str">
        <f>IFERROR(VLOOKUP(H27,'[1]Consolidado MP Planta'!$A$2:$M$823,3,0),"")</f>
        <v/>
      </c>
      <c r="C27" s="189">
        <f t="shared" ref="C27:C32" si="6">+A27</f>
        <v>0</v>
      </c>
      <c r="D27" s="190" t="str">
        <f>IFERROR(VLOOKUP(H27,'[1]Consolidado MP Planta'!$A$2:$M$823,13,0),"")</f>
        <v/>
      </c>
      <c r="E27" s="190" t="str">
        <f>IFERROR(VLOOKUP(H27,'[1]Consolidado MP Planta'!$A$2:$M$823,12,0),"")</f>
        <v/>
      </c>
      <c r="F27" s="190" t="str">
        <f t="shared" ref="F27:F32" si="7">IFERROR(C27*E27,"")</f>
        <v/>
      </c>
      <c r="G27" s="191" t="str">
        <f t="shared" ref="G27:G32" si="8">IFERROR(F27/$F$66,"")</f>
        <v/>
      </c>
      <c r="H27" s="195"/>
      <c r="I27" s="195"/>
      <c r="J27" s="193"/>
      <c r="K27" s="995"/>
      <c r="L27" s="995"/>
    </row>
    <row r="28" spans="1:12" ht="13.5" hidden="1">
      <c r="A28" s="188"/>
      <c r="B28" s="194" t="str">
        <f>IFERROR(VLOOKUP(H28,'[1]Consolidado MP Planta'!$A$2:$M$823,3,0),"")</f>
        <v/>
      </c>
      <c r="C28" s="189">
        <f t="shared" si="6"/>
        <v>0</v>
      </c>
      <c r="D28" s="190" t="str">
        <f>IFERROR(VLOOKUP(H28,'[1]Consolidado MP Planta'!$A$2:$M$823,13,0),"")</f>
        <v/>
      </c>
      <c r="E28" s="190" t="str">
        <f>IFERROR(VLOOKUP(H28,'[1]Consolidado MP Planta'!$A$2:$M$823,12,0),"")</f>
        <v/>
      </c>
      <c r="F28" s="190" t="str">
        <f t="shared" si="7"/>
        <v/>
      </c>
      <c r="G28" s="191" t="str">
        <f t="shared" si="8"/>
        <v/>
      </c>
      <c r="H28" s="195"/>
      <c r="I28" s="195"/>
      <c r="J28" s="193"/>
      <c r="K28" s="995"/>
      <c r="L28" s="995"/>
    </row>
    <row r="29" spans="1:12" ht="13.5" hidden="1">
      <c r="A29" s="188"/>
      <c r="B29" s="194" t="str">
        <f>IFERROR(VLOOKUP(H29,'[1]Consolidado MP Planta'!$A$2:$M$823,3,0),"")</f>
        <v/>
      </c>
      <c r="C29" s="189">
        <f t="shared" si="6"/>
        <v>0</v>
      </c>
      <c r="D29" s="190" t="str">
        <f>IFERROR(VLOOKUP(H29,'[1]Consolidado MP Planta'!$A$2:$M$823,13,0),"")</f>
        <v/>
      </c>
      <c r="E29" s="190" t="str">
        <f>IFERROR(VLOOKUP(H29,'[1]Consolidado MP Planta'!$A$2:$M$823,12,0),"")</f>
        <v/>
      </c>
      <c r="F29" s="190" t="str">
        <f t="shared" si="7"/>
        <v/>
      </c>
      <c r="G29" s="191" t="str">
        <f t="shared" si="8"/>
        <v/>
      </c>
      <c r="H29" s="195"/>
      <c r="I29" s="195"/>
      <c r="J29" s="193"/>
      <c r="K29" s="995"/>
      <c r="L29" s="995"/>
    </row>
    <row r="30" spans="1:12" ht="13.5" hidden="1">
      <c r="A30" s="188"/>
      <c r="B30" s="194" t="str">
        <f>IFERROR(VLOOKUP(H30,'[1]Consolidado MP Planta'!$A$2:$M$823,3,0),"")</f>
        <v/>
      </c>
      <c r="C30" s="189">
        <f t="shared" si="6"/>
        <v>0</v>
      </c>
      <c r="D30" s="190" t="str">
        <f>IFERROR(VLOOKUP(H30,'[1]Consolidado MP Planta'!$A$2:$M$823,13,0),"")</f>
        <v/>
      </c>
      <c r="E30" s="190" t="str">
        <f>IFERROR(VLOOKUP(H30,'[1]Consolidado MP Planta'!$A$2:$M$823,12,0),"")</f>
        <v/>
      </c>
      <c r="F30" s="190" t="str">
        <f t="shared" si="7"/>
        <v/>
      </c>
      <c r="G30" s="191" t="str">
        <f t="shared" si="8"/>
        <v/>
      </c>
      <c r="H30" s="195"/>
      <c r="I30" s="195"/>
      <c r="J30" s="193"/>
      <c r="K30" s="995"/>
      <c r="L30" s="995"/>
    </row>
    <row r="31" spans="1:12" ht="13.5" hidden="1">
      <c r="A31" s="188"/>
      <c r="B31" s="194" t="str">
        <f>IFERROR(VLOOKUP(H31,'[1]Consolidado MP Planta'!$A$2:$M$823,3,0),"")</f>
        <v/>
      </c>
      <c r="C31" s="189">
        <f t="shared" si="6"/>
        <v>0</v>
      </c>
      <c r="D31" s="190" t="str">
        <f>IFERROR(VLOOKUP(H31,'[1]Consolidado MP Planta'!$A$2:$M$823,13,0),"")</f>
        <v/>
      </c>
      <c r="E31" s="190" t="str">
        <f>IFERROR(VLOOKUP(H31,'[1]Consolidado MP Planta'!$A$2:$M$823,12,0),"")</f>
        <v/>
      </c>
      <c r="F31" s="190" t="str">
        <f t="shared" si="7"/>
        <v/>
      </c>
      <c r="G31" s="191" t="str">
        <f t="shared" si="8"/>
        <v/>
      </c>
      <c r="H31" s="195"/>
      <c r="I31" s="195"/>
      <c r="J31" s="193"/>
      <c r="K31" s="196"/>
      <c r="L31" s="197"/>
    </row>
    <row r="32" spans="1:12" ht="13.5" hidden="1">
      <c r="A32" s="188"/>
      <c r="B32" s="194" t="str">
        <f>IFERROR(VLOOKUP(H32,'[1]Consolidado MP Planta'!$A$2:$M$823,3,0),"")</f>
        <v/>
      </c>
      <c r="C32" s="189">
        <f t="shared" si="6"/>
        <v>0</v>
      </c>
      <c r="D32" s="190" t="str">
        <f>IFERROR(VLOOKUP(H32,'[1]Consolidado MP Planta'!$A$2:$M$823,13,0),"")</f>
        <v/>
      </c>
      <c r="E32" s="190" t="str">
        <f>IFERROR(VLOOKUP(H32,'[1]Consolidado MP Planta'!$A$2:$M$823,12,0),"")</f>
        <v/>
      </c>
      <c r="F32" s="190" t="str">
        <f t="shared" si="7"/>
        <v/>
      </c>
      <c r="G32" s="191" t="str">
        <f t="shared" si="8"/>
        <v/>
      </c>
      <c r="H32" s="195"/>
      <c r="I32" s="195"/>
      <c r="J32" s="193"/>
    </row>
    <row r="33" spans="1:13" ht="14.25" hidden="1" thickBot="1">
      <c r="A33" s="188"/>
      <c r="B33" s="194"/>
      <c r="C33" s="189"/>
      <c r="D33" s="190"/>
      <c r="E33" s="190"/>
      <c r="F33" s="190"/>
      <c r="G33" s="191"/>
      <c r="H33" s="195"/>
      <c r="I33" s="195"/>
      <c r="J33" s="193"/>
    </row>
    <row r="34" spans="1:13" ht="26.25" thickBot="1">
      <c r="A34" s="183" t="s">
        <v>131</v>
      </c>
      <c r="B34" s="184" t="s">
        <v>139</v>
      </c>
      <c r="C34" s="184" t="s">
        <v>131</v>
      </c>
      <c r="D34" s="185" t="s">
        <v>133</v>
      </c>
      <c r="E34" s="185" t="s">
        <v>134</v>
      </c>
      <c r="F34" s="185" t="s">
        <v>135</v>
      </c>
      <c r="G34" s="185" t="s">
        <v>136</v>
      </c>
      <c r="H34" s="186" t="s">
        <v>137</v>
      </c>
      <c r="I34" s="195"/>
      <c r="J34" s="193"/>
    </row>
    <row r="35" spans="1:13" ht="13.5">
      <c r="A35" s="188">
        <f>+A17</f>
        <v>1000</v>
      </c>
      <c r="B35" s="194" t="s">
        <v>78</v>
      </c>
      <c r="C35" s="189">
        <f>+A35</f>
        <v>1000</v>
      </c>
      <c r="D35" s="190" t="s">
        <v>177</v>
      </c>
      <c r="E35" s="190">
        <v>0</v>
      </c>
      <c r="F35" s="190">
        <f>IFERROR(E35*C35,"")</f>
        <v>0</v>
      </c>
      <c r="G35" s="191">
        <f t="shared" ref="G35:G41" si="9">IFERROR(F35/$F$66,"")</f>
        <v>0</v>
      </c>
      <c r="H35" s="195" t="s">
        <v>77</v>
      </c>
      <c r="I35" s="195"/>
      <c r="J35" s="193"/>
    </row>
    <row r="36" spans="1:13" ht="13.5" hidden="1">
      <c r="A36" s="188">
        <f t="shared" ref="A36:A41" si="10">+A18</f>
        <v>0</v>
      </c>
      <c r="B36" s="194" t="str">
        <f>IFERROR(VLOOKUP(H36,[1]SEMIELABORADOS!$A$2:$M$6000,2,0),"")</f>
        <v/>
      </c>
      <c r="C36" s="189">
        <f t="shared" ref="C36:C41" si="11">+A36</f>
        <v>0</v>
      </c>
      <c r="D36" s="190" t="str">
        <f>IFERROR(VLOOKUP(H36,[1]SEMIELABORADOS!$A$2:$M$6000,6,0),"")</f>
        <v/>
      </c>
      <c r="E36" s="190" t="str">
        <f>IFERROR(VLOOKUP(H36,[1]SEMIELABORADOS!$A$2:$M$65536,10,0),"")</f>
        <v/>
      </c>
      <c r="F36" s="190" t="str">
        <f t="shared" ref="F36:F41" si="12">IFERROR(E36*C36,"")</f>
        <v/>
      </c>
      <c r="G36" s="191" t="str">
        <f t="shared" si="9"/>
        <v/>
      </c>
      <c r="H36" s="195"/>
      <c r="I36" s="195"/>
      <c r="J36" s="193"/>
    </row>
    <row r="37" spans="1:13" ht="13.5" hidden="1">
      <c r="A37" s="188">
        <f t="shared" si="10"/>
        <v>0</v>
      </c>
      <c r="B37" s="194" t="str">
        <f>IFERROR(VLOOKUP(H37,[1]SEMIELABORADOS!$A$2:$M$6000,2,0),"")</f>
        <v/>
      </c>
      <c r="C37" s="189">
        <f t="shared" si="11"/>
        <v>0</v>
      </c>
      <c r="D37" s="190" t="str">
        <f>IFERROR(VLOOKUP(H37,[1]SEMIELABORADOS!$A$2:$M$6000,6,0),"")</f>
        <v/>
      </c>
      <c r="E37" s="190" t="str">
        <f>IFERROR(VLOOKUP(H37,[1]SEMIELABORADOS!$A$2:$M$65536,10,0),"")</f>
        <v/>
      </c>
      <c r="F37" s="190" t="str">
        <f t="shared" si="12"/>
        <v/>
      </c>
      <c r="G37" s="191" t="str">
        <f t="shared" si="9"/>
        <v/>
      </c>
      <c r="H37" s="195"/>
      <c r="I37" s="195"/>
      <c r="J37" s="193"/>
    </row>
    <row r="38" spans="1:13" ht="13.5" hidden="1">
      <c r="A38" s="188">
        <f t="shared" si="10"/>
        <v>0</v>
      </c>
      <c r="B38" s="194" t="str">
        <f>IFERROR(VLOOKUP(H38,[1]SEMIELABORADOS!$A$2:$M$6000,2,0),"")</f>
        <v/>
      </c>
      <c r="C38" s="189">
        <f>+A38</f>
        <v>0</v>
      </c>
      <c r="D38" s="190" t="str">
        <f>IFERROR(VLOOKUP(H38,[1]SEMIELABORADOS!$A$2:$M$6000,6,0),"")</f>
        <v/>
      </c>
      <c r="E38" s="190" t="str">
        <f>IFERROR(VLOOKUP(H38,[1]SEMIELABORADOS!$A$2:$M$65536,10,0),"")</f>
        <v/>
      </c>
      <c r="F38" s="190" t="str">
        <f>IFERROR(E38*C38,"")</f>
        <v/>
      </c>
      <c r="G38" s="191" t="str">
        <f t="shared" si="9"/>
        <v/>
      </c>
      <c r="H38" s="195"/>
      <c r="I38" s="195"/>
      <c r="J38" s="193"/>
    </row>
    <row r="39" spans="1:13" ht="13.5" hidden="1">
      <c r="A39" s="188">
        <f t="shared" si="10"/>
        <v>0</v>
      </c>
      <c r="B39" s="194" t="str">
        <f>IFERROR(VLOOKUP(H39,[1]SEMIELABORADOS!$A$2:$M$6000,2,0),"")</f>
        <v/>
      </c>
      <c r="C39" s="189">
        <f>+A39</f>
        <v>0</v>
      </c>
      <c r="D39" s="190" t="str">
        <f>IFERROR(VLOOKUP(H39,[1]SEMIELABORADOS!$A$2:$M$6000,6,0),"")</f>
        <v/>
      </c>
      <c r="E39" s="190" t="str">
        <f>IFERROR(VLOOKUP(H39,[1]SEMIELABORADOS!$A$2:$M$65536,10,0),"")</f>
        <v/>
      </c>
      <c r="F39" s="190" t="str">
        <f>IFERROR(E39*C39,"")</f>
        <v/>
      </c>
      <c r="G39" s="191" t="str">
        <f t="shared" si="9"/>
        <v/>
      </c>
      <c r="H39" s="195"/>
      <c r="I39" s="195"/>
      <c r="J39" s="193"/>
    </row>
    <row r="40" spans="1:13" ht="13.5" hidden="1">
      <c r="A40" s="188">
        <f t="shared" si="10"/>
        <v>0</v>
      </c>
      <c r="B40" s="194" t="str">
        <f>IFERROR(VLOOKUP(H40,[1]SEMIELABORADOS!$A$2:$M$6000,2,0),"")</f>
        <v/>
      </c>
      <c r="C40" s="189">
        <f t="shared" si="11"/>
        <v>0</v>
      </c>
      <c r="D40" s="190" t="str">
        <f>IFERROR(VLOOKUP(H40,[1]SEMIELABORADOS!$A$2:$M$6000,6,0),"")</f>
        <v/>
      </c>
      <c r="E40" s="190" t="str">
        <f>IFERROR(VLOOKUP(H40,[1]SEMIELABORADOS!$A$2:$M$65536,10,0),"")</f>
        <v/>
      </c>
      <c r="F40" s="190" t="str">
        <f t="shared" si="12"/>
        <v/>
      </c>
      <c r="G40" s="191" t="str">
        <f t="shared" si="9"/>
        <v/>
      </c>
      <c r="H40" s="195"/>
      <c r="I40" s="195"/>
      <c r="J40" s="193"/>
    </row>
    <row r="41" spans="1:13" ht="13.5" hidden="1">
      <c r="A41" s="188">
        <f t="shared" si="10"/>
        <v>0</v>
      </c>
      <c r="B41" s="194" t="str">
        <f>IFERROR(VLOOKUP(H41,[1]SEMIELABORADOS!$A$2:$M$6000,2,0),"")</f>
        <v/>
      </c>
      <c r="C41" s="189">
        <f t="shared" si="11"/>
        <v>0</v>
      </c>
      <c r="D41" s="190" t="str">
        <f>IFERROR(VLOOKUP(H41,[1]SEMIELABORADOS!$A$2:$M$6000,6,0),"")</f>
        <v/>
      </c>
      <c r="E41" s="190" t="str">
        <f>IFERROR(VLOOKUP(H41,[1]SEMIELABORADOS!$A$2:$M$65536,10,0),"")</f>
        <v/>
      </c>
      <c r="F41" s="190" t="str">
        <f t="shared" si="12"/>
        <v/>
      </c>
      <c r="G41" s="191" t="str">
        <f t="shared" si="9"/>
        <v/>
      </c>
      <c r="H41" s="195"/>
      <c r="I41" s="195"/>
      <c r="J41" s="193"/>
    </row>
    <row r="42" spans="1:13" ht="14.25" thickBot="1">
      <c r="A42" s="188"/>
      <c r="B42" s="194"/>
      <c r="C42" s="189"/>
      <c r="D42" s="190"/>
      <c r="E42" s="190"/>
      <c r="F42" s="190"/>
      <c r="G42" s="191"/>
      <c r="H42" s="195"/>
      <c r="I42" s="195"/>
      <c r="J42" s="193"/>
    </row>
    <row r="43" spans="1:13" ht="26.25" thickBot="1">
      <c r="A43" s="183" t="s">
        <v>131</v>
      </c>
      <c r="B43" s="184" t="s">
        <v>140</v>
      </c>
      <c r="C43" s="184" t="s">
        <v>131</v>
      </c>
      <c r="D43" s="185" t="s">
        <v>133</v>
      </c>
      <c r="E43" s="185" t="s">
        <v>134</v>
      </c>
      <c r="F43" s="185" t="s">
        <v>135</v>
      </c>
      <c r="G43" s="185" t="s">
        <v>136</v>
      </c>
      <c r="H43" s="186" t="s">
        <v>137</v>
      </c>
      <c r="I43" s="187"/>
      <c r="J43" s="193"/>
    </row>
    <row r="44" spans="1:13" ht="13.5">
      <c r="A44" s="188">
        <f>+A35</f>
        <v>1000</v>
      </c>
      <c r="B44" s="194" t="s">
        <v>78</v>
      </c>
      <c r="C44" s="189">
        <f>+A44</f>
        <v>1000</v>
      </c>
      <c r="D44" s="190" t="s">
        <v>177</v>
      </c>
      <c r="E44" s="190">
        <v>0.01</v>
      </c>
      <c r="F44" s="190">
        <f>IFERROR(E44*C44,"")</f>
        <v>10</v>
      </c>
      <c r="G44" s="191">
        <f>IFERROR(F44/$F$66,"")</f>
        <v>3.9692465949222704E-3</v>
      </c>
      <c r="H44" s="195" t="s">
        <v>77</v>
      </c>
      <c r="I44" s="187"/>
      <c r="J44" s="193"/>
    </row>
    <row r="45" spans="1:13" ht="13.5" hidden="1">
      <c r="A45" s="188">
        <f t="shared" ref="A45:A50" si="13">+A36</f>
        <v>0</v>
      </c>
      <c r="B45" s="194" t="str">
        <f>IFERROR(VLOOKUP(H45,[1]SEMIELABORADOS!$A$2:$M$6000,2,0),"")</f>
        <v/>
      </c>
      <c r="C45" s="189">
        <f t="shared" ref="C45:C50" si="14">+A45</f>
        <v>0</v>
      </c>
      <c r="D45" s="190" t="str">
        <f>IFERROR(VLOOKUP(H45,[1]SEMIELABORADOS!$A$2:$M$6000,6,0),"")</f>
        <v/>
      </c>
      <c r="E45" s="190" t="str">
        <f>IFERROR(VLOOKUP(H45,[1]SEMIELABORADOS!$A$2:$M$65536,12,0),"")</f>
        <v/>
      </c>
      <c r="F45" s="190" t="str">
        <f t="shared" ref="F45:F50" si="15">IFERROR(E45*C45,"")</f>
        <v/>
      </c>
      <c r="G45" s="191" t="str">
        <f t="shared" ref="G45:G50" si="16">IFERROR(F45/$F$66,"")</f>
        <v/>
      </c>
      <c r="H45" s="195"/>
      <c r="I45" s="187"/>
      <c r="J45" s="193"/>
      <c r="M45" s="198"/>
    </row>
    <row r="46" spans="1:13" ht="13.5" hidden="1">
      <c r="A46" s="188">
        <f t="shared" si="13"/>
        <v>0</v>
      </c>
      <c r="B46" s="194" t="str">
        <f>IFERROR(VLOOKUP(H46,[1]SEMIELABORADOS!$A$2:$M$6000,2,0),"")</f>
        <v/>
      </c>
      <c r="C46" s="189">
        <f t="shared" si="14"/>
        <v>0</v>
      </c>
      <c r="D46" s="190" t="str">
        <f>IFERROR(VLOOKUP(H46,[1]SEMIELABORADOS!$A$2:$M$6000,6,0),"")</f>
        <v/>
      </c>
      <c r="E46" s="190" t="str">
        <f>IFERROR(VLOOKUP(H46,[1]SEMIELABORADOS!$A$2:$M$65536,12,0),"")</f>
        <v/>
      </c>
      <c r="F46" s="190" t="str">
        <f t="shared" si="15"/>
        <v/>
      </c>
      <c r="G46" s="191" t="str">
        <f t="shared" si="16"/>
        <v/>
      </c>
      <c r="H46" s="195"/>
      <c r="I46" s="187"/>
      <c r="J46" s="193"/>
    </row>
    <row r="47" spans="1:13" ht="13.5" hidden="1">
      <c r="A47" s="188">
        <f t="shared" si="13"/>
        <v>0</v>
      </c>
      <c r="B47" s="194" t="str">
        <f>IFERROR(VLOOKUP(H47,[1]SEMIELABORADOS!$A$2:$M$6000,2,0),"")</f>
        <v/>
      </c>
      <c r="C47" s="189">
        <f t="shared" si="14"/>
        <v>0</v>
      </c>
      <c r="D47" s="190" t="str">
        <f>IFERROR(VLOOKUP(H47,[1]SEMIELABORADOS!$A$2:$M$6000,6,0),"")</f>
        <v/>
      </c>
      <c r="E47" s="190" t="str">
        <f>IFERROR(VLOOKUP(H47,[1]SEMIELABORADOS!$A$2:$M$65536,12,0),"")</f>
        <v/>
      </c>
      <c r="F47" s="190" t="str">
        <f t="shared" si="15"/>
        <v/>
      </c>
      <c r="G47" s="191" t="str">
        <f t="shared" si="16"/>
        <v/>
      </c>
      <c r="H47" s="195"/>
      <c r="I47" s="187"/>
      <c r="J47" s="193"/>
    </row>
    <row r="48" spans="1:13" ht="13.5" hidden="1">
      <c r="A48" s="188">
        <f t="shared" si="13"/>
        <v>0</v>
      </c>
      <c r="B48" s="194" t="str">
        <f>IFERROR(VLOOKUP(H48,[1]SEMIELABORADOS!$A$2:$M$6000,2,0),"")</f>
        <v/>
      </c>
      <c r="C48" s="189">
        <f t="shared" si="14"/>
        <v>0</v>
      </c>
      <c r="D48" s="190" t="str">
        <f>IFERROR(VLOOKUP(H48,[1]SEMIELABORADOS!$A$2:$M$6000,6,0),"")</f>
        <v/>
      </c>
      <c r="E48" s="190" t="str">
        <f>IFERROR(VLOOKUP(H48,[1]SEMIELABORADOS!$A$2:$M$65536,12,0),"")</f>
        <v/>
      </c>
      <c r="F48" s="190" t="str">
        <f t="shared" si="15"/>
        <v/>
      </c>
      <c r="G48" s="191" t="str">
        <f t="shared" si="16"/>
        <v/>
      </c>
      <c r="H48" s="195"/>
      <c r="I48" s="187"/>
      <c r="J48" s="193"/>
    </row>
    <row r="49" spans="1:17" ht="13.5" hidden="1">
      <c r="A49" s="188">
        <f t="shared" si="13"/>
        <v>0</v>
      </c>
      <c r="B49" s="194" t="str">
        <f>IFERROR(VLOOKUP(H49,[1]SEMIELABORADOS!$A$2:$M$6000,2,0),"")</f>
        <v/>
      </c>
      <c r="C49" s="189">
        <f t="shared" si="14"/>
        <v>0</v>
      </c>
      <c r="D49" s="190" t="str">
        <f>IFERROR(VLOOKUP(H49,[1]SEMIELABORADOS!$A$2:$M$6000,6,0),"")</f>
        <v/>
      </c>
      <c r="E49" s="190" t="str">
        <f>IFERROR(VLOOKUP(H49,[1]SEMIELABORADOS!$A$2:$M$65536,12,0),"")</f>
        <v/>
      </c>
      <c r="F49" s="190" t="str">
        <f t="shared" si="15"/>
        <v/>
      </c>
      <c r="G49" s="191" t="str">
        <f t="shared" si="16"/>
        <v/>
      </c>
      <c r="H49" s="195"/>
      <c r="I49" s="187"/>
      <c r="J49" s="193"/>
    </row>
    <row r="50" spans="1:17" ht="13.5" hidden="1">
      <c r="A50" s="188">
        <f t="shared" si="13"/>
        <v>0</v>
      </c>
      <c r="B50" s="194" t="str">
        <f>IFERROR(VLOOKUP(H50,[1]SEMIELABORADOS!$A$2:$M$6000,2,0),"")</f>
        <v/>
      </c>
      <c r="C50" s="189">
        <f t="shared" si="14"/>
        <v>0</v>
      </c>
      <c r="D50" s="190" t="str">
        <f>IFERROR(VLOOKUP(H50,[1]SEMIELABORADOS!$A$2:$M$6000,6,0),"")</f>
        <v/>
      </c>
      <c r="E50" s="190" t="str">
        <f>IFERROR(VLOOKUP(H50,[1]SEMIELABORADOS!$A$2:$M$65536,12,0),"")</f>
        <v/>
      </c>
      <c r="F50" s="190" t="str">
        <f t="shared" si="15"/>
        <v/>
      </c>
      <c r="G50" s="191" t="str">
        <f t="shared" si="16"/>
        <v/>
      </c>
      <c r="H50" s="194"/>
      <c r="I50" s="187"/>
      <c r="J50" s="193"/>
    </row>
    <row r="51" spans="1:17" ht="13.5">
      <c r="A51" s="188">
        <v>1</v>
      </c>
      <c r="B51" s="194" t="s">
        <v>141</v>
      </c>
      <c r="C51" s="189">
        <f>+A51</f>
        <v>1</v>
      </c>
      <c r="D51" s="189" t="s">
        <v>142</v>
      </c>
      <c r="E51" s="190">
        <f>+F65</f>
        <v>154</v>
      </c>
      <c r="F51" s="190">
        <f>IFERROR(C51*E51,"")</f>
        <v>154</v>
      </c>
      <c r="G51" s="191">
        <f>IFERROR(F51/$F$66,"")</f>
        <v>6.1126397561802957E-2</v>
      </c>
      <c r="H51" s="199"/>
      <c r="I51" s="199"/>
      <c r="J51" s="193"/>
    </row>
    <row r="52" spans="1:17" ht="14.25" thickBot="1">
      <c r="A52" s="188"/>
      <c r="B52" s="194"/>
      <c r="C52" s="189"/>
      <c r="D52" s="189"/>
      <c r="E52" s="190"/>
      <c r="F52" s="190"/>
      <c r="G52" s="191"/>
      <c r="H52" s="199"/>
      <c r="I52" s="199"/>
      <c r="J52" s="193"/>
    </row>
    <row r="53" spans="1:17" ht="13.5" thickBot="1">
      <c r="A53" s="200"/>
      <c r="B53" s="996" t="s">
        <v>143</v>
      </c>
      <c r="C53" s="996"/>
      <c r="D53" s="996"/>
      <c r="E53" s="996"/>
      <c r="F53" s="202">
        <f>SUM(F8:F14,F17:F24)</f>
        <v>2318.9899999999998</v>
      </c>
      <c r="G53" s="191">
        <f>+F53/$F$66</f>
        <v>0.92046431611587942</v>
      </c>
      <c r="H53" s="203">
        <f>+F53/$D$60</f>
        <v>2318.9899999999998</v>
      </c>
      <c r="I53" s="203"/>
      <c r="J53" s="204"/>
      <c r="K53" s="205"/>
      <c r="L53" s="205"/>
      <c r="M53" s="205"/>
      <c r="N53" s="205"/>
      <c r="O53" s="205"/>
      <c r="P53" s="205"/>
      <c r="Q53" s="206"/>
    </row>
    <row r="54" spans="1:17">
      <c r="A54" s="200"/>
      <c r="B54" s="996" t="s">
        <v>144</v>
      </c>
      <c r="C54" s="996"/>
      <c r="D54" s="996"/>
      <c r="E54" s="996"/>
      <c r="F54" s="202">
        <f>SUM(F27:F32,F35:F41)</f>
        <v>0</v>
      </c>
      <c r="G54" s="191">
        <f>+F54/$F$66</f>
        <v>0</v>
      </c>
      <c r="H54" s="203">
        <f>+F54/$D$60</f>
        <v>0</v>
      </c>
      <c r="I54" s="203"/>
      <c r="J54" s="207"/>
      <c r="K54" s="997" t="s">
        <v>145</v>
      </c>
      <c r="L54" s="998"/>
      <c r="M54" s="998"/>
      <c r="N54" s="998"/>
      <c r="O54" s="208">
        <f>+F55</f>
        <v>2318.9899999999998</v>
      </c>
      <c r="P54" s="208"/>
      <c r="Q54" s="209"/>
    </row>
    <row r="55" spans="1:17">
      <c r="A55" s="200"/>
      <c r="B55" s="996" t="s">
        <v>146</v>
      </c>
      <c r="C55" s="996"/>
      <c r="D55" s="996"/>
      <c r="E55" s="996"/>
      <c r="F55" s="202">
        <f>+F53+F54</f>
        <v>2318.9899999999998</v>
      </c>
      <c r="G55" s="191">
        <f>+F55/$F$66</f>
        <v>0.92046431611587942</v>
      </c>
      <c r="H55" s="203">
        <f>+F55/$D$60</f>
        <v>2318.9899999999998</v>
      </c>
      <c r="I55" s="203"/>
      <c r="J55" s="210"/>
      <c r="K55" s="211"/>
      <c r="M55" s="212" t="s">
        <v>147</v>
      </c>
      <c r="N55" s="213"/>
      <c r="O55" s="208">
        <f>+H56</f>
        <v>164</v>
      </c>
      <c r="P55" s="208"/>
      <c r="Q55" s="209"/>
    </row>
    <row r="56" spans="1:17" ht="13.5" thickBot="1">
      <c r="A56" s="200"/>
      <c r="B56" s="201"/>
      <c r="C56" s="996" t="s">
        <v>148</v>
      </c>
      <c r="D56" s="996"/>
      <c r="E56" s="996"/>
      <c r="F56" s="202">
        <f>SUM(F44:F51)</f>
        <v>164</v>
      </c>
      <c r="G56" s="191">
        <f>+F56/$F$66</f>
        <v>6.5095644156725224E-2</v>
      </c>
      <c r="H56" s="203">
        <f>+F56/$D$60</f>
        <v>164</v>
      </c>
      <c r="I56" s="203"/>
      <c r="J56" s="210"/>
      <c r="K56" s="211"/>
      <c r="L56" s="211"/>
      <c r="M56" s="211" t="s">
        <v>149</v>
      </c>
      <c r="N56" s="214"/>
      <c r="O56" s="208">
        <f>O54*N56</f>
        <v>0</v>
      </c>
      <c r="P56" s="208"/>
      <c r="Q56" s="209"/>
    </row>
    <row r="57" spans="1:17" ht="13.5" thickBot="1">
      <c r="A57" s="200"/>
      <c r="B57" s="215"/>
      <c r="C57" s="215"/>
      <c r="D57" s="215"/>
      <c r="E57" s="215"/>
      <c r="F57" s="216"/>
      <c r="G57" s="191"/>
      <c r="H57" s="217"/>
      <c r="I57" s="203"/>
      <c r="J57" s="210"/>
      <c r="K57" s="218"/>
      <c r="M57" s="219" t="s">
        <v>150</v>
      </c>
      <c r="N57" s="220"/>
      <c r="O57" s="221">
        <f>SUM(O54:O56)</f>
        <v>2482.9899999999998</v>
      </c>
      <c r="P57" s="222"/>
      <c r="Q57" s="209"/>
    </row>
    <row r="58" spans="1:17">
      <c r="B58" s="999" t="s">
        <v>151</v>
      </c>
      <c r="C58" s="999"/>
      <c r="D58" s="223">
        <v>1000</v>
      </c>
      <c r="E58" s="224"/>
      <c r="G58" s="191"/>
      <c r="H58" s="217">
        <f>+H56/77</f>
        <v>2.1298701298701297</v>
      </c>
      <c r="I58" s="225"/>
      <c r="J58" s="210"/>
      <c r="K58" s="218"/>
      <c r="L58" s="211"/>
      <c r="M58" s="211" t="s">
        <v>152</v>
      </c>
      <c r="N58" s="226"/>
      <c r="O58" s="208">
        <f>+H59</f>
        <v>176.77922077922076</v>
      </c>
      <c r="P58" s="208"/>
      <c r="Q58" s="209"/>
    </row>
    <row r="59" spans="1:17">
      <c r="B59" s="999" t="s">
        <v>153</v>
      </c>
      <c r="C59" s="999"/>
      <c r="D59" s="227">
        <v>1000</v>
      </c>
      <c r="E59" s="224"/>
      <c r="G59" s="191"/>
      <c r="H59" s="217">
        <f>+H58*83</f>
        <v>176.77922077922076</v>
      </c>
      <c r="I59" s="225"/>
      <c r="J59" s="210"/>
      <c r="K59" s="218"/>
      <c r="L59" s="211"/>
      <c r="M59" s="1000" t="s">
        <v>150</v>
      </c>
      <c r="N59" s="1000"/>
      <c r="O59" s="208">
        <f>SUM(O57:O58)</f>
        <v>2659.7692207792206</v>
      </c>
      <c r="P59" s="208"/>
      <c r="Q59" s="209"/>
    </row>
    <row r="60" spans="1:17" ht="13.5" thickBot="1">
      <c r="B60" s="991" t="s">
        <v>154</v>
      </c>
      <c r="C60" s="991"/>
      <c r="D60" s="223">
        <f>+D58/D59</f>
        <v>1</v>
      </c>
      <c r="E60" s="224"/>
      <c r="F60" s="228"/>
      <c r="G60" s="191"/>
      <c r="H60" s="217"/>
      <c r="I60" s="225"/>
      <c r="J60" s="210"/>
      <c r="K60" s="218"/>
      <c r="L60" s="1000"/>
      <c r="M60" s="1000"/>
      <c r="N60" s="226"/>
      <c r="O60" s="208">
        <f>+O59*N60</f>
        <v>0</v>
      </c>
      <c r="P60" s="208"/>
      <c r="Q60" s="209"/>
    </row>
    <row r="61" spans="1:17" ht="13.5" thickBot="1">
      <c r="B61" s="991" t="s">
        <v>155</v>
      </c>
      <c r="C61" s="991"/>
      <c r="D61" s="229"/>
      <c r="E61" s="224"/>
      <c r="F61" s="228"/>
      <c r="G61" s="191"/>
      <c r="H61" s="217"/>
      <c r="I61" s="225"/>
      <c r="J61" s="210"/>
      <c r="K61" s="992" t="s">
        <v>156</v>
      </c>
      <c r="L61" s="993"/>
      <c r="M61" s="993"/>
      <c r="N61" s="994"/>
      <c r="O61" s="221">
        <f>SUM(O59:O60)</f>
        <v>2659.7692207792206</v>
      </c>
      <c r="P61" s="230" t="s">
        <v>157</v>
      </c>
      <c r="Q61" s="209"/>
    </row>
    <row r="62" spans="1:17" ht="13.5" thickBot="1">
      <c r="C62" s="200" t="s">
        <v>158</v>
      </c>
      <c r="D62" s="231"/>
      <c r="E62" s="174" t="s">
        <v>159</v>
      </c>
      <c r="F62" s="232" t="s">
        <v>160</v>
      </c>
      <c r="G62" s="191"/>
      <c r="H62" s="217"/>
      <c r="I62" s="225"/>
      <c r="J62" s="233"/>
      <c r="K62" s="234"/>
      <c r="L62" s="980" t="s">
        <v>161</v>
      </c>
      <c r="M62" s="980"/>
      <c r="N62" s="980"/>
      <c r="O62" s="235">
        <f>+O61/D60</f>
        <v>2659.7692207792206</v>
      </c>
      <c r="P62" s="236">
        <f>+O62/D59</f>
        <v>2.6597692207792205</v>
      </c>
      <c r="Q62" s="237"/>
    </row>
    <row r="63" spans="1:17" ht="13.5" thickBot="1">
      <c r="B63" s="981" t="s">
        <v>146</v>
      </c>
      <c r="C63" s="981"/>
      <c r="D63" s="981"/>
      <c r="E63" s="238">
        <f>+F63/F63</f>
        <v>1</v>
      </c>
      <c r="F63" s="239">
        <f>SUM(F55)</f>
        <v>2318.9899999999998</v>
      </c>
      <c r="G63" s="191">
        <f>+F63/$F$66</f>
        <v>0.92046431611587942</v>
      </c>
      <c r="H63" s="217"/>
      <c r="I63" s="225"/>
      <c r="K63" s="982"/>
      <c r="L63" s="983"/>
      <c r="M63" s="983"/>
      <c r="N63" s="983"/>
      <c r="O63" s="240"/>
      <c r="P63" s="241"/>
    </row>
    <row r="64" spans="1:17" ht="13.5" thickBot="1">
      <c r="B64" s="984" t="s">
        <v>162</v>
      </c>
      <c r="C64" s="984"/>
      <c r="D64" s="984"/>
      <c r="E64" s="242">
        <v>0.02</v>
      </c>
      <c r="F64" s="239">
        <f>+F53*E64</f>
        <v>46.379799999999996</v>
      </c>
      <c r="G64" s="191">
        <f>+F64/$F$66</f>
        <v>1.8409286322317586E-2</v>
      </c>
      <c r="H64" s="203"/>
      <c r="I64" s="225"/>
      <c r="J64" s="243"/>
      <c r="O64" s="244"/>
      <c r="P64" s="201"/>
    </row>
    <row r="65" spans="2:13" ht="13.5" thickBot="1">
      <c r="B65" s="985" t="s">
        <v>163</v>
      </c>
      <c r="C65" s="986"/>
      <c r="D65" s="245">
        <v>2</v>
      </c>
      <c r="E65" s="246">
        <v>77</v>
      </c>
      <c r="F65" s="239">
        <f>+E65*D65</f>
        <v>154</v>
      </c>
      <c r="G65" s="191">
        <f>+F65/$F$66</f>
        <v>6.1126397561802957E-2</v>
      </c>
      <c r="H65" s="203"/>
      <c r="I65" s="203"/>
      <c r="J65" s="193"/>
    </row>
    <row r="66" spans="2:13" ht="13.5" thickBot="1">
      <c r="B66" s="987" t="s">
        <v>164</v>
      </c>
      <c r="C66" s="988"/>
      <c r="D66" s="988"/>
      <c r="E66" s="989"/>
      <c r="F66" s="216">
        <f>SUM(F63:F65)</f>
        <v>2519.3697999999999</v>
      </c>
      <c r="G66" s="191">
        <f>+F66/$F$66</f>
        <v>1</v>
      </c>
      <c r="H66" s="990"/>
      <c r="I66" s="203"/>
      <c r="J66" s="193"/>
      <c r="M66" s="176" t="s">
        <v>165</v>
      </c>
    </row>
    <row r="67" spans="2:13">
      <c r="C67" s="198"/>
      <c r="D67" s="198"/>
      <c r="E67" s="248"/>
      <c r="F67" s="239"/>
      <c r="G67" s="191"/>
      <c r="H67" s="990"/>
      <c r="I67" s="247"/>
      <c r="J67" s="176"/>
      <c r="M67" s="176" t="s">
        <v>166</v>
      </c>
    </row>
    <row r="68" spans="2:13" ht="13.5" thickBot="1">
      <c r="B68" s="975" t="s">
        <v>167</v>
      </c>
      <c r="C68" s="975"/>
      <c r="D68" s="975"/>
      <c r="E68" s="975"/>
      <c r="F68" s="975"/>
      <c r="G68" s="191"/>
      <c r="H68" s="250"/>
      <c r="I68" s="247"/>
      <c r="J68" s="176"/>
      <c r="M68" s="176" t="s">
        <v>168</v>
      </c>
    </row>
    <row r="69" spans="2:13" ht="13.5" thickBot="1">
      <c r="B69" s="251" t="s">
        <v>169</v>
      </c>
      <c r="C69" s="252">
        <f>+F53</f>
        <v>2318.9899999999998</v>
      </c>
      <c r="D69" s="252">
        <f>+D58</f>
        <v>1000</v>
      </c>
      <c r="E69" s="253">
        <f>+C69/D69</f>
        <v>2.3189899999999999</v>
      </c>
      <c r="F69" s="191"/>
      <c r="G69" s="250"/>
      <c r="H69" s="193"/>
      <c r="I69" s="250"/>
      <c r="J69" s="176"/>
    </row>
    <row r="70" spans="2:13">
      <c r="B70" s="254"/>
      <c r="C70" s="255"/>
      <c r="D70" s="256"/>
      <c r="E70" s="239"/>
      <c r="F70" s="191"/>
      <c r="G70" s="250"/>
      <c r="H70" s="193"/>
      <c r="I70" s="193"/>
      <c r="J70" s="176"/>
    </row>
    <row r="71" spans="2:13">
      <c r="B71" s="251" t="s">
        <v>170</v>
      </c>
      <c r="C71" s="252">
        <f>SUM(F63:F64)</f>
        <v>2365.3697999999999</v>
      </c>
      <c r="D71" s="252">
        <f>+D58</f>
        <v>1000</v>
      </c>
      <c r="E71" s="257">
        <f>+C71/D71</f>
        <v>2.3653697999999999</v>
      </c>
      <c r="F71" s="191"/>
      <c r="G71" s="250"/>
      <c r="H71" s="193"/>
      <c r="I71" s="193"/>
      <c r="J71" s="176"/>
    </row>
    <row r="72" spans="2:13">
      <c r="B72" s="251"/>
      <c r="C72" s="252"/>
      <c r="D72" s="252"/>
      <c r="E72" s="257"/>
      <c r="F72" s="191"/>
      <c r="G72" s="250"/>
      <c r="H72" s="193"/>
      <c r="I72" s="193"/>
      <c r="J72" s="176"/>
    </row>
    <row r="73" spans="2:13" ht="13.5" thickBot="1">
      <c r="B73" s="251" t="s">
        <v>171</v>
      </c>
      <c r="C73" s="252">
        <f>+F65</f>
        <v>154</v>
      </c>
      <c r="D73" s="252">
        <f>+D58</f>
        <v>1000</v>
      </c>
      <c r="E73" s="257">
        <f>+C73/D73</f>
        <v>0.154</v>
      </c>
      <c r="F73" s="191"/>
      <c r="G73" s="250"/>
      <c r="H73" s="193"/>
      <c r="I73" s="193"/>
      <c r="J73" s="176"/>
    </row>
    <row r="74" spans="2:13" ht="13.5" thickBot="1">
      <c r="B74" s="251" t="s">
        <v>172</v>
      </c>
      <c r="C74" s="252">
        <f>+F56</f>
        <v>164</v>
      </c>
      <c r="D74" s="252">
        <f>+D73</f>
        <v>1000</v>
      </c>
      <c r="E74" s="253">
        <f>+C74/D74</f>
        <v>0.16400000000000001</v>
      </c>
      <c r="F74" s="191"/>
      <c r="G74" s="250"/>
      <c r="H74" s="193"/>
      <c r="I74" s="193"/>
      <c r="J74" s="176"/>
    </row>
    <row r="75" spans="2:13" ht="13.5" thickBot="1">
      <c r="B75" s="215"/>
      <c r="C75" s="216"/>
      <c r="D75" s="216"/>
      <c r="E75" s="257"/>
      <c r="F75" s="191"/>
      <c r="G75" s="250"/>
      <c r="H75" s="193"/>
      <c r="I75" s="193"/>
      <c r="J75" s="176"/>
    </row>
    <row r="76" spans="2:13" ht="13.5" thickBot="1">
      <c r="B76" s="251" t="s">
        <v>173</v>
      </c>
      <c r="C76" s="252">
        <f>+F54</f>
        <v>0</v>
      </c>
      <c r="D76" s="252">
        <f>+D74</f>
        <v>1000</v>
      </c>
      <c r="E76" s="253">
        <f>+C76/D76</f>
        <v>0</v>
      </c>
      <c r="F76" s="191"/>
      <c r="G76" s="250"/>
      <c r="H76" s="193"/>
      <c r="I76" s="193"/>
      <c r="J76" s="193"/>
    </row>
    <row r="77" spans="2:13" ht="13.5" thickBot="1">
      <c r="B77" s="215"/>
      <c r="C77" s="216"/>
      <c r="D77" s="216"/>
      <c r="E77" s="257"/>
      <c r="F77" s="191"/>
      <c r="G77" s="250"/>
      <c r="H77" s="193"/>
      <c r="I77" s="193"/>
    </row>
    <row r="78" spans="2:13" ht="13.5" thickBot="1">
      <c r="B78" s="976" t="s">
        <v>174</v>
      </c>
      <c r="C78" s="977"/>
      <c r="D78" s="978"/>
      <c r="E78" s="253">
        <f>+E69+E74</f>
        <v>2.48299</v>
      </c>
      <c r="G78" s="191"/>
      <c r="H78" s="250"/>
      <c r="I78" s="193"/>
      <c r="J78" s="257"/>
    </row>
    <row r="79" spans="2:13">
      <c r="I79" s="250"/>
      <c r="J79" s="176"/>
    </row>
    <row r="80" spans="2:13" ht="13.5" thickBot="1">
      <c r="B80" s="975" t="s">
        <v>175</v>
      </c>
      <c r="C80" s="975"/>
      <c r="D80" s="975"/>
      <c r="E80" s="975"/>
      <c r="F80" s="975"/>
      <c r="G80" s="191"/>
      <c r="H80" s="250"/>
      <c r="J80" s="176"/>
    </row>
    <row r="81" spans="1:10" ht="13.5" thickBot="1">
      <c r="B81" s="251" t="s">
        <v>169</v>
      </c>
      <c r="C81" s="252">
        <f>+C69</f>
        <v>2318.9899999999998</v>
      </c>
      <c r="D81" s="252">
        <f>+D60</f>
        <v>1</v>
      </c>
      <c r="E81" s="253">
        <f>+C81/D81</f>
        <v>2318.9899999999998</v>
      </c>
      <c r="F81" s="191"/>
      <c r="G81" s="250"/>
      <c r="H81" s="193"/>
      <c r="I81" s="250"/>
      <c r="J81" s="176"/>
    </row>
    <row r="82" spans="1:10">
      <c r="B82" s="254"/>
      <c r="C82" s="255"/>
      <c r="D82" s="256"/>
      <c r="E82" s="239"/>
      <c r="F82" s="191"/>
      <c r="G82" s="250"/>
      <c r="H82" s="193"/>
      <c r="I82" s="193"/>
      <c r="J82" s="176"/>
    </row>
    <row r="83" spans="1:10">
      <c r="B83" s="251" t="s">
        <v>170</v>
      </c>
      <c r="C83" s="252">
        <f>+C71</f>
        <v>2365.3697999999999</v>
      </c>
      <c r="D83" s="252">
        <f>+D60</f>
        <v>1</v>
      </c>
      <c r="E83" s="257">
        <f>+C83/D83</f>
        <v>2365.3697999999999</v>
      </c>
      <c r="F83" s="191"/>
      <c r="G83" s="250"/>
      <c r="H83" s="193"/>
      <c r="I83" s="193"/>
      <c r="J83" s="176"/>
    </row>
    <row r="84" spans="1:10">
      <c r="B84" s="251"/>
      <c r="C84" s="252"/>
      <c r="D84" s="252"/>
      <c r="E84" s="257"/>
      <c r="F84" s="191"/>
      <c r="G84" s="250"/>
      <c r="H84" s="193"/>
      <c r="I84" s="193"/>
      <c r="J84" s="176"/>
    </row>
    <row r="85" spans="1:10" ht="13.5" thickBot="1">
      <c r="B85" s="251" t="s">
        <v>172</v>
      </c>
      <c r="C85" s="252">
        <f>+C73</f>
        <v>154</v>
      </c>
      <c r="D85" s="252">
        <f>+D60</f>
        <v>1</v>
      </c>
      <c r="E85" s="257">
        <f>+C85/D85</f>
        <v>154</v>
      </c>
      <c r="F85" s="259"/>
      <c r="G85" s="249"/>
      <c r="H85" s="175"/>
      <c r="I85" s="193"/>
    </row>
    <row r="86" spans="1:10" ht="13.5" thickBot="1">
      <c r="B86" s="251" t="s">
        <v>172</v>
      </c>
      <c r="C86" s="252">
        <f>+C74</f>
        <v>164</v>
      </c>
      <c r="D86" s="252">
        <f>+D85</f>
        <v>1</v>
      </c>
      <c r="E86" s="253">
        <f>+C86/D86</f>
        <v>164</v>
      </c>
      <c r="F86" s="258"/>
      <c r="G86" s="249"/>
      <c r="H86" s="175"/>
      <c r="I86" s="175"/>
    </row>
    <row r="87" spans="1:10">
      <c r="I87" s="175"/>
    </row>
    <row r="88" spans="1:10">
      <c r="A88" s="979"/>
      <c r="B88" s="979"/>
      <c r="C88" s="260"/>
      <c r="D88" s="260"/>
      <c r="E88" s="261"/>
      <c r="G88" s="262"/>
    </row>
    <row r="89" spans="1:10">
      <c r="A89" s="194"/>
      <c r="B89" s="263"/>
      <c r="C89" s="264"/>
      <c r="D89" s="264"/>
      <c r="E89" s="265"/>
      <c r="G89" s="262"/>
    </row>
    <row r="90" spans="1:10">
      <c r="A90" s="194"/>
      <c r="B90" s="263"/>
      <c r="C90" s="266"/>
      <c r="D90" s="266"/>
      <c r="E90" s="194"/>
      <c r="G90" s="262"/>
    </row>
    <row r="91" spans="1:10">
      <c r="A91" s="194"/>
      <c r="B91" s="263"/>
      <c r="C91" s="267"/>
      <c r="D91" s="267"/>
      <c r="E91" s="194"/>
      <c r="G91" s="26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D075-76F4-4CE2-9864-389DED7C7D46}">
  <dimension ref="A1:Q91"/>
  <sheetViews>
    <sheetView topLeftCell="A4" workbookViewId="0">
      <selection activeCell="C28" sqref="C28"/>
    </sheetView>
  </sheetViews>
  <sheetFormatPr baseColWidth="10" defaultColWidth="8.42578125" defaultRowHeight="12.75"/>
  <cols>
    <col min="1" max="1" width="10" style="176" bestFit="1" customWidth="1"/>
    <col min="2" max="2" width="44.28515625" style="176" bestFit="1" customWidth="1"/>
    <col min="3" max="3" width="10.42578125" style="176" bestFit="1" customWidth="1"/>
    <col min="4" max="4" width="10.42578125" style="176" customWidth="1"/>
    <col min="5" max="5" width="11" style="176" customWidth="1"/>
    <col min="6" max="6" width="9.5703125" style="176" bestFit="1" customWidth="1"/>
    <col min="7" max="7" width="10.85546875" style="258" customWidth="1"/>
    <col min="8" max="8" width="10.42578125" style="249" bestFit="1" customWidth="1"/>
    <col min="9" max="9" width="4.5703125" style="249" customWidth="1"/>
    <col min="10" max="10" width="1.85546875" style="175" customWidth="1"/>
    <col min="11" max="11" width="7" style="176" bestFit="1" customWidth="1"/>
    <col min="12" max="12" width="6.28515625" style="176" customWidth="1"/>
    <col min="13" max="13" width="20.42578125" style="176" customWidth="1"/>
    <col min="14" max="14" width="6.42578125" style="176" bestFit="1" customWidth="1"/>
    <col min="15" max="16" width="8.42578125" style="176"/>
    <col min="17" max="17" width="3.28515625" style="176" customWidth="1"/>
    <col min="18" max="16384" width="8.42578125" style="176"/>
  </cols>
  <sheetData>
    <row r="1" spans="1:13" ht="27.75" customHeight="1">
      <c r="A1" s="171"/>
      <c r="B1" s="171"/>
      <c r="C1" s="171"/>
      <c r="D1" s="171"/>
      <c r="E1" s="172" t="s">
        <v>125</v>
      </c>
      <c r="F1" s="173" t="s">
        <v>126</v>
      </c>
      <c r="G1" s="173" t="s">
        <v>127</v>
      </c>
      <c r="H1" s="173" t="s">
        <v>128</v>
      </c>
      <c r="I1" s="174"/>
    </row>
    <row r="2" spans="1:13" ht="30.75" customHeight="1">
      <c r="A2" s="171"/>
      <c r="B2" s="171"/>
      <c r="C2" s="171"/>
      <c r="D2" s="171"/>
      <c r="E2" s="177">
        <f>IFERROR(O62,"")</f>
        <v>3630.3280000000004</v>
      </c>
      <c r="F2" s="177">
        <f>IFERROR(H53,"")</f>
        <v>3098.2000000000003</v>
      </c>
      <c r="G2" s="177">
        <f>IFERROR(H54,"")</f>
        <v>52.128</v>
      </c>
      <c r="H2" s="177">
        <f>IFERROR(H56,"")</f>
        <v>231</v>
      </c>
      <c r="I2" s="178"/>
    </row>
    <row r="3" spans="1:13" ht="15" customHeight="1">
      <c r="A3" s="171"/>
      <c r="B3" s="171"/>
      <c r="C3" s="171"/>
      <c r="D3" s="171"/>
      <c r="E3" s="171"/>
      <c r="F3" s="179"/>
      <c r="G3" s="179"/>
      <c r="H3" s="179"/>
      <c r="I3" s="179"/>
    </row>
    <row r="4" spans="1:13" ht="24.75" customHeight="1" thickBot="1">
      <c r="A4" s="1001"/>
      <c r="B4" s="1001"/>
      <c r="C4" s="1001"/>
      <c r="D4" s="1001"/>
      <c r="E4" s="1001"/>
      <c r="F4" s="1001"/>
      <c r="G4" s="1001"/>
      <c r="H4" s="1001"/>
      <c r="I4" s="180"/>
    </row>
    <row r="5" spans="1:13" ht="19.5" customHeight="1" thickBot="1">
      <c r="A5" s="1002" t="s">
        <v>129</v>
      </c>
      <c r="B5" s="1003"/>
      <c r="C5" s="1003"/>
      <c r="D5" s="1003"/>
      <c r="E5" s="1003"/>
      <c r="F5" s="1003"/>
      <c r="G5" s="1003"/>
      <c r="H5" s="1004"/>
      <c r="I5" s="181"/>
    </row>
    <row r="6" spans="1:13" ht="19.5" thickBot="1">
      <c r="A6" s="181"/>
      <c r="B6" s="181"/>
      <c r="C6" s="181"/>
      <c r="D6" s="181"/>
      <c r="E6" s="181"/>
      <c r="F6" s="1005" t="s">
        <v>130</v>
      </c>
      <c r="G6" s="1005"/>
      <c r="H6" s="182">
        <f ca="1">TODAY()</f>
        <v>46148</v>
      </c>
      <c r="I6" s="182"/>
    </row>
    <row r="7" spans="1:13" ht="26.25" thickBot="1">
      <c r="A7" s="183" t="s">
        <v>131</v>
      </c>
      <c r="B7" s="184" t="s">
        <v>132</v>
      </c>
      <c r="C7" s="184" t="s">
        <v>131</v>
      </c>
      <c r="D7" s="185" t="s">
        <v>133</v>
      </c>
      <c r="E7" s="185" t="s">
        <v>134</v>
      </c>
      <c r="F7" s="185" t="s">
        <v>135</v>
      </c>
      <c r="G7" s="185" t="s">
        <v>136</v>
      </c>
      <c r="H7" s="186" t="s">
        <v>137</v>
      </c>
      <c r="I7" s="187"/>
    </row>
    <row r="8" spans="1:13" ht="13.5">
      <c r="A8" s="188">
        <v>28</v>
      </c>
      <c r="B8" s="176" t="s">
        <v>124</v>
      </c>
      <c r="C8" s="189">
        <f>+A8</f>
        <v>28</v>
      </c>
      <c r="D8" s="190" t="s">
        <v>176</v>
      </c>
      <c r="E8" s="190">
        <v>110.65</v>
      </c>
      <c r="F8" s="190">
        <f>IFERROR(C8*E8,"")</f>
        <v>3098.2000000000003</v>
      </c>
      <c r="G8" s="191">
        <f t="shared" ref="G8:G14" si="0">IFERROR(F8/$F$66,"")</f>
        <v>0.89977846781510251</v>
      </c>
      <c r="H8" s="192"/>
      <c r="I8" s="192"/>
      <c r="J8" s="193"/>
      <c r="M8" s="176">
        <v>2213</v>
      </c>
    </row>
    <row r="9" spans="1:13" ht="13.5">
      <c r="A9" s="188"/>
      <c r="B9" s="176" t="str">
        <f>IFERROR(VLOOKUP(H9,'[1]Consolidado MP Planta'!$A$2:$M$823,3,0),"")</f>
        <v/>
      </c>
      <c r="C9" s="189">
        <f t="shared" ref="C9:C14" si="1">+A9</f>
        <v>0</v>
      </c>
      <c r="D9" s="190" t="str">
        <f>IFERROR(VLOOKUP(H9,'[1]Consolidado MP Planta'!$A$2:$M$823,13,0),"")</f>
        <v/>
      </c>
      <c r="E9" s="190" t="str">
        <f>IFERROR(VLOOKUP(H9,'[1]Consolidado MP Planta'!$A$2:$M$823,12,0),"")</f>
        <v/>
      </c>
      <c r="F9" s="190" t="str">
        <f t="shared" ref="F9:F14" si="2">IFERROR(C9*E9,"")</f>
        <v/>
      </c>
      <c r="G9" s="191" t="str">
        <f t="shared" si="0"/>
        <v/>
      </c>
      <c r="H9" s="192"/>
      <c r="I9" s="192"/>
      <c r="J9" s="193"/>
      <c r="M9" s="176">
        <f>+M8/20</f>
        <v>110.65</v>
      </c>
    </row>
    <row r="10" spans="1:13" ht="13.5" hidden="1">
      <c r="A10" s="188"/>
      <c r="B10" s="176" t="str">
        <f>IFERROR(VLOOKUP(H10,'[1]Consolidado MP Planta'!$A$2:$M$823,3,0),"")</f>
        <v/>
      </c>
      <c r="C10" s="189">
        <f t="shared" si="1"/>
        <v>0</v>
      </c>
      <c r="D10" s="190" t="str">
        <f>IFERROR(VLOOKUP(H10,'[1]Consolidado MP Planta'!$A$2:$M$823,13,0),"")</f>
        <v/>
      </c>
      <c r="E10" s="190" t="str">
        <f>IFERROR(VLOOKUP(H10,'[1]Consolidado MP Planta'!$A$2:$M$823,12,0),"")</f>
        <v/>
      </c>
      <c r="F10" s="190" t="str">
        <f t="shared" si="2"/>
        <v/>
      </c>
      <c r="G10" s="191" t="str">
        <f t="shared" si="0"/>
        <v/>
      </c>
      <c r="H10" s="192"/>
      <c r="I10" s="192"/>
      <c r="J10" s="193"/>
    </row>
    <row r="11" spans="1:13" ht="13.5" hidden="1">
      <c r="A11" s="188"/>
      <c r="B11" s="176" t="str">
        <f>IFERROR(VLOOKUP(H11,'[1]Consolidado MP Planta'!$A$2:$M$823,3,0),"")</f>
        <v/>
      </c>
      <c r="C11" s="189">
        <f t="shared" si="1"/>
        <v>0</v>
      </c>
      <c r="D11" s="190" t="str">
        <f>IFERROR(VLOOKUP(H11,'[1]Consolidado MP Planta'!$A$2:$M$823,13,0),"")</f>
        <v/>
      </c>
      <c r="E11" s="190" t="str">
        <f>IFERROR(VLOOKUP(H11,'[1]Consolidado MP Planta'!$A$2:$M$823,12,0),"")</f>
        <v/>
      </c>
      <c r="F11" s="190" t="str">
        <f t="shared" si="2"/>
        <v/>
      </c>
      <c r="G11" s="191" t="str">
        <f t="shared" si="0"/>
        <v/>
      </c>
      <c r="H11" s="192"/>
      <c r="I11" s="192"/>
      <c r="J11" s="193"/>
    </row>
    <row r="12" spans="1:13" ht="13.5" hidden="1">
      <c r="A12" s="188"/>
      <c r="B12" s="176" t="str">
        <f>IFERROR(VLOOKUP(H12,'[1]Consolidado MP Planta'!$A$2:$M$823,3,0),"")</f>
        <v/>
      </c>
      <c r="C12" s="189">
        <f t="shared" si="1"/>
        <v>0</v>
      </c>
      <c r="D12" s="190" t="str">
        <f>IFERROR(VLOOKUP(H12,'[1]Consolidado MP Planta'!$A$2:$M$823,13,0),"")</f>
        <v/>
      </c>
      <c r="E12" s="190" t="str">
        <f>IFERROR(VLOOKUP(H12,'[1]Consolidado MP Planta'!$A$2:$M$823,12,0),"")</f>
        <v/>
      </c>
      <c r="F12" s="190" t="str">
        <f t="shared" si="2"/>
        <v/>
      </c>
      <c r="G12" s="191" t="str">
        <f t="shared" si="0"/>
        <v/>
      </c>
      <c r="H12" s="192"/>
      <c r="I12" s="192"/>
      <c r="J12" s="193"/>
    </row>
    <row r="13" spans="1:13" ht="13.5" hidden="1">
      <c r="A13" s="188"/>
      <c r="B13" s="176" t="str">
        <f>IFERROR(VLOOKUP(H13,'[1]Consolidado MP Planta'!$A$2:$M$823,3,0),"")</f>
        <v/>
      </c>
      <c r="C13" s="189">
        <f t="shared" si="1"/>
        <v>0</v>
      </c>
      <c r="D13" s="190" t="str">
        <f>IFERROR(VLOOKUP(H13,'[1]Consolidado MP Planta'!$A$2:$M$823,13,0),"")</f>
        <v/>
      </c>
      <c r="E13" s="190" t="str">
        <f>IFERROR(VLOOKUP(H13,'[1]Consolidado MP Planta'!$A$2:$M$823,12,0),"")</f>
        <v/>
      </c>
      <c r="F13" s="190" t="str">
        <f t="shared" si="2"/>
        <v/>
      </c>
      <c r="G13" s="191" t="str">
        <f t="shared" si="0"/>
        <v/>
      </c>
      <c r="H13" s="192"/>
      <c r="I13" s="192"/>
      <c r="J13" s="193"/>
    </row>
    <row r="14" spans="1:13" ht="13.5" hidden="1">
      <c r="A14" s="188"/>
      <c r="B14" s="176" t="str">
        <f>IFERROR(VLOOKUP(H14,'[1]Consolidado MP Planta'!$A$2:$M$823,3,0),"")</f>
        <v/>
      </c>
      <c r="C14" s="189">
        <f t="shared" si="1"/>
        <v>0</v>
      </c>
      <c r="D14" s="190" t="str">
        <f>IFERROR(VLOOKUP(H14,'[1]Consolidado MP Planta'!$A$2:$M$823,13,0),"")</f>
        <v/>
      </c>
      <c r="E14" s="190" t="str">
        <f>IFERROR(VLOOKUP(H14,'[1]Consolidado MP Planta'!$A$2:$M$823,12,0),"")</f>
        <v/>
      </c>
      <c r="F14" s="190" t="str">
        <f t="shared" si="2"/>
        <v/>
      </c>
      <c r="G14" s="191" t="str">
        <f t="shared" si="0"/>
        <v/>
      </c>
      <c r="H14" s="192"/>
      <c r="I14" s="192"/>
      <c r="J14" s="193"/>
    </row>
    <row r="15" spans="1:13" ht="14.25" thickBot="1">
      <c r="A15" s="188"/>
      <c r="B15" s="176" t="str">
        <f>IFERROR(VLOOKUP(H15,[2]Hoja2!$A$2:$G$589,2,0),"")</f>
        <v/>
      </c>
      <c r="C15" s="189"/>
      <c r="D15" s="190"/>
      <c r="E15" s="190"/>
      <c r="F15" s="190"/>
      <c r="G15" s="191"/>
      <c r="H15" s="192"/>
      <c r="I15" s="192"/>
      <c r="J15" s="193"/>
    </row>
    <row r="16" spans="1:13" ht="26.25" hidden="1" thickBot="1">
      <c r="A16" s="183" t="s">
        <v>131</v>
      </c>
      <c r="B16" s="184" t="s">
        <v>138</v>
      </c>
      <c r="C16" s="184" t="s">
        <v>131</v>
      </c>
      <c r="D16" s="185" t="s">
        <v>133</v>
      </c>
      <c r="E16" s="185" t="s">
        <v>134</v>
      </c>
      <c r="F16" s="185" t="s">
        <v>135</v>
      </c>
      <c r="G16" s="185" t="s">
        <v>136</v>
      </c>
      <c r="H16" s="186" t="s">
        <v>137</v>
      </c>
      <c r="I16" s="187"/>
      <c r="J16" s="193"/>
    </row>
    <row r="17" spans="1:12" ht="13.5" hidden="1">
      <c r="A17" s="188"/>
      <c r="B17" s="176" t="str">
        <f>IFERROR(VLOOKUP(H17,[1]SEMIELABORADOS!$A$2:$M$6000,2,0),"")</f>
        <v/>
      </c>
      <c r="C17" s="189">
        <f>+A17</f>
        <v>0</v>
      </c>
      <c r="D17" s="189" t="str">
        <f>IFERROR(VLOOKUP(H17,[1]SEMIELABORADOS!$A$2:$M$6000,6,0),"")</f>
        <v/>
      </c>
      <c r="E17" s="190" t="str">
        <f>IFERROR(VLOOKUP(H17,[1]SEMIELABORADOS!$A$2:$H$65536,8,0),"")</f>
        <v/>
      </c>
      <c r="F17" s="190" t="str">
        <f>IFERROR(E17*C17,"")</f>
        <v/>
      </c>
      <c r="G17" s="191" t="str">
        <f t="shared" ref="G17:G24" si="3">IFERROR(F17/$F$66,"")</f>
        <v/>
      </c>
      <c r="H17" s="192"/>
      <c r="I17" s="192"/>
      <c r="J17" s="193"/>
    </row>
    <row r="18" spans="1:12" ht="13.5" hidden="1">
      <c r="A18" s="188"/>
      <c r="B18" s="176" t="str">
        <f>IFERROR(VLOOKUP(H18,[1]SEMIELABORADOS!$A$2:$M$6000,2,0),"")</f>
        <v/>
      </c>
      <c r="C18" s="189">
        <f t="shared" ref="C18:C24" si="4">+A18</f>
        <v>0</v>
      </c>
      <c r="D18" s="189" t="str">
        <f>IFERROR(VLOOKUP(H18,[1]SEMIELABORADOS!$A$2:$M$6000,6,0),"")</f>
        <v/>
      </c>
      <c r="E18" s="190" t="str">
        <f>IFERROR(VLOOKUP(H18,[1]SEMIELABORADOS!$A$2:$H$65536,8,0),"")</f>
        <v/>
      </c>
      <c r="F18" s="190" t="str">
        <f t="shared" ref="F18:F24" si="5">IFERROR(E18*C18,"")</f>
        <v/>
      </c>
      <c r="G18" s="191" t="str">
        <f t="shared" si="3"/>
        <v/>
      </c>
      <c r="H18" s="192"/>
      <c r="I18" s="192"/>
      <c r="J18" s="193"/>
    </row>
    <row r="19" spans="1:12" ht="13.5" hidden="1">
      <c r="A19" s="188"/>
      <c r="B19" s="176" t="str">
        <f>IFERROR(VLOOKUP(H19,[1]SEMIELABORADOS!$A$2:$M$6000,2,0),"")</f>
        <v/>
      </c>
      <c r="C19" s="189">
        <f>+A19</f>
        <v>0</v>
      </c>
      <c r="D19" s="189" t="str">
        <f>IFERROR(VLOOKUP(H19,[1]SEMIELABORADOS!$A$2:$M$6000,6,0),"")</f>
        <v/>
      </c>
      <c r="E19" s="190" t="str">
        <f>IFERROR(VLOOKUP(H19,[1]SEMIELABORADOS!$A$2:$H$65536,8,0),"")</f>
        <v/>
      </c>
      <c r="F19" s="190" t="str">
        <f>IFERROR(E19*C19,"")</f>
        <v/>
      </c>
      <c r="G19" s="191" t="str">
        <f t="shared" si="3"/>
        <v/>
      </c>
      <c r="H19" s="192"/>
      <c r="I19" s="192"/>
      <c r="J19" s="193"/>
    </row>
    <row r="20" spans="1:12" ht="13.5" hidden="1">
      <c r="A20" s="188"/>
      <c r="B20" s="176" t="str">
        <f>IFERROR(VLOOKUP(H20,[1]SEMIELABORADOS!$A$2:$M$6000,2,0),"")</f>
        <v/>
      </c>
      <c r="C20" s="189">
        <f>+A20</f>
        <v>0</v>
      </c>
      <c r="D20" s="189" t="str">
        <f>IFERROR(VLOOKUP(H20,[1]SEMIELABORADOS!$A$2:$M$6000,6,0),"")</f>
        <v/>
      </c>
      <c r="E20" s="190" t="str">
        <f>IFERROR(VLOOKUP(H20,[1]SEMIELABORADOS!$A$2:$H$65536,8,0),"")</f>
        <v/>
      </c>
      <c r="F20" s="190" t="str">
        <f>IFERROR(E20*C20,"")</f>
        <v/>
      </c>
      <c r="G20" s="191" t="str">
        <f t="shared" si="3"/>
        <v/>
      </c>
      <c r="H20" s="192"/>
      <c r="I20" s="192"/>
      <c r="J20" s="193"/>
    </row>
    <row r="21" spans="1:12" ht="13.5" hidden="1">
      <c r="A21" s="188"/>
      <c r="B21" s="176" t="str">
        <f>IFERROR(VLOOKUP(H21,[1]SEMIELABORADOS!$A$2:$M$6000,2,0),"")</f>
        <v/>
      </c>
      <c r="C21" s="189">
        <f>+A21</f>
        <v>0</v>
      </c>
      <c r="D21" s="189" t="str">
        <f>IFERROR(VLOOKUP(H21,[1]SEMIELABORADOS!$A$2:$M$6000,6,0),"")</f>
        <v/>
      </c>
      <c r="E21" s="190" t="str">
        <f>IFERROR(VLOOKUP(H21,[1]SEMIELABORADOS!$A$2:$H$65536,8,0),"")</f>
        <v/>
      </c>
      <c r="F21" s="190" t="str">
        <f>IFERROR(E21*C21,"")</f>
        <v/>
      </c>
      <c r="G21" s="191" t="str">
        <f t="shared" si="3"/>
        <v/>
      </c>
      <c r="H21" s="192"/>
      <c r="I21" s="192"/>
      <c r="J21" s="193"/>
    </row>
    <row r="22" spans="1:12" ht="13.5" hidden="1">
      <c r="A22" s="188"/>
      <c r="B22" s="176" t="str">
        <f>IFERROR(VLOOKUP(H22,[1]SEMIELABORADOS!$A$2:$M$6000,2,0),"")</f>
        <v/>
      </c>
      <c r="C22" s="189">
        <f t="shared" si="4"/>
        <v>0</v>
      </c>
      <c r="D22" s="189" t="str">
        <f>IFERROR(VLOOKUP(H22,[1]SEMIELABORADOS!$A$2:$M$6000,6,0),"")</f>
        <v/>
      </c>
      <c r="E22" s="190" t="str">
        <f>IFERROR(VLOOKUP(H22,[1]SEMIELABORADOS!$A$2:$H$65536,8,0),"")</f>
        <v/>
      </c>
      <c r="F22" s="190" t="str">
        <f t="shared" si="5"/>
        <v/>
      </c>
      <c r="G22" s="191" t="str">
        <f t="shared" si="3"/>
        <v/>
      </c>
      <c r="H22" s="192"/>
      <c r="I22" s="192"/>
      <c r="J22" s="193"/>
    </row>
    <row r="23" spans="1:12" ht="13.5" hidden="1">
      <c r="A23" s="188"/>
      <c r="B23" s="176" t="str">
        <f>IFERROR(VLOOKUP(H23,[1]SEMIELABORADOS!$A$2:$M$6000,2,0),"")</f>
        <v/>
      </c>
      <c r="C23" s="189">
        <f t="shared" si="4"/>
        <v>0</v>
      </c>
      <c r="D23" s="189" t="str">
        <f>IFERROR(VLOOKUP(H23,[1]SEMIELABORADOS!$A$2:$M$6000,6,0),"")</f>
        <v/>
      </c>
      <c r="E23" s="190" t="str">
        <f>IFERROR(VLOOKUP(H23,[1]SEMIELABORADOS!$A$2:$H$65536,8,0),"")</f>
        <v/>
      </c>
      <c r="F23" s="190" t="str">
        <f t="shared" si="5"/>
        <v/>
      </c>
      <c r="G23" s="191" t="str">
        <f t="shared" si="3"/>
        <v/>
      </c>
      <c r="H23" s="192"/>
      <c r="I23" s="192"/>
      <c r="J23" s="193"/>
    </row>
    <row r="24" spans="1:12" ht="13.5" hidden="1">
      <c r="A24" s="188"/>
      <c r="B24" s="176" t="str">
        <f>IFERROR(VLOOKUP(H24,[1]SEMIELABORADOS!$A$2:$M$6000,2,0),"")</f>
        <v/>
      </c>
      <c r="C24" s="189">
        <f t="shared" si="4"/>
        <v>0</v>
      </c>
      <c r="D24" s="189" t="str">
        <f>IFERROR(VLOOKUP(H24,[1]SEMIELABORADOS!$A$2:$M$6000,6,0),"")</f>
        <v/>
      </c>
      <c r="E24" s="190" t="str">
        <f>IFERROR(VLOOKUP(H24,[1]SEMIELABORADOS!$A$2:$H$65536,8,0),"")</f>
        <v/>
      </c>
      <c r="F24" s="190" t="str">
        <f t="shared" si="5"/>
        <v/>
      </c>
      <c r="G24" s="191" t="str">
        <f t="shared" si="3"/>
        <v/>
      </c>
      <c r="H24" s="192"/>
      <c r="I24" s="192"/>
      <c r="J24" s="193"/>
    </row>
    <row r="25" spans="1:12" ht="14.25" hidden="1" thickBot="1">
      <c r="A25" s="188"/>
      <c r="C25" s="189"/>
      <c r="D25" s="189"/>
      <c r="E25" s="190"/>
      <c r="F25" s="190"/>
      <c r="G25" s="191"/>
      <c r="H25" s="192"/>
      <c r="I25" s="192"/>
      <c r="J25" s="193"/>
    </row>
    <row r="26" spans="1:12" ht="26.25" thickBot="1">
      <c r="A26" s="183" t="s">
        <v>131</v>
      </c>
      <c r="B26" s="184" t="s">
        <v>34</v>
      </c>
      <c r="C26" s="184" t="s">
        <v>131</v>
      </c>
      <c r="D26" s="185" t="s">
        <v>133</v>
      </c>
      <c r="E26" s="185" t="s">
        <v>134</v>
      </c>
      <c r="F26" s="185" t="s">
        <v>135</v>
      </c>
      <c r="G26" s="185" t="s">
        <v>136</v>
      </c>
      <c r="H26" s="186" t="s">
        <v>137</v>
      </c>
      <c r="I26" s="187"/>
    </row>
    <row r="27" spans="1:12" ht="13.5">
      <c r="A27" s="188">
        <v>1</v>
      </c>
      <c r="B27" s="194" t="str">
        <f>IFERROR(VLOOKUP(H27,'[1]Consolidado MP Planta'!$A$2:$M$823,3,0),"")</f>
        <v>BOLSA TRANSPARENTE 56X96X1.80 KILO</v>
      </c>
      <c r="C27" s="189">
        <f t="shared" ref="C27:C32" si="6">+A27</f>
        <v>1</v>
      </c>
      <c r="D27" s="190" t="str">
        <f>IFERROR(VLOOKUP(H27,'[1]Consolidado MP Planta'!$A$2:$M$823,13,0),"")</f>
        <v>Und</v>
      </c>
      <c r="E27" s="190">
        <f>IFERROR(VLOOKUP(H27,'[1]Consolidado MP Planta'!$A$2:$M$823,12,0),"")</f>
        <v>50</v>
      </c>
      <c r="F27" s="190">
        <f t="shared" ref="F27:F32" si="7">IFERROR(C27*E27,"")</f>
        <v>50</v>
      </c>
      <c r="G27" s="191">
        <f t="shared" ref="G27:G32" si="8">IFERROR(F27/$F$66,"")</f>
        <v>1.4520987473615365E-2</v>
      </c>
      <c r="H27" s="195" t="s">
        <v>74</v>
      </c>
      <c r="I27" s="195"/>
      <c r="J27" s="193"/>
      <c r="K27" s="995"/>
      <c r="L27" s="995"/>
    </row>
    <row r="28" spans="1:12" ht="13.5">
      <c r="A28" s="188">
        <v>1</v>
      </c>
      <c r="B28" s="194" t="str">
        <f>IFERROR(VLOOKUP(H28,'[1]Consolidado MP Planta'!$A$2:$M$823,3,0),"")</f>
        <v>ETIQUETA BLANCA 2 5/8X1 15/16 (UND)</v>
      </c>
      <c r="C28" s="189">
        <f t="shared" si="6"/>
        <v>1</v>
      </c>
      <c r="D28" s="190" t="str">
        <f>IFERROR(VLOOKUP(H28,'[1]Consolidado MP Planta'!$A$2:$M$823,13,0),"")</f>
        <v>Und</v>
      </c>
      <c r="E28" s="190">
        <f>IFERROR(VLOOKUP(H28,'[1]Consolidado MP Planta'!$A$2:$M$823,12,0),"")</f>
        <v>2.1280000000000001</v>
      </c>
      <c r="F28" s="190">
        <f t="shared" si="7"/>
        <v>2.1280000000000001</v>
      </c>
      <c r="G28" s="191">
        <f t="shared" si="8"/>
        <v>6.1801322687706991E-4</v>
      </c>
      <c r="H28" s="195" t="s">
        <v>70</v>
      </c>
      <c r="I28" s="195"/>
      <c r="J28" s="193"/>
      <c r="K28" s="995"/>
      <c r="L28" s="995"/>
    </row>
    <row r="29" spans="1:12" ht="13.5" hidden="1">
      <c r="A29" s="188"/>
      <c r="B29" s="194" t="str">
        <f>IFERROR(VLOOKUP(H29,'[1]Consolidado MP Planta'!$A$2:$M$823,3,0),"")</f>
        <v/>
      </c>
      <c r="C29" s="189">
        <f t="shared" si="6"/>
        <v>0</v>
      </c>
      <c r="D29" s="190" t="str">
        <f>IFERROR(VLOOKUP(H29,'[1]Consolidado MP Planta'!$A$2:$M$823,13,0),"")</f>
        <v/>
      </c>
      <c r="E29" s="190" t="str">
        <f>IFERROR(VLOOKUP(H29,'[1]Consolidado MP Planta'!$A$2:$M$823,12,0),"")</f>
        <v/>
      </c>
      <c r="F29" s="190" t="str">
        <f t="shared" si="7"/>
        <v/>
      </c>
      <c r="G29" s="191" t="str">
        <f t="shared" si="8"/>
        <v/>
      </c>
      <c r="H29" s="195"/>
      <c r="I29" s="195"/>
      <c r="J29" s="193"/>
      <c r="K29" s="995"/>
      <c r="L29" s="995"/>
    </row>
    <row r="30" spans="1:12" ht="13.5" hidden="1">
      <c r="A30" s="188"/>
      <c r="B30" s="194" t="str">
        <f>IFERROR(VLOOKUP(H30,'[1]Consolidado MP Planta'!$A$2:$M$823,3,0),"")</f>
        <v/>
      </c>
      <c r="C30" s="189">
        <f t="shared" si="6"/>
        <v>0</v>
      </c>
      <c r="D30" s="190" t="str">
        <f>IFERROR(VLOOKUP(H30,'[1]Consolidado MP Planta'!$A$2:$M$823,13,0),"")</f>
        <v/>
      </c>
      <c r="E30" s="190" t="str">
        <f>IFERROR(VLOOKUP(H30,'[1]Consolidado MP Planta'!$A$2:$M$823,12,0),"")</f>
        <v/>
      </c>
      <c r="F30" s="190" t="str">
        <f t="shared" si="7"/>
        <v/>
      </c>
      <c r="G30" s="191" t="str">
        <f t="shared" si="8"/>
        <v/>
      </c>
      <c r="H30" s="195"/>
      <c r="I30" s="195"/>
      <c r="J30" s="193"/>
      <c r="K30" s="995"/>
      <c r="L30" s="995"/>
    </row>
    <row r="31" spans="1:12" ht="13.5" hidden="1">
      <c r="A31" s="188"/>
      <c r="B31" s="194" t="str">
        <f>IFERROR(VLOOKUP(H31,'[1]Consolidado MP Planta'!$A$2:$M$823,3,0),"")</f>
        <v/>
      </c>
      <c r="C31" s="189">
        <f t="shared" si="6"/>
        <v>0</v>
      </c>
      <c r="D31" s="190" t="str">
        <f>IFERROR(VLOOKUP(H31,'[1]Consolidado MP Planta'!$A$2:$M$823,13,0),"")</f>
        <v/>
      </c>
      <c r="E31" s="190" t="str">
        <f>IFERROR(VLOOKUP(H31,'[1]Consolidado MP Planta'!$A$2:$M$823,12,0),"")</f>
        <v/>
      </c>
      <c r="F31" s="190" t="str">
        <f t="shared" si="7"/>
        <v/>
      </c>
      <c r="G31" s="191" t="str">
        <f t="shared" si="8"/>
        <v/>
      </c>
      <c r="H31" s="195"/>
      <c r="I31" s="195"/>
      <c r="J31" s="193"/>
      <c r="K31" s="196"/>
      <c r="L31" s="197"/>
    </row>
    <row r="32" spans="1:12" ht="13.5" hidden="1">
      <c r="A32" s="188"/>
      <c r="B32" s="194" t="str">
        <f>IFERROR(VLOOKUP(H32,'[1]Consolidado MP Planta'!$A$2:$M$823,3,0),"")</f>
        <v/>
      </c>
      <c r="C32" s="189">
        <f t="shared" si="6"/>
        <v>0</v>
      </c>
      <c r="D32" s="190" t="str">
        <f>IFERROR(VLOOKUP(H32,'[1]Consolidado MP Planta'!$A$2:$M$823,13,0),"")</f>
        <v/>
      </c>
      <c r="E32" s="190" t="str">
        <f>IFERROR(VLOOKUP(H32,'[1]Consolidado MP Planta'!$A$2:$M$823,12,0),"")</f>
        <v/>
      </c>
      <c r="F32" s="190" t="str">
        <f t="shared" si="7"/>
        <v/>
      </c>
      <c r="G32" s="191" t="str">
        <f t="shared" si="8"/>
        <v/>
      </c>
      <c r="H32" s="195"/>
      <c r="I32" s="195"/>
      <c r="J32" s="193"/>
    </row>
    <row r="33" spans="1:13" ht="14.25" thickBot="1">
      <c r="A33" s="188"/>
      <c r="B33" s="194"/>
      <c r="C33" s="189"/>
      <c r="D33" s="190"/>
      <c r="E33" s="190"/>
      <c r="F33" s="190"/>
      <c r="G33" s="191"/>
      <c r="H33" s="195"/>
      <c r="I33" s="195"/>
      <c r="J33" s="193"/>
    </row>
    <row r="34" spans="1:13" ht="26.25" hidden="1" thickBot="1">
      <c r="A34" s="183" t="s">
        <v>131</v>
      </c>
      <c r="B34" s="184" t="s">
        <v>139</v>
      </c>
      <c r="C34" s="184" t="s">
        <v>131</v>
      </c>
      <c r="D34" s="185" t="s">
        <v>133</v>
      </c>
      <c r="E34" s="185" t="s">
        <v>134</v>
      </c>
      <c r="F34" s="185" t="s">
        <v>135</v>
      </c>
      <c r="G34" s="185" t="s">
        <v>136</v>
      </c>
      <c r="H34" s="186" t="s">
        <v>137</v>
      </c>
      <c r="I34" s="195"/>
      <c r="J34" s="193"/>
    </row>
    <row r="35" spans="1:13" ht="13.5" hidden="1">
      <c r="A35" s="188">
        <f>+A17</f>
        <v>0</v>
      </c>
      <c r="B35" s="194" t="str">
        <f>IFERROR(VLOOKUP(H35,[1]SEMIELABORADOS!$A$2:$M$6000,2,0),"")</f>
        <v/>
      </c>
      <c r="C35" s="189">
        <f>+A35</f>
        <v>0</v>
      </c>
      <c r="D35" s="190" t="str">
        <f>IFERROR(VLOOKUP(H35,[1]SEMIELABORADOS!$A$2:$M$6000,6,0),"")</f>
        <v/>
      </c>
      <c r="E35" s="190" t="str">
        <f>IFERROR(VLOOKUP(H35,[1]SEMIELABORADOS!$A$2:$M$65536,10,0),"")</f>
        <v/>
      </c>
      <c r="F35" s="190" t="str">
        <f>IFERROR(E35*C35,"")</f>
        <v/>
      </c>
      <c r="G35" s="191" t="str">
        <f t="shared" ref="G35:G41" si="9">IFERROR(F35/$F$66,"")</f>
        <v/>
      </c>
      <c r="H35" s="195"/>
      <c r="I35" s="195"/>
      <c r="J35" s="193"/>
    </row>
    <row r="36" spans="1:13" ht="13.5" hidden="1">
      <c r="A36" s="188">
        <f t="shared" ref="A36:A41" si="10">+A18</f>
        <v>0</v>
      </c>
      <c r="B36" s="194" t="str">
        <f>IFERROR(VLOOKUP(H36,[1]SEMIELABORADOS!$A$2:$M$6000,2,0),"")</f>
        <v/>
      </c>
      <c r="C36" s="189">
        <f t="shared" ref="C36:C41" si="11">+A36</f>
        <v>0</v>
      </c>
      <c r="D36" s="190" t="str">
        <f>IFERROR(VLOOKUP(H36,[1]SEMIELABORADOS!$A$2:$M$6000,6,0),"")</f>
        <v/>
      </c>
      <c r="E36" s="190" t="str">
        <f>IFERROR(VLOOKUP(H36,[1]SEMIELABORADOS!$A$2:$M$65536,10,0),"")</f>
        <v/>
      </c>
      <c r="F36" s="190" t="str">
        <f t="shared" ref="F36:F41" si="12">IFERROR(E36*C36,"")</f>
        <v/>
      </c>
      <c r="G36" s="191" t="str">
        <f t="shared" si="9"/>
        <v/>
      </c>
      <c r="H36" s="195"/>
      <c r="I36" s="195"/>
      <c r="J36" s="193"/>
    </row>
    <row r="37" spans="1:13" ht="13.5" hidden="1">
      <c r="A37" s="188">
        <f t="shared" si="10"/>
        <v>0</v>
      </c>
      <c r="B37" s="194" t="str">
        <f>IFERROR(VLOOKUP(H37,[1]SEMIELABORADOS!$A$2:$M$6000,2,0),"")</f>
        <v/>
      </c>
      <c r="C37" s="189">
        <f t="shared" si="11"/>
        <v>0</v>
      </c>
      <c r="D37" s="190" t="str">
        <f>IFERROR(VLOOKUP(H37,[1]SEMIELABORADOS!$A$2:$M$6000,6,0),"")</f>
        <v/>
      </c>
      <c r="E37" s="190" t="str">
        <f>IFERROR(VLOOKUP(H37,[1]SEMIELABORADOS!$A$2:$M$65536,10,0),"")</f>
        <v/>
      </c>
      <c r="F37" s="190" t="str">
        <f t="shared" si="12"/>
        <v/>
      </c>
      <c r="G37" s="191" t="str">
        <f t="shared" si="9"/>
        <v/>
      </c>
      <c r="H37" s="195"/>
      <c r="I37" s="195"/>
      <c r="J37" s="193"/>
    </row>
    <row r="38" spans="1:13" ht="13.5" hidden="1">
      <c r="A38" s="188">
        <f t="shared" si="10"/>
        <v>0</v>
      </c>
      <c r="B38" s="194" t="str">
        <f>IFERROR(VLOOKUP(H38,[1]SEMIELABORADOS!$A$2:$M$6000,2,0),"")</f>
        <v/>
      </c>
      <c r="C38" s="189">
        <f>+A38</f>
        <v>0</v>
      </c>
      <c r="D38" s="190" t="str">
        <f>IFERROR(VLOOKUP(H38,[1]SEMIELABORADOS!$A$2:$M$6000,6,0),"")</f>
        <v/>
      </c>
      <c r="E38" s="190" t="str">
        <f>IFERROR(VLOOKUP(H38,[1]SEMIELABORADOS!$A$2:$M$65536,10,0),"")</f>
        <v/>
      </c>
      <c r="F38" s="190" t="str">
        <f>IFERROR(E38*C38,"")</f>
        <v/>
      </c>
      <c r="G38" s="191" t="str">
        <f t="shared" si="9"/>
        <v/>
      </c>
      <c r="H38" s="195"/>
      <c r="I38" s="195"/>
      <c r="J38" s="193"/>
    </row>
    <row r="39" spans="1:13" ht="13.5" hidden="1">
      <c r="A39" s="188">
        <f t="shared" si="10"/>
        <v>0</v>
      </c>
      <c r="B39" s="194" t="str">
        <f>IFERROR(VLOOKUP(H39,[1]SEMIELABORADOS!$A$2:$M$6000,2,0),"")</f>
        <v/>
      </c>
      <c r="C39" s="189">
        <f>+A39</f>
        <v>0</v>
      </c>
      <c r="D39" s="190" t="str">
        <f>IFERROR(VLOOKUP(H39,[1]SEMIELABORADOS!$A$2:$M$6000,6,0),"")</f>
        <v/>
      </c>
      <c r="E39" s="190" t="str">
        <f>IFERROR(VLOOKUP(H39,[1]SEMIELABORADOS!$A$2:$M$65536,10,0),"")</f>
        <v/>
      </c>
      <c r="F39" s="190" t="str">
        <f>IFERROR(E39*C39,"")</f>
        <v/>
      </c>
      <c r="G39" s="191" t="str">
        <f t="shared" si="9"/>
        <v/>
      </c>
      <c r="H39" s="195"/>
      <c r="I39" s="195"/>
      <c r="J39" s="193"/>
    </row>
    <row r="40" spans="1:13" ht="13.5" hidden="1">
      <c r="A40" s="188">
        <f t="shared" si="10"/>
        <v>0</v>
      </c>
      <c r="B40" s="194" t="str">
        <f>IFERROR(VLOOKUP(H40,[1]SEMIELABORADOS!$A$2:$M$6000,2,0),"")</f>
        <v/>
      </c>
      <c r="C40" s="189">
        <f t="shared" si="11"/>
        <v>0</v>
      </c>
      <c r="D40" s="190" t="str">
        <f>IFERROR(VLOOKUP(H40,[1]SEMIELABORADOS!$A$2:$M$6000,6,0),"")</f>
        <v/>
      </c>
      <c r="E40" s="190" t="str">
        <f>IFERROR(VLOOKUP(H40,[1]SEMIELABORADOS!$A$2:$M$65536,10,0),"")</f>
        <v/>
      </c>
      <c r="F40" s="190" t="str">
        <f t="shared" si="12"/>
        <v/>
      </c>
      <c r="G40" s="191" t="str">
        <f t="shared" si="9"/>
        <v/>
      </c>
      <c r="H40" s="195"/>
      <c r="I40" s="195"/>
      <c r="J40" s="193"/>
    </row>
    <row r="41" spans="1:13" ht="13.5" hidden="1">
      <c r="A41" s="188">
        <f t="shared" si="10"/>
        <v>0</v>
      </c>
      <c r="B41" s="194" t="str">
        <f>IFERROR(VLOOKUP(H41,[1]SEMIELABORADOS!$A$2:$M$6000,2,0),"")</f>
        <v/>
      </c>
      <c r="C41" s="189">
        <f t="shared" si="11"/>
        <v>0</v>
      </c>
      <c r="D41" s="190" t="str">
        <f>IFERROR(VLOOKUP(H41,[1]SEMIELABORADOS!$A$2:$M$6000,6,0),"")</f>
        <v/>
      </c>
      <c r="E41" s="190" t="str">
        <f>IFERROR(VLOOKUP(H41,[1]SEMIELABORADOS!$A$2:$M$65536,10,0),"")</f>
        <v/>
      </c>
      <c r="F41" s="190" t="str">
        <f t="shared" si="12"/>
        <v/>
      </c>
      <c r="G41" s="191" t="str">
        <f t="shared" si="9"/>
        <v/>
      </c>
      <c r="H41" s="195"/>
      <c r="I41" s="195"/>
      <c r="J41" s="193"/>
    </row>
    <row r="42" spans="1:13" ht="14.25" hidden="1" thickBot="1">
      <c r="A42" s="188"/>
      <c r="B42" s="194"/>
      <c r="C42" s="189"/>
      <c r="D42" s="190"/>
      <c r="E42" s="190"/>
      <c r="F42" s="190"/>
      <c r="G42" s="191"/>
      <c r="H42" s="195"/>
      <c r="I42" s="195"/>
      <c r="J42" s="193"/>
    </row>
    <row r="43" spans="1:13" ht="26.25" thickBot="1">
      <c r="A43" s="183" t="s">
        <v>131</v>
      </c>
      <c r="B43" s="184" t="s">
        <v>140</v>
      </c>
      <c r="C43" s="184" t="s">
        <v>131</v>
      </c>
      <c r="D43" s="185" t="s">
        <v>133</v>
      </c>
      <c r="E43" s="185" t="s">
        <v>134</v>
      </c>
      <c r="F43" s="185" t="s">
        <v>135</v>
      </c>
      <c r="G43" s="185" t="s">
        <v>136</v>
      </c>
      <c r="H43" s="186" t="s">
        <v>137</v>
      </c>
      <c r="I43" s="187"/>
      <c r="J43" s="193"/>
    </row>
    <row r="44" spans="1:13" ht="13.5" hidden="1">
      <c r="A44" s="188">
        <f>+A35</f>
        <v>0</v>
      </c>
      <c r="B44" s="194" t="str">
        <f>IFERROR(VLOOKUP(H44,[1]SEMIELABORADOS!$A$2:$M$6000,2,0),"")</f>
        <v/>
      </c>
      <c r="C44" s="189">
        <f>+A44</f>
        <v>0</v>
      </c>
      <c r="D44" s="190" t="str">
        <f>IFERROR(VLOOKUP(H44,[1]SEMIELABORADOS!$A$2:$M$6000,6,0),"")</f>
        <v/>
      </c>
      <c r="E44" s="190" t="str">
        <f>IFERROR(VLOOKUP(H44,[1]SEMIELABORADOS!$A$2:$M$65536,12,0),"")</f>
        <v/>
      </c>
      <c r="F44" s="190" t="str">
        <f>IFERROR(E44*C44,"")</f>
        <v/>
      </c>
      <c r="G44" s="191" t="str">
        <f>IFERROR(F44/$F$66,"")</f>
        <v/>
      </c>
      <c r="H44" s="195"/>
      <c r="I44" s="187"/>
      <c r="J44" s="193"/>
    </row>
    <row r="45" spans="1:13" ht="13.5" hidden="1">
      <c r="A45" s="188">
        <f t="shared" ref="A45:A50" si="13">+A36</f>
        <v>0</v>
      </c>
      <c r="B45" s="194" t="str">
        <f>IFERROR(VLOOKUP(H45,[1]SEMIELABORADOS!$A$2:$M$6000,2,0),"")</f>
        <v/>
      </c>
      <c r="C45" s="189">
        <f t="shared" ref="C45:C50" si="14">+A45</f>
        <v>0</v>
      </c>
      <c r="D45" s="190" t="str">
        <f>IFERROR(VLOOKUP(H45,[1]SEMIELABORADOS!$A$2:$M$6000,6,0),"")</f>
        <v/>
      </c>
      <c r="E45" s="190" t="str">
        <f>IFERROR(VLOOKUP(H45,[1]SEMIELABORADOS!$A$2:$M$65536,12,0),"")</f>
        <v/>
      </c>
      <c r="F45" s="190" t="str">
        <f t="shared" ref="F45:F50" si="15">IFERROR(E45*C45,"")</f>
        <v/>
      </c>
      <c r="G45" s="191" t="str">
        <f t="shared" ref="G45:G50" si="16">IFERROR(F45/$F$66,"")</f>
        <v/>
      </c>
      <c r="H45" s="195"/>
      <c r="I45" s="187"/>
      <c r="J45" s="193"/>
      <c r="M45" s="198"/>
    </row>
    <row r="46" spans="1:13" ht="13.5" hidden="1">
      <c r="A46" s="188">
        <f t="shared" si="13"/>
        <v>0</v>
      </c>
      <c r="B46" s="194" t="str">
        <f>IFERROR(VLOOKUP(H46,[1]SEMIELABORADOS!$A$2:$M$6000,2,0),"")</f>
        <v/>
      </c>
      <c r="C46" s="189">
        <f t="shared" si="14"/>
        <v>0</v>
      </c>
      <c r="D46" s="190" t="str">
        <f>IFERROR(VLOOKUP(H46,[1]SEMIELABORADOS!$A$2:$M$6000,6,0),"")</f>
        <v/>
      </c>
      <c r="E46" s="190" t="str">
        <f>IFERROR(VLOOKUP(H46,[1]SEMIELABORADOS!$A$2:$M$65536,12,0),"")</f>
        <v/>
      </c>
      <c r="F46" s="190" t="str">
        <f t="shared" si="15"/>
        <v/>
      </c>
      <c r="G46" s="191" t="str">
        <f t="shared" si="16"/>
        <v/>
      </c>
      <c r="H46" s="195"/>
      <c r="I46" s="187"/>
      <c r="J46" s="193"/>
    </row>
    <row r="47" spans="1:13" ht="13.5" hidden="1">
      <c r="A47" s="188">
        <f t="shared" si="13"/>
        <v>0</v>
      </c>
      <c r="B47" s="194" t="str">
        <f>IFERROR(VLOOKUP(H47,[1]SEMIELABORADOS!$A$2:$M$6000,2,0),"")</f>
        <v/>
      </c>
      <c r="C47" s="189">
        <f t="shared" si="14"/>
        <v>0</v>
      </c>
      <c r="D47" s="190" t="str">
        <f>IFERROR(VLOOKUP(H47,[1]SEMIELABORADOS!$A$2:$M$6000,6,0),"")</f>
        <v/>
      </c>
      <c r="E47" s="190" t="str">
        <f>IFERROR(VLOOKUP(H47,[1]SEMIELABORADOS!$A$2:$M$65536,12,0),"")</f>
        <v/>
      </c>
      <c r="F47" s="190" t="str">
        <f t="shared" si="15"/>
        <v/>
      </c>
      <c r="G47" s="191" t="str">
        <f t="shared" si="16"/>
        <v/>
      </c>
      <c r="H47" s="195"/>
      <c r="I47" s="187"/>
      <c r="J47" s="193"/>
    </row>
    <row r="48" spans="1:13" ht="13.5" hidden="1">
      <c r="A48" s="188">
        <f t="shared" si="13"/>
        <v>0</v>
      </c>
      <c r="B48" s="194" t="str">
        <f>IFERROR(VLOOKUP(H48,[1]SEMIELABORADOS!$A$2:$M$6000,2,0),"")</f>
        <v/>
      </c>
      <c r="C48" s="189">
        <f t="shared" si="14"/>
        <v>0</v>
      </c>
      <c r="D48" s="190" t="str">
        <f>IFERROR(VLOOKUP(H48,[1]SEMIELABORADOS!$A$2:$M$6000,6,0),"")</f>
        <v/>
      </c>
      <c r="E48" s="190" t="str">
        <f>IFERROR(VLOOKUP(H48,[1]SEMIELABORADOS!$A$2:$M$65536,12,0),"")</f>
        <v/>
      </c>
      <c r="F48" s="190" t="str">
        <f t="shared" si="15"/>
        <v/>
      </c>
      <c r="G48" s="191" t="str">
        <f t="shared" si="16"/>
        <v/>
      </c>
      <c r="H48" s="195"/>
      <c r="I48" s="187"/>
      <c r="J48" s="193"/>
    </row>
    <row r="49" spans="1:17" ht="13.5" hidden="1">
      <c r="A49" s="188">
        <f t="shared" si="13"/>
        <v>0</v>
      </c>
      <c r="B49" s="194" t="str">
        <f>IFERROR(VLOOKUP(H49,[1]SEMIELABORADOS!$A$2:$M$6000,2,0),"")</f>
        <v/>
      </c>
      <c r="C49" s="189">
        <f t="shared" si="14"/>
        <v>0</v>
      </c>
      <c r="D49" s="190" t="str">
        <f>IFERROR(VLOOKUP(H49,[1]SEMIELABORADOS!$A$2:$M$6000,6,0),"")</f>
        <v/>
      </c>
      <c r="E49" s="190" t="str">
        <f>IFERROR(VLOOKUP(H49,[1]SEMIELABORADOS!$A$2:$M$65536,12,0),"")</f>
        <v/>
      </c>
      <c r="F49" s="190" t="str">
        <f t="shared" si="15"/>
        <v/>
      </c>
      <c r="G49" s="191" t="str">
        <f t="shared" si="16"/>
        <v/>
      </c>
      <c r="H49" s="195"/>
      <c r="I49" s="187"/>
      <c r="J49" s="193"/>
    </row>
    <row r="50" spans="1:17" ht="13.5" hidden="1">
      <c r="A50" s="188">
        <f t="shared" si="13"/>
        <v>0</v>
      </c>
      <c r="B50" s="194" t="str">
        <f>IFERROR(VLOOKUP(H50,[1]SEMIELABORADOS!$A$2:$M$6000,2,0),"")</f>
        <v/>
      </c>
      <c r="C50" s="189">
        <f t="shared" si="14"/>
        <v>0</v>
      </c>
      <c r="D50" s="190" t="str">
        <f>IFERROR(VLOOKUP(H50,[1]SEMIELABORADOS!$A$2:$M$6000,6,0),"")</f>
        <v/>
      </c>
      <c r="E50" s="190" t="str">
        <f>IFERROR(VLOOKUP(H50,[1]SEMIELABORADOS!$A$2:$M$65536,12,0),"")</f>
        <v/>
      </c>
      <c r="F50" s="190" t="str">
        <f t="shared" si="15"/>
        <v/>
      </c>
      <c r="G50" s="191" t="str">
        <f t="shared" si="16"/>
        <v/>
      </c>
      <c r="H50" s="194"/>
      <c r="I50" s="187"/>
      <c r="J50" s="193"/>
    </row>
    <row r="51" spans="1:17" ht="13.5">
      <c r="A51" s="188">
        <v>1</v>
      </c>
      <c r="B51" s="194" t="s">
        <v>141</v>
      </c>
      <c r="C51" s="189">
        <f>+A51</f>
        <v>1</v>
      </c>
      <c r="D51" s="189" t="s">
        <v>142</v>
      </c>
      <c r="E51" s="190">
        <f>+F65</f>
        <v>231</v>
      </c>
      <c r="F51" s="190">
        <f>IFERROR(C51*E51,"")</f>
        <v>231</v>
      </c>
      <c r="G51" s="191">
        <f>IFERROR(F51/$F$66,"")</f>
        <v>6.7086962128102987E-2</v>
      </c>
      <c r="H51" s="199"/>
      <c r="I51" s="199"/>
      <c r="J51" s="193"/>
    </row>
    <row r="52" spans="1:17" ht="14.25" thickBot="1">
      <c r="A52" s="188"/>
      <c r="B52" s="194"/>
      <c r="C52" s="189"/>
      <c r="D52" s="189"/>
      <c r="E52" s="190"/>
      <c r="F52" s="190"/>
      <c r="G52" s="191"/>
      <c r="H52" s="199"/>
      <c r="I52" s="199"/>
      <c r="J52" s="193"/>
    </row>
    <row r="53" spans="1:17" ht="13.5" thickBot="1">
      <c r="A53" s="200"/>
      <c r="B53" s="996" t="s">
        <v>143</v>
      </c>
      <c r="C53" s="996"/>
      <c r="D53" s="996"/>
      <c r="E53" s="996"/>
      <c r="F53" s="202">
        <f>SUM(F8:F14,F17:F24)</f>
        <v>3098.2000000000003</v>
      </c>
      <c r="G53" s="191">
        <f>+F53/$F$66</f>
        <v>0.89977846781510251</v>
      </c>
      <c r="H53" s="203">
        <f>+F53/$D$60</f>
        <v>3098.2000000000003</v>
      </c>
      <c r="I53" s="203"/>
      <c r="J53" s="204"/>
      <c r="K53" s="205"/>
      <c r="L53" s="205"/>
      <c r="M53" s="205"/>
      <c r="N53" s="205"/>
      <c r="O53" s="205"/>
      <c r="P53" s="205"/>
      <c r="Q53" s="206"/>
    </row>
    <row r="54" spans="1:17">
      <c r="A54" s="200"/>
      <c r="B54" s="996" t="s">
        <v>144</v>
      </c>
      <c r="C54" s="996"/>
      <c r="D54" s="996"/>
      <c r="E54" s="996"/>
      <c r="F54" s="202">
        <f>SUM(F27:F32,F35:F41)</f>
        <v>52.128</v>
      </c>
      <c r="G54" s="191">
        <f>+F54/$F$66</f>
        <v>1.5139000700492435E-2</v>
      </c>
      <c r="H54" s="203">
        <f>+F54/$D$60</f>
        <v>52.128</v>
      </c>
      <c r="I54" s="203"/>
      <c r="J54" s="207"/>
      <c r="K54" s="997" t="s">
        <v>145</v>
      </c>
      <c r="L54" s="998"/>
      <c r="M54" s="998"/>
      <c r="N54" s="998"/>
      <c r="O54" s="208">
        <f>+F55</f>
        <v>3150.3280000000004</v>
      </c>
      <c r="P54" s="208"/>
      <c r="Q54" s="209"/>
    </row>
    <row r="55" spans="1:17">
      <c r="A55" s="200"/>
      <c r="B55" s="996" t="s">
        <v>146</v>
      </c>
      <c r="C55" s="996"/>
      <c r="D55" s="996"/>
      <c r="E55" s="996"/>
      <c r="F55" s="202">
        <f>+F53+F54</f>
        <v>3150.3280000000004</v>
      </c>
      <c r="G55" s="191">
        <f>+F55/$F$66</f>
        <v>0.91491746851559497</v>
      </c>
      <c r="H55" s="203">
        <f>+F55/$D$60</f>
        <v>3150.3280000000004</v>
      </c>
      <c r="I55" s="203"/>
      <c r="J55" s="210"/>
      <c r="K55" s="211"/>
      <c r="M55" s="212" t="s">
        <v>147</v>
      </c>
      <c r="N55" s="213"/>
      <c r="O55" s="208">
        <f>+H56</f>
        <v>231</v>
      </c>
      <c r="P55" s="208"/>
      <c r="Q55" s="209"/>
    </row>
    <row r="56" spans="1:17" ht="13.5" thickBot="1">
      <c r="A56" s="200"/>
      <c r="B56" s="201"/>
      <c r="C56" s="996" t="s">
        <v>148</v>
      </c>
      <c r="D56" s="996"/>
      <c r="E56" s="996"/>
      <c r="F56" s="202">
        <f>SUM(F44:F51)</f>
        <v>231</v>
      </c>
      <c r="G56" s="191">
        <f>+F56/$F$66</f>
        <v>6.7086962128102987E-2</v>
      </c>
      <c r="H56" s="203">
        <f>+F56/$D$60</f>
        <v>231</v>
      </c>
      <c r="I56" s="203"/>
      <c r="J56" s="210"/>
      <c r="K56" s="211"/>
      <c r="L56" s="211"/>
      <c r="M56" s="211" t="s">
        <v>149</v>
      </c>
      <c r="N56" s="214"/>
      <c r="O56" s="208">
        <f>O54*N56</f>
        <v>0</v>
      </c>
      <c r="P56" s="208"/>
      <c r="Q56" s="209"/>
    </row>
    <row r="57" spans="1:17" ht="13.5" thickBot="1">
      <c r="A57" s="200"/>
      <c r="B57" s="215"/>
      <c r="C57" s="215"/>
      <c r="D57" s="215"/>
      <c r="E57" s="215"/>
      <c r="F57" s="216"/>
      <c r="G57" s="191"/>
      <c r="H57" s="217"/>
      <c r="I57" s="203"/>
      <c r="J57" s="210"/>
      <c r="K57" s="218"/>
      <c r="M57" s="219" t="s">
        <v>150</v>
      </c>
      <c r="N57" s="220"/>
      <c r="O57" s="221">
        <f>SUM(O54:O56)</f>
        <v>3381.3280000000004</v>
      </c>
      <c r="P57" s="222"/>
      <c r="Q57" s="209"/>
    </row>
    <row r="58" spans="1:17">
      <c r="B58" s="999" t="s">
        <v>151</v>
      </c>
      <c r="C58" s="999"/>
      <c r="D58" s="223">
        <v>360</v>
      </c>
      <c r="E58" s="224"/>
      <c r="G58" s="191"/>
      <c r="H58" s="217">
        <f>+H56/77</f>
        <v>3</v>
      </c>
      <c r="I58" s="225"/>
      <c r="J58" s="210"/>
      <c r="K58" s="218"/>
      <c r="L58" s="211"/>
      <c r="M58" s="211" t="s">
        <v>152</v>
      </c>
      <c r="N58" s="226"/>
      <c r="O58" s="208">
        <f>+H59</f>
        <v>249</v>
      </c>
      <c r="P58" s="208"/>
      <c r="Q58" s="209"/>
    </row>
    <row r="59" spans="1:17">
      <c r="B59" s="999" t="s">
        <v>153</v>
      </c>
      <c r="C59" s="999"/>
      <c r="D59" s="227">
        <v>360</v>
      </c>
      <c r="E59" s="224"/>
      <c r="G59" s="191"/>
      <c r="H59" s="217">
        <f>+H58*83</f>
        <v>249</v>
      </c>
      <c r="I59" s="225"/>
      <c r="J59" s="210"/>
      <c r="K59" s="218"/>
      <c r="L59" s="211"/>
      <c r="M59" s="1000" t="s">
        <v>150</v>
      </c>
      <c r="N59" s="1000"/>
      <c r="O59" s="208">
        <f>SUM(O57:O58)</f>
        <v>3630.3280000000004</v>
      </c>
      <c r="P59" s="208"/>
      <c r="Q59" s="209"/>
    </row>
    <row r="60" spans="1:17" ht="13.5" thickBot="1">
      <c r="B60" s="991" t="s">
        <v>154</v>
      </c>
      <c r="C60" s="991"/>
      <c r="D60" s="223">
        <f>+D58/D59</f>
        <v>1</v>
      </c>
      <c r="E60" s="224"/>
      <c r="F60" s="228"/>
      <c r="G60" s="191"/>
      <c r="H60" s="217"/>
      <c r="I60" s="225"/>
      <c r="J60" s="210"/>
      <c r="K60" s="218"/>
      <c r="L60" s="1000"/>
      <c r="M60" s="1000"/>
      <c r="N60" s="226"/>
      <c r="O60" s="208">
        <f>+O59*N60</f>
        <v>0</v>
      </c>
      <c r="P60" s="208"/>
      <c r="Q60" s="209"/>
    </row>
    <row r="61" spans="1:17" ht="13.5" thickBot="1">
      <c r="B61" s="991" t="s">
        <v>155</v>
      </c>
      <c r="C61" s="991"/>
      <c r="D61" s="229"/>
      <c r="E61" s="224"/>
      <c r="F61" s="228"/>
      <c r="G61" s="191"/>
      <c r="H61" s="217"/>
      <c r="I61" s="225"/>
      <c r="J61" s="210"/>
      <c r="K61" s="992" t="s">
        <v>156</v>
      </c>
      <c r="L61" s="993"/>
      <c r="M61" s="993"/>
      <c r="N61" s="994"/>
      <c r="O61" s="221">
        <f>SUM(O59:O60)</f>
        <v>3630.3280000000004</v>
      </c>
      <c r="P61" s="230" t="s">
        <v>157</v>
      </c>
      <c r="Q61" s="209"/>
    </row>
    <row r="62" spans="1:17" ht="13.5" thickBot="1">
      <c r="C62" s="200" t="s">
        <v>158</v>
      </c>
      <c r="D62" s="231"/>
      <c r="E62" s="174" t="s">
        <v>159</v>
      </c>
      <c r="F62" s="232" t="s">
        <v>160</v>
      </c>
      <c r="G62" s="191"/>
      <c r="H62" s="217"/>
      <c r="I62" s="225"/>
      <c r="J62" s="233"/>
      <c r="K62" s="234"/>
      <c r="L62" s="980" t="s">
        <v>161</v>
      </c>
      <c r="M62" s="980"/>
      <c r="N62" s="980"/>
      <c r="O62" s="235">
        <f>+O61/D60</f>
        <v>3630.3280000000004</v>
      </c>
      <c r="P62" s="236">
        <f>+O62/D59</f>
        <v>10.084244444444446</v>
      </c>
      <c r="Q62" s="237"/>
    </row>
    <row r="63" spans="1:17" ht="13.5" thickBot="1">
      <c r="B63" s="981" t="s">
        <v>146</v>
      </c>
      <c r="C63" s="981"/>
      <c r="D63" s="981"/>
      <c r="E63" s="238">
        <f>+F63/F63</f>
        <v>1</v>
      </c>
      <c r="F63" s="239">
        <f>SUM(F55)</f>
        <v>3150.3280000000004</v>
      </c>
      <c r="G63" s="191">
        <f>+F63/$F$66</f>
        <v>0.91491746851559497</v>
      </c>
      <c r="H63" s="217"/>
      <c r="I63" s="225"/>
      <c r="K63" s="982"/>
      <c r="L63" s="983"/>
      <c r="M63" s="983"/>
      <c r="N63" s="983"/>
      <c r="O63" s="240"/>
      <c r="P63" s="241"/>
    </row>
    <row r="64" spans="1:17" ht="13.5" thickBot="1">
      <c r="B64" s="984" t="s">
        <v>162</v>
      </c>
      <c r="C64" s="984"/>
      <c r="D64" s="984"/>
      <c r="E64" s="242">
        <v>0.02</v>
      </c>
      <c r="F64" s="239">
        <f>+F53*E64</f>
        <v>61.964000000000006</v>
      </c>
      <c r="G64" s="191">
        <f>+F64/$F$66</f>
        <v>1.799556935630205E-2</v>
      </c>
      <c r="H64" s="203"/>
      <c r="I64" s="225"/>
      <c r="J64" s="243"/>
      <c r="O64" s="244"/>
      <c r="P64" s="201"/>
    </row>
    <row r="65" spans="2:13" ht="13.5" thickBot="1">
      <c r="B65" s="985" t="s">
        <v>163</v>
      </c>
      <c r="C65" s="986"/>
      <c r="D65" s="245">
        <v>3</v>
      </c>
      <c r="E65" s="246">
        <v>77</v>
      </c>
      <c r="F65" s="239">
        <f>+E65*D65</f>
        <v>231</v>
      </c>
      <c r="G65" s="191">
        <f>+F65/$F$66</f>
        <v>6.7086962128102987E-2</v>
      </c>
      <c r="H65" s="203"/>
      <c r="I65" s="203"/>
      <c r="J65" s="193"/>
    </row>
    <row r="66" spans="2:13" ht="13.5" thickBot="1">
      <c r="B66" s="987" t="s">
        <v>164</v>
      </c>
      <c r="C66" s="988"/>
      <c r="D66" s="988"/>
      <c r="E66" s="989"/>
      <c r="F66" s="216">
        <f>SUM(F63:F65)</f>
        <v>3443.2920000000004</v>
      </c>
      <c r="G66" s="191">
        <f>+F66/$F$66</f>
        <v>1</v>
      </c>
      <c r="H66" s="990"/>
      <c r="I66" s="203"/>
      <c r="J66" s="193"/>
      <c r="M66" s="176" t="s">
        <v>165</v>
      </c>
    </row>
    <row r="67" spans="2:13">
      <c r="C67" s="198"/>
      <c r="D67" s="198"/>
      <c r="E67" s="248"/>
      <c r="F67" s="239"/>
      <c r="G67" s="191"/>
      <c r="H67" s="990"/>
      <c r="I67" s="247"/>
      <c r="J67" s="176"/>
      <c r="M67" s="176" t="s">
        <v>166</v>
      </c>
    </row>
    <row r="68" spans="2:13" ht="13.5" thickBot="1">
      <c r="B68" s="975" t="s">
        <v>167</v>
      </c>
      <c r="C68" s="975"/>
      <c r="D68" s="975"/>
      <c r="E68" s="975"/>
      <c r="F68" s="975"/>
      <c r="G68" s="191"/>
      <c r="H68" s="250"/>
      <c r="I68" s="247"/>
      <c r="J68" s="176"/>
      <c r="M68" s="176" t="s">
        <v>168</v>
      </c>
    </row>
    <row r="69" spans="2:13" ht="13.5" thickBot="1">
      <c r="B69" s="251" t="s">
        <v>169</v>
      </c>
      <c r="C69" s="252">
        <f>+F53</f>
        <v>3098.2000000000003</v>
      </c>
      <c r="D69" s="252">
        <f>+D58</f>
        <v>360</v>
      </c>
      <c r="E69" s="253">
        <f>+C69/D69</f>
        <v>8.6061111111111117</v>
      </c>
      <c r="F69" s="191"/>
      <c r="G69" s="250"/>
      <c r="H69" s="193"/>
      <c r="I69" s="250"/>
      <c r="J69" s="176"/>
    </row>
    <row r="70" spans="2:13">
      <c r="B70" s="254"/>
      <c r="C70" s="255"/>
      <c r="D70" s="256"/>
      <c r="E70" s="239"/>
      <c r="F70" s="191"/>
      <c r="G70" s="250"/>
      <c r="H70" s="193"/>
      <c r="I70" s="193"/>
      <c r="J70" s="176"/>
    </row>
    <row r="71" spans="2:13">
      <c r="B71" s="251" t="s">
        <v>170</v>
      </c>
      <c r="C71" s="252">
        <f>SUM(F63:F64)</f>
        <v>3212.2920000000004</v>
      </c>
      <c r="D71" s="252">
        <f>+D58</f>
        <v>360</v>
      </c>
      <c r="E71" s="257">
        <f>+C71/D71</f>
        <v>8.9230333333333345</v>
      </c>
      <c r="F71" s="191"/>
      <c r="G71" s="250"/>
      <c r="H71" s="193"/>
      <c r="I71" s="193"/>
      <c r="J71" s="176"/>
    </row>
    <row r="72" spans="2:13">
      <c r="B72" s="251"/>
      <c r="C72" s="252"/>
      <c r="D72" s="252"/>
      <c r="E72" s="257"/>
      <c r="F72" s="191"/>
      <c r="G72" s="250"/>
      <c r="H72" s="193"/>
      <c r="I72" s="193"/>
      <c r="J72" s="176"/>
    </row>
    <row r="73" spans="2:13" ht="13.5" thickBot="1">
      <c r="B73" s="251" t="s">
        <v>171</v>
      </c>
      <c r="C73" s="252">
        <f>+F65</f>
        <v>231</v>
      </c>
      <c r="D73" s="252">
        <f>+D58</f>
        <v>360</v>
      </c>
      <c r="E73" s="257">
        <f>+C73/D73</f>
        <v>0.64166666666666672</v>
      </c>
      <c r="F73" s="191"/>
      <c r="G73" s="250"/>
      <c r="H73" s="193"/>
      <c r="I73" s="193"/>
      <c r="J73" s="176"/>
    </row>
    <row r="74" spans="2:13" ht="13.5" thickBot="1">
      <c r="B74" s="251" t="s">
        <v>172</v>
      </c>
      <c r="C74" s="252">
        <f>+F56</f>
        <v>231</v>
      </c>
      <c r="D74" s="252">
        <f>+D73</f>
        <v>360</v>
      </c>
      <c r="E74" s="253">
        <f>+C74/D74</f>
        <v>0.64166666666666672</v>
      </c>
      <c r="F74" s="191"/>
      <c r="G74" s="250"/>
      <c r="H74" s="193"/>
      <c r="I74" s="193"/>
      <c r="J74" s="176"/>
    </row>
    <row r="75" spans="2:13" ht="13.5" thickBot="1">
      <c r="B75" s="215"/>
      <c r="C75" s="216"/>
      <c r="D75" s="216"/>
      <c r="E75" s="257"/>
      <c r="F75" s="191"/>
      <c r="G75" s="250"/>
      <c r="H75" s="193"/>
      <c r="I75" s="193"/>
      <c r="J75" s="176"/>
    </row>
    <row r="76" spans="2:13" ht="13.5" thickBot="1">
      <c r="B76" s="251" t="s">
        <v>173</v>
      </c>
      <c r="C76" s="252">
        <f>+F54</f>
        <v>52.128</v>
      </c>
      <c r="D76" s="252">
        <f>+D74</f>
        <v>360</v>
      </c>
      <c r="E76" s="253">
        <f>+C76/D76</f>
        <v>0.14480000000000001</v>
      </c>
      <c r="F76" s="191"/>
      <c r="G76" s="250"/>
      <c r="H76" s="193"/>
      <c r="I76" s="193"/>
      <c r="J76" s="193"/>
    </row>
    <row r="77" spans="2:13" ht="13.5" thickBot="1">
      <c r="B77" s="215"/>
      <c r="C77" s="216"/>
      <c r="D77" s="216"/>
      <c r="E77" s="257"/>
      <c r="F77" s="191"/>
      <c r="G77" s="250"/>
      <c r="H77" s="193"/>
      <c r="I77" s="193"/>
    </row>
    <row r="78" spans="2:13" ht="13.5" thickBot="1">
      <c r="B78" s="976" t="s">
        <v>174</v>
      </c>
      <c r="C78" s="977"/>
      <c r="D78" s="978"/>
      <c r="E78" s="253">
        <f>+E69+E74</f>
        <v>9.2477777777777792</v>
      </c>
      <c r="G78" s="191"/>
      <c r="H78" s="250"/>
      <c r="I78" s="193"/>
      <c r="J78" s="257"/>
    </row>
    <row r="79" spans="2:13">
      <c r="I79" s="250"/>
      <c r="J79" s="176"/>
    </row>
    <row r="80" spans="2:13" ht="13.5" thickBot="1">
      <c r="B80" s="975" t="s">
        <v>175</v>
      </c>
      <c r="C80" s="975"/>
      <c r="D80" s="975"/>
      <c r="E80" s="975"/>
      <c r="F80" s="975"/>
      <c r="G80" s="191"/>
      <c r="H80" s="250"/>
      <c r="J80" s="176"/>
    </row>
    <row r="81" spans="1:10" ht="13.5" thickBot="1">
      <c r="B81" s="251" t="s">
        <v>169</v>
      </c>
      <c r="C81" s="252">
        <f>+C69</f>
        <v>3098.2000000000003</v>
      </c>
      <c r="D81" s="252">
        <f>+D60</f>
        <v>1</v>
      </c>
      <c r="E81" s="253">
        <f>+C81/D81</f>
        <v>3098.2000000000003</v>
      </c>
      <c r="F81" s="191"/>
      <c r="G81" s="250"/>
      <c r="H81" s="193"/>
      <c r="I81" s="250"/>
      <c r="J81" s="176"/>
    </row>
    <row r="82" spans="1:10">
      <c r="B82" s="254"/>
      <c r="C82" s="255"/>
      <c r="D82" s="256"/>
      <c r="E82" s="239"/>
      <c r="F82" s="191"/>
      <c r="G82" s="250"/>
      <c r="H82" s="193"/>
      <c r="I82" s="193"/>
      <c r="J82" s="176"/>
    </row>
    <row r="83" spans="1:10">
      <c r="B83" s="251" t="s">
        <v>170</v>
      </c>
      <c r="C83" s="252">
        <f>+C71</f>
        <v>3212.2920000000004</v>
      </c>
      <c r="D83" s="252">
        <f>+D60</f>
        <v>1</v>
      </c>
      <c r="E83" s="257">
        <f>+C83/D83</f>
        <v>3212.2920000000004</v>
      </c>
      <c r="F83" s="191"/>
      <c r="G83" s="250"/>
      <c r="H83" s="193"/>
      <c r="I83" s="193"/>
      <c r="J83" s="176"/>
    </row>
    <row r="84" spans="1:10">
      <c r="B84" s="251"/>
      <c r="C84" s="252"/>
      <c r="D84" s="252"/>
      <c r="E84" s="257"/>
      <c r="F84" s="191"/>
      <c r="G84" s="250"/>
      <c r="H84" s="193"/>
      <c r="I84" s="193"/>
      <c r="J84" s="176"/>
    </row>
    <row r="85" spans="1:10" ht="13.5" thickBot="1">
      <c r="B85" s="251" t="s">
        <v>172</v>
      </c>
      <c r="C85" s="252">
        <f>+C73</f>
        <v>231</v>
      </c>
      <c r="D85" s="252">
        <f>+D60</f>
        <v>1</v>
      </c>
      <c r="E85" s="257">
        <f>+C85/D85</f>
        <v>231</v>
      </c>
      <c r="F85" s="259"/>
      <c r="G85" s="249"/>
      <c r="H85" s="175"/>
      <c r="I85" s="193"/>
    </row>
    <row r="86" spans="1:10" ht="13.5" thickBot="1">
      <c r="B86" s="251" t="s">
        <v>172</v>
      </c>
      <c r="C86" s="252">
        <f>+C74</f>
        <v>231</v>
      </c>
      <c r="D86" s="252">
        <f>+D85</f>
        <v>1</v>
      </c>
      <c r="E86" s="253">
        <f>+C86/D86</f>
        <v>231</v>
      </c>
      <c r="F86" s="258"/>
      <c r="G86" s="249"/>
      <c r="H86" s="175"/>
      <c r="I86" s="175"/>
    </row>
    <row r="87" spans="1:10">
      <c r="I87" s="175"/>
    </row>
    <row r="88" spans="1:10">
      <c r="A88" s="979"/>
      <c r="B88" s="979"/>
      <c r="C88" s="260"/>
      <c r="D88" s="260"/>
      <c r="E88" s="261"/>
      <c r="G88" s="262"/>
    </row>
    <row r="89" spans="1:10">
      <c r="A89" s="194"/>
      <c r="B89" s="263"/>
      <c r="C89" s="264"/>
      <c r="D89" s="264"/>
      <c r="E89" s="265"/>
      <c r="G89" s="262"/>
    </row>
    <row r="90" spans="1:10">
      <c r="A90" s="194"/>
      <c r="B90" s="263"/>
      <c r="C90" s="266"/>
      <c r="D90" s="266"/>
      <c r="E90" s="194"/>
      <c r="G90" s="262"/>
    </row>
    <row r="91" spans="1:10">
      <c r="A91" s="194"/>
      <c r="B91" s="263"/>
      <c r="C91" s="267"/>
      <c r="D91" s="267"/>
      <c r="E91" s="194"/>
      <c r="G91" s="26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Props1.xml><?xml version="1.0" encoding="utf-8"?>
<ds:datastoreItem xmlns:ds="http://schemas.openxmlformats.org/officeDocument/2006/customXml" ds:itemID="{7D703B1A-D239-4116-A952-4C18714F8057}">
  <ds:schemaRefs>
    <ds:schemaRef ds:uri="http://schemas.microsoft.com/sharepoint/v3/contenttype/forms"/>
  </ds:schemaRefs>
</ds:datastoreItem>
</file>

<file path=customXml/itemProps2.xml><?xml version="1.0" encoding="utf-8"?>
<ds:datastoreItem xmlns:ds="http://schemas.openxmlformats.org/officeDocument/2006/customXml" ds:itemID="{5D89E97B-A771-48A6-9FEF-6BEE7FFD0DF1}"/>
</file>

<file path=customXml/itemProps3.xml><?xml version="1.0" encoding="utf-8"?>
<ds:datastoreItem xmlns:ds="http://schemas.openxmlformats.org/officeDocument/2006/customXml" ds:itemID="{17116607-CD2A-4DC6-96A6-82F70ABB59D6}">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vt:i4>
      </vt:variant>
    </vt:vector>
  </HeadingPairs>
  <TitlesOfParts>
    <vt:vector size="20" baseType="lpstr">
      <vt:lpstr>Ensamble</vt:lpstr>
      <vt:lpstr>Rosquete Easy Vainilla </vt:lpstr>
      <vt:lpstr>Batido</vt:lpstr>
      <vt:lpstr>Premezcla </vt:lpstr>
      <vt:lpstr>Leches Pasteurizada con Agua</vt:lpstr>
      <vt:lpstr>Mezcla leche Pasteurizada </vt:lpstr>
      <vt:lpstr>Crema Dulce de leche </vt:lpstr>
      <vt:lpstr>Ganache Chocolate Blanco</vt:lpstr>
      <vt:lpstr>Ganache Chocolate Oscuro</vt:lpstr>
      <vt:lpstr>Ganache Dulce leche</vt:lpstr>
      <vt:lpstr>Costo Ensamble </vt:lpstr>
      <vt:lpstr>Costo Mezcla Mani Arroz</vt:lpstr>
      <vt:lpstr>Mani tostado</vt:lpstr>
      <vt:lpstr>Costo Choco Mani y arroz inf</vt:lpstr>
      <vt:lpstr>Costo Procesado</vt:lpstr>
      <vt:lpstr>Crema Dulce de Caramelo </vt:lpstr>
      <vt:lpstr>Crema Dulce</vt:lpstr>
      <vt:lpstr>Costo Crema Dulce Caramelo</vt:lpstr>
      <vt:lpstr>Costo Pelado choco Choys</vt:lpstr>
      <vt:lpstr>'Crema Dulce de Caramelo '!Área_de_impresión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Coto Consultor</dc:creator>
  <cp:lastModifiedBy>Allan Brenes</cp:lastModifiedBy>
  <cp:lastPrinted>2026-05-06T22:02:46Z</cp:lastPrinted>
  <dcterms:created xsi:type="dcterms:W3CDTF">2025-01-06T20:55:42Z</dcterms:created>
  <dcterms:modified xsi:type="dcterms:W3CDTF">2026-05-06T22:03:16Z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